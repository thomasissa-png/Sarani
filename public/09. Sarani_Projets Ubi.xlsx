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FRIssaTh\Downloads\"/>
    </mc:Choice>
  </mc:AlternateContent>
  <xr:revisionPtr revIDLastSave="4450" documentId="8_{F3C1C9C5-510C-4C41-B1B2-E62433BC5725}" xr6:coauthVersionLast="47" xr6:coauthVersionMax="47" xr10:uidLastSave="{BA90628A-7D83-4682-9356-A7C531BF7151}"/>
  <bookViews>
    <workbookView xWindow="-108" yWindow="-108" windowWidth="23256" windowHeight="12576" firstSheet="1" activeTab="1" xr2:uid="{2DA3D98C-33B8-4FF6-BD00-77F6BF7532A7}"/>
  </bookViews>
  <sheets>
    <sheet name="Overview" sheetId="2" state="hidden" r:id="rId1"/>
    <sheet name="Ubi" sheetId="1" r:id="rId2"/>
  </sheets>
  <definedNames>
    <definedName name="_xlnm._FilterDatabase" localSheetId="1" hidden="1">Ubi!$A$5:$BC$116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9" i="1" l="1"/>
  <c r="K139" i="1"/>
  <c r="E7" i="2"/>
  <c r="E8" i="2"/>
  <c r="E9" i="2"/>
  <c r="E10" i="2"/>
  <c r="E11" i="2"/>
  <c r="E12" i="2"/>
  <c r="E13" i="2"/>
  <c r="E18" i="2"/>
  <c r="E19" i="2"/>
  <c r="E20" i="2"/>
  <c r="E21" i="2"/>
  <c r="E22" i="2"/>
  <c r="E23" i="2"/>
  <c r="E24" i="2"/>
  <c r="E25" i="2"/>
  <c r="E26" i="2"/>
  <c r="E27" i="2"/>
  <c r="B21" i="2"/>
  <c r="C21" i="2"/>
  <c r="D21" i="2"/>
  <c r="F21" i="2"/>
  <c r="G21" i="2"/>
  <c r="H21" i="2"/>
  <c r="I21" i="2"/>
  <c r="B8" i="2"/>
  <c r="C8" i="2"/>
  <c r="D8" i="2"/>
  <c r="F8" i="2"/>
  <c r="G8" i="2"/>
  <c r="H8" i="2"/>
  <c r="I8" i="2"/>
  <c r="B26" i="2"/>
  <c r="C26" i="2"/>
  <c r="D26" i="2"/>
  <c r="F26" i="2"/>
  <c r="G26" i="2"/>
  <c r="H26" i="2"/>
  <c r="I26" i="2"/>
  <c r="B25" i="2"/>
  <c r="C25" i="2"/>
  <c r="D25" i="2"/>
  <c r="F25" i="2"/>
  <c r="G25" i="2"/>
  <c r="H25" i="2"/>
  <c r="I25" i="2"/>
  <c r="B24" i="2"/>
  <c r="C24" i="2"/>
  <c r="D24" i="2"/>
  <c r="F24" i="2"/>
  <c r="G24" i="2"/>
  <c r="H24" i="2"/>
  <c r="I24" i="2"/>
  <c r="B23" i="2"/>
  <c r="C23" i="2"/>
  <c r="D23" i="2"/>
  <c r="F23" i="2"/>
  <c r="G23" i="2"/>
  <c r="H23" i="2"/>
  <c r="I23" i="2"/>
  <c r="B22" i="2"/>
  <c r="C22" i="2"/>
  <c r="D22" i="2"/>
  <c r="F22" i="2"/>
  <c r="G22" i="2"/>
  <c r="H22" i="2"/>
  <c r="I22" i="2"/>
  <c r="B20" i="2"/>
  <c r="C20" i="2"/>
  <c r="D20" i="2"/>
  <c r="F20" i="2"/>
  <c r="G20" i="2"/>
  <c r="H20" i="2"/>
  <c r="I20" i="2"/>
  <c r="B19" i="2"/>
  <c r="C19" i="2"/>
  <c r="D19" i="2"/>
  <c r="F19" i="2"/>
  <c r="G19" i="2"/>
  <c r="H19" i="2"/>
  <c r="I19" i="2"/>
  <c r="B18" i="2"/>
  <c r="B27" i="2" s="1"/>
  <c r="C18" i="2"/>
  <c r="C27" i="2" s="1"/>
  <c r="D18" i="2"/>
  <c r="D27" i="2" s="1"/>
  <c r="F18" i="2"/>
  <c r="F27" i="2" s="1"/>
  <c r="G18" i="2"/>
  <c r="H18" i="2"/>
  <c r="H27" i="2" s="1"/>
  <c r="I18" i="2"/>
  <c r="I27" i="2" s="1"/>
  <c r="B13" i="2"/>
  <c r="C13" i="2"/>
  <c r="D13" i="2"/>
  <c r="F13" i="2"/>
  <c r="G13" i="2"/>
  <c r="H13" i="2"/>
  <c r="I13" i="2"/>
  <c r="B12" i="2"/>
  <c r="C12" i="2"/>
  <c r="D12" i="2"/>
  <c r="F12" i="2"/>
  <c r="G12" i="2"/>
  <c r="H12" i="2"/>
  <c r="I12" i="2"/>
  <c r="B11" i="2"/>
  <c r="C11" i="2"/>
  <c r="D11" i="2"/>
  <c r="F11" i="2"/>
  <c r="G11" i="2"/>
  <c r="H11" i="2"/>
  <c r="I11" i="2"/>
  <c r="B10" i="2"/>
  <c r="C10" i="2"/>
  <c r="D10" i="2"/>
  <c r="F10" i="2"/>
  <c r="G10" i="2"/>
  <c r="H10" i="2"/>
  <c r="I10" i="2"/>
  <c r="B9" i="2"/>
  <c r="C9" i="2"/>
  <c r="D9" i="2"/>
  <c r="F9" i="2"/>
  <c r="G9" i="2"/>
  <c r="H9" i="2"/>
  <c r="I9" i="2"/>
  <c r="B7" i="2"/>
  <c r="C7" i="2"/>
  <c r="D7" i="2"/>
  <c r="F7" i="2"/>
  <c r="G7" i="2"/>
  <c r="H7" i="2"/>
  <c r="I7" i="2"/>
  <c r="B6" i="2"/>
  <c r="C6" i="2"/>
  <c r="D6" i="2"/>
  <c r="E6" i="2"/>
  <c r="F6" i="2"/>
  <c r="G6" i="2"/>
  <c r="H6" i="2"/>
  <c r="I6" i="2"/>
  <c r="B5" i="2"/>
  <c r="B14" i="2" s="1"/>
  <c r="C5" i="2"/>
  <c r="D5" i="2"/>
  <c r="E5" i="2"/>
  <c r="G5" i="2"/>
  <c r="H5" i="2"/>
  <c r="I5" i="2"/>
  <c r="J138" i="1"/>
  <c r="K138" i="1"/>
  <c r="J136" i="1"/>
  <c r="K136" i="1"/>
  <c r="J137" i="1"/>
  <c r="K137" i="1"/>
  <c r="F5" i="2" s="1"/>
  <c r="J135" i="1"/>
  <c r="K135" i="1"/>
  <c r="J134" i="1"/>
  <c r="K134" i="1"/>
  <c r="K129" i="1"/>
  <c r="J133" i="1"/>
  <c r="K133" i="1"/>
  <c r="J132" i="1"/>
  <c r="K132" i="1"/>
  <c r="J131" i="1"/>
  <c r="K131" i="1"/>
  <c r="J130" i="1"/>
  <c r="K130" i="1"/>
  <c r="J129" i="1"/>
  <c r="J127" i="1"/>
  <c r="K127" i="1"/>
  <c r="J128" i="1"/>
  <c r="K128" i="1"/>
  <c r="K113" i="1"/>
  <c r="J126" i="1"/>
  <c r="K126" i="1"/>
  <c r="K116" i="1"/>
  <c r="J116" i="1"/>
  <c r="J115" i="1"/>
  <c r="K119" i="1"/>
  <c r="J124" i="1"/>
  <c r="K124" i="1"/>
  <c r="J125" i="1"/>
  <c r="K125" i="1"/>
  <c r="J123" i="1"/>
  <c r="K123" i="1"/>
  <c r="J122" i="1"/>
  <c r="K122" i="1"/>
  <c r="J121" i="1"/>
  <c r="K121" i="1"/>
  <c r="J120" i="1"/>
  <c r="K120" i="1"/>
  <c r="J119" i="1"/>
  <c r="J118" i="1"/>
  <c r="K118" i="1"/>
  <c r="J117" i="1"/>
  <c r="K117" i="1"/>
  <c r="K115" i="1"/>
  <c r="J114" i="1"/>
  <c r="K114" i="1"/>
  <c r="J113" i="1"/>
  <c r="K105" i="1"/>
  <c r="J98" i="1"/>
  <c r="K98" i="1"/>
  <c r="J102" i="1"/>
  <c r="J110" i="1"/>
  <c r="K110" i="1"/>
  <c r="J105" i="1"/>
  <c r="K108" i="1"/>
  <c r="J108" i="1"/>
  <c r="K103" i="1"/>
  <c r="J103" i="1"/>
  <c r="K107" i="1"/>
  <c r="K104" i="1"/>
  <c r="J107" i="1"/>
  <c r="J104" i="1"/>
  <c r="K109" i="1"/>
  <c r="J109" i="1"/>
  <c r="J111" i="1"/>
  <c r="K111" i="1"/>
  <c r="J100" i="1"/>
  <c r="K100" i="1"/>
  <c r="J106" i="1"/>
  <c r="K106" i="1"/>
  <c r="J101" i="1"/>
  <c r="K101" i="1"/>
  <c r="J95" i="1"/>
  <c r="K95" i="1"/>
  <c r="J99" i="1"/>
  <c r="K99" i="1"/>
  <c r="J97" i="1"/>
  <c r="K97" i="1"/>
  <c r="K96" i="1"/>
  <c r="J96" i="1"/>
  <c r="J93" i="1"/>
  <c r="K93" i="1"/>
  <c r="J94" i="1"/>
  <c r="K94" i="1"/>
  <c r="J92" i="1"/>
  <c r="K92" i="1"/>
  <c r="J91" i="1"/>
  <c r="K91" i="1"/>
  <c r="J90" i="1"/>
  <c r="K90" i="1"/>
  <c r="J89" i="1"/>
  <c r="K89" i="1"/>
  <c r="J88" i="1"/>
  <c r="K88" i="1"/>
  <c r="J87" i="1"/>
  <c r="K87" i="1"/>
  <c r="J86" i="1"/>
  <c r="K86" i="1"/>
  <c r="K85" i="1"/>
  <c r="J85" i="1"/>
  <c r="J84" i="1"/>
  <c r="K84" i="1"/>
  <c r="J83" i="1"/>
  <c r="K83" i="1"/>
  <c r="J82" i="1"/>
  <c r="K82" i="1"/>
  <c r="K81" i="1"/>
  <c r="J81" i="1"/>
  <c r="K80" i="1"/>
  <c r="J80" i="1"/>
  <c r="K79" i="1"/>
  <c r="J79" i="1"/>
  <c r="J77" i="1"/>
  <c r="K77" i="1"/>
  <c r="J78" i="1"/>
  <c r="K78" i="1"/>
  <c r="K76" i="1"/>
  <c r="J76" i="1"/>
  <c r="K75" i="1"/>
  <c r="J75" i="1"/>
  <c r="K74" i="1"/>
  <c r="J74" i="1"/>
  <c r="K73" i="1"/>
  <c r="J73" i="1"/>
  <c r="K72" i="1"/>
  <c r="J72" i="1"/>
  <c r="J65" i="1"/>
  <c r="K71" i="1"/>
  <c r="J71" i="1"/>
  <c r="K68" i="1"/>
  <c r="J67" i="1"/>
  <c r="K67" i="1"/>
  <c r="K66" i="1"/>
  <c r="J66" i="1"/>
  <c r="K65" i="1"/>
  <c r="J63" i="1"/>
  <c r="K63" i="1"/>
  <c r="J64" i="1"/>
  <c r="K64" i="1"/>
  <c r="J70" i="1"/>
  <c r="K70" i="1"/>
  <c r="K62" i="1"/>
  <c r="J62" i="1"/>
  <c r="K61" i="1"/>
  <c r="J61" i="1"/>
  <c r="J60" i="1"/>
  <c r="K60" i="1"/>
  <c r="J58" i="1"/>
  <c r="K58" i="1"/>
  <c r="J59" i="1"/>
  <c r="K59" i="1"/>
  <c r="J57" i="1"/>
  <c r="K57" i="1"/>
  <c r="L69" i="1"/>
  <c r="J69" i="1"/>
  <c r="K69" i="1"/>
  <c r="J56" i="1"/>
  <c r="K56" i="1"/>
  <c r="K27" i="1"/>
  <c r="K39" i="1"/>
  <c r="K54" i="1"/>
  <c r="K55" i="1"/>
  <c r="J54" i="1"/>
  <c r="J55" i="1"/>
  <c r="J68" i="1"/>
  <c r="J53" i="1"/>
  <c r="K53" i="1"/>
  <c r="J52" i="1"/>
  <c r="K52" i="1"/>
  <c r="J51" i="1"/>
  <c r="K51" i="1"/>
  <c r="J49" i="1"/>
  <c r="J50" i="1"/>
  <c r="K49" i="1"/>
  <c r="K50" i="1"/>
  <c r="K30" i="1"/>
  <c r="J48" i="1"/>
  <c r="K48" i="1"/>
  <c r="K34" i="1"/>
  <c r="J34" i="1"/>
  <c r="K47" i="1"/>
  <c r="J47" i="1"/>
  <c r="J45" i="1"/>
  <c r="J42" i="1"/>
  <c r="K45" i="1"/>
  <c r="K44" i="1"/>
  <c r="K41" i="1"/>
  <c r="J41" i="1"/>
  <c r="K17" i="1"/>
  <c r="K19" i="1"/>
  <c r="K7" i="1"/>
  <c r="K33" i="1"/>
  <c r="K40" i="1"/>
  <c r="J40" i="1"/>
  <c r="J39" i="1"/>
  <c r="K38" i="1"/>
  <c r="J38" i="1"/>
  <c r="K37" i="1"/>
  <c r="J37" i="1"/>
  <c r="K36" i="1"/>
  <c r="J36" i="1"/>
  <c r="K35" i="1"/>
  <c r="J35" i="1"/>
  <c r="R15" i="1"/>
  <c r="S15" i="1"/>
  <c r="S10" i="1"/>
  <c r="R10" i="1"/>
  <c r="S2" i="1"/>
  <c r="S1" i="1"/>
  <c r="Q14" i="1"/>
  <c r="R2" i="1"/>
  <c r="Q2" i="1"/>
  <c r="R1" i="1"/>
  <c r="Q1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K10" i="1"/>
  <c r="J9" i="1"/>
  <c r="K9" i="1"/>
  <c r="K11" i="1"/>
  <c r="K12" i="1"/>
  <c r="K13" i="1"/>
  <c r="K14" i="1"/>
  <c r="K15" i="1"/>
  <c r="K16" i="1"/>
  <c r="K20" i="1"/>
  <c r="K21" i="1"/>
  <c r="K22" i="1"/>
  <c r="K23" i="1"/>
  <c r="K24" i="1"/>
  <c r="K25" i="1"/>
  <c r="K26" i="1"/>
  <c r="K28" i="1"/>
  <c r="K29" i="1"/>
  <c r="K31" i="1"/>
  <c r="K32" i="1"/>
  <c r="K8" i="1"/>
  <c r="K6" i="1"/>
  <c r="J8" i="1"/>
  <c r="J7" i="1"/>
  <c r="J6" i="1"/>
  <c r="K43" i="1"/>
  <c r="K42" i="1"/>
  <c r="I14" i="2" l="1"/>
  <c r="F14" i="2"/>
  <c r="C14" i="2"/>
  <c r="G14" i="2"/>
  <c r="D14" i="2"/>
  <c r="H14" i="2"/>
  <c r="E14" i="2"/>
  <c r="G27" i="2"/>
  <c r="C31" i="2" s="1"/>
  <c r="B31" i="2"/>
  <c r="J2" i="1"/>
  <c r="K2" i="1"/>
  <c r="K1" i="1"/>
  <c r="B30" i="2" l="1"/>
  <c r="B32" i="2" s="1"/>
  <c r="C30" i="2"/>
  <c r="C32" i="2"/>
</calcChain>
</file>

<file path=xl/sharedStrings.xml><?xml version="1.0" encoding="utf-8"?>
<sst xmlns="http://schemas.openxmlformats.org/spreadsheetml/2006/main" count="1730" uniqueCount="455">
  <si>
    <t>Performance Dashboard — Ubi (Sarani)</t>
  </si>
  <si>
    <t>REVENUS (€)</t>
  </si>
  <si>
    <t>Q1</t>
  </si>
  <si>
    <t>Q2</t>
  </si>
  <si>
    <t>Q3</t>
  </si>
  <si>
    <t>Q4</t>
  </si>
  <si>
    <t>Adidas</t>
  </si>
  <si>
    <t>Red Bull</t>
  </si>
  <si>
    <t>LEGO</t>
  </si>
  <si>
    <t>Ubisoft</t>
  </si>
  <si>
    <t>Perrier</t>
  </si>
  <si>
    <t>IKEA</t>
  </si>
  <si>
    <t>L'Oréal</t>
  </si>
  <si>
    <t>TikTok</t>
  </si>
  <si>
    <t>Barilla</t>
  </si>
  <si>
    <t>TOTAL</t>
  </si>
  <si>
    <t>NOMBRE DE PROJETS</t>
  </si>
  <si>
    <t>SYNTHÈSE ANNUELLE</t>
  </si>
  <si>
    <t>Revenus (€)</t>
  </si>
  <si>
    <t>Projets</t>
  </si>
  <si>
    <t>Rev. / Projet (€)</t>
  </si>
  <si>
    <t>Tracker Projet</t>
  </si>
  <si>
    <t>Online</t>
  </si>
  <si>
    <t>Offline</t>
  </si>
  <si>
    <t>PreEnvoyéeations</t>
  </si>
  <si>
    <t>Web</t>
  </si>
  <si>
    <t>Videos</t>
  </si>
  <si>
    <t>Virtualization</t>
  </si>
  <si>
    <t>Copy</t>
  </si>
  <si>
    <t>Projet</t>
  </si>
  <si>
    <t>Facturation fin de mois</t>
  </si>
  <si>
    <r>
      <rPr>
        <b/>
        <sz val="11"/>
        <color rgb="FFFFFFFF"/>
        <rFont val="Aptos Narrow"/>
        <scheme val="minor"/>
      </rPr>
      <t xml:space="preserve">Création de concepts simples et bannières online </t>
    </r>
    <r>
      <rPr>
        <i/>
        <sz val="11"/>
        <color rgb="FFFFFFFF"/>
        <rFont val="Aptos Narrow"/>
        <scheme val="minor"/>
      </rPr>
      <t>(KV, statique)</t>
    </r>
  </si>
  <si>
    <r>
      <t xml:space="preserve">Adaptations de bannières à partir d'une créa existante </t>
    </r>
    <r>
      <rPr>
        <i/>
        <sz val="11"/>
        <color theme="0"/>
        <rFont val="Aptos Narrow"/>
        <family val="2"/>
        <scheme val="minor"/>
      </rPr>
      <t>(statique)</t>
    </r>
  </si>
  <si>
    <r>
      <rPr>
        <b/>
        <sz val="11"/>
        <color rgb="FFFFFFFF"/>
        <rFont val="Aptos Narrow"/>
        <scheme val="minor"/>
      </rPr>
      <t xml:space="preserve">Déclis d'adaptations (eg: naming, etc.) </t>
    </r>
    <r>
      <rPr>
        <i/>
        <sz val="11"/>
        <color rgb="FFFFFFFF"/>
        <rFont val="Aptos Narrow"/>
        <scheme val="minor"/>
      </rPr>
      <t>(statique)</t>
    </r>
  </si>
  <si>
    <r>
      <t xml:space="preserve">Création de bannières </t>
    </r>
    <r>
      <rPr>
        <i/>
        <sz val="11"/>
        <color theme="0"/>
        <rFont val="Aptos Narrow"/>
        <family val="2"/>
        <scheme val="minor"/>
      </rPr>
      <t>(KV, animée)</t>
    </r>
  </si>
  <si>
    <r>
      <t xml:space="preserve">Adaptations de bannières à partir d'une créa existante </t>
    </r>
    <r>
      <rPr>
        <i/>
        <sz val="11"/>
        <color theme="0"/>
        <rFont val="Aptos Narrow"/>
        <family val="2"/>
        <scheme val="minor"/>
      </rPr>
      <t>(animées)</t>
    </r>
  </si>
  <si>
    <t>Boutons, Icônes</t>
  </si>
  <si>
    <t>Logo</t>
  </si>
  <si>
    <t>Rendering 3D d'image lifesyles</t>
  </si>
  <si>
    <r>
      <rPr>
        <b/>
        <sz val="11"/>
        <color rgb="FFFFFFFF"/>
        <rFont val="Aptos Narrow"/>
        <scheme val="minor"/>
      </rPr>
      <t xml:space="preserve">Création de bannières print </t>
    </r>
    <r>
      <rPr>
        <i/>
        <sz val="11"/>
        <color rgb="FFFFFFFF"/>
        <rFont val="Aptos Narrow"/>
        <scheme val="minor"/>
      </rPr>
      <t>(KV, statique)</t>
    </r>
  </si>
  <si>
    <r>
      <rPr>
        <b/>
        <sz val="11"/>
        <color rgb="FFFFFFFF"/>
        <rFont val="Aptos Narrow"/>
        <scheme val="minor"/>
      </rPr>
      <t xml:space="preserve">Adaptations de bannières à partir d'une créa existante </t>
    </r>
    <r>
      <rPr>
        <i/>
        <sz val="11"/>
        <color rgb="FFFFFFFF"/>
        <rFont val="Aptos Narrow"/>
        <scheme val="minor"/>
      </rPr>
      <t>(statique)</t>
    </r>
  </si>
  <si>
    <r>
      <t xml:space="preserve">Leaflet
</t>
    </r>
    <r>
      <rPr>
        <i/>
        <sz val="11"/>
        <color theme="0"/>
        <rFont val="Aptos Narrow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</si>
  <si>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Aptos Narrow"/>
        <family val="2"/>
        <scheme val="minor"/>
      </rPr>
      <t>(2 pages)</t>
    </r>
  </si>
  <si>
    <t>Kakemonos / Murs de stands</t>
  </si>
  <si>
    <r>
      <t xml:space="preserve">Brochure
</t>
    </r>
    <r>
      <rPr>
        <i/>
        <sz val="11"/>
        <color theme="0"/>
        <rFont val="Aptos Narrow"/>
        <family val="2"/>
        <scheme val="minor"/>
      </rPr>
      <t>(20 pages)</t>
    </r>
  </si>
  <si>
    <r>
      <t xml:space="preserve">Powerpoint / Google Slides
</t>
    </r>
    <r>
      <rPr>
        <i/>
        <sz val="11"/>
        <color theme="0"/>
        <rFont val="Aptos Narrow"/>
        <family val="2"/>
        <scheme val="minor"/>
      </rPr>
      <t>(par slide)</t>
    </r>
  </si>
  <si>
    <r>
      <t xml:space="preserve">Newsletter / Landing page </t>
    </r>
    <r>
      <rPr>
        <i/>
        <sz val="11"/>
        <color theme="0"/>
        <rFont val="Aptos Narrow"/>
        <family val="2"/>
        <scheme val="minor"/>
      </rPr>
      <t>(design)</t>
    </r>
  </si>
  <si>
    <r>
      <rPr>
        <b/>
        <sz val="11"/>
        <color rgb="FFFFFFFF"/>
        <rFont val="Aptos Narrow"/>
        <scheme val="minor"/>
      </rPr>
      <t xml:space="preserve">Newsletter / Landing page
</t>
    </r>
    <r>
      <rPr>
        <i/>
        <sz val="11"/>
        <color rgb="FFFFFFFF"/>
        <rFont val="Aptos Narrow"/>
        <scheme val="minor"/>
      </rPr>
      <t>(design et implémentation technique)</t>
    </r>
  </si>
  <si>
    <r>
      <t xml:space="preserve">Site web
</t>
    </r>
    <r>
      <rPr>
        <i/>
        <sz val="11"/>
        <color theme="0"/>
        <rFont val="Aptos Narrow"/>
        <family val="2"/>
        <scheme val="minor"/>
      </rPr>
      <t>(design only)</t>
    </r>
  </si>
  <si>
    <r>
      <t xml:space="preserve">Site web
</t>
    </r>
    <r>
      <rPr>
        <i/>
        <sz val="11"/>
        <color theme="0"/>
        <rFont val="Aptos Narrow"/>
        <family val="2"/>
        <scheme val="minor"/>
      </rPr>
      <t>(complet)</t>
    </r>
  </si>
  <si>
    <r>
      <t xml:space="preserve">Edition Vidéo simple </t>
    </r>
    <r>
      <rPr>
        <i/>
        <sz val="11"/>
        <color theme="0"/>
        <rFont val="Aptos Narrow"/>
        <family val="2"/>
        <scheme val="minor"/>
      </rPr>
      <t>(sous-titres, bande son, cuts, etc)</t>
    </r>
  </si>
  <si>
    <r>
      <t xml:space="preserve">Edition Vidéo avancée </t>
    </r>
    <r>
      <rPr>
        <i/>
        <sz val="11"/>
        <color theme="0"/>
        <rFont val="Aptos Narrow"/>
        <family val="2"/>
        <scheme val="minor"/>
      </rPr>
      <t>(animation over footage)</t>
    </r>
  </si>
  <si>
    <r>
      <t xml:space="preserve">Social Media Video
</t>
    </r>
    <r>
      <rPr>
        <i/>
        <sz val="11"/>
        <color rgb="FFFFFFFF"/>
        <rFont val="Calibri"/>
        <family val="2"/>
      </rPr>
      <t>(motion, 30s)</t>
    </r>
  </si>
  <si>
    <r>
      <t xml:space="preserve">Social Media Video
</t>
    </r>
    <r>
      <rPr>
        <i/>
        <sz val="11"/>
        <color rgb="FFFFFFFF"/>
        <rFont val="Calibri"/>
        <family val="2"/>
      </rPr>
      <t>(motion, 1min)</t>
    </r>
  </si>
  <si>
    <r>
      <t xml:space="preserve">Sizzles
</t>
    </r>
    <r>
      <rPr>
        <i/>
        <sz val="11"/>
        <color rgb="FFFFFFFF"/>
        <rFont val="Calibri"/>
        <family val="2"/>
      </rPr>
      <t>(avec scripts, voix, etc.)</t>
    </r>
  </si>
  <si>
    <t>Vidéo Promotionnelle</t>
  </si>
  <si>
    <t>Vidéo 2D</t>
  </si>
  <si>
    <t>Vidéo 3D</t>
  </si>
  <si>
    <t>Tournage vidéo avec crew, équipement, lieux, etc.</t>
  </si>
  <si>
    <t>Espace Virtuel Interactif</t>
  </si>
  <si>
    <t>Showroom Virtuel Interactif</t>
  </si>
  <si>
    <r>
      <t xml:space="preserve">Traduction 
</t>
    </r>
    <r>
      <rPr>
        <i/>
        <sz val="11"/>
        <color theme="0"/>
        <rFont val="Aptos Narrow"/>
        <family val="2"/>
        <scheme val="minor"/>
      </rPr>
      <t>(par mot)</t>
    </r>
  </si>
  <si>
    <r>
      <t xml:space="preserve">Copywriting
</t>
    </r>
    <r>
      <rPr>
        <i/>
        <sz val="11"/>
        <color theme="0"/>
        <rFont val="Aptos Narrow"/>
        <family val="2"/>
        <scheme val="minor"/>
      </rPr>
      <t>(par mot)</t>
    </r>
  </si>
  <si>
    <t>Client</t>
  </si>
  <si>
    <t>Division</t>
  </si>
  <si>
    <t>Date</t>
  </si>
  <si>
    <t>Code Projet</t>
  </si>
  <si>
    <t>Contact</t>
  </si>
  <si>
    <t>Statut</t>
  </si>
  <si>
    <t>Catégorie</t>
  </si>
  <si>
    <t>Lien Projet</t>
  </si>
  <si>
    <t>NB Assets</t>
  </si>
  <si>
    <t>Valeur Totale</t>
  </si>
  <si>
    <t>Devis</t>
  </si>
  <si>
    <t>Numéro de PO</t>
  </si>
  <si>
    <t>Facture</t>
  </si>
  <si>
    <t>N°Facture</t>
  </si>
  <si>
    <t>Statut paiement</t>
  </si>
  <si>
    <t>Au projet</t>
  </si>
  <si>
    <t>Ubi</t>
  </si>
  <si>
    <t>adidas – ADR25</t>
  </si>
  <si>
    <t>ADR25</t>
  </si>
  <si>
    <t>Clara BONVARLET</t>
  </si>
  <si>
    <t>Delivered</t>
  </si>
  <si>
    <t>Exe</t>
  </si>
  <si>
    <t>https://saranistudio.sharepoint.com/:f:/s/SaraniAssets/Ej6RkjRw02BJv-pEIjZ9w8ABf_Ap6iR_TAA7SAMLrFeAkQ?e=N2LmRH</t>
  </si>
  <si>
    <t>-</t>
  </si>
  <si>
    <t>Envoyé via Whatsapp</t>
  </si>
  <si>
    <t>F2025-0217</t>
  </si>
  <si>
    <t>Paid 15/05/2025</t>
  </si>
  <si>
    <t>ubi - KV Red Bull Wings For Life - RED06</t>
  </si>
  <si>
    <t>Red06</t>
  </si>
  <si>
    <t>Jeremy LE NILLON</t>
  </si>
  <si>
    <t>20250311_KV Red Bull Wings For Life - RED06</t>
  </si>
  <si>
    <t xml:space="preserve">LEGO </t>
  </si>
  <si>
    <t xml:space="preserve">LEG02 : Brief affiche LEGO Le grand tournoi des Champs </t>
  </si>
  <si>
    <t>LEG02</t>
  </si>
  <si>
    <t>Louis Keller</t>
  </si>
  <si>
    <t>20250311_Brief affiche LEGO Le grand tournoi des Champs</t>
  </si>
  <si>
    <t xml:space="preserve">ADTAT / Flocage textile </t>
  </si>
  <si>
    <t>ADTAT</t>
  </si>
  <si>
    <t>Anouck Mottin</t>
  </si>
  <si>
    <t>https://saranistudio.sharepoint.com/:f:/s/SaraniAssets/Evyqkra13wJEhdYuMBCPa2QBkbIgZr9J3lqx8bYghiqmoA?e=MHdPnX</t>
  </si>
  <si>
    <t>Adidas Supercomfort Weekend</t>
  </si>
  <si>
    <t>Special</t>
  </si>
  <si>
    <t>https://saranistudio.sharepoint.com/:f:/s/SaraniAssets/EspVANpg4GpEs0PP-J6C5s0B_G6DnxosVSFNUMyaSioBiA?e=z5gPK5</t>
  </si>
  <si>
    <t>F2025-0218</t>
  </si>
  <si>
    <t>Testings adidas retail – ADRET</t>
  </si>
  <si>
    <t>ADRET</t>
  </si>
  <si>
    <t>https://saranistudio.sharepoint.com/:f:/s/SaraniAssets/Eh0MoH_-2zZEv5a97CjnsRYBBxAk1CdKecRZGQvFQGvgdA?e=k6fI4G</t>
  </si>
  <si>
    <t>KV Red Bull Wings For Life - Video</t>
  </si>
  <si>
    <t>https://saranistudio.sharepoint.com/:f:/s/SaraniAssets/EuvKLKORCGNJnpFQDCWR1jMBK3-s4VKysfwEu23qPL0jrA?e=0n9yYC</t>
  </si>
  <si>
    <t>Graveur de Pierre Ubisoft</t>
  </si>
  <si>
    <t>UBI02</t>
  </si>
  <si>
    <t>Inès de Laguiche</t>
  </si>
  <si>
    <t>https://saranistudio.sharepoint.com/:f:/s/SaraniAssets/EswSC5pPpsBNpvHBnzBp7iYBgaH2yzxCR5ZiDBri_V5cTA?e=M8VcRE</t>
  </si>
  <si>
    <t>Branding magasins adidas - ADMAR</t>
  </si>
  <si>
    <t>ADMAR</t>
  </si>
  <si>
    <t>https://saranistudio.sharepoint.com/:f:/s/SaraniAssets/Ekt9En4iqM1PjHyA0QwiYp8B5ZpUPIhXgluIK9b7cUxooA?e=CSgTjt</t>
  </si>
  <si>
    <t>Stand Marathon adidas - ADM25</t>
  </si>
  <si>
    <t>ADM25</t>
  </si>
  <si>
    <t>https://saranistudio.sharepoint.com/:f:/s/SaraniAssets/Epa8vTKpudRIg5uy_lvnMaIBKLkQT4JXzXd8cYngVnroxA?e=PNydg2</t>
  </si>
  <si>
    <t>Plp Hub</t>
  </si>
  <si>
    <t>https://saranistudio.sharepoint.com/:f:/s/SaraniAssets/EtTNbkr4dSZFi3TkNEoWuigB73I9k0Ta2TiWc538sv5Gng?e=HzKCVC</t>
  </si>
  <si>
    <t>Calendrier hebdo Instagram - ADU25</t>
  </si>
  <si>
    <t>ADU25</t>
  </si>
  <si>
    <t>https://saranistudio.sharepoint.com/:f:/s/SaraniAssets/EgQrdWCWPFZEkywkgCCVUIEBIddLpyi7r_OGT6myK3K6PA?e=eexic0</t>
  </si>
  <si>
    <t>Seeding kit</t>
  </si>
  <si>
    <t>Créa</t>
  </si>
  <si>
    <t>20250326_SEEDING KIT</t>
  </si>
  <si>
    <t>Concept Offert</t>
  </si>
  <si>
    <t>ADRET / Créas adidas Retail</t>
  </si>
  <si>
    <t>https://saranistudio.sharepoint.com/:f:/s/SaraniAssets/Eka3DWx13PhPoPbjhloykp8BENQBYxhjzw3qTWiwYKJv0A?e=AhpWxX</t>
  </si>
  <si>
    <t>Ubisoft - boîtes personnalisées et cire parchemins</t>
  </si>
  <si>
    <t>20250326_Ubisoft - boîtes personnalisées</t>
  </si>
  <si>
    <t>ADTAT / Brief oriflammes</t>
  </si>
  <si>
    <t>Anouck MOTTIN</t>
  </si>
  <si>
    <t>20250327_ADTAT - Brief oriflammes</t>
  </si>
  <si>
    <t>ubi - calendriers Facebook + KV - ADU25</t>
  </si>
  <si>
    <t>DROUET Pauline</t>
  </si>
  <si>
    <t>https://saranistudio.sharepoint.com/:f:/s/SaraniAssets/Et1YZpnGo6xGk_xA-N7mRfMB-fqEThZxNt4zaIzuAVy_sg?e=P89yDW</t>
  </si>
  <si>
    <t xml:space="preserve">Envoyée </t>
  </si>
  <si>
    <t>F2025-0254</t>
  </si>
  <si>
    <t>Paid 06/06/2025</t>
  </si>
  <si>
    <t>ADR25 / Créas adidas Brand</t>
  </si>
  <si>
    <t>https://saranistudio.sharepoint.com/:f:/s/SaraniAssets/Elk4CkEUM01Ao4tt53VE974BI8_2FTp9DC-yO8ShCT11Lw?e=cgryAD</t>
  </si>
  <si>
    <t> Sticker Adizero</t>
  </si>
  <si>
    <t>https://saranistudio.sharepoint.com/:f:/s/SaraniAssets/EtGyAL-3rTdDmtFlPJybmpYBaroSTyRhVAXNRGshEpzIzQ?e=Obzxog</t>
  </si>
  <si>
    <t>Créa Ubisoft 2.0</t>
  </si>
  <si>
    <t>https://saranistudio.sharepoint.com/:f:/s/SaraniAssets/EijnPi44YxZNk-dDVMyMxrkBKXrw34OtgTISSkEdq4vt4w?e=CAexvj</t>
  </si>
  <si>
    <t>CREA UBISOFT 3</t>
  </si>
  <si>
    <t>https://saranistudio.sharepoint.com/:f:/s/SaraniAssets/EkrVaENSDiBCilmmpkVVlWEBQk1GeDWmDw0I5jFz0fX--A?e=3GXKUR</t>
  </si>
  <si>
    <t>CLARA-BONVARLET</t>
  </si>
  <si>
    <t>20250302_ADRET - Créas adidas Retail</t>
  </si>
  <si>
    <t>Adidas 10K - ADR25</t>
  </si>
  <si>
    <t>20250403_ADIDAS 10K</t>
  </si>
  <si>
    <t>Création de dossiers de chaise personnalisés</t>
  </si>
  <si>
    <t>INÈS DE LAGUICHE</t>
  </si>
  <si>
    <t>20250404_création de dossiers de chaise personnalisés</t>
  </si>
  <si>
    <t>ADO25 - Exe adidas originals showroom (Exe uniquement)</t>
  </si>
  <si>
    <t>ADO25</t>
  </si>
  <si>
    <t>MARIE DELGRANGE</t>
  </si>
  <si>
    <t>20250404_ADO25 - Exe adidas originals showroom</t>
  </si>
  <si>
    <t>ADU25 - Urgence stickers</t>
  </si>
  <si>
    <t>https://saranistudio.sharepoint.com/:f:/s/SaraniAssets/EmH0-A8nCTtNia70gCbO2lIB2mLpLDiGgCMmmotWvly__A?e=LblSqQ</t>
  </si>
  <si>
    <t>ADTLD / demandes créas</t>
  </si>
  <si>
    <t>ATTLD</t>
  </si>
  <si>
    <t>https://saranistudio.sharepoint.com/:f:/s/SaraniAssets/EivsIogcYXJDlu049X2ZJ3wBoVsL-oLt-gorNZ7wk8z36Q?e=XhKG3e</t>
  </si>
  <si>
    <t>Adidas 10K custom gift</t>
  </si>
  <si>
    <t>https://saranistudio.sharepoint.com/:f:/s/SaraniAssets/EkwkV8YCxw9DoN-6W3d8Y40B0YO3ktRfoSp5gPiMZn_r3g?e=m0BnIB</t>
  </si>
  <si>
    <t>Seeding kit Exé</t>
  </si>
  <si>
    <t>Envoyée</t>
  </si>
  <si>
    <t>F2025-0316</t>
  </si>
  <si>
    <t>Paid 21/07/2025</t>
  </si>
  <si>
    <t xml:space="preserve"> BRIEF Adidas Testing before tasting</t>
  </si>
  <si>
    <t>Louis KELLER</t>
  </si>
  <si>
    <t>20250415_BRIEF Adidas Testing before tasting</t>
  </si>
  <si>
    <t>Demande urgente nouveau drapeau</t>
  </si>
  <si>
    <t>https://saranistudio.sharepoint.com/:f:/s/SaraniAssets/EqN-VbwAEzxLt8dI9bxAhL0BDMANZz9z9o9706t-nElyRw?e=WC6cnP</t>
  </si>
  <si>
    <t>Adidas 10K Après course concept</t>
  </si>
  <si>
    <t>https://saranistudio.sharepoint.com/:f:/s/SaraniAssets/EmR8ktNWJplImqGX_AZgTDUB-qwnT2ZpJ0COt3mm7O5ODw?e=OAW5eO</t>
  </si>
  <si>
    <t>Adidas 10K Retraits dossards</t>
  </si>
  <si>
    <t>https://saranistudio.sharepoint.com/:f:/s/SaraniAssets/Euv4WdeFGLJNug8wvC-YPrMBP7k8zO0-QCOLso0JUyu_0w?e=E3WeEX</t>
  </si>
  <si>
    <t>Créas Brand</t>
  </si>
  <si>
    <t>20250417_Créas Brand</t>
  </si>
  <si>
    <t>ADU25 / Exes Wings for life</t>
  </si>
  <si>
    <t>20250417_ADU25 - Exes Wings for life</t>
  </si>
  <si>
    <t>LEG02 :  Le grand tournoi des Champs - MockUp</t>
  </si>
  <si>
    <t>20250417_LEG02 - Brief affiche LEGO Le grand tournoi des Champs - MockUp</t>
  </si>
  <si>
    <t>Crea Menu UBISOFT</t>
  </si>
  <si>
    <t>20240418_Crea Menu UBISOFT</t>
  </si>
  <si>
    <t xml:space="preserve">Demande autocollant Ubisoft </t>
  </si>
  <si>
    <t>20250423_Demande autocollant Ubisoft</t>
  </si>
  <si>
    <t>Marque place ubisoft</t>
  </si>
  <si>
    <t>https://saranistudio.sharepoint.com/:f:/s/SaraniAssets/EkRS9mGFge5Kl1x7FVSML_QBB6CYNpdGfHuA16loUK0C7Q?e=dvKG85</t>
  </si>
  <si>
    <t>Adidas Testing before tasting - Fasta Pasta</t>
  </si>
  <si>
    <t>https://saranistudio.sharepoint.com/:f:/s/SaraniAssets/EtkoMD_b7IhCvxTQ5JH1Fc0BDogoddmhRdZFw8Su9kzzow?e=RpKU4Z</t>
  </si>
  <si>
    <t>Maquette Perrier x Concorde / PER03</t>
  </si>
  <si>
    <t>PER03</t>
  </si>
  <si>
    <t>Clémence VIGNERON</t>
  </si>
  <si>
    <t>https://saranistudio.sharepoint.com/sites/SaraniAssets/Shared%20Documents/Forms/AllItems.aspx?id=%2Fsites%2FSaraniAssets%2FShared%20Documents%2F03%2E%20Customers%2F17%2E%20Ubi%2F06%2E%20Perrier%2F02%2EProjects&amp;p=true&amp;ga=1</t>
  </si>
  <si>
    <t>10K RD - Habillage magasins</t>
  </si>
  <si>
    <t>ADRDK</t>
  </si>
  <si>
    <t>Chloé DESIGAUX</t>
  </si>
  <si>
    <t>20250429_10K RD - Habillage magasins</t>
  </si>
  <si>
    <t>Fiche produits chaussure</t>
  </si>
  <si>
    <t>https://saranistudio.sharepoint.com/:f:/s/SaraniAssets/EkRW8XEd48hLmvSLGNJtptcBcwDUthsR2343tayGPKrqtA?e=UeQqDQ</t>
  </si>
  <si>
    <t>10K Village</t>
  </si>
  <si>
    <t>https://saranistudio.sharepoint.com/:f:/s/SaraniAssets/Em3YG4xNxTBFrbP2hkHg1UgBNpkZhCMwyyIWpdfkKjUV2Q?e=ap3P6n</t>
  </si>
  <si>
    <t>ADU25 - EXE Adidas 10K</t>
  </si>
  <si>
    <t>Pauline Drouet</t>
  </si>
  <si>
    <t>https://saranistudio.sharepoint.com/:f:/s/SaraniAssets/EmmehBNmNfpFrbX-UjTjMBoBAHLNEIt58fWHkijGm1XI7A?e=EHSb33</t>
  </si>
  <si>
    <t>ADU 25 - EXE Move for the Planet</t>
  </si>
  <si>
    <t>https://saranistudio.sharepoint.com/:f:/s/SaraniAssets/EqhYmtDug91BuskKLgwXKFYB4DkKHmxvh2q85hPYa7kYIQ?e=hwIzoM</t>
  </si>
  <si>
    <t xml:space="preserve">ADR25 - Créa brand </t>
  </si>
  <si>
    <t>https://saranistudio.sharepoint.com/:f:/s/SaraniAssets/Enc3IfwCvEtGiwm2zkxFlSgBADLJ0L6eq43MYxxNauEGDA?e=z3JYDE</t>
  </si>
  <si>
    <t>RUN CAMP Adidas</t>
  </si>
  <si>
    <t>ADTPI</t>
  </si>
  <si>
    <t>https://saranistudio.sharepoint.com/:f:/s/SaraniAssets/EstWRPSzUoFAlK4xMwcQ6p0BbBoZ-8Mn6vJ5fdx1SGy3pQ?e=3gClB9</t>
  </si>
  <si>
    <t>ADLDL / Écrans LED</t>
  </si>
  <si>
    <t>ADLDL</t>
  </si>
  <si>
    <t>20250514_ADLDL-Écrans LED</t>
  </si>
  <si>
    <t>ADPOE - Banding INSEP</t>
  </si>
  <si>
    <t>ADPOE</t>
  </si>
  <si>
    <t>Jérémy  LE NILLON</t>
  </si>
  <si>
    <t>https://saranistudio.sharepoint.com/:f:/s/SaraniAssets/ElVZVfx_c8VIoKtjm6oBzvUBLdjBc45G_xSqqm20iYYMSQ?e=ws8b3h</t>
  </si>
  <si>
    <t xml:space="preserve">ADR25 - Créas Brand </t>
  </si>
  <si>
    <t>https://saranistudio.sharepoint.com/:f:/s/SaraniAssets/EiUaTdR1OCBAkwCDXWFUvisB0KD7CutMUWX8hxmT-ECZwQ?e=Ggooxa</t>
  </si>
  <si>
    <t>ADO25 - Simu Verres</t>
  </si>
  <si>
    <t>Marie DELGRANGE</t>
  </si>
  <si>
    <t>https://saranistudio.sharepoint.com/:f:/s/SaraniAssets/EoMNYd3UxKNJlr6MRVURDsMB6tfTIw2A0xQkUCQLl3FHcQ?e=jZQtVM</t>
  </si>
  <si>
    <t>Gabarit triporteur et autres assets</t>
  </si>
  <si>
    <t>https://saranistudio.sharepoint.com/:f:/s/SaraniAssets/EjQJDnfGDEBNqjHP1wb5kWABnvuq-dHPG0GCgOUEDhzzHQ?e=kruFDD</t>
  </si>
  <si>
    <t>Leg02 :  Wireframe-Le grand tournoi des Champs</t>
  </si>
  <si>
    <t>https://saranistudio.sharepoint.com/:f:/s/SaraniAssets/EvQgxP8syHJEm8wBEUoZfVUBxyGOXMASxo-ZUfOrUUFYog?e=FVehef</t>
  </si>
  <si>
    <t>ADO25 - CAP BAG ART</t>
  </si>
  <si>
    <t>https://saranistudio.sharepoint.com/:f:/s/SaraniAssets/EhlZBNLzcqpFiARLNU-fx1MBSWMgeCX1IeBkcqAD2YbrkQ?e=gPqdbe</t>
  </si>
  <si>
    <t>ADR25 - Zone de radars</t>
  </si>
  <si>
    <t>20250520_ADR25 - Zone de radars</t>
  </si>
  <si>
    <t>SSTR - urgence déclinaison crea</t>
  </si>
  <si>
    <t>ADOSS</t>
  </si>
  <si>
    <t>Hélène</t>
  </si>
  <si>
    <t>https://saranistudio.sharepoint.com/:f:/s/SaraniAssets/EubDXMXmokJKmJcbTzWzXksBYaDqnuTs-eF5NNogJo2Z7Q?e=KYga9h</t>
  </si>
  <si>
    <t>Menu Terrasse Perrier</t>
  </si>
  <si>
    <t>https://saranistudio.sharepoint.com/:f:/s/SaraniAssets/EmREgoHdgJxFurb5U2kPbvEBnVcz3LSysKCt3koVf-IfEA?e=57BZwx</t>
  </si>
  <si>
    <t>ADTLD - Adidas Créas</t>
  </si>
  <si>
    <t>ADTLD</t>
  </si>
  <si>
    <t>https://saranistudio.sharepoint.com/:f:/s/SaraniAssets/Esyl6p6nJuRGmt4hceoxI10Bg0bfEX0wmbJIRWD_Nhbbfg?e=4JrjT9</t>
  </si>
  <si>
    <t>Adidas ISC</t>
  </si>
  <si>
    <t>https://saranistudio.sharepoint.com/:f:/s/SaraniAssets/EhkGyghsZf5DnwZHlivUMmYB_5qnJW14hHY5SSIboE939w?e=PCQQLb</t>
  </si>
  <si>
    <t>Perrier logos et exe chaises</t>
  </si>
  <si>
    <t>Exe 10K race weekend calendar</t>
  </si>
  <si>
    <t>https://saranistudio.sharepoint.com/:f:/s/SaraniAssets/Epl8_ZqP5VpArYaqNmgK5vMBJFTEdTr-MluB1y4OHla7VA?e=yr4xOM</t>
  </si>
  <si>
    <t>ADR25 - Shake Out Party</t>
  </si>
  <si>
    <t>20250514_ADR25 - Shake Out Party</t>
  </si>
  <si>
    <t>Sent</t>
  </si>
  <si>
    <t>F2025-0390</t>
  </si>
  <si>
    <t>Paid 08/08/2025</t>
  </si>
  <si>
    <t>ADR25 - Diamond League</t>
  </si>
  <si>
    <t>https://saranistudio.sharepoint.com/:f:/s/SaraniAssets/Esy3btFmysdEhUyMswG_HiIBLF3MQY3qJ4S2qRv2vEIacg?e=5aVdCD</t>
  </si>
  <si>
    <t>EXE ADORI25</t>
  </si>
  <si>
    <t>ADORI21</t>
  </si>
  <si>
    <t>https://saranistudio.sharepoint.com/:f:/s/SaraniAssets/EuZwn3jpLQJIhNUcWlVMz6QBNTNORc2FCfWJ-b3NHQYhQQ?e=Z7Slbi</t>
  </si>
  <si>
    <t>ADU25 / Exe adidas 10K - Posters</t>
  </si>
  <si>
    <t>https://saranistudio.sharepoint.com/:f:/s/SaraniAssets/Et84X0HTvcZEmiBhdZReG4cBmZUAQxHk1tuDEvzRT_hMqw?e=XreuFK</t>
  </si>
  <si>
    <t>Adidas cap customization</t>
  </si>
  <si>
    <t>ADSDC</t>
  </si>
  <si>
    <t>https://saranistudio.sharepoint.com/:f:/s/SaraniAssets/ErU6GsUyrGFNpyMbkA04fNkB_gFxGgIDGGPlJpn7PR03gg?e=4MLCKA</t>
  </si>
  <si>
    <t>Leg02 :  Wireframe Mobile / Tablette / PC + Concepts</t>
  </si>
  <si>
    <t>LEGO - Affiches patrimoine &amp; Assets</t>
  </si>
  <si>
    <t>https://saranistudio.sharepoint.com/:f:/s/SaraniAssets/EuiKzOixdoRHj5nnzDUHRw0BXZrvMfCWu4Fdpp_RuGOZ3Q?e=YRyLxt</t>
  </si>
  <si>
    <t>ubi</t>
  </si>
  <si>
    <t>Adidas ADPOE Branding INSEP</t>
  </si>
  <si>
    <t>https://saranistudio.sharepoint.com/:f:/s/SaraniAssets/EgCFNLPVa3FHiSuoQhBU05EBPtq7qqU76etCRaC1N8tUjA?e=XBolAI</t>
  </si>
  <si>
    <t>Adidas ADR25 - Diamond League - Image 3D backdrop</t>
  </si>
  <si>
    <t>Adidas - Diamond League Racing bibs</t>
  </si>
  <si>
    <t>ADR25_09 </t>
  </si>
  <si>
    <t>https://saranistudio.sharepoint.com/:f:/s/SaraniAssets/EsDCZlBIHItBuomKrCsL1zYBlTRsAC5cHL8IS3VVT62Xeg?e=N1rXoe</t>
  </si>
  <si>
    <t>ADR25_09 - Exes Diamond League - Packaging &amp; Foodtruck simulation</t>
  </si>
  <si>
    <t>https://saranistudio.sharepoint.com/:f:/s/SaraniAssets/Ej1Vkf4vhc1Cr-haaVUdJDQB-aN_xHIO5v8wAz4ooxI5zg?e=bMYIsU</t>
  </si>
  <si>
    <t>ADLRA - Led adidas Arena</t>
  </si>
  <si>
    <t>ADLRA</t>
  </si>
  <si>
    <t>https://saranistudio.sharepoint.com/:f:/s/SaraniAssets/EmxdCZCacVVJvrQ5aYcu5aoBkdb-gPd1QikjjZ4XqMSwAg?e=flr2P2</t>
  </si>
  <si>
    <t>F2025-0462</t>
  </si>
  <si>
    <t>Paid 05/09/2025</t>
  </si>
  <si>
    <t>LEGO - Assets for Winner Contact Platform</t>
  </si>
  <si>
    <t>Lego Wireframe page 2</t>
  </si>
  <si>
    <t>ADU25 - Adidas Pride</t>
  </si>
  <si>
    <t>ADU 25</t>
  </si>
  <si>
    <t>https://saranistudio.sharepoint.com/:f:/s/SaraniAssets/EtnlXTyvXahJjtgg5cPYwhEBgi2bPz4wbfEQxC9QMwjzbg?e=AWO134</t>
  </si>
  <si>
    <t>ADSBF - Seeding Box FFA adidas (Part 1)</t>
  </si>
  <si>
    <t>ADSBF</t>
  </si>
  <si>
    <t>https://saranistudio.sharepoint.com/:f:/r/sites/SaraniAssets/Shared%20Documents/03.%20Customers/17.%20Ubi/02.%20Adidas/02.%20Projects/20250626%20ADSBF%20-%20Seeding%20Box%20FFA?csf=1&amp;web=1&amp;e=wbqGHU</t>
  </si>
  <si>
    <t>LEGO - Branding Scéno 3D Grand tournoi des champs</t>
  </si>
  <si>
    <t>https://saranistudio.sharepoint.com/:f:/s/SaraniAssets/EsF5hgYFleFNsXJ7mzNO9p8B89f7WcfngPHbjWVmfdxzaA?e=Le9HkK</t>
  </si>
  <si>
    <t>IKEA Cook session</t>
  </si>
  <si>
    <t>IKE03</t>
  </si>
  <si>
    <t>https://saranistudio.sharepoint.com/:f:/s/SaraniAssets/ErF5sbZ715lOlB7H_cWNeR0BngttTKNcHTGX8yZqtpiYpw?e=fndeol</t>
  </si>
  <si>
    <t>ADOSS - Personnalisation F&amp;B Superstar</t>
  </si>
  <si>
    <t>https://saranistudio.sharepoint.com/:f:/s/SaraniAssets/EsEx87I6jZJIgeqLrWfLOGcB-KV5RGudNdj_d0vkYUsVuQ?e=SexNVd</t>
  </si>
  <si>
    <t>IKEA Communiqué de presse</t>
  </si>
  <si>
    <t>IKE04</t>
  </si>
  <si>
    <t>https://saranistudio.sharepoint.com/:f:/s/SaraniAssets/EpxT7VzCbbNNmg30vFy95OQB_KBzO3egTv7zTHx_hQGRLA?e=clp2cd</t>
  </si>
  <si>
    <t>SSTR - Concert Superstar (Part 1)</t>
  </si>
  <si>
    <t>https://saranistudio.sharepoint.com/:f:/s/SaraniAssets/Ehm-_4awGoxFsd7l89wvIHsBc90VPUjoTd0g3EqqIJ6Q4Q?e=lvZUGV</t>
  </si>
  <si>
    <t>F2025-0537</t>
  </si>
  <si>
    <t>Paid 16/10/2025</t>
  </si>
  <si>
    <t>IKEA - BILLYotheque</t>
  </si>
  <si>
    <t>https://saranistudio.sharepoint.com/:f:/s/SaraniAssets/Eqp4A4ubMP9KjLKEg4kP3IoBasriObvfd-PhRMK0FM83bQ?e=H8sEFD</t>
  </si>
  <si>
    <t xml:space="preserve">ADU25  - Adidas Runners flocage Tees </t>
  </si>
  <si>
    <t>https://saranistudio.sharepoint.com/:f:/s/SaraniAssets/EqV5xlSAbipNjUwupVK3KvIBHBAhCl-pE6fAHD7lITP-tA?e=dibFOR</t>
  </si>
  <si>
    <t>IKEA - POP UP Tournée</t>
  </si>
  <si>
    <t>IKE05</t>
  </si>
  <si>
    <t>Laure PEYNT</t>
  </si>
  <si>
    <t>https://saranistudio.sharepoint.com/:f:/s/SaraniAssets/Eiv8AeHE5PRApsx_xd9_V4MBLyHBOb9SpsFr1J2DnkHfBA?e=ozc10b</t>
  </si>
  <si>
    <t>LEGO - Affiche Grand tounoi des champs 9:16 / 16/9 A4</t>
  </si>
  <si>
    <t>https://saranistudio.sharepoint.com/:f:/s/SaraniAssets/Enc3NXf3popLvhLrEwYwp6UBLN5r2UAzmFiMb3Cf7q5UYA?e=8IsmNV</t>
  </si>
  <si>
    <t>ADSBF - Seeding box FFA adidas (Part 2 - Goodies)</t>
  </si>
  <si>
    <t>https://saranistudio.sharepoint.com/:f:/s/SaraniAssets/EkN4_O-RGYtJqD6wuri5rLgBiQ2sOoCoFVDf8DWbzoueYg?e=dy8p6G</t>
  </si>
  <si>
    <t>ADTAT - Kakemonos Test &amp; Run</t>
  </si>
  <si>
    <t>https://saranistudio.sharepoint.com/:f:/s/SaraniAssets/EtCxdz-YcZZJlfQmZMTeDj8BHTsJjQyGQ14yeUG1tpZxeQ?e=7Yhht7</t>
  </si>
  <si>
    <t>ADSBF - Seeding box FFA adidas (Part 2 - Goodies) suite</t>
  </si>
  <si>
    <t>Jérémy LE NILLON</t>
  </si>
  <si>
    <t>Mise à jour site FFA</t>
  </si>
  <si>
    <t xml:space="preserve">ADR25 </t>
  </si>
  <si>
    <t>https://saranistudio.sharepoint.com/:f:/s/SaraniAssets/EhickG67KBVOhTh73oHozTQBmbSoTC9WOiJngfCghFrv2Q?e=L2qepT</t>
  </si>
  <si>
    <t>IKEA Cook session - Part 2</t>
  </si>
  <si>
    <t>EXE</t>
  </si>
  <si>
    <t>ADU25 - Carrousel pour post Instagram en 4:5</t>
  </si>
  <si>
    <t>20250918_ADU25_Instagram_Carousel</t>
  </si>
  <si>
    <t>F2025-0595</t>
  </si>
  <si>
    <t>Paid 04/11/2025</t>
  </si>
  <si>
    <t>ADLRA - Led adidas Arena (extra versions)</t>
  </si>
  <si>
    <t>Jérémy</t>
  </si>
  <si>
    <t>https://saranistudio.sharepoint.com/:f:/s/SaraniAssets/EmxdCZCacVVJvrQ5aYcu5aoBkdb-gPd1QikjjZ4XqMSwAg?e=kazQC4</t>
  </si>
  <si>
    <t>ADAML - Run Alice Milliat Scratch Cards</t>
  </si>
  <si>
    <t>ADAML</t>
  </si>
  <si>
    <t>https://saranistudio.sharepoint.com/:f:/s/SaraniAssets/Eh8B8wfPqUxBh0I2y0Eq4fwBAu3ZKfrFbmaMy2RsXL7zYQ?e=16d25T</t>
  </si>
  <si>
    <t>ADU25 / Challenge Alice Milliat Extra</t>
  </si>
  <si>
    <t>20250903_Challenge Alice Milliat</t>
  </si>
  <si>
    <t>17/09/25</t>
  </si>
  <si>
    <t>SSTR - Concert Superstar (Part 2)</t>
  </si>
  <si>
    <t>SSTR</t>
  </si>
  <si>
    <t>https://saranistudio.sharepoint.com/:f:/s/SaraniAssets/EsPl6yCAozFPo-DP3RPgnEUBTZm08ed0Q8oZexi0z3AwTw?e=4ZMjE2</t>
  </si>
  <si>
    <t>Cooking Session extra assets</t>
  </si>
  <si>
    <t>Marie</t>
  </si>
  <si>
    <t>https://saranistudio.sharepoint.com/:f:/s/SaraniAssets/EuPc2wxyIGBKpMfAIhMs1EwBjg6Dpp896tknGoZBDYAMHQ?e=CzQNpA</t>
  </si>
  <si>
    <t>IKEA stories</t>
  </si>
  <si>
    <t>IKEA Summer Tour - Visuel du Carroussel</t>
  </si>
  <si>
    <t>https://saranistudio.sharepoint.com/:f:/s/SaraniAssets/EnvHbSOQoe9Bjr8UWfBP8JYBDSbdtd2X-53wWCrJ1oi1Bw?e=dASgcu</t>
  </si>
  <si>
    <t>Pptx bilan IKEA Summer Tour</t>
  </si>
  <si>
    <t>Laure Peyny</t>
  </si>
  <si>
    <t>https://saranistudio.sharepoint.com/:f:/s/SaraniAssets/EhHO5WSFkDdFlPmUynKC_pYBxuJCyjuMjv0rcPGRH9iKTQ?e=u3Hdaw</t>
  </si>
  <si>
    <t>Affiches et Invitations CCE presse release et autres assets</t>
  </si>
  <si>
    <t>Louis</t>
  </si>
  <si>
    <t>https://saranistudio.sharepoint.com/:f:/s/SaraniAssets/Em6VjJs_SRRKtUnZu92MY0MBoAGSvyvTdcxOuDaU24THcw?e=HdF8dC</t>
  </si>
  <si>
    <t>LEGO Exe Assets</t>
  </si>
  <si>
    <t>https://saranistudio.sharepoint.com/:f:/s/SaraniAssets/EivaxPPya_FOv_Cl7F2Ims0Be12nNzJd6ogNeZcV0tYHkg?e=eD7kwI</t>
  </si>
  <si>
    <t>LEGO Stories</t>
  </si>
  <si>
    <t xml:space="preserve">Le Défilé - Photocall Institutionnel </t>
  </si>
  <si>
    <t>LOR04</t>
  </si>
  <si>
    <t>Clémence Vigneron</t>
  </si>
  <si>
    <t>https://saranistudio.sharepoint.com/:f:/s/SaraniAssets/Emqlgvux-39LgSH_zbjhmmYB1zITd11Wuf6fSqrCPBya4Q?e=OHo4mJ</t>
  </si>
  <si>
    <t>Attention envoyé Obo</t>
  </si>
  <si>
    <t>LOR04-132</t>
  </si>
  <si>
    <t>Sent via Whatsapp</t>
  </si>
  <si>
    <t>F2025-0576</t>
  </si>
  <si>
    <t>Paid 10/11/2025</t>
  </si>
  <si>
    <t>Signalétique L'Oréal Fashion Week</t>
  </si>
  <si>
    <t>Pauline Lallemant</t>
  </si>
  <si>
    <t>https://saranistudio.sharepoint.com/:f:/s/SaraniAssets/EkPO0NHll8pAtEY6OfOYo50Bo4yFACl2VIBgbb31Kj4A2Q?e=jHdvwG</t>
  </si>
  <si>
    <t>UBI</t>
  </si>
  <si>
    <t>Carte cadeaux pour Lilou &amp; Louis</t>
  </si>
  <si>
    <t>https://saranistudio.sharepoint.com/:f:/s/SaraniAssets/ElKpMkSrHk5AoN5uVXmp_mMBPO3YOAAwOQtRECel-zP5WA?e=RaZl7e</t>
  </si>
  <si>
    <t>OFFERT</t>
  </si>
  <si>
    <t>Covering bus - Ballon d'or Ousmane Dumbélé</t>
  </si>
  <si>
    <t>ADDEM</t>
  </si>
  <si>
    <t>Hélène Baptistine ZURINI</t>
  </si>
  <si>
    <t>https://saranistudio.sharepoint.com/:f:/s/SaraniAssets/EmCAtFOls-pJkv-egxZ2iiABcrD7z_rsfscltr0LH0xmyg?e=D9O0D7</t>
  </si>
  <si>
    <t>F2025-0687</t>
  </si>
  <si>
    <t>Paid 28/11/2025</t>
  </si>
  <si>
    <t>Confessional</t>
  </si>
  <si>
    <t>https://saranistudio.sharepoint.com/:f:/s/SaraniAssets/EtjnImQaYV1MluYGHlEVarwBc8LYJQ1Pjut18cS56sK4iQ?e=WvaQoC</t>
  </si>
  <si>
    <t>TikTok Awards 2025 - Screens for Lido</t>
  </si>
  <si>
    <t>TIK02</t>
  </si>
  <si>
    <t>https://saranistudio.sharepoint.com/:f:/s/SaraniAssets/EqMLotx1ciJIpNodNyx1rgMBPQcgICnQhULrCCAvanPFDA?e=OKWzVQ</t>
  </si>
  <si>
    <t>F2025-0833</t>
  </si>
  <si>
    <t>Paid 02/02/2026</t>
  </si>
  <si>
    <t>Tiktok</t>
  </si>
  <si>
    <t>23/10/25</t>
  </si>
  <si>
    <t>Tiktok Awards 2025 - Créas Print</t>
  </si>
  <si>
    <t>https://saranistudio.sharepoint.com/:f:/s/SaraniAssets/IgDfsHmhii_qQpz6cziphVcaAZIPvYCqI21ItRYxy-9NDL0?e=xlAVcl</t>
  </si>
  <si>
    <t>adidas</t>
  </si>
  <si>
    <t>Caroussel FARTLEK</t>
  </si>
  <si>
    <t>Anouck</t>
  </si>
  <si>
    <t>https://saranistudio.sharepoint.com/:f:/s/SaraniAssets/ElNXXiJ6U0pCkNX7fQnGnEUBDmzkaOLm3P0Iwc1VZEMMAg?e=lWbDe4</t>
  </si>
  <si>
    <t>Refonte Charte graphique adidas Runners</t>
  </si>
  <si>
    <t>https://saranistudio.sharepoint.com/:f:/s/SaraniAssets/Es7tbZud5VVKq1ANF6qMY5QBZ24o9cA-0jaN3Obq4-bKWw?e=5ns7QF</t>
  </si>
  <si>
    <t>F2025-0794</t>
  </si>
  <si>
    <t>Paid 12/01/2026</t>
  </si>
  <si>
    <t>adidas - IRun lancement SUPERNOVA Rise Projet global</t>
  </si>
  <si>
    <t>https://saranistudio.sharepoint.com/:f:/r/sites/SaraniAssets/Shared%20Documents/03.%20Customers/17.%20Ubi/02.%20Adidas/02.%20Projects/20251105-%20adidas%20I%20RUN%20Supernova%20Rise%203/Deliveries?csf=1&amp;web=1&amp;e=6yjJUv</t>
  </si>
  <si>
    <t>décembre</t>
  </si>
  <si>
    <t>Instagram stories AR Share</t>
  </si>
  <si>
    <t>https://saranistudio.sharepoint.com/:f:/s/SaraniAssets/EgIjU59hO85Bp16KyduaPEEBhCpX581P2hYEs7p5kcQMMw?e=kdi9bk</t>
  </si>
  <si>
    <t>Instagram carroussel TRAIL</t>
  </si>
  <si>
    <t>https://saranistudio.sharepoint.com/:f:/s/SaraniAssets/IgCwwb7U3_GNSI4JHlocdKn7AUyb534u0MYDmLh3PbnJJTE?e=G7CSO0</t>
  </si>
  <si>
    <t>Brief Athlé Magazine</t>
  </si>
  <si>
    <t>https://saranistudio.sharepoint.com/:f:/s/SaraniAssets/IgBtEv4-qBEYQaoOea2QCMUGAaFRdpiVDSIyQDAL390Gd9Q?e=bkIgL0</t>
  </si>
  <si>
    <t>Red Bull Tetris</t>
  </si>
  <si>
    <t>RED07</t>
  </si>
  <si>
    <t>https://saranistudio.sharepoint.com/:f:/r/sites/SaraniAssets/Shared%20Documents/03.%20Customers/17.%20Ubi/03.%20Red%20Bull/02.%20Projects/20251112_Red%20Bull%20x%20Tetris%20France/Deliveries?csf=1&amp;web=1&amp;e=evWbZW</t>
  </si>
  <si>
    <t>IKEA - FORUM 10 ans COPIL</t>
  </si>
  <si>
    <t>Inès de LAGUICHE</t>
  </si>
  <si>
    <t>https://saranistudio.sharepoint.com/:f:/s/SaraniAssets/IgAgWcCNRz-dQ7xSYjgP1MLsAWdd-MHbT_3FbpKox9fv1N0?e=8yYeGS</t>
  </si>
  <si>
    <t>adidas - Calendrier de l'avent</t>
  </si>
  <si>
    <t>https://saranistudio.sharepoint.com/:f:/s/SaraniAssets/IgA_7LlEFCfsSI-QyhxCSk9qAQhp1JzSkoE466g7jD9ailg?e=kodtmP</t>
  </si>
  <si>
    <t>BARILLA</t>
  </si>
  <si>
    <t>Menu BARILLA</t>
  </si>
  <si>
    <t>BAR01</t>
  </si>
  <si>
    <t>https://saranistudio.sharepoint.com/:f:/s/SaraniAssets/IgDulqK0Z8rrSZrqQtg3zI_wAfDlldEWUVVkFwd5rxgMT80?e=uSfbu6</t>
  </si>
  <si>
    <t>Redimensionnement Visuels 10K</t>
  </si>
  <si>
    <t>ADCRA</t>
  </si>
  <si>
    <t>https://saranistudio.sharepoint.com/:f:/s/SaraniAssets/IgAdggJMocYwT6YUSj5cNxAmATWKSqBtKm-xXxR2bVcdTZ8?e=xmo3Rg</t>
  </si>
  <si>
    <t>Sent by Email to Pierre</t>
  </si>
  <si>
    <t>F2026-0101</t>
  </si>
  <si>
    <t>En attente de réglement pour le 04/04/2026</t>
  </si>
  <si>
    <t>Kakemonos</t>
  </si>
  <si>
    <t>ADTAR</t>
  </si>
  <si>
    <t>https://saranistudio.sharepoint.com/:f:/s/SaraniAssets/IgBsiLLt8mxfTqtv4M1QbeJcATfeDdciCJNqdBrrOqiUXa8?e=RHzYbQ</t>
  </si>
  <si>
    <t>Carte de remerciement adidas runners</t>
  </si>
  <si>
    <t>ADU26</t>
  </si>
  <si>
    <t>https://saranistudio.sharepoint.com/:f:/s/SaraniAssets/IgD-TrgWj0m6QI9a2yr-mK_jAV4ErgysZkAiGrEIem21yMQ?e=8JzT8T</t>
  </si>
  <si>
    <t>(prix forcé par thomas)</t>
  </si>
  <si>
    <t>Ticket à gratter adidas intersport</t>
  </si>
  <si>
    <t>https://saranistudio.sharepoint.com/:f:/s/SaraniAssets/IgAiRsEPVazuSbsx-76dpLTJAWUPX7vKf4EZQOisX56P6zo?e=rORwx0</t>
  </si>
  <si>
    <t>Refonte Charte graphique adidas Runners en PPT</t>
  </si>
  <si>
    <t>In Progress</t>
  </si>
  <si>
    <t>https://saranistudio.sharepoint.com/:f:/s/SaraniAssets/IgAhFnfcG4TRS5D7bJeGBKb0AWZHTfXFBcZrBhgRjsaOEJw?e=la4Ajl</t>
  </si>
  <si>
    <t>Test &amp; Run sticker</t>
  </si>
  <si>
    <t>https://saranistudio.sharepoint.com/:f:/s/SaraniAssets/IgBYQU1Ujq0-TJ89XcuG1gTnAZ5MvOGq0HyYwDjbYb0CG-c?e=WECPiM</t>
  </si>
  <si>
    <t>Adaptation Visuel Hyperboost - Athlé Magasine</t>
  </si>
  <si>
    <t>adidas - ADTAR - Test &amp; Run Tent</t>
  </si>
  <si>
    <t>https://saranistudio.sharepoint.com/:f:/s/SaraniAssets/IgArF99lj9YbQZSDNXkaPpbhAVBn0Tn29aDYr8CvQYJ4rQ8?e=DQ7XGS</t>
  </si>
  <si>
    <t>adidas - ADCRA - Adaptations de visuelsweb Hyperboost</t>
  </si>
  <si>
    <t>https://saranistudio.sharepoint.com/:f:/s/SaraniAssets/IgCBLMUnlQ0nQ6APgHoyv1YQASFHVjOtm1imoiMJyDmvDAQ?e=wKAU25</t>
  </si>
  <si>
    <t>adidas - ADTAR  - Kakémonos</t>
  </si>
  <si>
    <t>https://saranistudio.sharepoint.com/:f:/s/SaraniAssets/IgDTSAW5j15qTJK5HJyI1KgEAUXXVfacE8SBMjhz1T737uE?e=FrMt2B</t>
  </si>
  <si>
    <t>adidas - ADTAR -  Ticket à gratter FORMATION RUNNING</t>
  </si>
  <si>
    <t>https://saranistudio.sharepoint.com/:f:/s/SaraniAssets/IgDvlFYfGzZXRK8giDlfHljFAQvu0sH8CO7vgJghaii2odk?e=AQmZlh</t>
  </si>
  <si>
    <t>Barilla - BAR01 - Basil Bar</t>
  </si>
  <si>
    <t>https://saranistudio.sharepoint.com/:f:/s/SaraniAssets/IgABooDEBav_RIYzRagDpURTAT6ozwumag6_tgBnssbvakE?e=drf7T8</t>
  </si>
  <si>
    <t>adaptation</t>
  </si>
  <si>
    <t>adidas - Adaptation d'un visuel</t>
  </si>
  <si>
    <t>https://saranistudio.sharepoint.com/:f:/s/SaraniAssets/IgDmxtlOCofQQZ_7ZEWRV1A9AZbkmU8hPUFspF174E-HV6A?e=pYAbE1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</si>
</sst>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dd/mm/yy;@"/>
    <numFmt numFmtId="166" formatCode="#,##0\ &quot;€&quot;"/>
    <numFmt numFmtId="167" formatCode="#,##0.00\ &quot;€&quot;"/>
    <numFmt numFmtId="168" formatCode="_-[$$-409]* #,##0.00_ ;_-[$$-409]* \-#,##0.00\ ;_-[$$-409]* &quot;-&quot;??_ ;_-@_ "/>
    <numFmt numFmtId="169" formatCode="#,##0.00\ [$€-40C]"/>
    <numFmt numFmtId="170" formatCode="#,##0\ \€;\(#,##0\)\ \€;&quot;-&quot;"/>
    <numFmt numFmtId="171" formatCode="#,##0;\(#,##0\);&quot;-&quot;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scheme val="minor"/>
    </font>
    <font>
      <i/>
      <sz val="11"/>
      <color rgb="FFFFFFFF"/>
      <name val="Aptos Narrow"/>
      <scheme val="minor"/>
    </font>
    <font>
      <b/>
      <sz val="11"/>
      <color theme="1"/>
      <name val="Calibri"/>
    </font>
    <font>
      <b/>
      <sz val="10"/>
      <color theme="1"/>
      <name val="Aptos"/>
      <charset val="1"/>
    </font>
    <font>
      <b/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sz val="11"/>
      <color rgb="FFFFFFFF"/>
      <name val="Calibri"/>
    </font>
    <font>
      <b/>
      <sz val="14"/>
      <color rgb="FFF1F5F9"/>
      <name val="Calibri"/>
    </font>
    <font>
      <b/>
      <sz val="10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b/>
      <sz val="10"/>
      <color rgb="FF3B82F6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2" fillId="2" borderId="0" xfId="0" applyFont="1" applyFill="1"/>
    <xf numFmtId="165" fontId="2" fillId="2" borderId="0" xfId="0" applyNumberFormat="1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164" fontId="2" fillId="2" borderId="0" xfId="1" applyFont="1" applyFill="1"/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0" xfId="1" applyFont="1" applyFill="1" applyAlignment="1">
      <alignment horizontal="center"/>
    </xf>
    <xf numFmtId="166" fontId="3" fillId="4" borderId="2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167" fontId="3" fillId="4" borderId="2" xfId="1" applyNumberFormat="1" applyFont="1" applyFill="1" applyBorder="1" applyAlignment="1">
      <alignment horizontal="center"/>
    </xf>
    <xf numFmtId="167" fontId="3" fillId="4" borderId="0" xfId="1" applyNumberFormat="1" applyFont="1" applyFill="1" applyAlignment="1">
      <alignment horizontal="center"/>
    </xf>
    <xf numFmtId="0" fontId="0" fillId="0" borderId="2" xfId="0" applyBorder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1" applyFont="1"/>
    <xf numFmtId="0" fontId="0" fillId="0" borderId="2" xfId="0" applyBorder="1" applyAlignment="1">
      <alignment horizontal="center"/>
    </xf>
    <xf numFmtId="0" fontId="3" fillId="0" borderId="1" xfId="0" applyFont="1" applyBorder="1"/>
    <xf numFmtId="0" fontId="10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10" fillId="0" borderId="0" xfId="0" applyFont="1"/>
    <xf numFmtId="0" fontId="13" fillId="0" borderId="0" xfId="0" applyFont="1"/>
    <xf numFmtId="0" fontId="8" fillId="5" borderId="0" xfId="0" applyFont="1" applyFill="1"/>
    <xf numFmtId="14" fontId="0" fillId="0" borderId="0" xfId="0" applyNumberFormat="1" applyAlignment="1">
      <alignment horizontal="right"/>
    </xf>
    <xf numFmtId="0" fontId="14" fillId="0" borderId="0" xfId="0" applyFont="1" applyAlignment="1" applyProtection="1">
      <alignment horizontal="center"/>
      <protection locked="0"/>
    </xf>
    <xf numFmtId="168" fontId="0" fillId="0" borderId="0" xfId="1" applyNumberFormat="1" applyFont="1"/>
    <xf numFmtId="0" fontId="15" fillId="3" borderId="0" xfId="0" applyFont="1" applyFill="1" applyAlignment="1">
      <alignment horizontal="center" vertical="center" wrapText="1"/>
    </xf>
    <xf numFmtId="0" fontId="11" fillId="0" borderId="0" xfId="0" applyFont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169" fontId="0" fillId="5" borderId="0" xfId="1" applyNumberFormat="1" applyFont="1" applyFill="1"/>
    <xf numFmtId="0" fontId="17" fillId="0" borderId="0" xfId="0" applyFont="1" applyAlignment="1" applyProtection="1">
      <alignment horizontal="center"/>
      <protection locked="0"/>
    </xf>
    <xf numFmtId="0" fontId="15" fillId="3" borderId="2" xfId="0" applyFont="1" applyFill="1" applyBorder="1" applyAlignment="1">
      <alignment horizontal="center" vertical="center" wrapText="1"/>
    </xf>
    <xf numFmtId="0" fontId="18" fillId="0" borderId="0" xfId="0" applyFont="1"/>
    <xf numFmtId="0" fontId="9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 applyAlignment="1">
      <alignment horizontal="center" wrapText="1"/>
    </xf>
    <xf numFmtId="0" fontId="0" fillId="5" borderId="0" xfId="0" applyFill="1"/>
    <xf numFmtId="0" fontId="12" fillId="5" borderId="0" xfId="0" applyFont="1" applyFill="1"/>
    <xf numFmtId="169" fontId="0" fillId="6" borderId="0" xfId="1" applyNumberFormat="1" applyFont="1" applyFill="1"/>
    <xf numFmtId="169" fontId="8" fillId="6" borderId="0" xfId="1" applyNumberFormat="1" applyFont="1" applyFill="1"/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9" fillId="0" borderId="1" xfId="0" applyFont="1" applyBorder="1"/>
    <xf numFmtId="165" fontId="0" fillId="0" borderId="0" xfId="0" applyNumberFormat="1" applyAlignment="1">
      <alignment horizontal="right"/>
    </xf>
    <xf numFmtId="0" fontId="20" fillId="0" borderId="1" xfId="0" applyFont="1" applyBorder="1"/>
    <xf numFmtId="0" fontId="4" fillId="0" borderId="0" xfId="2" applyAlignment="1"/>
    <xf numFmtId="169" fontId="0" fillId="8" borderId="0" xfId="1" applyNumberFormat="1" applyFont="1" applyFill="1"/>
    <xf numFmtId="0" fontId="4" fillId="0" borderId="0" xfId="2"/>
    <xf numFmtId="0" fontId="3" fillId="9" borderId="1" xfId="0" applyFont="1" applyFill="1" applyBorder="1"/>
    <xf numFmtId="0" fontId="8" fillId="5" borderId="0" xfId="0" applyFont="1" applyFill="1" applyAlignment="1">
      <alignment horizontal="center"/>
    </xf>
    <xf numFmtId="0" fontId="3" fillId="4" borderId="1" xfId="0" applyFont="1" applyFill="1" applyBorder="1"/>
    <xf numFmtId="0" fontId="0" fillId="4" borderId="1" xfId="0" applyFill="1" applyBorder="1"/>
    <xf numFmtId="169" fontId="0" fillId="0" borderId="0" xfId="1" applyNumberFormat="1" applyFont="1" applyFill="1"/>
    <xf numFmtId="169" fontId="0" fillId="7" borderId="0" xfId="1" applyNumberFormat="1" applyFont="1" applyFill="1"/>
    <xf numFmtId="169" fontId="0" fillId="10" borderId="0" xfId="1" applyNumberFormat="1" applyFont="1" applyFill="1"/>
    <xf numFmtId="0" fontId="0" fillId="7" borderId="0" xfId="0" applyFill="1"/>
    <xf numFmtId="0" fontId="21" fillId="11" borderId="0" xfId="0" applyFont="1" applyFill="1"/>
    <xf numFmtId="0" fontId="21" fillId="12" borderId="0" xfId="0" applyFont="1" applyFill="1" applyAlignment="1">
      <alignment vertical="center"/>
    </xf>
    <xf numFmtId="0" fontId="21" fillId="14" borderId="0" xfId="0" applyFont="1" applyFill="1" applyAlignment="1">
      <alignment vertical="center"/>
    </xf>
    <xf numFmtId="0" fontId="21" fillId="15" borderId="0" xfId="0" applyFont="1" applyFill="1" applyAlignment="1">
      <alignment vertical="center"/>
    </xf>
    <xf numFmtId="0" fontId="23" fillId="13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5" fillId="15" borderId="0" xfId="0" applyFont="1" applyFill="1" applyAlignment="1">
      <alignment horizontal="left" vertical="center"/>
    </xf>
    <xf numFmtId="0" fontId="27" fillId="12" borderId="0" xfId="0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/>
    </xf>
    <xf numFmtId="0" fontId="23" fillId="13" borderId="3" xfId="0" applyFont="1" applyFill="1" applyBorder="1" applyAlignment="1">
      <alignment horizontal="left" vertical="center"/>
    </xf>
    <xf numFmtId="0" fontId="23" fillId="13" borderId="3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left" vertical="center"/>
    </xf>
    <xf numFmtId="170" fontId="26" fillId="14" borderId="0" xfId="0" applyNumberFormat="1" applyFont="1" applyFill="1" applyAlignment="1">
      <alignment horizontal="center" vertical="center"/>
    </xf>
    <xf numFmtId="170" fontId="26" fillId="15" borderId="0" xfId="0" applyNumberFormat="1" applyFont="1" applyFill="1" applyAlignment="1">
      <alignment horizontal="center" vertical="center"/>
    </xf>
    <xf numFmtId="170" fontId="26" fillId="14" borderId="5" xfId="0" applyNumberFormat="1" applyFont="1" applyFill="1" applyBorder="1" applyAlignment="1">
      <alignment horizontal="center" vertical="center"/>
    </xf>
    <xf numFmtId="170" fontId="27" fillId="12" borderId="0" xfId="0" applyNumberFormat="1" applyFont="1" applyFill="1" applyAlignment="1">
      <alignment horizontal="center" vertical="center"/>
    </xf>
    <xf numFmtId="171" fontId="26" fillId="14" borderId="0" xfId="0" applyNumberFormat="1" applyFont="1" applyFill="1" applyAlignment="1">
      <alignment horizontal="center" vertical="center"/>
    </xf>
    <xf numFmtId="171" fontId="26" fillId="15" borderId="0" xfId="0" applyNumberFormat="1" applyFont="1" applyFill="1" applyAlignment="1">
      <alignment horizontal="center" vertical="center"/>
    </xf>
    <xf numFmtId="171" fontId="26" fillId="14" borderId="5" xfId="0" applyNumberFormat="1" applyFont="1" applyFill="1" applyBorder="1" applyAlignment="1">
      <alignment horizontal="center" vertical="center"/>
    </xf>
    <xf numFmtId="171" fontId="27" fillId="12" borderId="0" xfId="0" applyNumberFormat="1" applyFont="1" applyFill="1" applyAlignment="1">
      <alignment horizontal="center" vertical="center"/>
    </xf>
    <xf numFmtId="170" fontId="28" fillId="14" borderId="0" xfId="0" applyNumberFormat="1" applyFont="1" applyFill="1" applyAlignment="1">
      <alignment horizontal="center" vertical="center"/>
    </xf>
    <xf numFmtId="0" fontId="22" fillId="12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Hyperlink" xfId="2" xr:uid="{2F9EE7E5-AD89-4A0F-A51E-7D84B91DDC1A}"/>
    <cellStyle name="Monétaire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67306E3-7059-49B2-9CC5-1C92702D3A57}"/>
</namedSheetView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1EECD2-FF6B-406C-98ED-5B7BD2B977D9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.sharepoint.com/:f:/s/SaraniAssets/IgBsiLLt8mxfTqtv4M1QbeJcATfeDdciCJNqdBrrOqiUXa8?e=RHzYbQ" TargetMode="External"/><Relationship Id="rId21" Type="http://schemas.openxmlformats.org/officeDocument/2006/relationships/hyperlink" Target="https://saranistudio.sharepoint.com/:f:/s/SaraniAssets/EkrVaENSDiBCilmmpkVVlWEBQk1GeDWmDw0I5jFz0fX--A?e=3GXKUR" TargetMode="External"/><Relationship Id="rId42" Type="http://schemas.openxmlformats.org/officeDocument/2006/relationships/hyperlink" Target="https://saranistudio.sharepoint.com/:f:/s/SaraniAssets/En0fTrdK10JMgGhG7r2agNQB5CVP7Wko3374-dhCmGu1YQ?e=iWBleo" TargetMode="External"/><Relationship Id="rId47" Type="http://schemas.openxmlformats.org/officeDocument/2006/relationships/hyperlink" Target="https://saranistudio.sharepoint.com/:f:/s/SaraniAssets/EmmehBNmNfpFrbX-UjTjMBoBAHLNEIt58fWHkijGm1XI7A?e=EHSb33" TargetMode="External"/><Relationship Id="rId63" Type="http://schemas.openxmlformats.org/officeDocument/2006/relationships/hyperlink" Target="https://saranistudio.sharepoint.com/:f:/s/SaraniAssets/EhkGyghsZf5DnwZHlivUMmYB_5qnJW14hHY5SSIboE939w?e=PCQQLb" TargetMode="External"/><Relationship Id="rId68" Type="http://schemas.openxmlformats.org/officeDocument/2006/relationships/hyperlink" Target="https://saranistudio.sharepoint.com/:f:/s/SaraniAssets/EuiKzOixdoRHj5nnzDUHRw0BXZrvMfCWu4Fdpp_RuGOZ3Q?e=YRyLxt" TargetMode="External"/><Relationship Id="rId84" Type="http://schemas.openxmlformats.org/officeDocument/2006/relationships/hyperlink" Target="https://saranistudio.sharepoint.com/:f:/s/SaraniAssets/ErF5sbZ715lOlB7H_cWNeR0BngttTKNcHTGX8yZqtpiYpw?e=fndeol" TargetMode="External"/><Relationship Id="rId89" Type="http://schemas.openxmlformats.org/officeDocument/2006/relationships/hyperlink" Target="https://saranistudio.sharepoint.com/:f:/s/SaraniAssets/EkPO0NHll8pAtEY6OfOYo50Bo4yFACl2VIBgbb31Kj4A2Q?e=jHdvwG" TargetMode="External"/><Relationship Id="rId112" Type="http://schemas.openxmlformats.org/officeDocument/2006/relationships/hyperlink" Target="https://saranistudio.sharepoint.com/:f:/r/sites/SaraniAssets/Shared%20Documents/03.%20Customers/17.%20Ubi/02.%20Adidas/02.%20Projects/20251105-%20adidas%20I%20RUN%20Supernova%20Rise%203/Deliveries?csf=1&amp;web=1&amp;e=6yjJUv" TargetMode="External"/><Relationship Id="rId16" Type="http://schemas.openxmlformats.org/officeDocument/2006/relationships/hyperlink" Target="https://saranistudio.sharepoint.com/:f:/s/SaraniAssets/ElzXqQY9Z_pIiwi9h-t-sMMBhpht3DzxluCMN9aERIF6bQ?e=EPCrjy" TargetMode="External"/><Relationship Id="rId107" Type="http://schemas.openxmlformats.org/officeDocument/2006/relationships/hyperlink" Target="https://saranistudio.sharepoint.com/:f:/s/SaraniAssets/Es7tbZud5VVKq1ANF6qMY5QBZ24o9cA-0jaN3Obq4-bKWw?e=5ns7QF" TargetMode="External"/><Relationship Id="rId11" Type="http://schemas.openxmlformats.org/officeDocument/2006/relationships/hyperlink" Target="https://saranistudio.sharepoint.com/:f:/s/SaraniAssets/EtTNbkr4dSZFi3TkNEoWuigB73I9k0Ta2TiWc538sv5Gng?e=HzKCVC" TargetMode="External"/><Relationship Id="rId32" Type="http://schemas.openxmlformats.org/officeDocument/2006/relationships/hyperlink" Target="https://saranistudio.sharepoint.com/:f:/s/SaraniAssets/EnLaBo6d0ftPtT_Z4nO8vakBDkKaVQ_rCchYvuGlNu5nNw?e=nceVIX" TargetMode="External"/><Relationship Id="rId37" Type="http://schemas.openxmlformats.org/officeDocument/2006/relationships/hyperlink" Target="https://saranistudio.sharepoint.com/:f:/s/SaraniAssets/EkRS9mGFge5Kl1x7FVSML_QBB6CYNpdGfHuA16loUK0C7Q?e=dvKG85" TargetMode="External"/><Relationship Id="rId53" Type="http://schemas.openxmlformats.org/officeDocument/2006/relationships/hyperlink" Target="https://saranistudio.sharepoint.com/:f:/s/SaraniAssets/Esy3btFmysdEhUyMswG_HiIBLF3MQY3qJ4S2qRv2vEIacg?e=5aVdCD" TargetMode="External"/><Relationship Id="rId58" Type="http://schemas.openxmlformats.org/officeDocument/2006/relationships/hyperlink" Target="https://saranistudio.sharepoint.com/:f:/s/SaraniAssets/ErBEIfyMedBBvKl-5jvRQdkBJk2kxVuP2LPLcv3VW3w4JQ?e=G5sYVf" TargetMode="External"/><Relationship Id="rId74" Type="http://schemas.openxmlformats.org/officeDocument/2006/relationships/hyperlink" Target="https://saranistudio.sharepoint.com/:f:/r/sites/SaraniAssets/Shared%20Documents/03.%20Customers/17.%20Ubi/02.%20Adidas/02.%20Projects/20250626%20ADSBF%20-%20Seeding%20Box%20FFA?csf=1&amp;web=1&amp;e=wbqGHU" TargetMode="External"/><Relationship Id="rId79" Type="http://schemas.openxmlformats.org/officeDocument/2006/relationships/hyperlink" Target="https://saranistudio.sharepoint.com/:f:/s/SaraniAssets/Eqp4A4ubMP9KjLKEg4kP3IoBasriObvfd-PhRMK0FM83bQ?e=H8sEFD" TargetMode="External"/><Relationship Id="rId102" Type="http://schemas.openxmlformats.org/officeDocument/2006/relationships/hyperlink" Target="https://saranistudio.sharepoint.com/:f:/s/SaraniAssets/ElKpMkSrHk5AoN5uVXmp_mMBPO3YOAAwOQtRECel-zP5WA?e=RaZl7e" TargetMode="External"/><Relationship Id="rId123" Type="http://schemas.openxmlformats.org/officeDocument/2006/relationships/hyperlink" Target="https://saranistudio.sharepoint.com/:f:/s/SaraniAssets/IgBYQU1Ujq0-TJ89XcuG1gTnAZ5MvOGq0HyYwDjbYb0CG-c?e=WECPiM" TargetMode="External"/><Relationship Id="rId128" Type="http://schemas.openxmlformats.org/officeDocument/2006/relationships/hyperlink" Target="https://saranistudio.sharepoint.com/:f:/s/SaraniAssets/IgABooDEBav_RIYzRagDpURTAT6ozwumag6_tgBnssbvakE?e=drf7T8" TargetMode="External"/><Relationship Id="rId5" Type="http://schemas.openxmlformats.org/officeDocument/2006/relationships/hyperlink" Target="https://saranistudio.sharepoint.com/:f:/s/SaraniAssets/EspVANpg4GpEs0PP-J6C5s0B_G6DnxosVSFNUMyaSioBiA?e=z5gPK5" TargetMode="External"/><Relationship Id="rId90" Type="http://schemas.openxmlformats.org/officeDocument/2006/relationships/hyperlink" Target="https://saranistudio.sharepoint.com/:f:/s/SaraniAssets/Eh8B8wfPqUxBh0I2y0Eq4fwBAu3ZKfrFbmaMy2RsXL7zYQ?e=16d25T" TargetMode="External"/><Relationship Id="rId95" Type="http://schemas.openxmlformats.org/officeDocument/2006/relationships/hyperlink" Target="https://saranistudio.sharepoint.com/:f:/s/SaraniAssets/EuPc2wxyIGBKpMfAIhMs1EwBjg6Dpp896tknGoZBDYAMHQ?e=CzQNpA" TargetMode="External"/><Relationship Id="rId22" Type="http://schemas.openxmlformats.org/officeDocument/2006/relationships/hyperlink" Target="https://saranistudio.sharepoint.com/:f:/s/SaraniAssets/EsOv8BvkdElLtC1u7QdZ5V4BBoCBU9qPGgg7zNzxEJy6uA?e=hnVJZH" TargetMode="External"/><Relationship Id="rId27" Type="http://schemas.openxmlformats.org/officeDocument/2006/relationships/hyperlink" Target="https://saranistudio.sharepoint.com/:f:/s/SaraniAssets/EivsIogcYXJDlu049X2ZJ3wBoVsL-oLt-gorNZ7wk8z36Q?e=XhKG3e" TargetMode="External"/><Relationship Id="rId43" Type="http://schemas.openxmlformats.org/officeDocument/2006/relationships/hyperlink" Target="https://saranistudio.sharepoint.com/:f:/s/SaraniAssets/Enc3IfwCvEtGiwm2zkxFlSgBADLJ0L6eq43MYxxNauEGDA?e=z3JYDE" TargetMode="External"/><Relationship Id="rId48" Type="http://schemas.openxmlformats.org/officeDocument/2006/relationships/hyperlink" Target="https://saranistudio.sharepoint.com/:f:/s/SaraniAssets/EqhYmtDug91BuskKLgwXKFYB4DkKHmxvh2q85hPYa7kYIQ?e=hwIzoM" TargetMode="External"/><Relationship Id="rId64" Type="http://schemas.openxmlformats.org/officeDocument/2006/relationships/hyperlink" Target="https://saranistudio.sharepoint.com/:f:/s/SaraniAssets/Epl8_ZqP5VpArYaqNmgK5vMBJFTEdTr-MluB1y4OHla7VA?e=yr4xOM" TargetMode="External"/><Relationship Id="rId69" Type="http://schemas.openxmlformats.org/officeDocument/2006/relationships/hyperlink" Target="https://saranistudio.sharepoint.com/:f:/s/SaraniAssets/EgCFNLPVa3FHiSuoQhBU05EBPtq7qqU76etCRaC1N8tUjA?e=XBolAI" TargetMode="External"/><Relationship Id="rId113" Type="http://schemas.openxmlformats.org/officeDocument/2006/relationships/hyperlink" Target="https://saranistudio.sharepoint.com/:f:/r/sites/SaraniAssets/Shared%20Documents/03.%20Customers/17.%20Ubi/03.%20Red%20Bull/02.%20Projects/20251112_Red%20Bull%20x%20Tetris%20France/Deliveries?csf=1&amp;web=1&amp;e=evWbZW" TargetMode="External"/><Relationship Id="rId118" Type="http://schemas.openxmlformats.org/officeDocument/2006/relationships/hyperlink" Target="https://saranistudio.sharepoint.com/:f:/s/SaraniAssets/IgAdggJMocYwT6YUSj5cNxAmATWKSqBtKm-xXxR2bVcdTZ8?e=xmo3Rg" TargetMode="External"/><Relationship Id="rId80" Type="http://schemas.openxmlformats.org/officeDocument/2006/relationships/hyperlink" Target="https://saranistudio.sharepoint.com/:f:/s/SaraniAssets/EqV5xlSAbipNjUwupVK3KvIBHBAhCl-pE6fAHD7lITP-tA?e=dibFOR" TargetMode="External"/><Relationship Id="rId85" Type="http://schemas.openxmlformats.org/officeDocument/2006/relationships/hyperlink" Target="https://saranistudio.sharepoint.com/:f:/s/SaraniAssets/EtCxdz-YcZZJlfQmZMTeDj8BHTsJjQyGQ14yeUG1tpZxeQ?e=7Yhht7" TargetMode="External"/><Relationship Id="rId12" Type="http://schemas.openxmlformats.org/officeDocument/2006/relationships/hyperlink" Target="https://saranistudio.sharepoint.com/:f:/s/SaraniAssets/EgQrdWCWPFZEkywkgCCVUIEBIddLpyi7r_OGT6myK3K6PA?e=eexic0" TargetMode="External"/><Relationship Id="rId17" Type="http://schemas.openxmlformats.org/officeDocument/2006/relationships/hyperlink" Target="https://saranistudio.sharepoint.com/:f:/s/SaraniAssets/Et1YZpnGo6xGk_xA-N7mRfMB-fqEThZxNt4zaIzuAVy_sg?e=P89yDW" TargetMode="External"/><Relationship Id="rId33" Type="http://schemas.openxmlformats.org/officeDocument/2006/relationships/hyperlink" Target="https://saranistudio.sharepoint.com/:f:/s/SaraniAssets/EmIruqLiGbJEt5hp6n5CbnIBb-AbeHAPJsN2UzaLNSb32w?e=DF8Qvq" TargetMode="External"/><Relationship Id="rId38" Type="http://schemas.openxmlformats.org/officeDocument/2006/relationships/hyperlink" Target="https://saranistudio.sharepoint.com/:f:/s/SaraniAssets/EkwkV8YCxw9DoN-6W3d8Y40B0YO3ktRfoSp5gPiMZn_r3g?e=m0BnIB" TargetMode="External"/><Relationship Id="rId59" Type="http://schemas.openxmlformats.org/officeDocument/2006/relationships/hyperlink" Target="https://saranistudio.sharepoint.com/:f:/s/SaraniAssets/EuZwn3jpLQJIhNUcWlVMz6QBNTNORc2FCfWJ-b3NHQYhQQ?e=Z7Slbi" TargetMode="External"/><Relationship Id="rId103" Type="http://schemas.openxmlformats.org/officeDocument/2006/relationships/hyperlink" Target="https://saranistudio.sharepoint.com/:f:/s/SaraniAssets/EmCAtFOls-pJkv-egxZ2iiABcrD7z_rsfscltr0LH0xmyg?e=D9O0D7" TargetMode="External"/><Relationship Id="rId108" Type="http://schemas.openxmlformats.org/officeDocument/2006/relationships/hyperlink" Target="https://saranistudio.sharepoint.com/:f:/s/SaraniAssets/EgIjU59hO85Bp16KyduaPEEBhCpX581P2hYEs7p5kcQMMw?e=kdi9bk" TargetMode="External"/><Relationship Id="rId124" Type="http://schemas.openxmlformats.org/officeDocument/2006/relationships/hyperlink" Target="https://saranistudio.sharepoint.com/:f:/s/SaraniAssets/IgArF99lj9YbQZSDNXkaPpbhAVBn0Tn29aDYr8CvQYJ4rQ8?e=DQ7XGS" TargetMode="External"/><Relationship Id="rId129" Type="http://schemas.openxmlformats.org/officeDocument/2006/relationships/hyperlink" Target="https://saranistudio.sharepoint.com/:f:/s/SaraniAssets/IgDmxtlOCofQQZ_7ZEWRV1A9AZbkmU8hPUFspF174E-HV6A?e=pYAbE1" TargetMode="External"/><Relationship Id="rId54" Type="http://schemas.openxmlformats.org/officeDocument/2006/relationships/hyperlink" Target="https://saranistudio.sharepoint.com/:f:/s/SaraniAssets/EoMNYd3UxKNJlr6MRVURDsMB6tfTIw2A0xQkUCQLl3FHcQ?e=jZQtVM" TargetMode="External"/><Relationship Id="rId70" Type="http://schemas.openxmlformats.org/officeDocument/2006/relationships/hyperlink" Target="https://saranistudio.sharepoint.com/:f:/s/SaraniAssets/EsDCZlBIHItBuomKrCsL1zYBlTRsAC5cHL8IS3VVT62Xeg?e=N1rXoe" TargetMode="External"/><Relationship Id="rId75" Type="http://schemas.openxmlformats.org/officeDocument/2006/relationships/hyperlink" Target="https://saranistudio.sharepoint.com/:f:/s/SaraniAssets/EsF5hgYFleFNsXJ7mzNO9p8B89f7WcfngPHbjWVmfdxzaA?e=Le9HkK" TargetMode="External"/><Relationship Id="rId91" Type="http://schemas.openxmlformats.org/officeDocument/2006/relationships/hyperlink" Target="https://saranistudio.sharepoint.com/:f:/s/SaraniAssets/EhHO5WSFkDdFlPmUynKC_pYBxuJCyjuMjv0rcPGRH9iKTQ?e=u3Hdaw" TargetMode="External"/><Relationship Id="rId96" Type="http://schemas.openxmlformats.org/officeDocument/2006/relationships/hyperlink" Target="https://saranistudio.sharepoint.com/:f:/s/SaraniAssets/EnvHbSOQoe9Bjr8UWfBP8JYBDSbdtd2X-53wWCrJ1oi1Bw?e=dASgcu" TargetMode="External"/><Relationship Id="rId1" Type="http://schemas.openxmlformats.org/officeDocument/2006/relationships/hyperlink" Target="https://saranistudio.sharepoint.com/:f:/s/SaraniAssets/Ej6RkjRw02BJv-pEIjZ9w8ABf_Ap6iR_TAA7SAMLrFeAkQ?e=N2LmRH" TargetMode="External"/><Relationship Id="rId6" Type="http://schemas.openxmlformats.org/officeDocument/2006/relationships/hyperlink" Target="https://saranistudio.sharepoint.com/:f:/s/SaraniAssets/Eh0MoH_-2zZEv5a97CjnsRYBBxAk1CdKecRZGQvFQGvgdA?e=k6fI4G" TargetMode="External"/><Relationship Id="rId23" Type="http://schemas.openxmlformats.org/officeDocument/2006/relationships/hyperlink" Target="https://saranistudio.sharepoint.com/:f:/s/SaraniAssets/ErGam-aOmaROtH1VPO0htpgBBjOpr2F5rJkpaxuXiZriOQ?e=iF3gfn" TargetMode="External"/><Relationship Id="rId28" Type="http://schemas.openxmlformats.org/officeDocument/2006/relationships/hyperlink" Target="https://saranistudio.sharepoint.com/:f:/s/SaraniAssets/Ep7uQsSVAKpGoHsMmEB_VwUBXCr8thVbukbsjVWufeiRoQ?e=giHahg" TargetMode="External"/><Relationship Id="rId49" Type="http://schemas.openxmlformats.org/officeDocument/2006/relationships/hyperlink" Target="https://saranistudio.sharepoint.com/:f:/s/SaraniAssets/Eglq5QeU7ahLnyq2-Y1pozkB9oRs3xz1lVG6fWzJFUxHFQ?e=4OqIoe" TargetMode="External"/><Relationship Id="rId114" Type="http://schemas.openxmlformats.org/officeDocument/2006/relationships/hyperlink" Target="https://saranistudio.sharepoint.com/:f:/s/SaraniAssets/IgA_7LlEFCfsSI-QyhxCSk9qAQhp1JzSkoE466g7jD9ailg?e=kodtmP" TargetMode="External"/><Relationship Id="rId119" Type="http://schemas.openxmlformats.org/officeDocument/2006/relationships/hyperlink" Target="https://saranistudio.sharepoint.com/:f:/s/SaraniAssets/IgD-TrgWj0m6QI9a2yr-mK_jAV4ErgysZkAiGrEIem21yMQ?e=8JzT8T" TargetMode="External"/><Relationship Id="rId44" Type="http://schemas.openxmlformats.org/officeDocument/2006/relationships/hyperlink" Target="https://saranistudio.sharepoint.com/:f:/s/SaraniAssets/EstWRPSzUoFAlK4xMwcQ6p0BbBoZ-8Mn6vJ5fdx1SGy3pQ?e=3gClB9" TargetMode="External"/><Relationship Id="rId60" Type="http://schemas.openxmlformats.org/officeDocument/2006/relationships/hyperlink" Target="https://saranistudio.sharepoint.com/:f:/s/SaraniAssets/EubDXMXmokJKmJcbTzWzXksBYaDqnuTs-eF5NNogJo2Z7Q?e=KYga9h" TargetMode="External"/><Relationship Id="rId65" Type="http://schemas.openxmlformats.org/officeDocument/2006/relationships/hyperlink" Target="https://saranistudio.sharepoint.com/:f:/s/SaraniAssets/Et84X0HTvcZEmiBhdZReG4cBmZUAQxHk1tuDEvzRT_hMqw?e=XreuFK" TargetMode="External"/><Relationship Id="rId81" Type="http://schemas.openxmlformats.org/officeDocument/2006/relationships/hyperlink" Target="https://saranistudio.sharepoint.com/:f:/s/SaraniAssets/Eiv8AeHE5PRApsx_xd9_V4MBLyHBOb9SpsFr1J2DnkHfBA?e=ozc10b" TargetMode="External"/><Relationship Id="rId86" Type="http://schemas.openxmlformats.org/officeDocument/2006/relationships/hyperlink" Target="https://saranistudio.sharepoint.com/:f:/s/SaraniAssets/EhickG67KBVOhTh73oHozTQBmbSoTC9WOiJngfCghFrv2Q?e=L2qepT" TargetMode="External"/><Relationship Id="rId130" Type="http://schemas.microsoft.com/office/2019/04/relationships/namedSheetView" Target="../namedSheetViews/namedSheetView1.xml"/><Relationship Id="rId13" Type="http://schemas.openxmlformats.org/officeDocument/2006/relationships/hyperlink" Target="https://saranistudio.sharepoint.com/:f:/s/SaraniAssets/En0fTrdK10JMgGhG7r2agNQB5CVP7Wko3374-dhCmGu1YQ?e=iWBleo" TargetMode="External"/><Relationship Id="rId18" Type="http://schemas.openxmlformats.org/officeDocument/2006/relationships/hyperlink" Target="https://saranistudio.sharepoint.com/:f:/s/SaraniAssets/Elk4CkEUM01Ao4tt53VE974BI8_2FTp9DC-yO8ShCT11Lw?e=cgryAD" TargetMode="External"/><Relationship Id="rId39" Type="http://schemas.openxmlformats.org/officeDocument/2006/relationships/hyperlink" Target="https://saranistudio.sharepoint.com/:f:/s/SaraniAssets/EtkoMD_b7IhCvxTQ5JH1Fc0BDogoddmhRdZFw8Su9kzzow?e=RpKU4Z" TargetMode="External"/><Relationship Id="rId109" Type="http://schemas.openxmlformats.org/officeDocument/2006/relationships/hyperlink" Target="https://saranistudio.sharepoint.com/:f:/s/SaraniAssets/IgCwwb7U3_GNSI4JHlocdKn7AUyb534u0MYDmLh3PbnJJTE?e=G7CSO0" TargetMode="External"/><Relationship Id="rId34" Type="http://schemas.openxmlformats.org/officeDocument/2006/relationships/hyperlink" Target="https://saranistudio.sharepoint.com/:f:/s/SaraniAssets/Eu1Vav49qktBh-0dGE-AspcBSaNpZNgcRgJJpuENDs0mrQ?e=xjR0vn" TargetMode="External"/><Relationship Id="rId50" Type="http://schemas.openxmlformats.org/officeDocument/2006/relationships/hyperlink" Target="https://saranistudio.sharepoint.com/:f:/s/SaraniAssets/ElVZVfx_c8VIoKtjm6oBzvUBLdjBc45G_xSqqm20iYYMSQ?e=ws8b3h" TargetMode="External"/><Relationship Id="rId55" Type="http://schemas.openxmlformats.org/officeDocument/2006/relationships/hyperlink" Target="https://saranistudio.sharepoint.com/:f:/s/SaraniAssets/EjQJDnfGDEBNqjHP1wb5kWABnvuq-dHPG0GCgOUEDhzzHQ?e=kruFDD" TargetMode="External"/><Relationship Id="rId76" Type="http://schemas.openxmlformats.org/officeDocument/2006/relationships/hyperlink" Target="https://saranistudio.sharepoint.com/:f:/s/SaraniAssets/EsEx87I6jZJIgeqLrWfLOGcB-KV5RGudNdj_d0vkYUsVuQ?e=SexNVd" TargetMode="External"/><Relationship Id="rId97" Type="http://schemas.openxmlformats.org/officeDocument/2006/relationships/hyperlink" Target="https://saranistudio.sharepoint.com/:f:/s/SaraniAssets/Emqlgvux-39LgSH_zbjhmmYB1zITd11Wuf6fSqrCPBya4Q?e=OHo4mJ" TargetMode="External"/><Relationship Id="rId104" Type="http://schemas.openxmlformats.org/officeDocument/2006/relationships/hyperlink" Target="https://saranistudio.sharepoint.com/:f:/s/SaraniAssets/EtjnImQaYV1MluYGHlEVarwBc8LYJQ1Pjut18cS56sK4iQ?e=WvaQoC" TargetMode="External"/><Relationship Id="rId120" Type="http://schemas.openxmlformats.org/officeDocument/2006/relationships/hyperlink" Target="https://saranistudio.sharepoint.com/:f:/s/SaraniAssets/IgAiRsEPVazuSbsx-76dpLTJAWUPX7vKf4EZQOisX56P6zo?e=rORwx0" TargetMode="External"/><Relationship Id="rId125" Type="http://schemas.openxmlformats.org/officeDocument/2006/relationships/hyperlink" Target="https://saranistudio.sharepoint.com/:f:/s/SaraniAssets/IgCBLMUnlQ0nQ6APgHoyv1YQASFHVjOtm1imoiMJyDmvDAQ?e=wKAU25" TargetMode="External"/><Relationship Id="rId7" Type="http://schemas.openxmlformats.org/officeDocument/2006/relationships/hyperlink" Target="https://saranistudio.sharepoint.com/:f:/s/SaraniAssets/EuvKLKORCGNJnpFQDCWR1jMBK3-s4VKysfwEu23qPL0jrA?e=0n9yYC" TargetMode="External"/><Relationship Id="rId71" Type="http://schemas.openxmlformats.org/officeDocument/2006/relationships/hyperlink" Target="https://saranistudio.sharepoint.com/:f:/s/SaraniAssets/Ej1Vkf4vhc1Cr-haaVUdJDQB-aN_xHIO5v8wAz4ooxI5zg?e=bMYIsU" TargetMode="External"/><Relationship Id="rId92" Type="http://schemas.openxmlformats.org/officeDocument/2006/relationships/hyperlink" Target="https://saranistudio.sharepoint.com/:f:/s/SaraniAssets/Ep8uJK_VUplDpFqO4jfVYbIBh9rRVwUDMCxknj2hNlpd0Q?e=tNwafq" TargetMode="External"/><Relationship Id="rId2" Type="http://schemas.openxmlformats.org/officeDocument/2006/relationships/hyperlink" Target="https://saranistudio.sharepoint.com/:f:/s/SaraniAssets/EhnnjwioBrlCu1BsVIqGrLIBP13NpE6KjNl2CNScCFalxA?e=DjYyl5" TargetMode="External"/><Relationship Id="rId29" Type="http://schemas.openxmlformats.org/officeDocument/2006/relationships/hyperlink" Target="https://saranistudio.sharepoint.com/:f:/s/SaraniAssets/EqN-VbwAEzxLt8dI9bxAhL0BDMANZz9z9o9706t-nElyRw?e=WC6cnP" TargetMode="External"/><Relationship Id="rId24" Type="http://schemas.openxmlformats.org/officeDocument/2006/relationships/hyperlink" Target="https://saranistudio.sharepoint.com/:f:/s/SaraniAssets/ErJr0j-wjp1Pg9X5P1cRY5IBcdz_A7XY2-eCTBV_3KwdJA?e=cnnDdT" TargetMode="External"/><Relationship Id="rId40" Type="http://schemas.openxmlformats.org/officeDocument/2006/relationships/hyperlink" Target="https://saranistudio.sharepoint.com/sites/SaraniAssets/Shared%20Documents/Forms/AllItems.aspx?id=%2Fsites%2FSaraniAssets%2FShared%20Documents%2F03%2E%20Customers%2F17%2E%20Ubi%2F06%2E%20Perrier%2F02%2EProjects&amp;p=true&amp;ga=1" TargetMode="External"/><Relationship Id="rId45" Type="http://schemas.openxmlformats.org/officeDocument/2006/relationships/hyperlink" Target="https://saranistudio.sharepoint.com/:f:/s/SaraniAssets/EkRW8XEd48hLmvSLGNJtptcBcwDUthsR2343tayGPKrqtA?e=UeQqDQ" TargetMode="External"/><Relationship Id="rId66" Type="http://schemas.openxmlformats.org/officeDocument/2006/relationships/hyperlink" Target="https://saranistudio.sharepoint.com/:f:/s/SaraniAssets/ErU6GsUyrGFNpyMbkA04fNkB_gFxGgIDGGPlJpn7PR03gg?e=4MLCKA" TargetMode="External"/><Relationship Id="rId87" Type="http://schemas.openxmlformats.org/officeDocument/2006/relationships/hyperlink" Target="https://saranistudio.sharepoint.com/:f:/s/SaraniAssets/ErF5sbZ715lOlB7H_cWNeR0BngttTKNcHTGX8yZqtpiYpw?e=fndeol" TargetMode="External"/><Relationship Id="rId110" Type="http://schemas.openxmlformats.org/officeDocument/2006/relationships/hyperlink" Target="https://saranistudio.sharepoint.com/:f:/s/SaraniAssets/IgBtEv4-qBEYQaoOea2QCMUGAaFRdpiVDSIyQDAL390Gd9Q?e=bkIgL0" TargetMode="External"/><Relationship Id="rId115" Type="http://schemas.openxmlformats.org/officeDocument/2006/relationships/hyperlink" Target="https://saranistudio.sharepoint.com/:f:/s/SaraniAssets/IgDfsHmhii_qQpz6cziphVcaAZIPvYCqI21ItRYxy-9NDL0?e=xlAVcl" TargetMode="External"/><Relationship Id="rId61" Type="http://schemas.openxmlformats.org/officeDocument/2006/relationships/hyperlink" Target="https://saranistudio.sharepoint.com/:f:/s/SaraniAssets/EmREgoHdgJxFurb5U2kPbvEBnVcz3LSysKCt3koVf-IfEA?e=57BZwx" TargetMode="External"/><Relationship Id="rId82" Type="http://schemas.openxmlformats.org/officeDocument/2006/relationships/hyperlink" Target="https://saranistudio.sharepoint.com/:f:/s/SaraniAssets/Enc3NXf3popLvhLrEwYwp6UBLN5r2UAzmFiMb3Cf7q5UYA?e=8IsmNV" TargetMode="External"/><Relationship Id="rId19" Type="http://schemas.openxmlformats.org/officeDocument/2006/relationships/hyperlink" Target="https://saranistudio.sharepoint.com/:f:/s/SaraniAssets/EtGyAL-3rTdDmtFlPJybmpYBaroSTyRhVAXNRGshEpzIzQ?e=Obzxog" TargetMode="External"/><Relationship Id="rId14" Type="http://schemas.openxmlformats.org/officeDocument/2006/relationships/hyperlink" Target="https://saranistudio.sharepoint.com/:f:/s/SaraniAssets/Eka3DWx13PhPoPbjhloykp8BENQBYxhjzw3qTWiwYKJv0A?e=AhpWxX" TargetMode="External"/><Relationship Id="rId30" Type="http://schemas.openxmlformats.org/officeDocument/2006/relationships/hyperlink" Target="https://saranistudio.sharepoint.com/:f:/s/SaraniAssets/EmR8ktNWJplImqGX_AZgTDUB-qwnT2ZpJ0COt3mm7O5ODw?e=OAW5eO" TargetMode="External"/><Relationship Id="rId35" Type="http://schemas.openxmlformats.org/officeDocument/2006/relationships/hyperlink" Target="https://saranistudio.sharepoint.com/:f:/s/SaraniAssets/En9wybPm_ghCs-m3ERp5d8wBjpmJhkNWTHWtCZyLdetj4g?e=BWfmfI" TargetMode="External"/><Relationship Id="rId56" Type="http://schemas.openxmlformats.org/officeDocument/2006/relationships/hyperlink" Target="https://saranistudio.sharepoint.com/:f:/s/SaraniAssets/EvQgxP8syHJEm8wBEUoZfVUBxyGOXMASxo-ZUfOrUUFYog?e=FVehef" TargetMode="External"/><Relationship Id="rId77" Type="http://schemas.openxmlformats.org/officeDocument/2006/relationships/hyperlink" Target="https://saranistudio.sharepoint.com/:f:/s/SaraniAssets/EpxT7VzCbbNNmg30vFy95OQB_KBzO3egTv7zTHx_hQGRLA?e=clp2cd" TargetMode="External"/><Relationship Id="rId100" Type="http://schemas.openxmlformats.org/officeDocument/2006/relationships/hyperlink" Target="https://saranistudio.sharepoint.com/:f:/s/SaraniAssets/EivaxPPya_FOv_Cl7F2Ims0Be12nNzJd6ogNeZcV0tYHkg?e=eD7kwI" TargetMode="External"/><Relationship Id="rId105" Type="http://schemas.openxmlformats.org/officeDocument/2006/relationships/hyperlink" Target="https://saranistudio.sharepoint.com/:f:/s/SaraniAssets/EqMLotx1ciJIpNodNyx1rgMBPQcgICnQhULrCCAvanPFDA?e=OKWzVQ" TargetMode="External"/><Relationship Id="rId126" Type="http://schemas.openxmlformats.org/officeDocument/2006/relationships/hyperlink" Target="https://saranistudio.sharepoint.com/:f:/s/SaraniAssets/IgDTSAW5j15qTJK5HJyI1KgEAUXXVfacE8SBMjhz1T737uE?e=FrMt2B" TargetMode="External"/><Relationship Id="rId8" Type="http://schemas.openxmlformats.org/officeDocument/2006/relationships/hyperlink" Target="https://saranistudio.sharepoint.com/:f:/s/SaraniAssets/EswSC5pPpsBNpvHBnzBp7iYBgaH2yzxCR5ZiDBri_V5cTA?e=M8VcRE" TargetMode="External"/><Relationship Id="rId51" Type="http://schemas.openxmlformats.org/officeDocument/2006/relationships/hyperlink" Target="https://saranistudio.sharepoint.com/:f:/s/SaraniAssets/EsjY_SDE4ddKjTowizoS1asBXQHjG35eiLWj_3Fh933orQ?e=6hFvzt" TargetMode="External"/><Relationship Id="rId72" Type="http://schemas.openxmlformats.org/officeDocument/2006/relationships/hyperlink" Target="https://saranistudio.sharepoint.com/:f:/s/SaraniAssets/EmxdCZCacVVJvrQ5aYcu5aoBkdb-gPd1QikjjZ4XqMSwAg?e=flr2P2" TargetMode="External"/><Relationship Id="rId93" Type="http://schemas.openxmlformats.org/officeDocument/2006/relationships/hyperlink" Target="https://saranistudio.sharepoint.com/:f:/s/SaraniAssets/EkN4_O-RGYtJqD6wuri5rLgBiQ2sOoCoFVDf8DWbzoueYg?e=dy8p6G" TargetMode="External"/><Relationship Id="rId98" Type="http://schemas.openxmlformats.org/officeDocument/2006/relationships/hyperlink" Target="https://saranistudio.sharepoint.com/:f:/s/SaraniAssets/Epd7VNH7EnVCve0ZlXu43q8BAT9r1bgZDaPvFxlL37LRjw?e=bXFazf" TargetMode="External"/><Relationship Id="rId121" Type="http://schemas.openxmlformats.org/officeDocument/2006/relationships/hyperlink" Target="https://saranistudio.sharepoint.com/:f:/s/SaraniAssets/IgAhFnfcG4TRS5D7bJeGBKb0AWZHTfXFBcZrBhgRjsaOEJw?e=la4Ajl" TargetMode="External"/><Relationship Id="rId3" Type="http://schemas.openxmlformats.org/officeDocument/2006/relationships/hyperlink" Target="https://saranistudio.sharepoint.com/:f:/s/SaraniAssets/EoFYP9nHr0REvvv2k_70VKMBfMcdWQsxMm-Bzywd16EFIQ?e=MSHLtc" TargetMode="External"/><Relationship Id="rId25" Type="http://schemas.openxmlformats.org/officeDocument/2006/relationships/hyperlink" Target="https://saranistudio.sharepoint.com/:f:/s/SaraniAssets/EqxiJt6kpoxLk8Pq8nGxeOUBClIF11tkneJ4uy3xTAODJw?e=IhRj6q" TargetMode="External"/><Relationship Id="rId46" Type="http://schemas.openxmlformats.org/officeDocument/2006/relationships/hyperlink" Target="https://saranistudio.sharepoint.com/:f:/s/SaraniAssets/Em3YG4xNxTBFrbP2hkHg1UgBNpkZhCMwyyIWpdfkKjUV2Q?e=ap3P6n" TargetMode="External"/><Relationship Id="rId67" Type="http://schemas.openxmlformats.org/officeDocument/2006/relationships/hyperlink" Target="https://saranistudio.sharepoint.com/:f:/s/SaraniAssets/EvQgxP8syHJEm8wBEUoZfVUBxyGOXMASxo-ZUfOrUUFYog?e=FVehef" TargetMode="External"/><Relationship Id="rId116" Type="http://schemas.openxmlformats.org/officeDocument/2006/relationships/hyperlink" Target="https://saranistudio.sharepoint.com/:f:/s/SaraniAssets/IgDulqK0Z8rrSZrqQtg3zI_wAfDlldEWUVVkFwd5rxgMT80?e=uSfbu6" TargetMode="External"/><Relationship Id="rId20" Type="http://schemas.openxmlformats.org/officeDocument/2006/relationships/hyperlink" Target="https://saranistudio.sharepoint.com/:f:/s/SaraniAssets/EijnPi44YxZNk-dDVMyMxrkBKXrw34OtgTISSkEdq4vt4w?e=CAexvj" TargetMode="External"/><Relationship Id="rId41" Type="http://schemas.openxmlformats.org/officeDocument/2006/relationships/hyperlink" Target="https://saranistudio.sharepoint.com/:f:/s/SaraniAssets/Epqll6-vHudFpVSLzh4_FBcBgvsKMe9NKrlAMd2qApzoGA?e=4naJYe" TargetMode="External"/><Relationship Id="rId62" Type="http://schemas.openxmlformats.org/officeDocument/2006/relationships/hyperlink" Target="https://saranistudio.sharepoint.com/:f:/s/SaraniAssets/Esyl6p6nJuRGmt4hceoxI10Bg0bfEX0wmbJIRWD_Nhbbfg?e=4JrjT9" TargetMode="External"/><Relationship Id="rId83" Type="http://schemas.openxmlformats.org/officeDocument/2006/relationships/hyperlink" Target="https://saranistudio.sharepoint.com/:f:/s/SaraniAssets/EkN4_O-RGYtJqD6wuri5rLgBiQ2sOoCoFVDf8DWbzoueYg?e=dy8p6G" TargetMode="External"/><Relationship Id="rId88" Type="http://schemas.openxmlformats.org/officeDocument/2006/relationships/hyperlink" Target="https://saranistudio.sharepoint.com/:f:/s/SaraniAssets/EmxdCZCacVVJvrQ5aYcu5aoBkdb-gPd1QikjjZ4XqMSwAg?e=kazQC4" TargetMode="External"/><Relationship Id="rId111" Type="http://schemas.openxmlformats.org/officeDocument/2006/relationships/hyperlink" Target="https://saranistudio.sharepoint.com/:f:/s/SaraniAssets/IgAgWcCNRz-dQ7xSYjgP1MLsAWdd-MHbT_3FbpKox9fv1N0?e=8yYeGS" TargetMode="External"/><Relationship Id="rId15" Type="http://schemas.openxmlformats.org/officeDocument/2006/relationships/hyperlink" Target="https://saranistudio.sharepoint.com/:f:/s/SaraniAssets/EtSSSjqEaSJEspFYx4iTatcBQeiZMS_MzAatE2gZfRvo4g?e=3VcHds" TargetMode="External"/><Relationship Id="rId36" Type="http://schemas.openxmlformats.org/officeDocument/2006/relationships/hyperlink" Target="https://saranistudio.sharepoint.com/:f:/s/SaraniAssets/Eo9T2tlQ0NZPoyKIJOKB89kBmQnAHKnWwpYpS3NlW2JB2A?e=PhrNJE" TargetMode="External"/><Relationship Id="rId57" Type="http://schemas.openxmlformats.org/officeDocument/2006/relationships/hyperlink" Target="https://saranistudio.sharepoint.com/:f:/s/SaraniAssets/EhlZBNLzcqpFiARLNU-fx1MBSWMgeCX1IeBkcqAD2YbrkQ?e=gPqdbe" TargetMode="External"/><Relationship Id="rId106" Type="http://schemas.openxmlformats.org/officeDocument/2006/relationships/hyperlink" Target="https://saranistudio.sharepoint.com/:f:/s/SaraniAssets/ElNXXiJ6U0pCkNX7fQnGnEUBDmzkaOLm3P0Iwc1VZEMMAg?e=lWbDe4" TargetMode="External"/><Relationship Id="rId127" Type="http://schemas.openxmlformats.org/officeDocument/2006/relationships/hyperlink" Target="https://saranistudio.sharepoint.com/:f:/s/SaraniAssets/IgDvlFYfGzZXRK8giDlfHljFAQvu0sH8CO7vgJghaii2odk?e=AQmZlh" TargetMode="External"/><Relationship Id="rId10" Type="http://schemas.openxmlformats.org/officeDocument/2006/relationships/hyperlink" Target="https://saranistudio.sharepoint.com/:f:/s/SaraniAssets/Ekt9En4iqM1PjHyA0QwiYp8B5ZpUPIhXgluIK9b7cUxooA?e=CSgTjt" TargetMode="External"/><Relationship Id="rId31" Type="http://schemas.openxmlformats.org/officeDocument/2006/relationships/hyperlink" Target="https://saranistudio.sharepoint.com/:f:/s/SaraniAssets/Euv4WdeFGLJNug8wvC-YPrMBP7k8zO0-QCOLso0JUyu_0w?e=E3WeEX" TargetMode="External"/><Relationship Id="rId52" Type="http://schemas.openxmlformats.org/officeDocument/2006/relationships/hyperlink" Target="https://saranistudio.sharepoint.com/:f:/s/SaraniAssets/EiUaTdR1OCBAkwCDXWFUvisB0KD7CutMUWX8hxmT-ECZwQ?e=Ggooxa" TargetMode="External"/><Relationship Id="rId73" Type="http://schemas.openxmlformats.org/officeDocument/2006/relationships/hyperlink" Target="https://saranistudio.sharepoint.com/:f:/s/SaraniAssets/EtnlXTyvXahJjtgg5cPYwhEBgi2bPz4wbfEQxC9QMwjzbg?e=AWO134" TargetMode="External"/><Relationship Id="rId78" Type="http://schemas.openxmlformats.org/officeDocument/2006/relationships/hyperlink" Target="https://saranistudio.sharepoint.com/:f:/s/SaraniAssets/Ehm-_4awGoxFsd7l89wvIHsBc90VPUjoTd0g3EqqIJ6Q4Q?e=lvZUGV" TargetMode="External"/><Relationship Id="rId94" Type="http://schemas.openxmlformats.org/officeDocument/2006/relationships/hyperlink" Target="https://saranistudio.sharepoint.com/:f:/s/SaraniAssets/Em6VjJs_SRRKtUnZu92MY0MBoAGSvyvTdcxOuDaU24THcw?e=HdF8dC" TargetMode="External"/><Relationship Id="rId99" Type="http://schemas.openxmlformats.org/officeDocument/2006/relationships/hyperlink" Target="https://saranistudio.sharepoint.com/:f:/s/SaraniAssets/EivaxPPya_FOv_Cl7F2Ims0Be12nNzJd6ogNeZcV0tYHkg?e=eD7kwI" TargetMode="External"/><Relationship Id="rId101" Type="http://schemas.openxmlformats.org/officeDocument/2006/relationships/hyperlink" Target="https://saranistudio.sharepoint.com/:f:/s/SaraniAssets/EsPl6yCAozFPo-DP3RPgnEUBTZm08ed0Q8oZexi0z3AwTw?e=4ZMjE2" TargetMode="External"/><Relationship Id="rId122" Type="http://schemas.openxmlformats.org/officeDocument/2006/relationships/hyperlink" Target="https://saranistudio.sharepoint.com/:f:/s/SaraniAssets/IgBYQU1Ujq0-TJ89XcuG1gTnAZ5MvOGq0HyYwDjbYb0CG-c?e=WECPiM" TargetMode="External"/><Relationship Id="rId4" Type="http://schemas.openxmlformats.org/officeDocument/2006/relationships/hyperlink" Target="https://saranistudio.sharepoint.com/:f:/s/SaraniAssets/Evyqkra13wJEhdYuMBCPa2QBkbIgZr9J3lqx8bYghiqmoA?e=MHdPnX" TargetMode="External"/><Relationship Id="rId9" Type="http://schemas.openxmlformats.org/officeDocument/2006/relationships/hyperlink" Target="https://saranistudio.sharepoint.com/:f:/s/SaraniAssets/Epa8vTKpudRIg5uy_lvnMaIBKLkQT4JXzXd8cYngVnroxA?e=PNydg2" TargetMode="External"/><Relationship Id="rId26" Type="http://schemas.openxmlformats.org/officeDocument/2006/relationships/hyperlink" Target="https://saranistudio.sharepoint.com/:f:/s/SaraniAssets/EmH0-A8nCTtNia70gCbO2lIB2mLpLDiGgCMmmotWvly__A?e=LblS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682C-CF85-47A6-8A28-F5D42BEC16EB}">
  <sheetPr>
    <tabColor rgb="FF0070C0"/>
  </sheetPr>
  <dimension ref="A1:AZ200"/>
  <sheetViews>
    <sheetView workbookViewId="0">
      <selection sqref="A1:I1"/>
    </sheetView>
  </sheetViews>
  <sheetFormatPr defaultRowHeight="15"/>
  <cols>
    <col min="1" max="1" width="28.5703125" customWidth="1"/>
    <col min="2" max="9" width="16.140625" customWidth="1"/>
  </cols>
  <sheetData>
    <row r="1" spans="1:52" ht="18" customHeight="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1:52" ht="12" customHeight="1">
      <c r="A2" s="72"/>
      <c r="B2" s="72"/>
      <c r="C2" s="72"/>
      <c r="D2" s="72"/>
      <c r="E2" s="72"/>
      <c r="F2" s="72"/>
      <c r="G2" s="72"/>
      <c r="H2" s="72"/>
      <c r="I2" s="72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</row>
    <row r="3" spans="1:52" ht="18" customHeight="1">
      <c r="A3" s="75" t="s">
        <v>1</v>
      </c>
      <c r="B3" s="94">
        <v>2025</v>
      </c>
      <c r="C3" s="94"/>
      <c r="D3" s="94"/>
      <c r="E3" s="94"/>
      <c r="F3" s="94">
        <v>2026</v>
      </c>
      <c r="G3" s="94"/>
      <c r="H3" s="94"/>
      <c r="I3" s="94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</row>
    <row r="4" spans="1:52" ht="18" customHeight="1">
      <c r="A4" s="82"/>
      <c r="B4" s="82" t="s">
        <v>2</v>
      </c>
      <c r="C4" s="82" t="s">
        <v>3</v>
      </c>
      <c r="D4" s="82" t="s">
        <v>4</v>
      </c>
      <c r="E4" s="82" t="s">
        <v>5</v>
      </c>
      <c r="F4" s="82" t="s">
        <v>2</v>
      </c>
      <c r="G4" s="82" t="s">
        <v>3</v>
      </c>
      <c r="H4" s="82" t="s">
        <v>4</v>
      </c>
      <c r="I4" s="82" t="s">
        <v>5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</row>
    <row r="5" spans="1:52" ht="18" customHeight="1">
      <c r="A5" s="76" t="s">
        <v>6</v>
      </c>
      <c r="B5" s="84">
        <f>SUMIFS(Ubi!$K:$K,Ubi!$C:$C,"&gt;="&amp;DATE(2025,1,1),Ubi!$C:$C,"&lt;="&amp;DATE(2025,3+1,0),Ubi!$B:$B,"*Adidas*")</f>
        <v>7760</v>
      </c>
      <c r="C5" s="84">
        <f>SUMIFS(Ubi!$K:$K,Ubi!$C:$C,"&gt;="&amp;DATE(2025,4,1),Ubi!$C:$C,"&lt;="&amp;DATE(2025,6+1,0),Ubi!$B:$B,"*Adidas*")</f>
        <v>22995</v>
      </c>
      <c r="D5" s="84">
        <f>SUMIFS(Ubi!$K:$K,Ubi!$C:$C,"&gt;="&amp;DATE(2025,7,1),Ubi!$C:$C,"&lt;="&amp;DATE(2025,9+1,0),Ubi!$B:$B,"*Adidas*")</f>
        <v>10105</v>
      </c>
      <c r="E5" s="84">
        <f>SUMIFS(Ubi!$K:$K,Ubi!$C:$C,"&gt;="&amp;DATE(2025,10,1),Ubi!$C:$C,"&lt;="&amp;DATE(2025,12+1,0),Ubi!$B:$B,"*Adidas*")</f>
        <v>4920</v>
      </c>
      <c r="F5" s="84">
        <f>SUMIFS(Ubi!$K:$K,Ubi!$C:$C,"&gt;="&amp;DATE(2026,1,1),Ubi!$C:$C,"&lt;="&amp;DATE(2026,3+1,0),Ubi!$B:$B,"*Adidas*")</f>
        <v>1806.6666666666667</v>
      </c>
      <c r="G5" s="84">
        <f>SUMIFS(Ubi!$K:$K,Ubi!$C:$C,"&gt;="&amp;DATE(2026,4,1),Ubi!$C:$C,"&lt;="&amp;DATE(2026,6+1,0),Ubi!$B:$B,"*Adidas*")</f>
        <v>0</v>
      </c>
      <c r="H5" s="84">
        <f>SUMIFS(Ubi!$K:$K,Ubi!$C:$C,"&gt;="&amp;DATE(2026,7,1),Ubi!$C:$C,"&lt;="&amp;DATE(2026,9+1,0),Ubi!$B:$B,"*Adidas*")</f>
        <v>0</v>
      </c>
      <c r="I5" s="84">
        <f>SUMIFS(Ubi!$K:$K,Ubi!$C:$C,"&gt;="&amp;DATE(2026,10,1),Ubi!$C:$C,"&lt;="&amp;DATE(2026,12+1,0),Ubi!$B:$B,"*Adidas*")</f>
        <v>0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</row>
    <row r="6" spans="1:52" ht="18" customHeight="1">
      <c r="A6" s="77" t="s">
        <v>7</v>
      </c>
      <c r="B6" s="85">
        <f>SUMIFS(Ubi!$K:$K,Ubi!$C:$C,"&gt;="&amp;DATE(2025,1,1),Ubi!$C:$C,"&lt;="&amp;DATE(2025,3+1,0),Ubi!$B:$B,"*Red Bull*")</f>
        <v>610</v>
      </c>
      <c r="C6" s="85">
        <f>SUMIFS(Ubi!$K:$K,Ubi!$C:$C,"&gt;="&amp;DATE(2025,4,1),Ubi!$C:$C,"&lt;="&amp;DATE(2025,6+1,0),Ubi!$B:$B,"*Red Bull*")</f>
        <v>0</v>
      </c>
      <c r="D6" s="85">
        <f>SUMIFS(Ubi!$K:$K,Ubi!$C:$C,"&gt;="&amp;DATE(2025,7,1),Ubi!$C:$C,"&lt;="&amp;DATE(2025,9+1,0),Ubi!$B:$B,"*Red Bull*")</f>
        <v>0</v>
      </c>
      <c r="E6" s="85">
        <f>SUMIFS(Ubi!$K:$K,Ubi!$C:$C,"&gt;="&amp;DATE(2025,10,1),Ubi!$C:$C,"&lt;="&amp;DATE(2025,12+1,0),Ubi!$B:$B,"*Red Bull*")</f>
        <v>4680</v>
      </c>
      <c r="F6" s="85">
        <f>SUMIFS(Ubi!$K:$K,Ubi!$C:$C,"&gt;="&amp;DATE(2026,1,1),Ubi!$C:$C,"&lt;="&amp;DATE(2026,3+1,0),Ubi!$B:$B,"*Red Bull*")</f>
        <v>0</v>
      </c>
      <c r="G6" s="85">
        <f>SUMIFS(Ubi!$K:$K,Ubi!$C:$C,"&gt;="&amp;DATE(2026,4,1),Ubi!$C:$C,"&lt;="&amp;DATE(2026,6+1,0),Ubi!$B:$B,"*Red Bull*")</f>
        <v>0</v>
      </c>
      <c r="H6" s="85">
        <f>SUMIFS(Ubi!$K:$K,Ubi!$C:$C,"&gt;="&amp;DATE(2026,7,1),Ubi!$C:$C,"&lt;="&amp;DATE(2026,9+1,0),Ubi!$B:$B,"*Red Bull*")</f>
        <v>0</v>
      </c>
      <c r="I6" s="85">
        <f>SUMIFS(Ubi!$K:$K,Ubi!$C:$C,"&gt;="&amp;DATE(2026,10,1),Ubi!$C:$C,"&lt;="&amp;DATE(2026,12+1,0),Ubi!$B:$B,"*Red Bull*")</f>
        <v>0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</row>
    <row r="7" spans="1:52" ht="18" customHeight="1">
      <c r="A7" s="76" t="s">
        <v>8</v>
      </c>
      <c r="B7" s="84">
        <f>SUMIFS(Ubi!$K:$K,Ubi!$C:$C,"&gt;="&amp;DATE(2025,1,1),Ubi!$C:$C,"&lt;="&amp;DATE(2025,3+1,0),Ubi!$B:$B,"*LEGO*")</f>
        <v>185</v>
      </c>
      <c r="C7" s="84">
        <f>SUMIFS(Ubi!$K:$K,Ubi!$C:$C,"&gt;="&amp;DATE(2025,4,1),Ubi!$C:$C,"&lt;="&amp;DATE(2025,6+1,0),Ubi!$B:$B,"*LEGO*")</f>
        <v>2520</v>
      </c>
      <c r="D7" s="84">
        <f>SUMIFS(Ubi!$K:$K,Ubi!$C:$C,"&gt;="&amp;DATE(2025,7,1),Ubi!$C:$C,"&lt;="&amp;DATE(2025,9+1,0),Ubi!$B:$B,"*LEGO*")</f>
        <v>4515</v>
      </c>
      <c r="E7" s="84">
        <f>SUMIFS(Ubi!$K:$K,Ubi!$C:$C,"&gt;="&amp;DATE(2025,10,1),Ubi!$C:$C,"&lt;="&amp;DATE(2025,12+1,0),Ubi!$B:$B,"*LEGO*")</f>
        <v>0</v>
      </c>
      <c r="F7" s="84">
        <f>SUMIFS(Ubi!$K:$K,Ubi!$C:$C,"&gt;="&amp;DATE(2026,1,1),Ubi!$C:$C,"&lt;="&amp;DATE(2026,3+1,0),Ubi!$B:$B,"*LEGO*")</f>
        <v>0</v>
      </c>
      <c r="G7" s="84">
        <f>SUMIFS(Ubi!$K:$K,Ubi!$C:$C,"&gt;="&amp;DATE(2026,4,1),Ubi!$C:$C,"&lt;="&amp;DATE(2026,6+1,0),Ubi!$B:$B,"*LEGO*")</f>
        <v>0</v>
      </c>
      <c r="H7" s="84">
        <f>SUMIFS(Ubi!$K:$K,Ubi!$C:$C,"&gt;="&amp;DATE(2026,7,1),Ubi!$C:$C,"&lt;="&amp;DATE(2026,9+1,0),Ubi!$B:$B,"*LEGO*")</f>
        <v>0</v>
      </c>
      <c r="I7" s="84">
        <f>SUMIFS(Ubi!$K:$K,Ubi!$C:$C,"&gt;="&amp;DATE(2026,10,1),Ubi!$C:$C,"&lt;="&amp;DATE(2026,12+1,0),Ubi!$B:$B,"*LEGO*")</f>
        <v>0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</row>
    <row r="8" spans="1:52" ht="18" customHeight="1">
      <c r="A8" s="77" t="s">
        <v>9</v>
      </c>
      <c r="B8" s="85">
        <f>SUMIFS(Ubi!$K:$K,Ubi!$C:$C,"&gt;="&amp;DATE(2025,1,1),Ubi!$C:$C,"&lt;="&amp;DATE(2025,3+1,0),Ubi!$B:$B,"*Ubisoft*")+SUMIFS(Ubi!$K:$K,Ubi!$C:$C,"&gt;="&amp;DATE(2025,1,1),Ubi!$C:$C,"&lt;="&amp;DATE(2025,3+1,0),Ubi!$B:$B,"UBI")</f>
        <v>450</v>
      </c>
      <c r="C8" s="85">
        <f>SUMIFS(Ubi!$K:$K,Ubi!$C:$C,"&gt;="&amp;DATE(2025,4,1),Ubi!$C:$C,"&lt;="&amp;DATE(2025,6+1,0),Ubi!$B:$B,"*Ubisoft*")+SUMIFS(Ubi!$K:$K,Ubi!$C:$C,"&gt;="&amp;DATE(2025,4,1),Ubi!$C:$C,"&lt;="&amp;DATE(2025,6+1,0),Ubi!$B:$B,"UBI")</f>
        <v>1365</v>
      </c>
      <c r="D8" s="85">
        <f>SUMIFS(Ubi!$K:$K,Ubi!$C:$C,"&gt;="&amp;DATE(2025,7,1),Ubi!$C:$C,"&lt;="&amp;DATE(2025,9+1,0),Ubi!$B:$B,"*Ubisoft*")+SUMIFS(Ubi!$K:$K,Ubi!$C:$C,"&gt;="&amp;DATE(2025,7,1),Ubi!$C:$C,"&lt;="&amp;DATE(2025,9+1,0),Ubi!$B:$B,"UBI")</f>
        <v>0</v>
      </c>
      <c r="E8" s="85">
        <f>SUMIFS(Ubi!$K:$K,Ubi!$C:$C,"&gt;="&amp;DATE(2025,10,1),Ubi!$C:$C,"&lt;="&amp;DATE(2025,12+1,0),Ubi!$B:$B,"*Ubisoft*")+SUMIFS(Ubi!$K:$K,Ubi!$C:$C,"&gt;="&amp;DATE(2025,10,1),Ubi!$C:$C,"&lt;="&amp;DATE(2025,12+1,0),Ubi!$B:$B,"UBI")</f>
        <v>740</v>
      </c>
      <c r="F8" s="85">
        <f>SUMIFS(Ubi!$K:$K,Ubi!$C:$C,"&gt;="&amp;DATE(2026,1,1),Ubi!$C:$C,"&lt;="&amp;DATE(2026,3+1,0),Ubi!$B:$B,"*Ubisoft*")+SUMIFS(Ubi!$K:$K,Ubi!$C:$C,"&gt;="&amp;DATE(2026,1,1),Ubi!$C:$C,"&lt;="&amp;DATE(2026,3+1,0),Ubi!$B:$B,"UBI")</f>
        <v>0</v>
      </c>
      <c r="G8" s="85">
        <f>SUMIFS(Ubi!$K:$K,Ubi!$C:$C,"&gt;="&amp;DATE(2026,4,1),Ubi!$C:$C,"&lt;="&amp;DATE(2026,6+1,0),Ubi!$B:$B,"*Ubisoft*")+SUMIFS(Ubi!$K:$K,Ubi!$C:$C,"&gt;="&amp;DATE(2026,4,1),Ubi!$C:$C,"&lt;="&amp;DATE(2026,6+1,0),Ubi!$B:$B,"UBI")</f>
        <v>0</v>
      </c>
      <c r="H8" s="85">
        <f>SUMIFS(Ubi!$K:$K,Ubi!$C:$C,"&gt;="&amp;DATE(2026,7,1),Ubi!$C:$C,"&lt;="&amp;DATE(2026,9+1,0),Ubi!$B:$B,"*Ubisoft*")+SUMIFS(Ubi!$K:$K,Ubi!$C:$C,"&gt;="&amp;DATE(2026,7,1),Ubi!$C:$C,"&lt;="&amp;DATE(2026,9+1,0),Ubi!$B:$B,"UBI")</f>
        <v>0</v>
      </c>
      <c r="I8" s="85">
        <f>SUMIFS(Ubi!$K:$K,Ubi!$C:$C,"&gt;="&amp;DATE(2026,10,1),Ubi!$C:$C,"&lt;="&amp;DATE(2026,12+1,0),Ubi!$B:$B,"*Ubisoft*")+SUMIFS(Ubi!$K:$K,Ubi!$C:$C,"&gt;="&amp;DATE(2026,10,1),Ubi!$C:$C,"&lt;="&amp;DATE(2026,12+1,0),Ubi!$B:$B,"UBI")</f>
        <v>0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ht="18" customHeight="1">
      <c r="A9" s="76" t="s">
        <v>10</v>
      </c>
      <c r="B9" s="84">
        <f>SUMIFS(Ubi!$K:$K,Ubi!$C:$C,"&gt;="&amp;DATE(2025,1,1),Ubi!$C:$C,"&lt;="&amp;DATE(2025,3+1,0),Ubi!$B:$B,"*Perrier*")</f>
        <v>0</v>
      </c>
      <c r="C9" s="84">
        <f>SUMIFS(Ubi!$K:$K,Ubi!$C:$C,"&gt;="&amp;DATE(2025,4,1),Ubi!$C:$C,"&lt;="&amp;DATE(2025,6+1,0),Ubi!$B:$B,"*Perrier*")</f>
        <v>1130</v>
      </c>
      <c r="D9" s="84">
        <f>SUMIFS(Ubi!$K:$K,Ubi!$C:$C,"&gt;="&amp;DATE(2025,7,1),Ubi!$C:$C,"&lt;="&amp;DATE(2025,9+1,0),Ubi!$B:$B,"*Perrier*")</f>
        <v>0</v>
      </c>
      <c r="E9" s="84">
        <f>SUMIFS(Ubi!$K:$K,Ubi!$C:$C,"&gt;="&amp;DATE(2025,10,1),Ubi!$C:$C,"&lt;="&amp;DATE(2025,12+1,0),Ubi!$B:$B,"*Perrier*")</f>
        <v>0</v>
      </c>
      <c r="F9" s="84">
        <f>SUMIFS(Ubi!$K:$K,Ubi!$C:$C,"&gt;="&amp;DATE(2026,1,1),Ubi!$C:$C,"&lt;="&amp;DATE(2026,3+1,0),Ubi!$B:$B,"*Perrier*")</f>
        <v>0</v>
      </c>
      <c r="G9" s="84">
        <f>SUMIFS(Ubi!$K:$K,Ubi!$C:$C,"&gt;="&amp;DATE(2026,4,1),Ubi!$C:$C,"&lt;="&amp;DATE(2026,6+1,0),Ubi!$B:$B,"*Perrier*")</f>
        <v>0</v>
      </c>
      <c r="H9" s="84">
        <f>SUMIFS(Ubi!$K:$K,Ubi!$C:$C,"&gt;="&amp;DATE(2026,7,1),Ubi!$C:$C,"&lt;="&amp;DATE(2026,9+1,0),Ubi!$B:$B,"*Perrier*")</f>
        <v>0</v>
      </c>
      <c r="I9" s="84">
        <f>SUMIFS(Ubi!$K:$K,Ubi!$C:$C,"&gt;="&amp;DATE(2026,10,1),Ubi!$C:$C,"&lt;="&amp;DATE(2026,12+1,0),Ubi!$B:$B,"*Perrier*")</f>
        <v>0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ht="18" customHeight="1">
      <c r="A10" s="77" t="s">
        <v>11</v>
      </c>
      <c r="B10" s="85">
        <f>SUMIFS(Ubi!$K:$K,Ubi!$C:$C,"&gt;="&amp;DATE(2025,1,1),Ubi!$C:$C,"&lt;="&amp;DATE(2025,3+1,0),Ubi!$B:$B,"*IKEA*")</f>
        <v>0</v>
      </c>
      <c r="C10" s="85">
        <f>SUMIFS(Ubi!$K:$K,Ubi!$C:$C,"&gt;="&amp;DATE(2025,4,1),Ubi!$C:$C,"&lt;="&amp;DATE(2025,6+1,0),Ubi!$B:$B,"*IKEA*")</f>
        <v>0</v>
      </c>
      <c r="D10" s="85">
        <f>SUMIFS(Ubi!$K:$K,Ubi!$C:$C,"&gt;="&amp;DATE(2025,7,1),Ubi!$C:$C,"&lt;="&amp;DATE(2025,9+1,0),Ubi!$B:$B,"*IKEA*")</f>
        <v>6950</v>
      </c>
      <c r="E10" s="85">
        <f>SUMIFS(Ubi!$K:$K,Ubi!$C:$C,"&gt;="&amp;DATE(2025,10,1),Ubi!$C:$C,"&lt;="&amp;DATE(2025,12+1,0),Ubi!$B:$B,"*IKEA*")</f>
        <v>2700</v>
      </c>
      <c r="F10" s="85">
        <f>SUMIFS(Ubi!$K:$K,Ubi!$C:$C,"&gt;="&amp;DATE(2026,1,1),Ubi!$C:$C,"&lt;="&amp;DATE(2026,3+1,0),Ubi!$B:$B,"*IKEA*")</f>
        <v>0</v>
      </c>
      <c r="G10" s="85">
        <f>SUMIFS(Ubi!$K:$K,Ubi!$C:$C,"&gt;="&amp;DATE(2026,4,1),Ubi!$C:$C,"&lt;="&amp;DATE(2026,6+1,0),Ubi!$B:$B,"*IKEA*")</f>
        <v>0</v>
      </c>
      <c r="H10" s="85">
        <f>SUMIFS(Ubi!$K:$K,Ubi!$C:$C,"&gt;="&amp;DATE(2026,7,1),Ubi!$C:$C,"&lt;="&amp;DATE(2026,9+1,0),Ubi!$B:$B,"*IKEA*")</f>
        <v>0</v>
      </c>
      <c r="I10" s="85">
        <f>SUMIFS(Ubi!$K:$K,Ubi!$C:$C,"&gt;="&amp;DATE(2026,10,1),Ubi!$C:$C,"&lt;="&amp;DATE(2026,12+1,0),Ubi!$B:$B,"*IKEA*")</f>
        <v>0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ht="18" customHeight="1">
      <c r="A11" s="76" t="s">
        <v>12</v>
      </c>
      <c r="B11" s="84">
        <f>SUMIFS(Ubi!$K:$K,Ubi!$C:$C,"&gt;="&amp;DATE(2025,1,1),Ubi!$C:$C,"&lt;="&amp;DATE(2025,3+1,0),Ubi!$B:$B,"*L'Oréal*")</f>
        <v>0</v>
      </c>
      <c r="C11" s="84">
        <f>SUMIFS(Ubi!$K:$K,Ubi!$C:$C,"&gt;="&amp;DATE(2025,4,1),Ubi!$C:$C,"&lt;="&amp;DATE(2025,6+1,0),Ubi!$B:$B,"*L'Oréal*")</f>
        <v>0</v>
      </c>
      <c r="D11" s="84">
        <f>SUMIFS(Ubi!$K:$K,Ubi!$C:$C,"&gt;="&amp;DATE(2025,7,1),Ubi!$C:$C,"&lt;="&amp;DATE(2025,9+1,0),Ubi!$B:$B,"*L'Oréal*")</f>
        <v>3390</v>
      </c>
      <c r="E11" s="84">
        <f>SUMIFS(Ubi!$K:$K,Ubi!$C:$C,"&gt;="&amp;DATE(2025,10,1),Ubi!$C:$C,"&lt;="&amp;DATE(2025,12+1,0),Ubi!$B:$B,"*L'Oréal*")</f>
        <v>0</v>
      </c>
      <c r="F11" s="84">
        <f>SUMIFS(Ubi!$K:$K,Ubi!$C:$C,"&gt;="&amp;DATE(2026,1,1),Ubi!$C:$C,"&lt;="&amp;DATE(2026,3+1,0),Ubi!$B:$B,"*L'Oréal*")</f>
        <v>0</v>
      </c>
      <c r="G11" s="84">
        <f>SUMIFS(Ubi!$K:$K,Ubi!$C:$C,"&gt;="&amp;DATE(2026,4,1),Ubi!$C:$C,"&lt;="&amp;DATE(2026,6+1,0),Ubi!$B:$B,"*L'Oréal*")</f>
        <v>0</v>
      </c>
      <c r="H11" s="84">
        <f>SUMIFS(Ubi!$K:$K,Ubi!$C:$C,"&gt;="&amp;DATE(2026,7,1),Ubi!$C:$C,"&lt;="&amp;DATE(2026,9+1,0),Ubi!$B:$B,"*L'Oréal*")</f>
        <v>0</v>
      </c>
      <c r="I11" s="84">
        <f>SUMIFS(Ubi!$K:$K,Ubi!$C:$C,"&gt;="&amp;DATE(2026,10,1),Ubi!$C:$C,"&lt;="&amp;DATE(2026,12+1,0),Ubi!$B:$B,"*L'Oréal*")</f>
        <v>0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ht="18" customHeight="1">
      <c r="A12" s="77" t="s">
        <v>13</v>
      </c>
      <c r="B12" s="85">
        <f>SUMIFS(Ubi!$K:$K,Ubi!$C:$C,"&gt;="&amp;DATE(2025,1,1),Ubi!$C:$C,"&lt;="&amp;DATE(2025,3+1,0),Ubi!$B:$B,"*TikTok*")</f>
        <v>0</v>
      </c>
      <c r="C12" s="85">
        <f>SUMIFS(Ubi!$K:$K,Ubi!$C:$C,"&gt;="&amp;DATE(2025,4,1),Ubi!$C:$C,"&lt;="&amp;DATE(2025,6+1,0),Ubi!$B:$B,"*TikTok*")</f>
        <v>0</v>
      </c>
      <c r="D12" s="85">
        <f>SUMIFS(Ubi!$K:$K,Ubi!$C:$C,"&gt;="&amp;DATE(2025,7,1),Ubi!$C:$C,"&lt;="&amp;DATE(2025,9+1,0),Ubi!$B:$B,"*TikTok*")</f>
        <v>0</v>
      </c>
      <c r="E12" s="85">
        <f>SUMIFS(Ubi!$K:$K,Ubi!$C:$C,"&gt;="&amp;DATE(2025,10,1),Ubi!$C:$C,"&lt;="&amp;DATE(2025,12+1,0),Ubi!$B:$B,"*TikTok*")</f>
        <v>9800</v>
      </c>
      <c r="F12" s="85">
        <f>SUMIFS(Ubi!$K:$K,Ubi!$C:$C,"&gt;="&amp;DATE(2026,1,1),Ubi!$C:$C,"&lt;="&amp;DATE(2026,3+1,0),Ubi!$B:$B,"*TikTok*")</f>
        <v>0</v>
      </c>
      <c r="G12" s="85">
        <f>SUMIFS(Ubi!$K:$K,Ubi!$C:$C,"&gt;="&amp;DATE(2026,4,1),Ubi!$C:$C,"&lt;="&amp;DATE(2026,6+1,0),Ubi!$B:$B,"*TikTok*")</f>
        <v>0</v>
      </c>
      <c r="H12" s="85">
        <f>SUMIFS(Ubi!$K:$K,Ubi!$C:$C,"&gt;="&amp;DATE(2026,7,1),Ubi!$C:$C,"&lt;="&amp;DATE(2026,9+1,0),Ubi!$B:$B,"*TikTok*")</f>
        <v>0</v>
      </c>
      <c r="I12" s="85">
        <f>SUMIFS(Ubi!$K:$K,Ubi!$C:$C,"&gt;="&amp;DATE(2026,10,1),Ubi!$C:$C,"&lt;="&amp;DATE(2026,12+1,0),Ubi!$B:$B,"*TikTok*")</f>
        <v>0</v>
      </c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ht="18" customHeight="1">
      <c r="A13" s="83" t="s">
        <v>14</v>
      </c>
      <c r="B13" s="86">
        <f>SUMIFS(Ubi!$K:$K,Ubi!$C:$C,"&gt;="&amp;DATE(2025,1,1),Ubi!$C:$C,"&lt;="&amp;DATE(2025,3+1,0),Ubi!$B:$B,"*Barilla*")</f>
        <v>0</v>
      </c>
      <c r="C13" s="86">
        <f>SUMIFS(Ubi!$K:$K,Ubi!$C:$C,"&gt;="&amp;DATE(2025,4,1),Ubi!$C:$C,"&lt;="&amp;DATE(2025,6+1,0),Ubi!$B:$B,"*Barilla*")</f>
        <v>0</v>
      </c>
      <c r="D13" s="86">
        <f>SUMIFS(Ubi!$K:$K,Ubi!$C:$C,"&gt;="&amp;DATE(2025,7,1),Ubi!$C:$C,"&lt;="&amp;DATE(2025,9+1,0),Ubi!$B:$B,"*Barilla*")</f>
        <v>0</v>
      </c>
      <c r="E13" s="86">
        <f>SUMIFS(Ubi!$K:$K,Ubi!$C:$C,"&gt;="&amp;DATE(2025,10,1),Ubi!$C:$C,"&lt;="&amp;DATE(2025,12+1,0),Ubi!$B:$B,"*Barilla*")</f>
        <v>165</v>
      </c>
      <c r="F13" s="86">
        <f>SUMIFS(Ubi!$K:$K,Ubi!$C:$C,"&gt;="&amp;DATE(2026,1,1),Ubi!$C:$C,"&lt;="&amp;DATE(2026,3+1,0),Ubi!$B:$B,"*Barilla*")</f>
        <v>0</v>
      </c>
      <c r="G13" s="86">
        <f>SUMIFS(Ubi!$K:$K,Ubi!$C:$C,"&gt;="&amp;DATE(2026,4,1),Ubi!$C:$C,"&lt;="&amp;DATE(2026,6+1,0),Ubi!$B:$B,"*Barilla*")</f>
        <v>0</v>
      </c>
      <c r="H13" s="86">
        <f>SUMIFS(Ubi!$K:$K,Ubi!$C:$C,"&gt;="&amp;DATE(2026,7,1),Ubi!$C:$C,"&lt;="&amp;DATE(2026,9+1,0),Ubi!$B:$B,"*Barilla*")</f>
        <v>0</v>
      </c>
      <c r="I13" s="86">
        <f>SUMIFS(Ubi!$K:$K,Ubi!$C:$C,"&gt;="&amp;DATE(2026,10,1),Ubi!$C:$C,"&lt;="&amp;DATE(2026,12+1,0),Ubi!$B:$B,"*Barilla*")</f>
        <v>0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ht="18" customHeight="1">
      <c r="A14" s="78" t="s">
        <v>15</v>
      </c>
      <c r="B14" s="87">
        <f>SUM(B5:B13)</f>
        <v>9005</v>
      </c>
      <c r="C14" s="87">
        <f>SUM(C5:C13)</f>
        <v>28010</v>
      </c>
      <c r="D14" s="87">
        <f>SUM(D5:D13)</f>
        <v>24960</v>
      </c>
      <c r="E14" s="87">
        <f>SUM(E5:E13)</f>
        <v>23005</v>
      </c>
      <c r="F14" s="87">
        <f>SUM(F5:F13)</f>
        <v>1806.6666666666667</v>
      </c>
      <c r="G14" s="87">
        <f>SUM(G5:G13)</f>
        <v>0</v>
      </c>
      <c r="H14" s="87">
        <f>SUM(H5:H13)</f>
        <v>0</v>
      </c>
      <c r="I14" s="87">
        <f>SUM(I5:I13)</f>
        <v>0</v>
      </c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ht="12" customHeight="1">
      <c r="A15" s="72"/>
      <c r="B15" s="72"/>
      <c r="C15" s="72"/>
      <c r="D15" s="72"/>
      <c r="E15" s="72"/>
      <c r="F15" s="72"/>
      <c r="G15" s="72"/>
      <c r="H15" s="72"/>
      <c r="I15" s="72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ht="18" customHeight="1">
      <c r="A16" s="75" t="s">
        <v>16</v>
      </c>
      <c r="B16" s="94">
        <v>2025</v>
      </c>
      <c r="C16" s="94"/>
      <c r="D16" s="94"/>
      <c r="E16" s="94"/>
      <c r="F16" s="94">
        <v>2026</v>
      </c>
      <c r="G16" s="94"/>
      <c r="H16" s="94"/>
      <c r="I16" s="94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</row>
    <row r="17" spans="1:52" ht="18" customHeight="1">
      <c r="A17" s="82"/>
      <c r="B17" s="82" t="s">
        <v>2</v>
      </c>
      <c r="C17" s="82" t="s">
        <v>3</v>
      </c>
      <c r="D17" s="82" t="s">
        <v>4</v>
      </c>
      <c r="E17" s="82" t="s">
        <v>5</v>
      </c>
      <c r="F17" s="82" t="s">
        <v>2</v>
      </c>
      <c r="G17" s="82" t="s">
        <v>3</v>
      </c>
      <c r="H17" s="82" t="s">
        <v>4</v>
      </c>
      <c r="I17" s="82" t="s">
        <v>5</v>
      </c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ht="18" customHeight="1">
      <c r="A18" s="76" t="s">
        <v>6</v>
      </c>
      <c r="B18" s="88">
        <f>COUNTIFS(Ubi!$C:$C,"&gt;="&amp;DATE(2025,1,1),Ubi!$C:$C,"&lt;="&amp;DATE(2025,3+1,0),Ubi!$B:$B,"*Adidas*")</f>
        <v>13</v>
      </c>
      <c r="C18" s="88">
        <f>COUNTIFS(Ubi!$C:$C,"&gt;="&amp;DATE(2025,4,1),Ubi!$C:$C,"&lt;="&amp;DATE(2025,6+1,0),Ubi!$B:$B,"*Adidas*")</f>
        <v>43</v>
      </c>
      <c r="D18" s="88">
        <f>COUNTIFS(Ubi!$C:$C,"&gt;="&amp;DATE(2025,7,1),Ubi!$C:$C,"&lt;="&amp;DATE(2025,9+1,0),Ubi!$B:$B,"*Adidas*")</f>
        <v>11</v>
      </c>
      <c r="E18" s="88">
        <f>COUNTIFS(Ubi!$C:$C,"&gt;="&amp;DATE(2025,10,1),Ubi!$C:$C,"&lt;="&amp;DATE(2025,12+1,0),Ubi!$B:$B,"*Adidas*")</f>
        <v>8</v>
      </c>
      <c r="F18" s="88">
        <f>COUNTIFS(Ubi!$C:$C,"&gt;="&amp;DATE(2026,1,1),Ubi!$C:$C,"&lt;="&amp;DATE(2026,3+1,0),Ubi!$B:$B,"*Adidas*")</f>
        <v>11</v>
      </c>
      <c r="G18" s="88">
        <f>COUNTIFS(Ubi!$C:$C,"&gt;="&amp;DATE(2026,4,1),Ubi!$C:$C,"&lt;="&amp;DATE(2026,6+1,0),Ubi!$B:$B,"*Adidas*")</f>
        <v>0</v>
      </c>
      <c r="H18" s="88">
        <f>COUNTIFS(Ubi!$C:$C,"&gt;="&amp;DATE(2026,7,1),Ubi!$C:$C,"&lt;="&amp;DATE(2026,9+1,0),Ubi!$B:$B,"*Adidas*")</f>
        <v>0</v>
      </c>
      <c r="I18" s="88">
        <f>COUNTIFS(Ubi!$C:$C,"&gt;="&amp;DATE(2026,10,1),Ubi!$C:$C,"&lt;="&amp;DATE(2026,12+1,0),Ubi!$B:$B,"*Adidas*")</f>
        <v>0</v>
      </c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</row>
    <row r="19" spans="1:52" ht="18" customHeight="1">
      <c r="A19" s="77" t="s">
        <v>7</v>
      </c>
      <c r="B19" s="89">
        <f>COUNTIFS(Ubi!$C:$C,"&gt;="&amp;DATE(2025,1,1),Ubi!$C:$C,"&lt;="&amp;DATE(2025,3+1,0),Ubi!$B:$B,"*Red Bull*")</f>
        <v>2</v>
      </c>
      <c r="C19" s="89">
        <f>COUNTIFS(Ubi!$C:$C,"&gt;="&amp;DATE(2025,4,1),Ubi!$C:$C,"&lt;="&amp;DATE(2025,6+1,0),Ubi!$B:$B,"*Red Bull*")</f>
        <v>0</v>
      </c>
      <c r="D19" s="89">
        <f>COUNTIFS(Ubi!$C:$C,"&gt;="&amp;DATE(2025,7,1),Ubi!$C:$C,"&lt;="&amp;DATE(2025,9+1,0),Ubi!$B:$B,"*Red Bull*")</f>
        <v>0</v>
      </c>
      <c r="E19" s="89">
        <f>COUNTIFS(Ubi!$C:$C,"&gt;="&amp;DATE(2025,10,1),Ubi!$C:$C,"&lt;="&amp;DATE(2025,12+1,0),Ubi!$B:$B,"*Red Bull*")</f>
        <v>1</v>
      </c>
      <c r="F19" s="89">
        <f>COUNTIFS(Ubi!$C:$C,"&gt;="&amp;DATE(2026,1,1),Ubi!$C:$C,"&lt;="&amp;DATE(2026,3+1,0),Ubi!$B:$B,"*Red Bull*")</f>
        <v>0</v>
      </c>
      <c r="G19" s="89">
        <f>COUNTIFS(Ubi!$C:$C,"&gt;="&amp;DATE(2026,4,1),Ubi!$C:$C,"&lt;="&amp;DATE(2026,6+1,0),Ubi!$B:$B,"*Red Bull*")</f>
        <v>0</v>
      </c>
      <c r="H19" s="89">
        <f>COUNTIFS(Ubi!$C:$C,"&gt;="&amp;DATE(2026,7,1),Ubi!$C:$C,"&lt;="&amp;DATE(2026,9+1,0),Ubi!$B:$B,"*Red Bull*")</f>
        <v>0</v>
      </c>
      <c r="I19" s="89">
        <f>COUNTIFS(Ubi!$C:$C,"&gt;="&amp;DATE(2026,10,1),Ubi!$C:$C,"&lt;="&amp;DATE(2026,12+1,0),Ubi!$B:$B,"*Red Bull*")</f>
        <v>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</row>
    <row r="20" spans="1:52" ht="18" customHeight="1">
      <c r="A20" s="76" t="s">
        <v>8</v>
      </c>
      <c r="B20" s="88">
        <f>COUNTIFS(Ubi!$C:$C,"&gt;="&amp;DATE(2025,1,1),Ubi!$C:$C,"&lt;="&amp;DATE(2025,3+1,0),Ubi!$B:$B,"*LEGO*")</f>
        <v>1</v>
      </c>
      <c r="C20" s="88">
        <f>COUNTIFS(Ubi!$C:$C,"&gt;="&amp;DATE(2025,4,1),Ubi!$C:$C,"&lt;="&amp;DATE(2025,6+1,0),Ubi!$B:$B,"*LEGO*")</f>
        <v>7</v>
      </c>
      <c r="D20" s="88">
        <f>COUNTIFS(Ubi!$C:$C,"&gt;="&amp;DATE(2025,7,1),Ubi!$C:$C,"&lt;="&amp;DATE(2025,9+1,0),Ubi!$B:$B,"*LEGO*")</f>
        <v>4</v>
      </c>
      <c r="E20" s="88">
        <f>COUNTIFS(Ubi!$C:$C,"&gt;="&amp;DATE(2025,10,1),Ubi!$C:$C,"&lt;="&amp;DATE(2025,12+1,0),Ubi!$B:$B,"*LEGO*")</f>
        <v>0</v>
      </c>
      <c r="F20" s="88">
        <f>COUNTIFS(Ubi!$C:$C,"&gt;="&amp;DATE(2026,1,1),Ubi!$C:$C,"&lt;="&amp;DATE(2026,3+1,0),Ubi!$B:$B,"*LEGO*")</f>
        <v>0</v>
      </c>
      <c r="G20" s="88">
        <f>COUNTIFS(Ubi!$C:$C,"&gt;="&amp;DATE(2026,4,1),Ubi!$C:$C,"&lt;="&amp;DATE(2026,6+1,0),Ubi!$B:$B,"*LEGO*")</f>
        <v>0</v>
      </c>
      <c r="H20" s="88">
        <f>COUNTIFS(Ubi!$C:$C,"&gt;="&amp;DATE(2026,7,1),Ubi!$C:$C,"&lt;="&amp;DATE(2026,9+1,0),Ubi!$B:$B,"*LEGO*")</f>
        <v>0</v>
      </c>
      <c r="I20" s="88">
        <f>COUNTIFS(Ubi!$C:$C,"&gt;="&amp;DATE(2026,10,1),Ubi!$C:$C,"&lt;="&amp;DATE(2026,12+1,0),Ubi!$B:$B,"*LEGO*")</f>
        <v>0</v>
      </c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</row>
    <row r="21" spans="1:52" ht="18" customHeight="1">
      <c r="A21" s="77" t="s">
        <v>9</v>
      </c>
      <c r="B21" s="89">
        <f>COUNTIFS(Ubi!$C:$C,"&gt;="&amp;DATE(2025,1,1),Ubi!$C:$C,"&lt;="&amp;DATE(2025,3+1,0),Ubi!$B:$B,"*Ubisoft*")+COUNTIFS(Ubi!$C:$C,"&gt;="&amp;DATE(2025,1,1),Ubi!$C:$C,"&lt;="&amp;DATE(2025,3+1,0),Ubi!$B:$B,"UBI")</f>
        <v>2</v>
      </c>
      <c r="C21" s="89">
        <f>COUNTIFS(Ubi!$C:$C,"&gt;="&amp;DATE(2025,4,1),Ubi!$C:$C,"&lt;="&amp;DATE(2025,6+1,0),Ubi!$B:$B,"*Ubisoft*")+COUNTIFS(Ubi!$C:$C,"&gt;="&amp;DATE(2025,4,1),Ubi!$C:$C,"&lt;="&amp;DATE(2025,6+1,0),Ubi!$B:$B,"UBI")</f>
        <v>7</v>
      </c>
      <c r="D21" s="89">
        <f>COUNTIFS(Ubi!$C:$C,"&gt;="&amp;DATE(2025,7,1),Ubi!$C:$C,"&lt;="&amp;DATE(2025,9+1,0),Ubi!$B:$B,"*Ubisoft*")+COUNTIFS(Ubi!$C:$C,"&gt;="&amp;DATE(2025,7,1),Ubi!$C:$C,"&lt;="&amp;DATE(2025,9+1,0),Ubi!$B:$B,"UBI")</f>
        <v>0</v>
      </c>
      <c r="E21" s="89">
        <f>COUNTIFS(Ubi!$C:$C,"&gt;="&amp;DATE(2025,10,1),Ubi!$C:$C,"&lt;="&amp;DATE(2025,12+1,0),Ubi!$B:$B,"*Ubisoft*")+COUNTIFS(Ubi!$C:$C,"&gt;="&amp;DATE(2025,10,1),Ubi!$C:$C,"&lt;="&amp;DATE(2025,12+1,0),Ubi!$B:$B,"UBI")</f>
        <v>2</v>
      </c>
      <c r="F21" s="89">
        <f>COUNTIFS(Ubi!$C:$C,"&gt;="&amp;DATE(2026,1,1),Ubi!$C:$C,"&lt;="&amp;DATE(2026,3+1,0),Ubi!$B:$B,"*Ubisoft*")+COUNTIFS(Ubi!$C:$C,"&gt;="&amp;DATE(2026,1,1),Ubi!$C:$C,"&lt;="&amp;DATE(2026,3+1,0),Ubi!$B:$B,"UBI")</f>
        <v>0</v>
      </c>
      <c r="G21" s="89">
        <f>COUNTIFS(Ubi!$C:$C,"&gt;="&amp;DATE(2026,4,1),Ubi!$C:$C,"&lt;="&amp;DATE(2026,6+1,0),Ubi!$B:$B,"*Ubisoft*")+COUNTIFS(Ubi!$C:$C,"&gt;="&amp;DATE(2026,4,1),Ubi!$C:$C,"&lt;="&amp;DATE(2026,6+1,0),Ubi!$B:$B,"UBI")</f>
        <v>0</v>
      </c>
      <c r="H21" s="89">
        <f>COUNTIFS(Ubi!$C:$C,"&gt;="&amp;DATE(2026,7,1),Ubi!$C:$C,"&lt;="&amp;DATE(2026,9+1,0),Ubi!$B:$B,"*Ubisoft*")+COUNTIFS(Ubi!$C:$C,"&gt;="&amp;DATE(2026,7,1),Ubi!$C:$C,"&lt;="&amp;DATE(2026,9+1,0),Ubi!$B:$B,"UBI")</f>
        <v>0</v>
      </c>
      <c r="I21" s="89">
        <f>COUNTIFS(Ubi!$C:$C,"&gt;="&amp;DATE(2026,10,1),Ubi!$C:$C,"&lt;="&amp;DATE(2026,12+1,0),Ubi!$B:$B,"*Ubisoft*")+COUNTIFS(Ubi!$C:$C,"&gt;="&amp;DATE(2026,10,1),Ubi!$C:$C,"&lt;="&amp;DATE(2026,12+1,0),Ubi!$B:$B,"UBI")</f>
        <v>0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</row>
    <row r="22" spans="1:52" ht="18" customHeight="1">
      <c r="A22" s="76" t="s">
        <v>10</v>
      </c>
      <c r="B22" s="88">
        <f>COUNTIFS(Ubi!$C:$C,"&gt;="&amp;DATE(2025,1,1),Ubi!$C:$C,"&lt;="&amp;DATE(2025,3+1,0),Ubi!$B:$B,"*Perrier*")</f>
        <v>0</v>
      </c>
      <c r="C22" s="88">
        <f>COUNTIFS(Ubi!$C:$C,"&gt;="&amp;DATE(2025,4,1),Ubi!$C:$C,"&lt;="&amp;DATE(2025,6+1,0),Ubi!$B:$B,"*Perrier*")</f>
        <v>4</v>
      </c>
      <c r="D22" s="88">
        <f>COUNTIFS(Ubi!$C:$C,"&gt;="&amp;DATE(2025,7,1),Ubi!$C:$C,"&lt;="&amp;DATE(2025,9+1,0),Ubi!$B:$B,"*Perrier*")</f>
        <v>0</v>
      </c>
      <c r="E22" s="88">
        <f>COUNTIFS(Ubi!$C:$C,"&gt;="&amp;DATE(2025,10,1),Ubi!$C:$C,"&lt;="&amp;DATE(2025,12+1,0),Ubi!$B:$B,"*Perrier*")</f>
        <v>0</v>
      </c>
      <c r="F22" s="88">
        <f>COUNTIFS(Ubi!$C:$C,"&gt;="&amp;DATE(2026,1,1),Ubi!$C:$C,"&lt;="&amp;DATE(2026,3+1,0),Ubi!$B:$B,"*Perrier*")</f>
        <v>0</v>
      </c>
      <c r="G22" s="88">
        <f>COUNTIFS(Ubi!$C:$C,"&gt;="&amp;DATE(2026,4,1),Ubi!$C:$C,"&lt;="&amp;DATE(2026,6+1,0),Ubi!$B:$B,"*Perrier*")</f>
        <v>0</v>
      </c>
      <c r="H22" s="88">
        <f>COUNTIFS(Ubi!$C:$C,"&gt;="&amp;DATE(2026,7,1),Ubi!$C:$C,"&lt;="&amp;DATE(2026,9+1,0),Ubi!$B:$B,"*Perrier*")</f>
        <v>0</v>
      </c>
      <c r="I22" s="88">
        <f>COUNTIFS(Ubi!$C:$C,"&gt;="&amp;DATE(2026,10,1),Ubi!$C:$C,"&lt;="&amp;DATE(2026,12+1,0),Ubi!$B:$B,"*Perrier*")</f>
        <v>0</v>
      </c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</row>
    <row r="23" spans="1:52" ht="18" customHeight="1">
      <c r="A23" s="77" t="s">
        <v>11</v>
      </c>
      <c r="B23" s="89">
        <f>COUNTIFS(Ubi!$C:$C,"&gt;="&amp;DATE(2025,1,1),Ubi!$C:$C,"&lt;="&amp;DATE(2025,3+1,0),Ubi!$B:$B,"*IKEA*")</f>
        <v>0</v>
      </c>
      <c r="C23" s="89">
        <f>COUNTIFS(Ubi!$C:$C,"&gt;="&amp;DATE(2025,4,1),Ubi!$C:$C,"&lt;="&amp;DATE(2025,6+1,0),Ubi!$B:$B,"*IKEA*")</f>
        <v>0</v>
      </c>
      <c r="D23" s="89">
        <f>COUNTIFS(Ubi!$C:$C,"&gt;="&amp;DATE(2025,7,1),Ubi!$C:$C,"&lt;="&amp;DATE(2025,9+1,0),Ubi!$B:$B,"*IKEA*")</f>
        <v>9</v>
      </c>
      <c r="E23" s="89">
        <f>COUNTIFS(Ubi!$C:$C,"&gt;="&amp;DATE(2025,10,1),Ubi!$C:$C,"&lt;="&amp;DATE(2025,12+1,0),Ubi!$B:$B,"*IKEA*")</f>
        <v>1</v>
      </c>
      <c r="F23" s="89">
        <f>COUNTIFS(Ubi!$C:$C,"&gt;="&amp;DATE(2026,1,1),Ubi!$C:$C,"&lt;="&amp;DATE(2026,3+1,0),Ubi!$B:$B,"*IKEA*")</f>
        <v>0</v>
      </c>
      <c r="G23" s="89">
        <f>COUNTIFS(Ubi!$C:$C,"&gt;="&amp;DATE(2026,4,1),Ubi!$C:$C,"&lt;="&amp;DATE(2026,6+1,0),Ubi!$B:$B,"*IKEA*")</f>
        <v>0</v>
      </c>
      <c r="H23" s="89">
        <f>COUNTIFS(Ubi!$C:$C,"&gt;="&amp;DATE(2026,7,1),Ubi!$C:$C,"&lt;="&amp;DATE(2026,9+1,0),Ubi!$B:$B,"*IKEA*")</f>
        <v>0</v>
      </c>
      <c r="I23" s="89">
        <f>COUNTIFS(Ubi!$C:$C,"&gt;="&amp;DATE(2026,10,1),Ubi!$C:$C,"&lt;="&amp;DATE(2026,12+1,0),Ubi!$B:$B,"*IKEA*")</f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</row>
    <row r="24" spans="1:52" ht="18" customHeight="1">
      <c r="A24" s="76" t="s">
        <v>12</v>
      </c>
      <c r="B24" s="88">
        <f>COUNTIFS(Ubi!$C:$C,"&gt;="&amp;DATE(2025,1,1),Ubi!$C:$C,"&lt;="&amp;DATE(2025,3+1,0),Ubi!$B:$B,"*L'Oréal*")</f>
        <v>0</v>
      </c>
      <c r="C24" s="88">
        <f>COUNTIFS(Ubi!$C:$C,"&gt;="&amp;DATE(2025,4,1),Ubi!$C:$C,"&lt;="&amp;DATE(2025,6+1,0),Ubi!$B:$B,"*L'Oréal*")</f>
        <v>0</v>
      </c>
      <c r="D24" s="88">
        <f>COUNTIFS(Ubi!$C:$C,"&gt;="&amp;DATE(2025,7,1),Ubi!$C:$C,"&lt;="&amp;DATE(2025,9+1,0),Ubi!$B:$B,"*L'Oréal*")</f>
        <v>2</v>
      </c>
      <c r="E24" s="88">
        <f>COUNTIFS(Ubi!$C:$C,"&gt;="&amp;DATE(2025,10,1),Ubi!$C:$C,"&lt;="&amp;DATE(2025,12+1,0),Ubi!$B:$B,"*L'Oréal*")</f>
        <v>0</v>
      </c>
      <c r="F24" s="88">
        <f>COUNTIFS(Ubi!$C:$C,"&gt;="&amp;DATE(2026,1,1),Ubi!$C:$C,"&lt;="&amp;DATE(2026,3+1,0),Ubi!$B:$B,"*L'Oréal*")</f>
        <v>0</v>
      </c>
      <c r="G24" s="88">
        <f>COUNTIFS(Ubi!$C:$C,"&gt;="&amp;DATE(2026,4,1),Ubi!$C:$C,"&lt;="&amp;DATE(2026,6+1,0),Ubi!$B:$B,"*L'Oréal*")</f>
        <v>0</v>
      </c>
      <c r="H24" s="88">
        <f>COUNTIFS(Ubi!$C:$C,"&gt;="&amp;DATE(2026,7,1),Ubi!$C:$C,"&lt;="&amp;DATE(2026,9+1,0),Ubi!$B:$B,"*L'Oréal*")</f>
        <v>0</v>
      </c>
      <c r="I24" s="88">
        <f>COUNTIFS(Ubi!$C:$C,"&gt;="&amp;DATE(2026,10,1),Ubi!$C:$C,"&lt;="&amp;DATE(2026,12+1,0),Ubi!$B:$B,"*L'Oréal*")</f>
        <v>0</v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</row>
    <row r="25" spans="1:52" ht="18" customHeight="1">
      <c r="A25" s="77" t="s">
        <v>13</v>
      </c>
      <c r="B25" s="89">
        <f>COUNTIFS(Ubi!$C:$C,"&gt;="&amp;DATE(2025,1,1),Ubi!$C:$C,"&lt;="&amp;DATE(2025,3+1,0),Ubi!$B:$B,"*TikTok*")</f>
        <v>0</v>
      </c>
      <c r="C25" s="89">
        <f>COUNTIFS(Ubi!$C:$C,"&gt;="&amp;DATE(2025,4,1),Ubi!$C:$C,"&lt;="&amp;DATE(2025,6+1,0),Ubi!$B:$B,"*TikTok*")</f>
        <v>0</v>
      </c>
      <c r="D25" s="89">
        <f>COUNTIFS(Ubi!$C:$C,"&gt;="&amp;DATE(2025,7,1),Ubi!$C:$C,"&lt;="&amp;DATE(2025,9+1,0),Ubi!$B:$B,"*TikTok*")</f>
        <v>0</v>
      </c>
      <c r="E25" s="89">
        <f>COUNTIFS(Ubi!$C:$C,"&gt;="&amp;DATE(2025,10,1),Ubi!$C:$C,"&lt;="&amp;DATE(2025,12+1,0),Ubi!$B:$B,"*TikTok*")</f>
        <v>1</v>
      </c>
      <c r="F25" s="89">
        <f>COUNTIFS(Ubi!$C:$C,"&gt;="&amp;DATE(2026,1,1),Ubi!$C:$C,"&lt;="&amp;DATE(2026,3+1,0),Ubi!$B:$B,"*TikTok*")</f>
        <v>0</v>
      </c>
      <c r="G25" s="89">
        <f>COUNTIFS(Ubi!$C:$C,"&gt;="&amp;DATE(2026,4,1),Ubi!$C:$C,"&lt;="&amp;DATE(2026,6+1,0),Ubi!$B:$B,"*TikTok*")</f>
        <v>0</v>
      </c>
      <c r="H25" s="89">
        <f>COUNTIFS(Ubi!$C:$C,"&gt;="&amp;DATE(2026,7,1),Ubi!$C:$C,"&lt;="&amp;DATE(2026,9+1,0),Ubi!$B:$B,"*TikTok*")</f>
        <v>0</v>
      </c>
      <c r="I25" s="89">
        <f>COUNTIFS(Ubi!$C:$C,"&gt;="&amp;DATE(2026,10,1),Ubi!$C:$C,"&lt;="&amp;DATE(2026,12+1,0),Ubi!$B:$B,"*TikTok*")</f>
        <v>0</v>
      </c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</row>
    <row r="26" spans="1:52" ht="18" customHeight="1">
      <c r="A26" s="83" t="s">
        <v>14</v>
      </c>
      <c r="B26" s="90">
        <f>COUNTIFS(Ubi!$C:$C,"&gt;="&amp;DATE(2025,1,1),Ubi!$C:$C,"&lt;="&amp;DATE(2025,3+1,0),Ubi!$B:$B,"*Barilla*")</f>
        <v>0</v>
      </c>
      <c r="C26" s="90">
        <f>COUNTIFS(Ubi!$C:$C,"&gt;="&amp;DATE(2025,4,1),Ubi!$C:$C,"&lt;="&amp;DATE(2025,6+1,0),Ubi!$B:$B,"*Barilla*")</f>
        <v>0</v>
      </c>
      <c r="D26" s="90">
        <f>COUNTIFS(Ubi!$C:$C,"&gt;="&amp;DATE(2025,7,1),Ubi!$C:$C,"&lt;="&amp;DATE(2025,9+1,0),Ubi!$B:$B,"*Barilla*")</f>
        <v>0</v>
      </c>
      <c r="E26" s="90">
        <f>COUNTIFS(Ubi!$C:$C,"&gt;="&amp;DATE(2025,10,1),Ubi!$C:$C,"&lt;="&amp;DATE(2025,12+1,0),Ubi!$B:$B,"*Barilla*")</f>
        <v>1</v>
      </c>
      <c r="F26" s="90">
        <f>COUNTIFS(Ubi!$C:$C,"&gt;="&amp;DATE(2026,1,1),Ubi!$C:$C,"&lt;="&amp;DATE(2026,3+1,0),Ubi!$B:$B,"*Barilla*")</f>
        <v>1</v>
      </c>
      <c r="G26" s="90">
        <f>COUNTIFS(Ubi!$C:$C,"&gt;="&amp;DATE(2026,4,1),Ubi!$C:$C,"&lt;="&amp;DATE(2026,6+1,0),Ubi!$B:$B,"*Barilla*")</f>
        <v>0</v>
      </c>
      <c r="H26" s="90">
        <f>COUNTIFS(Ubi!$C:$C,"&gt;="&amp;DATE(2026,7,1),Ubi!$C:$C,"&lt;="&amp;DATE(2026,9+1,0),Ubi!$B:$B,"*Barilla*")</f>
        <v>0</v>
      </c>
      <c r="I26" s="90">
        <f>COUNTIFS(Ubi!$C:$C,"&gt;="&amp;DATE(2026,10,1),Ubi!$C:$C,"&lt;="&amp;DATE(2026,12+1,0),Ubi!$B:$B,"*Barilla*")</f>
        <v>0</v>
      </c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</row>
    <row r="27" spans="1:52" ht="18" customHeight="1">
      <c r="A27" s="78" t="s">
        <v>15</v>
      </c>
      <c r="B27" s="91">
        <f>SUM(B18:B26)</f>
        <v>18</v>
      </c>
      <c r="C27" s="91">
        <f>SUM(C18:C26)</f>
        <v>61</v>
      </c>
      <c r="D27" s="91">
        <f>SUM(D18:D26)</f>
        <v>26</v>
      </c>
      <c r="E27" s="91">
        <f>SUM(E18:E26)</f>
        <v>14</v>
      </c>
      <c r="F27" s="91">
        <f>SUM(F18:F26)</f>
        <v>12</v>
      </c>
      <c r="G27" s="91">
        <f>SUM(G18:G26)</f>
        <v>0</v>
      </c>
      <c r="H27" s="91">
        <f>SUM(H18:H26)</f>
        <v>0</v>
      </c>
      <c r="I27" s="91">
        <f>SUM(I18:I26)</f>
        <v>0</v>
      </c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</row>
    <row r="28" spans="1:52" ht="12" customHeight="1">
      <c r="A28" s="72"/>
      <c r="B28" s="72"/>
      <c r="C28" s="72"/>
      <c r="D28" s="72"/>
      <c r="E28" s="72"/>
      <c r="F28" s="72"/>
      <c r="G28" s="72"/>
      <c r="H28" s="72"/>
      <c r="I28" s="72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</row>
    <row r="29" spans="1:52" ht="18" customHeight="1">
      <c r="A29" s="80" t="s">
        <v>17</v>
      </c>
      <c r="B29" s="81">
        <v>2025</v>
      </c>
      <c r="C29" s="81">
        <v>2026</v>
      </c>
      <c r="D29" s="81"/>
      <c r="E29" s="81"/>
      <c r="F29" s="81"/>
      <c r="G29" s="81"/>
      <c r="H29" s="81"/>
      <c r="I29" s="8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</row>
    <row r="30" spans="1:52" ht="18" customHeight="1">
      <c r="A30" s="76" t="s">
        <v>18</v>
      </c>
      <c r="B30" s="84">
        <f>SUM(B14:E14)</f>
        <v>84980</v>
      </c>
      <c r="C30" s="84">
        <f>SUM(F14:I14)</f>
        <v>1806.6666666666667</v>
      </c>
      <c r="D30" s="73"/>
      <c r="E30" s="73"/>
      <c r="F30" s="73"/>
      <c r="G30" s="73"/>
      <c r="H30" s="73"/>
      <c r="I30" s="73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</row>
    <row r="31" spans="1:52" ht="18" customHeight="1">
      <c r="A31" s="77" t="s">
        <v>19</v>
      </c>
      <c r="B31" s="89">
        <f>SUM(B27:E27)</f>
        <v>119</v>
      </c>
      <c r="C31" s="89">
        <f>SUM(F27:I27)</f>
        <v>12</v>
      </c>
      <c r="D31" s="74"/>
      <c r="E31" s="74"/>
      <c r="F31" s="74"/>
      <c r="G31" s="74"/>
      <c r="H31" s="74"/>
      <c r="I31" s="74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</row>
    <row r="32" spans="1:52" ht="18" customHeight="1">
      <c r="A32" s="79" t="s">
        <v>20</v>
      </c>
      <c r="B32" s="92">
        <f>IFERROR(B30/B31,"—")</f>
        <v>714.11764705882354</v>
      </c>
      <c r="C32" s="92">
        <f>IFERROR(C30/C31,"—")</f>
        <v>150.55555555555557</v>
      </c>
      <c r="D32" s="73"/>
      <c r="E32" s="73"/>
      <c r="F32" s="73"/>
      <c r="G32" s="73"/>
      <c r="H32" s="73"/>
      <c r="I32" s="73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</row>
    <row r="33" spans="1:52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</row>
    <row r="34" spans="1:52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</row>
    <row r="35" spans="1:52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</row>
    <row r="36" spans="1:52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</row>
    <row r="37" spans="1:5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</row>
    <row r="38" spans="1:5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</row>
    <row r="39" spans="1:52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</row>
    <row r="40" spans="1:5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</row>
    <row r="41" spans="1:5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</row>
    <row r="42" spans="1:5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</row>
    <row r="43" spans="1:52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</row>
    <row r="44" spans="1:5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</row>
    <row r="45" spans="1:5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</row>
    <row r="46" spans="1:5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</row>
    <row r="47" spans="1:5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</row>
    <row r="48" spans="1:5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</row>
    <row r="49" spans="1:5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</row>
    <row r="50" spans="1:5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</row>
    <row r="51" spans="1:5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</row>
    <row r="52" spans="1: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</row>
    <row r="53" spans="1:5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</row>
    <row r="54" spans="1:5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</row>
    <row r="55" spans="1:5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</row>
    <row r="56" spans="1:5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</row>
    <row r="57" spans="1:5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</row>
    <row r="58" spans="1:5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</row>
    <row r="59" spans="1:5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</row>
    <row r="60" spans="1:5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</row>
    <row r="61" spans="1:5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</row>
    <row r="62" spans="1:5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</row>
    <row r="63" spans="1:5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</row>
    <row r="64" spans="1:5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</row>
    <row r="65" spans="1:5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</row>
    <row r="66" spans="1:5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</row>
    <row r="67" spans="1:5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</row>
    <row r="68" spans="1:5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</row>
    <row r="69" spans="1:5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</row>
    <row r="70" spans="1:5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</row>
    <row r="71" spans="1:5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</row>
    <row r="72" spans="1:5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</row>
    <row r="73" spans="1:5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</row>
    <row r="74" spans="1:5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</row>
    <row r="75" spans="1:5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</row>
    <row r="76" spans="1:5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</row>
    <row r="77" spans="1:5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</row>
    <row r="78" spans="1:5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</row>
    <row r="79" spans="1:5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</row>
    <row r="80" spans="1:5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</row>
    <row r="81" spans="1:5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</row>
    <row r="82" spans="1:5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</row>
    <row r="83" spans="1:5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</row>
    <row r="84" spans="1:5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</row>
    <row r="85" spans="1:5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</row>
    <row r="86" spans="1:5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</row>
    <row r="87" spans="1:5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</row>
    <row r="88" spans="1:5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</row>
    <row r="89" spans="1:5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</row>
    <row r="90" spans="1:5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</row>
    <row r="91" spans="1:5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</row>
    <row r="92" spans="1:5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</row>
    <row r="93" spans="1:5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</row>
    <row r="94" spans="1:5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</row>
    <row r="95" spans="1:5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</row>
    <row r="96" spans="1:5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</row>
    <row r="97" spans="1:5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</row>
    <row r="98" spans="1:5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</row>
    <row r="99" spans="1:5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</row>
    <row r="100" spans="1:5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</row>
    <row r="101" spans="1:5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</row>
    <row r="102" spans="1:5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</row>
    <row r="103" spans="1:5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</row>
    <row r="104" spans="1:5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</row>
    <row r="105" spans="1:5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</row>
    <row r="106" spans="1:5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</row>
    <row r="107" spans="1:5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</row>
    <row r="108" spans="1:5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</row>
    <row r="109" spans="1:5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</row>
    <row r="110" spans="1:5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</row>
    <row r="111" spans="1:5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</row>
    <row r="112" spans="1:5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</row>
    <row r="113" spans="1:5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</row>
    <row r="114" spans="1:5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</row>
    <row r="115" spans="1:5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</row>
    <row r="116" spans="1:5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</row>
    <row r="117" spans="1:5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</row>
    <row r="118" spans="1:5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</row>
    <row r="119" spans="1:5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</row>
    <row r="120" spans="1:5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</row>
    <row r="121" spans="1:5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</row>
    <row r="122" spans="1:5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</row>
    <row r="123" spans="1:5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</row>
    <row r="124" spans="1:5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</row>
    <row r="125" spans="1:5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</row>
    <row r="126" spans="1:5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</row>
    <row r="127" spans="1:5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</row>
    <row r="128" spans="1:5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</row>
    <row r="129" spans="1:5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</row>
    <row r="130" spans="1:5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</row>
    <row r="131" spans="1:5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</row>
    <row r="132" spans="1:5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</row>
    <row r="133" spans="1:5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</row>
    <row r="134" spans="1:5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</row>
    <row r="135" spans="1:5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</row>
    <row r="136" spans="1:5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</row>
    <row r="137" spans="1:5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</row>
    <row r="138" spans="1:5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</row>
    <row r="139" spans="1:5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</row>
    <row r="140" spans="1:5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</row>
    <row r="141" spans="1:5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</row>
    <row r="142" spans="1:5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</row>
    <row r="143" spans="1:5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</row>
    <row r="144" spans="1:5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</row>
    <row r="145" spans="1:5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</row>
    <row r="146" spans="1:5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</row>
    <row r="147" spans="1:5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</row>
    <row r="148" spans="1:5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</row>
    <row r="149" spans="1:5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</row>
    <row r="150" spans="1:5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</row>
    <row r="151" spans="1:5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</row>
    <row r="152" spans="1: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</row>
    <row r="153" spans="1:5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</row>
    <row r="154" spans="1:5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</row>
    <row r="155" spans="1:5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</row>
    <row r="156" spans="1:5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</row>
    <row r="157" spans="1:5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</row>
    <row r="158" spans="1:5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</row>
    <row r="159" spans="1:5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</row>
    <row r="160" spans="1:5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</row>
    <row r="161" spans="1:5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</row>
    <row r="162" spans="1:5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</row>
    <row r="163" spans="1:5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</row>
    <row r="164" spans="1:5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</row>
    <row r="165" spans="1:5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</row>
    <row r="166" spans="1:5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</row>
    <row r="167" spans="1:5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</row>
    <row r="168" spans="1:5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</row>
    <row r="169" spans="1:5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</row>
    <row r="170" spans="1:5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</row>
    <row r="171" spans="1:5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</row>
    <row r="172" spans="1:5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</row>
    <row r="173" spans="1:5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</row>
    <row r="174" spans="1:5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</row>
    <row r="175" spans="1:5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</row>
    <row r="176" spans="1:5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</row>
    <row r="177" spans="1:5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</row>
    <row r="178" spans="1:5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</row>
    <row r="179" spans="1:5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</row>
    <row r="180" spans="1:5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</row>
    <row r="181" spans="1:5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</row>
    <row r="182" spans="1:5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</row>
    <row r="183" spans="1:5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</row>
    <row r="184" spans="1:5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</row>
    <row r="185" spans="1:5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</row>
    <row r="186" spans="1:5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</row>
    <row r="187" spans="1:5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</row>
    <row r="188" spans="1:5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</row>
    <row r="189" spans="1:5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</row>
    <row r="190" spans="1:5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</row>
    <row r="191" spans="1:5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</row>
    <row r="192" spans="1:5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</row>
    <row r="193" spans="1:5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</row>
    <row r="194" spans="1:5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</row>
    <row r="195" spans="1:5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</row>
    <row r="196" spans="1:5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</row>
    <row r="197" spans="1:5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</row>
    <row r="198" spans="1:5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</row>
    <row r="199" spans="1:5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</row>
    <row r="200" spans="1:5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</row>
  </sheetData>
  <mergeCells count="5">
    <mergeCell ref="A1:I1"/>
    <mergeCell ref="B3:E3"/>
    <mergeCell ref="F3:I3"/>
    <mergeCell ref="B16:E16"/>
    <mergeCell ref="F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868-1EE0-4CB0-A9C8-6A368F92C478}">
  <dimension ref="A1:BC139"/>
  <sheetViews>
    <sheetView tabSelected="1" workbookViewId="0">
      <pane xSplit="2" ySplit="5" topLeftCell="N134" activePane="bottomRight" state="frozen"/>
      <selection pane="bottomRight" activeCell="S146" sqref="S146"/>
      <selection pane="bottomLeft"/>
      <selection pane="topRight"/>
    </sheetView>
  </sheetViews>
  <sheetFormatPr defaultColWidth="11.42578125" defaultRowHeight="15" customHeight="1"/>
  <cols>
    <col min="1" max="1" width="11.42578125" customWidth="1"/>
    <col min="2" max="2" width="18.140625" customWidth="1"/>
    <col min="3" max="3" width="16.42578125" style="25" customWidth="1"/>
    <col min="4" max="4" width="49.140625" style="32" customWidth="1"/>
    <col min="5" max="5" width="10.5703125" customWidth="1"/>
    <col min="6" max="6" width="17.28515625" customWidth="1"/>
    <col min="7" max="7" width="10.5703125" customWidth="1"/>
    <col min="8" max="8" width="11.42578125" style="26" customWidth="1"/>
    <col min="9" max="9" width="34.28515625" customWidth="1"/>
    <col min="10" max="10" width="10.42578125" style="26" customWidth="1"/>
    <col min="11" max="11" width="14.28515625" style="27" bestFit="1" customWidth="1"/>
    <col min="12" max="12" width="12.7109375" customWidth="1"/>
    <col min="13" max="13" width="13.42578125" style="26" customWidth="1"/>
    <col min="14" max="14" width="13.28515625" style="26" customWidth="1"/>
    <col min="15" max="15" width="15.140625" style="26" customWidth="1"/>
    <col min="16" max="16" width="38.42578125" style="26" bestFit="1" customWidth="1"/>
    <col min="17" max="17" width="15.42578125" style="28" customWidth="1"/>
    <col min="18" max="20" width="15.42578125" style="26" customWidth="1"/>
    <col min="21" max="21" width="19.7109375" style="26" customWidth="1"/>
    <col min="22" max="22" width="12.140625" style="26" customWidth="1"/>
    <col min="23" max="24" width="12" style="26" customWidth="1"/>
    <col min="25" max="25" width="12" style="28" customWidth="1"/>
    <col min="26" max="30" width="12" style="26" customWidth="1"/>
    <col min="31" max="32" width="12" style="28" customWidth="1"/>
    <col min="33" max="33" width="13.42578125" style="26" customWidth="1"/>
    <col min="34" max="35" width="12" style="26" customWidth="1"/>
    <col min="36" max="36" width="14.42578125" style="28" customWidth="1"/>
    <col min="37" max="37" width="14.42578125" style="26" customWidth="1"/>
    <col min="38" max="40" width="13.140625" style="26" customWidth="1"/>
    <col min="41" max="42" width="14" style="26" customWidth="1"/>
    <col min="43" max="44" width="12" style="26" customWidth="1"/>
    <col min="45" max="45" width="12" style="28" customWidth="1"/>
    <col min="46" max="46" width="12" style="26" customWidth="1"/>
    <col min="47" max="47" width="12" style="28" customWidth="1"/>
    <col min="48" max="48" width="12" style="26" customWidth="1"/>
    <col min="49" max="49" width="16.42578125" style="24" customWidth="1"/>
    <col min="50" max="50" width="16.42578125" customWidth="1"/>
  </cols>
  <sheetData>
    <row r="1" spans="1:55">
      <c r="C1" s="36"/>
      <c r="G1" s="26"/>
      <c r="H1"/>
      <c r="I1" s="26"/>
      <c r="J1"/>
      <c r="K1" s="44">
        <f t="shared" ref="K1" si="0">SUBTOTAL(2,K6:K19661)</f>
        <v>131</v>
      </c>
      <c r="L1" s="27"/>
      <c r="M1" s="38"/>
      <c r="N1"/>
      <c r="O1"/>
      <c r="P1"/>
      <c r="Q1" s="37">
        <f t="shared" ref="Q1:R1" si="1">SUBTOTAL(2,Q6:Q19661)</f>
        <v>50</v>
      </c>
      <c r="R1" s="37">
        <f t="shared" si="1"/>
        <v>87</v>
      </c>
      <c r="S1" s="37">
        <f t="shared" ref="S1" si="2">SUBTOTAL(2,S6:S19661)</f>
        <v>30</v>
      </c>
      <c r="T1" s="37">
        <f>SUBTOTAL(2,T6:T19661)</f>
        <v>0</v>
      </c>
      <c r="U1" s="37">
        <f t="shared" ref="U1:AW1" si="3">SUBTOTAL(2,U6:U19661)</f>
        <v>0</v>
      </c>
      <c r="V1" s="37">
        <f t="shared" si="3"/>
        <v>0</v>
      </c>
      <c r="W1" s="37">
        <f t="shared" si="3"/>
        <v>0</v>
      </c>
      <c r="X1" s="37">
        <f t="shared" si="3"/>
        <v>4</v>
      </c>
      <c r="Y1" s="37">
        <f t="shared" si="3"/>
        <v>20</v>
      </c>
      <c r="Z1" s="37">
        <f t="shared" si="3"/>
        <v>27</v>
      </c>
      <c r="AA1" s="37">
        <f t="shared" si="3"/>
        <v>1</v>
      </c>
      <c r="AB1" s="37">
        <f t="shared" si="3"/>
        <v>3</v>
      </c>
      <c r="AC1" s="37">
        <f t="shared" si="3"/>
        <v>4</v>
      </c>
      <c r="AD1" s="37">
        <f t="shared" si="3"/>
        <v>0</v>
      </c>
      <c r="AE1" s="37">
        <f t="shared" si="3"/>
        <v>2</v>
      </c>
      <c r="AF1" s="37">
        <f t="shared" si="3"/>
        <v>2</v>
      </c>
      <c r="AG1" s="37">
        <f t="shared" si="3"/>
        <v>0</v>
      </c>
      <c r="AH1" s="37">
        <f t="shared" si="3"/>
        <v>0</v>
      </c>
      <c r="AI1" s="37">
        <f t="shared" si="3"/>
        <v>0</v>
      </c>
      <c r="AJ1" s="37">
        <f t="shared" si="3"/>
        <v>8</v>
      </c>
      <c r="AK1" s="37">
        <f t="shared" si="3"/>
        <v>7</v>
      </c>
      <c r="AL1" s="37">
        <f t="shared" si="3"/>
        <v>1</v>
      </c>
      <c r="AM1" s="37">
        <f t="shared" si="3"/>
        <v>2</v>
      </c>
      <c r="AN1" s="37">
        <f t="shared" si="3"/>
        <v>0</v>
      </c>
      <c r="AO1" s="37">
        <f t="shared" si="3"/>
        <v>0</v>
      </c>
      <c r="AP1" s="37">
        <f t="shared" si="3"/>
        <v>0</v>
      </c>
      <c r="AQ1" s="37">
        <f t="shared" si="3"/>
        <v>0</v>
      </c>
      <c r="AR1" s="37">
        <f t="shared" si="3"/>
        <v>0</v>
      </c>
      <c r="AS1" s="37">
        <f t="shared" si="3"/>
        <v>0</v>
      </c>
      <c r="AT1" s="37">
        <f t="shared" si="3"/>
        <v>0</v>
      </c>
      <c r="AU1" s="37">
        <f t="shared" si="3"/>
        <v>0</v>
      </c>
      <c r="AV1" s="37">
        <f t="shared" si="3"/>
        <v>0</v>
      </c>
      <c r="AW1" s="37">
        <f t="shared" si="3"/>
        <v>0</v>
      </c>
      <c r="AX1" s="24"/>
    </row>
    <row r="2" spans="1:55">
      <c r="C2" s="36"/>
      <c r="G2" s="26"/>
      <c r="H2"/>
      <c r="I2" s="37"/>
      <c r="J2" s="37">
        <f>SUBTOTAL(9,J6:J19662)</f>
        <v>2687</v>
      </c>
      <c r="K2" s="44">
        <f>SUBTOTAL(9,K6:K19662)</f>
        <v>104446.66666666667</v>
      </c>
      <c r="L2" s="27"/>
      <c r="M2" s="38"/>
      <c r="N2"/>
      <c r="O2"/>
      <c r="P2"/>
      <c r="Q2" s="37">
        <f>SUBTOTAL(9,Q6:Q19662)*Q5</f>
        <v>15525</v>
      </c>
      <c r="R2" s="37">
        <f>SUBTOTAL(9,R6:R19662)*R5</f>
        <v>36480</v>
      </c>
      <c r="S2" s="37">
        <f>SUBTOTAL(9,S6:S19662)*S5</f>
        <v>6930</v>
      </c>
      <c r="T2" s="37">
        <f>SUBTOTAL(9,T6:T19662)*T5</f>
        <v>0</v>
      </c>
      <c r="U2" s="37">
        <f>SUBTOTAL(9,U6:U19662)*U5</f>
        <v>0</v>
      </c>
      <c r="V2" s="37">
        <f>SUBTOTAL(9,V6:V19662)*V5</f>
        <v>0</v>
      </c>
      <c r="W2" s="37">
        <f>SUBTOTAL(9,W6:W19662)*W5</f>
        <v>0</v>
      </c>
      <c r="X2" s="37">
        <f>SUBTOTAL(9,X6:X19662)*X5</f>
        <v>2000</v>
      </c>
      <c r="Y2" s="37">
        <f>SUBTOTAL(9,Y6:Y19662)*Y5</f>
        <v>10650</v>
      </c>
      <c r="Z2" s="37">
        <f>SUBTOTAL(9,Z6:Z19662)*Z5</f>
        <v>16730</v>
      </c>
      <c r="AA2" s="37">
        <f>SUBTOTAL(9,AA6:AA19662)*AA5</f>
        <v>180</v>
      </c>
      <c r="AB2" s="37">
        <f>SUBTOTAL(9,AB6:AB19662)*AB5</f>
        <v>1040</v>
      </c>
      <c r="AC2" s="37">
        <f>SUBTOTAL(9,AC6:AC19662)*AC5</f>
        <v>1500</v>
      </c>
      <c r="AD2" s="37">
        <f>SUBTOTAL(9,AD6:AD19662)*AD5</f>
        <v>0</v>
      </c>
      <c r="AE2" s="37">
        <f>SUBTOTAL(9,AE6:AE19662)*AE5</f>
        <v>540</v>
      </c>
      <c r="AF2" s="37">
        <f>SUBTOTAL(9,AF6:AF19662)*AF5</f>
        <v>1000</v>
      </c>
      <c r="AG2" s="37">
        <f>SUBTOTAL(9,AG6:AG19662)*AG5</f>
        <v>0</v>
      </c>
      <c r="AH2" s="37">
        <f>SUBTOTAL(9,AH6:AH19662)*AH5</f>
        <v>0</v>
      </c>
      <c r="AI2" s="37" t="e">
        <f>SUBTOTAL(9,AI6:AI19662)*AI5</f>
        <v>#VALUE!</v>
      </c>
      <c r="AJ2" s="37">
        <f>SUBTOTAL(9,AJ6:AJ19662)*AJ5</f>
        <v>9200</v>
      </c>
      <c r="AK2" s="37">
        <f>SUBTOTAL(9,AK6:AK19662)*AK5</f>
        <v>1350</v>
      </c>
      <c r="AL2" s="37">
        <f>SUBTOTAL(9,AL6:AL19662)*AL5</f>
        <v>1800</v>
      </c>
      <c r="AM2" s="37">
        <f>SUBTOTAL(9,AM6:AM19662)*AM5</f>
        <v>920</v>
      </c>
      <c r="AN2" s="37">
        <f>SUBTOTAL(9,AN6:AN19662)*AN5</f>
        <v>0</v>
      </c>
      <c r="AO2" s="37">
        <f>SUBTOTAL(9,AO6:AO19662)*AO5</f>
        <v>0</v>
      </c>
      <c r="AP2" s="37" t="e">
        <f>SUBTOTAL(9,AP6:AP19662)*AP5</f>
        <v>#VALUE!</v>
      </c>
      <c r="AQ2" s="37" t="e">
        <f>SUBTOTAL(9,AQ6:AQ19662)*AQ5</f>
        <v>#VALUE!</v>
      </c>
      <c r="AR2" s="37" t="e">
        <f>SUBTOTAL(9,AR6:AR19662)*AR5</f>
        <v>#VALUE!</v>
      </c>
      <c r="AS2" s="37">
        <f>SUBTOTAL(9,AS6:AS19662)*AS5</f>
        <v>0</v>
      </c>
      <c r="AT2" s="37" t="e">
        <f>SUBTOTAL(9,AT6:AT19662)*AT5</f>
        <v>#VALUE!</v>
      </c>
      <c r="AU2" s="37">
        <f>SUBTOTAL(9,AU6:AU19662)*AU5</f>
        <v>0</v>
      </c>
      <c r="AV2" s="37">
        <f>SUBTOTAL(9,AV6:AV19662)*AV5</f>
        <v>0</v>
      </c>
      <c r="AW2" s="37">
        <f>SUBTOTAL(9,AW6:AW19662)*AW5</f>
        <v>0</v>
      </c>
      <c r="AX2" s="24"/>
    </row>
    <row r="3" spans="1:55" s="8" customFormat="1">
      <c r="A3" s="1" t="s">
        <v>21</v>
      </c>
      <c r="B3" s="1"/>
      <c r="C3" s="2"/>
      <c r="D3" s="3"/>
      <c r="E3" s="1"/>
      <c r="F3" s="1"/>
      <c r="G3" s="1"/>
      <c r="H3" s="4"/>
      <c r="I3" s="1"/>
      <c r="J3" s="4"/>
      <c r="K3" s="5"/>
      <c r="L3" s="1"/>
      <c r="M3" s="4"/>
      <c r="N3" s="4"/>
      <c r="O3" s="4"/>
      <c r="P3" s="4"/>
      <c r="Q3" s="95" t="s">
        <v>22</v>
      </c>
      <c r="R3" s="95"/>
      <c r="S3" s="95"/>
      <c r="T3" s="95"/>
      <c r="U3" s="95"/>
      <c r="V3" s="95"/>
      <c r="W3" s="95"/>
      <c r="X3" s="95"/>
      <c r="Y3" s="95" t="s">
        <v>23</v>
      </c>
      <c r="Z3" s="95"/>
      <c r="AA3" s="95"/>
      <c r="AB3" s="95"/>
      <c r="AC3" s="95"/>
      <c r="AD3" s="95"/>
      <c r="AE3" s="6" t="s">
        <v>24</v>
      </c>
      <c r="AF3" s="95" t="s">
        <v>25</v>
      </c>
      <c r="AG3" s="95"/>
      <c r="AH3" s="95"/>
      <c r="AI3" s="95"/>
      <c r="AJ3" s="95" t="s">
        <v>26</v>
      </c>
      <c r="AK3" s="95"/>
      <c r="AL3" s="95"/>
      <c r="AM3" s="95"/>
      <c r="AN3" s="95"/>
      <c r="AO3" s="95"/>
      <c r="AP3" s="95"/>
      <c r="AQ3" s="95"/>
      <c r="AR3" s="95"/>
      <c r="AS3" s="95" t="s">
        <v>27</v>
      </c>
      <c r="AT3" s="95"/>
      <c r="AU3" s="95" t="s">
        <v>28</v>
      </c>
      <c r="AV3" s="95"/>
      <c r="AW3" s="7"/>
    </row>
    <row r="4" spans="1:55" s="14" customFormat="1" ht="71.25" customHeight="1">
      <c r="A4" s="96" t="s">
        <v>29</v>
      </c>
      <c r="B4" s="96"/>
      <c r="C4" s="96"/>
      <c r="D4" s="96"/>
      <c r="E4" s="9"/>
      <c r="F4" s="96" t="s">
        <v>30</v>
      </c>
      <c r="G4" s="96"/>
      <c r="H4" s="96"/>
      <c r="I4" s="96"/>
      <c r="J4" s="96"/>
      <c r="K4" s="96"/>
      <c r="L4" s="96"/>
      <c r="M4" s="96"/>
      <c r="N4" s="97"/>
      <c r="O4" s="9"/>
      <c r="P4" s="9"/>
      <c r="Q4" s="45" t="s">
        <v>31</v>
      </c>
      <c r="R4" s="9" t="s">
        <v>32</v>
      </c>
      <c r="S4" s="39" t="s">
        <v>33</v>
      </c>
      <c r="T4" s="10" t="s">
        <v>34</v>
      </c>
      <c r="U4" s="9" t="s">
        <v>35</v>
      </c>
      <c r="V4" s="9" t="s">
        <v>36</v>
      </c>
      <c r="W4" s="9" t="s">
        <v>37</v>
      </c>
      <c r="X4" s="9" t="s">
        <v>38</v>
      </c>
      <c r="Y4" s="45" t="s">
        <v>39</v>
      </c>
      <c r="Z4" s="39" t="s">
        <v>40</v>
      </c>
      <c r="AA4" s="9" t="s">
        <v>41</v>
      </c>
      <c r="AB4" s="9" t="s">
        <v>42</v>
      </c>
      <c r="AC4" s="9" t="s">
        <v>43</v>
      </c>
      <c r="AD4" s="9" t="s">
        <v>44</v>
      </c>
      <c r="AE4" s="9" t="s">
        <v>45</v>
      </c>
      <c r="AF4" s="10" t="s">
        <v>46</v>
      </c>
      <c r="AG4" s="39" t="s">
        <v>47</v>
      </c>
      <c r="AH4" s="9" t="s">
        <v>48</v>
      </c>
      <c r="AI4" s="9" t="s">
        <v>49</v>
      </c>
      <c r="AJ4" s="10" t="s">
        <v>50</v>
      </c>
      <c r="AK4" s="10" t="s">
        <v>51</v>
      </c>
      <c r="AL4" s="11" t="s">
        <v>52</v>
      </c>
      <c r="AM4" s="11" t="s">
        <v>53</v>
      </c>
      <c r="AN4" s="11" t="s">
        <v>54</v>
      </c>
      <c r="AO4" s="11" t="s">
        <v>55</v>
      </c>
      <c r="AP4" s="9" t="s">
        <v>56</v>
      </c>
      <c r="AQ4" s="9" t="s">
        <v>57</v>
      </c>
      <c r="AR4" s="9" t="s">
        <v>58</v>
      </c>
      <c r="AS4" s="10" t="s">
        <v>59</v>
      </c>
      <c r="AT4" s="9" t="s">
        <v>60</v>
      </c>
      <c r="AU4" s="10" t="s">
        <v>61</v>
      </c>
      <c r="AV4" s="9" t="s">
        <v>62</v>
      </c>
      <c r="AW4" s="12"/>
      <c r="AX4" s="13"/>
      <c r="AY4" s="13"/>
      <c r="AZ4" s="13"/>
      <c r="BA4" s="13"/>
      <c r="BB4" s="13"/>
      <c r="BC4" s="13"/>
    </row>
    <row r="5" spans="1:55">
      <c r="A5" s="15" t="s">
        <v>63</v>
      </c>
      <c r="B5" s="15" t="s">
        <v>64</v>
      </c>
      <c r="C5" s="16" t="s">
        <v>65</v>
      </c>
      <c r="D5" s="17" t="s">
        <v>29</v>
      </c>
      <c r="E5" s="15" t="s">
        <v>66</v>
      </c>
      <c r="F5" s="15" t="s">
        <v>67</v>
      </c>
      <c r="G5" s="15" t="s">
        <v>68</v>
      </c>
      <c r="H5" s="15" t="s">
        <v>69</v>
      </c>
      <c r="I5" s="15" t="s">
        <v>70</v>
      </c>
      <c r="J5" s="15" t="s">
        <v>71</v>
      </c>
      <c r="K5" s="18" t="s">
        <v>72</v>
      </c>
      <c r="L5" s="15" t="s">
        <v>73</v>
      </c>
      <c r="M5" s="15" t="s">
        <v>74</v>
      </c>
      <c r="N5" s="15" t="s">
        <v>75</v>
      </c>
      <c r="O5" s="15" t="s">
        <v>76</v>
      </c>
      <c r="P5" s="15" t="s">
        <v>77</v>
      </c>
      <c r="Q5" s="19">
        <v>135</v>
      </c>
      <c r="R5" s="20">
        <v>30</v>
      </c>
      <c r="S5" s="20">
        <v>10</v>
      </c>
      <c r="T5" s="20">
        <v>220</v>
      </c>
      <c r="U5" s="20">
        <v>60</v>
      </c>
      <c r="V5" s="20">
        <v>15</v>
      </c>
      <c r="W5" s="20">
        <v>250</v>
      </c>
      <c r="X5" s="20">
        <v>500</v>
      </c>
      <c r="Y5" s="19">
        <v>150</v>
      </c>
      <c r="Z5" s="21">
        <v>35</v>
      </c>
      <c r="AA5" s="19">
        <v>180</v>
      </c>
      <c r="AB5" s="20">
        <v>260</v>
      </c>
      <c r="AC5" s="20">
        <v>250</v>
      </c>
      <c r="AD5" s="20">
        <v>2000</v>
      </c>
      <c r="AE5" s="19">
        <v>30</v>
      </c>
      <c r="AF5" s="19">
        <v>500</v>
      </c>
      <c r="AG5" s="20">
        <v>650</v>
      </c>
      <c r="AH5" s="20">
        <v>3500</v>
      </c>
      <c r="AI5" s="20" t="s">
        <v>78</v>
      </c>
      <c r="AJ5" s="19">
        <v>80</v>
      </c>
      <c r="AK5" s="21">
        <v>150</v>
      </c>
      <c r="AL5" s="21">
        <v>360</v>
      </c>
      <c r="AM5" s="21">
        <v>460</v>
      </c>
      <c r="AN5" s="21">
        <v>900</v>
      </c>
      <c r="AO5" s="20">
        <v>3500</v>
      </c>
      <c r="AP5" s="20" t="s">
        <v>78</v>
      </c>
      <c r="AQ5" s="20" t="s">
        <v>78</v>
      </c>
      <c r="AR5" s="20" t="s">
        <v>78</v>
      </c>
      <c r="AS5" s="19">
        <v>2500</v>
      </c>
      <c r="AT5" s="20" t="s">
        <v>78</v>
      </c>
      <c r="AU5" s="22">
        <v>0.12</v>
      </c>
      <c r="AV5" s="23">
        <v>0.25</v>
      </c>
    </row>
    <row r="6" spans="1:55" ht="15" customHeight="1">
      <c r="A6" t="s">
        <v>79</v>
      </c>
      <c r="B6" t="s">
        <v>6</v>
      </c>
      <c r="C6" s="25">
        <v>45726</v>
      </c>
      <c r="D6" s="8" t="s">
        <v>80</v>
      </c>
      <c r="E6" s="8" t="s">
        <v>81</v>
      </c>
      <c r="F6" t="s">
        <v>82</v>
      </c>
      <c r="G6" s="35" t="s">
        <v>83</v>
      </c>
      <c r="H6" s="26" t="s">
        <v>84</v>
      </c>
      <c r="I6" s="60" t="s">
        <v>85</v>
      </c>
      <c r="J6" s="26">
        <f t="shared" ref="J6:J8" si="4">IF(SUM(Q6:AW6)=0,"-",SUM(Q6:AW6))</f>
        <v>17</v>
      </c>
      <c r="K6" s="53">
        <f>IF(SUMPRODUCT($Q$5:$AW$5,Q6:AW6)=0,"-",SUMPRODUCT($Q$5:$AW$5,Q6:AW6))</f>
        <v>560</v>
      </c>
      <c r="L6" s="48" t="s">
        <v>86</v>
      </c>
      <c r="M6" s="49" t="s">
        <v>86</v>
      </c>
      <c r="N6" s="42" t="s">
        <v>87</v>
      </c>
      <c r="O6" s="41" t="s">
        <v>88</v>
      </c>
      <c r="P6" s="50" t="s">
        <v>89</v>
      </c>
      <c r="R6" s="26">
        <v>16</v>
      </c>
      <c r="AJ6" s="28">
        <v>1</v>
      </c>
    </row>
    <row r="7" spans="1:55" ht="15" customHeight="1">
      <c r="A7" t="s">
        <v>79</v>
      </c>
      <c r="B7" t="s">
        <v>7</v>
      </c>
      <c r="C7" s="25">
        <v>45727</v>
      </c>
      <c r="D7" s="29" t="s">
        <v>90</v>
      </c>
      <c r="E7" s="8" t="s">
        <v>91</v>
      </c>
      <c r="F7" s="34" t="s">
        <v>92</v>
      </c>
      <c r="G7" s="35" t="s">
        <v>83</v>
      </c>
      <c r="H7" s="26" t="s">
        <v>84</v>
      </c>
      <c r="I7" s="60" t="s">
        <v>93</v>
      </c>
      <c r="J7" s="26">
        <f t="shared" si="4"/>
        <v>15</v>
      </c>
      <c r="K7" s="53">
        <f>IF(SUMPRODUCT($Q$5:$AW$5,Q7:AW7)=0,"-",SUMPRODUCT($Q$5:$AW$5,Q7:AW7))</f>
        <v>450</v>
      </c>
      <c r="L7" s="48" t="s">
        <v>86</v>
      </c>
      <c r="M7" s="49" t="s">
        <v>86</v>
      </c>
      <c r="N7" s="42" t="s">
        <v>87</v>
      </c>
      <c r="O7" s="41" t="s">
        <v>88</v>
      </c>
      <c r="P7" s="50" t="s">
        <v>89</v>
      </c>
      <c r="R7" s="26">
        <v>15</v>
      </c>
    </row>
    <row r="8" spans="1:55" ht="15" customHeight="1">
      <c r="A8" t="s">
        <v>79</v>
      </c>
      <c r="B8" t="s">
        <v>94</v>
      </c>
      <c r="C8" s="25">
        <v>45727</v>
      </c>
      <c r="D8" s="29" t="s">
        <v>95</v>
      </c>
      <c r="E8" s="8" t="s">
        <v>96</v>
      </c>
      <c r="F8" s="34" t="s">
        <v>97</v>
      </c>
      <c r="G8" s="35" t="s">
        <v>83</v>
      </c>
      <c r="H8" s="26" t="s">
        <v>84</v>
      </c>
      <c r="I8" s="60" t="s">
        <v>98</v>
      </c>
      <c r="J8" s="26">
        <f>IF(SUM(Q8:AW8)=0,"-",SUM(Q8:AW8))</f>
        <v>2</v>
      </c>
      <c r="K8" s="53">
        <f t="shared" ref="K8:K34" si="5">IF(SUMPRODUCT($Q$5:$AW$5,Q8:AW8)=0,"-",SUMPRODUCT($Q$5:$AW$5,Q8:AW8))</f>
        <v>185</v>
      </c>
      <c r="L8" s="48" t="s">
        <v>86</v>
      </c>
      <c r="M8" s="49" t="s">
        <v>86</v>
      </c>
      <c r="N8" s="42" t="s">
        <v>87</v>
      </c>
      <c r="O8" s="41" t="s">
        <v>88</v>
      </c>
      <c r="P8" s="50" t="s">
        <v>89</v>
      </c>
      <c r="Y8" s="28">
        <v>1</v>
      </c>
      <c r="Z8" s="26">
        <v>1</v>
      </c>
    </row>
    <row r="9" spans="1:55" ht="15" customHeight="1">
      <c r="A9" t="s">
        <v>79</v>
      </c>
      <c r="B9" t="s">
        <v>6</v>
      </c>
      <c r="C9" s="25">
        <v>45729</v>
      </c>
      <c r="D9" s="31" t="s">
        <v>99</v>
      </c>
      <c r="E9" s="8" t="s">
        <v>100</v>
      </c>
      <c r="F9" t="s">
        <v>101</v>
      </c>
      <c r="G9" s="35" t="s">
        <v>83</v>
      </c>
      <c r="H9" s="26" t="s">
        <v>84</v>
      </c>
      <c r="I9" s="60" t="s">
        <v>102</v>
      </c>
      <c r="J9" s="26">
        <f>IF(SUM(Q9:AW9)=0,"-",SUM(Q9:AW9))</f>
        <v>4</v>
      </c>
      <c r="K9" s="53">
        <f t="shared" si="5"/>
        <v>140</v>
      </c>
      <c r="L9" s="48" t="s">
        <v>86</v>
      </c>
      <c r="M9" s="49" t="s">
        <v>86</v>
      </c>
      <c r="N9" s="42" t="s">
        <v>87</v>
      </c>
      <c r="O9" s="41" t="s">
        <v>88</v>
      </c>
      <c r="P9" s="50" t="s">
        <v>89</v>
      </c>
      <c r="Z9" s="26">
        <v>4</v>
      </c>
    </row>
    <row r="10" spans="1:55" ht="15" customHeight="1">
      <c r="A10" t="s">
        <v>79</v>
      </c>
      <c r="B10" t="s">
        <v>6</v>
      </c>
      <c r="C10" s="25">
        <v>45729</v>
      </c>
      <c r="D10" s="29" t="s">
        <v>103</v>
      </c>
      <c r="E10" s="8" t="s">
        <v>81</v>
      </c>
      <c r="F10" s="34" t="s">
        <v>97</v>
      </c>
      <c r="G10" s="35" t="s">
        <v>83</v>
      </c>
      <c r="H10" s="26" t="s">
        <v>104</v>
      </c>
      <c r="I10" s="60" t="s">
        <v>105</v>
      </c>
      <c r="J10" s="26">
        <f t="shared" ref="J10:J32" si="6">IF(SUM(Q10:AW10)=0,"-",SUM(Q10:AW10))</f>
        <v>126</v>
      </c>
      <c r="K10" s="53">
        <f t="shared" ref="K10" si="7">IF(SUMPRODUCT($Q$5:$AW$5,Q10:AW10)=0,"-",SUMPRODUCT($Q$5:$AW$5,Q10:AW10))</f>
        <v>2705</v>
      </c>
      <c r="L10" s="48" t="s">
        <v>86</v>
      </c>
      <c r="M10" s="49" t="s">
        <v>86</v>
      </c>
      <c r="N10" s="42" t="s">
        <v>87</v>
      </c>
      <c r="O10" s="41" t="s">
        <v>106</v>
      </c>
      <c r="P10" s="50" t="s">
        <v>89</v>
      </c>
      <c r="Q10" s="28">
        <v>1</v>
      </c>
      <c r="R10" s="26">
        <f>46+20</f>
        <v>66</v>
      </c>
      <c r="S10" s="26">
        <f>7+4+3+7+14+7+5+5+7</f>
        <v>59</v>
      </c>
    </row>
    <row r="11" spans="1:55" ht="15" customHeight="1">
      <c r="A11" t="s">
        <v>79</v>
      </c>
      <c r="B11" t="s">
        <v>6</v>
      </c>
      <c r="C11" s="25">
        <v>45729</v>
      </c>
      <c r="D11" s="29" t="s">
        <v>107</v>
      </c>
      <c r="E11" s="8" t="s">
        <v>108</v>
      </c>
      <c r="F11" t="s">
        <v>82</v>
      </c>
      <c r="G11" s="35" t="s">
        <v>83</v>
      </c>
      <c r="H11" s="26" t="s">
        <v>84</v>
      </c>
      <c r="I11" s="60" t="s">
        <v>109</v>
      </c>
      <c r="J11" s="26">
        <f t="shared" si="6"/>
        <v>5</v>
      </c>
      <c r="K11" s="53">
        <f t="shared" si="5"/>
        <v>150</v>
      </c>
      <c r="L11" s="48" t="s">
        <v>86</v>
      </c>
      <c r="M11" s="49" t="s">
        <v>86</v>
      </c>
      <c r="N11" s="42" t="s">
        <v>87</v>
      </c>
      <c r="O11" s="41" t="s">
        <v>88</v>
      </c>
      <c r="P11" s="50" t="s">
        <v>89</v>
      </c>
      <c r="R11" s="26">
        <v>5</v>
      </c>
    </row>
    <row r="12" spans="1:55" ht="15" customHeight="1">
      <c r="A12" t="s">
        <v>79</v>
      </c>
      <c r="B12" t="s">
        <v>7</v>
      </c>
      <c r="C12" s="25">
        <v>45729</v>
      </c>
      <c r="D12" s="29" t="s">
        <v>110</v>
      </c>
      <c r="E12" s="8" t="s">
        <v>91</v>
      </c>
      <c r="F12" s="34" t="s">
        <v>92</v>
      </c>
      <c r="G12" s="35" t="s">
        <v>83</v>
      </c>
      <c r="H12" s="26" t="s">
        <v>84</v>
      </c>
      <c r="I12" s="60" t="s">
        <v>111</v>
      </c>
      <c r="J12" s="26">
        <f t="shared" si="6"/>
        <v>2</v>
      </c>
      <c r="K12" s="53">
        <f t="shared" si="5"/>
        <v>160</v>
      </c>
      <c r="L12" s="48" t="s">
        <v>86</v>
      </c>
      <c r="M12" s="49" t="s">
        <v>86</v>
      </c>
      <c r="N12" s="42" t="s">
        <v>87</v>
      </c>
      <c r="O12" s="41" t="s">
        <v>88</v>
      </c>
      <c r="P12" s="50" t="s">
        <v>89</v>
      </c>
      <c r="AJ12" s="28">
        <v>2</v>
      </c>
    </row>
    <row r="13" spans="1:55" ht="15" customHeight="1">
      <c r="A13" t="s">
        <v>79</v>
      </c>
      <c r="B13" t="s">
        <v>9</v>
      </c>
      <c r="C13" s="25">
        <v>45730</v>
      </c>
      <c r="D13" s="30" t="s">
        <v>112</v>
      </c>
      <c r="E13" s="33" t="s">
        <v>113</v>
      </c>
      <c r="F13" t="s">
        <v>114</v>
      </c>
      <c r="G13" s="35" t="s">
        <v>83</v>
      </c>
      <c r="H13" s="26" t="s">
        <v>84</v>
      </c>
      <c r="I13" s="60" t="s">
        <v>115</v>
      </c>
      <c r="J13" s="26">
        <f t="shared" si="6"/>
        <v>2</v>
      </c>
      <c r="K13" s="53">
        <f t="shared" si="5"/>
        <v>165</v>
      </c>
      <c r="L13" s="48" t="s">
        <v>86</v>
      </c>
      <c r="M13" s="49" t="s">
        <v>86</v>
      </c>
      <c r="N13" s="42" t="s">
        <v>87</v>
      </c>
      <c r="O13" s="41" t="s">
        <v>88</v>
      </c>
      <c r="P13" s="50" t="s">
        <v>89</v>
      </c>
      <c r="Q13" s="28">
        <v>1</v>
      </c>
      <c r="R13" s="26">
        <v>1</v>
      </c>
    </row>
    <row r="14" spans="1:55" ht="15" customHeight="1">
      <c r="A14" t="s">
        <v>79</v>
      </c>
      <c r="B14" t="s">
        <v>6</v>
      </c>
      <c r="C14" s="25">
        <v>45730</v>
      </c>
      <c r="D14" s="29" t="s">
        <v>116</v>
      </c>
      <c r="E14" s="8" t="s">
        <v>117</v>
      </c>
      <c r="F14" s="34" t="s">
        <v>92</v>
      </c>
      <c r="G14" s="35" t="s">
        <v>83</v>
      </c>
      <c r="H14" s="26" t="s">
        <v>84</v>
      </c>
      <c r="I14" s="60" t="s">
        <v>118</v>
      </c>
      <c r="J14" s="26">
        <f t="shared" si="6"/>
        <v>12</v>
      </c>
      <c r="K14" s="53">
        <f t="shared" si="5"/>
        <v>780</v>
      </c>
      <c r="L14" s="48" t="s">
        <v>86</v>
      </c>
      <c r="M14" s="49" t="s">
        <v>86</v>
      </c>
      <c r="N14" s="42" t="s">
        <v>87</v>
      </c>
      <c r="O14" s="41" t="s">
        <v>88</v>
      </c>
      <c r="P14" s="50" t="s">
        <v>89</v>
      </c>
      <c r="Q14" s="28">
        <f>4</f>
        <v>4</v>
      </c>
      <c r="R14" s="26">
        <v>8</v>
      </c>
    </row>
    <row r="15" spans="1:55" ht="15" customHeight="1">
      <c r="A15" t="s">
        <v>79</v>
      </c>
      <c r="B15" t="s">
        <v>6</v>
      </c>
      <c r="C15" s="25">
        <v>45730</v>
      </c>
      <c r="D15" s="29" t="s">
        <v>119</v>
      </c>
      <c r="E15" s="8" t="s">
        <v>120</v>
      </c>
      <c r="F15" s="34" t="s">
        <v>92</v>
      </c>
      <c r="G15" s="35" t="s">
        <v>83</v>
      </c>
      <c r="H15" s="26" t="s">
        <v>104</v>
      </c>
      <c r="I15" s="60" t="s">
        <v>121</v>
      </c>
      <c r="J15" s="26">
        <f t="shared" si="6"/>
        <v>96</v>
      </c>
      <c r="K15" s="53">
        <f t="shared" si="5"/>
        <v>2490</v>
      </c>
      <c r="L15" s="48" t="s">
        <v>86</v>
      </c>
      <c r="M15" s="49" t="s">
        <v>86</v>
      </c>
      <c r="N15" s="42" t="s">
        <v>87</v>
      </c>
      <c r="O15" s="41" t="s">
        <v>106</v>
      </c>
      <c r="P15" s="50" t="s">
        <v>89</v>
      </c>
      <c r="R15" s="26">
        <f>3+10+18+3+29+10</f>
        <v>73</v>
      </c>
      <c r="S15" s="26">
        <f>2+20</f>
        <v>22</v>
      </c>
      <c r="AJ15" s="28">
        <v>1</v>
      </c>
    </row>
    <row r="16" spans="1:55" ht="15" customHeight="1">
      <c r="A16" t="s">
        <v>79</v>
      </c>
      <c r="B16" t="s">
        <v>6</v>
      </c>
      <c r="C16" s="25">
        <v>45731</v>
      </c>
      <c r="D16" s="29" t="s">
        <v>122</v>
      </c>
      <c r="E16" s="8" t="s">
        <v>81</v>
      </c>
      <c r="F16" t="s">
        <v>82</v>
      </c>
      <c r="G16" s="35" t="s">
        <v>83</v>
      </c>
      <c r="H16" s="26" t="s">
        <v>84</v>
      </c>
      <c r="I16" s="60" t="s">
        <v>123</v>
      </c>
      <c r="J16" s="26">
        <f t="shared" si="6"/>
        <v>6</v>
      </c>
      <c r="K16" s="53">
        <f t="shared" si="5"/>
        <v>180</v>
      </c>
      <c r="L16" s="48" t="s">
        <v>86</v>
      </c>
      <c r="M16" s="49" t="s">
        <v>86</v>
      </c>
      <c r="N16" s="42" t="s">
        <v>87</v>
      </c>
      <c r="O16" s="41" t="s">
        <v>88</v>
      </c>
      <c r="P16" s="50" t="s">
        <v>89</v>
      </c>
      <c r="R16" s="26">
        <v>6</v>
      </c>
    </row>
    <row r="17" spans="1:36" ht="15" customHeight="1">
      <c r="A17" t="s">
        <v>79</v>
      </c>
      <c r="B17" t="s">
        <v>6</v>
      </c>
      <c r="C17" s="25">
        <v>45741</v>
      </c>
      <c r="D17" s="29" t="s">
        <v>124</v>
      </c>
      <c r="E17" s="8" t="s">
        <v>125</v>
      </c>
      <c r="F17" t="s">
        <v>82</v>
      </c>
      <c r="G17" s="35" t="s">
        <v>83</v>
      </c>
      <c r="H17" s="26" t="s">
        <v>84</v>
      </c>
      <c r="I17" s="60" t="s">
        <v>126</v>
      </c>
      <c r="J17" s="26">
        <f t="shared" si="6"/>
        <v>8</v>
      </c>
      <c r="K17" s="53">
        <f>IF(SUMPRODUCT($Q$5:$AW$5,Q17:AW17)=0,"-",SUMPRODUCT($Q$5:$AW$5,Q17:AW17))</f>
        <v>345</v>
      </c>
      <c r="L17" s="48" t="s">
        <v>86</v>
      </c>
      <c r="M17" s="49" t="s">
        <v>86</v>
      </c>
      <c r="N17" s="42" t="s">
        <v>87</v>
      </c>
      <c r="O17" s="41" t="s">
        <v>88</v>
      </c>
      <c r="P17" s="50" t="s">
        <v>89</v>
      </c>
      <c r="Q17" s="28">
        <v>1</v>
      </c>
      <c r="R17" s="26">
        <v>7</v>
      </c>
    </row>
    <row r="18" spans="1:36" ht="15" customHeight="1">
      <c r="A18" t="s">
        <v>79</v>
      </c>
      <c r="B18" t="s">
        <v>6</v>
      </c>
      <c r="C18" s="25">
        <v>45742</v>
      </c>
      <c r="D18" s="29" t="s">
        <v>127</v>
      </c>
      <c r="E18" s="8" t="s">
        <v>81</v>
      </c>
      <c r="F18" t="s">
        <v>82</v>
      </c>
      <c r="G18" s="35" t="s">
        <v>83</v>
      </c>
      <c r="H18" s="26" t="s">
        <v>128</v>
      </c>
      <c r="I18" s="60" t="s">
        <v>129</v>
      </c>
      <c r="J18" s="26">
        <f>IF(SUM(Q18:AW18)=0,"-",SUM(Q18:AW18))</f>
        <v>1</v>
      </c>
      <c r="K18" s="53" t="s">
        <v>130</v>
      </c>
      <c r="L18" s="48" t="s">
        <v>86</v>
      </c>
      <c r="M18" s="49" t="s">
        <v>86</v>
      </c>
      <c r="N18" s="41" t="s">
        <v>86</v>
      </c>
      <c r="O18" s="41" t="s">
        <v>86</v>
      </c>
      <c r="P18" s="47" t="s">
        <v>86</v>
      </c>
      <c r="X18" s="26">
        <v>1</v>
      </c>
    </row>
    <row r="19" spans="1:36" ht="15" customHeight="1">
      <c r="A19" t="s">
        <v>79</v>
      </c>
      <c r="B19" t="s">
        <v>6</v>
      </c>
      <c r="C19" s="25">
        <v>45742</v>
      </c>
      <c r="D19" s="8" t="s">
        <v>131</v>
      </c>
      <c r="E19" s="8" t="s">
        <v>108</v>
      </c>
      <c r="F19" t="s">
        <v>82</v>
      </c>
      <c r="G19" s="35" t="s">
        <v>83</v>
      </c>
      <c r="H19" s="26" t="s">
        <v>84</v>
      </c>
      <c r="I19" s="60" t="s">
        <v>132</v>
      </c>
      <c r="J19" s="26">
        <f>IF(SUM(Q19:AW19)=0,"-",SUM(Q19:AW19))</f>
        <v>2</v>
      </c>
      <c r="K19" s="53">
        <f>IF(SUMPRODUCT($Q$5:$AW$5,Q19:AW19)=0,"-",SUMPRODUCT($Q$5:$AW$5,Q19:AW19))</f>
        <v>60</v>
      </c>
      <c r="L19" s="48" t="s">
        <v>86</v>
      </c>
      <c r="M19" s="49" t="s">
        <v>86</v>
      </c>
      <c r="N19" s="42" t="s">
        <v>87</v>
      </c>
      <c r="O19" s="41" t="s">
        <v>88</v>
      </c>
      <c r="P19" s="50" t="s">
        <v>89</v>
      </c>
      <c r="R19" s="26">
        <v>2</v>
      </c>
    </row>
    <row r="20" spans="1:36" ht="15" customHeight="1">
      <c r="A20" t="s">
        <v>79</v>
      </c>
      <c r="B20" t="s">
        <v>9</v>
      </c>
      <c r="C20" s="25">
        <v>45742</v>
      </c>
      <c r="D20" s="29" t="s">
        <v>133</v>
      </c>
      <c r="E20" s="33" t="s">
        <v>113</v>
      </c>
      <c r="F20" t="s">
        <v>114</v>
      </c>
      <c r="G20" s="35" t="s">
        <v>83</v>
      </c>
      <c r="H20" s="26" t="s">
        <v>84</v>
      </c>
      <c r="I20" s="60" t="s">
        <v>134</v>
      </c>
      <c r="J20" s="26">
        <f>IF(SUM(Q20:AW20)=0,"-",SUM(Q20:AW20))</f>
        <v>6</v>
      </c>
      <c r="K20" s="53">
        <f>IF(SUMPRODUCT($Q$5:$AW$5,Q20:AW20)=0,"-",SUMPRODUCT($Q$5:$AW$5,Q20:AW20))</f>
        <v>285</v>
      </c>
      <c r="L20" s="48" t="s">
        <v>86</v>
      </c>
      <c r="M20" s="49" t="s">
        <v>86</v>
      </c>
      <c r="N20" s="42" t="s">
        <v>87</v>
      </c>
      <c r="O20" s="41" t="s">
        <v>88</v>
      </c>
      <c r="P20" s="50" t="s">
        <v>89</v>
      </c>
      <c r="Q20" s="28">
        <v>1</v>
      </c>
      <c r="R20" s="26">
        <v>5</v>
      </c>
    </row>
    <row r="21" spans="1:36" ht="15" customHeight="1">
      <c r="A21" t="s">
        <v>79</v>
      </c>
      <c r="B21" t="s">
        <v>6</v>
      </c>
      <c r="C21" s="25">
        <v>45743</v>
      </c>
      <c r="D21" s="29" t="s">
        <v>135</v>
      </c>
      <c r="E21" s="8" t="s">
        <v>100</v>
      </c>
      <c r="F21" t="s">
        <v>136</v>
      </c>
      <c r="G21" s="35" t="s">
        <v>83</v>
      </c>
      <c r="H21" s="26" t="s">
        <v>84</v>
      </c>
      <c r="I21" s="60" t="s">
        <v>137</v>
      </c>
      <c r="J21" s="26">
        <f>IF(SUM(Q21:AW21)=0,"-",SUM(Q21:AW21))</f>
        <v>2</v>
      </c>
      <c r="K21" s="53">
        <f>IF(SUMPRODUCT($Q$5:$AW$5,Q21:AW21)=0,"-",SUMPRODUCT($Q$5:$AW$5,Q21:AW21))</f>
        <v>60</v>
      </c>
      <c r="L21" s="48" t="s">
        <v>86</v>
      </c>
      <c r="M21" s="49" t="s">
        <v>86</v>
      </c>
      <c r="N21" s="42" t="s">
        <v>87</v>
      </c>
      <c r="O21" s="41" t="s">
        <v>88</v>
      </c>
      <c r="P21" s="50" t="s">
        <v>89</v>
      </c>
      <c r="R21" s="26">
        <v>2</v>
      </c>
    </row>
    <row r="22" spans="1:36" ht="15" customHeight="1">
      <c r="A22" t="s">
        <v>79</v>
      </c>
      <c r="B22" t="s">
        <v>6</v>
      </c>
      <c r="C22" s="25">
        <v>45743</v>
      </c>
      <c r="D22" s="29" t="s">
        <v>138</v>
      </c>
      <c r="E22" s="8" t="s">
        <v>125</v>
      </c>
      <c r="F22" t="s">
        <v>139</v>
      </c>
      <c r="G22" s="35" t="s">
        <v>83</v>
      </c>
      <c r="H22" s="26" t="s">
        <v>84</v>
      </c>
      <c r="I22" s="60" t="s">
        <v>140</v>
      </c>
      <c r="J22" s="26">
        <f>IF(SUM(Q22:AW22)=0,"-",SUM(Q22:AW22))</f>
        <v>1</v>
      </c>
      <c r="K22" s="53">
        <f>IF(SUMPRODUCT($Q$5:$AW$5,Q22:AW22)=0,"-",SUMPRODUCT($Q$5:$AW$5,Q22:AW22))</f>
        <v>180</v>
      </c>
      <c r="L22" s="48" t="s">
        <v>86</v>
      </c>
      <c r="M22" s="49" t="s">
        <v>86</v>
      </c>
      <c r="N22" s="49" t="s">
        <v>141</v>
      </c>
      <c r="O22" s="49" t="s">
        <v>142</v>
      </c>
      <c r="P22" s="50" t="s">
        <v>143</v>
      </c>
      <c r="AA22" s="26">
        <v>1</v>
      </c>
    </row>
    <row r="23" spans="1:36" ht="15" customHeight="1">
      <c r="A23" t="s">
        <v>79</v>
      </c>
      <c r="B23" t="s">
        <v>6</v>
      </c>
      <c r="C23" s="25">
        <v>45743</v>
      </c>
      <c r="D23" s="8" t="s">
        <v>144</v>
      </c>
      <c r="E23" s="8" t="s">
        <v>81</v>
      </c>
      <c r="F23" t="s">
        <v>82</v>
      </c>
      <c r="G23" s="35" t="s">
        <v>83</v>
      </c>
      <c r="H23" s="26" t="s">
        <v>84</v>
      </c>
      <c r="I23" s="60" t="s">
        <v>145</v>
      </c>
      <c r="J23" s="26">
        <f>IF(SUM(Q23:AW23)=0,"-",SUM(Q23:AW23))</f>
        <v>2</v>
      </c>
      <c r="K23" s="53">
        <f>IF(SUMPRODUCT($Q$5:$AW$5,Q23:AW23)=0,"-",SUMPRODUCT($Q$5:$AW$5,Q23:AW23))</f>
        <v>110</v>
      </c>
      <c r="L23" s="48" t="s">
        <v>86</v>
      </c>
      <c r="M23" s="49" t="s">
        <v>86</v>
      </c>
      <c r="N23" s="42" t="s">
        <v>87</v>
      </c>
      <c r="O23" s="41" t="s">
        <v>88</v>
      </c>
      <c r="P23" s="50" t="s">
        <v>89</v>
      </c>
      <c r="R23" s="26">
        <v>1</v>
      </c>
      <c r="AJ23" s="28">
        <v>1</v>
      </c>
    </row>
    <row r="24" spans="1:36" ht="15" customHeight="1">
      <c r="A24" t="s">
        <v>79</v>
      </c>
      <c r="B24" t="s">
        <v>6</v>
      </c>
      <c r="C24" s="25">
        <v>45748</v>
      </c>
      <c r="D24" s="8" t="s">
        <v>146</v>
      </c>
      <c r="E24" s="8" t="s">
        <v>81</v>
      </c>
      <c r="F24" t="s">
        <v>82</v>
      </c>
      <c r="G24" s="35" t="s">
        <v>83</v>
      </c>
      <c r="H24" s="26" t="s">
        <v>84</v>
      </c>
      <c r="I24" s="60" t="s">
        <v>147</v>
      </c>
      <c r="J24" s="26">
        <f>IF(SUM(Q24:AW24)=0,"-",SUM(Q24:AW24))</f>
        <v>1</v>
      </c>
      <c r="K24" s="53">
        <f>IF(SUMPRODUCT($Q$5:$AW$5,Q24:AW24)=0,"-",SUMPRODUCT($Q$5:$AW$5,Q24:AW24))</f>
        <v>30</v>
      </c>
      <c r="L24" s="48" t="s">
        <v>86</v>
      </c>
      <c r="M24" s="49" t="s">
        <v>86</v>
      </c>
      <c r="N24" s="49" t="s">
        <v>141</v>
      </c>
      <c r="O24" s="49" t="s">
        <v>142</v>
      </c>
      <c r="P24" s="50" t="s">
        <v>143</v>
      </c>
      <c r="R24" s="26">
        <v>1</v>
      </c>
    </row>
    <row r="25" spans="1:36" ht="15" customHeight="1">
      <c r="A25" t="s">
        <v>79</v>
      </c>
      <c r="B25" t="s">
        <v>9</v>
      </c>
      <c r="C25" s="25">
        <v>45748</v>
      </c>
      <c r="D25" s="29" t="s">
        <v>148</v>
      </c>
      <c r="E25" s="33" t="s">
        <v>113</v>
      </c>
      <c r="F25" t="s">
        <v>114</v>
      </c>
      <c r="G25" s="35" t="s">
        <v>83</v>
      </c>
      <c r="H25" s="26" t="s">
        <v>84</v>
      </c>
      <c r="I25" s="60" t="s">
        <v>149</v>
      </c>
      <c r="J25" s="26">
        <f>IF(SUM(Q25:AW25)=0,"-",SUM(Q25:AW25))</f>
        <v>3</v>
      </c>
      <c r="K25" s="53">
        <f>IF(SUMPRODUCT($Q$5:$AW$5,Q25:AW25)=0,"-",SUMPRODUCT($Q$5:$AW$5,Q25:AW25))</f>
        <v>105</v>
      </c>
      <c r="L25" s="48" t="s">
        <v>86</v>
      </c>
      <c r="M25" s="49" t="s">
        <v>86</v>
      </c>
      <c r="N25" s="49" t="s">
        <v>141</v>
      </c>
      <c r="O25" s="49" t="s">
        <v>142</v>
      </c>
      <c r="P25" s="50" t="s">
        <v>143</v>
      </c>
      <c r="Z25" s="26">
        <v>3</v>
      </c>
    </row>
    <row r="26" spans="1:36" ht="15" customHeight="1">
      <c r="A26" t="s">
        <v>79</v>
      </c>
      <c r="B26" t="s">
        <v>9</v>
      </c>
      <c r="C26" s="25">
        <v>45748</v>
      </c>
      <c r="D26" s="29" t="s">
        <v>150</v>
      </c>
      <c r="E26" s="33" t="s">
        <v>113</v>
      </c>
      <c r="F26" t="s">
        <v>114</v>
      </c>
      <c r="G26" s="35" t="s">
        <v>83</v>
      </c>
      <c r="H26" s="26" t="s">
        <v>84</v>
      </c>
      <c r="I26" s="60" t="s">
        <v>151</v>
      </c>
      <c r="J26" s="26">
        <f>IF(SUM(Q26:AW26)=0,"-",SUM(Q26:AW26))</f>
        <v>5</v>
      </c>
      <c r="K26" s="53">
        <f>IF(SUMPRODUCT($Q$5:$AW$5,Q26:AW26)=0,"-",SUMPRODUCT($Q$5:$AW$5,Q26:AW26))</f>
        <v>400</v>
      </c>
      <c r="L26" s="48" t="s">
        <v>86</v>
      </c>
      <c r="M26" s="49" t="s">
        <v>86</v>
      </c>
      <c r="N26" s="49" t="s">
        <v>141</v>
      </c>
      <c r="O26" s="49" t="s">
        <v>142</v>
      </c>
      <c r="P26" s="50" t="s">
        <v>143</v>
      </c>
      <c r="Z26" s="26">
        <v>4</v>
      </c>
      <c r="AB26" s="26">
        <v>1</v>
      </c>
    </row>
    <row r="27" spans="1:36" ht="15" customHeight="1">
      <c r="A27" t="s">
        <v>79</v>
      </c>
      <c r="B27" t="s">
        <v>6</v>
      </c>
      <c r="C27" s="25">
        <v>45749</v>
      </c>
      <c r="D27" s="29" t="s">
        <v>131</v>
      </c>
      <c r="E27" s="33" t="s">
        <v>108</v>
      </c>
      <c r="F27" t="s">
        <v>152</v>
      </c>
      <c r="G27" s="35" t="s">
        <v>83</v>
      </c>
      <c r="H27" s="26" t="s">
        <v>84</v>
      </c>
      <c r="I27" s="60" t="s">
        <v>153</v>
      </c>
      <c r="J27" s="26">
        <f>IF(SUM(Q27:AW27)=0,"-",SUM(Q27:AW27))</f>
        <v>1</v>
      </c>
      <c r="K27" s="53">
        <f>IF(SUMPRODUCT($Q$5:$AW$5,Q27:AW27)=0,"-",SUMPRODUCT($Q$5:$AW$5,Q27:AW27))</f>
        <v>135</v>
      </c>
      <c r="L27" s="48" t="s">
        <v>86</v>
      </c>
      <c r="M27" s="49" t="s">
        <v>86</v>
      </c>
      <c r="N27" s="49" t="s">
        <v>141</v>
      </c>
      <c r="O27" s="49" t="s">
        <v>142</v>
      </c>
      <c r="P27" s="50" t="s">
        <v>143</v>
      </c>
      <c r="Q27" s="28">
        <v>1</v>
      </c>
    </row>
    <row r="28" spans="1:36" ht="15" customHeight="1">
      <c r="A28" t="s">
        <v>79</v>
      </c>
      <c r="B28" t="s">
        <v>6</v>
      </c>
      <c r="C28" s="25">
        <v>45750</v>
      </c>
      <c r="D28" s="29" t="s">
        <v>154</v>
      </c>
      <c r="E28" s="8" t="s">
        <v>81</v>
      </c>
      <c r="F28" t="s">
        <v>152</v>
      </c>
      <c r="G28" s="35" t="s">
        <v>83</v>
      </c>
      <c r="H28" s="26" t="s">
        <v>84</v>
      </c>
      <c r="I28" s="60" t="s">
        <v>155</v>
      </c>
      <c r="J28" s="26">
        <f>IF(SUM(Q28:AW28)=0,"-",SUM(Q28:AW28))</f>
        <v>5</v>
      </c>
      <c r="K28" s="53">
        <f>IF(SUMPRODUCT($Q$5:$AW$5,Q28:AW28)=0,"-",SUMPRODUCT($Q$5:$AW$5,Q28:AW28))</f>
        <v>155</v>
      </c>
      <c r="L28" s="48" t="s">
        <v>86</v>
      </c>
      <c r="M28" s="49" t="s">
        <v>86</v>
      </c>
      <c r="N28" s="49" t="s">
        <v>141</v>
      </c>
      <c r="O28" s="49" t="s">
        <v>142</v>
      </c>
      <c r="P28" s="50" t="s">
        <v>143</v>
      </c>
      <c r="R28" s="26">
        <v>4</v>
      </c>
      <c r="Z28" s="26">
        <v>1</v>
      </c>
    </row>
    <row r="29" spans="1:36" ht="15" customHeight="1">
      <c r="A29" t="s">
        <v>79</v>
      </c>
      <c r="B29" t="s">
        <v>9</v>
      </c>
      <c r="C29" s="25">
        <v>45751</v>
      </c>
      <c r="D29" s="29" t="s">
        <v>156</v>
      </c>
      <c r="E29" s="33" t="s">
        <v>113</v>
      </c>
      <c r="F29" t="s">
        <v>157</v>
      </c>
      <c r="G29" s="35" t="s">
        <v>83</v>
      </c>
      <c r="H29" s="26" t="s">
        <v>84</v>
      </c>
      <c r="I29" s="60" t="s">
        <v>158</v>
      </c>
      <c r="J29" s="26">
        <f>IF(SUM(Q29:AW29)=0,"-",SUM(Q29:AW29))</f>
        <v>1</v>
      </c>
      <c r="K29" s="53">
        <f>IF(SUMPRODUCT($Q$5:$AW$5,Q29:AW29)=0,"-",SUMPRODUCT($Q$5:$AW$5,Q29:AW29))</f>
        <v>30</v>
      </c>
      <c r="L29" s="48" t="s">
        <v>86</v>
      </c>
      <c r="M29" s="49" t="s">
        <v>86</v>
      </c>
      <c r="N29" s="49" t="s">
        <v>141</v>
      </c>
      <c r="O29" s="49" t="s">
        <v>142</v>
      </c>
      <c r="P29" s="50" t="s">
        <v>143</v>
      </c>
      <c r="R29" s="26">
        <v>1</v>
      </c>
    </row>
    <row r="30" spans="1:36" ht="15" customHeight="1">
      <c r="A30" t="s">
        <v>79</v>
      </c>
      <c r="B30" t="s">
        <v>6</v>
      </c>
      <c r="C30" s="25">
        <v>45754</v>
      </c>
      <c r="D30" s="31" t="s">
        <v>159</v>
      </c>
      <c r="E30" s="8" t="s">
        <v>160</v>
      </c>
      <c r="F30" t="s">
        <v>161</v>
      </c>
      <c r="G30" s="35" t="s">
        <v>83</v>
      </c>
      <c r="H30" s="26" t="s">
        <v>84</v>
      </c>
      <c r="I30" s="60" t="s">
        <v>162</v>
      </c>
      <c r="J30" s="26">
        <f>IF(SUM(Q30:AW30)=0,"-",SUM(Q30:AW30))</f>
        <v>26</v>
      </c>
      <c r="K30" s="53">
        <f>IF(SUMPRODUCT($Q$5:$AW$5,Q30:AW30)=0,"-",SUMPRODUCT($Q$5:$AW$5,Q30:AW30))</f>
        <v>760</v>
      </c>
      <c r="L30" s="48" t="s">
        <v>86</v>
      </c>
      <c r="M30" s="49" t="s">
        <v>86</v>
      </c>
      <c r="N30" s="49" t="s">
        <v>141</v>
      </c>
      <c r="O30" s="49" t="s">
        <v>142</v>
      </c>
      <c r="P30" s="50" t="s">
        <v>143</v>
      </c>
      <c r="Q30" s="28">
        <v>4</v>
      </c>
      <c r="S30" s="26">
        <v>22</v>
      </c>
    </row>
    <row r="31" spans="1:36" ht="15" customHeight="1">
      <c r="A31" t="s">
        <v>79</v>
      </c>
      <c r="B31" t="s">
        <v>6</v>
      </c>
      <c r="C31" s="25">
        <v>45754</v>
      </c>
      <c r="D31" s="8" t="s">
        <v>163</v>
      </c>
      <c r="E31" s="8" t="s">
        <v>125</v>
      </c>
      <c r="F31" t="s">
        <v>139</v>
      </c>
      <c r="G31" s="35" t="s">
        <v>83</v>
      </c>
      <c r="H31" s="26" t="s">
        <v>84</v>
      </c>
      <c r="I31" s="60" t="s">
        <v>164</v>
      </c>
      <c r="J31" s="26">
        <f>IF(SUM(Q31:AW31)=0,"-",SUM(Q31:AW31))</f>
        <v>1</v>
      </c>
      <c r="K31" s="53">
        <f>IF(SUMPRODUCT($Q$5:$AW$5,Q31:AW31)=0,"-",SUMPRODUCT($Q$5:$AW$5,Q31:AW31))</f>
        <v>30</v>
      </c>
      <c r="L31" s="48" t="s">
        <v>86</v>
      </c>
      <c r="M31" s="49" t="s">
        <v>86</v>
      </c>
      <c r="N31" s="49" t="s">
        <v>141</v>
      </c>
      <c r="O31" s="49" t="s">
        <v>142</v>
      </c>
      <c r="P31" s="50" t="s">
        <v>143</v>
      </c>
      <c r="R31" s="26">
        <v>1</v>
      </c>
    </row>
    <row r="32" spans="1:36" ht="15" customHeight="1">
      <c r="A32" t="s">
        <v>79</v>
      </c>
      <c r="B32" t="s">
        <v>6</v>
      </c>
      <c r="C32" s="25">
        <v>45754</v>
      </c>
      <c r="D32" s="29" t="s">
        <v>165</v>
      </c>
      <c r="E32" s="8" t="s">
        <v>166</v>
      </c>
      <c r="F32" t="s">
        <v>152</v>
      </c>
      <c r="G32" s="35" t="s">
        <v>83</v>
      </c>
      <c r="H32" s="26" t="s">
        <v>84</v>
      </c>
      <c r="I32" s="60" t="s">
        <v>167</v>
      </c>
      <c r="J32" s="26">
        <f>IF(SUM(Q32:AW32)=0,"-",SUM(Q32:AW32))</f>
        <v>6</v>
      </c>
      <c r="K32" s="53">
        <f>IF(SUMPRODUCT($Q$5:$AW$5,Q32:AW32)=0,"-",SUMPRODUCT($Q$5:$AW$5,Q32:AW32))</f>
        <v>285</v>
      </c>
      <c r="L32" s="48" t="s">
        <v>86</v>
      </c>
      <c r="M32" s="49" t="s">
        <v>86</v>
      </c>
      <c r="N32" s="49" t="s">
        <v>141</v>
      </c>
      <c r="O32" s="49" t="s">
        <v>142</v>
      </c>
      <c r="P32" s="50" t="s">
        <v>143</v>
      </c>
      <c r="Q32" s="28">
        <v>1</v>
      </c>
      <c r="R32" s="26">
        <v>5</v>
      </c>
    </row>
    <row r="33" spans="1:24" ht="15" customHeight="1">
      <c r="A33" t="s">
        <v>79</v>
      </c>
      <c r="B33" t="s">
        <v>6</v>
      </c>
      <c r="C33" s="25">
        <v>45754</v>
      </c>
      <c r="D33" s="29" t="s">
        <v>168</v>
      </c>
      <c r="E33" s="8" t="s">
        <v>81</v>
      </c>
      <c r="F33" t="s">
        <v>152</v>
      </c>
      <c r="G33" s="35" t="s">
        <v>83</v>
      </c>
      <c r="H33" s="26" t="s">
        <v>128</v>
      </c>
      <c r="I33" s="60" t="s">
        <v>169</v>
      </c>
      <c r="J33" s="26">
        <v>3</v>
      </c>
      <c r="K33" s="53">
        <f>IF(SUMPRODUCT($Q$5:$AW$5,Q33:AW33)=0,"-",SUMPRODUCT($Q$5:$AW$5,Q33:AW33))</f>
        <v>405</v>
      </c>
      <c r="L33" s="48" t="s">
        <v>86</v>
      </c>
      <c r="M33" s="49" t="s">
        <v>86</v>
      </c>
      <c r="N33" s="49" t="s">
        <v>141</v>
      </c>
      <c r="O33" s="49" t="s">
        <v>142</v>
      </c>
      <c r="P33" s="50" t="s">
        <v>143</v>
      </c>
      <c r="Q33" s="28">
        <v>3</v>
      </c>
    </row>
    <row r="34" spans="1:24" ht="15" customHeight="1">
      <c r="A34" t="s">
        <v>79</v>
      </c>
      <c r="B34" t="s">
        <v>6</v>
      </c>
      <c r="C34" s="25">
        <v>45754</v>
      </c>
      <c r="D34" s="29" t="s">
        <v>170</v>
      </c>
      <c r="E34" s="8" t="s">
        <v>81</v>
      </c>
      <c r="F34" t="s">
        <v>82</v>
      </c>
      <c r="G34" s="35" t="s">
        <v>83</v>
      </c>
      <c r="H34" s="26" t="s">
        <v>84</v>
      </c>
      <c r="I34" s="60" t="s">
        <v>129</v>
      </c>
      <c r="J34" s="26">
        <f>IF(SUM(Q34:AW34)=0,"-",SUM(Q34:AW34))</f>
        <v>63</v>
      </c>
      <c r="K34" s="53">
        <f>IF(SUMPRODUCT($Q$5:$AW$5,Q34:AW34)=0,"-",SUMPRODUCT($Q$5:$AW$5,Q34:AW34))</f>
        <v>1635</v>
      </c>
      <c r="L34" s="51"/>
      <c r="M34" s="41"/>
      <c r="N34" s="41" t="s">
        <v>171</v>
      </c>
      <c r="O34" s="41" t="s">
        <v>172</v>
      </c>
      <c r="P34" s="47" t="s">
        <v>173</v>
      </c>
      <c r="Q34" s="28">
        <v>3</v>
      </c>
      <c r="R34" s="26">
        <v>7</v>
      </c>
      <c r="S34" s="26">
        <v>52</v>
      </c>
      <c r="X34" s="26">
        <v>1</v>
      </c>
    </row>
    <row r="35" spans="1:24" ht="15" customHeight="1">
      <c r="A35" t="s">
        <v>79</v>
      </c>
      <c r="B35" t="s">
        <v>6</v>
      </c>
      <c r="C35" s="25">
        <v>45762</v>
      </c>
      <c r="D35" s="29" t="s">
        <v>174</v>
      </c>
      <c r="E35" s="8" t="s">
        <v>81</v>
      </c>
      <c r="F35" s="40" t="s">
        <v>175</v>
      </c>
      <c r="G35" s="35" t="s">
        <v>83</v>
      </c>
      <c r="H35" s="26" t="s">
        <v>104</v>
      </c>
      <c r="I35" s="60" t="s">
        <v>176</v>
      </c>
      <c r="J35" s="26">
        <f>IF(SUM(Q35:AW35)=0,"-",SUM(Q35:AW35))</f>
        <v>37</v>
      </c>
      <c r="K35" s="53">
        <f>IF(SUMPRODUCT($Q$5:$AW$5,Q35:AW35)=0,"-",SUMPRODUCT($Q$5:$AW$5,Q35:AW35))</f>
        <v>770</v>
      </c>
      <c r="L35" s="49" t="s">
        <v>86</v>
      </c>
      <c r="M35" s="49" t="s">
        <v>86</v>
      </c>
      <c r="N35" s="49" t="s">
        <v>141</v>
      </c>
      <c r="O35" s="49" t="s">
        <v>142</v>
      </c>
      <c r="P35" s="50" t="s">
        <v>143</v>
      </c>
      <c r="R35" s="26">
        <v>20</v>
      </c>
      <c r="S35" s="26">
        <v>17</v>
      </c>
    </row>
    <row r="36" spans="1:24" ht="15" customHeight="1">
      <c r="A36" t="s">
        <v>79</v>
      </c>
      <c r="B36" t="s">
        <v>9</v>
      </c>
      <c r="C36" s="25">
        <v>45762</v>
      </c>
      <c r="D36" s="29" t="s">
        <v>177</v>
      </c>
      <c r="E36" s="33" t="s">
        <v>113</v>
      </c>
      <c r="F36" t="s">
        <v>157</v>
      </c>
      <c r="G36" s="35" t="s">
        <v>83</v>
      </c>
      <c r="H36" s="26" t="s">
        <v>84</v>
      </c>
      <c r="I36" s="60" t="s">
        <v>178</v>
      </c>
      <c r="J36" s="26">
        <f>IF(SUM(Q36:AW36)=0,"-",SUM(Q36:AW36))</f>
        <v>1</v>
      </c>
      <c r="K36" s="53">
        <f>IF(SUMPRODUCT($Q$5:$AW$5,Q36:AW36)=0,"-",SUMPRODUCT($Q$5:$AW$5,Q36:AW36))</f>
        <v>30</v>
      </c>
      <c r="L36" s="49" t="s">
        <v>86</v>
      </c>
      <c r="M36" s="49" t="s">
        <v>86</v>
      </c>
      <c r="N36" s="49" t="s">
        <v>141</v>
      </c>
      <c r="O36" s="49" t="s">
        <v>142</v>
      </c>
      <c r="P36" s="50" t="s">
        <v>143</v>
      </c>
      <c r="R36" s="26">
        <v>1</v>
      </c>
    </row>
    <row r="37" spans="1:24" ht="15" customHeight="1">
      <c r="A37" t="s">
        <v>79</v>
      </c>
      <c r="B37" t="s">
        <v>6</v>
      </c>
      <c r="C37" s="25">
        <v>45763</v>
      </c>
      <c r="D37" s="29" t="s">
        <v>179</v>
      </c>
      <c r="E37" s="8" t="s">
        <v>81</v>
      </c>
      <c r="F37" t="s">
        <v>152</v>
      </c>
      <c r="G37" s="35" t="s">
        <v>83</v>
      </c>
      <c r="H37" s="26" t="s">
        <v>84</v>
      </c>
      <c r="I37" s="60" t="s">
        <v>180</v>
      </c>
      <c r="J37" s="26">
        <f>IF(SUM(Q37:AW37)=0,"-",SUM(Q37:AW37))</f>
        <v>1</v>
      </c>
      <c r="K37" s="53">
        <f>IF(SUMPRODUCT($Q$5:$AW$5,Q37:AW37)=0,"-",SUMPRODUCT($Q$5:$AW$5,Q37:AW37))</f>
        <v>135</v>
      </c>
      <c r="L37" s="49" t="s">
        <v>86</v>
      </c>
      <c r="M37" s="49" t="s">
        <v>86</v>
      </c>
      <c r="N37" s="49" t="s">
        <v>141</v>
      </c>
      <c r="O37" s="49" t="s">
        <v>142</v>
      </c>
      <c r="P37" s="50" t="s">
        <v>143</v>
      </c>
      <c r="Q37" s="28">
        <v>1</v>
      </c>
    </row>
    <row r="38" spans="1:24" ht="15" customHeight="1">
      <c r="A38" t="s">
        <v>79</v>
      </c>
      <c r="B38" t="s">
        <v>6</v>
      </c>
      <c r="C38" s="25">
        <v>45763</v>
      </c>
      <c r="D38" s="29" t="s">
        <v>181</v>
      </c>
      <c r="E38" s="8" t="s">
        <v>81</v>
      </c>
      <c r="F38" t="s">
        <v>152</v>
      </c>
      <c r="G38" s="35" t="s">
        <v>83</v>
      </c>
      <c r="H38" s="26" t="s">
        <v>84</v>
      </c>
      <c r="I38" s="60" t="s">
        <v>182</v>
      </c>
      <c r="J38" s="26">
        <f>IF(SUM(Q38:AW38)=0,"-",SUM(Q38:AW38))</f>
        <v>6</v>
      </c>
      <c r="K38" s="53">
        <f>IF(SUMPRODUCT($Q$5:$AW$5,Q38:AW38)=0,"-",SUMPRODUCT($Q$5:$AW$5,Q38:AW38))</f>
        <v>285</v>
      </c>
      <c r="L38" s="49" t="s">
        <v>86</v>
      </c>
      <c r="M38" s="49" t="s">
        <v>86</v>
      </c>
      <c r="N38" s="49" t="s">
        <v>141</v>
      </c>
      <c r="O38" s="49" t="s">
        <v>142</v>
      </c>
      <c r="P38" s="50" t="s">
        <v>143</v>
      </c>
      <c r="Q38" s="28">
        <v>1</v>
      </c>
      <c r="R38" s="26">
        <v>5</v>
      </c>
    </row>
    <row r="39" spans="1:24" ht="15" customHeight="1">
      <c r="A39" t="s">
        <v>79</v>
      </c>
      <c r="B39" t="s">
        <v>6</v>
      </c>
      <c r="C39" s="25">
        <v>45763</v>
      </c>
      <c r="D39" s="29" t="s">
        <v>183</v>
      </c>
      <c r="E39" s="8" t="s">
        <v>81</v>
      </c>
      <c r="F39" t="s">
        <v>152</v>
      </c>
      <c r="G39" s="35" t="s">
        <v>83</v>
      </c>
      <c r="H39" s="26" t="s">
        <v>84</v>
      </c>
      <c r="I39" s="60" t="s">
        <v>184</v>
      </c>
      <c r="J39" s="26">
        <f>IF(SUM(Q39:AW39)=0,"-",SUM(Q39:AW39))</f>
        <v>19</v>
      </c>
      <c r="K39" s="53">
        <f>IF(SUMPRODUCT($Q$5:$AW$5,Q39:AW39)=0,"-",SUMPRODUCT($Q$5:$AW$5,Q39:AW39))</f>
        <v>570</v>
      </c>
      <c r="L39" s="49" t="s">
        <v>86</v>
      </c>
      <c r="M39" s="49" t="s">
        <v>86</v>
      </c>
      <c r="N39" s="49" t="s">
        <v>141</v>
      </c>
      <c r="O39" s="49" t="s">
        <v>142</v>
      </c>
      <c r="P39" s="50" t="s">
        <v>143</v>
      </c>
      <c r="R39" s="26">
        <v>19</v>
      </c>
    </row>
    <row r="40" spans="1:24" ht="15" customHeight="1">
      <c r="A40" t="s">
        <v>79</v>
      </c>
      <c r="B40" t="s">
        <v>6</v>
      </c>
      <c r="C40" s="25">
        <v>45764</v>
      </c>
      <c r="D40" s="8" t="s">
        <v>185</v>
      </c>
      <c r="E40" s="8" t="s">
        <v>125</v>
      </c>
      <c r="F40" t="s">
        <v>136</v>
      </c>
      <c r="G40" s="35" t="s">
        <v>83</v>
      </c>
      <c r="H40" s="26" t="s">
        <v>84</v>
      </c>
      <c r="I40" s="60" t="s">
        <v>186</v>
      </c>
      <c r="J40" s="26">
        <f>IF(SUM(Q40:AW40)=0,"-",SUM(Q40:AW40))</f>
        <v>24</v>
      </c>
      <c r="K40" s="53">
        <f>IF(SUMPRODUCT($Q$5:$AW$5,Q40:AW40)=0,"-",SUMPRODUCT($Q$5:$AW$5,Q40:AW40))</f>
        <v>720</v>
      </c>
      <c r="L40" s="49" t="s">
        <v>86</v>
      </c>
      <c r="M40" s="49" t="s">
        <v>86</v>
      </c>
      <c r="N40" s="49" t="s">
        <v>141</v>
      </c>
      <c r="O40" s="49" t="s">
        <v>142</v>
      </c>
      <c r="P40" s="50" t="s">
        <v>143</v>
      </c>
      <c r="R40" s="26">
        <v>24</v>
      </c>
    </row>
    <row r="41" spans="1:24" ht="15" customHeight="1">
      <c r="A41" t="s">
        <v>79</v>
      </c>
      <c r="B41" t="s">
        <v>94</v>
      </c>
      <c r="C41" s="25">
        <v>45764</v>
      </c>
      <c r="D41" s="8" t="s">
        <v>187</v>
      </c>
      <c r="E41" s="8" t="s">
        <v>96</v>
      </c>
      <c r="F41" t="s">
        <v>97</v>
      </c>
      <c r="G41" s="35" t="s">
        <v>83</v>
      </c>
      <c r="H41" s="26" t="s">
        <v>84</v>
      </c>
      <c r="I41" s="60" t="s">
        <v>188</v>
      </c>
      <c r="J41" s="26">
        <f>IF(SUM(Q41:AW41)=0,"-",SUM(Q41:AW41))</f>
        <v>3</v>
      </c>
      <c r="K41" s="53">
        <f>IF(SUMPRODUCT($Q$5:$AW$5,Q41:AW41)=0,"-",SUMPRODUCT($Q$5:$AW$5,Q41:AW41))</f>
        <v>405</v>
      </c>
      <c r="L41" s="51"/>
      <c r="M41" s="41"/>
      <c r="N41" s="41" t="s">
        <v>171</v>
      </c>
      <c r="O41" s="41" t="s">
        <v>172</v>
      </c>
      <c r="P41" s="47" t="s">
        <v>173</v>
      </c>
      <c r="Q41" s="28">
        <v>3</v>
      </c>
    </row>
    <row r="42" spans="1:24" ht="15" customHeight="1">
      <c r="A42" t="s">
        <v>79</v>
      </c>
      <c r="B42" t="s">
        <v>9</v>
      </c>
      <c r="C42" s="25">
        <v>45765</v>
      </c>
      <c r="D42" s="29" t="s">
        <v>189</v>
      </c>
      <c r="E42" s="33" t="s">
        <v>113</v>
      </c>
      <c r="F42" t="s">
        <v>157</v>
      </c>
      <c r="G42" s="35" t="s">
        <v>83</v>
      </c>
      <c r="H42" s="26" t="s">
        <v>84</v>
      </c>
      <c r="I42" s="60" t="s">
        <v>190</v>
      </c>
      <c r="J42" s="26">
        <f>IF(SUM(Q42:AW42)=0,"-",SUM(Q42:AW42))</f>
        <v>2</v>
      </c>
      <c r="K42" s="53">
        <f>IF(SUMPRODUCT($Q$5:$AW$5,Q42:AW42)=0,"-",SUMPRODUCT($Q$5:$AW$5,Q42:AW42))</f>
        <v>60</v>
      </c>
      <c r="L42" s="49" t="s">
        <v>86</v>
      </c>
      <c r="M42" s="49" t="s">
        <v>86</v>
      </c>
      <c r="N42" s="49" t="s">
        <v>141</v>
      </c>
      <c r="O42" s="49" t="s">
        <v>142</v>
      </c>
      <c r="P42" s="50" t="s">
        <v>143</v>
      </c>
      <c r="R42" s="26">
        <v>2</v>
      </c>
    </row>
    <row r="43" spans="1:24" ht="15" customHeight="1">
      <c r="A43" t="s">
        <v>79</v>
      </c>
      <c r="B43" t="s">
        <v>9</v>
      </c>
      <c r="C43" s="25">
        <v>45770</v>
      </c>
      <c r="D43" s="29" t="s">
        <v>191</v>
      </c>
      <c r="E43" s="33" t="s">
        <v>113</v>
      </c>
      <c r="F43" t="s">
        <v>157</v>
      </c>
      <c r="G43" s="35" t="s">
        <v>83</v>
      </c>
      <c r="H43" s="26" t="s">
        <v>84</v>
      </c>
      <c r="I43" s="60" t="s">
        <v>192</v>
      </c>
      <c r="J43" s="26">
        <v>4</v>
      </c>
      <c r="K43" s="53">
        <f>IF(SUMPRODUCT($Q$5:$AW$5,Q43:AW43)=0,"-",SUMPRODUCT($Q$5:$AW$5,Q43:AW43))</f>
        <v>120</v>
      </c>
      <c r="L43" s="49" t="s">
        <v>86</v>
      </c>
      <c r="M43" s="49" t="s">
        <v>86</v>
      </c>
      <c r="N43" s="49" t="s">
        <v>141</v>
      </c>
      <c r="O43" s="49" t="s">
        <v>142</v>
      </c>
      <c r="P43" s="50" t="s">
        <v>143</v>
      </c>
      <c r="R43" s="26">
        <v>4</v>
      </c>
    </row>
    <row r="44" spans="1:24" ht="15" customHeight="1">
      <c r="A44" t="s">
        <v>79</v>
      </c>
      <c r="B44" t="s">
        <v>9</v>
      </c>
      <c r="C44" s="25">
        <v>45771</v>
      </c>
      <c r="D44" s="29" t="s">
        <v>193</v>
      </c>
      <c r="E44" s="33" t="s">
        <v>113</v>
      </c>
      <c r="F44" t="s">
        <v>157</v>
      </c>
      <c r="G44" s="35" t="s">
        <v>83</v>
      </c>
      <c r="H44" s="26" t="s">
        <v>84</v>
      </c>
      <c r="I44" s="60" t="s">
        <v>194</v>
      </c>
      <c r="J44" s="26">
        <v>4</v>
      </c>
      <c r="K44" s="53">
        <f>IF(SUMPRODUCT($Q$5:$AW$5,Q44:AW44)=0,"-",SUMPRODUCT($Q$5:$AW$5,Q44:AW44))</f>
        <v>620</v>
      </c>
      <c r="L44" s="49" t="s">
        <v>86</v>
      </c>
      <c r="M44" s="49" t="s">
        <v>86</v>
      </c>
      <c r="N44" s="49" t="s">
        <v>141</v>
      </c>
      <c r="O44" s="49" t="s">
        <v>142</v>
      </c>
      <c r="P44" s="50" t="s">
        <v>143</v>
      </c>
      <c r="R44" s="26">
        <v>1</v>
      </c>
      <c r="S44" s="26">
        <v>59</v>
      </c>
    </row>
    <row r="45" spans="1:24" ht="15" customHeight="1">
      <c r="A45" t="s">
        <v>79</v>
      </c>
      <c r="B45" t="s">
        <v>6</v>
      </c>
      <c r="C45" s="25">
        <v>45775</v>
      </c>
      <c r="D45" s="29" t="s">
        <v>195</v>
      </c>
      <c r="E45" s="8" t="s">
        <v>81</v>
      </c>
      <c r="F45" t="s">
        <v>97</v>
      </c>
      <c r="G45" s="35" t="s">
        <v>83</v>
      </c>
      <c r="H45" s="26" t="s">
        <v>84</v>
      </c>
      <c r="I45" s="60" t="s">
        <v>196</v>
      </c>
      <c r="J45" s="26">
        <f>IF(SUM(Q45:AW45)=0,"-",SUM(Q45:AW45))</f>
        <v>7</v>
      </c>
      <c r="K45" s="54">
        <f>IF(SUMPRODUCT($Q$5:$AW$5,Q45:AW45)=0,"-",SUMPRODUCT($Q$5:$AW$5,Q45:AW45))</f>
        <v>210</v>
      </c>
      <c r="L45" s="51"/>
      <c r="M45" s="41"/>
      <c r="N45" s="41" t="s">
        <v>171</v>
      </c>
      <c r="O45" s="41" t="s">
        <v>172</v>
      </c>
      <c r="P45" s="47" t="s">
        <v>173</v>
      </c>
      <c r="R45" s="26">
        <v>7</v>
      </c>
    </row>
    <row r="46" spans="1:24" ht="15" customHeight="1">
      <c r="A46" t="s">
        <v>79</v>
      </c>
      <c r="B46" t="s">
        <v>10</v>
      </c>
      <c r="C46" s="25">
        <v>45775</v>
      </c>
      <c r="D46" s="29" t="s">
        <v>197</v>
      </c>
      <c r="E46" s="8" t="s">
        <v>198</v>
      </c>
      <c r="F46" t="s">
        <v>199</v>
      </c>
      <c r="G46" s="35" t="s">
        <v>83</v>
      </c>
      <c r="H46" s="26" t="s">
        <v>84</v>
      </c>
      <c r="I46" s="60" t="s">
        <v>200</v>
      </c>
      <c r="J46" s="26">
        <v>1</v>
      </c>
      <c r="K46" s="53">
        <v>350</v>
      </c>
      <c r="L46" s="49" t="s">
        <v>86</v>
      </c>
      <c r="M46" s="49" t="s">
        <v>86</v>
      </c>
      <c r="N46" s="49" t="s">
        <v>141</v>
      </c>
      <c r="O46" s="49" t="s">
        <v>142</v>
      </c>
      <c r="P46" s="50" t="s">
        <v>143</v>
      </c>
    </row>
    <row r="47" spans="1:24" ht="15" customHeight="1">
      <c r="A47" t="s">
        <v>79</v>
      </c>
      <c r="B47" t="s">
        <v>6</v>
      </c>
      <c r="C47" s="25">
        <v>45776</v>
      </c>
      <c r="D47" s="29" t="s">
        <v>201</v>
      </c>
      <c r="E47" s="46" t="s">
        <v>202</v>
      </c>
      <c r="F47" t="s">
        <v>203</v>
      </c>
      <c r="G47" s="35" t="s">
        <v>83</v>
      </c>
      <c r="H47" s="26" t="s">
        <v>84</v>
      </c>
      <c r="I47" s="60" t="s">
        <v>204</v>
      </c>
      <c r="J47" s="26">
        <f>IF(SUM(Q47:AW47)=0,"-",SUM(Q47:AW47))</f>
        <v>60</v>
      </c>
      <c r="K47" s="54">
        <f>IF(SUMPRODUCT($Q$5:$AW$5,Q47:AW47)=0,"-",SUMPRODUCT($Q$5:$AW$5,Q47:AW47))</f>
        <v>1715</v>
      </c>
      <c r="L47" s="51"/>
      <c r="M47" s="41"/>
      <c r="N47" s="41" t="s">
        <v>171</v>
      </c>
      <c r="O47" s="41" t="s">
        <v>172</v>
      </c>
      <c r="P47" s="47" t="s">
        <v>173</v>
      </c>
      <c r="Q47" s="28">
        <v>3</v>
      </c>
      <c r="R47" s="26">
        <v>37</v>
      </c>
      <c r="S47" s="26">
        <v>20</v>
      </c>
    </row>
    <row r="48" spans="1:24" ht="15" customHeight="1">
      <c r="A48" t="s">
        <v>79</v>
      </c>
      <c r="B48" t="s">
        <v>6</v>
      </c>
      <c r="C48" s="25">
        <v>45779</v>
      </c>
      <c r="D48" s="29" t="s">
        <v>205</v>
      </c>
      <c r="E48" s="8" t="s">
        <v>81</v>
      </c>
      <c r="F48" t="s">
        <v>199</v>
      </c>
      <c r="G48" s="35" t="s">
        <v>83</v>
      </c>
      <c r="H48" s="26" t="s">
        <v>84</v>
      </c>
      <c r="I48" s="60" t="s">
        <v>206</v>
      </c>
      <c r="J48" s="26">
        <f>IF(SUM(Q48:AW48)=0,"-",SUM(Q48:AW48))</f>
        <v>3</v>
      </c>
      <c r="K48" s="53">
        <f>IF(SUMPRODUCT($Q$5:$AW$5,Q48:AW48)=0,"-",SUMPRODUCT($Q$5:$AW$5,Q48:AW48))</f>
        <v>405</v>
      </c>
      <c r="L48" s="51"/>
      <c r="M48" s="41"/>
      <c r="N48" s="41" t="s">
        <v>171</v>
      </c>
      <c r="O48" s="41" t="s">
        <v>172</v>
      </c>
      <c r="P48" s="47" t="s">
        <v>173</v>
      </c>
      <c r="Q48" s="28">
        <v>3</v>
      </c>
    </row>
    <row r="49" spans="1:37" ht="15" customHeight="1">
      <c r="A49" t="s">
        <v>79</v>
      </c>
      <c r="B49" t="s">
        <v>6</v>
      </c>
      <c r="C49" s="25">
        <v>45779</v>
      </c>
      <c r="D49" s="29" t="s">
        <v>207</v>
      </c>
      <c r="E49" s="8" t="s">
        <v>81</v>
      </c>
      <c r="F49" t="s">
        <v>152</v>
      </c>
      <c r="G49" s="35" t="s">
        <v>83</v>
      </c>
      <c r="H49" s="26" t="s">
        <v>84</v>
      </c>
      <c r="I49" s="60" t="s">
        <v>208</v>
      </c>
      <c r="J49" s="26">
        <f>IF(SUM(Q49:AW49)=0,"-",SUM(Q49:AW49))</f>
        <v>56</v>
      </c>
      <c r="K49" s="53">
        <f>IF(SUMPRODUCT($Q$5:$AW$5,Q49:AW49)=0,"-",SUMPRODUCT($Q$5:$AW$5,Q49:AW49))</f>
        <v>1905</v>
      </c>
      <c r="L49" s="51"/>
      <c r="M49" s="52"/>
      <c r="N49" s="41" t="s">
        <v>171</v>
      </c>
      <c r="O49" s="41" t="s">
        <v>172</v>
      </c>
      <c r="P49" s="47" t="s">
        <v>173</v>
      </c>
      <c r="Q49" s="28">
        <v>1</v>
      </c>
      <c r="R49" s="26">
        <v>54</v>
      </c>
      <c r="AK49" s="26">
        <v>1</v>
      </c>
    </row>
    <row r="50" spans="1:37" ht="15" customHeight="1">
      <c r="A50" t="s">
        <v>79</v>
      </c>
      <c r="B50" t="s">
        <v>6</v>
      </c>
      <c r="C50" s="25">
        <v>45782</v>
      </c>
      <c r="D50" s="29" t="s">
        <v>209</v>
      </c>
      <c r="E50" s="8" t="s">
        <v>125</v>
      </c>
      <c r="F50" t="s">
        <v>210</v>
      </c>
      <c r="G50" s="35" t="s">
        <v>83</v>
      </c>
      <c r="H50" s="26" t="s">
        <v>84</v>
      </c>
      <c r="I50" s="60" t="s">
        <v>211</v>
      </c>
      <c r="J50" s="26">
        <f>IF(SUM(Q50:AW50)=0,"-",SUM(Q50:AW50))</f>
        <v>6</v>
      </c>
      <c r="K50" s="53">
        <f>IF(SUMPRODUCT($Q$5:$AW$5,Q50:AW50)=0,"-",SUMPRODUCT($Q$5:$AW$5,Q50:AW50))</f>
        <v>80</v>
      </c>
      <c r="L50" s="51"/>
      <c r="M50" s="41"/>
      <c r="N50" s="41" t="s">
        <v>171</v>
      </c>
      <c r="O50" s="41" t="s">
        <v>172</v>
      </c>
      <c r="P50" s="47" t="s">
        <v>173</v>
      </c>
      <c r="R50" s="26">
        <v>1</v>
      </c>
      <c r="S50" s="26">
        <v>5</v>
      </c>
    </row>
    <row r="51" spans="1:37" ht="15" customHeight="1">
      <c r="A51" t="s">
        <v>79</v>
      </c>
      <c r="B51" t="s">
        <v>6</v>
      </c>
      <c r="C51" s="25">
        <v>45786</v>
      </c>
      <c r="D51" s="29" t="s">
        <v>212</v>
      </c>
      <c r="E51" s="8" t="s">
        <v>125</v>
      </c>
      <c r="F51" t="s">
        <v>210</v>
      </c>
      <c r="G51" s="35" t="s">
        <v>83</v>
      </c>
      <c r="H51" s="26" t="s">
        <v>84</v>
      </c>
      <c r="I51" s="60" t="s">
        <v>213</v>
      </c>
      <c r="J51" s="26">
        <f>IF(SUM(Q51:AW51)=0,"-",SUM(Q51:AW51))</f>
        <v>10</v>
      </c>
      <c r="K51" s="53">
        <f>IF(SUMPRODUCT($Q$5:$AW$5,Q51:AW51)=0,"-",SUMPRODUCT($Q$5:$AW$5,Q51:AW51))</f>
        <v>180</v>
      </c>
      <c r="L51" s="51"/>
      <c r="M51" s="41"/>
      <c r="N51" s="41" t="s">
        <v>171</v>
      </c>
      <c r="O51" s="41" t="s">
        <v>172</v>
      </c>
      <c r="P51" s="47" t="s">
        <v>173</v>
      </c>
      <c r="R51" s="26">
        <v>4</v>
      </c>
      <c r="S51" s="26">
        <v>6</v>
      </c>
    </row>
    <row r="52" spans="1:37" ht="15" customHeight="1">
      <c r="A52" t="s">
        <v>79</v>
      </c>
      <c r="B52" t="s">
        <v>6</v>
      </c>
      <c r="C52" s="25">
        <v>45789</v>
      </c>
      <c r="D52" s="29" t="s">
        <v>214</v>
      </c>
      <c r="E52" s="8" t="s">
        <v>81</v>
      </c>
      <c r="F52" t="s">
        <v>82</v>
      </c>
      <c r="G52" s="35" t="s">
        <v>83</v>
      </c>
      <c r="H52" s="26" t="s">
        <v>84</v>
      </c>
      <c r="I52" s="60" t="s">
        <v>215</v>
      </c>
      <c r="J52" s="26">
        <f>IF(SUM(Q52:AW52)=0,"-",SUM(Q52:AW52))</f>
        <v>9</v>
      </c>
      <c r="K52" s="53">
        <f>IF(SUMPRODUCT($Q$5:$AW$5,Q52:AW52)=0,"-",SUMPRODUCT($Q$5:$AW$5,Q52:AW52))</f>
        <v>210</v>
      </c>
      <c r="L52" s="51"/>
      <c r="M52" s="41"/>
      <c r="N52" s="41" t="s">
        <v>171</v>
      </c>
      <c r="O52" s="41" t="s">
        <v>172</v>
      </c>
      <c r="P52" s="47" t="s">
        <v>173</v>
      </c>
      <c r="R52" s="26">
        <v>6</v>
      </c>
      <c r="S52" s="26">
        <v>3</v>
      </c>
    </row>
    <row r="53" spans="1:37" ht="15" customHeight="1">
      <c r="A53" t="s">
        <v>79</v>
      </c>
      <c r="B53" t="s">
        <v>6</v>
      </c>
      <c r="C53" s="25">
        <v>45790</v>
      </c>
      <c r="D53" s="29" t="s">
        <v>216</v>
      </c>
      <c r="E53" t="s">
        <v>217</v>
      </c>
      <c r="F53" t="s">
        <v>97</v>
      </c>
      <c r="G53" s="35" t="s">
        <v>83</v>
      </c>
      <c r="H53" s="26" t="s">
        <v>84</v>
      </c>
      <c r="I53" s="60" t="s">
        <v>218</v>
      </c>
      <c r="J53" s="26">
        <f>IF(SUM(Q53:AW53)=0,"-",SUM(Q53:AW53))</f>
        <v>4</v>
      </c>
      <c r="K53" s="53">
        <f>IF(SUMPRODUCT($Q$5:$AW$5,Q53:AW53)=0,"-",SUMPRODUCT($Q$5:$AW$5,Q53:AW53))</f>
        <v>540</v>
      </c>
      <c r="L53" s="51"/>
      <c r="M53" s="41"/>
      <c r="N53" s="41" t="s">
        <v>171</v>
      </c>
      <c r="O53" s="41" t="s">
        <v>172</v>
      </c>
      <c r="P53" s="47" t="s">
        <v>173</v>
      </c>
      <c r="Q53" s="28">
        <v>4</v>
      </c>
    </row>
    <row r="54" spans="1:37" ht="15" customHeight="1">
      <c r="A54" t="s">
        <v>79</v>
      </c>
      <c r="B54" t="s">
        <v>6</v>
      </c>
      <c r="C54" s="25">
        <v>45791</v>
      </c>
      <c r="D54" s="29" t="s">
        <v>219</v>
      </c>
      <c r="E54" s="8" t="s">
        <v>220</v>
      </c>
      <c r="F54" t="s">
        <v>136</v>
      </c>
      <c r="G54" s="35" t="s">
        <v>83</v>
      </c>
      <c r="H54" s="26" t="s">
        <v>84</v>
      </c>
      <c r="I54" s="60" t="s">
        <v>221</v>
      </c>
      <c r="J54" s="26">
        <f>IF(SUM(Q54:AW54)=0,"-",SUM(Q54:AW54))</f>
        <v>1</v>
      </c>
      <c r="K54" s="53">
        <f>IF(SUMPRODUCT($Q$5:$AW$5,Q54:AW54)=0,"-",SUMPRODUCT($Q$5:$AW$5,Q54:AW54))</f>
        <v>150</v>
      </c>
      <c r="L54" s="51"/>
      <c r="M54" s="41"/>
      <c r="N54" s="41" t="s">
        <v>171</v>
      </c>
      <c r="O54" s="41" t="s">
        <v>172</v>
      </c>
      <c r="P54" s="47" t="s">
        <v>173</v>
      </c>
      <c r="AK54" s="26">
        <v>1</v>
      </c>
    </row>
    <row r="55" spans="1:37" ht="15" customHeight="1">
      <c r="A55" t="s">
        <v>79</v>
      </c>
      <c r="B55" t="s">
        <v>6</v>
      </c>
      <c r="C55" s="25">
        <v>45791</v>
      </c>
      <c r="D55" s="29" t="s">
        <v>222</v>
      </c>
      <c r="E55" t="s">
        <v>223</v>
      </c>
      <c r="F55" t="s">
        <v>224</v>
      </c>
      <c r="G55" s="35" t="s">
        <v>83</v>
      </c>
      <c r="H55" s="26" t="s">
        <v>84</v>
      </c>
      <c r="I55" s="60" t="s">
        <v>225</v>
      </c>
      <c r="J55" s="26">
        <f>IF(SUM(Q55:AW55)=0,"-",SUM(Q55:AW55))</f>
        <v>12</v>
      </c>
      <c r="K55" s="53">
        <f>IF(SUMPRODUCT($Q$5:$AW$5,Q55:AW55)=0,"-",SUMPRODUCT($Q$5:$AW$5,Q55:AW55))</f>
        <v>360</v>
      </c>
      <c r="L55" s="51"/>
      <c r="M55" s="41"/>
      <c r="N55" s="41" t="s">
        <v>171</v>
      </c>
      <c r="O55" s="41" t="s">
        <v>172</v>
      </c>
      <c r="P55" s="47" t="s">
        <v>173</v>
      </c>
      <c r="R55" s="26">
        <v>12</v>
      </c>
    </row>
    <row r="56" spans="1:37" ht="15" customHeight="1">
      <c r="A56" t="s">
        <v>79</v>
      </c>
      <c r="B56" t="s">
        <v>6</v>
      </c>
      <c r="C56" s="25">
        <v>45793</v>
      </c>
      <c r="D56" s="8" t="s">
        <v>226</v>
      </c>
      <c r="E56" t="s">
        <v>81</v>
      </c>
      <c r="F56" t="s">
        <v>152</v>
      </c>
      <c r="G56" s="35" t="s">
        <v>83</v>
      </c>
      <c r="H56" s="26" t="s">
        <v>84</v>
      </c>
      <c r="I56" s="60" t="s">
        <v>227</v>
      </c>
      <c r="J56" s="26">
        <f>IF(SUM(Q56:AW56)=0,"-",SUM(Q56:AW56))</f>
        <v>1</v>
      </c>
      <c r="K56" s="53">
        <f>IF(SUMPRODUCT($Q$5:$AW$5,Q56:AW56)=0,"-",SUMPRODUCT($Q$5:$AW$5,Q56:AW56))</f>
        <v>30</v>
      </c>
      <c r="L56" s="51"/>
      <c r="M56" s="41"/>
      <c r="N56" s="41" t="s">
        <v>171</v>
      </c>
      <c r="O56" s="41" t="s">
        <v>172</v>
      </c>
      <c r="P56" s="47" t="s">
        <v>173</v>
      </c>
      <c r="R56" s="26">
        <v>1</v>
      </c>
    </row>
    <row r="57" spans="1:37" ht="15" customHeight="1">
      <c r="A57" t="s">
        <v>79</v>
      </c>
      <c r="B57" t="s">
        <v>6</v>
      </c>
      <c r="C57" s="25">
        <v>45797</v>
      </c>
      <c r="D57" s="29" t="s">
        <v>228</v>
      </c>
      <c r="E57" t="s">
        <v>160</v>
      </c>
      <c r="F57" t="s">
        <v>229</v>
      </c>
      <c r="G57" s="35" t="s">
        <v>83</v>
      </c>
      <c r="H57" s="26" t="s">
        <v>84</v>
      </c>
      <c r="I57" s="60" t="s">
        <v>230</v>
      </c>
      <c r="J57" s="26">
        <f>IF(SUM(Q57:AW57)=0,"-",SUM(Q57:AW57))</f>
        <v>2</v>
      </c>
      <c r="K57" s="53">
        <f>IF(SUMPRODUCT($Q$5:$AW$5,Q57:AW57)=0,"-",SUMPRODUCT($Q$5:$AW$5,Q57:AW57))</f>
        <v>60</v>
      </c>
      <c r="L57" s="51"/>
      <c r="M57" s="41"/>
      <c r="N57" s="41" t="s">
        <v>171</v>
      </c>
      <c r="O57" s="41" t="s">
        <v>172</v>
      </c>
      <c r="P57" s="47" t="s">
        <v>173</v>
      </c>
      <c r="R57" s="26">
        <v>2</v>
      </c>
    </row>
    <row r="58" spans="1:37" ht="15" customHeight="1">
      <c r="A58" t="s">
        <v>79</v>
      </c>
      <c r="B58" t="s">
        <v>10</v>
      </c>
      <c r="C58" s="25">
        <v>45797</v>
      </c>
      <c r="D58" s="29" t="s">
        <v>231</v>
      </c>
      <c r="E58" t="s">
        <v>198</v>
      </c>
      <c r="F58" t="s">
        <v>199</v>
      </c>
      <c r="G58" s="35" t="s">
        <v>83</v>
      </c>
      <c r="H58" s="26" t="s">
        <v>84</v>
      </c>
      <c r="I58" s="60" t="s">
        <v>232</v>
      </c>
      <c r="J58" s="26">
        <f>IF(SUM(Q58:AW58)=0,"-",SUM(Q58:AW58))</f>
        <v>4</v>
      </c>
      <c r="K58" s="53">
        <f>IF(SUMPRODUCT($Q$5:$AW$5,Q58:AW58)=0,"-",SUMPRODUCT($Q$5:$AW$5,Q58:AW58))</f>
        <v>225</v>
      </c>
      <c r="L58" s="51"/>
      <c r="M58" s="41"/>
      <c r="N58" s="41" t="s">
        <v>171</v>
      </c>
      <c r="O58" s="41" t="s">
        <v>172</v>
      </c>
      <c r="P58" s="47" t="s">
        <v>173</v>
      </c>
      <c r="Q58" s="28">
        <v>1</v>
      </c>
      <c r="R58" s="26">
        <v>3</v>
      </c>
    </row>
    <row r="59" spans="1:37" ht="15" customHeight="1">
      <c r="A59" t="s">
        <v>79</v>
      </c>
      <c r="B59" t="s">
        <v>94</v>
      </c>
      <c r="C59" s="25">
        <v>45797</v>
      </c>
      <c r="D59" s="29" t="s">
        <v>233</v>
      </c>
      <c r="E59" t="s">
        <v>96</v>
      </c>
      <c r="F59" t="s">
        <v>175</v>
      </c>
      <c r="G59" s="35" t="s">
        <v>83</v>
      </c>
      <c r="H59" s="26" t="s">
        <v>84</v>
      </c>
      <c r="I59" s="60" t="s">
        <v>234</v>
      </c>
      <c r="J59" s="26">
        <f>IF(SUM(Q59:AW59)=0,"-",SUM(Q59:AW59))</f>
        <v>2</v>
      </c>
      <c r="K59" s="53">
        <f>IF(SUMPRODUCT($Q$5:$AW$5,Q59:AW59)=0,"-",SUMPRODUCT($Q$5:$AW$5,Q59:AW59))</f>
        <v>270</v>
      </c>
      <c r="L59" s="51"/>
      <c r="M59" s="41"/>
      <c r="N59" s="41" t="s">
        <v>171</v>
      </c>
      <c r="O59" s="41" t="s">
        <v>172</v>
      </c>
      <c r="P59" s="47" t="s">
        <v>173</v>
      </c>
      <c r="Q59" s="28">
        <v>2</v>
      </c>
    </row>
    <row r="60" spans="1:37" ht="15" customHeight="1">
      <c r="A60" t="s">
        <v>79</v>
      </c>
      <c r="B60" t="s">
        <v>6</v>
      </c>
      <c r="C60" s="25">
        <v>45797</v>
      </c>
      <c r="D60" s="29" t="s">
        <v>235</v>
      </c>
      <c r="E60" t="s">
        <v>160</v>
      </c>
      <c r="F60" t="s">
        <v>229</v>
      </c>
      <c r="G60" s="35" t="s">
        <v>83</v>
      </c>
      <c r="H60" s="26" t="s">
        <v>84</v>
      </c>
      <c r="I60" s="60" t="s">
        <v>236</v>
      </c>
      <c r="J60" s="26">
        <f>IF(SUM(Q60:AW60)=0,"-",SUM(Q60:AW60))</f>
        <v>1</v>
      </c>
      <c r="K60" s="53">
        <f>IF(SUMPRODUCT($Q$5:$AW$5,Q60:AW60)=0,"-",SUMPRODUCT($Q$5:$AW$5,Q60:AW60))</f>
        <v>30</v>
      </c>
      <c r="L60" s="51"/>
      <c r="M60" s="41"/>
      <c r="N60" s="41" t="s">
        <v>171</v>
      </c>
      <c r="O60" s="41" t="s">
        <v>172</v>
      </c>
      <c r="P60" s="47" t="s">
        <v>173</v>
      </c>
      <c r="R60" s="26">
        <v>1</v>
      </c>
    </row>
    <row r="61" spans="1:37" ht="15" customHeight="1">
      <c r="A61" t="s">
        <v>79</v>
      </c>
      <c r="B61" t="s">
        <v>6</v>
      </c>
      <c r="C61" s="25">
        <v>45797</v>
      </c>
      <c r="D61" s="29" t="s">
        <v>237</v>
      </c>
      <c r="E61" t="s">
        <v>81</v>
      </c>
      <c r="F61" t="s">
        <v>92</v>
      </c>
      <c r="G61" s="35" t="s">
        <v>83</v>
      </c>
      <c r="H61" s="26" t="s">
        <v>84</v>
      </c>
      <c r="I61" s="60" t="s">
        <v>238</v>
      </c>
      <c r="J61" s="26">
        <f>IF(SUM(Q61:AW61)=0,"-",SUM(Q61:AW61))</f>
        <v>15</v>
      </c>
      <c r="K61" s="53">
        <f>IF(SUMPRODUCT($Q$5:$AW$5,Q61:AW61)=0,"-",SUMPRODUCT($Q$5:$AW$5,Q61:AW61))</f>
        <v>780</v>
      </c>
      <c r="L61" s="51"/>
      <c r="M61" s="41"/>
      <c r="N61" s="41" t="s">
        <v>171</v>
      </c>
      <c r="O61" s="41" t="s">
        <v>172</v>
      </c>
      <c r="P61" s="47" t="s">
        <v>173</v>
      </c>
      <c r="Q61" s="28">
        <v>2</v>
      </c>
      <c r="R61" s="26">
        <v>12</v>
      </c>
      <c r="AK61" s="26">
        <v>1</v>
      </c>
    </row>
    <row r="62" spans="1:37" ht="15" customHeight="1">
      <c r="A62" t="s">
        <v>79</v>
      </c>
      <c r="B62" t="s">
        <v>6</v>
      </c>
      <c r="C62" s="25">
        <v>45798</v>
      </c>
      <c r="D62" s="29" t="s">
        <v>239</v>
      </c>
      <c r="E62" t="s">
        <v>240</v>
      </c>
      <c r="F62" t="s">
        <v>241</v>
      </c>
      <c r="G62" s="35" t="s">
        <v>83</v>
      </c>
      <c r="H62" s="26" t="s">
        <v>84</v>
      </c>
      <c r="I62" s="60" t="s">
        <v>242</v>
      </c>
      <c r="J62" s="26">
        <f>IF(SUM(Q62:AW62)=0,"-",SUM(Q62:AW62))</f>
        <v>15</v>
      </c>
      <c r="K62" s="53">
        <f>IF(SUMPRODUCT($Q$5:$AW$5,Q62:AW62)=0,"-",SUMPRODUCT($Q$5:$AW$5,Q62:AW62))</f>
        <v>450</v>
      </c>
      <c r="L62" s="51"/>
      <c r="M62" s="41"/>
      <c r="N62" s="41" t="s">
        <v>171</v>
      </c>
      <c r="O62" s="41" t="s">
        <v>172</v>
      </c>
      <c r="P62" s="47" t="s">
        <v>173</v>
      </c>
      <c r="R62" s="26">
        <v>15</v>
      </c>
    </row>
    <row r="63" spans="1:37" ht="15" customHeight="1">
      <c r="A63" t="s">
        <v>79</v>
      </c>
      <c r="B63" t="s">
        <v>10</v>
      </c>
      <c r="C63" s="25">
        <v>45800</v>
      </c>
      <c r="D63" s="8" t="s">
        <v>243</v>
      </c>
      <c r="E63" t="s">
        <v>198</v>
      </c>
      <c r="F63" t="s">
        <v>199</v>
      </c>
      <c r="G63" s="35" t="s">
        <v>83</v>
      </c>
      <c r="H63" s="26" t="s">
        <v>84</v>
      </c>
      <c r="I63" s="60" t="s">
        <v>244</v>
      </c>
      <c r="J63" s="26">
        <f>IF(SUM(Q63:AW63)=0,"-",SUM(Q63:AW63))</f>
        <v>1</v>
      </c>
      <c r="K63" s="53">
        <f>IF(SUMPRODUCT($Q$5:$AW$5,Q63:AW63)=0,"-",SUMPRODUCT($Q$5:$AW$5,Q63:AW63))</f>
        <v>135</v>
      </c>
      <c r="L63" s="51"/>
      <c r="M63" s="41"/>
      <c r="N63" s="41" t="s">
        <v>171</v>
      </c>
      <c r="O63" s="41" t="s">
        <v>172</v>
      </c>
      <c r="P63" s="47" t="s">
        <v>173</v>
      </c>
      <c r="Q63" s="28">
        <v>1</v>
      </c>
    </row>
    <row r="64" spans="1:37" ht="15" customHeight="1">
      <c r="A64" t="s">
        <v>79</v>
      </c>
      <c r="B64" t="s">
        <v>6</v>
      </c>
      <c r="C64" s="25">
        <v>45803</v>
      </c>
      <c r="D64" s="29" t="s">
        <v>245</v>
      </c>
      <c r="E64" t="s">
        <v>246</v>
      </c>
      <c r="F64" t="s">
        <v>82</v>
      </c>
      <c r="G64" s="35" t="s">
        <v>83</v>
      </c>
      <c r="H64" s="26" t="s">
        <v>84</v>
      </c>
      <c r="I64" s="60" t="s">
        <v>247</v>
      </c>
      <c r="J64" s="26">
        <f>IF(SUM(Q64:AW64)=0,"-",SUM(Q64:AW64))</f>
        <v>9</v>
      </c>
      <c r="K64" s="53">
        <f>IF(SUMPRODUCT($Q$5:$AW$5,Q64:AW64)=0,"-",SUMPRODUCT($Q$5:$AW$5,Q64:AW64))</f>
        <v>230</v>
      </c>
      <c r="L64" s="51"/>
      <c r="M64" s="41"/>
      <c r="N64" s="41" t="s">
        <v>171</v>
      </c>
      <c r="O64" s="41" t="s">
        <v>172</v>
      </c>
      <c r="P64" s="47" t="s">
        <v>173</v>
      </c>
      <c r="R64" s="26">
        <v>7</v>
      </c>
      <c r="S64" s="26">
        <v>2</v>
      </c>
    </row>
    <row r="65" spans="1:37" ht="15" customHeight="1">
      <c r="A65" t="s">
        <v>79</v>
      </c>
      <c r="B65" t="s">
        <v>6</v>
      </c>
      <c r="C65" s="25">
        <v>45804</v>
      </c>
      <c r="D65" s="29" t="s">
        <v>248</v>
      </c>
      <c r="E65" t="s">
        <v>81</v>
      </c>
      <c r="F65" t="s">
        <v>82</v>
      </c>
      <c r="G65" s="35" t="s">
        <v>83</v>
      </c>
      <c r="H65" s="26" t="s">
        <v>84</v>
      </c>
      <c r="I65" s="60" t="s">
        <v>249</v>
      </c>
      <c r="J65" s="26">
        <f>IF(SUM(Q65:AW65)=0,"-",SUM(Q65:AW65))</f>
        <v>12</v>
      </c>
      <c r="K65" s="53">
        <f>IF(SUMPRODUCT($Q$5:$AW$5,Q65:AW65)=0,"-",SUMPRODUCT($Q$5:$AW$5,Q65:AW65))</f>
        <v>360</v>
      </c>
      <c r="L65" s="51"/>
      <c r="M65" s="41"/>
      <c r="N65" s="41" t="s">
        <v>171</v>
      </c>
      <c r="O65" s="41" t="s">
        <v>172</v>
      </c>
      <c r="P65" s="47" t="s">
        <v>173</v>
      </c>
      <c r="R65" s="26">
        <v>12</v>
      </c>
    </row>
    <row r="66" spans="1:37" ht="15" customHeight="1">
      <c r="A66" t="s">
        <v>79</v>
      </c>
      <c r="B66" t="s">
        <v>10</v>
      </c>
      <c r="C66" s="25">
        <v>45805</v>
      </c>
      <c r="D66" s="29" t="s">
        <v>250</v>
      </c>
      <c r="E66" t="s">
        <v>198</v>
      </c>
      <c r="F66" t="s">
        <v>199</v>
      </c>
      <c r="G66" s="35" t="s">
        <v>83</v>
      </c>
      <c r="H66" s="26" t="s">
        <v>84</v>
      </c>
      <c r="J66" s="26">
        <f>IF(SUM(Q66:AW66)=0,"-",SUM(Q66:AW66))</f>
        <v>14</v>
      </c>
      <c r="K66" s="53">
        <f>IF(SUMPRODUCT($Q$5:$AW$5,Q66:AW66)=0,"-",SUMPRODUCT($Q$5:$AW$5,Q66:AW66))</f>
        <v>420</v>
      </c>
      <c r="L66" s="51"/>
      <c r="M66" s="41"/>
      <c r="N66" s="41" t="s">
        <v>171</v>
      </c>
      <c r="O66" s="41" t="s">
        <v>172</v>
      </c>
      <c r="P66" s="47" t="s">
        <v>173</v>
      </c>
      <c r="R66" s="26">
        <v>14</v>
      </c>
    </row>
    <row r="67" spans="1:37" ht="15" customHeight="1">
      <c r="A67" t="s">
        <v>79</v>
      </c>
      <c r="B67" t="s">
        <v>6</v>
      </c>
      <c r="C67" s="25">
        <v>45805</v>
      </c>
      <c r="D67" s="29" t="s">
        <v>251</v>
      </c>
      <c r="E67" t="s">
        <v>125</v>
      </c>
      <c r="F67" t="s">
        <v>210</v>
      </c>
      <c r="G67" s="35" t="s">
        <v>83</v>
      </c>
      <c r="H67" s="26" t="s">
        <v>84</v>
      </c>
      <c r="I67" s="60" t="s">
        <v>252</v>
      </c>
      <c r="J67" s="26">
        <f>IF(SUM(Q67:AW67)=0,"-",SUM(Q67:AW67))</f>
        <v>6</v>
      </c>
      <c r="K67" s="53">
        <f>IF(SUMPRODUCT($Q$5:$AW$5,Q67:AW67)=0,"-",SUMPRODUCT($Q$5:$AW$5,Q67:AW67))</f>
        <v>180</v>
      </c>
      <c r="L67" s="51"/>
      <c r="M67" s="41"/>
      <c r="N67" s="41" t="s">
        <v>171</v>
      </c>
      <c r="O67" s="41" t="s">
        <v>172</v>
      </c>
      <c r="P67" s="47" t="s">
        <v>173</v>
      </c>
      <c r="R67" s="26">
        <v>6</v>
      </c>
    </row>
    <row r="68" spans="1:37" ht="15" customHeight="1">
      <c r="A68" t="s">
        <v>79</v>
      </c>
      <c r="B68" t="s">
        <v>6</v>
      </c>
      <c r="C68" s="25">
        <v>45791</v>
      </c>
      <c r="D68" s="29" t="s">
        <v>253</v>
      </c>
      <c r="E68" s="8" t="s">
        <v>81</v>
      </c>
      <c r="F68" t="s">
        <v>92</v>
      </c>
      <c r="G68" s="35" t="s">
        <v>83</v>
      </c>
      <c r="H68" s="26" t="s">
        <v>84</v>
      </c>
      <c r="I68" s="60" t="s">
        <v>254</v>
      </c>
      <c r="J68" s="26">
        <f>IF(SUM(Q68:AW68)=0,"-",SUM(Q68:AW68))</f>
        <v>66</v>
      </c>
      <c r="K68" s="54">
        <f>IF(SUMPRODUCT($Q$5:$AW$5,Q68:AW68)=0,"-",SUMPRODUCT($Q$5:$AW$5,Q68:AW68))</f>
        <v>2240</v>
      </c>
      <c r="L68" s="51"/>
      <c r="M68" s="41"/>
      <c r="N68" s="41" t="s">
        <v>255</v>
      </c>
      <c r="O68" s="41" t="s">
        <v>256</v>
      </c>
      <c r="P68" s="41" t="s">
        <v>257</v>
      </c>
      <c r="Q68" s="28">
        <v>4</v>
      </c>
      <c r="R68" s="26">
        <v>47</v>
      </c>
      <c r="S68" s="26">
        <v>14</v>
      </c>
      <c r="AK68" s="26">
        <v>1</v>
      </c>
    </row>
    <row r="69" spans="1:37" ht="15" customHeight="1">
      <c r="A69" t="s">
        <v>79</v>
      </c>
      <c r="B69" t="s">
        <v>6</v>
      </c>
      <c r="C69" s="25">
        <v>45796</v>
      </c>
      <c r="D69" s="29" t="s">
        <v>258</v>
      </c>
      <c r="E69" t="s">
        <v>81</v>
      </c>
      <c r="F69" t="s">
        <v>92</v>
      </c>
      <c r="G69" s="35" t="s">
        <v>83</v>
      </c>
      <c r="H69" s="26" t="s">
        <v>84</v>
      </c>
      <c r="I69" s="60" t="s">
        <v>259</v>
      </c>
      <c r="J69" s="26">
        <f>IF(SUM(Q69:AW69)=0,"-",SUM(Q69:AW69))</f>
        <v>12</v>
      </c>
      <c r="K69" s="54">
        <f>IF(SUMPRODUCT($Q$5:$AW$5,Q69:AW69)=0,"-",SUMPRODUCT($Q$5:$AW$5,Q69:AW69))</f>
        <v>795</v>
      </c>
      <c r="L69" s="41">
        <f>IF(SUM(S69:AY69)=0,"-",SUM(S69:AY69))</f>
        <v>1</v>
      </c>
      <c r="M69" s="41"/>
      <c r="N69" s="41" t="s">
        <v>255</v>
      </c>
      <c r="O69" s="41" t="s">
        <v>256</v>
      </c>
      <c r="P69" s="41" t="s">
        <v>257</v>
      </c>
      <c r="Q69" s="28">
        <v>3</v>
      </c>
      <c r="R69" s="26">
        <v>8</v>
      </c>
      <c r="AK69" s="26">
        <v>1</v>
      </c>
    </row>
    <row r="70" spans="1:37" ht="15" customHeight="1">
      <c r="A70" t="s">
        <v>79</v>
      </c>
      <c r="B70" t="s">
        <v>6</v>
      </c>
      <c r="C70" s="25">
        <v>45798</v>
      </c>
      <c r="D70" s="29" t="s">
        <v>260</v>
      </c>
      <c r="E70" t="s">
        <v>261</v>
      </c>
      <c r="F70" t="s">
        <v>161</v>
      </c>
      <c r="G70" s="35" t="s">
        <v>83</v>
      </c>
      <c r="H70" s="26" t="s">
        <v>84</v>
      </c>
      <c r="I70" s="60" t="s">
        <v>262</v>
      </c>
      <c r="J70" s="26">
        <f>IF(SUM(Q70:AW70)=0,"-",SUM(Q70:AW70))</f>
        <v>70</v>
      </c>
      <c r="K70" s="54">
        <f>IF(SUMPRODUCT($Q$5:$AW$5,Q70:AW70)=0,"-",SUMPRODUCT($Q$5:$AW$5,Q70:AW70))</f>
        <v>2080</v>
      </c>
      <c r="L70" s="51"/>
      <c r="M70" s="41"/>
      <c r="N70" s="41" t="s">
        <v>255</v>
      </c>
      <c r="O70" s="41" t="s">
        <v>256</v>
      </c>
      <c r="P70" s="41" t="s">
        <v>257</v>
      </c>
      <c r="R70" s="26">
        <v>69</v>
      </c>
      <c r="S70" s="26">
        <v>1</v>
      </c>
    </row>
    <row r="71" spans="1:37" ht="15" customHeight="1">
      <c r="A71" t="s">
        <v>79</v>
      </c>
      <c r="B71" t="s">
        <v>6</v>
      </c>
      <c r="C71" s="25">
        <v>45811</v>
      </c>
      <c r="D71" s="29" t="s">
        <v>263</v>
      </c>
      <c r="E71" t="s">
        <v>125</v>
      </c>
      <c r="F71" t="s">
        <v>210</v>
      </c>
      <c r="G71" s="35" t="s">
        <v>83</v>
      </c>
      <c r="H71" s="26" t="s">
        <v>84</v>
      </c>
      <c r="I71" s="60" t="s">
        <v>264</v>
      </c>
      <c r="J71" s="26">
        <f>IF(SUM(Q71:AW71)=0,"-",SUM(Q71:AW71))</f>
        <v>7</v>
      </c>
      <c r="K71" s="54">
        <f>IF(SUMPRODUCT($Q$5:$AW$5,Q71:AW71)=0,"-",SUMPRODUCT($Q$5:$AW$5,Q71:AW71))</f>
        <v>360</v>
      </c>
      <c r="L71" s="51"/>
      <c r="M71" s="41"/>
      <c r="N71" s="41" t="s">
        <v>255</v>
      </c>
      <c r="O71" s="41" t="s">
        <v>256</v>
      </c>
      <c r="P71" s="41" t="s">
        <v>257</v>
      </c>
      <c r="Y71" s="28">
        <v>1</v>
      </c>
      <c r="Z71" s="26">
        <v>6</v>
      </c>
    </row>
    <row r="72" spans="1:37" ht="15" customHeight="1">
      <c r="A72" t="s">
        <v>79</v>
      </c>
      <c r="B72" t="s">
        <v>6</v>
      </c>
      <c r="C72" s="25">
        <v>45812</v>
      </c>
      <c r="D72" s="29" t="s">
        <v>265</v>
      </c>
      <c r="E72" t="s">
        <v>266</v>
      </c>
      <c r="F72" t="s">
        <v>175</v>
      </c>
      <c r="G72" s="35" t="s">
        <v>83</v>
      </c>
      <c r="H72" s="26" t="s">
        <v>84</v>
      </c>
      <c r="I72" s="60" t="s">
        <v>267</v>
      </c>
      <c r="J72" s="26">
        <f>IF(SUM(Q72:AW72)=0,"-",SUM(Q72:AW72))</f>
        <v>5</v>
      </c>
      <c r="K72" s="54">
        <f>IF(SUMPRODUCT($Q$5:$AW$5,Q72:AW72)=0,"-",SUMPRODUCT($Q$5:$AW$5,Q72:AW72))</f>
        <v>290</v>
      </c>
      <c r="L72" s="51"/>
      <c r="M72" s="41"/>
      <c r="N72" s="41" t="s">
        <v>255</v>
      </c>
      <c r="O72" s="41" t="s">
        <v>256</v>
      </c>
      <c r="P72" s="41" t="s">
        <v>257</v>
      </c>
      <c r="Y72" s="28">
        <v>1</v>
      </c>
      <c r="Z72" s="26">
        <v>4</v>
      </c>
    </row>
    <row r="73" spans="1:37" ht="15" customHeight="1">
      <c r="A73" t="s">
        <v>79</v>
      </c>
      <c r="B73" t="s">
        <v>94</v>
      </c>
      <c r="C73" s="25">
        <v>45818</v>
      </c>
      <c r="D73" s="29" t="s">
        <v>268</v>
      </c>
      <c r="E73" t="s">
        <v>96</v>
      </c>
      <c r="F73" t="s">
        <v>175</v>
      </c>
      <c r="G73" s="35" t="s">
        <v>83</v>
      </c>
      <c r="H73" s="26" t="s">
        <v>84</v>
      </c>
      <c r="I73" s="60" t="s">
        <v>234</v>
      </c>
      <c r="J73" s="26">
        <f>IF(SUM(Q73:AW73)=0,"-",SUM(Q73:AW73))</f>
        <v>13</v>
      </c>
      <c r="K73" s="54">
        <f>IF(SUMPRODUCT($Q$5:$AW$5,Q73:AW73)=0,"-",SUMPRODUCT($Q$5:$AW$5,Q73:AW73))</f>
        <v>705</v>
      </c>
      <c r="L73" s="51"/>
      <c r="M73" s="41"/>
      <c r="N73" s="41" t="s">
        <v>255</v>
      </c>
      <c r="O73" s="41" t="s">
        <v>256</v>
      </c>
      <c r="P73" s="41" t="s">
        <v>257</v>
      </c>
      <c r="Q73" s="28">
        <v>3</v>
      </c>
      <c r="R73" s="26">
        <v>10</v>
      </c>
    </row>
    <row r="74" spans="1:37" ht="15" customHeight="1">
      <c r="A74" t="s">
        <v>79</v>
      </c>
      <c r="B74" t="s">
        <v>94</v>
      </c>
      <c r="C74" s="25">
        <v>45820</v>
      </c>
      <c r="D74" s="29" t="s">
        <v>269</v>
      </c>
      <c r="E74" t="s">
        <v>96</v>
      </c>
      <c r="F74" t="s">
        <v>175</v>
      </c>
      <c r="G74" s="51" t="s">
        <v>83</v>
      </c>
      <c r="H74" s="26" t="s">
        <v>84</v>
      </c>
      <c r="I74" s="60" t="s">
        <v>270</v>
      </c>
      <c r="J74" s="26">
        <f>IF(SUM(Q74:AW74)=0,"-",SUM(Q74:AW74))</f>
        <v>6</v>
      </c>
      <c r="K74" s="54">
        <f>IF(SUMPRODUCT($Q$5:$AW$5,Q74:AW74)=0,"-",SUMPRODUCT($Q$5:$AW$5,Q74:AW74))</f>
        <v>390</v>
      </c>
      <c r="L74" s="51"/>
      <c r="M74" s="41"/>
      <c r="N74" s="41" t="s">
        <v>255</v>
      </c>
      <c r="O74" s="41" t="s">
        <v>256</v>
      </c>
      <c r="P74" s="41" t="s">
        <v>257</v>
      </c>
      <c r="Q74" s="28">
        <v>2</v>
      </c>
      <c r="R74" s="26">
        <v>4</v>
      </c>
    </row>
    <row r="75" spans="1:37" ht="15" customHeight="1">
      <c r="A75" t="s">
        <v>271</v>
      </c>
      <c r="B75" t="s">
        <v>6</v>
      </c>
      <c r="C75" s="25">
        <v>45824</v>
      </c>
      <c r="D75" s="29" t="s">
        <v>272</v>
      </c>
      <c r="E75" t="s">
        <v>223</v>
      </c>
      <c r="F75" t="s">
        <v>224</v>
      </c>
      <c r="G75" s="51" t="s">
        <v>83</v>
      </c>
      <c r="H75" s="26" t="s">
        <v>84</v>
      </c>
      <c r="I75" s="60" t="s">
        <v>273</v>
      </c>
      <c r="J75" s="26">
        <f>IF(SUM(Q75:AW75)=0,"-",SUM(Q75:AW75))</f>
        <v>7</v>
      </c>
      <c r="K75" s="54">
        <f>IF(SUMPRODUCT($Q$5:$AW$5,Q75:AW75)=0,"-",SUMPRODUCT($Q$5:$AW$5,Q75:AW75))</f>
        <v>210</v>
      </c>
      <c r="L75" s="51"/>
      <c r="M75" s="41"/>
      <c r="N75" s="41" t="s">
        <v>255</v>
      </c>
      <c r="O75" s="41" t="s">
        <v>256</v>
      </c>
      <c r="P75" s="41" t="s">
        <v>257</v>
      </c>
      <c r="R75" s="26">
        <v>7</v>
      </c>
    </row>
    <row r="76" spans="1:37" ht="15" customHeight="1">
      <c r="A76" t="s">
        <v>79</v>
      </c>
      <c r="B76" t="s">
        <v>6</v>
      </c>
      <c r="C76" s="25">
        <v>45823</v>
      </c>
      <c r="D76" s="29" t="s">
        <v>274</v>
      </c>
      <c r="E76" t="s">
        <v>81</v>
      </c>
      <c r="F76" t="s">
        <v>210</v>
      </c>
      <c r="G76" s="35" t="s">
        <v>83</v>
      </c>
      <c r="H76" s="26" t="s">
        <v>84</v>
      </c>
      <c r="J76" s="26">
        <f>IF(SUM(Q76:AW76)=0,"-",SUM(Q76:AW76))</f>
        <v>1</v>
      </c>
      <c r="K76" s="54">
        <f>IF(SUMPRODUCT($Q$5:$AW$5,Q76:AW76)=0,"-",SUMPRODUCT($Q$5:$AW$5,Q76:AW76))</f>
        <v>500</v>
      </c>
      <c r="L76" s="51"/>
      <c r="M76" s="41"/>
      <c r="N76" s="41" t="s">
        <v>255</v>
      </c>
      <c r="O76" s="41" t="s">
        <v>256</v>
      </c>
      <c r="P76" s="41" t="s">
        <v>257</v>
      </c>
      <c r="X76" s="26">
        <v>1</v>
      </c>
    </row>
    <row r="77" spans="1:37" ht="15" customHeight="1">
      <c r="A77" t="s">
        <v>79</v>
      </c>
      <c r="B77" t="s">
        <v>6</v>
      </c>
      <c r="C77" s="25">
        <v>45824</v>
      </c>
      <c r="D77" s="29" t="s">
        <v>275</v>
      </c>
      <c r="E77" t="s">
        <v>276</v>
      </c>
      <c r="F77" t="s">
        <v>210</v>
      </c>
      <c r="G77" s="35" t="s">
        <v>83</v>
      </c>
      <c r="H77" s="26" t="s">
        <v>84</v>
      </c>
      <c r="I77" s="60" t="s">
        <v>277</v>
      </c>
      <c r="J77" s="26">
        <f>IF(SUM(Q77:AW77)=0,"-",SUM(Q77:AW77))</f>
        <v>28</v>
      </c>
      <c r="K77" s="54">
        <f>IF(SUMPRODUCT($Q$5:$AW$5,Q77:AW77)=0,"-",SUMPRODUCT($Q$5:$AW$5,Q77:AW77))</f>
        <v>300</v>
      </c>
      <c r="L77" s="51"/>
      <c r="M77" s="41"/>
      <c r="N77" s="41" t="s">
        <v>255</v>
      </c>
      <c r="O77" s="41" t="s">
        <v>256</v>
      </c>
      <c r="P77" s="41" t="s">
        <v>257</v>
      </c>
      <c r="R77" s="26">
        <v>1</v>
      </c>
      <c r="S77" s="26">
        <v>27</v>
      </c>
    </row>
    <row r="78" spans="1:37" ht="15" customHeight="1">
      <c r="A78" t="s">
        <v>79</v>
      </c>
      <c r="B78" t="s">
        <v>6</v>
      </c>
      <c r="C78" s="25">
        <v>45824</v>
      </c>
      <c r="D78" s="29" t="s">
        <v>278</v>
      </c>
      <c r="E78" t="s">
        <v>276</v>
      </c>
      <c r="F78" t="s">
        <v>136</v>
      </c>
      <c r="G78" s="35" t="s">
        <v>83</v>
      </c>
      <c r="H78" s="26" t="s">
        <v>84</v>
      </c>
      <c r="I78" s="60" t="s">
        <v>279</v>
      </c>
      <c r="J78" s="26">
        <f>IF(SUM(Q78:AW78)=0,"-",SUM(Q78:AW78))</f>
        <v>15</v>
      </c>
      <c r="K78" s="54">
        <f>IF(SUMPRODUCT($Q$5:$AW$5,Q78:AW78)=0,"-",SUMPRODUCT($Q$5:$AW$5,Q78:AW78))</f>
        <v>660</v>
      </c>
      <c r="L78" s="51"/>
      <c r="M78" s="41"/>
      <c r="N78" s="41" t="s">
        <v>255</v>
      </c>
      <c r="O78" s="41" t="s">
        <v>256</v>
      </c>
      <c r="P78" s="41" t="s">
        <v>257</v>
      </c>
      <c r="Q78" s="28">
        <v>2</v>
      </c>
      <c r="R78" s="26">
        <v>13</v>
      </c>
    </row>
    <row r="79" spans="1:37" ht="15" customHeight="1">
      <c r="A79" t="s">
        <v>79</v>
      </c>
      <c r="B79" t="s">
        <v>6</v>
      </c>
      <c r="C79" s="25">
        <v>45825</v>
      </c>
      <c r="D79" s="29" t="s">
        <v>280</v>
      </c>
      <c r="E79" t="s">
        <v>281</v>
      </c>
      <c r="F79" t="s">
        <v>92</v>
      </c>
      <c r="G79" s="35" t="s">
        <v>83</v>
      </c>
      <c r="H79" s="26" t="s">
        <v>84</v>
      </c>
      <c r="I79" s="60" t="s">
        <v>282</v>
      </c>
      <c r="J79" s="26">
        <f>IF(SUM(Q79:AW79)=0,"-",SUM(Q79:AW79))</f>
        <v>9</v>
      </c>
      <c r="K79" s="53">
        <f>IF(SUMPRODUCT($Q$5:$AW$5,Q79:AW79)=0,"-",SUMPRODUCT($Q$5:$AW$5,Q79:AW79))</f>
        <v>930</v>
      </c>
      <c r="L79" s="48" t="s">
        <v>86</v>
      </c>
      <c r="M79" s="49" t="s">
        <v>86</v>
      </c>
      <c r="N79" s="41" t="s">
        <v>255</v>
      </c>
      <c r="O79" s="41" t="s">
        <v>283</v>
      </c>
      <c r="P79" s="41" t="s">
        <v>284</v>
      </c>
      <c r="AJ79" s="28">
        <v>6</v>
      </c>
      <c r="AK79" s="26">
        <v>3</v>
      </c>
    </row>
    <row r="80" spans="1:37" ht="15" customHeight="1">
      <c r="A80" t="s">
        <v>79</v>
      </c>
      <c r="B80" t="s">
        <v>8</v>
      </c>
      <c r="C80" s="25">
        <v>45825</v>
      </c>
      <c r="D80" s="29" t="s">
        <v>285</v>
      </c>
      <c r="E80" t="s">
        <v>96</v>
      </c>
      <c r="F80" t="s">
        <v>175</v>
      </c>
      <c r="G80" s="35" t="s">
        <v>83</v>
      </c>
      <c r="H80" s="26" t="s">
        <v>84</v>
      </c>
      <c r="J80" s="26">
        <f>IF(SUM(Q80:AW80)=0,"-",SUM(Q80:AW80))</f>
        <v>4</v>
      </c>
      <c r="K80" s="54">
        <f>IF(SUMPRODUCT($Q$5:$AW$5,Q80:AW80)=0,"-",SUMPRODUCT($Q$5:$AW$5,Q80:AW80))</f>
        <v>225</v>
      </c>
      <c r="L80" s="51"/>
      <c r="M80" s="41"/>
      <c r="N80" s="41" t="s">
        <v>255</v>
      </c>
      <c r="O80" s="41" t="s">
        <v>256</v>
      </c>
      <c r="P80" s="41" t="s">
        <v>257</v>
      </c>
      <c r="Q80" s="28">
        <v>1</v>
      </c>
      <c r="R80" s="26">
        <v>3</v>
      </c>
    </row>
    <row r="81" spans="1:39" ht="15" customHeight="1">
      <c r="A81" t="s">
        <v>79</v>
      </c>
      <c r="B81" t="s">
        <v>8</v>
      </c>
      <c r="C81" s="25">
        <v>45826</v>
      </c>
      <c r="D81" s="29" t="s">
        <v>286</v>
      </c>
      <c r="E81" t="s">
        <v>96</v>
      </c>
      <c r="F81" t="s">
        <v>175</v>
      </c>
      <c r="G81" s="51" t="s">
        <v>83</v>
      </c>
      <c r="H81" s="26" t="s">
        <v>84</v>
      </c>
      <c r="J81" s="26">
        <f>IF(SUM(Q81:AW81)=0,"-",SUM(Q81:AW81))</f>
        <v>3</v>
      </c>
      <c r="K81" s="53">
        <f>IF(SUMPRODUCT($Q$5:$AW$5,Q81:AW81)=0,"-",SUMPRODUCT($Q$5:$AW$5,Q81:AW81))</f>
        <v>405</v>
      </c>
      <c r="L81" s="48" t="s">
        <v>86</v>
      </c>
      <c r="M81" s="49" t="s">
        <v>86</v>
      </c>
      <c r="N81" s="41" t="s">
        <v>255</v>
      </c>
      <c r="O81" s="41" t="s">
        <v>283</v>
      </c>
      <c r="P81" s="41" t="s">
        <v>284</v>
      </c>
      <c r="Q81" s="28">
        <v>3</v>
      </c>
    </row>
    <row r="82" spans="1:39" ht="15" customHeight="1">
      <c r="A82" t="s">
        <v>79</v>
      </c>
      <c r="B82" t="s">
        <v>6</v>
      </c>
      <c r="C82" s="25">
        <v>45834</v>
      </c>
      <c r="D82" s="29" t="s">
        <v>287</v>
      </c>
      <c r="E82" t="s">
        <v>288</v>
      </c>
      <c r="F82" t="s">
        <v>210</v>
      </c>
      <c r="G82" s="51" t="s">
        <v>83</v>
      </c>
      <c r="H82" s="26" t="s">
        <v>84</v>
      </c>
      <c r="I82" s="60" t="s">
        <v>289</v>
      </c>
      <c r="J82" s="26">
        <f>IF(SUM(Q82:AW82)=0,"-",SUM(Q82:AW82))</f>
        <v>4</v>
      </c>
      <c r="K82" s="54">
        <f>IF(SUMPRODUCT($Q$5:$AW$5,Q82:AW82)=0,"-",SUMPRODUCT($Q$5:$AW$5,Q82:AW82))</f>
        <v>40</v>
      </c>
      <c r="L82" s="51"/>
      <c r="M82" s="41"/>
      <c r="N82" s="41" t="s">
        <v>255</v>
      </c>
      <c r="O82" s="41" t="s">
        <v>256</v>
      </c>
      <c r="P82" s="41" t="s">
        <v>257</v>
      </c>
      <c r="S82" s="26">
        <v>4</v>
      </c>
    </row>
    <row r="83" spans="1:39" ht="15" customHeight="1">
      <c r="A83" t="s">
        <v>79</v>
      </c>
      <c r="B83" t="s">
        <v>6</v>
      </c>
      <c r="C83" s="25">
        <v>45834</v>
      </c>
      <c r="D83" s="29" t="s">
        <v>290</v>
      </c>
      <c r="E83" t="s">
        <v>291</v>
      </c>
      <c r="F83" t="s">
        <v>210</v>
      </c>
      <c r="G83" s="51" t="s">
        <v>83</v>
      </c>
      <c r="H83" s="26" t="s">
        <v>84</v>
      </c>
      <c r="I83" s="60" t="s">
        <v>292</v>
      </c>
      <c r="J83" s="26">
        <f>IF(SUM(Q83:AW83)=0,"-",SUM(Q83:AW83))</f>
        <v>10</v>
      </c>
      <c r="K83" s="53">
        <f>IF(SUMPRODUCT($Q$5:$AW$5,Q83:AW83)=0,"-",SUMPRODUCT($Q$5:$AW$5,Q83:AW83))</f>
        <v>800</v>
      </c>
      <c r="L83" s="48" t="s">
        <v>86</v>
      </c>
      <c r="M83" s="49" t="s">
        <v>86</v>
      </c>
      <c r="N83" s="41" t="s">
        <v>255</v>
      </c>
      <c r="O83" s="41" t="s">
        <v>283</v>
      </c>
      <c r="P83" s="41" t="s">
        <v>284</v>
      </c>
      <c r="R83" s="26">
        <v>3</v>
      </c>
      <c r="X83" s="26">
        <v>1</v>
      </c>
      <c r="Z83" s="26">
        <v>6</v>
      </c>
    </row>
    <row r="84" spans="1:39" ht="15" customHeight="1">
      <c r="A84" t="s">
        <v>79</v>
      </c>
      <c r="B84" t="s">
        <v>8</v>
      </c>
      <c r="C84" s="25">
        <v>45835</v>
      </c>
      <c r="D84" s="29" t="s">
        <v>293</v>
      </c>
      <c r="E84" t="s">
        <v>96</v>
      </c>
      <c r="F84" t="s">
        <v>97</v>
      </c>
      <c r="G84" s="51" t="s">
        <v>83</v>
      </c>
      <c r="H84" s="26" t="s">
        <v>84</v>
      </c>
      <c r="I84" s="60" t="s">
        <v>294</v>
      </c>
      <c r="J84" s="26">
        <f>IF(SUM(Q84:AW84)=0,"-",SUM(Q84:AW84))</f>
        <v>4</v>
      </c>
      <c r="K84" s="53">
        <f>IF(SUMPRODUCT($Q$5:$AW$5,Q84:AW84)=0,"-",SUMPRODUCT($Q$5:$AW$5,Q84:AW84))</f>
        <v>120</v>
      </c>
      <c r="L84" s="48" t="s">
        <v>86</v>
      </c>
      <c r="M84" s="49" t="s">
        <v>86</v>
      </c>
      <c r="N84" s="41" t="s">
        <v>255</v>
      </c>
      <c r="O84" s="41" t="s">
        <v>283</v>
      </c>
      <c r="P84" s="41" t="s">
        <v>284</v>
      </c>
      <c r="R84" s="26">
        <v>4</v>
      </c>
    </row>
    <row r="85" spans="1:39" ht="15" customHeight="1">
      <c r="A85" t="s">
        <v>79</v>
      </c>
      <c r="B85" t="s">
        <v>11</v>
      </c>
      <c r="C85" s="25">
        <v>45840</v>
      </c>
      <c r="D85" s="29" t="s">
        <v>295</v>
      </c>
      <c r="E85" t="s">
        <v>296</v>
      </c>
      <c r="F85" t="s">
        <v>161</v>
      </c>
      <c r="G85" s="51" t="s">
        <v>83</v>
      </c>
      <c r="H85" s="26" t="s">
        <v>84</v>
      </c>
      <c r="I85" s="60" t="s">
        <v>297</v>
      </c>
      <c r="J85" s="26">
        <f>IF(SUM(Q85:AW85)=0,"-",SUM(Q85:AW85))</f>
        <v>53</v>
      </c>
      <c r="K85" s="53">
        <f>IF(SUMPRODUCT($Q$5:$AW$5,Q85:AW85)=0,"-",SUMPRODUCT($Q$5:$AW$5,Q85:AW85))</f>
        <v>1870</v>
      </c>
      <c r="L85" s="48" t="s">
        <v>86</v>
      </c>
      <c r="M85" s="49" t="s">
        <v>86</v>
      </c>
      <c r="N85" s="41" t="s">
        <v>255</v>
      </c>
      <c r="O85" s="41" t="s">
        <v>283</v>
      </c>
      <c r="P85" s="41" t="s">
        <v>284</v>
      </c>
      <c r="Q85" s="28">
        <v>3</v>
      </c>
      <c r="R85" s="26">
        <v>28</v>
      </c>
      <c r="S85" s="26">
        <v>15</v>
      </c>
      <c r="Y85" s="28">
        <v>2</v>
      </c>
      <c r="Z85" s="26">
        <v>5</v>
      </c>
    </row>
    <row r="86" spans="1:39" ht="15" customHeight="1">
      <c r="A86" t="s">
        <v>79</v>
      </c>
      <c r="B86" t="s">
        <v>6</v>
      </c>
      <c r="C86" s="25">
        <v>45841</v>
      </c>
      <c r="D86" s="29" t="s">
        <v>298</v>
      </c>
      <c r="E86" t="s">
        <v>240</v>
      </c>
      <c r="F86" t="s">
        <v>114</v>
      </c>
      <c r="G86" s="51" t="s">
        <v>83</v>
      </c>
      <c r="H86" s="26" t="s">
        <v>84</v>
      </c>
      <c r="I86" s="60" t="s">
        <v>299</v>
      </c>
      <c r="J86" s="26">
        <f>IF(SUM(Q86:AW86)=0,"-",SUM(Q86:AW86))</f>
        <v>3</v>
      </c>
      <c r="K86" s="53">
        <f>IF(SUMPRODUCT($Q$5:$AW$5,Q86:AW86)=0,"-",SUMPRODUCT($Q$5:$AW$5,Q86:AW86))</f>
        <v>90</v>
      </c>
      <c r="L86" s="48" t="s">
        <v>86</v>
      </c>
      <c r="M86" s="49" t="s">
        <v>86</v>
      </c>
      <c r="N86" s="41" t="s">
        <v>255</v>
      </c>
      <c r="O86" s="41" t="s">
        <v>283</v>
      </c>
      <c r="P86" s="41" t="s">
        <v>284</v>
      </c>
      <c r="R86" s="26">
        <v>3</v>
      </c>
    </row>
    <row r="87" spans="1:39" ht="15" customHeight="1">
      <c r="A87" t="s">
        <v>79</v>
      </c>
      <c r="B87" t="s">
        <v>11</v>
      </c>
      <c r="C87" s="25">
        <v>45845</v>
      </c>
      <c r="D87" s="29" t="s">
        <v>300</v>
      </c>
      <c r="E87" t="s">
        <v>301</v>
      </c>
      <c r="F87" t="s">
        <v>175</v>
      </c>
      <c r="G87" s="51" t="s">
        <v>83</v>
      </c>
      <c r="H87" s="26" t="s">
        <v>84</v>
      </c>
      <c r="I87" s="60" t="s">
        <v>302</v>
      </c>
      <c r="J87" s="26">
        <f>IF(SUM(Q87:AW87)=0,"-",SUM(Q87:AW87))</f>
        <v>1</v>
      </c>
      <c r="K87" s="53">
        <f>IF(SUMPRODUCT($Q$5:$AW$5,Q87:AW87)=0,"-",SUMPRODUCT($Q$5:$AW$5,Q87:AW87))</f>
        <v>135</v>
      </c>
      <c r="L87" s="48" t="s">
        <v>86</v>
      </c>
      <c r="M87" s="49" t="s">
        <v>86</v>
      </c>
      <c r="N87" s="41" t="s">
        <v>255</v>
      </c>
      <c r="O87" s="41" t="s">
        <v>283</v>
      </c>
      <c r="P87" s="41" t="s">
        <v>284</v>
      </c>
      <c r="Q87" s="28">
        <v>1</v>
      </c>
    </row>
    <row r="88" spans="1:39" ht="15" customHeight="1">
      <c r="A88" t="s">
        <v>79</v>
      </c>
      <c r="B88" t="s">
        <v>6</v>
      </c>
      <c r="C88" s="25">
        <v>45845</v>
      </c>
      <c r="D88" s="29" t="s">
        <v>303</v>
      </c>
      <c r="E88" t="s">
        <v>240</v>
      </c>
      <c r="F88" t="s">
        <v>114</v>
      </c>
      <c r="G88" s="35" t="s">
        <v>83</v>
      </c>
      <c r="H88" s="26" t="s">
        <v>84</v>
      </c>
      <c r="I88" s="60" t="s">
        <v>304</v>
      </c>
      <c r="J88" s="26">
        <f>IF(SUM(Q88:AW88)=0,"-",SUM(Q88:AW88))</f>
        <v>123</v>
      </c>
      <c r="K88" s="53">
        <f>IF(SUMPRODUCT($Q$5:$AW$5,Q88:AW88)=0,"-",SUMPRODUCT($Q$5:$AW$5,Q88:AW88))</f>
        <v>4805</v>
      </c>
      <c r="L88" s="51"/>
      <c r="M88" s="41"/>
      <c r="N88" s="41" t="s">
        <v>255</v>
      </c>
      <c r="O88" s="41" t="s">
        <v>305</v>
      </c>
      <c r="P88" s="41" t="s">
        <v>306</v>
      </c>
      <c r="Q88" s="28">
        <v>10</v>
      </c>
      <c r="R88" s="26">
        <v>68</v>
      </c>
      <c r="S88" s="26">
        <v>28</v>
      </c>
      <c r="Y88" s="28">
        <v>1</v>
      </c>
      <c r="Z88" s="26">
        <v>15</v>
      </c>
      <c r="AM88" s="26">
        <v>1</v>
      </c>
    </row>
    <row r="89" spans="1:39" ht="15" customHeight="1">
      <c r="A89" t="s">
        <v>79</v>
      </c>
      <c r="B89" t="s">
        <v>11</v>
      </c>
      <c r="C89" s="25">
        <v>45848</v>
      </c>
      <c r="D89" s="29" t="s">
        <v>307</v>
      </c>
      <c r="E89" t="s">
        <v>301</v>
      </c>
      <c r="F89" t="s">
        <v>175</v>
      </c>
      <c r="G89" s="51" t="s">
        <v>83</v>
      </c>
      <c r="H89" s="26" t="s">
        <v>84</v>
      </c>
      <c r="I89" s="60" t="s">
        <v>308</v>
      </c>
      <c r="J89" s="26">
        <f>IF(SUM(Q89:AW89)=0,"-",SUM(Q89:AW89))</f>
        <v>20</v>
      </c>
      <c r="K89" s="53">
        <f>IF(SUMPRODUCT($Q$5:$AW$5,Q89:AW89)=0,"-",SUMPRODUCT($Q$5:$AW$5,Q89:AW89))</f>
        <v>590</v>
      </c>
      <c r="L89" s="48" t="s">
        <v>86</v>
      </c>
      <c r="M89" s="49" t="s">
        <v>86</v>
      </c>
      <c r="N89" s="41" t="s">
        <v>255</v>
      </c>
      <c r="O89" s="41" t="s">
        <v>283</v>
      </c>
      <c r="P89" s="41" t="s">
        <v>284</v>
      </c>
      <c r="Q89" s="28">
        <v>2</v>
      </c>
      <c r="R89" s="26">
        <v>7</v>
      </c>
      <c r="S89" s="26">
        <v>11</v>
      </c>
    </row>
    <row r="90" spans="1:39" ht="15" customHeight="1">
      <c r="A90" t="s">
        <v>79</v>
      </c>
      <c r="B90" t="s">
        <v>6</v>
      </c>
      <c r="C90" s="25">
        <v>45848</v>
      </c>
      <c r="D90" s="29" t="s">
        <v>309</v>
      </c>
      <c r="E90" t="s">
        <v>125</v>
      </c>
      <c r="F90" t="s">
        <v>136</v>
      </c>
      <c r="G90" s="51" t="s">
        <v>83</v>
      </c>
      <c r="H90" s="26" t="s">
        <v>84</v>
      </c>
      <c r="I90" s="60" t="s">
        <v>310</v>
      </c>
      <c r="J90" s="26">
        <f>IF(SUM(Q90:AW90)=0,"-",SUM(Q90:AW90))</f>
        <v>16</v>
      </c>
      <c r="K90" s="53">
        <f>IF(SUMPRODUCT($Q$5:$AW$5,Q90:AW90)=0,"-",SUMPRODUCT($Q$5:$AW$5,Q90:AW90))</f>
        <v>285</v>
      </c>
      <c r="L90" s="48" t="s">
        <v>86</v>
      </c>
      <c r="M90" s="49" t="s">
        <v>86</v>
      </c>
      <c r="N90" s="41" t="s">
        <v>255</v>
      </c>
      <c r="O90" s="41" t="s">
        <v>283</v>
      </c>
      <c r="P90" s="41" t="s">
        <v>284</v>
      </c>
      <c r="Q90" s="28">
        <v>1</v>
      </c>
      <c r="S90" s="26">
        <v>15</v>
      </c>
    </row>
    <row r="91" spans="1:39" ht="15" customHeight="1">
      <c r="A91" t="s">
        <v>79</v>
      </c>
      <c r="B91" t="s">
        <v>11</v>
      </c>
      <c r="C91" s="25">
        <v>45849</v>
      </c>
      <c r="D91" s="29" t="s">
        <v>311</v>
      </c>
      <c r="E91" t="s">
        <v>312</v>
      </c>
      <c r="F91" t="s">
        <v>313</v>
      </c>
      <c r="G91" s="51" t="s">
        <v>83</v>
      </c>
      <c r="H91" s="26" t="s">
        <v>84</v>
      </c>
      <c r="I91" s="60" t="s">
        <v>314</v>
      </c>
      <c r="J91" s="26">
        <f>IF(SUM(Q91:AW91)=0,"-",SUM(Q91:AW91))</f>
        <v>39</v>
      </c>
      <c r="K91" s="53">
        <f>IF(SUMPRODUCT($Q$5:$AW$5,Q91:AW91)=0,"-",SUMPRODUCT($Q$5:$AW$5,Q91:AW91))</f>
        <v>1510</v>
      </c>
      <c r="L91" s="48" t="s">
        <v>86</v>
      </c>
      <c r="M91" s="49" t="s">
        <v>86</v>
      </c>
      <c r="N91" s="41" t="s">
        <v>255</v>
      </c>
      <c r="O91" s="41" t="s">
        <v>283</v>
      </c>
      <c r="P91" s="41" t="s">
        <v>284</v>
      </c>
      <c r="Q91" s="28">
        <v>3</v>
      </c>
      <c r="R91" s="26">
        <v>4</v>
      </c>
      <c r="S91" s="26">
        <v>12</v>
      </c>
      <c r="Y91" s="28">
        <v>2</v>
      </c>
      <c r="Z91" s="26">
        <v>5</v>
      </c>
      <c r="AE91" s="28">
        <v>13</v>
      </c>
    </row>
    <row r="92" spans="1:39" ht="15" customHeight="1">
      <c r="A92" t="s">
        <v>79</v>
      </c>
      <c r="B92" t="s">
        <v>94</v>
      </c>
      <c r="C92" s="25">
        <v>45853</v>
      </c>
      <c r="D92" s="29" t="s">
        <v>315</v>
      </c>
      <c r="E92" t="s">
        <v>96</v>
      </c>
      <c r="F92" t="s">
        <v>175</v>
      </c>
      <c r="G92" s="51" t="s">
        <v>83</v>
      </c>
      <c r="H92" s="26" t="s">
        <v>84</v>
      </c>
      <c r="I92" s="60" t="s">
        <v>316</v>
      </c>
      <c r="J92" s="26">
        <f>IF(SUM(Q92:AW92)=0,"-",SUM(Q92:AW92))</f>
        <v>5</v>
      </c>
      <c r="K92" s="53">
        <f>IF(SUMPRODUCT($Q$5:$AW$5,Q92:AW92)=0,"-",SUMPRODUCT($Q$5:$AW$5,Q92:AW92))</f>
        <v>150</v>
      </c>
      <c r="L92" s="48" t="s">
        <v>86</v>
      </c>
      <c r="M92" s="49" t="s">
        <v>86</v>
      </c>
      <c r="N92" s="41" t="s">
        <v>255</v>
      </c>
      <c r="O92" s="41" t="s">
        <v>283</v>
      </c>
      <c r="P92" s="41" t="s">
        <v>284</v>
      </c>
      <c r="R92" s="26">
        <v>5</v>
      </c>
    </row>
    <row r="93" spans="1:39" ht="15" customHeight="1">
      <c r="A93" t="s">
        <v>79</v>
      </c>
      <c r="B93" t="s">
        <v>6</v>
      </c>
      <c r="C93" s="25">
        <v>45856</v>
      </c>
      <c r="D93" s="29" t="s">
        <v>317</v>
      </c>
      <c r="E93" t="s">
        <v>291</v>
      </c>
      <c r="F93" t="s">
        <v>210</v>
      </c>
      <c r="G93" s="51" t="s">
        <v>83</v>
      </c>
      <c r="H93" s="26" t="s">
        <v>84</v>
      </c>
      <c r="I93" s="60" t="s">
        <v>318</v>
      </c>
      <c r="J93" s="26">
        <f>IF(SUM(Q93:AW93)=0,"-",SUM(Q93:AW93))</f>
        <v>67</v>
      </c>
      <c r="K93" s="53">
        <f>IF(SUMPRODUCT($Q$5:$AW$5,Q93:AW93)=0,"-",SUMPRODUCT($Q$5:$AW$5,Q93:AW93))</f>
        <v>1775</v>
      </c>
      <c r="L93" s="48" t="s">
        <v>86</v>
      </c>
      <c r="M93" s="49" t="s">
        <v>86</v>
      </c>
      <c r="N93" s="41" t="s">
        <v>255</v>
      </c>
      <c r="O93" s="41" t="s">
        <v>283</v>
      </c>
      <c r="P93" s="41" t="s">
        <v>284</v>
      </c>
      <c r="Q93" s="28">
        <v>1</v>
      </c>
      <c r="R93" s="26">
        <v>35</v>
      </c>
      <c r="S93" s="26">
        <v>29</v>
      </c>
      <c r="Y93" s="28">
        <v>2</v>
      </c>
    </row>
    <row r="94" spans="1:39" ht="15" customHeight="1">
      <c r="A94" t="s">
        <v>79</v>
      </c>
      <c r="B94" t="s">
        <v>6</v>
      </c>
      <c r="C94" s="25">
        <v>45869</v>
      </c>
      <c r="D94" s="29" t="s">
        <v>319</v>
      </c>
      <c r="E94" t="s">
        <v>100</v>
      </c>
      <c r="F94" t="s">
        <v>136</v>
      </c>
      <c r="G94" s="51" t="s">
        <v>83</v>
      </c>
      <c r="H94" s="26" t="s">
        <v>84</v>
      </c>
      <c r="I94" s="60" t="s">
        <v>320</v>
      </c>
      <c r="J94" s="26">
        <f>IF(SUM(Q94:AW94)=0,"-",SUM(Q94:AW94))</f>
        <v>2</v>
      </c>
      <c r="K94" s="53">
        <f>IF(SUMPRODUCT($Q$5:$AW$5,Q94:AW94)=0,"-",SUMPRODUCT($Q$5:$AW$5,Q94:AW94))</f>
        <v>165</v>
      </c>
      <c r="L94" s="48" t="s">
        <v>86</v>
      </c>
      <c r="M94" s="49" t="s">
        <v>86</v>
      </c>
      <c r="N94" s="41" t="s">
        <v>255</v>
      </c>
      <c r="O94" s="41" t="s">
        <v>283</v>
      </c>
      <c r="P94" s="41" t="s">
        <v>284</v>
      </c>
      <c r="Q94" s="28">
        <v>1</v>
      </c>
      <c r="R94" s="26">
        <v>1</v>
      </c>
    </row>
    <row r="95" spans="1:39" ht="15" customHeight="1">
      <c r="A95" t="s">
        <v>79</v>
      </c>
      <c r="B95" t="s">
        <v>6</v>
      </c>
      <c r="C95" s="25">
        <v>45878</v>
      </c>
      <c r="D95" s="57" t="s">
        <v>321</v>
      </c>
      <c r="E95" t="s">
        <v>291</v>
      </c>
      <c r="F95" t="s">
        <v>322</v>
      </c>
      <c r="G95" s="51" t="s">
        <v>83</v>
      </c>
      <c r="H95" s="26" t="s">
        <v>84</v>
      </c>
      <c r="I95" s="60" t="s">
        <v>318</v>
      </c>
      <c r="J95" s="26">
        <f>IF(SUM(Q95:AW95)=0,"-",SUM(Q95:AW95))</f>
        <v>33</v>
      </c>
      <c r="K95" s="53">
        <f>IF(SUMPRODUCT($Q$5:$AW$5,Q95:AW95)=0,"-",SUMPRODUCT($Q$5:$AW$5,Q95:AW95))</f>
        <v>1150</v>
      </c>
      <c r="L95" s="41" t="s">
        <v>86</v>
      </c>
      <c r="M95" s="41" t="s">
        <v>86</v>
      </c>
      <c r="N95" s="41" t="s">
        <v>255</v>
      </c>
      <c r="O95" s="41" t="s">
        <v>305</v>
      </c>
      <c r="P95" s="41" t="s">
        <v>306</v>
      </c>
      <c r="R95" s="26">
        <v>16</v>
      </c>
      <c r="S95" s="26">
        <v>15</v>
      </c>
      <c r="AB95" s="26">
        <v>2</v>
      </c>
    </row>
    <row r="96" spans="1:39" ht="15" customHeight="1">
      <c r="A96" t="s">
        <v>79</v>
      </c>
      <c r="B96" t="s">
        <v>6</v>
      </c>
      <c r="C96" s="25">
        <v>45881</v>
      </c>
      <c r="D96" s="29" t="s">
        <v>323</v>
      </c>
      <c r="E96" t="s">
        <v>324</v>
      </c>
      <c r="F96" t="s">
        <v>210</v>
      </c>
      <c r="G96" s="51" t="s">
        <v>83</v>
      </c>
      <c r="H96" s="26" t="s">
        <v>84</v>
      </c>
      <c r="I96" s="60" t="s">
        <v>325</v>
      </c>
      <c r="J96" s="26">
        <f>IF(SUM(Q96:AW96)=0,"-",SUM(Q96:AW96))</f>
        <v>19</v>
      </c>
      <c r="K96" s="53">
        <f>IF(SUMPRODUCT($Q$5:$AW$5,Q96:AW96)=0,"-",SUMPRODUCT($Q$5:$AW$5,Q96:AW96))</f>
        <v>980</v>
      </c>
      <c r="L96" s="41" t="s">
        <v>86</v>
      </c>
      <c r="M96" s="41" t="s">
        <v>86</v>
      </c>
      <c r="N96" s="41" t="s">
        <v>255</v>
      </c>
      <c r="O96" s="41" t="s">
        <v>305</v>
      </c>
      <c r="P96" s="41" t="s">
        <v>306</v>
      </c>
      <c r="R96" s="26">
        <v>15</v>
      </c>
      <c r="S96" s="26">
        <v>3</v>
      </c>
      <c r="AF96" s="28">
        <v>1</v>
      </c>
    </row>
    <row r="97" spans="1:31" ht="15" customHeight="1">
      <c r="A97" t="s">
        <v>79</v>
      </c>
      <c r="B97" t="s">
        <v>11</v>
      </c>
      <c r="C97" s="25">
        <v>45891</v>
      </c>
      <c r="D97" s="29" t="s">
        <v>326</v>
      </c>
      <c r="E97" t="s">
        <v>296</v>
      </c>
      <c r="F97" t="s">
        <v>313</v>
      </c>
      <c r="G97" s="51" t="s">
        <v>83</v>
      </c>
      <c r="H97" s="26" t="s">
        <v>327</v>
      </c>
      <c r="I97" s="60" t="s">
        <v>297</v>
      </c>
      <c r="J97" s="26">
        <f>IF(SUM(Q97:AW97)=0,"-",SUM(Q97:AW97))</f>
        <v>56</v>
      </c>
      <c r="K97" s="53">
        <f>IF(SUMPRODUCT($Q$5:$AW$5,Q97:AW97)=0,"-",SUMPRODUCT($Q$5:$AW$5,Q97:AW97))</f>
        <v>2350</v>
      </c>
      <c r="L97" s="41" t="s">
        <v>86</v>
      </c>
      <c r="M97" s="41" t="s">
        <v>86</v>
      </c>
      <c r="N97" s="41" t="s">
        <v>255</v>
      </c>
      <c r="O97" s="41" t="s">
        <v>305</v>
      </c>
      <c r="P97" s="41" t="s">
        <v>306</v>
      </c>
      <c r="Q97" s="28">
        <v>6</v>
      </c>
      <c r="R97" s="26">
        <v>38</v>
      </c>
      <c r="S97" s="26">
        <v>10</v>
      </c>
      <c r="Y97" s="28">
        <v>2</v>
      </c>
    </row>
    <row r="98" spans="1:31" ht="15" customHeight="1">
      <c r="A98" t="s">
        <v>79</v>
      </c>
      <c r="B98" t="s">
        <v>6</v>
      </c>
      <c r="C98" s="58">
        <v>45918</v>
      </c>
      <c r="D98" s="59" t="s">
        <v>328</v>
      </c>
      <c r="E98" t="s">
        <v>125</v>
      </c>
      <c r="F98" t="s">
        <v>210</v>
      </c>
      <c r="G98" s="51" t="s">
        <v>83</v>
      </c>
      <c r="H98" s="26" t="s">
        <v>84</v>
      </c>
      <c r="I98" s="60" t="s">
        <v>329</v>
      </c>
      <c r="J98" s="26">
        <f>IF(SUM(Q98:AW98)=0,"-",SUM(Q98:AW98))</f>
        <v>5</v>
      </c>
      <c r="K98" s="53">
        <f>IF(SUMPRODUCT($Q$5:$AW$5,Q98:AW98)=0,"-",SUMPRODUCT($Q$5:$AW$5,Q98:AW98))</f>
        <v>255</v>
      </c>
      <c r="L98" s="41"/>
      <c r="M98" s="41" t="s">
        <v>86</v>
      </c>
      <c r="N98" s="41" t="s">
        <v>255</v>
      </c>
      <c r="O98" s="41" t="s">
        <v>330</v>
      </c>
      <c r="P98" s="41" t="s">
        <v>331</v>
      </c>
      <c r="Q98" s="28">
        <v>1</v>
      </c>
      <c r="R98" s="26">
        <v>4</v>
      </c>
    </row>
    <row r="99" spans="1:31" ht="15" customHeight="1">
      <c r="A99" t="s">
        <v>271</v>
      </c>
      <c r="B99" t="s">
        <v>6</v>
      </c>
      <c r="C99" s="25">
        <v>45896</v>
      </c>
      <c r="D99" s="29" t="s">
        <v>332</v>
      </c>
      <c r="E99" t="s">
        <v>281</v>
      </c>
      <c r="F99" t="s">
        <v>333</v>
      </c>
      <c r="G99" s="51" t="s">
        <v>83</v>
      </c>
      <c r="H99" s="26" t="s">
        <v>84</v>
      </c>
      <c r="I99" s="60" t="s">
        <v>334</v>
      </c>
      <c r="J99" s="26">
        <f>IF(SUM(Q99:AW99)=0,"-",SUM(Q99:AW99))</f>
        <v>3</v>
      </c>
      <c r="K99" s="53">
        <f>IF(SUMPRODUCT($Q$5:$AW$5,Q99:AW99)=0,"-",SUMPRODUCT($Q$5:$AW$5,Q99:AW99))</f>
        <v>90</v>
      </c>
      <c r="L99" s="41" t="s">
        <v>86</v>
      </c>
      <c r="M99" s="41" t="s">
        <v>86</v>
      </c>
      <c r="N99" s="41" t="s">
        <v>255</v>
      </c>
      <c r="O99" s="41" t="s">
        <v>305</v>
      </c>
      <c r="P99" s="41" t="s">
        <v>306</v>
      </c>
      <c r="R99" s="26">
        <v>3</v>
      </c>
    </row>
    <row r="100" spans="1:31" ht="15" customHeight="1">
      <c r="A100" t="s">
        <v>79</v>
      </c>
      <c r="B100" t="s">
        <v>6</v>
      </c>
      <c r="C100" s="25">
        <v>45896</v>
      </c>
      <c r="D100" s="29" t="s">
        <v>335</v>
      </c>
      <c r="E100" t="s">
        <v>336</v>
      </c>
      <c r="F100" t="s">
        <v>333</v>
      </c>
      <c r="G100" s="51" t="s">
        <v>83</v>
      </c>
      <c r="H100" s="26" t="s">
        <v>84</v>
      </c>
      <c r="I100" s="60" t="s">
        <v>337</v>
      </c>
      <c r="J100" s="26">
        <f>IF(SUM(Q100:AW100)=0,"-",SUM(Q100:AW100))</f>
        <v>7</v>
      </c>
      <c r="K100" s="53">
        <f>IF(SUMPRODUCT($Q$5:$AW$5,Q100:AW100)=0,"-",SUMPRODUCT($Q$5:$AW$5,Q100:AW100))</f>
        <v>360</v>
      </c>
      <c r="L100" s="41" t="s">
        <v>86</v>
      </c>
      <c r="M100" s="41" t="s">
        <v>86</v>
      </c>
      <c r="N100" s="41" t="s">
        <v>255</v>
      </c>
      <c r="O100" s="41" t="s">
        <v>305</v>
      </c>
      <c r="P100" s="41" t="s">
        <v>306</v>
      </c>
      <c r="Y100" s="55">
        <v>1</v>
      </c>
      <c r="Z100" s="56">
        <v>6</v>
      </c>
    </row>
    <row r="101" spans="1:31" ht="15" customHeight="1">
      <c r="A101" t="s">
        <v>79</v>
      </c>
      <c r="B101" t="s">
        <v>6</v>
      </c>
      <c r="C101" s="25">
        <v>45903</v>
      </c>
      <c r="D101" s="29" t="s">
        <v>338</v>
      </c>
      <c r="E101" t="s">
        <v>125</v>
      </c>
      <c r="F101" t="s">
        <v>333</v>
      </c>
      <c r="G101" s="51" t="s">
        <v>83</v>
      </c>
      <c r="H101" s="26" t="s">
        <v>84</v>
      </c>
      <c r="I101" s="60" t="s">
        <v>339</v>
      </c>
      <c r="J101" s="26">
        <f>IF(SUM(Q101:AW101)=0,"-",SUM(Q101:AW101))</f>
        <v>1</v>
      </c>
      <c r="K101" s="53">
        <f>IF(SUMPRODUCT($Q$5:$AW$5,Q101:AW101)=0,"-",SUMPRODUCT($Q$5:$AW$5,Q101:AW101))</f>
        <v>150</v>
      </c>
      <c r="L101" s="41" t="s">
        <v>86</v>
      </c>
      <c r="M101" s="41" t="s">
        <v>86</v>
      </c>
      <c r="N101" s="41" t="s">
        <v>255</v>
      </c>
      <c r="O101" s="41" t="s">
        <v>330</v>
      </c>
      <c r="P101" s="41" t="s">
        <v>331</v>
      </c>
      <c r="Y101" s="28">
        <v>1</v>
      </c>
    </row>
    <row r="102" spans="1:31" ht="15" customHeight="1">
      <c r="A102" t="s">
        <v>79</v>
      </c>
      <c r="B102" t="s">
        <v>6</v>
      </c>
      <c r="C102" s="58" t="s">
        <v>340</v>
      </c>
      <c r="D102" s="8" t="s">
        <v>341</v>
      </c>
      <c r="E102" t="s">
        <v>342</v>
      </c>
      <c r="F102" t="s">
        <v>157</v>
      </c>
      <c r="G102" s="51" t="s">
        <v>83</v>
      </c>
      <c r="H102" s="26" t="s">
        <v>84</v>
      </c>
      <c r="I102" s="60" t="s">
        <v>343</v>
      </c>
      <c r="J102" s="26">
        <f>IF(SUM(Q102:AW102)=0,"-",SUM(Q102:AW102))</f>
        <v>276</v>
      </c>
      <c r="K102" s="53">
        <v>12630</v>
      </c>
      <c r="L102" s="41" t="s">
        <v>86</v>
      </c>
      <c r="M102" s="41" t="s">
        <v>86</v>
      </c>
      <c r="N102" s="41" t="s">
        <v>255</v>
      </c>
      <c r="O102" s="41" t="s">
        <v>330</v>
      </c>
      <c r="P102" s="41" t="s">
        <v>331</v>
      </c>
      <c r="Q102" s="28">
        <v>11</v>
      </c>
      <c r="R102" s="26">
        <v>2</v>
      </c>
      <c r="Y102" s="28">
        <v>16</v>
      </c>
      <c r="Z102" s="26">
        <v>246</v>
      </c>
      <c r="AC102" s="26">
        <v>1</v>
      </c>
    </row>
    <row r="103" spans="1:31" ht="15" customHeight="1">
      <c r="A103" t="s">
        <v>79</v>
      </c>
      <c r="B103" t="s">
        <v>11</v>
      </c>
      <c r="C103" s="25">
        <v>45912</v>
      </c>
      <c r="D103" s="29" t="s">
        <v>344</v>
      </c>
      <c r="E103" t="s">
        <v>296</v>
      </c>
      <c r="F103" t="s">
        <v>345</v>
      </c>
      <c r="G103" s="51" t="s">
        <v>83</v>
      </c>
      <c r="H103" s="26" t="s">
        <v>84</v>
      </c>
      <c r="I103" s="60" t="s">
        <v>346</v>
      </c>
      <c r="J103" s="26">
        <f>IF(SUM(Q103:AW103)=0,"-",SUM(Q103:AW103))</f>
        <v>2</v>
      </c>
      <c r="K103" s="53">
        <f>IF(SUMPRODUCT($Q$5:$AW$5,Q103:AW103)=0,"-",SUMPRODUCT($Q$5:$AW$5,Q103:AW103))</f>
        <v>60</v>
      </c>
      <c r="L103" s="41" t="s">
        <v>86</v>
      </c>
      <c r="M103" s="41" t="s">
        <v>86</v>
      </c>
      <c r="N103" s="41" t="s">
        <v>255</v>
      </c>
      <c r="O103" s="41" t="s">
        <v>330</v>
      </c>
      <c r="P103" s="41" t="s">
        <v>331</v>
      </c>
      <c r="R103" s="26">
        <v>2</v>
      </c>
    </row>
    <row r="104" spans="1:31" ht="15" customHeight="1">
      <c r="A104" t="s">
        <v>79</v>
      </c>
      <c r="B104" t="s">
        <v>11</v>
      </c>
      <c r="C104" s="25">
        <v>45912</v>
      </c>
      <c r="D104" s="29" t="s">
        <v>347</v>
      </c>
      <c r="E104" t="s">
        <v>296</v>
      </c>
      <c r="F104" t="s">
        <v>345</v>
      </c>
      <c r="G104" s="51" t="s">
        <v>83</v>
      </c>
      <c r="H104" s="26" t="s">
        <v>84</v>
      </c>
      <c r="J104" s="26">
        <f>IF(SUM(Q104:AW104)=0,"-",SUM(Q104:AW104))</f>
        <v>3</v>
      </c>
      <c r="K104" s="53">
        <f>IF(SUMPRODUCT($Q$5:$AW$5,Q104:AW104)=0,"-",SUMPRODUCT($Q$5:$AW$5,Q104:AW104))</f>
        <v>90</v>
      </c>
      <c r="L104" s="41" t="s">
        <v>86</v>
      </c>
      <c r="M104" s="41" t="s">
        <v>86</v>
      </c>
      <c r="N104" s="41" t="s">
        <v>255</v>
      </c>
      <c r="O104" s="41" t="s">
        <v>330</v>
      </c>
      <c r="P104" s="41" t="s">
        <v>331</v>
      </c>
      <c r="R104" s="26">
        <v>3</v>
      </c>
    </row>
    <row r="105" spans="1:31" ht="15" customHeight="1">
      <c r="A105" t="s">
        <v>79</v>
      </c>
      <c r="B105" t="s">
        <v>11</v>
      </c>
      <c r="C105" s="25">
        <v>45915</v>
      </c>
      <c r="D105" s="29" t="s">
        <v>348</v>
      </c>
      <c r="E105" t="s">
        <v>312</v>
      </c>
      <c r="F105" t="s">
        <v>313</v>
      </c>
      <c r="G105" s="51" t="s">
        <v>83</v>
      </c>
      <c r="H105" s="26" t="s">
        <v>84</v>
      </c>
      <c r="I105" s="60" t="s">
        <v>349</v>
      </c>
      <c r="J105" s="26">
        <f>IF(SUM(Q105:AW105)=0,"-",SUM(Q105:AW105))</f>
        <v>3</v>
      </c>
      <c r="K105" s="53">
        <f>IF(SUMPRODUCT($Q$5:$AW$5,Q105:AW105)=0,"-",SUMPRODUCT($Q$5:$AW$5,Q105:AW105))</f>
        <v>195</v>
      </c>
      <c r="L105" s="41" t="s">
        <v>86</v>
      </c>
      <c r="M105" s="41" t="s">
        <v>86</v>
      </c>
      <c r="N105" s="41" t="s">
        <v>255</v>
      </c>
      <c r="O105" s="41" t="s">
        <v>330</v>
      </c>
      <c r="P105" s="41" t="s">
        <v>331</v>
      </c>
      <c r="Q105" s="28">
        <v>1</v>
      </c>
      <c r="R105" s="26">
        <v>2</v>
      </c>
    </row>
    <row r="106" spans="1:31" ht="15" customHeight="1">
      <c r="A106" t="s">
        <v>79</v>
      </c>
      <c r="B106" t="s">
        <v>11</v>
      </c>
      <c r="C106" s="25">
        <v>45902</v>
      </c>
      <c r="D106" s="29" t="s">
        <v>350</v>
      </c>
      <c r="E106" t="s">
        <v>312</v>
      </c>
      <c r="F106" t="s">
        <v>351</v>
      </c>
      <c r="G106" s="51" t="s">
        <v>83</v>
      </c>
      <c r="H106" s="26" t="s">
        <v>84</v>
      </c>
      <c r="I106" s="60" t="s">
        <v>352</v>
      </c>
      <c r="J106" s="26">
        <f>IF(SUM(Q106:AW106)=0,"-",SUM(Q106:AW106))</f>
        <v>5</v>
      </c>
      <c r="K106" s="53">
        <f>IF(SUMPRODUCT($Q$5:$AW$5,Q106:AW106)=0,"-",SUMPRODUCT($Q$5:$AW$5,Q106:AW106))</f>
        <v>150</v>
      </c>
      <c r="L106" s="41" t="s">
        <v>86</v>
      </c>
      <c r="M106" s="41" t="s">
        <v>86</v>
      </c>
      <c r="N106" s="41" t="s">
        <v>255</v>
      </c>
      <c r="O106" s="41" t="s">
        <v>330</v>
      </c>
      <c r="P106" s="41" t="s">
        <v>331</v>
      </c>
      <c r="AE106" s="55">
        <v>5</v>
      </c>
    </row>
    <row r="107" spans="1:31" ht="15" customHeight="1">
      <c r="A107" t="s">
        <v>79</v>
      </c>
      <c r="B107" t="s">
        <v>8</v>
      </c>
      <c r="C107" s="25">
        <v>45908</v>
      </c>
      <c r="D107" s="29" t="s">
        <v>353</v>
      </c>
      <c r="E107" t="s">
        <v>96</v>
      </c>
      <c r="F107" t="s">
        <v>354</v>
      </c>
      <c r="G107" s="51" t="s">
        <v>83</v>
      </c>
      <c r="H107" s="26" t="s">
        <v>84</v>
      </c>
      <c r="I107" s="60" t="s">
        <v>355</v>
      </c>
      <c r="J107" s="26">
        <f>IF(SUM(Q107:AW107)=0,"-",SUM(Q107:AW107))</f>
        <v>19</v>
      </c>
      <c r="K107" s="53">
        <f>IF(SUMPRODUCT($Q$5:$AW$5,Q107:AW107)=0,"-",SUMPRODUCT($Q$5:$AW$5,Q107:AW107))</f>
        <v>765</v>
      </c>
      <c r="L107" s="41" t="s">
        <v>86</v>
      </c>
      <c r="M107" s="41" t="s">
        <v>86</v>
      </c>
      <c r="N107" s="41" t="s">
        <v>255</v>
      </c>
      <c r="O107" s="41" t="s">
        <v>330</v>
      </c>
      <c r="P107" s="41" t="s">
        <v>331</v>
      </c>
      <c r="Q107" s="28">
        <v>3</v>
      </c>
      <c r="R107" s="26">
        <v>10</v>
      </c>
      <c r="S107" s="26">
        <v>6</v>
      </c>
    </row>
    <row r="108" spans="1:31" ht="15" customHeight="1">
      <c r="A108" t="s">
        <v>79</v>
      </c>
      <c r="B108" t="s">
        <v>8</v>
      </c>
      <c r="C108" s="25">
        <v>45908</v>
      </c>
      <c r="D108" s="29" t="s">
        <v>356</v>
      </c>
      <c r="E108" t="s">
        <v>96</v>
      </c>
      <c r="F108" t="s">
        <v>175</v>
      </c>
      <c r="G108" s="51" t="s">
        <v>83</v>
      </c>
      <c r="H108" s="26" t="s">
        <v>84</v>
      </c>
      <c r="I108" s="60" t="s">
        <v>357</v>
      </c>
      <c r="J108" s="26">
        <f>IF(SUM(Q108:AW108)=0,"-",SUM(Q108:AW108))</f>
        <v>136</v>
      </c>
      <c r="K108" s="53">
        <f>IF(SUMPRODUCT($Q$5:$AW$5,Q108:AW108)=0,"-",SUMPRODUCT($Q$5:$AW$5,Q108:AW108))</f>
        <v>3450</v>
      </c>
      <c r="L108" s="41" t="s">
        <v>86</v>
      </c>
      <c r="M108" s="41" t="s">
        <v>86</v>
      </c>
      <c r="N108" s="41" t="s">
        <v>255</v>
      </c>
      <c r="O108" s="41" t="s">
        <v>330</v>
      </c>
      <c r="P108" s="41" t="s">
        <v>331</v>
      </c>
      <c r="Q108" s="28">
        <v>2</v>
      </c>
      <c r="R108" s="26">
        <v>92</v>
      </c>
      <c r="S108" s="26">
        <v>42</v>
      </c>
    </row>
    <row r="109" spans="1:31" ht="27" customHeight="1">
      <c r="A109" t="s">
        <v>79</v>
      </c>
      <c r="B109" t="s">
        <v>8</v>
      </c>
      <c r="C109" s="25">
        <v>45908</v>
      </c>
      <c r="D109" s="29" t="s">
        <v>358</v>
      </c>
      <c r="E109" t="s">
        <v>96</v>
      </c>
      <c r="F109" t="s">
        <v>345</v>
      </c>
      <c r="G109" s="51" t="s">
        <v>83</v>
      </c>
      <c r="H109" s="26" t="s">
        <v>84</v>
      </c>
      <c r="I109" s="60" t="s">
        <v>357</v>
      </c>
      <c r="J109" s="26">
        <f>IF(SUM(Q109:AW109)=0,"-",SUM(Q109:AW109))</f>
        <v>5</v>
      </c>
      <c r="K109" s="53">
        <f>IF(SUMPRODUCT($Q$5:$AW$5,Q109:AW109)=0,"-",SUMPRODUCT($Q$5:$AW$5,Q109:AW109))</f>
        <v>150</v>
      </c>
      <c r="L109" s="41" t="s">
        <v>86</v>
      </c>
      <c r="M109" s="41" t="s">
        <v>86</v>
      </c>
      <c r="N109" s="41" t="s">
        <v>255</v>
      </c>
      <c r="O109" s="41" t="s">
        <v>330</v>
      </c>
      <c r="P109" s="41" t="s">
        <v>331</v>
      </c>
      <c r="R109" s="26">
        <v>5</v>
      </c>
    </row>
    <row r="110" spans="1:31" ht="36" customHeight="1">
      <c r="A110" t="s">
        <v>79</v>
      </c>
      <c r="B110" t="s">
        <v>12</v>
      </c>
      <c r="C110" s="25">
        <v>45916</v>
      </c>
      <c r="D110" s="29" t="s">
        <v>359</v>
      </c>
      <c r="E110" t="s">
        <v>360</v>
      </c>
      <c r="F110" s="40" t="s">
        <v>361</v>
      </c>
      <c r="G110" s="51" t="s">
        <v>83</v>
      </c>
      <c r="H110" s="26" t="s">
        <v>84</v>
      </c>
      <c r="I110" s="60" t="s">
        <v>362</v>
      </c>
      <c r="J110" s="26">
        <f>IF(SUM(Q110:AW110)=0,"-",SUM(Q110:AW110))</f>
        <v>5</v>
      </c>
      <c r="K110" s="61">
        <f>IF(SUMPRODUCT($Q$5:$AW$5,Q110:AW110)=0,"-",SUMPRODUCT($Q$5:$AW$5,Q110:AW110))</f>
        <v>405</v>
      </c>
      <c r="L110" s="41" t="s">
        <v>363</v>
      </c>
      <c r="M110" s="41" t="s">
        <v>364</v>
      </c>
      <c r="N110" s="42" t="s">
        <v>365</v>
      </c>
      <c r="O110" s="41" t="s">
        <v>366</v>
      </c>
      <c r="P110" s="41" t="s">
        <v>367</v>
      </c>
      <c r="Y110" s="28">
        <v>2</v>
      </c>
      <c r="Z110" s="26">
        <v>3</v>
      </c>
    </row>
    <row r="111" spans="1:31" ht="44.25" customHeight="1">
      <c r="A111" t="s">
        <v>79</v>
      </c>
      <c r="B111" t="s">
        <v>12</v>
      </c>
      <c r="C111" s="25">
        <v>45895</v>
      </c>
      <c r="D111" s="29" t="s">
        <v>368</v>
      </c>
      <c r="E111" t="s">
        <v>360</v>
      </c>
      <c r="F111" t="s">
        <v>369</v>
      </c>
      <c r="G111" s="51" t="s">
        <v>83</v>
      </c>
      <c r="H111" s="26" t="s">
        <v>84</v>
      </c>
      <c r="I111" s="60" t="s">
        <v>370</v>
      </c>
      <c r="J111" s="26">
        <f>IF(SUM(Q111:AW111)=0,"-",SUM(Q111:AW111))</f>
        <v>136</v>
      </c>
      <c r="K111" s="61">
        <f>IF(SUMPRODUCT($Q$5:$AW$5,Q111:AW111)=0,"-",SUMPRODUCT($Q$5:$AW$5,Q111:AW111))</f>
        <v>2985</v>
      </c>
      <c r="L111" s="41" t="s">
        <v>363</v>
      </c>
      <c r="M111" s="41" t="s">
        <v>364</v>
      </c>
      <c r="N111" s="42" t="s">
        <v>365</v>
      </c>
      <c r="O111" s="41" t="s">
        <v>366</v>
      </c>
      <c r="P111" s="41" t="s">
        <v>367</v>
      </c>
      <c r="Q111" s="28">
        <v>1</v>
      </c>
      <c r="R111" s="26">
        <v>75</v>
      </c>
      <c r="S111" s="26">
        <v>60</v>
      </c>
    </row>
    <row r="112" spans="1:31">
      <c r="A112" t="s">
        <v>79</v>
      </c>
      <c r="B112" t="s">
        <v>371</v>
      </c>
      <c r="C112" s="58">
        <v>45932</v>
      </c>
      <c r="D112" s="29" t="s">
        <v>372</v>
      </c>
      <c r="E112" t="s">
        <v>271</v>
      </c>
      <c r="F112" t="s">
        <v>157</v>
      </c>
      <c r="G112" s="51" t="s">
        <v>83</v>
      </c>
      <c r="H112" s="26" t="s">
        <v>84</v>
      </c>
      <c r="I112" s="62" t="s">
        <v>373</v>
      </c>
      <c r="J112" s="26">
        <v>6</v>
      </c>
      <c r="K112" s="43" t="s">
        <v>374</v>
      </c>
      <c r="L112" s="51" t="s">
        <v>86</v>
      </c>
      <c r="M112" s="41" t="s">
        <v>86</v>
      </c>
      <c r="N112" s="41" t="s">
        <v>86</v>
      </c>
      <c r="O112" s="41" t="s">
        <v>86</v>
      </c>
      <c r="P112" s="41" t="s">
        <v>86</v>
      </c>
      <c r="Y112" s="28">
        <v>1</v>
      </c>
      <c r="Z112" s="26">
        <v>2</v>
      </c>
    </row>
    <row r="113" spans="1:39">
      <c r="A113" t="s">
        <v>79</v>
      </c>
      <c r="B113" t="s">
        <v>6</v>
      </c>
      <c r="C113" s="58">
        <v>45932</v>
      </c>
      <c r="D113" s="29" t="s">
        <v>375</v>
      </c>
      <c r="E113" t="s">
        <v>376</v>
      </c>
      <c r="F113" t="s">
        <v>377</v>
      </c>
      <c r="G113" s="51" t="s">
        <v>83</v>
      </c>
      <c r="H113" s="26" t="s">
        <v>84</v>
      </c>
      <c r="I113" s="62" t="s">
        <v>378</v>
      </c>
      <c r="J113" s="26">
        <f>IF(SUM(Q113:AW113)=0,"-",SUM(Q113:AW113))</f>
        <v>1</v>
      </c>
      <c r="K113" s="53">
        <f>IF(SUMPRODUCT($Q$5:$AW$5,Q113:AW113)=0,"-",SUMPRODUCT($Q$5:$AW$5,Q113:AW113))</f>
        <v>150</v>
      </c>
      <c r="L113" s="51" t="s">
        <v>86</v>
      </c>
      <c r="M113" s="41" t="s">
        <v>86</v>
      </c>
      <c r="N113" s="41" t="s">
        <v>255</v>
      </c>
      <c r="O113" s="41" t="s">
        <v>379</v>
      </c>
      <c r="P113" s="64" t="s">
        <v>380</v>
      </c>
      <c r="Y113" s="28">
        <v>1</v>
      </c>
    </row>
    <row r="114" spans="1:39">
      <c r="A114" t="s">
        <v>79</v>
      </c>
      <c r="B114" t="s">
        <v>371</v>
      </c>
      <c r="C114" s="58">
        <v>45933</v>
      </c>
      <c r="D114" s="29" t="s">
        <v>381</v>
      </c>
      <c r="E114" t="s">
        <v>371</v>
      </c>
      <c r="F114" t="s">
        <v>377</v>
      </c>
      <c r="G114" s="51" t="s">
        <v>83</v>
      </c>
      <c r="H114" s="26" t="s">
        <v>84</v>
      </c>
      <c r="I114" s="62" t="s">
        <v>382</v>
      </c>
      <c r="J114" s="26">
        <f>IF(SUM(Q114:AW114)=0,"-",SUM(Q114:AW114))</f>
        <v>36</v>
      </c>
      <c r="K114" s="53">
        <f>IF(SUMPRODUCT($Q$5:$AW$5,Q114:AW114)=0,"-",SUMPRODUCT($Q$5:$AW$5,Q114:AW114))</f>
        <v>740</v>
      </c>
      <c r="L114" s="51" t="s">
        <v>86</v>
      </c>
      <c r="M114" s="41" t="s">
        <v>86</v>
      </c>
      <c r="N114" s="41" t="s">
        <v>255</v>
      </c>
      <c r="O114" s="41" t="s">
        <v>379</v>
      </c>
      <c r="P114" s="64" t="s">
        <v>380</v>
      </c>
      <c r="S114" s="26">
        <v>34</v>
      </c>
      <c r="Y114" s="28">
        <v>1</v>
      </c>
      <c r="AC114" s="26">
        <v>1</v>
      </c>
    </row>
    <row r="115" spans="1:39" ht="15" customHeight="1">
      <c r="A115" t="s">
        <v>79</v>
      </c>
      <c r="B115" t="s">
        <v>13</v>
      </c>
      <c r="C115" s="58">
        <v>45945</v>
      </c>
      <c r="D115" s="29" t="s">
        <v>383</v>
      </c>
      <c r="E115" t="s">
        <v>384</v>
      </c>
      <c r="F115" t="s">
        <v>322</v>
      </c>
      <c r="G115" s="51" t="s">
        <v>83</v>
      </c>
      <c r="H115" s="26" t="s">
        <v>84</v>
      </c>
      <c r="I115" s="62" t="s">
        <v>385</v>
      </c>
      <c r="J115" s="26">
        <f>IF(SUM(Q115:AW115)=0,"-",SUM(Q115:AW115))</f>
        <v>105</v>
      </c>
      <c r="K115" s="53">
        <f t="shared" ref="K115:K116" si="8">IF(SUMPRODUCT($Q$5:$AW$5,Q115:AW115)=0,"-",SUMPRODUCT($Q$5:$AW$5,Q115:AW115))</f>
        <v>9800</v>
      </c>
      <c r="L115" s="51"/>
      <c r="M115" s="41" t="s">
        <v>86</v>
      </c>
      <c r="N115" s="41" t="s">
        <v>255</v>
      </c>
      <c r="O115" s="41" t="s">
        <v>386</v>
      </c>
      <c r="P115" s="41" t="s">
        <v>387</v>
      </c>
      <c r="AJ115" s="28">
        <v>100</v>
      </c>
      <c r="AL115" s="26">
        <v>5</v>
      </c>
    </row>
    <row r="116" spans="1:39" ht="15" customHeight="1">
      <c r="A116" t="s">
        <v>271</v>
      </c>
      <c r="B116" t="s">
        <v>388</v>
      </c>
      <c r="C116" s="58" t="s">
        <v>389</v>
      </c>
      <c r="D116" s="29" t="s">
        <v>390</v>
      </c>
      <c r="E116" t="s">
        <v>384</v>
      </c>
      <c r="F116" t="s">
        <v>322</v>
      </c>
      <c r="G116" s="51" t="s">
        <v>83</v>
      </c>
      <c r="H116" s="26" t="s">
        <v>84</v>
      </c>
      <c r="I116" s="62" t="s">
        <v>391</v>
      </c>
      <c r="J116" s="26">
        <f>IF(SUM(Q116:AW116)=0,"-",SUM(Q116:AW116))</f>
        <v>79</v>
      </c>
      <c r="K116" s="53">
        <f>IF(SUMPRODUCT($Q$5:$AW$5,Q116:AW116)=0,"-",SUMPRODUCT($Q$5:$AW$5,Q116:AW116))</f>
        <v>5020</v>
      </c>
      <c r="L116" s="51"/>
      <c r="M116" s="41" t="s">
        <v>86</v>
      </c>
      <c r="N116" s="41" t="s">
        <v>255</v>
      </c>
      <c r="O116" s="41" t="s">
        <v>386</v>
      </c>
      <c r="P116" s="41" t="s">
        <v>387</v>
      </c>
      <c r="Y116" s="28">
        <v>14</v>
      </c>
      <c r="Z116" s="26">
        <v>62</v>
      </c>
      <c r="AC116" s="26">
        <v>3</v>
      </c>
    </row>
    <row r="117" spans="1:39" ht="15" customHeight="1">
      <c r="A117" t="s">
        <v>79</v>
      </c>
      <c r="B117" t="s">
        <v>392</v>
      </c>
      <c r="C117" s="58">
        <v>45958</v>
      </c>
      <c r="D117" s="63" t="s">
        <v>393</v>
      </c>
      <c r="E117" t="s">
        <v>125</v>
      </c>
      <c r="F117" t="s">
        <v>394</v>
      </c>
      <c r="G117" s="51" t="s">
        <v>83</v>
      </c>
      <c r="H117" s="26" t="s">
        <v>84</v>
      </c>
      <c r="I117" s="62" t="s">
        <v>395</v>
      </c>
      <c r="J117" s="56">
        <f>IF(SUM(Q117:AW117)=0,"-",SUM(Q117:AW117))</f>
        <v>4</v>
      </c>
      <c r="K117" s="53">
        <f t="shared" ref="K117" si="9">IF(SUMPRODUCT($Q$5:$AW$5,Q117:AW117)=0,"-",SUMPRODUCT($Q$5:$AW$5,Q117:AW117))</f>
        <v>225</v>
      </c>
      <c r="L117" s="51" t="s">
        <v>86</v>
      </c>
      <c r="M117" s="41" t="s">
        <v>86</v>
      </c>
      <c r="N117" s="41" t="s">
        <v>255</v>
      </c>
      <c r="O117" s="41" t="s">
        <v>379</v>
      </c>
      <c r="P117" s="64" t="s">
        <v>380</v>
      </c>
      <c r="Q117" s="28">
        <v>1</v>
      </c>
      <c r="R117" s="26">
        <v>3</v>
      </c>
    </row>
    <row r="118" spans="1:39" ht="15" customHeight="1">
      <c r="A118" t="s">
        <v>79</v>
      </c>
      <c r="B118" t="s">
        <v>392</v>
      </c>
      <c r="C118" s="58">
        <v>45964</v>
      </c>
      <c r="D118" s="63" t="s">
        <v>396</v>
      </c>
      <c r="E118" t="s">
        <v>125</v>
      </c>
      <c r="F118" t="s">
        <v>322</v>
      </c>
      <c r="G118" s="51" t="s">
        <v>83</v>
      </c>
      <c r="H118" s="26" t="s">
        <v>84</v>
      </c>
      <c r="I118" s="62" t="s">
        <v>397</v>
      </c>
      <c r="J118" s="56">
        <f>IF(SUM(Q118:AW118)=0,"-",SUM(Q118:AW118))</f>
        <v>12</v>
      </c>
      <c r="K118" s="53">
        <f t="shared" ref="K118:L118" si="10">IF(SUMPRODUCT($Q$5:$AW$5,Q118:AW118)=0,"-",SUMPRODUCT($Q$5:$AW$5,Q118:AW118))</f>
        <v>465</v>
      </c>
      <c r="L118" s="51" t="s">
        <v>86</v>
      </c>
      <c r="M118" s="41" t="s">
        <v>86</v>
      </c>
      <c r="N118" s="41" t="s">
        <v>255</v>
      </c>
      <c r="O118" s="41" t="s">
        <v>398</v>
      </c>
      <c r="P118" s="41" t="s">
        <v>399</v>
      </c>
      <c r="Q118" s="28">
        <v>1</v>
      </c>
      <c r="R118" s="26">
        <v>11</v>
      </c>
    </row>
    <row r="119" spans="1:39" ht="15" customHeight="1">
      <c r="A119" t="s">
        <v>79</v>
      </c>
      <c r="B119" t="s">
        <v>392</v>
      </c>
      <c r="C119" s="58">
        <v>45966</v>
      </c>
      <c r="D119" s="65" t="s">
        <v>400</v>
      </c>
      <c r="E119" t="s">
        <v>81</v>
      </c>
      <c r="F119" t="s">
        <v>322</v>
      </c>
      <c r="G119" s="51" t="s">
        <v>83</v>
      </c>
      <c r="H119" s="26" t="s">
        <v>84</v>
      </c>
      <c r="I119" s="62" t="s">
        <v>401</v>
      </c>
      <c r="J119" s="26">
        <f>IF(SUM(Q119:AW119)=0,"-",SUM(Q119:AW119))</f>
        <v>48</v>
      </c>
      <c r="K119" s="53">
        <f>IF(SUMPRODUCT($Q$5:$AW$5,Q119:AW119)=0,"-",SUMPRODUCT($Q$5:$AW$5,Q119:AW119))</f>
        <v>3225</v>
      </c>
      <c r="L119" s="51" t="s">
        <v>402</v>
      </c>
      <c r="M119" s="41" t="s">
        <v>86</v>
      </c>
      <c r="N119" s="41" t="s">
        <v>255</v>
      </c>
      <c r="O119" s="41" t="s">
        <v>386</v>
      </c>
      <c r="P119" s="41" t="s">
        <v>387</v>
      </c>
      <c r="Y119" s="28">
        <v>7</v>
      </c>
      <c r="Z119" s="26">
        <v>37</v>
      </c>
      <c r="AB119" s="26">
        <v>1</v>
      </c>
      <c r="AJ119" s="28">
        <v>2</v>
      </c>
      <c r="AM119" s="26">
        <v>1</v>
      </c>
    </row>
    <row r="120" spans="1:39" ht="15" customHeight="1">
      <c r="A120" t="s">
        <v>79</v>
      </c>
      <c r="B120" t="s">
        <v>392</v>
      </c>
      <c r="C120" s="58">
        <v>45968</v>
      </c>
      <c r="D120" s="63" t="s">
        <v>403</v>
      </c>
      <c r="E120" t="s">
        <v>125</v>
      </c>
      <c r="F120" t="s">
        <v>136</v>
      </c>
      <c r="G120" s="51" t="s">
        <v>83</v>
      </c>
      <c r="H120" s="26" t="s">
        <v>84</v>
      </c>
      <c r="I120" s="62" t="s">
        <v>404</v>
      </c>
      <c r="J120" s="56">
        <f>IF(SUM(Q120:AW120)=0,"-",SUM(Q120:AW120))</f>
        <v>5</v>
      </c>
      <c r="K120" s="53">
        <f t="shared" ref="K120:L122" si="11">IF(SUMPRODUCT($Q$5:$AW$5,Q120:AW120)=0,"-",SUMPRODUCT($Q$5:$AW$5,Q120:AW120))</f>
        <v>255</v>
      </c>
      <c r="L120" s="51" t="s">
        <v>86</v>
      </c>
      <c r="M120" s="41" t="s">
        <v>86</v>
      </c>
      <c r="N120" s="41" t="s">
        <v>255</v>
      </c>
      <c r="O120" s="41" t="s">
        <v>398</v>
      </c>
      <c r="P120" s="41" t="s">
        <v>399</v>
      </c>
      <c r="Q120" s="28">
        <v>1</v>
      </c>
      <c r="R120" s="26">
        <v>4</v>
      </c>
    </row>
    <row r="121" spans="1:39" ht="15" customHeight="1">
      <c r="A121" t="s">
        <v>79</v>
      </c>
      <c r="B121" t="s">
        <v>392</v>
      </c>
      <c r="C121" s="58">
        <v>45973</v>
      </c>
      <c r="D121" s="63" t="s">
        <v>405</v>
      </c>
      <c r="E121" t="s">
        <v>125</v>
      </c>
      <c r="F121" t="s">
        <v>322</v>
      </c>
      <c r="G121" s="51" t="s">
        <v>83</v>
      </c>
      <c r="H121" s="26" t="s">
        <v>84</v>
      </c>
      <c r="I121" s="62" t="s">
        <v>406</v>
      </c>
      <c r="J121" s="56">
        <f>IF(SUM(Q121:AW121)=0,"-",SUM(Q121:AW121))</f>
        <v>5</v>
      </c>
      <c r="K121" s="53">
        <f t="shared" si="11"/>
        <v>255</v>
      </c>
      <c r="L121" s="51" t="s">
        <v>86</v>
      </c>
      <c r="M121" s="41" t="s">
        <v>86</v>
      </c>
      <c r="N121" s="41" t="s">
        <v>255</v>
      </c>
      <c r="O121" s="41" t="s">
        <v>398</v>
      </c>
      <c r="P121" s="41" t="s">
        <v>399</v>
      </c>
      <c r="Q121" s="28">
        <v>1</v>
      </c>
      <c r="R121" s="26">
        <v>4</v>
      </c>
    </row>
    <row r="122" spans="1:39" ht="15" customHeight="1">
      <c r="A122" t="s">
        <v>79</v>
      </c>
      <c r="B122" t="s">
        <v>392</v>
      </c>
      <c r="C122" s="58">
        <v>45974</v>
      </c>
      <c r="D122" s="63" t="s">
        <v>407</v>
      </c>
      <c r="E122" t="s">
        <v>81</v>
      </c>
      <c r="F122" t="s">
        <v>322</v>
      </c>
      <c r="G122" s="51" t="s">
        <v>83</v>
      </c>
      <c r="H122" s="26" t="s">
        <v>84</v>
      </c>
      <c r="I122" s="62" t="s">
        <v>408</v>
      </c>
      <c r="J122" s="56">
        <f t="shared" ref="J122:J123" si="12">IF(SUM(Q122:AW122)=0,"-",SUM(Q122:AW122))</f>
        <v>1</v>
      </c>
      <c r="K122" s="53">
        <f t="shared" ref="K122" si="13">IF(SUMPRODUCT($Q$5:$AW$5,Q122:AW122)=0,"-",SUMPRODUCT($Q$5:$AW$5,Q122:AW122))</f>
        <v>30</v>
      </c>
      <c r="L122" s="51" t="s">
        <v>86</v>
      </c>
      <c r="M122" s="41" t="s">
        <v>86</v>
      </c>
      <c r="N122" s="41" t="s">
        <v>255</v>
      </c>
      <c r="O122" s="41" t="s">
        <v>398</v>
      </c>
      <c r="P122" s="41" t="s">
        <v>399</v>
      </c>
      <c r="R122" s="26">
        <v>1</v>
      </c>
    </row>
    <row r="123" spans="1:39" ht="15" customHeight="1">
      <c r="A123" t="s">
        <v>79</v>
      </c>
      <c r="B123" t="s">
        <v>7</v>
      </c>
      <c r="C123" s="58">
        <v>45993</v>
      </c>
      <c r="D123" s="65" t="s">
        <v>409</v>
      </c>
      <c r="E123" t="s">
        <v>410</v>
      </c>
      <c r="F123" t="s">
        <v>229</v>
      </c>
      <c r="G123" s="51" t="s">
        <v>83</v>
      </c>
      <c r="H123" s="26" t="s">
        <v>84</v>
      </c>
      <c r="I123" s="62" t="s">
        <v>411</v>
      </c>
      <c r="J123" s="56">
        <f t="shared" ref="J123" si="14">IF(SUM(Q123:AW123)=0,"-",SUM(Q123:AW123))</f>
        <v>112</v>
      </c>
      <c r="K123" s="53">
        <f t="shared" ref="K123" si="15">IF(SUMPRODUCT($Q$5:$AW$5,Q123:AW123)=0,"-",SUMPRODUCT($Q$5:$AW$5,Q123:AW123))</f>
        <v>4680</v>
      </c>
      <c r="L123" s="51" t="s">
        <v>86</v>
      </c>
      <c r="M123" s="41" t="s">
        <v>86</v>
      </c>
      <c r="N123" s="41" t="s">
        <v>255</v>
      </c>
      <c r="O123" s="41" t="s">
        <v>398</v>
      </c>
      <c r="P123" s="41" t="s">
        <v>399</v>
      </c>
      <c r="Q123" s="28">
        <v>2</v>
      </c>
      <c r="R123" s="26">
        <v>90</v>
      </c>
      <c r="Y123" s="28">
        <v>7</v>
      </c>
      <c r="Z123" s="26">
        <v>10</v>
      </c>
      <c r="AJ123" s="28">
        <v>2</v>
      </c>
      <c r="AK123" s="26">
        <v>1</v>
      </c>
    </row>
    <row r="124" spans="1:39" ht="15" customHeight="1">
      <c r="A124" t="s">
        <v>271</v>
      </c>
      <c r="B124" t="s">
        <v>11</v>
      </c>
      <c r="C124" s="58">
        <v>45978</v>
      </c>
      <c r="D124" s="66" t="s">
        <v>412</v>
      </c>
      <c r="E124" t="s">
        <v>11</v>
      </c>
      <c r="F124" t="s">
        <v>413</v>
      </c>
      <c r="G124" s="51" t="s">
        <v>83</v>
      </c>
      <c r="H124" s="26" t="s">
        <v>84</v>
      </c>
      <c r="I124" s="62" t="s">
        <v>414</v>
      </c>
      <c r="J124" s="56">
        <f t="shared" ref="J124:J125" si="16">IF(SUM(Q124:AW124)=0,"-",SUM(Q124:AW124))</f>
        <v>48</v>
      </c>
      <c r="K124" s="53">
        <f t="shared" ref="K124:K125" si="17">IF(SUMPRODUCT($Q$5:$AW$5,Q124:AW124)=0,"-",SUMPRODUCT($Q$5:$AW$5,Q124:AW124))</f>
        <v>2700</v>
      </c>
      <c r="L124" s="51" t="s">
        <v>86</v>
      </c>
      <c r="M124" s="41" t="s">
        <v>86</v>
      </c>
      <c r="N124" s="41" t="s">
        <v>255</v>
      </c>
      <c r="O124" s="41" t="s">
        <v>398</v>
      </c>
      <c r="P124" s="41" t="s">
        <v>399</v>
      </c>
      <c r="Y124" s="28">
        <v>7</v>
      </c>
      <c r="Z124" s="26">
        <v>40</v>
      </c>
      <c r="AC124" s="26">
        <v>1</v>
      </c>
    </row>
    <row r="125" spans="1:39" ht="15" customHeight="1">
      <c r="A125" t="s">
        <v>79</v>
      </c>
      <c r="B125" t="s">
        <v>392</v>
      </c>
      <c r="C125" s="25">
        <v>45992</v>
      </c>
      <c r="D125" s="65" t="s">
        <v>415</v>
      </c>
      <c r="E125" t="s">
        <v>125</v>
      </c>
      <c r="F125" t="s">
        <v>394</v>
      </c>
      <c r="G125" s="51" t="s">
        <v>83</v>
      </c>
      <c r="H125" s="26" t="s">
        <v>84</v>
      </c>
      <c r="I125" s="62" t="s">
        <v>416</v>
      </c>
      <c r="J125" s="26">
        <f t="shared" si="16"/>
        <v>7</v>
      </c>
      <c r="K125" s="53">
        <f t="shared" si="17"/>
        <v>315</v>
      </c>
      <c r="L125" s="51"/>
      <c r="M125" s="41" t="s">
        <v>86</v>
      </c>
      <c r="N125" s="41" t="s">
        <v>255</v>
      </c>
      <c r="O125" s="41" t="s">
        <v>386</v>
      </c>
      <c r="P125" s="41" t="s">
        <v>387</v>
      </c>
      <c r="Q125" s="28">
        <v>1</v>
      </c>
      <c r="R125" s="26">
        <v>6</v>
      </c>
    </row>
    <row r="126" spans="1:39" ht="15" customHeight="1">
      <c r="A126" t="s">
        <v>79</v>
      </c>
      <c r="B126" t="s">
        <v>417</v>
      </c>
      <c r="C126" s="25">
        <v>46010</v>
      </c>
      <c r="D126" s="29" t="s">
        <v>418</v>
      </c>
      <c r="E126" t="s">
        <v>419</v>
      </c>
      <c r="F126" t="s">
        <v>413</v>
      </c>
      <c r="G126" s="51" t="s">
        <v>83</v>
      </c>
      <c r="H126" s="26" t="s">
        <v>84</v>
      </c>
      <c r="I126" s="62" t="s">
        <v>420</v>
      </c>
      <c r="J126" s="26">
        <f t="shared" ref="J126" si="18">IF(SUM(Q126:AW126)=0,"-",SUM(Q126:AW126))</f>
        <v>2</v>
      </c>
      <c r="K126" s="43">
        <f t="shared" ref="K126" si="19">IF(SUMPRODUCT($Q$5:$AW$5,Q126:AW126)=0,"-",SUMPRODUCT($Q$5:$AW$5,Q126:AW126))</f>
        <v>165</v>
      </c>
      <c r="L126" s="51"/>
      <c r="M126" s="41" t="s">
        <v>86</v>
      </c>
      <c r="N126" s="41" t="s">
        <v>255</v>
      </c>
      <c r="O126" s="41" t="s">
        <v>386</v>
      </c>
      <c r="P126" s="41" t="s">
        <v>387</v>
      </c>
      <c r="Q126" s="28">
        <v>1</v>
      </c>
      <c r="R126" s="26">
        <v>1</v>
      </c>
    </row>
    <row r="127" spans="1:39" ht="15" customHeight="1">
      <c r="A127" t="s">
        <v>79</v>
      </c>
      <c r="B127" t="s">
        <v>392</v>
      </c>
      <c r="C127" s="25">
        <v>46035</v>
      </c>
      <c r="D127" s="29" t="s">
        <v>421</v>
      </c>
      <c r="E127" t="s">
        <v>422</v>
      </c>
      <c r="F127" t="s">
        <v>322</v>
      </c>
      <c r="G127" s="51" t="s">
        <v>83</v>
      </c>
      <c r="H127" s="26" t="s">
        <v>84</v>
      </c>
      <c r="I127" s="62" t="s">
        <v>423</v>
      </c>
      <c r="J127" s="26">
        <f t="shared" ref="J127:J128" si="20">IF(SUM(Q127:AW127)=0,"-",SUM(Q127:AW127))</f>
        <v>3</v>
      </c>
      <c r="K127" s="69">
        <f t="shared" ref="K127:K128" si="21">IF(SUMPRODUCT($Q$5:$AW$5,Q127:AW127)=0,"-",SUMPRODUCT($Q$5:$AW$5,Q127:AW127))</f>
        <v>90</v>
      </c>
      <c r="L127" s="51" t="s">
        <v>86</v>
      </c>
      <c r="M127" s="41" t="s">
        <v>86</v>
      </c>
      <c r="N127" s="41" t="s">
        <v>424</v>
      </c>
      <c r="O127" s="41" t="s">
        <v>425</v>
      </c>
      <c r="P127" s="26" t="s">
        <v>426</v>
      </c>
      <c r="R127" s="26">
        <v>3</v>
      </c>
    </row>
    <row r="128" spans="1:39" ht="15" customHeight="1">
      <c r="A128" t="s">
        <v>79</v>
      </c>
      <c r="B128" t="s">
        <v>392</v>
      </c>
      <c r="C128" s="25">
        <v>46036</v>
      </c>
      <c r="D128" s="29" t="s">
        <v>427</v>
      </c>
      <c r="E128" t="s">
        <v>428</v>
      </c>
      <c r="F128" t="s">
        <v>394</v>
      </c>
      <c r="G128" s="51" t="s">
        <v>83</v>
      </c>
      <c r="H128" s="26" t="s">
        <v>84</v>
      </c>
      <c r="I128" s="62" t="s">
        <v>429</v>
      </c>
      <c r="J128" s="26">
        <f t="shared" si="20"/>
        <v>2</v>
      </c>
      <c r="K128" s="68">
        <f t="shared" si="21"/>
        <v>70</v>
      </c>
      <c r="L128" s="51" t="s">
        <v>86</v>
      </c>
      <c r="M128" s="41" t="s">
        <v>86</v>
      </c>
      <c r="N128" s="41" t="s">
        <v>424</v>
      </c>
      <c r="O128" s="41" t="s">
        <v>425</v>
      </c>
      <c r="P128" s="26" t="s">
        <v>426</v>
      </c>
      <c r="Z128" s="26">
        <v>2</v>
      </c>
    </row>
    <row r="129" spans="1:32" ht="15" customHeight="1">
      <c r="A129" t="s">
        <v>79</v>
      </c>
      <c r="B129" t="s">
        <v>392</v>
      </c>
      <c r="C129" s="25">
        <v>46042</v>
      </c>
      <c r="D129" s="29" t="s">
        <v>430</v>
      </c>
      <c r="E129" t="s">
        <v>431</v>
      </c>
      <c r="F129" t="s">
        <v>322</v>
      </c>
      <c r="G129" s="51" t="s">
        <v>83</v>
      </c>
      <c r="H129" s="26" t="s">
        <v>84</v>
      </c>
      <c r="I129" s="62" t="s">
        <v>432</v>
      </c>
      <c r="J129" s="26">
        <f t="shared" ref="J129" si="22">IF(SUM(Q129:AW129)=0,"-",SUM(Q129:AW129))</f>
        <v>104</v>
      </c>
      <c r="K129" s="69">
        <f>IF(SUMPRODUCT($Q$5:$AW$5,Q129:AW129)=0,"-",SUMPRODUCT($Q$5:$AW$5,Q129:AW129))/3</f>
        <v>426.66666666666669</v>
      </c>
      <c r="L129" s="51" t="s">
        <v>433</v>
      </c>
      <c r="M129" s="41" t="s">
        <v>86</v>
      </c>
      <c r="N129" s="41" t="s">
        <v>424</v>
      </c>
      <c r="O129" s="41" t="s">
        <v>425</v>
      </c>
      <c r="P129" s="26" t="s">
        <v>426</v>
      </c>
      <c r="S129" s="26">
        <v>99</v>
      </c>
      <c r="Y129" s="28">
        <v>1</v>
      </c>
      <c r="Z129" s="26">
        <v>4</v>
      </c>
    </row>
    <row r="130" spans="1:32" ht="15" customHeight="1">
      <c r="A130" t="s">
        <v>79</v>
      </c>
      <c r="B130" t="s">
        <v>392</v>
      </c>
      <c r="C130" s="25">
        <v>46044</v>
      </c>
      <c r="D130" s="29" t="s">
        <v>434</v>
      </c>
      <c r="E130" t="s">
        <v>428</v>
      </c>
      <c r="F130" t="s">
        <v>394</v>
      </c>
      <c r="G130" s="51" t="s">
        <v>83</v>
      </c>
      <c r="H130" s="26" t="s">
        <v>84</v>
      </c>
      <c r="I130" s="62" t="s">
        <v>435</v>
      </c>
      <c r="J130" s="26">
        <f t="shared" ref="J130" si="23">IF(SUM(Q130:AW130)=0,"-",SUM(Q130:AW130))</f>
        <v>2</v>
      </c>
      <c r="K130" s="68">
        <f t="shared" ref="K130" si="24">IF(SUMPRODUCT($Q$5:$AW$5,Q130:AW130)=0,"-",SUMPRODUCT($Q$5:$AW$5,Q130:AW130))</f>
        <v>70</v>
      </c>
      <c r="L130" s="51" t="s">
        <v>86</v>
      </c>
      <c r="M130" s="41" t="s">
        <v>86</v>
      </c>
      <c r="N130" s="41" t="s">
        <v>424</v>
      </c>
      <c r="O130" s="41" t="s">
        <v>425</v>
      </c>
      <c r="P130" s="26" t="s">
        <v>426</v>
      </c>
      <c r="Z130" s="26">
        <v>2</v>
      </c>
    </row>
    <row r="131" spans="1:32" ht="15" customHeight="1">
      <c r="A131" t="s">
        <v>79</v>
      </c>
      <c r="B131" t="s">
        <v>392</v>
      </c>
      <c r="C131" s="25">
        <v>46056</v>
      </c>
      <c r="D131" s="29" t="s">
        <v>436</v>
      </c>
      <c r="E131" t="s">
        <v>422</v>
      </c>
      <c r="F131" t="s">
        <v>322</v>
      </c>
      <c r="G131" t="s">
        <v>437</v>
      </c>
      <c r="H131" s="26" t="s">
        <v>84</v>
      </c>
      <c r="I131" s="62" t="s">
        <v>438</v>
      </c>
      <c r="J131" s="26">
        <f t="shared" ref="J131" si="25">IF(SUM(Q131:AW131)=0,"-",SUM(Q131:AW131))</f>
        <v>5</v>
      </c>
      <c r="K131" s="67">
        <f t="shared" ref="K131" si="26">IF(SUMPRODUCT($Q$5:$AW$5,Q131:AW131)=0,"-",SUMPRODUCT($Q$5:$AW$5,Q131:AW131))</f>
        <v>150</v>
      </c>
      <c r="R131" s="26">
        <v>5</v>
      </c>
    </row>
    <row r="132" spans="1:32" ht="15" customHeight="1">
      <c r="A132" t="s">
        <v>79</v>
      </c>
      <c r="B132" t="s">
        <v>392</v>
      </c>
      <c r="C132" s="25">
        <v>46064</v>
      </c>
      <c r="D132" s="29" t="s">
        <v>439</v>
      </c>
      <c r="E132" t="s">
        <v>428</v>
      </c>
      <c r="F132" t="s">
        <v>136</v>
      </c>
      <c r="G132" s="51" t="s">
        <v>83</v>
      </c>
      <c r="H132" s="26" t="s">
        <v>84</v>
      </c>
      <c r="I132" s="62" t="s">
        <v>440</v>
      </c>
      <c r="J132" s="26">
        <f t="shared" ref="J132" si="27">IF(SUM(Q132:AW132)=0,"-",SUM(Q132:AW132))</f>
        <v>1</v>
      </c>
      <c r="K132" s="67">
        <f t="shared" ref="K132" si="28">IF(SUMPRODUCT($Q$5:$AW$5,Q132:AW132)=0,"-",SUMPRODUCT($Q$5:$AW$5,Q132:AW132))</f>
        <v>35</v>
      </c>
      <c r="L132" s="51" t="s">
        <v>86</v>
      </c>
      <c r="M132" s="41" t="s">
        <v>86</v>
      </c>
      <c r="N132" s="41" t="s">
        <v>424</v>
      </c>
      <c r="O132" s="41" t="s">
        <v>425</v>
      </c>
      <c r="P132" s="26" t="s">
        <v>426</v>
      </c>
      <c r="Z132" s="26">
        <v>1</v>
      </c>
    </row>
    <row r="133" spans="1:32" ht="15" customHeight="1">
      <c r="A133" t="s">
        <v>79</v>
      </c>
      <c r="B133" t="s">
        <v>392</v>
      </c>
      <c r="C133" s="25">
        <v>46073</v>
      </c>
      <c r="D133" s="29" t="s">
        <v>441</v>
      </c>
      <c r="E133" t="s">
        <v>422</v>
      </c>
      <c r="F133" t="s">
        <v>136</v>
      </c>
      <c r="G133" s="51" t="s">
        <v>83</v>
      </c>
      <c r="H133" s="26" t="s">
        <v>84</v>
      </c>
      <c r="I133" s="62" t="s">
        <v>440</v>
      </c>
      <c r="J133" s="26">
        <f t="shared" ref="J133" si="29">IF(SUM(Q133:AW133)=0,"-",SUM(Q133:AW133))</f>
        <v>1</v>
      </c>
      <c r="K133" s="69">
        <f t="shared" ref="K133" si="30">IF(SUMPRODUCT($Q$5:$AW$5,Q133:AW133)=0,"-",SUMPRODUCT($Q$5:$AW$5,Q133:AW133))</f>
        <v>35</v>
      </c>
      <c r="L133" s="51" t="s">
        <v>86</v>
      </c>
      <c r="M133" s="41" t="s">
        <v>86</v>
      </c>
      <c r="N133" s="41" t="s">
        <v>424</v>
      </c>
      <c r="O133" s="41" t="s">
        <v>425</v>
      </c>
      <c r="P133" s="26" t="s">
        <v>426</v>
      </c>
      <c r="Z133" s="26">
        <v>1</v>
      </c>
    </row>
    <row r="134" spans="1:32" ht="15" customHeight="1">
      <c r="A134" t="s">
        <v>79</v>
      </c>
      <c r="B134" t="s">
        <v>392</v>
      </c>
      <c r="C134" s="25">
        <v>46074</v>
      </c>
      <c r="D134" s="29" t="s">
        <v>442</v>
      </c>
      <c r="E134" t="s">
        <v>428</v>
      </c>
      <c r="F134" t="s">
        <v>136</v>
      </c>
      <c r="G134" t="s">
        <v>83</v>
      </c>
      <c r="H134" s="26" t="s">
        <v>84</v>
      </c>
      <c r="I134" s="62" t="s">
        <v>443</v>
      </c>
      <c r="J134" s="26">
        <f t="shared" ref="J134" si="31">IF(SUM(Q134:AW134)=0,"-",SUM(Q134:AW134))</f>
        <v>2</v>
      </c>
      <c r="K134" s="67">
        <f t="shared" ref="K134" si="32">IF(SUMPRODUCT($Q$5:$AW$5,Q134:AW134)=0,"-",SUMPRODUCT($Q$5:$AW$5,Q134:AW134))</f>
        <v>70</v>
      </c>
      <c r="L134" s="70"/>
      <c r="M134" s="56"/>
      <c r="N134" s="56"/>
      <c r="O134" s="56"/>
      <c r="P134" s="56"/>
      <c r="Z134" s="26">
        <v>2</v>
      </c>
    </row>
    <row r="135" spans="1:32" ht="15" customHeight="1">
      <c r="A135" t="s">
        <v>79</v>
      </c>
      <c r="B135" t="s">
        <v>392</v>
      </c>
      <c r="C135" s="25">
        <v>46093</v>
      </c>
      <c r="D135" s="29" t="s">
        <v>444</v>
      </c>
      <c r="E135" t="s">
        <v>422</v>
      </c>
      <c r="F135" t="s">
        <v>322</v>
      </c>
      <c r="G135" t="s">
        <v>83</v>
      </c>
      <c r="H135" s="26" t="s">
        <v>84</v>
      </c>
      <c r="I135" s="62" t="s">
        <v>445</v>
      </c>
      <c r="J135" s="26">
        <f>IF(SUM(Q135:AW135)=0,"-",SUM(Q135:AW135))</f>
        <v>6</v>
      </c>
      <c r="K135" s="67">
        <f>IF(SUMPRODUCT($Q$5:$AW$5,Q135:AW135)=0,"-",SUMPRODUCT($Q$5:$AW$5,Q135:AW135))</f>
        <v>650</v>
      </c>
      <c r="L135" s="70"/>
      <c r="M135" s="56"/>
      <c r="N135" s="56"/>
      <c r="O135" s="56"/>
      <c r="P135" s="56"/>
      <c r="R135" s="26">
        <v>5</v>
      </c>
      <c r="AF135" s="28">
        <v>1</v>
      </c>
    </row>
    <row r="136" spans="1:32" ht="15" customHeight="1">
      <c r="A136" t="s">
        <v>79</v>
      </c>
      <c r="B136" t="s">
        <v>392</v>
      </c>
      <c r="C136" s="25">
        <v>46093</v>
      </c>
      <c r="D136" s="29" t="s">
        <v>446</v>
      </c>
      <c r="E136" t="s">
        <v>428</v>
      </c>
      <c r="F136" t="s">
        <v>136</v>
      </c>
      <c r="G136" t="s">
        <v>83</v>
      </c>
      <c r="H136" s="26" t="s">
        <v>84</v>
      </c>
      <c r="I136" s="62" t="s">
        <v>447</v>
      </c>
      <c r="J136" s="26">
        <f t="shared" ref="J136:J137" si="33">IF(SUM(Q136:AW136)=0,"-",SUM(Q136:AW136))</f>
        <v>2</v>
      </c>
      <c r="K136" s="67">
        <f t="shared" ref="K136:K137" si="34">IF(SUMPRODUCT($Q$5:$AW$5,Q136:AW136)=0,"-",SUMPRODUCT($Q$5:$AW$5,Q136:AW136))</f>
        <v>70</v>
      </c>
      <c r="L136" s="70"/>
      <c r="M136" s="56"/>
      <c r="N136" s="56"/>
      <c r="O136" s="56"/>
      <c r="P136" s="56"/>
      <c r="Z136" s="26">
        <v>2</v>
      </c>
    </row>
    <row r="137" spans="1:32" ht="15" customHeight="1">
      <c r="A137" t="s">
        <v>79</v>
      </c>
      <c r="B137" t="s">
        <v>392</v>
      </c>
      <c r="C137" s="25">
        <v>46101</v>
      </c>
      <c r="D137" s="29" t="s">
        <v>448</v>
      </c>
      <c r="E137" t="s">
        <v>428</v>
      </c>
      <c r="F137" t="s">
        <v>136</v>
      </c>
      <c r="G137" t="s">
        <v>83</v>
      </c>
      <c r="H137" s="26" t="s">
        <v>84</v>
      </c>
      <c r="I137" s="62" t="s">
        <v>449</v>
      </c>
      <c r="J137" s="26">
        <f t="shared" si="33"/>
        <v>4</v>
      </c>
      <c r="K137" s="67">
        <f t="shared" si="34"/>
        <v>140</v>
      </c>
      <c r="Z137" s="26">
        <v>4</v>
      </c>
    </row>
    <row r="138" spans="1:32" ht="15" customHeight="1">
      <c r="A138" t="s">
        <v>79</v>
      </c>
      <c r="B138" t="s">
        <v>14</v>
      </c>
      <c r="C138" s="25">
        <v>46101</v>
      </c>
      <c r="D138" s="29" t="s">
        <v>450</v>
      </c>
      <c r="E138" t="s">
        <v>419</v>
      </c>
      <c r="F138" t="s">
        <v>229</v>
      </c>
      <c r="G138" t="s">
        <v>437</v>
      </c>
      <c r="H138" s="26" t="s">
        <v>84</v>
      </c>
      <c r="I138" s="62" t="s">
        <v>451</v>
      </c>
      <c r="J138" s="26" t="str">
        <f t="shared" ref="J138" si="35">IF(SUM(Q138:AW138)=0,"-",SUM(Q138:AW138))</f>
        <v>-</v>
      </c>
      <c r="K138" s="67" t="str">
        <f t="shared" ref="K138" si="36">IF(SUMPRODUCT($Q$5:$AW$5,Q138:AW138)=0,"-",SUMPRODUCT($Q$5:$AW$5,Q138:AW138))</f>
        <v>-</v>
      </c>
    </row>
    <row r="139" spans="1:32" ht="15" customHeight="1">
      <c r="A139" t="s">
        <v>79</v>
      </c>
      <c r="B139" t="s">
        <v>452</v>
      </c>
      <c r="C139" s="25">
        <v>46106</v>
      </c>
      <c r="D139" s="32" t="s">
        <v>453</v>
      </c>
      <c r="F139" t="s">
        <v>92</v>
      </c>
      <c r="G139" t="s">
        <v>83</v>
      </c>
      <c r="H139" s="26" t="s">
        <v>327</v>
      </c>
      <c r="I139" s="62" t="s">
        <v>454</v>
      </c>
      <c r="J139" s="26">
        <f t="shared" ref="J139" si="37">IF(SUM(Q139:AW139)=0,"-",SUM(Q139:AW139))</f>
        <v>1</v>
      </c>
      <c r="K139" s="67">
        <f t="shared" ref="K139" si="38">IF(SUMPRODUCT($Q$5:$AW$5,Q139:AW139)=0,"-",SUMPRODUCT($Q$5:$AW$5,Q139:AW139))</f>
        <v>10</v>
      </c>
      <c r="S139" s="26">
        <v>1</v>
      </c>
    </row>
  </sheetData>
  <autoFilter ref="A5:BC136" xr:uid="{7DF33868-1EE0-4CB0-A9C8-6A368F92C478}">
    <sortState xmlns:xlrd2="http://schemas.microsoft.com/office/spreadsheetml/2017/richdata2" ref="A6:BC111">
      <sortCondition ref="B5:B111"/>
    </sortState>
  </autoFilter>
  <mergeCells count="8">
    <mergeCell ref="AJ3:AR3"/>
    <mergeCell ref="AS3:AT3"/>
    <mergeCell ref="AU3:AV3"/>
    <mergeCell ref="A4:D4"/>
    <mergeCell ref="F4:N4"/>
    <mergeCell ref="Q3:X3"/>
    <mergeCell ref="Y3:AD3"/>
    <mergeCell ref="AF3:AI3"/>
  </mergeCells>
  <conditionalFormatting sqref="G1:G1048576">
    <cfRule type="cellIs" dxfId="0" priority="1" operator="equal">
      <formula>"Delivered"</formula>
    </cfRule>
  </conditionalFormatting>
  <hyperlinks>
    <hyperlink ref="I6" r:id="rId1" xr:uid="{7AF85067-8A6A-499E-BA15-69A734CC5510}"/>
    <hyperlink ref="I7" r:id="rId2" xr:uid="{24A03429-6C09-41CF-ADE8-B4A3296E2917}"/>
    <hyperlink ref="I8" r:id="rId3" xr:uid="{D521E1F6-F334-4AB5-9FCD-59168F7E5C88}"/>
    <hyperlink ref="I9" r:id="rId4" xr:uid="{C8FE4C74-5DFC-41DC-9420-11814F0B54C4}"/>
    <hyperlink ref="I10" r:id="rId5" xr:uid="{E5D70DAC-9A0B-4F48-8BB2-88B2EE73CDD8}"/>
    <hyperlink ref="I11" r:id="rId6" xr:uid="{48FA31C0-CD2C-404B-AE55-06DF984088E1}"/>
    <hyperlink ref="I12" r:id="rId7" xr:uid="{85837F8E-2356-4219-8458-72B150D32B9C}"/>
    <hyperlink ref="I13" r:id="rId8" xr:uid="{CE682586-9D3F-4968-90C2-336D41965811}"/>
    <hyperlink ref="I15" r:id="rId9" xr:uid="{AF7D1642-B7DA-4A17-97F3-8DCA3945B89B}"/>
    <hyperlink ref="I14" r:id="rId10" xr:uid="{FB1978FB-E4DF-4D61-994E-F336468982EF}"/>
    <hyperlink ref="I16" r:id="rId11" xr:uid="{14BD0807-060D-4B03-95FA-CD3E799FA1C2}"/>
    <hyperlink ref="I17" r:id="rId12" xr:uid="{9D244F62-C143-42D9-9A8C-09FACAC9A792}"/>
    <hyperlink ref="I18" r:id="rId13" xr:uid="{27E18EEE-36C0-473F-A4EB-D8BA471AB1A6}"/>
    <hyperlink ref="I19" r:id="rId14" xr:uid="{D411F886-7260-4C1F-B057-4E2DFC64B260}"/>
    <hyperlink ref="I20" r:id="rId15" xr:uid="{5A677A67-3CC3-4D33-A94B-A57D24B3F284}"/>
    <hyperlink ref="I21" r:id="rId16" xr:uid="{77145C6C-916D-485E-8C98-0C57F68DEEAF}"/>
    <hyperlink ref="I22" r:id="rId17" xr:uid="{AB8387DD-9EFA-4757-8E79-A5410DE4A973}"/>
    <hyperlink ref="I23" r:id="rId18" xr:uid="{870BC3F7-793E-4884-82EC-ABE7EFB06499}"/>
    <hyperlink ref="I24" r:id="rId19" xr:uid="{AB7464B6-DE38-4078-A748-101D0ED891E7}"/>
    <hyperlink ref="I25" r:id="rId20" xr:uid="{E7E60BBC-4058-40DE-8F1F-3213646983FB}"/>
    <hyperlink ref="I26" r:id="rId21" xr:uid="{B4428D37-3022-4925-A0AB-541AD2E7B872}"/>
    <hyperlink ref="I27" r:id="rId22" xr:uid="{90977A4B-EE94-414A-AC99-872E31B0B4BA}"/>
    <hyperlink ref="I28" r:id="rId23" xr:uid="{0F3F9115-5604-4EF6-AFB8-3913FFD85B5C}"/>
    <hyperlink ref="I29" r:id="rId24" xr:uid="{4DCB73B5-CFAA-42A6-AE66-8A2CBE6EBEC5}"/>
    <hyperlink ref="I30" r:id="rId25" xr:uid="{F74A4738-07CA-4FAD-9DE5-DE46AE242C02}"/>
    <hyperlink ref="I31" r:id="rId26" xr:uid="{5EA6F35A-2D16-47FA-A125-6F255863F018}"/>
    <hyperlink ref="I32" r:id="rId27" xr:uid="{CF48D83F-B64C-4A87-951E-A1C2678B6722}"/>
    <hyperlink ref="I35" r:id="rId28" xr:uid="{CD12DDC8-055B-4A9F-A3D0-9100DDDFA9D6}"/>
    <hyperlink ref="I36" r:id="rId29" xr:uid="{1CF061F4-6F01-4101-B076-D1953485A335}"/>
    <hyperlink ref="I37" r:id="rId30" xr:uid="{57C74E3F-072C-4C24-B0BB-308E1BAE6F16}"/>
    <hyperlink ref="I38" r:id="rId31" xr:uid="{86362B8F-0A01-4B57-B30F-2D597D07D438}"/>
    <hyperlink ref="I39" r:id="rId32" xr:uid="{7498702A-6623-4336-912B-7D43E50F43AD}"/>
    <hyperlink ref="I40" r:id="rId33" xr:uid="{ABF6E18C-5319-409C-B3D5-02D0861976D4}"/>
    <hyperlink ref="I41" r:id="rId34" xr:uid="{D6107182-20EE-4089-8AA8-35FDB5707F09}"/>
    <hyperlink ref="I42" r:id="rId35" xr:uid="{0FA943C7-00F1-42DF-B85C-A5D643BC3297}"/>
    <hyperlink ref="I43" r:id="rId36" xr:uid="{C2964814-9F81-4C3D-8B0C-4D31F301E502}"/>
    <hyperlink ref="I44" r:id="rId37" xr:uid="{A3328656-B94C-4EFA-827C-21897ABCB763}"/>
    <hyperlink ref="I33" r:id="rId38" xr:uid="{C953EF46-728F-4108-8B45-1A00FF20A2A4}"/>
    <hyperlink ref="I45" r:id="rId39" xr:uid="{1D3CF74C-32FC-4AE9-96D2-DBC2976EA125}"/>
    <hyperlink ref="I46" r:id="rId40" xr:uid="{1F2D5490-ED0B-4ECF-BACF-2C13AB1B956D}"/>
    <hyperlink ref="I47" r:id="rId41" xr:uid="{2CC779E1-0DBD-46BC-995E-189B87872106}"/>
    <hyperlink ref="I34" r:id="rId42" xr:uid="{5CC27ADB-2C50-4007-B504-CAB7827FDAD0}"/>
    <hyperlink ref="I52" r:id="rId43" xr:uid="{78232CCD-F6BE-4441-8BCB-EA2D3AB59554}"/>
    <hyperlink ref="I53" r:id="rId44" xr:uid="{8EA2907A-422A-4D8F-A2E1-53CB26B16659}"/>
    <hyperlink ref="I48" r:id="rId45" xr:uid="{B4532D2D-1313-4F4D-87DD-237E2879EAA4}"/>
    <hyperlink ref="I49" r:id="rId46" xr:uid="{1415D99F-047A-4EEA-8F48-743B0524D889}"/>
    <hyperlink ref="I50" r:id="rId47" xr:uid="{2AB3489A-6B22-4EED-BCE1-2481B3028404}"/>
    <hyperlink ref="I51" r:id="rId48" xr:uid="{4604C5E4-A0AA-4832-A576-077FD98DDE3B}"/>
    <hyperlink ref="I54" r:id="rId49" xr:uid="{9608DD6E-9500-4351-9AA8-30B4F032C0B1}"/>
    <hyperlink ref="I55" r:id="rId50" xr:uid="{570D5E00-BF7C-4A78-BD84-1B55D0CA9C63}"/>
    <hyperlink ref="I68" r:id="rId51" xr:uid="{EED74227-3E17-44B0-9941-9210D0FC3950}"/>
    <hyperlink ref="I56" r:id="rId52" xr:uid="{42DCE8B5-703C-4C22-8757-6D8123696C0F}"/>
    <hyperlink ref="I69" r:id="rId53" xr:uid="{E4584460-6CFB-4784-ACCB-6BA68758ADE3}"/>
    <hyperlink ref="I57" r:id="rId54" xr:uid="{D6CDF6B2-7868-4718-847F-C343600D6756}"/>
    <hyperlink ref="I58" r:id="rId55" xr:uid="{E2BADFFD-D767-4143-A3BE-717A740E80BB}"/>
    <hyperlink ref="I59" r:id="rId56" xr:uid="{B11C7EA3-F08B-4352-86FD-331D99C92BF1}"/>
    <hyperlink ref="I60" r:id="rId57" xr:uid="{2974F161-C14C-4D87-AF77-058FC672BD6F}"/>
    <hyperlink ref="I61" r:id="rId58" xr:uid="{B7A7579C-C0E1-49BB-A736-FEBC683125A0}"/>
    <hyperlink ref="I70" r:id="rId59" xr:uid="{2E67C72B-EEC4-4FFE-A67F-04D1EDE45827}"/>
    <hyperlink ref="I62" r:id="rId60" xr:uid="{5A3E6186-CA70-45FD-9EBE-8FB0A0031A13}"/>
    <hyperlink ref="I63" r:id="rId61" xr:uid="{BFD77787-C791-48B8-8F01-219ADD989A2E}"/>
    <hyperlink ref="I64" r:id="rId62" xr:uid="{485785E3-A370-4F87-A6BC-ABB31D79BC42}"/>
    <hyperlink ref="I65" r:id="rId63" xr:uid="{E9A968FD-0755-4D2B-8080-2324C689C834}"/>
    <hyperlink ref="I67" r:id="rId64" xr:uid="{44B66BE3-A325-4F43-8180-7D20BD26BD69}"/>
    <hyperlink ref="I71" r:id="rId65" xr:uid="{3404F084-85DC-4DC5-A660-37E6ABD60728}"/>
    <hyperlink ref="I72" r:id="rId66" xr:uid="{8D8DC375-698D-4DE8-A127-303405AD0526}"/>
    <hyperlink ref="I73" r:id="rId67" xr:uid="{40C5058B-D060-439B-95CF-0C096FFC2B74}"/>
    <hyperlink ref="I74" r:id="rId68" xr:uid="{F71BAC0A-9294-461D-987E-9769312CD0C6}"/>
    <hyperlink ref="I75" r:id="rId69" xr:uid="{22073B80-C160-4792-A25D-8872C3FFC653}"/>
    <hyperlink ref="I77" r:id="rId70" xr:uid="{7286B26C-587F-4CFD-9B50-1E4A482340DA}"/>
    <hyperlink ref="I78" r:id="rId71" xr:uid="{C18694B7-CB68-4018-B320-82AB8FC42343}"/>
    <hyperlink ref="I79" r:id="rId72" xr:uid="{61BA5C3D-48CA-4B97-9FC0-6BB3627C50AC}"/>
    <hyperlink ref="I82" r:id="rId73" xr:uid="{25664102-DBA8-4D44-913B-DE1C3A1F8308}"/>
    <hyperlink ref="I83" r:id="rId74" xr:uid="{2AE81651-EA7C-4CFF-A13C-B8C1E985DB62}"/>
    <hyperlink ref="I84" r:id="rId75" xr:uid="{DB13C37A-23F0-4FEC-965B-4FE6A0038164}"/>
    <hyperlink ref="I86" r:id="rId76" xr:uid="{76DC91DA-1A6C-40AB-BE1C-1AE350C60FCC}"/>
    <hyperlink ref="I87" r:id="rId77" xr:uid="{E8F776D8-8BCA-4320-AFAF-FA5CD4DD0240}"/>
    <hyperlink ref="I88" r:id="rId78" xr:uid="{57DB8A37-8F55-42B9-9BE0-4931C122D568}"/>
    <hyperlink ref="I89" r:id="rId79" xr:uid="{A811A713-6D8C-4084-AA5C-9F7627A01518}"/>
    <hyperlink ref="I90" r:id="rId80" xr:uid="{E8598567-1877-4C89-AA89-402E49BA94D7}"/>
    <hyperlink ref="I91" r:id="rId81" xr:uid="{3F5CE9BE-2CF9-4147-942B-C20AA290D58F}"/>
    <hyperlink ref="I92" r:id="rId82" xr:uid="{C43039BF-4883-4D40-B119-333CB49A2E3C}"/>
    <hyperlink ref="I93" r:id="rId83" xr:uid="{C28C2A39-A9E0-42DB-ADE4-F9FD322FDCD7}"/>
    <hyperlink ref="I85" r:id="rId84" xr:uid="{30816F88-B92F-4EF4-9F33-8667C7D63B3D}"/>
    <hyperlink ref="I94" r:id="rId85" xr:uid="{70460776-794D-4EB6-BD80-4A1D8C4E1D1C}"/>
    <hyperlink ref="I96" r:id="rId86" xr:uid="{FECB6DF3-F5FD-4D52-9CD1-A6DDF467B836}"/>
    <hyperlink ref="I97" r:id="rId87" xr:uid="{0EFF251E-6352-4D9F-AEC7-7F2AEB342BC8}"/>
    <hyperlink ref="I99" r:id="rId88" xr:uid="{E9DB496D-1391-4CF4-9D11-B6CCE0075B59}"/>
    <hyperlink ref="I111" r:id="rId89" xr:uid="{41C98A14-DB91-4165-B2F8-E4F905E0F07D}"/>
    <hyperlink ref="I100" r:id="rId90" xr:uid="{6774074B-5BEA-428D-8F37-4DE931D9DB54}"/>
    <hyperlink ref="I106" r:id="rId91" xr:uid="{177709C3-3253-408A-9C20-250378FC2256}"/>
    <hyperlink ref="I101" r:id="rId92" xr:uid="{6AEAB5A9-0A98-4011-B9A1-5A112435C673}"/>
    <hyperlink ref="I95" r:id="rId93" xr:uid="{4164A414-562E-48A7-BF37-6C3BF329BF36}"/>
    <hyperlink ref="I107" r:id="rId94" xr:uid="{8637DE52-02D0-4A45-8F96-6E853487C5DC}"/>
    <hyperlink ref="I103" r:id="rId95" xr:uid="{61C7E8D0-98BC-4DBB-9642-A7D02A3486AF}"/>
    <hyperlink ref="I105" r:id="rId96" xr:uid="{FB5CD094-CCE5-4014-B9ED-B3FAF31A12B5}"/>
    <hyperlink ref="I110" r:id="rId97" xr:uid="{1A990F83-85CE-4455-B97B-75646DF4B42B}"/>
    <hyperlink ref="I98" r:id="rId98" xr:uid="{097B07A4-ACF2-490E-B84D-A0C7A47CF621}"/>
    <hyperlink ref="I108" r:id="rId99" xr:uid="{E2136BE9-CBA8-4D10-A2A6-58A192737AE7}"/>
    <hyperlink ref="I109" r:id="rId100" xr:uid="{B946B587-763F-421F-9F66-1ABFD921E58E}"/>
    <hyperlink ref="I102" r:id="rId101" xr:uid="{CB2C7BBD-0796-47D7-8CFF-6E34DBE7082E}"/>
    <hyperlink ref="I112" r:id="rId102" xr:uid="{7A53E762-CAB7-44B9-AD9B-C149C923E09E}"/>
    <hyperlink ref="I113" r:id="rId103" xr:uid="{A04C0C59-A1A3-4F4C-BD2C-11BF67F12AD9}"/>
    <hyperlink ref="I114" r:id="rId104" xr:uid="{6B00649E-D8FA-4C72-86BE-86FE772761AF}"/>
    <hyperlink ref="I115" r:id="rId105" xr:uid="{FCB424B6-DBFD-497C-A1D8-5E7DEBB1B165}"/>
    <hyperlink ref="I117" r:id="rId106" xr:uid="{583DC516-E6A0-4F38-AD84-FA5E83CE75C0}"/>
    <hyperlink ref="I118" r:id="rId107" xr:uid="{39EDD1C1-19E2-4F50-894C-9F89DF7D3484}"/>
    <hyperlink ref="I120" r:id="rId108" xr:uid="{F4778B18-7EF4-4BE0-B058-3543135936AE}"/>
    <hyperlink ref="I121" r:id="rId109" xr:uid="{E3C05318-040B-4761-A151-D4142524DEBA}"/>
    <hyperlink ref="I122" r:id="rId110" xr:uid="{1BC6FD7F-DF9D-4865-A08B-058E3A793BAB}"/>
    <hyperlink ref="I124" r:id="rId111" xr:uid="{4107B7E3-BB3B-429B-A3AE-A023DB67C2EF}"/>
    <hyperlink ref="I119" r:id="rId112" xr:uid="{C1156EFB-2F49-47F8-A134-56DBDC126849}"/>
    <hyperlink ref="I123" r:id="rId113" xr:uid="{0D9BFADC-56A0-4283-B9A3-2CC9A8299A55}"/>
    <hyperlink ref="I125" r:id="rId114" xr:uid="{BFD849B0-F3B6-42E9-9E44-401E12B60C83}"/>
    <hyperlink ref="I116" r:id="rId115" xr:uid="{650D48C1-2EC8-4DC4-A434-A1CA72CAA120}"/>
    <hyperlink ref="I126" r:id="rId116" xr:uid="{BD532B14-D60F-4806-BA1B-916C53EC7C42}"/>
    <hyperlink ref="I128" r:id="rId117" xr:uid="{26B1711B-AEB8-431E-9854-F44F054FB2EC}"/>
    <hyperlink ref="I127" r:id="rId118" xr:uid="{3C5CD831-AA92-4F86-B27E-721EAD7805A2}"/>
    <hyperlink ref="I129" r:id="rId119" xr:uid="{2CD4D085-1A82-480F-9E4B-FF2CE651EA49}"/>
    <hyperlink ref="I130" r:id="rId120" xr:uid="{C229CD7C-0536-4A9D-8A1A-8512F9EAF822}"/>
    <hyperlink ref="I131" r:id="rId121" xr:uid="{4E044485-F100-4DC7-B0A6-DF7AFAC380F0}"/>
    <hyperlink ref="I132" r:id="rId122" xr:uid="{9C4AEF38-33BE-482C-B8D7-41716D3C614E}"/>
    <hyperlink ref="I133" r:id="rId123" xr:uid="{73D1EE99-241A-456E-9B57-DF9A70E13803}"/>
    <hyperlink ref="I134" r:id="rId124" xr:uid="{E26A25CC-EE32-418C-A641-1660A9335AC4}"/>
    <hyperlink ref="I135" r:id="rId125" xr:uid="{D40C3EA6-C668-41C1-A15E-D506E618DF25}"/>
    <hyperlink ref="I136" r:id="rId126" xr:uid="{8DE13997-9261-48C0-9718-B41056EF8EEB}"/>
    <hyperlink ref="I137" r:id="rId127" xr:uid="{0EDCB80A-1E8F-4172-AA31-9B31D9FEF6E5}"/>
    <hyperlink ref="I138" r:id="rId128" xr:uid="{89AC9A04-2031-45A2-8145-11F9303B3B13}"/>
    <hyperlink ref="I139" r:id="rId129" xr:uid="{A06A7350-5C4C-4763-BE6B-4E93ED41D485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Issa, Thomas</dc:creator>
  <cp:keywords/>
  <dc:description/>
  <cp:lastModifiedBy>Utilisateur invité</cp:lastModifiedBy>
  <cp:revision/>
  <dcterms:created xsi:type="dcterms:W3CDTF">2025-03-10T10:40:14Z</dcterms:created>
  <dcterms:modified xsi:type="dcterms:W3CDTF">2026-03-26T08:59:09Z</dcterms:modified>
  <cp:category/>
  <cp:contentStatus/>
</cp:coreProperties>
</file>