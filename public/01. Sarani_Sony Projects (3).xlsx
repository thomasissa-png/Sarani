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namedSheetViews/namedSheetView3.xml" ContentType="application/vnd.ms-excel.namedsheetview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namedSheetViews/namedSheetView4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RIssaTh\OneDrive - Sony\Desktop\"/>
    </mc:Choice>
  </mc:AlternateContent>
  <xr:revisionPtr revIDLastSave="5600" documentId="6_{E5C6DF12-137E-4D0E-B982-EA8F5CE1413A}" xr6:coauthVersionLast="47" xr6:coauthVersionMax="47" xr10:uidLastSave="{42C54FCD-FED6-44BC-8D53-6BCB8168E87C}"/>
  <bookViews>
    <workbookView xWindow="-108" yWindow="-108" windowWidth="23256" windowHeight="12576" firstSheet="5" activeTab="5" xr2:uid="{527DF874-B38F-4222-8A80-3894DDAA6752}"/>
  </bookViews>
  <sheets>
    <sheet name="Summary - SFR - Global" sheetId="11" state="hidden" r:id="rId1"/>
    <sheet name="Summary - SFR - CM" sheetId="10" state="hidden" r:id="rId2"/>
    <sheet name="Sony France - CM" sheetId="5" state="hidden" r:id="rId3"/>
    <sheet name="Sony France - Hors CM" sheetId="2" state="hidden" r:id="rId4"/>
    <sheet name="Overview" sheetId="14" state="hidden" r:id="rId5"/>
    <sheet name="Sony France" sheetId="7" r:id="rId6"/>
    <sheet name="Sony Europe - Manu" sheetId="12" state="hidden" r:id="rId7"/>
    <sheet name="Sony Europe - New" sheetId="13" state="hidden" r:id="rId8"/>
    <sheet name="Sony Professional" sheetId="3" r:id="rId9"/>
    <sheet name="Sony Europe - Other" sheetId="4" r:id="rId10"/>
    <sheet name="Instructions" sheetId="9" r:id="rId11"/>
  </sheets>
  <definedNames>
    <definedName name="_xlnm._FilterDatabase" localSheetId="6" hidden="1">'Sony Europe - Manu'!$A$5:$BA$145</definedName>
    <definedName name="_xlnm._FilterDatabase" localSheetId="7" hidden="1">'Sony Europe - New'!$A$3:$BI$3</definedName>
    <definedName name="_xlnm._FilterDatabase" localSheetId="2" hidden="1">'Sony France - CM'!$A$3:$AX$83</definedName>
    <definedName name="_xlnm._FilterDatabase" localSheetId="3" hidden="1">'Sony France - Hors CM'!$A$3:$AV$259</definedName>
    <definedName name="_xlnm._FilterDatabase" localSheetId="8" hidden="1">'Sony Professional'!$A$3:$AX$156</definedName>
    <definedName name="_xlnm._FilterDatabase" localSheetId="9" hidden="1">'Sony Europe - Other'!$A$1:$BA$80</definedName>
    <definedName name="_xlnm._FilterDatabase" localSheetId="5" hidden="1">'Sony France'!$3:$1023</definedName>
  </definedNames>
  <calcPr calcId="191028"/>
  <pivotCaches>
    <pivotCache cacheId="53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16" i="7" l="1"/>
  <c r="M916" i="7"/>
  <c r="E916" i="7"/>
  <c r="D916" i="7"/>
  <c r="M914" i="7"/>
  <c r="N914" i="7"/>
  <c r="M915" i="7"/>
  <c r="N915" i="7"/>
  <c r="M876" i="7"/>
  <c r="E876" i="7"/>
  <c r="D876" i="7"/>
  <c r="J80" i="4"/>
  <c r="I80" i="4"/>
  <c r="B15" i="14"/>
  <c r="C15" i="14"/>
  <c r="B16" i="14"/>
  <c r="C16" i="14"/>
  <c r="B17" i="14"/>
  <c r="C17" i="14"/>
  <c r="B18" i="14"/>
  <c r="C18" i="14"/>
  <c r="B19" i="14"/>
  <c r="C19" i="14"/>
  <c r="B21" i="14"/>
  <c r="C21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S7" i="14"/>
  <c r="T7" i="14"/>
  <c r="U7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B5" i="14"/>
  <c r="C5" i="14"/>
  <c r="D5" i="14"/>
  <c r="S5" i="14"/>
  <c r="T5" i="14"/>
  <c r="U5" i="14"/>
  <c r="J158" i="3"/>
  <c r="R7" i="14" s="1"/>
  <c r="I158" i="3"/>
  <c r="D928" i="7"/>
  <c r="E928" i="7"/>
  <c r="D929" i="7"/>
  <c r="E929" i="7"/>
  <c r="D930" i="7"/>
  <c r="E930" i="7"/>
  <c r="D931" i="7"/>
  <c r="E931" i="7"/>
  <c r="D932" i="7"/>
  <c r="E932" i="7"/>
  <c r="D933" i="7"/>
  <c r="E933" i="7"/>
  <c r="D934" i="7"/>
  <c r="E934" i="7"/>
  <c r="D935" i="7"/>
  <c r="E935" i="7"/>
  <c r="D936" i="7"/>
  <c r="E936" i="7"/>
  <c r="D937" i="7"/>
  <c r="E937" i="7"/>
  <c r="D938" i="7"/>
  <c r="E938" i="7"/>
  <c r="D939" i="7"/>
  <c r="E939" i="7"/>
  <c r="D940" i="7"/>
  <c r="E940" i="7"/>
  <c r="D941" i="7"/>
  <c r="E941" i="7"/>
  <c r="D942" i="7"/>
  <c r="E942" i="7"/>
  <c r="D943" i="7"/>
  <c r="E943" i="7"/>
  <c r="D944" i="7"/>
  <c r="E944" i="7"/>
  <c r="D945" i="7"/>
  <c r="E945" i="7"/>
  <c r="D946" i="7"/>
  <c r="E946" i="7"/>
  <c r="D947" i="7"/>
  <c r="E947" i="7"/>
  <c r="D948" i="7"/>
  <c r="E948" i="7"/>
  <c r="D949" i="7"/>
  <c r="E949" i="7"/>
  <c r="D950" i="7"/>
  <c r="E950" i="7"/>
  <c r="D951" i="7"/>
  <c r="E951" i="7"/>
  <c r="D952" i="7"/>
  <c r="E952" i="7"/>
  <c r="D953" i="7"/>
  <c r="E953" i="7"/>
  <c r="D954" i="7"/>
  <c r="E954" i="7"/>
  <c r="D955" i="7"/>
  <c r="E955" i="7"/>
  <c r="D956" i="7"/>
  <c r="E956" i="7"/>
  <c r="D957" i="7"/>
  <c r="E957" i="7"/>
  <c r="D958" i="7"/>
  <c r="E958" i="7"/>
  <c r="D959" i="7"/>
  <c r="E959" i="7"/>
  <c r="D960" i="7"/>
  <c r="E960" i="7"/>
  <c r="D961" i="7"/>
  <c r="E961" i="7"/>
  <c r="D962" i="7"/>
  <c r="E962" i="7"/>
  <c r="D963" i="7"/>
  <c r="E963" i="7"/>
  <c r="D964" i="7"/>
  <c r="E964" i="7"/>
  <c r="D965" i="7"/>
  <c r="E965" i="7"/>
  <c r="D966" i="7"/>
  <c r="E966" i="7"/>
  <c r="D967" i="7"/>
  <c r="E967" i="7"/>
  <c r="D968" i="7"/>
  <c r="E968" i="7"/>
  <c r="D969" i="7"/>
  <c r="E969" i="7"/>
  <c r="D970" i="7"/>
  <c r="E970" i="7"/>
  <c r="D971" i="7"/>
  <c r="E971" i="7"/>
  <c r="D972" i="7"/>
  <c r="E972" i="7"/>
  <c r="D973" i="7"/>
  <c r="E973" i="7"/>
  <c r="D974" i="7"/>
  <c r="E974" i="7"/>
  <c r="D975" i="7"/>
  <c r="E975" i="7"/>
  <c r="D976" i="7"/>
  <c r="E976" i="7"/>
  <c r="D977" i="7"/>
  <c r="E977" i="7"/>
  <c r="D978" i="7"/>
  <c r="E978" i="7"/>
  <c r="D979" i="7"/>
  <c r="E979" i="7"/>
  <c r="D980" i="7"/>
  <c r="E980" i="7"/>
  <c r="D981" i="7"/>
  <c r="E981" i="7"/>
  <c r="D982" i="7"/>
  <c r="E982" i="7"/>
  <c r="D983" i="7"/>
  <c r="E983" i="7"/>
  <c r="D984" i="7"/>
  <c r="E984" i="7"/>
  <c r="D985" i="7"/>
  <c r="E985" i="7"/>
  <c r="D986" i="7"/>
  <c r="E986" i="7"/>
  <c r="D987" i="7"/>
  <c r="E987" i="7"/>
  <c r="D988" i="7"/>
  <c r="E988" i="7"/>
  <c r="D989" i="7"/>
  <c r="E989" i="7"/>
  <c r="D990" i="7"/>
  <c r="E990" i="7"/>
  <c r="D991" i="7"/>
  <c r="E991" i="7"/>
  <c r="D992" i="7"/>
  <c r="E992" i="7"/>
  <c r="D993" i="7"/>
  <c r="E993" i="7"/>
  <c r="D994" i="7"/>
  <c r="E994" i="7"/>
  <c r="D995" i="7"/>
  <c r="E995" i="7"/>
  <c r="D996" i="7"/>
  <c r="E996" i="7"/>
  <c r="D997" i="7"/>
  <c r="E997" i="7"/>
  <c r="D998" i="7"/>
  <c r="E998" i="7"/>
  <c r="D999" i="7"/>
  <c r="E999" i="7"/>
  <c r="D1000" i="7"/>
  <c r="E1000" i="7"/>
  <c r="D1001" i="7"/>
  <c r="E1001" i="7"/>
  <c r="D1002" i="7"/>
  <c r="E1002" i="7"/>
  <c r="D1003" i="7"/>
  <c r="E1003" i="7"/>
  <c r="D1004" i="7"/>
  <c r="E1004" i="7"/>
  <c r="D1005" i="7"/>
  <c r="E1005" i="7"/>
  <c r="D1006" i="7"/>
  <c r="E1006" i="7"/>
  <c r="D1007" i="7"/>
  <c r="E1007" i="7"/>
  <c r="D1008" i="7"/>
  <c r="E1008" i="7"/>
  <c r="D1009" i="7"/>
  <c r="E1009" i="7"/>
  <c r="D1010" i="7"/>
  <c r="E1010" i="7"/>
  <c r="D1011" i="7"/>
  <c r="E1011" i="7"/>
  <c r="D1012" i="7"/>
  <c r="E1012" i="7"/>
  <c r="D1013" i="7"/>
  <c r="E1013" i="7"/>
  <c r="D1014" i="7"/>
  <c r="E1014" i="7"/>
  <c r="D1015" i="7"/>
  <c r="E1015" i="7"/>
  <c r="D1016" i="7"/>
  <c r="E1016" i="7"/>
  <c r="D1017" i="7"/>
  <c r="E1017" i="7"/>
  <c r="D1018" i="7"/>
  <c r="E1018" i="7"/>
  <c r="D1019" i="7"/>
  <c r="E1019" i="7"/>
  <c r="D1020" i="7"/>
  <c r="E1020" i="7"/>
  <c r="D1021" i="7"/>
  <c r="E1021" i="7"/>
  <c r="D1022" i="7"/>
  <c r="E1022" i="7"/>
  <c r="D1023" i="7"/>
  <c r="E1023" i="7"/>
  <c r="D693" i="7"/>
  <c r="E693" i="7"/>
  <c r="D694" i="7"/>
  <c r="E694" i="7"/>
  <c r="D695" i="7"/>
  <c r="E695" i="7"/>
  <c r="D696" i="7"/>
  <c r="E696" i="7"/>
  <c r="D697" i="7"/>
  <c r="E697" i="7"/>
  <c r="D698" i="7"/>
  <c r="E698" i="7"/>
  <c r="D699" i="7"/>
  <c r="E699" i="7"/>
  <c r="D700" i="7"/>
  <c r="E700" i="7"/>
  <c r="D701" i="7"/>
  <c r="E701" i="7"/>
  <c r="D702" i="7"/>
  <c r="E702" i="7"/>
  <c r="D703" i="7"/>
  <c r="E703" i="7"/>
  <c r="D704" i="7"/>
  <c r="E704" i="7"/>
  <c r="D705" i="7"/>
  <c r="E705" i="7"/>
  <c r="D706" i="7"/>
  <c r="E706" i="7"/>
  <c r="D707" i="7"/>
  <c r="E707" i="7"/>
  <c r="D708" i="7"/>
  <c r="E708" i="7"/>
  <c r="D709" i="7"/>
  <c r="E709" i="7"/>
  <c r="D710" i="7"/>
  <c r="E710" i="7"/>
  <c r="D711" i="7"/>
  <c r="E711" i="7"/>
  <c r="D712" i="7"/>
  <c r="E712" i="7"/>
  <c r="D713" i="7"/>
  <c r="E713" i="7"/>
  <c r="D714" i="7"/>
  <c r="E714" i="7"/>
  <c r="D715" i="7"/>
  <c r="E715" i="7"/>
  <c r="D716" i="7"/>
  <c r="E716" i="7"/>
  <c r="D717" i="7"/>
  <c r="E717" i="7"/>
  <c r="D718" i="7"/>
  <c r="E718" i="7"/>
  <c r="D719" i="7"/>
  <c r="E719" i="7"/>
  <c r="D720" i="7"/>
  <c r="E720" i="7"/>
  <c r="D721" i="7"/>
  <c r="E721" i="7"/>
  <c r="D722" i="7"/>
  <c r="E722" i="7"/>
  <c r="D723" i="7"/>
  <c r="E723" i="7"/>
  <c r="D724" i="7"/>
  <c r="E724" i="7"/>
  <c r="D725" i="7"/>
  <c r="E725" i="7"/>
  <c r="D726" i="7"/>
  <c r="E726" i="7"/>
  <c r="D727" i="7"/>
  <c r="E727" i="7"/>
  <c r="D728" i="7"/>
  <c r="E728" i="7"/>
  <c r="D729" i="7"/>
  <c r="E729" i="7"/>
  <c r="D730" i="7"/>
  <c r="E730" i="7"/>
  <c r="D731" i="7"/>
  <c r="E731" i="7"/>
  <c r="D732" i="7"/>
  <c r="E732" i="7"/>
  <c r="D733" i="7"/>
  <c r="E733" i="7"/>
  <c r="D734" i="7"/>
  <c r="E734" i="7"/>
  <c r="D735" i="7"/>
  <c r="E735" i="7"/>
  <c r="D736" i="7"/>
  <c r="E736" i="7"/>
  <c r="D737" i="7"/>
  <c r="E737" i="7"/>
  <c r="D738" i="7"/>
  <c r="E738" i="7"/>
  <c r="D739" i="7"/>
  <c r="E739" i="7"/>
  <c r="D740" i="7"/>
  <c r="E740" i="7"/>
  <c r="D741" i="7"/>
  <c r="E741" i="7"/>
  <c r="D742" i="7"/>
  <c r="E742" i="7"/>
  <c r="D743" i="7"/>
  <c r="E743" i="7"/>
  <c r="D744" i="7"/>
  <c r="E744" i="7"/>
  <c r="D745" i="7"/>
  <c r="E745" i="7"/>
  <c r="D746" i="7"/>
  <c r="E746" i="7"/>
  <c r="D747" i="7"/>
  <c r="E747" i="7"/>
  <c r="D748" i="7"/>
  <c r="E748" i="7"/>
  <c r="D749" i="7"/>
  <c r="E749" i="7"/>
  <c r="D750" i="7"/>
  <c r="E750" i="7"/>
  <c r="D751" i="7"/>
  <c r="E751" i="7"/>
  <c r="D752" i="7"/>
  <c r="E752" i="7"/>
  <c r="D753" i="7"/>
  <c r="E753" i="7"/>
  <c r="D754" i="7"/>
  <c r="E754" i="7"/>
  <c r="D755" i="7"/>
  <c r="E755" i="7"/>
  <c r="D756" i="7"/>
  <c r="E756" i="7"/>
  <c r="D757" i="7"/>
  <c r="E757" i="7"/>
  <c r="D758" i="7"/>
  <c r="E758" i="7"/>
  <c r="D759" i="7"/>
  <c r="E759" i="7"/>
  <c r="D760" i="7"/>
  <c r="E760" i="7"/>
  <c r="D761" i="7"/>
  <c r="E761" i="7"/>
  <c r="D762" i="7"/>
  <c r="E762" i="7"/>
  <c r="D763" i="7"/>
  <c r="E763" i="7"/>
  <c r="D764" i="7"/>
  <c r="E764" i="7"/>
  <c r="D765" i="7"/>
  <c r="E765" i="7"/>
  <c r="D766" i="7"/>
  <c r="E766" i="7"/>
  <c r="D767" i="7"/>
  <c r="E767" i="7"/>
  <c r="D768" i="7"/>
  <c r="E768" i="7"/>
  <c r="D769" i="7"/>
  <c r="E769" i="7"/>
  <c r="D770" i="7"/>
  <c r="E770" i="7"/>
  <c r="D771" i="7"/>
  <c r="E771" i="7"/>
  <c r="D772" i="7"/>
  <c r="E772" i="7"/>
  <c r="D773" i="7"/>
  <c r="E773" i="7"/>
  <c r="D774" i="7"/>
  <c r="E774" i="7"/>
  <c r="D775" i="7"/>
  <c r="E775" i="7"/>
  <c r="D776" i="7"/>
  <c r="E776" i="7"/>
  <c r="D777" i="7"/>
  <c r="E777" i="7"/>
  <c r="D778" i="7"/>
  <c r="E778" i="7"/>
  <c r="D779" i="7"/>
  <c r="E779" i="7"/>
  <c r="D780" i="7"/>
  <c r="E780" i="7"/>
  <c r="D781" i="7"/>
  <c r="E781" i="7"/>
  <c r="D782" i="7"/>
  <c r="E782" i="7"/>
  <c r="D783" i="7"/>
  <c r="E783" i="7"/>
  <c r="D784" i="7"/>
  <c r="E784" i="7"/>
  <c r="D785" i="7"/>
  <c r="E785" i="7"/>
  <c r="D786" i="7"/>
  <c r="E786" i="7"/>
  <c r="D787" i="7"/>
  <c r="E787" i="7"/>
  <c r="D788" i="7"/>
  <c r="E788" i="7"/>
  <c r="D789" i="7"/>
  <c r="E789" i="7"/>
  <c r="D790" i="7"/>
  <c r="E790" i="7"/>
  <c r="D791" i="7"/>
  <c r="E791" i="7"/>
  <c r="D792" i="7"/>
  <c r="E792" i="7"/>
  <c r="D793" i="7"/>
  <c r="E793" i="7"/>
  <c r="D794" i="7"/>
  <c r="E794" i="7"/>
  <c r="D795" i="7"/>
  <c r="E795" i="7"/>
  <c r="D796" i="7"/>
  <c r="E796" i="7"/>
  <c r="D797" i="7"/>
  <c r="E797" i="7"/>
  <c r="D798" i="7"/>
  <c r="E798" i="7"/>
  <c r="D799" i="7"/>
  <c r="E799" i="7"/>
  <c r="D800" i="7"/>
  <c r="E800" i="7"/>
  <c r="D801" i="7"/>
  <c r="E801" i="7"/>
  <c r="D802" i="7"/>
  <c r="E802" i="7"/>
  <c r="D803" i="7"/>
  <c r="E803" i="7"/>
  <c r="D804" i="7"/>
  <c r="E804" i="7"/>
  <c r="D805" i="7"/>
  <c r="E805" i="7"/>
  <c r="D806" i="7"/>
  <c r="E806" i="7"/>
  <c r="D807" i="7"/>
  <c r="E807" i="7"/>
  <c r="D808" i="7"/>
  <c r="E808" i="7"/>
  <c r="D809" i="7"/>
  <c r="E809" i="7"/>
  <c r="D810" i="7"/>
  <c r="E810" i="7"/>
  <c r="D811" i="7"/>
  <c r="E811" i="7"/>
  <c r="D812" i="7"/>
  <c r="E812" i="7"/>
  <c r="D813" i="7"/>
  <c r="E813" i="7"/>
  <c r="D814" i="7"/>
  <c r="E814" i="7"/>
  <c r="D815" i="7"/>
  <c r="E815" i="7"/>
  <c r="D816" i="7"/>
  <c r="E816" i="7"/>
  <c r="D817" i="7"/>
  <c r="E817" i="7"/>
  <c r="D818" i="7"/>
  <c r="E818" i="7"/>
  <c r="D819" i="7"/>
  <c r="E819" i="7"/>
  <c r="D820" i="7"/>
  <c r="E820" i="7"/>
  <c r="D821" i="7"/>
  <c r="E821" i="7"/>
  <c r="D822" i="7"/>
  <c r="E822" i="7"/>
  <c r="D823" i="7"/>
  <c r="E823" i="7"/>
  <c r="D824" i="7"/>
  <c r="E824" i="7"/>
  <c r="D825" i="7"/>
  <c r="E825" i="7"/>
  <c r="D826" i="7"/>
  <c r="E826" i="7"/>
  <c r="D827" i="7"/>
  <c r="E827" i="7"/>
  <c r="D828" i="7"/>
  <c r="E828" i="7"/>
  <c r="D829" i="7"/>
  <c r="E829" i="7"/>
  <c r="D830" i="7"/>
  <c r="E830" i="7"/>
  <c r="D831" i="7"/>
  <c r="E831" i="7"/>
  <c r="D832" i="7"/>
  <c r="E832" i="7"/>
  <c r="D833" i="7"/>
  <c r="E833" i="7"/>
  <c r="D834" i="7"/>
  <c r="E834" i="7"/>
  <c r="D835" i="7"/>
  <c r="E835" i="7"/>
  <c r="D836" i="7"/>
  <c r="E836" i="7"/>
  <c r="D837" i="7"/>
  <c r="E837" i="7"/>
  <c r="D838" i="7"/>
  <c r="E838" i="7"/>
  <c r="D839" i="7"/>
  <c r="E839" i="7"/>
  <c r="D840" i="7"/>
  <c r="E840" i="7"/>
  <c r="D841" i="7"/>
  <c r="E841" i="7"/>
  <c r="D842" i="7"/>
  <c r="E842" i="7"/>
  <c r="D843" i="7"/>
  <c r="E843" i="7"/>
  <c r="D844" i="7"/>
  <c r="E844" i="7"/>
  <c r="D845" i="7"/>
  <c r="E845" i="7"/>
  <c r="D846" i="7"/>
  <c r="E846" i="7"/>
  <c r="D847" i="7"/>
  <c r="E847" i="7"/>
  <c r="D848" i="7"/>
  <c r="E848" i="7"/>
  <c r="D849" i="7"/>
  <c r="E849" i="7"/>
  <c r="D850" i="7"/>
  <c r="E850" i="7"/>
  <c r="D851" i="7"/>
  <c r="E851" i="7"/>
  <c r="D852" i="7"/>
  <c r="E852" i="7"/>
  <c r="D853" i="7"/>
  <c r="E853" i="7"/>
  <c r="D854" i="7"/>
  <c r="E854" i="7"/>
  <c r="D855" i="7"/>
  <c r="E855" i="7"/>
  <c r="D856" i="7"/>
  <c r="E856" i="7"/>
  <c r="D857" i="7"/>
  <c r="E857" i="7"/>
  <c r="D858" i="7"/>
  <c r="E858" i="7"/>
  <c r="D859" i="7"/>
  <c r="E859" i="7"/>
  <c r="D860" i="7"/>
  <c r="E860" i="7"/>
  <c r="D861" i="7"/>
  <c r="E861" i="7"/>
  <c r="D862" i="7"/>
  <c r="E862" i="7"/>
  <c r="D863" i="7"/>
  <c r="E863" i="7"/>
  <c r="D864" i="7"/>
  <c r="E864" i="7"/>
  <c r="D865" i="7"/>
  <c r="E865" i="7"/>
  <c r="D866" i="7"/>
  <c r="E866" i="7"/>
  <c r="D867" i="7"/>
  <c r="E867" i="7"/>
  <c r="D868" i="7"/>
  <c r="E868" i="7"/>
  <c r="D869" i="7"/>
  <c r="E869" i="7"/>
  <c r="D870" i="7"/>
  <c r="E870" i="7"/>
  <c r="D871" i="7"/>
  <c r="E871" i="7"/>
  <c r="D872" i="7"/>
  <c r="E872" i="7"/>
  <c r="D873" i="7"/>
  <c r="E873" i="7"/>
  <c r="D874" i="7"/>
  <c r="E874" i="7"/>
  <c r="D875" i="7"/>
  <c r="E875" i="7"/>
  <c r="D877" i="7"/>
  <c r="E877" i="7"/>
  <c r="D878" i="7"/>
  <c r="E878" i="7"/>
  <c r="D879" i="7"/>
  <c r="E879" i="7"/>
  <c r="D880" i="7"/>
  <c r="E880" i="7"/>
  <c r="D881" i="7"/>
  <c r="E881" i="7"/>
  <c r="D882" i="7"/>
  <c r="E882" i="7"/>
  <c r="D883" i="7"/>
  <c r="E883" i="7"/>
  <c r="D884" i="7"/>
  <c r="E884" i="7"/>
  <c r="D885" i="7"/>
  <c r="E885" i="7"/>
  <c r="D886" i="7"/>
  <c r="E886" i="7"/>
  <c r="D887" i="7"/>
  <c r="E887" i="7"/>
  <c r="D888" i="7"/>
  <c r="E888" i="7"/>
  <c r="D889" i="7"/>
  <c r="E889" i="7"/>
  <c r="D890" i="7"/>
  <c r="E890" i="7"/>
  <c r="D891" i="7"/>
  <c r="E891" i="7"/>
  <c r="D892" i="7"/>
  <c r="E892" i="7"/>
  <c r="D893" i="7"/>
  <c r="E893" i="7"/>
  <c r="D894" i="7"/>
  <c r="E894" i="7"/>
  <c r="D895" i="7"/>
  <c r="E895" i="7"/>
  <c r="D896" i="7"/>
  <c r="E896" i="7"/>
  <c r="D897" i="7"/>
  <c r="E897" i="7"/>
  <c r="D898" i="7"/>
  <c r="E898" i="7"/>
  <c r="D899" i="7"/>
  <c r="E899" i="7"/>
  <c r="D900" i="7"/>
  <c r="E900" i="7"/>
  <c r="D901" i="7"/>
  <c r="E901" i="7"/>
  <c r="D902" i="7"/>
  <c r="E902" i="7"/>
  <c r="D903" i="7"/>
  <c r="E903" i="7"/>
  <c r="D904" i="7"/>
  <c r="E904" i="7"/>
  <c r="D905" i="7"/>
  <c r="E905" i="7"/>
  <c r="D906" i="7"/>
  <c r="E906" i="7"/>
  <c r="D907" i="7"/>
  <c r="E907" i="7"/>
  <c r="D908" i="7"/>
  <c r="E908" i="7"/>
  <c r="D909" i="7"/>
  <c r="E909" i="7"/>
  <c r="D910" i="7"/>
  <c r="E910" i="7"/>
  <c r="D911" i="7"/>
  <c r="E911" i="7"/>
  <c r="D912" i="7"/>
  <c r="E912" i="7"/>
  <c r="D913" i="7"/>
  <c r="E913" i="7"/>
  <c r="D914" i="7"/>
  <c r="E914" i="7"/>
  <c r="D915" i="7"/>
  <c r="E915" i="7"/>
  <c r="D917" i="7"/>
  <c r="E917" i="7"/>
  <c r="D918" i="7"/>
  <c r="E918" i="7"/>
  <c r="D919" i="7"/>
  <c r="E919" i="7"/>
  <c r="D920" i="7"/>
  <c r="E920" i="7"/>
  <c r="D921" i="7"/>
  <c r="E921" i="7"/>
  <c r="D922" i="7"/>
  <c r="E922" i="7"/>
  <c r="D923" i="7"/>
  <c r="E923" i="7"/>
  <c r="D924" i="7"/>
  <c r="E924" i="7"/>
  <c r="D925" i="7"/>
  <c r="E925" i="7"/>
  <c r="D926" i="7"/>
  <c r="E926" i="7"/>
  <c r="D927" i="7"/>
  <c r="E927" i="7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D11" i="14"/>
  <c r="S11" i="14"/>
  <c r="T11" i="14"/>
  <c r="U11" i="14"/>
  <c r="N913" i="7"/>
  <c r="M913" i="7"/>
  <c r="N912" i="7"/>
  <c r="J157" i="3"/>
  <c r="J72" i="4"/>
  <c r="I78" i="4"/>
  <c r="I79" i="4"/>
  <c r="J79" i="4"/>
  <c r="N909" i="7"/>
  <c r="N910" i="7"/>
  <c r="N911" i="7"/>
  <c r="M909" i="7"/>
  <c r="M910" i="7"/>
  <c r="M911" i="7"/>
  <c r="M912" i="7"/>
  <c r="J78" i="4"/>
  <c r="J77" i="4"/>
  <c r="N905" i="7"/>
  <c r="N906" i="7"/>
  <c r="N907" i="7"/>
  <c r="N908" i="7"/>
  <c r="M905" i="7"/>
  <c r="M906" i="7"/>
  <c r="M907" i="7"/>
  <c r="M908" i="7"/>
  <c r="M904" i="7"/>
  <c r="N904" i="7"/>
  <c r="M903" i="7"/>
  <c r="N903" i="7"/>
  <c r="M901" i="7"/>
  <c r="N901" i="7"/>
  <c r="M902" i="7"/>
  <c r="N902" i="7"/>
  <c r="N899" i="7"/>
  <c r="N900" i="7"/>
  <c r="M899" i="7"/>
  <c r="M900" i="7"/>
  <c r="N896" i="7"/>
  <c r="N897" i="7"/>
  <c r="N898" i="7"/>
  <c r="M898" i="7"/>
  <c r="I75" i="4"/>
  <c r="J74" i="4"/>
  <c r="J75" i="4"/>
  <c r="I74" i="4"/>
  <c r="N894" i="7"/>
  <c r="N895" i="7"/>
  <c r="M896" i="7"/>
  <c r="M897" i="7"/>
  <c r="K896" i="7"/>
  <c r="N893" i="7"/>
  <c r="M895" i="7"/>
  <c r="K895" i="7"/>
  <c r="M894" i="7"/>
  <c r="K894" i="7"/>
  <c r="M893" i="7"/>
  <c r="K893" i="7"/>
  <c r="K892" i="7"/>
  <c r="M892" i="7"/>
  <c r="N892" i="7"/>
  <c r="M887" i="7"/>
  <c r="M888" i="7"/>
  <c r="M889" i="7"/>
  <c r="M890" i="7"/>
  <c r="M891" i="7"/>
  <c r="N891" i="7"/>
  <c r="K891" i="7"/>
  <c r="K890" i="7"/>
  <c r="N888" i="7"/>
  <c r="N889" i="7"/>
  <c r="N890" i="7"/>
  <c r="K889" i="7"/>
  <c r="K888" i="7"/>
  <c r="K887" i="7"/>
  <c r="N887" i="7"/>
  <c r="J73" i="4"/>
  <c r="I73" i="4"/>
  <c r="N873" i="7"/>
  <c r="I72" i="4"/>
  <c r="K885" i="7"/>
  <c r="K886" i="7"/>
  <c r="M886" i="7"/>
  <c r="N886" i="7"/>
  <c r="I71" i="4"/>
  <c r="J70" i="4"/>
  <c r="I70" i="4"/>
  <c r="J69" i="4"/>
  <c r="I69" i="4"/>
  <c r="M878" i="7"/>
  <c r="N878" i="7"/>
  <c r="M877" i="7"/>
  <c r="M875" i="7"/>
  <c r="N875" i="7"/>
  <c r="M874" i="7"/>
  <c r="N874" i="7"/>
  <c r="M873" i="7"/>
  <c r="M870" i="7"/>
  <c r="N870" i="7"/>
  <c r="K871" i="7"/>
  <c r="M871" i="7"/>
  <c r="N871" i="7"/>
  <c r="M872" i="7"/>
  <c r="N872" i="7"/>
  <c r="K872" i="7"/>
  <c r="N869" i="7"/>
  <c r="M869" i="7"/>
  <c r="K869" i="7"/>
  <c r="M867" i="7"/>
  <c r="N867" i="7"/>
  <c r="M868" i="7"/>
  <c r="N868" i="7"/>
  <c r="K866" i="7"/>
  <c r="K868" i="7"/>
  <c r="K867" i="7"/>
  <c r="I156" i="3"/>
  <c r="J156" i="3"/>
  <c r="J68" i="4"/>
  <c r="I68" i="4"/>
  <c r="K863" i="7"/>
  <c r="K864" i="7"/>
  <c r="K865" i="7"/>
  <c r="M865" i="7"/>
  <c r="N865" i="7"/>
  <c r="J67" i="4"/>
  <c r="I67" i="4"/>
  <c r="M864" i="7"/>
  <c r="N864" i="7"/>
  <c r="M863" i="7"/>
  <c r="N863" i="7"/>
  <c r="N862" i="7"/>
  <c r="M862" i="7"/>
  <c r="K862" i="7"/>
  <c r="M861" i="7"/>
  <c r="N861" i="7"/>
  <c r="K858" i="7"/>
  <c r="K860" i="7"/>
  <c r="K861" i="7"/>
  <c r="N860" i="7"/>
  <c r="M860" i="7"/>
  <c r="N858" i="7"/>
  <c r="M858" i="7"/>
  <c r="M857" i="7"/>
  <c r="N857" i="7"/>
  <c r="K879" i="7"/>
  <c r="K880" i="7"/>
  <c r="K854" i="7"/>
  <c r="K855" i="7"/>
  <c r="K881" i="7"/>
  <c r="K882" i="7"/>
  <c r="K883" i="7"/>
  <c r="K859" i="7"/>
  <c r="K884" i="7"/>
  <c r="K857" i="7"/>
  <c r="I155" i="3"/>
  <c r="J155" i="3"/>
  <c r="J66" i="4"/>
  <c r="I66" i="4"/>
  <c r="N885" i="7"/>
  <c r="N884" i="7"/>
  <c r="M885" i="7"/>
  <c r="M884" i="7"/>
  <c r="N881" i="7"/>
  <c r="M881" i="7"/>
  <c r="J65" i="4"/>
  <c r="I65" i="4"/>
  <c r="N859" i="7"/>
  <c r="M859" i="7"/>
  <c r="N883" i="7"/>
  <c r="M882" i="7"/>
  <c r="N882" i="7"/>
  <c r="M883" i="7"/>
  <c r="N855" i="7"/>
  <c r="M855" i="7"/>
  <c r="N879" i="7"/>
  <c r="N880" i="7"/>
  <c r="N854" i="7"/>
  <c r="M880" i="7"/>
  <c r="M879" i="7"/>
  <c r="N847" i="7"/>
  <c r="M847" i="7"/>
  <c r="K847" i="7"/>
  <c r="J64" i="4"/>
  <c r="I64" i="4"/>
  <c r="K835" i="7"/>
  <c r="K856" i="7"/>
  <c r="M856" i="7"/>
  <c r="N856" i="7"/>
  <c r="M852" i="7"/>
  <c r="N852" i="7"/>
  <c r="K852" i="7"/>
  <c r="M853" i="7"/>
  <c r="N853" i="7"/>
  <c r="K853" i="7"/>
  <c r="M849" i="7"/>
  <c r="N849" i="7"/>
  <c r="M848" i="7"/>
  <c r="N848" i="7"/>
  <c r="K849" i="7"/>
  <c r="K848" i="7"/>
  <c r="N851" i="7"/>
  <c r="M851" i="7"/>
  <c r="K851" i="7"/>
  <c r="K850" i="7"/>
  <c r="K843" i="7"/>
  <c r="M844" i="7"/>
  <c r="K844" i="7"/>
  <c r="M850" i="7"/>
  <c r="N850" i="7"/>
  <c r="N843" i="7"/>
  <c r="M843" i="7"/>
  <c r="M842" i="7"/>
  <c r="N842" i="7"/>
  <c r="K842" i="7"/>
  <c r="M845" i="7"/>
  <c r="N845" i="7"/>
  <c r="M846" i="7"/>
  <c r="N846" i="7"/>
  <c r="K846" i="7"/>
  <c r="K845" i="7"/>
  <c r="N834" i="7"/>
  <c r="N841" i="7"/>
  <c r="M841" i="7"/>
  <c r="M840" i="7"/>
  <c r="N840" i="7"/>
  <c r="K833" i="7"/>
  <c r="K836" i="7"/>
  <c r="K837" i="7"/>
  <c r="K838" i="7"/>
  <c r="K839" i="7"/>
  <c r="K834" i="7"/>
  <c r="K840" i="7"/>
  <c r="K841" i="7"/>
  <c r="N832" i="7"/>
  <c r="N824" i="7"/>
  <c r="J63" i="4"/>
  <c r="I63" i="4"/>
  <c r="J149" i="3"/>
  <c r="M833" i="7"/>
  <c r="N833" i="7"/>
  <c r="J62" i="4"/>
  <c r="I62" i="4"/>
  <c r="M834" i="7"/>
  <c r="N839" i="7"/>
  <c r="M839" i="7"/>
  <c r="N838" i="7"/>
  <c r="M838" i="7"/>
  <c r="N837" i="7"/>
  <c r="M837" i="7"/>
  <c r="K832" i="7"/>
  <c r="K831" i="7"/>
  <c r="K830" i="7"/>
  <c r="M832" i="7"/>
  <c r="N829" i="7"/>
  <c r="N830" i="7"/>
  <c r="N831" i="7"/>
  <c r="M828" i="7"/>
  <c r="M829" i="7"/>
  <c r="M830" i="7"/>
  <c r="M831" i="7"/>
  <c r="E684" i="7"/>
  <c r="D684" i="7"/>
  <c r="E678" i="7"/>
  <c r="D678" i="7"/>
  <c r="E692" i="7"/>
  <c r="D692" i="7"/>
  <c r="K829" i="7"/>
  <c r="N827" i="7"/>
  <c r="M827" i="7"/>
  <c r="K827" i="7"/>
  <c r="K824" i="7"/>
  <c r="K823" i="7"/>
  <c r="J61" i="4"/>
  <c r="I61" i="4"/>
  <c r="I151" i="3"/>
  <c r="J151" i="3"/>
  <c r="M826" i="7"/>
  <c r="N826" i="7"/>
  <c r="M823" i="7"/>
  <c r="N823" i="7"/>
  <c r="M824" i="7"/>
  <c r="K814" i="7"/>
  <c r="K816" i="7"/>
  <c r="K820" i="7"/>
  <c r="K818" i="7"/>
  <c r="K821" i="7"/>
  <c r="K825" i="7"/>
  <c r="K822" i="7"/>
  <c r="K826" i="7"/>
  <c r="K828" i="7"/>
  <c r="J154" i="3"/>
  <c r="I154" i="3"/>
  <c r="I148" i="3"/>
  <c r="M825" i="7"/>
  <c r="N825" i="7"/>
  <c r="M822" i="7"/>
  <c r="N822" i="7"/>
  <c r="M654" i="7"/>
  <c r="N654" i="7"/>
  <c r="J60" i="4"/>
  <c r="I60" i="4"/>
  <c r="D654" i="7"/>
  <c r="E654" i="7"/>
  <c r="N818" i="7"/>
  <c r="N821" i="7"/>
  <c r="M818" i="7"/>
  <c r="M821" i="7"/>
  <c r="M820" i="7"/>
  <c r="N820" i="7"/>
  <c r="J54" i="4"/>
  <c r="M813" i="7"/>
  <c r="M815" i="7"/>
  <c r="M814" i="7"/>
  <c r="M816" i="7"/>
  <c r="N816" i="7"/>
  <c r="K813" i="7"/>
  <c r="K815" i="7"/>
  <c r="W801" i="7"/>
  <c r="K812" i="7"/>
  <c r="K809" i="7"/>
  <c r="J147" i="3"/>
  <c r="I147" i="3"/>
  <c r="N812" i="7"/>
  <c r="M812" i="7"/>
  <c r="M810" i="7"/>
  <c r="N810" i="7"/>
  <c r="M808" i="7"/>
  <c r="N808" i="7"/>
  <c r="K805" i="7"/>
  <c r="K807" i="7"/>
  <c r="K806" i="7"/>
  <c r="K808" i="7"/>
  <c r="K810" i="7"/>
  <c r="M806" i="7"/>
  <c r="N806" i="7"/>
  <c r="N807" i="7"/>
  <c r="M807" i="7"/>
  <c r="K804" i="7"/>
  <c r="M805" i="7"/>
  <c r="N805" i="7"/>
  <c r="J59" i="4"/>
  <c r="I59" i="4"/>
  <c r="N804" i="7"/>
  <c r="M804" i="7"/>
  <c r="M802" i="7"/>
  <c r="N802" i="7"/>
  <c r="K802" i="7"/>
  <c r="K803" i="7"/>
  <c r="J52" i="4"/>
  <c r="J56" i="4"/>
  <c r="I56" i="4"/>
  <c r="I53" i="4"/>
  <c r="J53" i="4"/>
  <c r="N799" i="7"/>
  <c r="N803" i="7"/>
  <c r="N809" i="7"/>
  <c r="N813" i="7"/>
  <c r="N815" i="7"/>
  <c r="N814" i="7"/>
  <c r="M799" i="7"/>
  <c r="M803" i="7"/>
  <c r="M809" i="7"/>
  <c r="K799" i="7"/>
  <c r="M801" i="7"/>
  <c r="N801" i="7"/>
  <c r="K801" i="7"/>
  <c r="K811" i="7"/>
  <c r="K798" i="7"/>
  <c r="N798" i="7"/>
  <c r="M798" i="7"/>
  <c r="M811" i="7"/>
  <c r="M797" i="7"/>
  <c r="N797" i="7"/>
  <c r="K797" i="7"/>
  <c r="D690" i="7"/>
  <c r="E690" i="7"/>
  <c r="N795" i="7"/>
  <c r="N819" i="7"/>
  <c r="M795" i="7"/>
  <c r="M819" i="7"/>
  <c r="K819" i="7"/>
  <c r="K795" i="7"/>
  <c r="N794" i="7"/>
  <c r="M794" i="7"/>
  <c r="K794" i="7"/>
  <c r="I55" i="4"/>
  <c r="J55" i="4"/>
  <c r="K793" i="7"/>
  <c r="M793" i="7"/>
  <c r="N793" i="7"/>
  <c r="I54" i="4"/>
  <c r="N791" i="7"/>
  <c r="M791" i="7"/>
  <c r="K791" i="7"/>
  <c r="M792" i="7"/>
  <c r="N792" i="7"/>
  <c r="K792" i="7"/>
  <c r="K787" i="7"/>
  <c r="K788" i="7"/>
  <c r="K789" i="7"/>
  <c r="K790" i="7"/>
  <c r="M787" i="7"/>
  <c r="M788" i="7"/>
  <c r="M789" i="7"/>
  <c r="M790" i="7"/>
  <c r="N788" i="7"/>
  <c r="N789" i="7"/>
  <c r="N790" i="7"/>
  <c r="I146" i="3"/>
  <c r="J146" i="3"/>
  <c r="N787" i="7"/>
  <c r="N786" i="7"/>
  <c r="N817" i="7"/>
  <c r="N796" i="7"/>
  <c r="M786" i="7"/>
  <c r="K786" i="7"/>
  <c r="I52" i="4"/>
  <c r="M817" i="7"/>
  <c r="K817" i="7"/>
  <c r="K784" i="7"/>
  <c r="M784" i="7"/>
  <c r="N784" i="7"/>
  <c r="M796" i="7"/>
  <c r="K796" i="7"/>
  <c r="K782" i="7"/>
  <c r="N782" i="7"/>
  <c r="N692" i="7"/>
  <c r="N682" i="7"/>
  <c r="N658" i="7"/>
  <c r="N652" i="7"/>
  <c r="J51" i="4"/>
  <c r="I51" i="4"/>
  <c r="N773" i="7"/>
  <c r="I145" i="3"/>
  <c r="J145" i="3"/>
  <c r="S150" i="3"/>
  <c r="M779" i="7"/>
  <c r="M781" i="7"/>
  <c r="M780" i="7"/>
  <c r="N780" i="7"/>
  <c r="K780" i="7"/>
  <c r="N781" i="7"/>
  <c r="K779" i="7"/>
  <c r="K781" i="7"/>
  <c r="I50" i="4"/>
  <c r="N779" i="7"/>
  <c r="J49" i="4"/>
  <c r="I49" i="4"/>
  <c r="N776" i="7"/>
  <c r="M776" i="7"/>
  <c r="K776" i="7"/>
  <c r="N785" i="7"/>
  <c r="M785" i="7"/>
  <c r="K785" i="7"/>
  <c r="M777" i="7"/>
  <c r="N777" i="7"/>
  <c r="K777" i="7"/>
  <c r="J48" i="4"/>
  <c r="I48" i="4"/>
  <c r="I150" i="3"/>
  <c r="J150" i="3"/>
  <c r="J47" i="4"/>
  <c r="I47" i="4"/>
  <c r="J144" i="3"/>
  <c r="I144" i="3"/>
  <c r="K783" i="7"/>
  <c r="M783" i="7"/>
  <c r="N783" i="7"/>
  <c r="J46" i="4"/>
  <c r="I46" i="4"/>
  <c r="J45" i="4"/>
  <c r="I45" i="4"/>
  <c r="M774" i="7"/>
  <c r="N774" i="7"/>
  <c r="K771" i="7"/>
  <c r="K773" i="7"/>
  <c r="K774" i="7"/>
  <c r="M773" i="7"/>
  <c r="J143" i="3"/>
  <c r="I143" i="3"/>
  <c r="N771" i="7"/>
  <c r="M771" i="7"/>
  <c r="M770" i="7"/>
  <c r="N770" i="7"/>
  <c r="M769" i="7"/>
  <c r="N769" i="7"/>
  <c r="M772" i="7"/>
  <c r="N772" i="7"/>
  <c r="K770" i="7"/>
  <c r="K769" i="7"/>
  <c r="K772" i="7"/>
  <c r="M767" i="7"/>
  <c r="N767" i="7"/>
  <c r="K767" i="7"/>
  <c r="M768" i="7"/>
  <c r="N768" i="7"/>
  <c r="K768" i="7"/>
  <c r="K762" i="7"/>
  <c r="N762" i="7"/>
  <c r="M762" i="7"/>
  <c r="K764" i="7"/>
  <c r="N764" i="7"/>
  <c r="M764" i="7"/>
  <c r="M778" i="7"/>
  <c r="N778" i="7"/>
  <c r="K778" i="7"/>
  <c r="M763" i="7"/>
  <c r="N763" i="7"/>
  <c r="K763" i="7"/>
  <c r="K766" i="7"/>
  <c r="M766" i="7"/>
  <c r="N766" i="7"/>
  <c r="M765" i="7"/>
  <c r="N765" i="7"/>
  <c r="M759" i="7"/>
  <c r="N759" i="7"/>
  <c r="M775" i="7"/>
  <c r="N775" i="7"/>
  <c r="K775" i="7"/>
  <c r="K759" i="7"/>
  <c r="K765" i="7"/>
  <c r="M757" i="7"/>
  <c r="N757" i="7"/>
  <c r="K757" i="7"/>
  <c r="M758" i="7"/>
  <c r="N758" i="7"/>
  <c r="M755" i="7"/>
  <c r="N755" i="7"/>
  <c r="K755" i="7"/>
  <c r="M753" i="7"/>
  <c r="N753" i="7"/>
  <c r="M754" i="7"/>
  <c r="N754" i="7"/>
  <c r="M756" i="7"/>
  <c r="N756" i="7"/>
  <c r="K756" i="7"/>
  <c r="N750" i="7"/>
  <c r="N751" i="7"/>
  <c r="N752" i="7"/>
  <c r="K754" i="7"/>
  <c r="K753" i="7"/>
  <c r="M752" i="7"/>
  <c r="K752" i="7"/>
  <c r="J44" i="4"/>
  <c r="I44" i="4"/>
  <c r="M751" i="7"/>
  <c r="K751" i="7"/>
  <c r="M750" i="7"/>
  <c r="K750" i="7"/>
  <c r="M761" i="7"/>
  <c r="N761" i="7"/>
  <c r="K761" i="7"/>
  <c r="I43" i="4"/>
  <c r="J10" i="13"/>
  <c r="I10" i="13"/>
  <c r="J9" i="13"/>
  <c r="I9" i="13"/>
  <c r="J8" i="13"/>
  <c r="I8" i="13"/>
  <c r="J7" i="13"/>
  <c r="I7" i="13"/>
  <c r="J6" i="13"/>
  <c r="I6" i="13"/>
  <c r="J5" i="13"/>
  <c r="I5" i="13"/>
  <c r="J4" i="13"/>
  <c r="I4" i="13"/>
  <c r="M746" i="7"/>
  <c r="N746" i="7"/>
  <c r="K748" i="7"/>
  <c r="K746" i="7"/>
  <c r="M747" i="7"/>
  <c r="N747" i="7"/>
  <c r="M748" i="7"/>
  <c r="N748" i="7"/>
  <c r="M743" i="7"/>
  <c r="N743" i="7"/>
  <c r="M744" i="7"/>
  <c r="N744" i="7"/>
  <c r="M745" i="7"/>
  <c r="N745" i="7"/>
  <c r="K747" i="7"/>
  <c r="K744" i="7"/>
  <c r="K745" i="7"/>
  <c r="K749" i="7"/>
  <c r="K760" i="7"/>
  <c r="K743" i="7"/>
  <c r="K737" i="7"/>
  <c r="M739" i="7"/>
  <c r="N739" i="7"/>
  <c r="M741" i="7"/>
  <c r="N741" i="7"/>
  <c r="M737" i="7"/>
  <c r="N737" i="7"/>
  <c r="M749" i="7"/>
  <c r="N749" i="7"/>
  <c r="M760" i="7"/>
  <c r="N760" i="7"/>
  <c r="K738" i="7"/>
  <c r="K739" i="7"/>
  <c r="K741" i="7"/>
  <c r="J39" i="4"/>
  <c r="J40" i="4"/>
  <c r="J41" i="4"/>
  <c r="I39" i="4"/>
  <c r="I40" i="4"/>
  <c r="I41" i="4"/>
  <c r="I42" i="4"/>
  <c r="M736" i="7"/>
  <c r="N736" i="7"/>
  <c r="M738" i="7"/>
  <c r="N738" i="7"/>
  <c r="J38" i="4"/>
  <c r="I38" i="4"/>
  <c r="K735" i="7"/>
  <c r="K732" i="7"/>
  <c r="K734" i="7"/>
  <c r="K736" i="7"/>
  <c r="M742" i="7"/>
  <c r="N742" i="7"/>
  <c r="M735" i="7"/>
  <c r="N735" i="7"/>
  <c r="M732" i="7"/>
  <c r="N732" i="7"/>
  <c r="M734" i="7"/>
  <c r="N734" i="7"/>
  <c r="K742" i="7"/>
  <c r="J142" i="3"/>
  <c r="M740" i="7"/>
  <c r="N740" i="7"/>
  <c r="J37" i="4"/>
  <c r="I37" i="4"/>
  <c r="M727" i="7"/>
  <c r="N727" i="7"/>
  <c r="M728" i="7"/>
  <c r="N728" i="7"/>
  <c r="M729" i="7"/>
  <c r="N729" i="7"/>
  <c r="J36" i="4"/>
  <c r="I36" i="4"/>
  <c r="K725" i="7"/>
  <c r="K726" i="7"/>
  <c r="K727" i="7"/>
  <c r="K728" i="7"/>
  <c r="K729" i="7"/>
  <c r="K740" i="7"/>
  <c r="N726" i="7"/>
  <c r="M726" i="7"/>
  <c r="J138" i="3"/>
  <c r="J139" i="3"/>
  <c r="J140" i="3"/>
  <c r="J141" i="3"/>
  <c r="I141" i="3"/>
  <c r="I140" i="3"/>
  <c r="M721" i="7"/>
  <c r="M725" i="7"/>
  <c r="N725" i="7"/>
  <c r="K718" i="7"/>
  <c r="K716" i="7"/>
  <c r="K720" i="7"/>
  <c r="K722" i="7"/>
  <c r="K723" i="7"/>
  <c r="K724" i="7"/>
  <c r="K721" i="7"/>
  <c r="I139" i="3"/>
  <c r="J35" i="4"/>
  <c r="I35" i="4"/>
  <c r="N724" i="7"/>
  <c r="M724" i="7"/>
  <c r="J34" i="4"/>
  <c r="N716" i="7"/>
  <c r="I34" i="4"/>
  <c r="K712" i="7"/>
  <c r="K714" i="7"/>
  <c r="K715" i="7"/>
  <c r="K713" i="7"/>
  <c r="K717" i="7"/>
  <c r="K719" i="7"/>
  <c r="K711" i="7"/>
  <c r="J33" i="4"/>
  <c r="I33" i="4"/>
  <c r="N704" i="7"/>
  <c r="N706" i="7"/>
  <c r="M706" i="7"/>
  <c r="N707" i="7"/>
  <c r="M707" i="7"/>
  <c r="M704" i="7"/>
  <c r="K706" i="7"/>
  <c r="K708" i="7"/>
  <c r="K710" i="7"/>
  <c r="K709" i="7"/>
  <c r="J30" i="4"/>
  <c r="J32" i="4"/>
  <c r="I32" i="4"/>
  <c r="I30" i="4"/>
  <c r="N675" i="7"/>
  <c r="K704" i="7"/>
  <c r="K703" i="7"/>
  <c r="K705" i="7"/>
  <c r="K707" i="7"/>
  <c r="K669" i="7"/>
  <c r="K653" i="7"/>
  <c r="K655" i="7"/>
  <c r="K656" i="7"/>
  <c r="K657" i="7"/>
  <c r="K658" i="7"/>
  <c r="K659" i="7"/>
  <c r="K660" i="7"/>
  <c r="K662" i="7"/>
  <c r="K665" i="7"/>
  <c r="K663" i="7"/>
  <c r="K664" i="7"/>
  <c r="K730" i="7"/>
  <c r="K731" i="7"/>
  <c r="K666" i="7"/>
  <c r="K668" i="7"/>
  <c r="K667" i="7"/>
  <c r="K672" i="7"/>
  <c r="K670" i="7"/>
  <c r="K671" i="7"/>
  <c r="K674" i="7"/>
  <c r="K673" i="7"/>
  <c r="K675" i="7"/>
  <c r="K677" i="7"/>
  <c r="K676" i="7"/>
  <c r="K678" i="7"/>
  <c r="K679" i="7"/>
  <c r="K681" i="7"/>
  <c r="K680" i="7"/>
  <c r="K682" i="7"/>
  <c r="K684" i="7"/>
  <c r="K683" i="7"/>
  <c r="K687" i="7"/>
  <c r="K686" i="7"/>
  <c r="K689" i="7"/>
  <c r="K688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652" i="7"/>
  <c r="J29" i="4"/>
  <c r="I29" i="4"/>
  <c r="D691" i="7"/>
  <c r="E691" i="7"/>
  <c r="M693" i="7"/>
  <c r="N693" i="7"/>
  <c r="M694" i="7"/>
  <c r="N694" i="7"/>
  <c r="I138" i="3"/>
  <c r="D689" i="7"/>
  <c r="E689" i="7"/>
  <c r="D688" i="7"/>
  <c r="E688" i="7"/>
  <c r="J136" i="3"/>
  <c r="I136" i="3"/>
  <c r="I135" i="3"/>
  <c r="I134" i="3"/>
  <c r="N666" i="7"/>
  <c r="D687" i="7"/>
  <c r="E687" i="7"/>
  <c r="D686" i="7"/>
  <c r="E686" i="7"/>
  <c r="J28" i="4"/>
  <c r="I28" i="4"/>
  <c r="J27" i="4"/>
  <c r="I27" i="4"/>
  <c r="D683" i="7"/>
  <c r="E683" i="7"/>
  <c r="D679" i="7"/>
  <c r="E679" i="7"/>
  <c r="D681" i="7"/>
  <c r="E681" i="7"/>
  <c r="D680" i="7"/>
  <c r="E680" i="7"/>
  <c r="D682" i="7"/>
  <c r="E682" i="7"/>
  <c r="D657" i="7"/>
  <c r="E657" i="7"/>
  <c r="D658" i="7"/>
  <c r="E658" i="7"/>
  <c r="D659" i="7"/>
  <c r="E659" i="7"/>
  <c r="D660" i="7"/>
  <c r="E660" i="7"/>
  <c r="D662" i="7"/>
  <c r="E662" i="7"/>
  <c r="D665" i="7"/>
  <c r="E665" i="7"/>
  <c r="D663" i="7"/>
  <c r="E663" i="7"/>
  <c r="D664" i="7"/>
  <c r="E664" i="7"/>
  <c r="D666" i="7"/>
  <c r="E666" i="7"/>
  <c r="D668" i="7"/>
  <c r="E668" i="7"/>
  <c r="D667" i="7"/>
  <c r="E667" i="7"/>
  <c r="D669" i="7"/>
  <c r="E669" i="7"/>
  <c r="D672" i="7"/>
  <c r="E672" i="7"/>
  <c r="D670" i="7"/>
  <c r="E670" i="7"/>
  <c r="D671" i="7"/>
  <c r="E671" i="7"/>
  <c r="D674" i="7"/>
  <c r="E674" i="7"/>
  <c r="D673" i="7"/>
  <c r="E673" i="7"/>
  <c r="D675" i="7"/>
  <c r="E675" i="7"/>
  <c r="D677" i="7"/>
  <c r="E677" i="7"/>
  <c r="D676" i="7"/>
  <c r="E676" i="7"/>
  <c r="N512" i="7"/>
  <c r="M503" i="7"/>
  <c r="K589" i="7"/>
  <c r="M674" i="7"/>
  <c r="N674" i="7"/>
  <c r="M673" i="7"/>
  <c r="N673" i="7"/>
  <c r="M675" i="7"/>
  <c r="M677" i="7"/>
  <c r="N677" i="7"/>
  <c r="M676" i="7"/>
  <c r="N676" i="7"/>
  <c r="M678" i="7"/>
  <c r="N678" i="7"/>
  <c r="M679" i="7"/>
  <c r="N679" i="7"/>
  <c r="M681" i="7"/>
  <c r="N681" i="7"/>
  <c r="M680" i="7"/>
  <c r="N680" i="7"/>
  <c r="M682" i="7"/>
  <c r="M684" i="7"/>
  <c r="N684" i="7"/>
  <c r="M683" i="7"/>
  <c r="N683" i="7"/>
  <c r="M687" i="7"/>
  <c r="N687" i="7"/>
  <c r="M686" i="7"/>
  <c r="N686" i="7"/>
  <c r="M689" i="7"/>
  <c r="N689" i="7"/>
  <c r="M688" i="7"/>
  <c r="N688" i="7"/>
  <c r="M691" i="7"/>
  <c r="N691" i="7"/>
  <c r="M692" i="7"/>
  <c r="M695" i="7"/>
  <c r="N695" i="7"/>
  <c r="M696" i="7"/>
  <c r="N696" i="7"/>
  <c r="M697" i="7"/>
  <c r="N697" i="7"/>
  <c r="M698" i="7"/>
  <c r="N698" i="7"/>
  <c r="M699" i="7"/>
  <c r="N699" i="7"/>
  <c r="M700" i="7"/>
  <c r="N700" i="7"/>
  <c r="M701" i="7"/>
  <c r="N701" i="7"/>
  <c r="M702" i="7"/>
  <c r="N702" i="7"/>
  <c r="M703" i="7"/>
  <c r="N703" i="7"/>
  <c r="M705" i="7"/>
  <c r="N705" i="7"/>
  <c r="M708" i="7"/>
  <c r="N708" i="7"/>
  <c r="M710" i="7"/>
  <c r="N710" i="7"/>
  <c r="M709" i="7"/>
  <c r="N709" i="7"/>
  <c r="M711" i="7"/>
  <c r="N711" i="7"/>
  <c r="M712" i="7"/>
  <c r="N712" i="7"/>
  <c r="M714" i="7"/>
  <c r="N714" i="7"/>
  <c r="M715" i="7"/>
  <c r="N715" i="7"/>
  <c r="M713" i="7"/>
  <c r="N713" i="7"/>
  <c r="M717" i="7"/>
  <c r="N717" i="7"/>
  <c r="M719" i="7"/>
  <c r="N719" i="7"/>
  <c r="M718" i="7"/>
  <c r="N718" i="7"/>
  <c r="M716" i="7"/>
  <c r="M720" i="7"/>
  <c r="N720" i="7"/>
  <c r="M722" i="7"/>
  <c r="N722" i="7"/>
  <c r="M723" i="7"/>
  <c r="N723" i="7"/>
  <c r="M670" i="7"/>
  <c r="N670" i="7"/>
  <c r="M672" i="7"/>
  <c r="M667" i="7"/>
  <c r="N667" i="7"/>
  <c r="M669" i="7"/>
  <c r="N669" i="7"/>
  <c r="N668" i="7"/>
  <c r="M668" i="7"/>
  <c r="K514" i="7"/>
  <c r="K605" i="7"/>
  <c r="K639" i="7"/>
  <c r="M662" i="7"/>
  <c r="N662" i="7"/>
  <c r="M665" i="7"/>
  <c r="N665" i="7"/>
  <c r="M666" i="7"/>
  <c r="M685" i="7"/>
  <c r="N685" i="7"/>
  <c r="M690" i="7"/>
  <c r="N690" i="7"/>
  <c r="M663" i="7"/>
  <c r="N663" i="7"/>
  <c r="M664" i="7"/>
  <c r="N664" i="7"/>
  <c r="M730" i="7"/>
  <c r="N730" i="7"/>
  <c r="M731" i="7"/>
  <c r="N731" i="7"/>
  <c r="J134" i="3"/>
  <c r="M660" i="7"/>
  <c r="N660" i="7"/>
  <c r="M661" i="7"/>
  <c r="N661" i="7"/>
  <c r="K661" i="7"/>
  <c r="K685" i="7"/>
  <c r="K690" i="7"/>
  <c r="M659" i="7"/>
  <c r="N659" i="7"/>
  <c r="J133" i="3"/>
  <c r="I133" i="3"/>
  <c r="M658" i="7"/>
  <c r="AY2" i="12"/>
  <c r="AX2" i="12"/>
  <c r="AW2" i="12"/>
  <c r="AY1" i="12"/>
  <c r="AX1" i="12"/>
  <c r="AW1" i="12"/>
  <c r="N657" i="7"/>
  <c r="D655" i="7"/>
  <c r="E655" i="7"/>
  <c r="D656" i="7"/>
  <c r="E656" i="7"/>
  <c r="M656" i="7"/>
  <c r="N656" i="7"/>
  <c r="N655" i="7"/>
  <c r="M655" i="7"/>
  <c r="AY22" i="4"/>
  <c r="D653" i="7"/>
  <c r="E653" i="7"/>
  <c r="N653" i="7"/>
  <c r="J132" i="3"/>
  <c r="D652" i="7"/>
  <c r="E652" i="7"/>
  <c r="M652" i="7"/>
  <c r="D651" i="7"/>
  <c r="E651" i="7"/>
  <c r="K651" i="7"/>
  <c r="N651" i="7"/>
  <c r="N503" i="7"/>
  <c r="J21" i="4"/>
  <c r="I23" i="4"/>
  <c r="I21" i="4"/>
  <c r="I58" i="4"/>
  <c r="D649" i="7"/>
  <c r="E649" i="7"/>
  <c r="D650" i="7"/>
  <c r="E650" i="7"/>
  <c r="M647" i="7"/>
  <c r="N647" i="7"/>
  <c r="M649" i="7"/>
  <c r="N649" i="7"/>
  <c r="M650" i="7"/>
  <c r="N650" i="7"/>
  <c r="K649" i="7"/>
  <c r="D646" i="7"/>
  <c r="E646" i="7"/>
  <c r="D648" i="7"/>
  <c r="E648" i="7"/>
  <c r="D647" i="7"/>
  <c r="E647" i="7"/>
  <c r="K647" i="7"/>
  <c r="K646" i="7"/>
  <c r="K648" i="7"/>
  <c r="D645" i="7"/>
  <c r="E645" i="7"/>
  <c r="K645" i="7"/>
  <c r="D644" i="7"/>
  <c r="E644" i="7"/>
  <c r="D643" i="7"/>
  <c r="E643" i="7"/>
  <c r="D642" i="7"/>
  <c r="E642" i="7"/>
  <c r="D640" i="7"/>
  <c r="E640" i="7"/>
  <c r="D639" i="7"/>
  <c r="E639" i="7"/>
  <c r="D638" i="7"/>
  <c r="E638" i="7"/>
  <c r="D641" i="7"/>
  <c r="E641" i="7"/>
  <c r="K638" i="7"/>
  <c r="K641" i="7"/>
  <c r="K640" i="7"/>
  <c r="K642" i="7"/>
  <c r="K644" i="7"/>
  <c r="K643" i="7"/>
  <c r="M639" i="7"/>
  <c r="N639" i="7"/>
  <c r="D637" i="7"/>
  <c r="E637" i="7"/>
  <c r="J130" i="3"/>
  <c r="J129" i="3"/>
  <c r="J143" i="12"/>
  <c r="J144" i="12"/>
  <c r="J145" i="12"/>
  <c r="I143" i="12"/>
  <c r="I144" i="12"/>
  <c r="I145" i="12"/>
  <c r="N637" i="7"/>
  <c r="N638" i="7"/>
  <c r="N641" i="7"/>
  <c r="N640" i="7"/>
  <c r="N642" i="7"/>
  <c r="N644" i="7"/>
  <c r="N643" i="7"/>
  <c r="N645" i="7"/>
  <c r="N646" i="7"/>
  <c r="N648" i="7"/>
  <c r="M637" i="7"/>
  <c r="M638" i="7"/>
  <c r="M641" i="7"/>
  <c r="M640" i="7"/>
  <c r="M642" i="7"/>
  <c r="M644" i="7"/>
  <c r="M643" i="7"/>
  <c r="M645" i="7"/>
  <c r="M646" i="7"/>
  <c r="M648" i="7"/>
  <c r="K637" i="7"/>
  <c r="E632" i="7"/>
  <c r="E634" i="7"/>
  <c r="E633" i="7"/>
  <c r="E635" i="7"/>
  <c r="E636" i="7"/>
  <c r="D632" i="7"/>
  <c r="D634" i="7"/>
  <c r="D633" i="7"/>
  <c r="D635" i="7"/>
  <c r="D636" i="7"/>
  <c r="M636" i="7"/>
  <c r="N636" i="7"/>
  <c r="K636" i="7"/>
  <c r="M635" i="7"/>
  <c r="N635" i="7"/>
  <c r="K635" i="7"/>
  <c r="N634" i="7"/>
  <c r="N633" i="7"/>
  <c r="M633" i="7"/>
  <c r="M634" i="7"/>
  <c r="K633" i="7"/>
  <c r="N632" i="7"/>
  <c r="M632" i="7"/>
  <c r="K632" i="7"/>
  <c r="K634" i="7"/>
  <c r="D631" i="7"/>
  <c r="E631" i="7"/>
  <c r="M631" i="7"/>
  <c r="N631" i="7"/>
  <c r="K631" i="7"/>
  <c r="K627" i="7"/>
  <c r="K628" i="7"/>
  <c r="K624" i="7"/>
  <c r="K626" i="7"/>
  <c r="K625" i="7"/>
  <c r="K629" i="7"/>
  <c r="K630" i="7"/>
  <c r="M629" i="7"/>
  <c r="N629" i="7"/>
  <c r="M630" i="7"/>
  <c r="N630" i="7"/>
  <c r="D629" i="7"/>
  <c r="D630" i="7"/>
  <c r="E629" i="7"/>
  <c r="E630" i="7"/>
  <c r="D626" i="7"/>
  <c r="E626" i="7"/>
  <c r="D625" i="7"/>
  <c r="E625" i="7"/>
  <c r="D624" i="7"/>
  <c r="E624" i="7"/>
  <c r="D627" i="7"/>
  <c r="E627" i="7"/>
  <c r="D628" i="7"/>
  <c r="E628" i="7"/>
  <c r="N628" i="7"/>
  <c r="M628" i="7"/>
  <c r="N627" i="7"/>
  <c r="M627" i="7"/>
  <c r="N624" i="7"/>
  <c r="M624" i="7"/>
  <c r="N625" i="7"/>
  <c r="M625" i="7"/>
  <c r="I141" i="12"/>
  <c r="J141" i="12"/>
  <c r="I142" i="12"/>
  <c r="J142" i="12"/>
  <c r="M626" i="7"/>
  <c r="N626" i="7"/>
  <c r="K623" i="7"/>
  <c r="E623" i="7"/>
  <c r="D623" i="7"/>
  <c r="N623" i="7"/>
  <c r="M623" i="7"/>
  <c r="M621" i="7"/>
  <c r="N621" i="7"/>
  <c r="M622" i="7"/>
  <c r="N622" i="7"/>
  <c r="K621" i="7"/>
  <c r="K622" i="7"/>
  <c r="D621" i="7"/>
  <c r="D622" i="7"/>
  <c r="E621" i="7"/>
  <c r="E622" i="7"/>
  <c r="D620" i="7"/>
  <c r="E620" i="7"/>
  <c r="N619" i="7"/>
  <c r="N617" i="7"/>
  <c r="N620" i="7"/>
  <c r="M614" i="7"/>
  <c r="M615" i="7"/>
  <c r="M616" i="7"/>
  <c r="M618" i="7"/>
  <c r="M619" i="7"/>
  <c r="M617" i="7"/>
  <c r="M620" i="7"/>
  <c r="K620" i="7"/>
  <c r="D619" i="7"/>
  <c r="D617" i="7"/>
  <c r="E619" i="7"/>
  <c r="E617" i="7"/>
  <c r="K615" i="7"/>
  <c r="K616" i="7"/>
  <c r="K618" i="7"/>
  <c r="K619" i="7"/>
  <c r="K617" i="7"/>
  <c r="D618" i="7"/>
  <c r="E618" i="7"/>
  <c r="N618" i="7"/>
  <c r="D616" i="7"/>
  <c r="E616" i="7"/>
  <c r="N616" i="7"/>
  <c r="N615" i="7"/>
  <c r="D615" i="7"/>
  <c r="E615" i="7"/>
  <c r="M490" i="7"/>
  <c r="J140" i="12"/>
  <c r="I140" i="12"/>
  <c r="D613" i="7"/>
  <c r="E613" i="7"/>
  <c r="D614" i="7"/>
  <c r="E614" i="7"/>
  <c r="M613" i="7"/>
  <c r="N613" i="7"/>
  <c r="N614" i="7"/>
  <c r="K614" i="7"/>
  <c r="J127" i="3"/>
  <c r="K602" i="7"/>
  <c r="K606" i="7"/>
  <c r="K608" i="7"/>
  <c r="K607" i="7"/>
  <c r="K609" i="7"/>
  <c r="K562" i="7"/>
  <c r="K610" i="7"/>
  <c r="K611" i="7"/>
  <c r="K612" i="7"/>
  <c r="K613" i="7"/>
  <c r="N603" i="7"/>
  <c r="M603" i="7"/>
  <c r="M612" i="7"/>
  <c r="N612" i="7"/>
  <c r="D612" i="7"/>
  <c r="E612" i="7"/>
  <c r="D611" i="7"/>
  <c r="E611" i="7"/>
  <c r="M607" i="7"/>
  <c r="E607" i="7"/>
  <c r="D607" i="7"/>
  <c r="N611" i="7"/>
  <c r="N5" i="14" s="1"/>
  <c r="N11" i="14" s="1"/>
  <c r="M611" i="7"/>
  <c r="M610" i="7"/>
  <c r="N610" i="7"/>
  <c r="D605" i="7"/>
  <c r="E605" i="7"/>
  <c r="D606" i="7"/>
  <c r="E606" i="7"/>
  <c r="D608" i="7"/>
  <c r="E608" i="7"/>
  <c r="D609" i="7"/>
  <c r="E609" i="7"/>
  <c r="D562" i="7"/>
  <c r="E562" i="7"/>
  <c r="D610" i="7"/>
  <c r="E610" i="7"/>
  <c r="N562" i="7"/>
  <c r="M562" i="7"/>
  <c r="N609" i="7"/>
  <c r="M608" i="7"/>
  <c r="M609" i="7"/>
  <c r="N602" i="7"/>
  <c r="N605" i="7"/>
  <c r="N606" i="7"/>
  <c r="M602" i="7"/>
  <c r="M605" i="7"/>
  <c r="M606" i="7"/>
  <c r="D602" i="7"/>
  <c r="E602" i="7"/>
  <c r="D604" i="7"/>
  <c r="E604" i="7"/>
  <c r="M604" i="7"/>
  <c r="N604" i="7"/>
  <c r="K604" i="7"/>
  <c r="D603" i="7"/>
  <c r="E603" i="7"/>
  <c r="K603" i="7"/>
  <c r="I139" i="12"/>
  <c r="J126" i="3"/>
  <c r="J139" i="12"/>
  <c r="E601" i="7"/>
  <c r="D601" i="7"/>
  <c r="M601" i="7"/>
  <c r="N601" i="7"/>
  <c r="K601" i="7"/>
  <c r="J138" i="12"/>
  <c r="I138" i="12"/>
  <c r="D600" i="7"/>
  <c r="E600" i="7"/>
  <c r="M599" i="7"/>
  <c r="N599" i="7"/>
  <c r="M600" i="7"/>
  <c r="N600" i="7"/>
  <c r="K600" i="7"/>
  <c r="I137" i="12"/>
  <c r="D598" i="7"/>
  <c r="E598" i="7"/>
  <c r="D599" i="7"/>
  <c r="E599" i="7"/>
  <c r="K599" i="7"/>
  <c r="M598" i="7"/>
  <c r="N598" i="7"/>
  <c r="K598" i="7"/>
  <c r="J135" i="12"/>
  <c r="J136" i="12"/>
  <c r="I135" i="12"/>
  <c r="I136" i="12"/>
  <c r="M597" i="7"/>
  <c r="N597" i="7"/>
  <c r="K597" i="7"/>
  <c r="D597" i="7"/>
  <c r="E597" i="7"/>
  <c r="M594" i="7"/>
  <c r="N594" i="7"/>
  <c r="M595" i="7"/>
  <c r="N595" i="7"/>
  <c r="D595" i="7"/>
  <c r="E595" i="7"/>
  <c r="S1" i="12"/>
  <c r="T1" i="12"/>
  <c r="U1" i="12"/>
  <c r="V1" i="12"/>
  <c r="W1" i="12"/>
  <c r="X1" i="12"/>
  <c r="Y1" i="12"/>
  <c r="Z1" i="12"/>
  <c r="AA1" i="12"/>
  <c r="AB1" i="12"/>
  <c r="AC1" i="12"/>
  <c r="AD1" i="12"/>
  <c r="AE1" i="12"/>
  <c r="AH1" i="12"/>
  <c r="AI1" i="12"/>
  <c r="AJ1" i="12"/>
  <c r="AK1" i="12"/>
  <c r="AL1" i="12"/>
  <c r="AM1" i="12"/>
  <c r="AN1" i="12"/>
  <c r="AO1" i="12"/>
  <c r="AP1" i="12"/>
  <c r="AQ1" i="12"/>
  <c r="AR1" i="12"/>
  <c r="AS1" i="12"/>
  <c r="AT1" i="12"/>
  <c r="AU1" i="12"/>
  <c r="AV1" i="12"/>
  <c r="BA1" i="12"/>
  <c r="S2" i="12"/>
  <c r="T2" i="12"/>
  <c r="U2" i="12"/>
  <c r="V2" i="12"/>
  <c r="W2" i="12"/>
  <c r="X2" i="12"/>
  <c r="Y2" i="12"/>
  <c r="Z2" i="12"/>
  <c r="AA2" i="12"/>
  <c r="AB2" i="12"/>
  <c r="AC2" i="12"/>
  <c r="AD2" i="12"/>
  <c r="AE2" i="12"/>
  <c r="AH2" i="12"/>
  <c r="AI2" i="12"/>
  <c r="AJ2" i="12"/>
  <c r="AK2" i="12"/>
  <c r="AL2" i="12"/>
  <c r="AM2" i="12"/>
  <c r="AN2" i="12"/>
  <c r="AO2" i="12"/>
  <c r="AP2" i="12"/>
  <c r="AQ2" i="12"/>
  <c r="AR2" i="12"/>
  <c r="AS2" i="12"/>
  <c r="AT2" i="12"/>
  <c r="AU2" i="12"/>
  <c r="AV2" i="12"/>
  <c r="BA2" i="12"/>
  <c r="J111" i="3"/>
  <c r="I111" i="3"/>
  <c r="AZ33" i="7"/>
  <c r="M377" i="7"/>
  <c r="M378" i="7"/>
  <c r="K593" i="7"/>
  <c r="K594" i="7"/>
  <c r="K595" i="7"/>
  <c r="D594" i="7"/>
  <c r="E594" i="7"/>
  <c r="E593" i="7"/>
  <c r="D593" i="7"/>
  <c r="E591" i="7"/>
  <c r="D591" i="7"/>
  <c r="J132" i="12"/>
  <c r="N593" i="7"/>
  <c r="M593" i="7"/>
  <c r="I125" i="3"/>
  <c r="J125" i="3"/>
  <c r="I110" i="3"/>
  <c r="J110" i="3"/>
  <c r="J123" i="3"/>
  <c r="K591" i="7"/>
  <c r="N591" i="7"/>
  <c r="M591" i="7"/>
  <c r="M592" i="7"/>
  <c r="N592" i="7"/>
  <c r="D592" i="7"/>
  <c r="E592" i="7"/>
  <c r="K592" i="7"/>
  <c r="M588" i="7"/>
  <c r="N588" i="7"/>
  <c r="M589" i="7"/>
  <c r="N589" i="7"/>
  <c r="D588" i="7"/>
  <c r="E588" i="7"/>
  <c r="D589" i="7"/>
  <c r="E589" i="7"/>
  <c r="K588" i="7"/>
  <c r="M590" i="7"/>
  <c r="N590" i="7"/>
  <c r="K585" i="7"/>
  <c r="K586" i="7"/>
  <c r="K587" i="7"/>
  <c r="K590" i="7"/>
  <c r="D590" i="7"/>
  <c r="E590" i="7"/>
  <c r="D585" i="7"/>
  <c r="E585" i="7"/>
  <c r="D586" i="7"/>
  <c r="E586" i="7"/>
  <c r="D587" i="7"/>
  <c r="E587" i="7"/>
  <c r="M587" i="7"/>
  <c r="N587" i="7"/>
  <c r="N586" i="7"/>
  <c r="M586" i="7"/>
  <c r="N585" i="7"/>
  <c r="M585" i="7"/>
  <c r="M584" i="7"/>
  <c r="N584" i="7"/>
  <c r="M583" i="7"/>
  <c r="N583" i="7"/>
  <c r="K584" i="7"/>
  <c r="K583" i="7"/>
  <c r="D583" i="7"/>
  <c r="E583" i="7"/>
  <c r="D584" i="7"/>
  <c r="E584" i="7"/>
  <c r="M582" i="7"/>
  <c r="N582" i="7"/>
  <c r="D582" i="7"/>
  <c r="E582" i="7"/>
  <c r="K582" i="7"/>
  <c r="N580" i="7"/>
  <c r="M580" i="7"/>
  <c r="K580" i="7"/>
  <c r="K581" i="7"/>
  <c r="E580" i="7"/>
  <c r="D580" i="7"/>
  <c r="E581" i="7"/>
  <c r="D581" i="7"/>
  <c r="N581" i="7"/>
  <c r="M581" i="7"/>
  <c r="K575" i="7"/>
  <c r="K576" i="7"/>
  <c r="K577" i="7"/>
  <c r="K578" i="7"/>
  <c r="K579" i="7"/>
  <c r="M578" i="7"/>
  <c r="N578" i="7"/>
  <c r="M579" i="7"/>
  <c r="N579" i="7"/>
  <c r="D579" i="7"/>
  <c r="E579" i="7"/>
  <c r="D577" i="7"/>
  <c r="E577" i="7"/>
  <c r="D578" i="7"/>
  <c r="E578" i="7"/>
  <c r="N577" i="7"/>
  <c r="M577" i="7"/>
  <c r="M575" i="7"/>
  <c r="N575" i="7"/>
  <c r="M576" i="7"/>
  <c r="N576" i="7"/>
  <c r="D576" i="7"/>
  <c r="E576" i="7"/>
  <c r="M566" i="7"/>
  <c r="N566" i="7"/>
  <c r="K566" i="7"/>
  <c r="D566" i="7"/>
  <c r="E566" i="7"/>
  <c r="D575" i="7"/>
  <c r="E575" i="7"/>
  <c r="I57" i="4"/>
  <c r="K574" i="7"/>
  <c r="M573" i="7"/>
  <c r="N573" i="7"/>
  <c r="M574" i="7"/>
  <c r="N574" i="7"/>
  <c r="D574" i="7"/>
  <c r="E574" i="7"/>
  <c r="K573" i="7"/>
  <c r="D573" i="7"/>
  <c r="E573" i="7"/>
  <c r="J134" i="12"/>
  <c r="J133" i="12"/>
  <c r="I134" i="12"/>
  <c r="I133" i="12"/>
  <c r="K571" i="7"/>
  <c r="M571" i="7"/>
  <c r="N571" i="7"/>
  <c r="D571" i="7"/>
  <c r="E571" i="7"/>
  <c r="N555" i="7"/>
  <c r="M570" i="7"/>
  <c r="N570" i="7"/>
  <c r="M572" i="7"/>
  <c r="N572" i="7"/>
  <c r="K572" i="7"/>
  <c r="D572" i="7"/>
  <c r="E572" i="7"/>
  <c r="K570" i="7"/>
  <c r="D570" i="7"/>
  <c r="E570" i="7"/>
  <c r="M569" i="7"/>
  <c r="N568" i="7"/>
  <c r="N596" i="7"/>
  <c r="N569" i="7"/>
  <c r="D596" i="7"/>
  <c r="E596" i="7"/>
  <c r="D569" i="7"/>
  <c r="E569" i="7"/>
  <c r="K596" i="7"/>
  <c r="K569" i="7"/>
  <c r="M568" i="7"/>
  <c r="M596" i="7"/>
  <c r="I132" i="12"/>
  <c r="K568" i="7"/>
  <c r="D568" i="7"/>
  <c r="E568" i="7"/>
  <c r="J129" i="12"/>
  <c r="J130" i="12"/>
  <c r="J131" i="12"/>
  <c r="I129" i="12"/>
  <c r="M567" i="7"/>
  <c r="N567" i="7"/>
  <c r="K567" i="7"/>
  <c r="D567" i="7"/>
  <c r="E567" i="7"/>
  <c r="K502" i="7"/>
  <c r="K520" i="7"/>
  <c r="K516" i="7"/>
  <c r="K468" i="7"/>
  <c r="K522" i="7"/>
  <c r="K375" i="7"/>
  <c r="N565" i="7"/>
  <c r="M565" i="7"/>
  <c r="K565" i="7"/>
  <c r="D565" i="7"/>
  <c r="E565" i="7"/>
  <c r="K563" i="7"/>
  <c r="K564" i="7"/>
  <c r="M557" i="7"/>
  <c r="M558" i="7"/>
  <c r="M561" i="7"/>
  <c r="M563" i="7"/>
  <c r="M564" i="7"/>
  <c r="M559" i="7"/>
  <c r="N563" i="7"/>
  <c r="N564" i="7"/>
  <c r="D563" i="7"/>
  <c r="E563" i="7"/>
  <c r="D564" i="7"/>
  <c r="E564" i="7"/>
  <c r="J122" i="3"/>
  <c r="N554" i="7"/>
  <c r="N558" i="7"/>
  <c r="N557" i="7"/>
  <c r="N559" i="7"/>
  <c r="N561" i="7"/>
  <c r="J121" i="3"/>
  <c r="J19" i="4"/>
  <c r="I19" i="4"/>
  <c r="K561" i="7"/>
  <c r="D561" i="7"/>
  <c r="E561" i="7"/>
  <c r="P516" i="7"/>
  <c r="P514" i="7"/>
  <c r="P520" i="7"/>
  <c r="P518" i="7"/>
  <c r="P519" i="7"/>
  <c r="P512" i="7"/>
  <c r="P523" i="7"/>
  <c r="P522" i="7"/>
  <c r="P530" i="7"/>
  <c r="P531" i="7"/>
  <c r="P535" i="7"/>
  <c r="P534" i="7"/>
  <c r="K546" i="7"/>
  <c r="K252" i="7"/>
  <c r="K549" i="7"/>
  <c r="K398" i="7"/>
  <c r="K548" i="7"/>
  <c r="K550" i="7"/>
  <c r="K552" i="7"/>
  <c r="K551" i="7"/>
  <c r="K553" i="7"/>
  <c r="K554" i="7"/>
  <c r="K555" i="7"/>
  <c r="K556" i="7"/>
  <c r="K560" i="7"/>
  <c r="K559" i="7"/>
  <c r="K557" i="7"/>
  <c r="K558" i="7"/>
  <c r="D560" i="7"/>
  <c r="E560" i="7"/>
  <c r="E559" i="7"/>
  <c r="D559" i="7"/>
  <c r="E558" i="7"/>
  <c r="D558" i="7"/>
  <c r="E557" i="7"/>
  <c r="D557" i="7"/>
  <c r="D556" i="7"/>
  <c r="E556" i="7"/>
  <c r="J120" i="3"/>
  <c r="N560" i="7"/>
  <c r="M560" i="7"/>
  <c r="N556" i="7"/>
  <c r="M555" i="7"/>
  <c r="M556" i="7"/>
  <c r="D555" i="7"/>
  <c r="E555" i="7"/>
  <c r="N524" i="7"/>
  <c r="M524" i="7"/>
  <c r="N536" i="7"/>
  <c r="M536" i="7"/>
  <c r="P538" i="7"/>
  <c r="P483" i="7"/>
  <c r="M553" i="7"/>
  <c r="N553" i="7"/>
  <c r="M554" i="7"/>
  <c r="D548" i="7"/>
  <c r="E548" i="7"/>
  <c r="D550" i="7"/>
  <c r="E550" i="7"/>
  <c r="D552" i="7"/>
  <c r="E552" i="7"/>
  <c r="D551" i="7"/>
  <c r="E551" i="7"/>
  <c r="D553" i="7"/>
  <c r="E553" i="7"/>
  <c r="D554" i="7"/>
  <c r="E554" i="7"/>
  <c r="N551" i="7"/>
  <c r="M551" i="7"/>
  <c r="N552" i="7"/>
  <c r="M552" i="7"/>
  <c r="M550" i="7"/>
  <c r="J18" i="4"/>
  <c r="N548" i="7"/>
  <c r="N550" i="7"/>
  <c r="M548" i="7"/>
  <c r="K543" i="7"/>
  <c r="K547" i="7"/>
  <c r="M547" i="7"/>
  <c r="N547" i="7"/>
  <c r="D547" i="7"/>
  <c r="E547" i="7"/>
  <c r="D546" i="7"/>
  <c r="E546" i="7"/>
  <c r="D543" i="7"/>
  <c r="E543" i="7"/>
  <c r="D549" i="7"/>
  <c r="E549" i="7"/>
  <c r="M549" i="7"/>
  <c r="N549" i="7"/>
  <c r="N543" i="7"/>
  <c r="M543" i="7"/>
  <c r="J128" i="12"/>
  <c r="I128" i="12"/>
  <c r="N529" i="7"/>
  <c r="N546" i="7"/>
  <c r="M546" i="7"/>
  <c r="N540" i="7"/>
  <c r="M540" i="7"/>
  <c r="M544" i="7"/>
  <c r="N544" i="7"/>
  <c r="K544" i="7"/>
  <c r="D544" i="7"/>
  <c r="E544" i="7"/>
  <c r="N542" i="7"/>
  <c r="E542" i="7"/>
  <c r="M542" i="7"/>
  <c r="K542" i="7"/>
  <c r="D542" i="7"/>
  <c r="M545" i="7"/>
  <c r="N545" i="7"/>
  <c r="D545" i="7"/>
  <c r="E545" i="7"/>
  <c r="K733" i="7"/>
  <c r="K541" i="7"/>
  <c r="K545" i="7"/>
  <c r="E541" i="7"/>
  <c r="D541" i="7"/>
  <c r="N541" i="7"/>
  <c r="M541" i="7"/>
  <c r="N733" i="7"/>
  <c r="M733" i="7"/>
  <c r="K540" i="7"/>
  <c r="D540" i="7"/>
  <c r="E540" i="7"/>
  <c r="N539" i="7"/>
  <c r="K539" i="7"/>
  <c r="D539" i="7"/>
  <c r="E539" i="7"/>
  <c r="D538" i="7"/>
  <c r="E538" i="7"/>
  <c r="D537" i="7"/>
  <c r="E537" i="7"/>
  <c r="M538" i="7"/>
  <c r="N538" i="7"/>
  <c r="M537" i="7"/>
  <c r="N537" i="7"/>
  <c r="K537" i="7"/>
  <c r="K538" i="7"/>
  <c r="K534" i="7"/>
  <c r="K535" i="7"/>
  <c r="K536" i="7"/>
  <c r="D534" i="7"/>
  <c r="E534" i="7"/>
  <c r="D535" i="7"/>
  <c r="E535" i="7"/>
  <c r="D536" i="7"/>
  <c r="E536" i="7"/>
  <c r="N535" i="7"/>
  <c r="M535" i="7"/>
  <c r="M534" i="7"/>
  <c r="K533" i="7"/>
  <c r="K532" i="7"/>
  <c r="K530" i="7"/>
  <c r="K531" i="7"/>
  <c r="K529" i="7"/>
  <c r="K528" i="7"/>
  <c r="K527" i="7"/>
  <c r="K526" i="7"/>
  <c r="K525" i="7"/>
  <c r="K524" i="7"/>
  <c r="E533" i="7"/>
  <c r="D533" i="7"/>
  <c r="E532" i="7"/>
  <c r="D532" i="7"/>
  <c r="E530" i="7"/>
  <c r="D530" i="7"/>
  <c r="E531" i="7"/>
  <c r="D531" i="7"/>
  <c r="E529" i="7"/>
  <c r="D529" i="7"/>
  <c r="E528" i="7"/>
  <c r="D528" i="7"/>
  <c r="E527" i="7"/>
  <c r="D527" i="7"/>
  <c r="E526" i="7"/>
  <c r="D526" i="7"/>
  <c r="J17" i="4"/>
  <c r="M533" i="7"/>
  <c r="N533" i="7"/>
  <c r="N532" i="7"/>
  <c r="M532" i="7"/>
  <c r="N530" i="7"/>
  <c r="M530" i="7"/>
  <c r="N531" i="7"/>
  <c r="M531" i="7"/>
  <c r="I119" i="3"/>
  <c r="J119" i="3"/>
  <c r="M528" i="7"/>
  <c r="N528" i="7"/>
  <c r="N527" i="7"/>
  <c r="N526" i="7"/>
  <c r="M526" i="7"/>
  <c r="J34" i="3"/>
  <c r="I34" i="3"/>
  <c r="I114" i="3"/>
  <c r="J114" i="3"/>
  <c r="J118" i="3"/>
  <c r="D524" i="7"/>
  <c r="E524" i="7"/>
  <c r="D525" i="7"/>
  <c r="E525" i="7"/>
  <c r="N523" i="7"/>
  <c r="N525" i="7"/>
  <c r="M518" i="7"/>
  <c r="K521" i="7"/>
  <c r="K518" i="7"/>
  <c r="K519" i="7"/>
  <c r="E521" i="7"/>
  <c r="D521" i="7"/>
  <c r="E523" i="7"/>
  <c r="D523" i="7"/>
  <c r="N520" i="7"/>
  <c r="J117" i="3"/>
  <c r="J127" i="12"/>
  <c r="I127" i="12"/>
  <c r="N522" i="7"/>
  <c r="D522" i="7"/>
  <c r="E522" i="7"/>
  <c r="J116" i="3"/>
  <c r="D519" i="7"/>
  <c r="E519" i="7"/>
  <c r="D518" i="7"/>
  <c r="E518" i="7"/>
  <c r="D520" i="7"/>
  <c r="E520" i="7"/>
  <c r="N497" i="7"/>
  <c r="N498" i="7"/>
  <c r="M497" i="7"/>
  <c r="E497" i="7"/>
  <c r="D497" i="7"/>
  <c r="N518" i="7"/>
  <c r="M519" i="7"/>
  <c r="N519" i="7"/>
  <c r="J99" i="3"/>
  <c r="J94" i="3"/>
  <c r="J80" i="3"/>
  <c r="J81" i="3"/>
  <c r="J96" i="3"/>
  <c r="J97" i="3"/>
  <c r="J115" i="3"/>
  <c r="J98" i="3"/>
  <c r="I15" i="4"/>
  <c r="D512" i="7"/>
  <c r="E512" i="7"/>
  <c r="D510" i="7"/>
  <c r="E510" i="7"/>
  <c r="D511" i="7"/>
  <c r="E511" i="7"/>
  <c r="D513" i="7"/>
  <c r="E513" i="7"/>
  <c r="D514" i="7"/>
  <c r="E514" i="7"/>
  <c r="K515" i="7"/>
  <c r="K517" i="7"/>
  <c r="D516" i="7"/>
  <c r="E516" i="7"/>
  <c r="D515" i="7"/>
  <c r="E515" i="7"/>
  <c r="D517" i="7"/>
  <c r="E517" i="7"/>
  <c r="N514" i="7"/>
  <c r="M514" i="7"/>
  <c r="N499" i="7"/>
  <c r="M517" i="7"/>
  <c r="N517" i="7"/>
  <c r="N515" i="7"/>
  <c r="M515" i="7"/>
  <c r="I115" i="3"/>
  <c r="N516" i="7"/>
  <c r="J15" i="4"/>
  <c r="N513" i="7"/>
  <c r="M513" i="7"/>
  <c r="M511" i="7"/>
  <c r="M510" i="7"/>
  <c r="N510" i="7"/>
  <c r="N511" i="7"/>
  <c r="J126" i="12"/>
  <c r="E508" i="7"/>
  <c r="D508" i="7"/>
  <c r="E509" i="7"/>
  <c r="D509" i="7"/>
  <c r="J14" i="4"/>
  <c r="N508" i="7"/>
  <c r="N509" i="7"/>
  <c r="M509" i="7"/>
  <c r="D507" i="7"/>
  <c r="E507" i="7"/>
  <c r="D496" i="7"/>
  <c r="E496" i="7"/>
  <c r="D500" i="7"/>
  <c r="E500" i="7"/>
  <c r="D501" i="7"/>
  <c r="E501" i="7"/>
  <c r="D503" i="7"/>
  <c r="E503" i="7"/>
  <c r="D502" i="7"/>
  <c r="E502" i="7"/>
  <c r="D504" i="7"/>
  <c r="E504" i="7"/>
  <c r="D505" i="7"/>
  <c r="E505" i="7"/>
  <c r="D506" i="7"/>
  <c r="E506" i="7"/>
  <c r="D499" i="7"/>
  <c r="E499" i="7"/>
  <c r="M507" i="7"/>
  <c r="N507" i="7"/>
  <c r="N504" i="7"/>
  <c r="N506" i="7"/>
  <c r="M506" i="7"/>
  <c r="I97" i="3"/>
  <c r="N505" i="7"/>
  <c r="I11" i="4"/>
  <c r="J11" i="4"/>
  <c r="J9" i="4"/>
  <c r="J125" i="12"/>
  <c r="I125" i="12"/>
  <c r="J124" i="12"/>
  <c r="I124" i="12"/>
  <c r="AZ122" i="12"/>
  <c r="J122" i="12"/>
  <c r="J121" i="12"/>
  <c r="I121" i="12"/>
  <c r="AZ120" i="12"/>
  <c r="J120" i="12"/>
  <c r="J119" i="12"/>
  <c r="I119" i="12"/>
  <c r="J118" i="12"/>
  <c r="I118" i="12"/>
  <c r="J117" i="12"/>
  <c r="I117" i="12"/>
  <c r="J115" i="12"/>
  <c r="I115" i="12"/>
  <c r="J114" i="12"/>
  <c r="I114" i="12"/>
  <c r="J113" i="12"/>
  <c r="I113" i="12"/>
  <c r="J112" i="12"/>
  <c r="I112" i="12"/>
  <c r="J111" i="12"/>
  <c r="I111" i="12"/>
  <c r="J110" i="12"/>
  <c r="I110" i="12"/>
  <c r="J109" i="12"/>
  <c r="I109" i="12"/>
  <c r="J108" i="12"/>
  <c r="I108" i="12"/>
  <c r="J107" i="12"/>
  <c r="I107" i="12"/>
  <c r="J106" i="12"/>
  <c r="I106" i="12"/>
  <c r="J105" i="12"/>
  <c r="I105" i="12"/>
  <c r="J104" i="12"/>
  <c r="I104" i="12"/>
  <c r="J103" i="12"/>
  <c r="I103" i="12"/>
  <c r="J102" i="12"/>
  <c r="I102" i="12"/>
  <c r="J100" i="12"/>
  <c r="I100" i="12"/>
  <c r="J99" i="12"/>
  <c r="I99" i="12"/>
  <c r="J98" i="12"/>
  <c r="I98" i="12"/>
  <c r="J97" i="12"/>
  <c r="I97" i="12"/>
  <c r="J96" i="12"/>
  <c r="I96" i="12"/>
  <c r="J95" i="12"/>
  <c r="I95" i="12"/>
  <c r="J94" i="12"/>
  <c r="I94" i="12"/>
  <c r="J93" i="12"/>
  <c r="I93" i="12"/>
  <c r="J92" i="12"/>
  <c r="I92" i="12"/>
  <c r="J91" i="12"/>
  <c r="I91" i="12"/>
  <c r="J90" i="12"/>
  <c r="I90" i="12"/>
  <c r="J89" i="12"/>
  <c r="I89" i="12"/>
  <c r="J88" i="12"/>
  <c r="I88" i="12"/>
  <c r="R87" i="12"/>
  <c r="J87" i="12"/>
  <c r="I87" i="12"/>
  <c r="J86" i="12"/>
  <c r="I86" i="12"/>
  <c r="J85" i="12"/>
  <c r="I85" i="12"/>
  <c r="J84" i="12"/>
  <c r="I84" i="12"/>
  <c r="R83" i="12"/>
  <c r="J83" i="12"/>
  <c r="I83" i="12"/>
  <c r="J82" i="12"/>
  <c r="I82" i="12"/>
  <c r="J81" i="12"/>
  <c r="I81" i="12"/>
  <c r="J80" i="12"/>
  <c r="I80" i="12"/>
  <c r="J79" i="12"/>
  <c r="I79" i="12"/>
  <c r="J78" i="12"/>
  <c r="I78" i="12"/>
  <c r="J77" i="12"/>
  <c r="I77" i="12"/>
  <c r="J76" i="12"/>
  <c r="I76" i="12"/>
  <c r="J75" i="12"/>
  <c r="I75" i="12"/>
  <c r="J74" i="12"/>
  <c r="I74" i="12"/>
  <c r="J73" i="12"/>
  <c r="I73" i="12"/>
  <c r="J72" i="12"/>
  <c r="I72" i="12"/>
  <c r="J71" i="12"/>
  <c r="I71" i="12"/>
  <c r="J70" i="12"/>
  <c r="I70" i="12"/>
  <c r="J69" i="12"/>
  <c r="I69" i="12"/>
  <c r="J68" i="12"/>
  <c r="I68" i="12"/>
  <c r="J67" i="12"/>
  <c r="I67" i="12"/>
  <c r="R66" i="12"/>
  <c r="J66" i="12"/>
  <c r="I66" i="12"/>
  <c r="J65" i="12"/>
  <c r="I65" i="12"/>
  <c r="J64" i="12"/>
  <c r="I64" i="12"/>
  <c r="J63" i="12"/>
  <c r="J62" i="12"/>
  <c r="I62" i="12"/>
  <c r="J61" i="12"/>
  <c r="I61" i="12"/>
  <c r="J60" i="12"/>
  <c r="I60" i="12"/>
  <c r="R59" i="12"/>
  <c r="J59" i="12"/>
  <c r="I59" i="12"/>
  <c r="J58" i="12"/>
  <c r="I58" i="12"/>
  <c r="J57" i="12"/>
  <c r="I57" i="12"/>
  <c r="J56" i="12"/>
  <c r="I56" i="12"/>
  <c r="J55" i="12"/>
  <c r="I55" i="12"/>
  <c r="J54" i="12"/>
  <c r="I54" i="12"/>
  <c r="J53" i="12"/>
  <c r="I53" i="12"/>
  <c r="J52" i="12"/>
  <c r="I52" i="12"/>
  <c r="J51" i="12"/>
  <c r="I51" i="12"/>
  <c r="J50" i="12"/>
  <c r="I50" i="12"/>
  <c r="J49" i="12"/>
  <c r="I49" i="12"/>
  <c r="J48" i="12"/>
  <c r="I48" i="12"/>
  <c r="J47" i="12"/>
  <c r="I47" i="12"/>
  <c r="J45" i="12"/>
  <c r="I45" i="12"/>
  <c r="J44" i="12"/>
  <c r="I44" i="12"/>
  <c r="J43" i="12"/>
  <c r="I43" i="12"/>
  <c r="J42" i="12"/>
  <c r="I42" i="12"/>
  <c r="J41" i="12"/>
  <c r="I41" i="12"/>
  <c r="J40" i="12"/>
  <c r="I40" i="12"/>
  <c r="J39" i="12"/>
  <c r="I39" i="12"/>
  <c r="J38" i="12"/>
  <c r="I38" i="12"/>
  <c r="J37" i="12"/>
  <c r="I37" i="12"/>
  <c r="R36" i="12"/>
  <c r="J36" i="12"/>
  <c r="I36" i="12"/>
  <c r="J35" i="12"/>
  <c r="I35" i="12"/>
  <c r="J34" i="12"/>
  <c r="I34" i="12"/>
  <c r="J33" i="12"/>
  <c r="I33" i="12"/>
  <c r="J32" i="12"/>
  <c r="I32" i="12"/>
  <c r="J31" i="12"/>
  <c r="I31" i="12"/>
  <c r="J30" i="12"/>
  <c r="I30" i="12"/>
  <c r="J29" i="12"/>
  <c r="I29" i="12"/>
  <c r="J28" i="12"/>
  <c r="I28" i="12"/>
  <c r="J27" i="12"/>
  <c r="I27" i="12"/>
  <c r="R26" i="12"/>
  <c r="I26" i="12"/>
  <c r="Q25" i="12"/>
  <c r="J24" i="12"/>
  <c r="I24" i="12"/>
  <c r="J23" i="12"/>
  <c r="I23" i="12"/>
  <c r="J22" i="12"/>
  <c r="I22" i="12"/>
  <c r="J21" i="12"/>
  <c r="I21" i="12"/>
  <c r="J20" i="12"/>
  <c r="I20" i="12"/>
  <c r="J19" i="12"/>
  <c r="I19" i="12"/>
  <c r="R18" i="12"/>
  <c r="J18" i="12"/>
  <c r="I18" i="12"/>
  <c r="J17" i="12"/>
  <c r="I17" i="12"/>
  <c r="J16" i="12"/>
  <c r="I16" i="12"/>
  <c r="R15" i="12"/>
  <c r="J15" i="12"/>
  <c r="I15" i="12"/>
  <c r="J14" i="12"/>
  <c r="I14" i="12"/>
  <c r="AG13" i="12"/>
  <c r="J13" i="12"/>
  <c r="I13" i="12"/>
  <c r="J12" i="12"/>
  <c r="I12" i="12"/>
  <c r="J11" i="12"/>
  <c r="I11" i="12"/>
  <c r="J10" i="12"/>
  <c r="I10" i="12"/>
  <c r="J9" i="12"/>
  <c r="I9" i="12"/>
  <c r="AF8" i="12"/>
  <c r="J8" i="12"/>
  <c r="J7" i="12"/>
  <c r="I7" i="12"/>
  <c r="J6" i="12"/>
  <c r="I6" i="12"/>
  <c r="N502" i="7"/>
  <c r="M502" i="7"/>
  <c r="N501" i="7"/>
  <c r="M501" i="7"/>
  <c r="N500" i="7"/>
  <c r="M500" i="7"/>
  <c r="N496" i="7"/>
  <c r="D498" i="7"/>
  <c r="E498" i="7"/>
  <c r="M496" i="7"/>
  <c r="M498" i="7"/>
  <c r="I96" i="3"/>
  <c r="D485" i="7"/>
  <c r="E485" i="7"/>
  <c r="D486" i="7"/>
  <c r="E486" i="7"/>
  <c r="D487" i="7"/>
  <c r="E487" i="7"/>
  <c r="D490" i="7"/>
  <c r="E490" i="7"/>
  <c r="D489" i="7"/>
  <c r="E489" i="7"/>
  <c r="D488" i="7"/>
  <c r="E488" i="7"/>
  <c r="D491" i="7"/>
  <c r="E491" i="7"/>
  <c r="D492" i="7"/>
  <c r="E492" i="7"/>
  <c r="D493" i="7"/>
  <c r="E493" i="7"/>
  <c r="D494" i="7"/>
  <c r="E494" i="7"/>
  <c r="D495" i="7"/>
  <c r="E495" i="7"/>
  <c r="N495" i="7"/>
  <c r="I13" i="4"/>
  <c r="J13" i="4" s="1"/>
  <c r="I12" i="4"/>
  <c r="J12" i="4" s="1"/>
  <c r="N493" i="7"/>
  <c r="N494" i="7"/>
  <c r="N492" i="7"/>
  <c r="N491" i="7"/>
  <c r="M491" i="7"/>
  <c r="N488" i="7"/>
  <c r="M488" i="7"/>
  <c r="M489" i="7"/>
  <c r="N489" i="7"/>
  <c r="N490" i="7"/>
  <c r="M487" i="7"/>
  <c r="N487" i="7"/>
  <c r="N486" i="7"/>
  <c r="I80" i="3"/>
  <c r="D483" i="7"/>
  <c r="E483" i="7"/>
  <c r="D484" i="7"/>
  <c r="E484" i="7"/>
  <c r="N483" i="7"/>
  <c r="N484" i="7"/>
  <c r="N485" i="7"/>
  <c r="M483" i="7"/>
  <c r="M484" i="7"/>
  <c r="M485" i="7"/>
  <c r="M486" i="7"/>
  <c r="D482" i="7"/>
  <c r="E482" i="7"/>
  <c r="D481" i="7"/>
  <c r="E481" i="7"/>
  <c r="N482" i="7"/>
  <c r="M482" i="7"/>
  <c r="N481" i="7"/>
  <c r="M481" i="7"/>
  <c r="E400" i="7"/>
  <c r="D400" i="7"/>
  <c r="E478" i="7"/>
  <c r="D478" i="7"/>
  <c r="E479" i="7"/>
  <c r="D479" i="7"/>
  <c r="E480" i="7"/>
  <c r="D480" i="7"/>
  <c r="E477" i="7"/>
  <c r="D477" i="7"/>
  <c r="E476" i="7"/>
  <c r="D476" i="7"/>
  <c r="E474" i="7"/>
  <c r="D474" i="7"/>
  <c r="E475" i="7"/>
  <c r="D475" i="7"/>
  <c r="N479" i="7"/>
  <c r="N478" i="7"/>
  <c r="M479" i="7"/>
  <c r="M478" i="7"/>
  <c r="N480" i="7"/>
  <c r="M480" i="7"/>
  <c r="N477" i="7"/>
  <c r="M477" i="7"/>
  <c r="N476" i="7"/>
  <c r="M476" i="7"/>
  <c r="M474" i="7"/>
  <c r="N474" i="7"/>
  <c r="N475" i="7"/>
  <c r="M475" i="7"/>
  <c r="N473" i="7"/>
  <c r="M473" i="7"/>
  <c r="E473" i="7"/>
  <c r="D473" i="7"/>
  <c r="E472" i="7"/>
  <c r="D472" i="7"/>
  <c r="E471" i="7"/>
  <c r="D471" i="7"/>
  <c r="E470" i="7"/>
  <c r="D470" i="7"/>
  <c r="E469" i="7"/>
  <c r="D469" i="7"/>
  <c r="E468" i="7"/>
  <c r="D468" i="7"/>
  <c r="E467" i="7"/>
  <c r="D467" i="7"/>
  <c r="E465" i="7"/>
  <c r="D465" i="7"/>
  <c r="N472" i="7"/>
  <c r="M471" i="7"/>
  <c r="M472" i="7"/>
  <c r="N471" i="7"/>
  <c r="N470" i="7"/>
  <c r="M470" i="7"/>
  <c r="N800" i="7"/>
  <c r="M800" i="7"/>
  <c r="N469" i="7"/>
  <c r="M468" i="7"/>
  <c r="M469" i="7"/>
  <c r="N467" i="7"/>
  <c r="M467" i="7"/>
  <c r="N465" i="7"/>
  <c r="N466" i="7"/>
  <c r="M465" i="7"/>
  <c r="M466" i="7"/>
  <c r="E466" i="7"/>
  <c r="D466" i="7"/>
  <c r="D435" i="7"/>
  <c r="E435" i="7"/>
  <c r="D434" i="7"/>
  <c r="E434" i="7"/>
  <c r="D433" i="7"/>
  <c r="E433" i="7"/>
  <c r="D418" i="7"/>
  <c r="E418" i="7"/>
  <c r="D436" i="7"/>
  <c r="E436" i="7"/>
  <c r="D437" i="7"/>
  <c r="E437" i="7"/>
  <c r="D438" i="7"/>
  <c r="E438" i="7"/>
  <c r="D439" i="7"/>
  <c r="E439" i="7"/>
  <c r="D443" i="7"/>
  <c r="E443" i="7"/>
  <c r="D440" i="7"/>
  <c r="E440" i="7"/>
  <c r="D444" i="7"/>
  <c r="E444" i="7"/>
  <c r="D441" i="7"/>
  <c r="E441" i="7"/>
  <c r="D442" i="7"/>
  <c r="E442" i="7"/>
  <c r="D446" i="7"/>
  <c r="E446" i="7"/>
  <c r="D447" i="7"/>
  <c r="E447" i="7"/>
  <c r="D449" i="7"/>
  <c r="E449" i="7"/>
  <c r="D450" i="7"/>
  <c r="E450" i="7"/>
  <c r="D448" i="7"/>
  <c r="E448" i="7"/>
  <c r="D451" i="7"/>
  <c r="E451" i="7"/>
  <c r="D452" i="7"/>
  <c r="E452" i="7"/>
  <c r="D453" i="7"/>
  <c r="E453" i="7"/>
  <c r="D454" i="7"/>
  <c r="E454" i="7"/>
  <c r="D455" i="7"/>
  <c r="E455" i="7"/>
  <c r="D456" i="7"/>
  <c r="E456" i="7"/>
  <c r="D457" i="7"/>
  <c r="E457" i="7"/>
  <c r="D458" i="7"/>
  <c r="E458" i="7"/>
  <c r="D459" i="7"/>
  <c r="E459" i="7"/>
  <c r="D460" i="7"/>
  <c r="E460" i="7"/>
  <c r="D461" i="7"/>
  <c r="E461" i="7"/>
  <c r="D462" i="7"/>
  <c r="E462" i="7"/>
  <c r="D463" i="7"/>
  <c r="E463" i="7"/>
  <c r="D445" i="7"/>
  <c r="E445" i="7"/>
  <c r="D464" i="7"/>
  <c r="E464" i="7"/>
  <c r="N464" i="7"/>
  <c r="M464" i="7"/>
  <c r="P441" i="7"/>
  <c r="M463" i="7"/>
  <c r="M445" i="7"/>
  <c r="N463" i="7"/>
  <c r="N445" i="7"/>
  <c r="N462" i="7"/>
  <c r="M462" i="7"/>
  <c r="N460" i="7"/>
  <c r="N461" i="7"/>
  <c r="M460" i="7"/>
  <c r="M461" i="7"/>
  <c r="J7" i="4"/>
  <c r="I93" i="3"/>
  <c r="J93" i="3"/>
  <c r="J92" i="3"/>
  <c r="N458" i="7"/>
  <c r="N459" i="7"/>
  <c r="M458" i="7"/>
  <c r="M459" i="7"/>
  <c r="J58" i="3"/>
  <c r="N457" i="7"/>
  <c r="M457" i="7"/>
  <c r="N456" i="7"/>
  <c r="M456" i="7"/>
  <c r="M341" i="7"/>
  <c r="I7" i="4"/>
  <c r="I5" i="4"/>
  <c r="N453" i="7"/>
  <c r="N454" i="7"/>
  <c r="M453" i="7"/>
  <c r="M454" i="7"/>
  <c r="J6" i="4"/>
  <c r="N451" i="7"/>
  <c r="N452" i="7"/>
  <c r="M451" i="7"/>
  <c r="M452" i="7"/>
  <c r="N448" i="7"/>
  <c r="M448" i="7"/>
  <c r="N450" i="7"/>
  <c r="M450" i="7"/>
  <c r="N449" i="7"/>
  <c r="M449" i="7"/>
  <c r="N447" i="7"/>
  <c r="L5" i="14" s="1"/>
  <c r="L11" i="14" s="1"/>
  <c r="M447" i="7"/>
  <c r="N446" i="7"/>
  <c r="M446" i="7"/>
  <c r="N442" i="7"/>
  <c r="M442" i="7"/>
  <c r="N441" i="7"/>
  <c r="M441" i="7"/>
  <c r="J5" i="4"/>
  <c r="J45" i="3"/>
  <c r="M437" i="7"/>
  <c r="N437" i="7"/>
  <c r="M438" i="7"/>
  <c r="N438" i="7"/>
  <c r="M439" i="7"/>
  <c r="N439" i="7"/>
  <c r="M443" i="7"/>
  <c r="N443" i="7"/>
  <c r="M440" i="7"/>
  <c r="N440" i="7"/>
  <c r="M444" i="7"/>
  <c r="N444" i="7"/>
  <c r="D359" i="7"/>
  <c r="E359" i="7"/>
  <c r="D356" i="7"/>
  <c r="E356" i="7"/>
  <c r="D358" i="7"/>
  <c r="E358" i="7"/>
  <c r="D357" i="7"/>
  <c r="E357" i="7"/>
  <c r="D354" i="7"/>
  <c r="E354" i="7"/>
  <c r="D350" i="7"/>
  <c r="E350" i="7"/>
  <c r="D362" i="7"/>
  <c r="E362" i="7"/>
  <c r="D364" i="7"/>
  <c r="E364" i="7"/>
  <c r="D365" i="7"/>
  <c r="E365" i="7"/>
  <c r="D367" i="7"/>
  <c r="E367" i="7"/>
  <c r="D369" i="7"/>
  <c r="E369" i="7"/>
  <c r="D368" i="7"/>
  <c r="E368" i="7"/>
  <c r="D370" i="7"/>
  <c r="E370" i="7"/>
  <c r="D372" i="7"/>
  <c r="E372" i="7"/>
  <c r="D373" i="7"/>
  <c r="E373" i="7"/>
  <c r="D375" i="7"/>
  <c r="E375" i="7"/>
  <c r="D374" i="7"/>
  <c r="E374" i="7"/>
  <c r="D376" i="7"/>
  <c r="E376" i="7"/>
  <c r="D378" i="7"/>
  <c r="E378" i="7"/>
  <c r="D377" i="7"/>
  <c r="E377" i="7"/>
  <c r="D379" i="7"/>
  <c r="E379" i="7"/>
  <c r="D381" i="7"/>
  <c r="E381" i="7"/>
  <c r="D380" i="7"/>
  <c r="E380" i="7"/>
  <c r="D382" i="7"/>
  <c r="E382" i="7"/>
  <c r="D383" i="7"/>
  <c r="E383" i="7"/>
  <c r="D384" i="7"/>
  <c r="E384" i="7"/>
  <c r="D385" i="7"/>
  <c r="E385" i="7"/>
  <c r="D386" i="7"/>
  <c r="E386" i="7"/>
  <c r="D387" i="7"/>
  <c r="E387" i="7"/>
  <c r="D388" i="7"/>
  <c r="E388" i="7"/>
  <c r="D389" i="7"/>
  <c r="E389" i="7"/>
  <c r="D392" i="7"/>
  <c r="E392" i="7"/>
  <c r="D393" i="7"/>
  <c r="E393" i="7"/>
  <c r="D394" i="7"/>
  <c r="E394" i="7"/>
  <c r="D395" i="7"/>
  <c r="E395" i="7"/>
  <c r="D397" i="7"/>
  <c r="E397" i="7"/>
  <c r="D396" i="7"/>
  <c r="E396" i="7"/>
  <c r="D398" i="7"/>
  <c r="E398" i="7"/>
  <c r="D399" i="7"/>
  <c r="E399" i="7"/>
  <c r="D401" i="7"/>
  <c r="E401" i="7"/>
  <c r="D403" i="7"/>
  <c r="E403" i="7"/>
  <c r="D404" i="7"/>
  <c r="E404" i="7"/>
  <c r="D406" i="7"/>
  <c r="E406" i="7"/>
  <c r="D405" i="7"/>
  <c r="E405" i="7"/>
  <c r="D407" i="7"/>
  <c r="E407" i="7"/>
  <c r="D408" i="7"/>
  <c r="E408" i="7"/>
  <c r="D409" i="7"/>
  <c r="E409" i="7"/>
  <c r="D410" i="7"/>
  <c r="E410" i="7"/>
  <c r="D412" i="7"/>
  <c r="E412" i="7"/>
  <c r="D411" i="7"/>
  <c r="E411" i="7"/>
  <c r="D413" i="7"/>
  <c r="E413" i="7"/>
  <c r="D416" i="7"/>
  <c r="E416" i="7"/>
  <c r="D414" i="7"/>
  <c r="E414" i="7"/>
  <c r="D415" i="7"/>
  <c r="E415" i="7"/>
  <c r="D417" i="7"/>
  <c r="E417" i="7"/>
  <c r="D402" i="7"/>
  <c r="E402" i="7"/>
  <c r="D420" i="7"/>
  <c r="E420" i="7"/>
  <c r="D419" i="7"/>
  <c r="E419" i="7"/>
  <c r="D421" i="7"/>
  <c r="E421" i="7"/>
  <c r="D423" i="7"/>
  <c r="E423" i="7"/>
  <c r="D422" i="7"/>
  <c r="E422" i="7"/>
  <c r="D424" i="7"/>
  <c r="E424" i="7"/>
  <c r="D425" i="7"/>
  <c r="E425" i="7"/>
  <c r="D426" i="7"/>
  <c r="E426" i="7"/>
  <c r="D428" i="7"/>
  <c r="E428" i="7"/>
  <c r="D427" i="7"/>
  <c r="E427" i="7"/>
  <c r="D429" i="7"/>
  <c r="E429" i="7"/>
  <c r="D430" i="7"/>
  <c r="E430" i="7"/>
  <c r="D431" i="7"/>
  <c r="E431" i="7"/>
  <c r="D432" i="7"/>
  <c r="E432" i="7"/>
  <c r="M436" i="7"/>
  <c r="N436" i="7"/>
  <c r="N435" i="7"/>
  <c r="M435" i="7"/>
  <c r="N434" i="7"/>
  <c r="N433" i="7"/>
  <c r="M434" i="7"/>
  <c r="M433" i="7"/>
  <c r="N432" i="7"/>
  <c r="M432" i="7"/>
  <c r="N430" i="7"/>
  <c r="N431" i="7"/>
  <c r="M430" i="7"/>
  <c r="M431" i="7"/>
  <c r="N429" i="7"/>
  <c r="M429" i="7"/>
  <c r="N427" i="7"/>
  <c r="M427" i="7"/>
  <c r="N426" i="7"/>
  <c r="N428" i="7"/>
  <c r="M426" i="7"/>
  <c r="M428" i="7"/>
  <c r="N424" i="7"/>
  <c r="N425" i="7"/>
  <c r="M424" i="7"/>
  <c r="M425" i="7"/>
  <c r="N422" i="7"/>
  <c r="M422" i="7"/>
  <c r="M423" i="7"/>
  <c r="N423" i="7"/>
  <c r="N421" i="7"/>
  <c r="M421" i="7"/>
  <c r="N419" i="7"/>
  <c r="M419" i="7"/>
  <c r="N400" i="7"/>
  <c r="N420" i="7"/>
  <c r="M400" i="7"/>
  <c r="M420" i="7"/>
  <c r="P105" i="7"/>
  <c r="P364" i="7"/>
  <c r="D363" i="7"/>
  <c r="E363" i="7"/>
  <c r="D330" i="7"/>
  <c r="E330" i="7"/>
  <c r="D332" i="7"/>
  <c r="E332" i="7"/>
  <c r="D343" i="7"/>
  <c r="E343" i="7"/>
  <c r="D361" i="7"/>
  <c r="E361" i="7"/>
  <c r="D366" i="7"/>
  <c r="E366" i="7"/>
  <c r="D371" i="7"/>
  <c r="E371" i="7"/>
  <c r="D252" i="7"/>
  <c r="E252" i="7"/>
  <c r="D89" i="7"/>
  <c r="E89" i="7"/>
  <c r="D105" i="7"/>
  <c r="E105" i="7"/>
  <c r="D193" i="7"/>
  <c r="E193" i="7"/>
  <c r="D200" i="7"/>
  <c r="E200" i="7"/>
  <c r="D209" i="7"/>
  <c r="E209" i="7"/>
  <c r="D211" i="7"/>
  <c r="E211" i="7"/>
  <c r="D304" i="7"/>
  <c r="E304" i="7"/>
  <c r="D327" i="7"/>
  <c r="E327" i="7"/>
  <c r="D342" i="7"/>
  <c r="E342" i="7"/>
  <c r="D351" i="7"/>
  <c r="E351" i="7"/>
  <c r="D360" i="7"/>
  <c r="E360" i="7"/>
  <c r="D352" i="7"/>
  <c r="E352" i="7"/>
  <c r="D355" i="7"/>
  <c r="E355" i="7"/>
  <c r="P401" i="7"/>
  <c r="P399" i="7"/>
  <c r="P396" i="7"/>
  <c r="P395" i="7"/>
  <c r="P405" i="7"/>
  <c r="P407" i="7"/>
  <c r="P408" i="7"/>
  <c r="P409" i="7"/>
  <c r="P410" i="7"/>
  <c r="P412" i="7"/>
  <c r="P411" i="7"/>
  <c r="P413" i="7"/>
  <c r="P416" i="7"/>
  <c r="P415" i="7"/>
  <c r="P418" i="7"/>
  <c r="P417" i="7"/>
  <c r="P402" i="7"/>
  <c r="N402" i="7"/>
  <c r="M402" i="7"/>
  <c r="N417" i="7"/>
  <c r="M417" i="7"/>
  <c r="N418" i="7"/>
  <c r="M418" i="7"/>
  <c r="P368" i="7"/>
  <c r="P349" i="7"/>
  <c r="P388" i="7"/>
  <c r="N414" i="7"/>
  <c r="N415" i="7"/>
  <c r="M414" i="7"/>
  <c r="M415" i="7"/>
  <c r="N416" i="7"/>
  <c r="M416" i="7"/>
  <c r="P360" i="7"/>
  <c r="N413" i="7"/>
  <c r="M413" i="7"/>
  <c r="J91" i="3"/>
  <c r="J38" i="3"/>
  <c r="I91" i="3"/>
  <c r="I38" i="3"/>
  <c r="N405" i="7"/>
  <c r="M411" i="7"/>
  <c r="N412" i="7"/>
  <c r="M412" i="7"/>
  <c r="N410" i="7"/>
  <c r="M410" i="7"/>
  <c r="N409" i="7"/>
  <c r="M409" i="7"/>
  <c r="N408" i="7"/>
  <c r="M408" i="7"/>
  <c r="N407" i="7"/>
  <c r="M407" i="7"/>
  <c r="N406" i="7"/>
  <c r="M406" i="7"/>
  <c r="M405" i="7"/>
  <c r="J37" i="3"/>
  <c r="I37" i="3"/>
  <c r="N404" i="7"/>
  <c r="M404" i="7"/>
  <c r="I36" i="3"/>
  <c r="J36" i="3"/>
  <c r="N403" i="7"/>
  <c r="M403" i="7"/>
  <c r="N401" i="7"/>
  <c r="M401" i="7"/>
  <c r="J113" i="3"/>
  <c r="N399" i="7"/>
  <c r="M399" i="7"/>
  <c r="P352" i="7"/>
  <c r="J42" i="3"/>
  <c r="J43" i="3"/>
  <c r="J44" i="3"/>
  <c r="N397" i="7"/>
  <c r="N396" i="7"/>
  <c r="N398" i="7"/>
  <c r="M397" i="7"/>
  <c r="M396" i="7"/>
  <c r="M398" i="7"/>
  <c r="N395" i="7"/>
  <c r="M395" i="7"/>
  <c r="N393" i="7"/>
  <c r="N394" i="7"/>
  <c r="M393" i="7"/>
  <c r="M394" i="7"/>
  <c r="N392" i="7"/>
  <c r="M392" i="7"/>
  <c r="J48" i="3"/>
  <c r="I48" i="3"/>
  <c r="N389" i="7"/>
  <c r="M389" i="7"/>
  <c r="N388" i="7"/>
  <c r="M388" i="7"/>
  <c r="N387" i="7"/>
  <c r="M387" i="7"/>
  <c r="N386" i="7"/>
  <c r="M386" i="7"/>
  <c r="N385" i="7"/>
  <c r="M385" i="7"/>
  <c r="M384" i="7"/>
  <c r="N384" i="7"/>
  <c r="N383" i="7"/>
  <c r="M383" i="7"/>
  <c r="N382" i="7"/>
  <c r="M382" i="7"/>
  <c r="N380" i="7"/>
  <c r="M380" i="7"/>
  <c r="J112" i="3"/>
  <c r="J41" i="3"/>
  <c r="I112" i="3"/>
  <c r="I41" i="3"/>
  <c r="D241" i="7"/>
  <c r="E241" i="7"/>
  <c r="D213" i="7"/>
  <c r="E213" i="7"/>
  <c r="D251" i="7"/>
  <c r="E251" i="7"/>
  <c r="D257" i="7"/>
  <c r="E257" i="7"/>
  <c r="D262" i="7"/>
  <c r="E262" i="7"/>
  <c r="D289" i="7"/>
  <c r="E289" i="7"/>
  <c r="D292" i="7"/>
  <c r="E292" i="7"/>
  <c r="D309" i="7"/>
  <c r="E309" i="7"/>
  <c r="D310" i="7"/>
  <c r="E310" i="7"/>
  <c r="D312" i="7"/>
  <c r="E312" i="7"/>
  <c r="D271" i="7"/>
  <c r="E271" i="7"/>
  <c r="D346" i="7"/>
  <c r="E346" i="7"/>
  <c r="D347" i="7"/>
  <c r="E347" i="7"/>
  <c r="D339" i="7"/>
  <c r="E339" i="7"/>
  <c r="D341" i="7"/>
  <c r="E341" i="7"/>
  <c r="D235" i="7"/>
  <c r="E235" i="7"/>
  <c r="D281" i="7"/>
  <c r="E281" i="7"/>
  <c r="D293" i="7"/>
  <c r="E293" i="7"/>
  <c r="D323" i="7"/>
  <c r="E323" i="7"/>
  <c r="D348" i="7"/>
  <c r="E348" i="7"/>
  <c r="D349" i="7"/>
  <c r="E349" i="7"/>
  <c r="D353" i="7"/>
  <c r="E353" i="7"/>
  <c r="J47" i="3"/>
  <c r="I47" i="3"/>
  <c r="J46" i="3"/>
  <c r="I46" i="3"/>
  <c r="M365" i="7"/>
  <c r="N365" i="7"/>
  <c r="M366" i="7"/>
  <c r="N366" i="7"/>
  <c r="M367" i="7"/>
  <c r="N367" i="7"/>
  <c r="M369" i="7"/>
  <c r="N369" i="7"/>
  <c r="M368" i="7"/>
  <c r="N368" i="7"/>
  <c r="M370" i="7"/>
  <c r="N370" i="7"/>
  <c r="M372" i="7"/>
  <c r="N372" i="7"/>
  <c r="M373" i="7"/>
  <c r="N373" i="7"/>
  <c r="M371" i="7"/>
  <c r="N371" i="7"/>
  <c r="M375" i="7"/>
  <c r="N375" i="7"/>
  <c r="M374" i="7"/>
  <c r="N374" i="7"/>
  <c r="M376" i="7"/>
  <c r="M379" i="7"/>
  <c r="N379" i="7"/>
  <c r="M381" i="7"/>
  <c r="N381" i="7"/>
  <c r="P210" i="7"/>
  <c r="P207" i="7"/>
  <c r="P235" i="7"/>
  <c r="P281" i="7"/>
  <c r="P293" i="7"/>
  <c r="J55" i="3"/>
  <c r="I55" i="3"/>
  <c r="N362" i="7"/>
  <c r="N364" i="7"/>
  <c r="N363" i="7"/>
  <c r="M362" i="7"/>
  <c r="M364" i="7"/>
  <c r="M363" i="7"/>
  <c r="D4" i="7"/>
  <c r="E4" i="7"/>
  <c r="D5" i="7"/>
  <c r="E5" i="7"/>
  <c r="D6" i="7"/>
  <c r="E6" i="7"/>
  <c r="D7" i="7"/>
  <c r="E7" i="7"/>
  <c r="D8" i="7"/>
  <c r="E8" i="7"/>
  <c r="D9" i="7"/>
  <c r="E9" i="7"/>
  <c r="D11" i="7"/>
  <c r="E11" i="7"/>
  <c r="D12" i="7"/>
  <c r="E12" i="7"/>
  <c r="D10" i="7"/>
  <c r="E10" i="7"/>
  <c r="D14" i="7"/>
  <c r="E14" i="7"/>
  <c r="D13" i="7"/>
  <c r="E13" i="7"/>
  <c r="D15" i="7"/>
  <c r="E15" i="7"/>
  <c r="D16" i="7"/>
  <c r="E16" i="7"/>
  <c r="D17" i="7"/>
  <c r="E17" i="7"/>
  <c r="D18" i="7"/>
  <c r="E18" i="7"/>
  <c r="D19" i="7"/>
  <c r="E19" i="7"/>
  <c r="D20" i="7"/>
  <c r="E20" i="7"/>
  <c r="D21" i="7"/>
  <c r="E21" i="7"/>
  <c r="D22" i="7"/>
  <c r="E22" i="7"/>
  <c r="D25" i="7"/>
  <c r="E25" i="7"/>
  <c r="D23" i="7"/>
  <c r="E23" i="7"/>
  <c r="D24" i="7"/>
  <c r="E24" i="7"/>
  <c r="D26" i="7"/>
  <c r="E26" i="7"/>
  <c r="D27" i="7"/>
  <c r="E27" i="7"/>
  <c r="D28" i="7"/>
  <c r="E28" i="7"/>
  <c r="D29" i="7"/>
  <c r="E29" i="7"/>
  <c r="D30" i="7"/>
  <c r="E30" i="7"/>
  <c r="D31" i="7"/>
  <c r="E31" i="7"/>
  <c r="D32" i="7"/>
  <c r="E32" i="7"/>
  <c r="D33" i="7"/>
  <c r="E33" i="7"/>
  <c r="D34" i="7"/>
  <c r="E34" i="7"/>
  <c r="D35" i="7"/>
  <c r="E35" i="7"/>
  <c r="D36" i="7"/>
  <c r="E36" i="7"/>
  <c r="D37" i="7"/>
  <c r="E37" i="7"/>
  <c r="D38" i="7"/>
  <c r="E38" i="7"/>
  <c r="D39" i="7"/>
  <c r="E39" i="7"/>
  <c r="D40" i="7"/>
  <c r="E40" i="7"/>
  <c r="D41" i="7"/>
  <c r="E41" i="7"/>
  <c r="D42" i="7"/>
  <c r="E42" i="7"/>
  <c r="D44" i="7"/>
  <c r="E44" i="7"/>
  <c r="D43" i="7"/>
  <c r="E43" i="7"/>
  <c r="D45" i="7"/>
  <c r="E45" i="7"/>
  <c r="D46" i="7"/>
  <c r="E46" i="7"/>
  <c r="D47" i="7"/>
  <c r="E47" i="7"/>
  <c r="D48" i="7"/>
  <c r="E48" i="7"/>
  <c r="D49" i="7"/>
  <c r="E49" i="7"/>
  <c r="D50" i="7"/>
  <c r="E50" i="7"/>
  <c r="D51" i="7"/>
  <c r="E51" i="7"/>
  <c r="D52" i="7"/>
  <c r="E52" i="7"/>
  <c r="D53" i="7"/>
  <c r="E53" i="7"/>
  <c r="D54" i="7"/>
  <c r="E54" i="7"/>
  <c r="D56" i="7"/>
  <c r="E56" i="7"/>
  <c r="D55" i="7"/>
  <c r="E55" i="7"/>
  <c r="D57" i="7"/>
  <c r="E57" i="7"/>
  <c r="D58" i="7"/>
  <c r="E58" i="7"/>
  <c r="D59" i="7"/>
  <c r="E59" i="7"/>
  <c r="D60" i="7"/>
  <c r="E60" i="7"/>
  <c r="D62" i="7"/>
  <c r="E62" i="7"/>
  <c r="D61" i="7"/>
  <c r="E61" i="7"/>
  <c r="D63" i="7"/>
  <c r="E63" i="7"/>
  <c r="D64" i="7"/>
  <c r="E64" i="7"/>
  <c r="D97" i="7"/>
  <c r="E97" i="7"/>
  <c r="D112" i="7"/>
  <c r="E112" i="7"/>
  <c r="D143" i="7"/>
  <c r="E143" i="7"/>
  <c r="D175" i="7"/>
  <c r="E175" i="7"/>
  <c r="D178" i="7"/>
  <c r="E178" i="7"/>
  <c r="D215" i="7"/>
  <c r="E215" i="7"/>
  <c r="D225" i="7"/>
  <c r="E225" i="7"/>
  <c r="D229" i="7"/>
  <c r="E229" i="7"/>
  <c r="D236" i="7"/>
  <c r="E236" i="7"/>
  <c r="D258" i="7"/>
  <c r="E258" i="7"/>
  <c r="D260" i="7"/>
  <c r="E260" i="7"/>
  <c r="D276" i="7"/>
  <c r="E276" i="7"/>
  <c r="D189" i="7"/>
  <c r="E189" i="7"/>
  <c r="D186" i="7"/>
  <c r="E186" i="7"/>
  <c r="D169" i="7"/>
  <c r="E169" i="7"/>
  <c r="D165" i="7"/>
  <c r="E165" i="7"/>
  <c r="D173" i="7"/>
  <c r="E173" i="7"/>
  <c r="D179" i="7"/>
  <c r="E179" i="7"/>
  <c r="D185" i="7"/>
  <c r="E185" i="7"/>
  <c r="D198" i="7"/>
  <c r="E198" i="7"/>
  <c r="D230" i="7"/>
  <c r="E230" i="7"/>
  <c r="D190" i="7"/>
  <c r="E190" i="7"/>
  <c r="D183" i="7"/>
  <c r="E183" i="7"/>
  <c r="D194" i="7"/>
  <c r="E194" i="7"/>
  <c r="D180" i="7"/>
  <c r="E180" i="7"/>
  <c r="D202" i="7"/>
  <c r="E202" i="7"/>
  <c r="D203" i="7"/>
  <c r="E203" i="7"/>
  <c r="D69" i="7"/>
  <c r="E69" i="7"/>
  <c r="D176" i="7"/>
  <c r="E176" i="7"/>
  <c r="D184" i="7"/>
  <c r="E184" i="7"/>
  <c r="D187" i="7"/>
  <c r="E187" i="7"/>
  <c r="D196" i="7"/>
  <c r="E196" i="7"/>
  <c r="D197" i="7"/>
  <c r="E197" i="7"/>
  <c r="D139" i="7"/>
  <c r="E139" i="7"/>
  <c r="D161" i="7"/>
  <c r="E161" i="7"/>
  <c r="D162" i="7"/>
  <c r="E162" i="7"/>
  <c r="D163" i="7"/>
  <c r="E163" i="7"/>
  <c r="D167" i="7"/>
  <c r="E167" i="7"/>
  <c r="D166" i="7"/>
  <c r="E166" i="7"/>
  <c r="D177" i="7"/>
  <c r="E177" i="7"/>
  <c r="D136" i="7"/>
  <c r="E136" i="7"/>
  <c r="D149" i="7"/>
  <c r="E149" i="7"/>
  <c r="D152" i="7"/>
  <c r="E152" i="7"/>
  <c r="D217" i="7"/>
  <c r="E217" i="7"/>
  <c r="D223" i="7"/>
  <c r="E223" i="7"/>
  <c r="D237" i="7"/>
  <c r="E237" i="7"/>
  <c r="D242" i="7"/>
  <c r="E242" i="7"/>
  <c r="D249" i="7"/>
  <c r="E249" i="7"/>
  <c r="D254" i="7"/>
  <c r="E254" i="7"/>
  <c r="D255" i="7"/>
  <c r="E255" i="7"/>
  <c r="D216" i="7"/>
  <c r="E216" i="7"/>
  <c r="D214" i="7"/>
  <c r="E214" i="7"/>
  <c r="D231" i="7"/>
  <c r="E231" i="7"/>
  <c r="D224" i="7"/>
  <c r="E224" i="7"/>
  <c r="D245" i="7"/>
  <c r="E245" i="7"/>
  <c r="D250" i="7"/>
  <c r="E250" i="7"/>
  <c r="D256" i="7"/>
  <c r="E256" i="7"/>
  <c r="D259" i="7"/>
  <c r="E259" i="7"/>
  <c r="D221" i="7"/>
  <c r="E221" i="7"/>
  <c r="D268" i="7"/>
  <c r="E268" i="7"/>
  <c r="D269" i="7"/>
  <c r="E269" i="7"/>
  <c r="D238" i="7"/>
  <c r="E238" i="7"/>
  <c r="D246" i="7"/>
  <c r="E246" i="7"/>
  <c r="D205" i="7"/>
  <c r="E205" i="7"/>
  <c r="D206" i="7"/>
  <c r="E206" i="7"/>
  <c r="D222" i="7"/>
  <c r="E222" i="7"/>
  <c r="D226" i="7"/>
  <c r="E226" i="7"/>
  <c r="D239" i="7"/>
  <c r="E239" i="7"/>
  <c r="D232" i="7"/>
  <c r="E232" i="7"/>
  <c r="D218" i="7"/>
  <c r="E218" i="7"/>
  <c r="D261" i="7"/>
  <c r="E261" i="7"/>
  <c r="D204" i="7"/>
  <c r="E204" i="7"/>
  <c r="D247" i="7"/>
  <c r="E247" i="7"/>
  <c r="D263" i="7"/>
  <c r="E263" i="7"/>
  <c r="D219" i="7"/>
  <c r="E219" i="7"/>
  <c r="D207" i="7"/>
  <c r="E207" i="7"/>
  <c r="D210" i="7"/>
  <c r="E210" i="7"/>
  <c r="D201" i="7"/>
  <c r="E201" i="7"/>
  <c r="D233" i="7"/>
  <c r="E233" i="7"/>
  <c r="D243" i="7"/>
  <c r="E243" i="7"/>
  <c r="D272" i="7"/>
  <c r="E272" i="7"/>
  <c r="D288" i="7"/>
  <c r="E288" i="7"/>
  <c r="D191" i="7"/>
  <c r="E191" i="7"/>
  <c r="D100" i="7"/>
  <c r="E100" i="7"/>
  <c r="D171" i="7"/>
  <c r="E171" i="7"/>
  <c r="D181" i="7"/>
  <c r="E181" i="7"/>
  <c r="D126" i="7"/>
  <c r="E126" i="7"/>
  <c r="D192" i="7"/>
  <c r="E192" i="7"/>
  <c r="D195" i="7"/>
  <c r="E195" i="7"/>
  <c r="D154" i="7"/>
  <c r="E154" i="7"/>
  <c r="D155" i="7"/>
  <c r="E155" i="7"/>
  <c r="D174" i="7"/>
  <c r="E174" i="7"/>
  <c r="D144" i="7"/>
  <c r="E144" i="7"/>
  <c r="D145" i="7"/>
  <c r="E145" i="7"/>
  <c r="D156" i="7"/>
  <c r="E156" i="7"/>
  <c r="D150" i="7"/>
  <c r="E150" i="7"/>
  <c r="D115" i="7"/>
  <c r="E115" i="7"/>
  <c r="D123" i="7"/>
  <c r="E123" i="7"/>
  <c r="D127" i="7"/>
  <c r="E127" i="7"/>
  <c r="D135" i="7"/>
  <c r="E135" i="7"/>
  <c r="D131" i="7"/>
  <c r="E131" i="7"/>
  <c r="D151" i="7"/>
  <c r="E151" i="7"/>
  <c r="D153" i="7"/>
  <c r="E153" i="7"/>
  <c r="D106" i="7"/>
  <c r="E106" i="7"/>
  <c r="D116" i="7"/>
  <c r="E116" i="7"/>
  <c r="D72" i="7"/>
  <c r="E72" i="7"/>
  <c r="D157" i="7"/>
  <c r="E157" i="7"/>
  <c r="D158" i="7"/>
  <c r="E158" i="7"/>
  <c r="D119" i="7"/>
  <c r="E119" i="7"/>
  <c r="D128" i="7"/>
  <c r="E128" i="7"/>
  <c r="D159" i="7"/>
  <c r="E159" i="7"/>
  <c r="D74" i="7"/>
  <c r="E74" i="7"/>
  <c r="D146" i="7"/>
  <c r="E146" i="7"/>
  <c r="D99" i="7"/>
  <c r="E99" i="7"/>
  <c r="D141" i="7"/>
  <c r="E141" i="7"/>
  <c r="D140" i="7"/>
  <c r="E140" i="7"/>
  <c r="D130" i="7"/>
  <c r="E130" i="7"/>
  <c r="D134" i="7"/>
  <c r="E134" i="7"/>
  <c r="D133" i="7"/>
  <c r="E133" i="7"/>
  <c r="D137" i="7"/>
  <c r="E137" i="7"/>
  <c r="D102" i="7"/>
  <c r="E102" i="7"/>
  <c r="D82" i="7"/>
  <c r="E82" i="7"/>
  <c r="D92" i="7"/>
  <c r="E92" i="7"/>
  <c r="D96" i="7"/>
  <c r="E96" i="7"/>
  <c r="D101" i="7"/>
  <c r="E101" i="7"/>
  <c r="D110" i="7"/>
  <c r="E110" i="7"/>
  <c r="D111" i="7"/>
  <c r="E111" i="7"/>
  <c r="D90" i="7"/>
  <c r="E90" i="7"/>
  <c r="D104" i="7"/>
  <c r="E104" i="7"/>
  <c r="D109" i="7"/>
  <c r="E109" i="7"/>
  <c r="D120" i="7"/>
  <c r="E120" i="7"/>
  <c r="D121" i="7"/>
  <c r="E121" i="7"/>
  <c r="D113" i="7"/>
  <c r="E113" i="7"/>
  <c r="D114" i="7"/>
  <c r="E114" i="7"/>
  <c r="D122" i="7"/>
  <c r="E122" i="7"/>
  <c r="D212" i="7"/>
  <c r="E212" i="7"/>
  <c r="D107" i="7"/>
  <c r="E107" i="7"/>
  <c r="D93" i="7"/>
  <c r="E93" i="7"/>
  <c r="D83" i="7"/>
  <c r="E83" i="7"/>
  <c r="D94" i="7"/>
  <c r="E94" i="7"/>
  <c r="D98" i="7"/>
  <c r="E98" i="7"/>
  <c r="D125" i="7"/>
  <c r="E125" i="7"/>
  <c r="D91" i="7"/>
  <c r="E91" i="7"/>
  <c r="D77" i="7"/>
  <c r="E77" i="7"/>
  <c r="D73" i="7"/>
  <c r="E73" i="7"/>
  <c r="D84" i="7"/>
  <c r="E84" i="7"/>
  <c r="D85" i="7"/>
  <c r="E85" i="7"/>
  <c r="D70" i="7"/>
  <c r="E70" i="7"/>
  <c r="D79" i="7"/>
  <c r="E79" i="7"/>
  <c r="D86" i="7"/>
  <c r="E86" i="7"/>
  <c r="D103" i="7"/>
  <c r="E103" i="7"/>
  <c r="D80" i="7"/>
  <c r="E80" i="7"/>
  <c r="D75" i="7"/>
  <c r="E75" i="7"/>
  <c r="D76" i="7"/>
  <c r="E76" i="7"/>
  <c r="D71" i="7"/>
  <c r="E71" i="7"/>
  <c r="D88" i="7"/>
  <c r="E88" i="7"/>
  <c r="D95" i="7"/>
  <c r="E95" i="7"/>
  <c r="D78" i="7"/>
  <c r="E78" i="7"/>
  <c r="D66" i="7"/>
  <c r="E66" i="7"/>
  <c r="D234" i="7"/>
  <c r="E234" i="7"/>
  <c r="D266" i="7"/>
  <c r="E266" i="7"/>
  <c r="D282" i="7"/>
  <c r="E282" i="7"/>
  <c r="D286" i="7"/>
  <c r="E286" i="7"/>
  <c r="D270" i="7"/>
  <c r="E270" i="7"/>
  <c r="D117" i="7"/>
  <c r="E117" i="7"/>
  <c r="D147" i="7"/>
  <c r="E147" i="7"/>
  <c r="D148" i="7"/>
  <c r="E148" i="7"/>
  <c r="D273" i="7"/>
  <c r="E273" i="7"/>
  <c r="D277" i="7"/>
  <c r="E277" i="7"/>
  <c r="D279" i="7"/>
  <c r="E279" i="7"/>
  <c r="D283" i="7"/>
  <c r="E283" i="7"/>
  <c r="D284" i="7"/>
  <c r="E284" i="7"/>
  <c r="D280" i="7"/>
  <c r="E280" i="7"/>
  <c r="D305" i="7"/>
  <c r="E305" i="7"/>
  <c r="D290" i="7"/>
  <c r="E290" i="7"/>
  <c r="D297" i="7"/>
  <c r="E297" i="7"/>
  <c r="D299" i="7"/>
  <c r="E299" i="7"/>
  <c r="D264" i="7"/>
  <c r="E264" i="7"/>
  <c r="D227" i="7"/>
  <c r="E227" i="7"/>
  <c r="D287" i="7"/>
  <c r="E287" i="7"/>
  <c r="D274" i="7"/>
  <c r="E274" i="7"/>
  <c r="D275" i="7"/>
  <c r="E275" i="7"/>
  <c r="D81" i="7"/>
  <c r="E81" i="7"/>
  <c r="D182" i="7"/>
  <c r="E182" i="7"/>
  <c r="D291" i="7"/>
  <c r="E291" i="7"/>
  <c r="D188" i="7"/>
  <c r="E188" i="7"/>
  <c r="D220" i="7"/>
  <c r="E220" i="7"/>
  <c r="D240" i="7"/>
  <c r="E240" i="7"/>
  <c r="D253" i="7"/>
  <c r="E253" i="7"/>
  <c r="D265" i="7"/>
  <c r="E265" i="7"/>
  <c r="D108" i="7"/>
  <c r="E108" i="7"/>
  <c r="D164" i="7"/>
  <c r="E164" i="7"/>
  <c r="D172" i="7"/>
  <c r="E172" i="7"/>
  <c r="D306" i="7"/>
  <c r="E306" i="7"/>
  <c r="D316" i="7"/>
  <c r="E316" i="7"/>
  <c r="D313" i="7"/>
  <c r="E313" i="7"/>
  <c r="D319" i="7"/>
  <c r="E319" i="7"/>
  <c r="D321" i="7"/>
  <c r="E321" i="7"/>
  <c r="D300" i="7"/>
  <c r="E300" i="7"/>
  <c r="D308" i="7"/>
  <c r="E308" i="7"/>
  <c r="D314" i="7"/>
  <c r="E314" i="7"/>
  <c r="D267" i="7"/>
  <c r="E267" i="7"/>
  <c r="D285" i="7"/>
  <c r="E285" i="7"/>
  <c r="D294" i="7"/>
  <c r="E294" i="7"/>
  <c r="D199" i="7"/>
  <c r="E199" i="7"/>
  <c r="D307" i="7"/>
  <c r="E307" i="7"/>
  <c r="D322" i="7"/>
  <c r="E322" i="7"/>
  <c r="D248" i="7"/>
  <c r="E248" i="7"/>
  <c r="D301" i="7"/>
  <c r="E301" i="7"/>
  <c r="D315" i="7"/>
  <c r="E315" i="7"/>
  <c r="D317" i="7"/>
  <c r="E317" i="7"/>
  <c r="D318" i="7"/>
  <c r="E318" i="7"/>
  <c r="D295" i="7"/>
  <c r="E295" i="7"/>
  <c r="D303" i="7"/>
  <c r="E303" i="7"/>
  <c r="D296" i="7"/>
  <c r="E296" i="7"/>
  <c r="D311" i="7"/>
  <c r="E311" i="7"/>
  <c r="D302" i="7"/>
  <c r="E302" i="7"/>
  <c r="D118" i="7"/>
  <c r="E118" i="7"/>
  <c r="D124" i="7"/>
  <c r="E124" i="7"/>
  <c r="D129" i="7"/>
  <c r="E129" i="7"/>
  <c r="D132" i="7"/>
  <c r="E132" i="7"/>
  <c r="D138" i="7"/>
  <c r="E138" i="7"/>
  <c r="D67" i="7"/>
  <c r="E67" i="7"/>
  <c r="D68" i="7"/>
  <c r="E68" i="7"/>
  <c r="D170" i="7"/>
  <c r="E170" i="7"/>
  <c r="D208" i="7"/>
  <c r="E208" i="7"/>
  <c r="D228" i="7"/>
  <c r="E228" i="7"/>
  <c r="D325" i="7"/>
  <c r="E325" i="7"/>
  <c r="D334" i="7"/>
  <c r="E334" i="7"/>
  <c r="D335" i="7"/>
  <c r="E335" i="7"/>
  <c r="D244" i="7"/>
  <c r="E244" i="7"/>
  <c r="D328" i="7"/>
  <c r="E328" i="7"/>
  <c r="D329" i="7"/>
  <c r="E329" i="7"/>
  <c r="D298" i="7"/>
  <c r="E298" i="7"/>
  <c r="D333" i="7"/>
  <c r="E333" i="7"/>
  <c r="D331" i="7"/>
  <c r="E331" i="7"/>
  <c r="D336" i="7"/>
  <c r="E336" i="7"/>
  <c r="D340" i="7"/>
  <c r="E340" i="7"/>
  <c r="D278" i="7"/>
  <c r="E278" i="7"/>
  <c r="D326" i="7"/>
  <c r="E326" i="7"/>
  <c r="D337" i="7"/>
  <c r="E337" i="7"/>
  <c r="D344" i="7"/>
  <c r="E344" i="7"/>
  <c r="D324" i="7"/>
  <c r="E324" i="7"/>
  <c r="D338" i="7"/>
  <c r="E338" i="7"/>
  <c r="D345" i="7"/>
  <c r="E345" i="7"/>
  <c r="D320" i="7"/>
  <c r="E320" i="7"/>
  <c r="D142" i="7"/>
  <c r="E142" i="7"/>
  <c r="D160" i="7"/>
  <c r="E160" i="7"/>
  <c r="D87" i="7"/>
  <c r="E87" i="7"/>
  <c r="D65" i="7"/>
  <c r="E65" i="7"/>
  <c r="D168" i="7"/>
  <c r="E168" i="7"/>
  <c r="N360" i="7"/>
  <c r="M360" i="7"/>
  <c r="J40" i="3"/>
  <c r="I40" i="3"/>
  <c r="N361" i="7"/>
  <c r="N355" i="7"/>
  <c r="M361" i="7"/>
  <c r="M355" i="7"/>
  <c r="N357" i="7"/>
  <c r="M357" i="7"/>
  <c r="N358" i="7"/>
  <c r="M358" i="7"/>
  <c r="N356" i="7"/>
  <c r="M356" i="7"/>
  <c r="N359" i="7"/>
  <c r="M359" i="7"/>
  <c r="N353" i="7"/>
  <c r="M353" i="7"/>
  <c r="N354" i="7"/>
  <c r="M354" i="7"/>
  <c r="N352" i="7"/>
  <c r="M352" i="7"/>
  <c r="M347" i="7"/>
  <c r="N350" i="7"/>
  <c r="M350" i="7"/>
  <c r="P345" i="7"/>
  <c r="P344" i="7"/>
  <c r="J35" i="3"/>
  <c r="I35" i="3"/>
  <c r="N348" i="7"/>
  <c r="N349" i="7"/>
  <c r="M348" i="7"/>
  <c r="M349" i="7"/>
  <c r="N342" i="7"/>
  <c r="N343" i="7"/>
  <c r="N351" i="7"/>
  <c r="M342" i="7"/>
  <c r="M343" i="7"/>
  <c r="M351" i="7"/>
  <c r="P363" i="7"/>
  <c r="P362" i="7"/>
  <c r="P361" i="7"/>
  <c r="P340" i="7"/>
  <c r="J108" i="3"/>
  <c r="I108" i="3"/>
  <c r="I33" i="3"/>
  <c r="J33" i="3"/>
  <c r="J53" i="3"/>
  <c r="P386" i="7"/>
  <c r="P385" i="7"/>
  <c r="P383" i="7"/>
  <c r="P382" i="7"/>
  <c r="P380" i="7"/>
  <c r="P381" i="7"/>
  <c r="P379" i="7"/>
  <c r="P376" i="7"/>
  <c r="P374" i="7"/>
  <c r="P371" i="7"/>
  <c r="P373" i="7"/>
  <c r="P372" i="7"/>
  <c r="P370" i="7"/>
  <c r="P369" i="7"/>
  <c r="P367" i="7"/>
  <c r="P366" i="7"/>
  <c r="P365" i="7"/>
  <c r="P336" i="7"/>
  <c r="P337" i="7"/>
  <c r="P338" i="7"/>
  <c r="P333" i="7"/>
  <c r="P331" i="7"/>
  <c r="P329" i="7"/>
  <c r="P328" i="7"/>
  <c r="P326" i="7"/>
  <c r="P327" i="7"/>
  <c r="P324" i="7"/>
  <c r="N341" i="7"/>
  <c r="J54" i="3"/>
  <c r="M336" i="7"/>
  <c r="N336" i="7"/>
  <c r="M334" i="7"/>
  <c r="N334" i="7"/>
  <c r="M335" i="7"/>
  <c r="N335" i="7"/>
  <c r="M340" i="7"/>
  <c r="N340" i="7"/>
  <c r="J52" i="3"/>
  <c r="I52" i="3"/>
  <c r="J78" i="3"/>
  <c r="N337" i="7"/>
  <c r="M337" i="7"/>
  <c r="N339" i="7"/>
  <c r="N338" i="7"/>
  <c r="M339" i="7"/>
  <c r="M338" i="7"/>
  <c r="N333" i="7"/>
  <c r="M333" i="7"/>
  <c r="N332" i="7"/>
  <c r="M332" i="7"/>
  <c r="N331" i="7"/>
  <c r="M331" i="7"/>
  <c r="N212" i="7"/>
  <c r="N330" i="7"/>
  <c r="M330" i="7"/>
  <c r="N328" i="7"/>
  <c r="N329" i="7"/>
  <c r="M326" i="7"/>
  <c r="M328" i="7"/>
  <c r="M329" i="7"/>
  <c r="N96" i="7"/>
  <c r="P318" i="7"/>
  <c r="P236" i="7"/>
  <c r="P5" i="7"/>
  <c r="P6" i="7"/>
  <c r="P7" i="7"/>
  <c r="P8" i="7"/>
  <c r="P9" i="7"/>
  <c r="P11" i="7"/>
  <c r="P12" i="7"/>
  <c r="P10" i="7"/>
  <c r="P14" i="7"/>
  <c r="P13" i="7"/>
  <c r="P15" i="7"/>
  <c r="P16" i="7"/>
  <c r="P17" i="7"/>
  <c r="P18" i="7"/>
  <c r="P19" i="7"/>
  <c r="P66" i="7"/>
  <c r="P20" i="7"/>
  <c r="P21" i="7"/>
  <c r="P22" i="7"/>
  <c r="P25" i="7"/>
  <c r="P23" i="7"/>
  <c r="P24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67" i="7"/>
  <c r="P68" i="7"/>
  <c r="P40" i="7"/>
  <c r="P41" i="7"/>
  <c r="P42" i="7"/>
  <c r="P44" i="7"/>
  <c r="P43" i="7"/>
  <c r="P45" i="7"/>
  <c r="P46" i="7"/>
  <c r="P47" i="7"/>
  <c r="P48" i="7"/>
  <c r="P49" i="7"/>
  <c r="P50" i="7"/>
  <c r="P51" i="7"/>
  <c r="P52" i="7"/>
  <c r="P53" i="7"/>
  <c r="P54" i="7"/>
  <c r="P56" i="7"/>
  <c r="P55" i="7"/>
  <c r="P69" i="7"/>
  <c r="P57" i="7"/>
  <c r="P58" i="7"/>
  <c r="P60" i="7"/>
  <c r="P62" i="7"/>
  <c r="P61" i="7"/>
  <c r="P63" i="7"/>
  <c r="P72" i="7"/>
  <c r="P64" i="7"/>
  <c r="P75" i="7"/>
  <c r="P76" i="7"/>
  <c r="P78" i="7"/>
  <c r="P80" i="7"/>
  <c r="P83" i="7"/>
  <c r="P86" i="7"/>
  <c r="P89" i="7"/>
  <c r="P91" i="7"/>
  <c r="P93" i="7"/>
  <c r="P94" i="7"/>
  <c r="P97" i="7"/>
  <c r="P98" i="7"/>
  <c r="P99" i="7"/>
  <c r="P100" i="7"/>
  <c r="P102" i="7"/>
  <c r="P103" i="7"/>
  <c r="P108" i="7"/>
  <c r="P106" i="7"/>
  <c r="P107" i="7"/>
  <c r="P109" i="7"/>
  <c r="P112" i="7"/>
  <c r="P113" i="7"/>
  <c r="P114" i="7"/>
  <c r="P116" i="7"/>
  <c r="P117" i="7"/>
  <c r="P120" i="7"/>
  <c r="P121" i="7"/>
  <c r="P122" i="7"/>
  <c r="P119" i="7"/>
  <c r="P125" i="7"/>
  <c r="P126" i="7"/>
  <c r="P128" i="7"/>
  <c r="P130" i="7"/>
  <c r="P133" i="7"/>
  <c r="P134" i="7"/>
  <c r="P137" i="7"/>
  <c r="P141" i="7"/>
  <c r="P140" i="7"/>
  <c r="P147" i="7"/>
  <c r="P148" i="7"/>
  <c r="P144" i="7"/>
  <c r="P145" i="7"/>
  <c r="P142" i="7"/>
  <c r="P143" i="7"/>
  <c r="P146" i="7"/>
  <c r="P158" i="7"/>
  <c r="P159" i="7"/>
  <c r="P154" i="7"/>
  <c r="P157" i="7"/>
  <c r="P156" i="7"/>
  <c r="P155" i="7"/>
  <c r="P164" i="7"/>
  <c r="P165" i="7"/>
  <c r="P169" i="7"/>
  <c r="P170" i="7"/>
  <c r="P172" i="7"/>
  <c r="P171" i="7"/>
  <c r="P174" i="7"/>
  <c r="P173" i="7"/>
  <c r="P175" i="7"/>
  <c r="P150" i="7"/>
  <c r="P181" i="7"/>
  <c r="P179" i="7"/>
  <c r="P178" i="7"/>
  <c r="P180" i="7"/>
  <c r="P183" i="7"/>
  <c r="P185" i="7"/>
  <c r="P186" i="7"/>
  <c r="P189" i="7"/>
  <c r="P190" i="7"/>
  <c r="P193" i="7"/>
  <c r="P192" i="7"/>
  <c r="P191" i="7"/>
  <c r="P194" i="7"/>
  <c r="P195" i="7"/>
  <c r="P196" i="7"/>
  <c r="P198" i="7"/>
  <c r="P200" i="7"/>
  <c r="P201" i="7"/>
  <c r="P202" i="7"/>
  <c r="P204" i="7"/>
  <c r="P203" i="7"/>
  <c r="P205" i="7"/>
  <c r="P206" i="7"/>
  <c r="P199" i="7"/>
  <c r="P208" i="7"/>
  <c r="P211" i="7"/>
  <c r="P212" i="7"/>
  <c r="P213" i="7"/>
  <c r="P214" i="7"/>
  <c r="P215" i="7"/>
  <c r="P218" i="7"/>
  <c r="P221" i="7"/>
  <c r="P222" i="7"/>
  <c r="P224" i="7"/>
  <c r="P226" i="7"/>
  <c r="P225" i="7"/>
  <c r="P230" i="7"/>
  <c r="P229" i="7"/>
  <c r="P231" i="7"/>
  <c r="P232" i="7"/>
  <c r="P233" i="7"/>
  <c r="P234" i="7"/>
  <c r="P227" i="7"/>
  <c r="P239" i="7"/>
  <c r="P243" i="7"/>
  <c r="P245" i="7"/>
  <c r="P247" i="7"/>
  <c r="P248" i="7"/>
  <c r="P251" i="7"/>
  <c r="P250" i="7"/>
  <c r="P257" i="7"/>
  <c r="P256" i="7"/>
  <c r="P258" i="7"/>
  <c r="P259" i="7"/>
  <c r="P261" i="7"/>
  <c r="P260" i="7"/>
  <c r="P262" i="7"/>
  <c r="P263" i="7"/>
  <c r="P264" i="7"/>
  <c r="P267" i="7"/>
  <c r="P266" i="7"/>
  <c r="P270" i="7"/>
  <c r="P273" i="7"/>
  <c r="P274" i="7"/>
  <c r="P275" i="7"/>
  <c r="P277" i="7"/>
  <c r="P278" i="7"/>
  <c r="P276" i="7"/>
  <c r="P279" i="7"/>
  <c r="P272" i="7"/>
  <c r="P282" i="7"/>
  <c r="P283" i="7"/>
  <c r="P284" i="7"/>
  <c r="P285" i="7"/>
  <c r="P286" i="7"/>
  <c r="P287" i="7"/>
  <c r="P288" i="7"/>
  <c r="P292" i="7"/>
  <c r="P291" i="7"/>
  <c r="P295" i="7"/>
  <c r="P296" i="7"/>
  <c r="P294" i="7"/>
  <c r="P298" i="7"/>
  <c r="P301" i="7"/>
  <c r="P300" i="7"/>
  <c r="P303" i="7"/>
  <c r="P304" i="7"/>
  <c r="P308" i="7"/>
  <c r="P310" i="7"/>
  <c r="P311" i="7"/>
  <c r="P314" i="7"/>
  <c r="P315" i="7"/>
  <c r="P317" i="7"/>
  <c r="P316" i="7"/>
  <c r="P320" i="7"/>
  <c r="P73" i="7"/>
  <c r="P70" i="7"/>
  <c r="P79" i="7"/>
  <c r="P84" i="7"/>
  <c r="P82" i="7"/>
  <c r="P88" i="7"/>
  <c r="P92" i="7"/>
  <c r="P95" i="7"/>
  <c r="P96" i="7"/>
  <c r="P101" i="7"/>
  <c r="P110" i="7"/>
  <c r="P111" i="7"/>
  <c r="P74" i="7"/>
  <c r="P129" i="7"/>
  <c r="P138" i="7"/>
  <c r="P71" i="7"/>
  <c r="P85" i="7"/>
  <c r="P90" i="7"/>
  <c r="P104" i="7"/>
  <c r="P77" i="7"/>
  <c r="P118" i="7"/>
  <c r="P124" i="7"/>
  <c r="P132" i="7"/>
  <c r="P139" i="7"/>
  <c r="P161" i="7"/>
  <c r="P162" i="7"/>
  <c r="P163" i="7"/>
  <c r="P167" i="7"/>
  <c r="P166" i="7"/>
  <c r="P177" i="7"/>
  <c r="P238" i="7"/>
  <c r="P115" i="7"/>
  <c r="P123" i="7"/>
  <c r="P127" i="7"/>
  <c r="P135" i="7"/>
  <c r="P136" i="7"/>
  <c r="P149" i="7"/>
  <c r="P152" i="7"/>
  <c r="P131" i="7"/>
  <c r="P151" i="7"/>
  <c r="P153" i="7"/>
  <c r="P176" i="7"/>
  <c r="P184" i="7"/>
  <c r="P187" i="7"/>
  <c r="P197" i="7"/>
  <c r="P217" i="7"/>
  <c r="P223" i="7"/>
  <c r="P237" i="7"/>
  <c r="P242" i="7"/>
  <c r="P249" i="7"/>
  <c r="P254" i="7"/>
  <c r="P246" i="7"/>
  <c r="P271" i="7"/>
  <c r="P255" i="7"/>
  <c r="P280" i="7"/>
  <c r="P216" i="7"/>
  <c r="P81" i="7"/>
  <c r="P87" i="7"/>
  <c r="P182" i="7"/>
  <c r="P65" i="7"/>
  <c r="P168" i="7"/>
  <c r="P241" i="7"/>
  <c r="P188" i="7"/>
  <c r="P220" i="7"/>
  <c r="P240" i="7"/>
  <c r="P265" i="7"/>
  <c r="P253" i="7"/>
  <c r="P305" i="7"/>
  <c r="P268" i="7"/>
  <c r="P269" i="7"/>
  <c r="P290" i="7"/>
  <c r="P297" i="7"/>
  <c r="P299" i="7"/>
  <c r="P160" i="7"/>
  <c r="P307" i="7"/>
  <c r="P306" i="7"/>
  <c r="P309" i="7"/>
  <c r="P312" i="7"/>
  <c r="P322" i="7"/>
  <c r="P289" i="7"/>
  <c r="P323" i="7"/>
  <c r="P325" i="7"/>
  <c r="P330" i="7"/>
  <c r="P332" i="7"/>
  <c r="P339" i="7"/>
  <c r="P334" i="7"/>
  <c r="P335" i="7"/>
  <c r="P341" i="7"/>
  <c r="P342" i="7"/>
  <c r="P343" i="7"/>
  <c r="P348" i="7"/>
  <c r="P350" i="7"/>
  <c r="P346" i="7"/>
  <c r="P347" i="7"/>
  <c r="P354" i="7"/>
  <c r="P353" i="7"/>
  <c r="P356" i="7"/>
  <c r="P358" i="7"/>
  <c r="P357" i="7"/>
  <c r="P355" i="7"/>
  <c r="P4" i="7"/>
  <c r="M5" i="7"/>
  <c r="M6" i="7"/>
  <c r="M7" i="7"/>
  <c r="M8" i="7"/>
  <c r="M9" i="7"/>
  <c r="M11" i="7"/>
  <c r="M12" i="7"/>
  <c r="M10" i="7"/>
  <c r="M14" i="7"/>
  <c r="M13" i="7"/>
  <c r="M15" i="7"/>
  <c r="M16" i="7"/>
  <c r="M17" i="7"/>
  <c r="M18" i="7"/>
  <c r="M19" i="7"/>
  <c r="M66" i="7"/>
  <c r="M20" i="7"/>
  <c r="M21" i="7"/>
  <c r="M22" i="7"/>
  <c r="M25" i="7"/>
  <c r="M23" i="7"/>
  <c r="M24" i="7"/>
  <c r="M26" i="7"/>
  <c r="M27" i="7"/>
  <c r="M28" i="7"/>
  <c r="M29" i="7"/>
  <c r="M30" i="7"/>
  <c r="M31" i="7"/>
  <c r="M32" i="7"/>
  <c r="M34" i="7"/>
  <c r="M35" i="7"/>
  <c r="M36" i="7"/>
  <c r="M37" i="7"/>
  <c r="M38" i="7"/>
  <c r="M39" i="7"/>
  <c r="M67" i="7"/>
  <c r="M68" i="7"/>
  <c r="M40" i="7"/>
  <c r="M41" i="7"/>
  <c r="M42" i="7"/>
  <c r="M44" i="7"/>
  <c r="M43" i="7"/>
  <c r="M45" i="7"/>
  <c r="M46" i="7"/>
  <c r="M47" i="7"/>
  <c r="M48" i="7"/>
  <c r="M49" i="7"/>
  <c r="M50" i="7"/>
  <c r="M51" i="7"/>
  <c r="M52" i="7"/>
  <c r="M53" i="7"/>
  <c r="M54" i="7"/>
  <c r="M56" i="7"/>
  <c r="M59" i="7"/>
  <c r="M60" i="7"/>
  <c r="M62" i="7"/>
  <c r="M61" i="7"/>
  <c r="M63" i="7"/>
  <c r="M72" i="7"/>
  <c r="M64" i="7"/>
  <c r="M75" i="7"/>
  <c r="M76" i="7"/>
  <c r="M78" i="7"/>
  <c r="M80" i="7"/>
  <c r="M83" i="7"/>
  <c r="M86" i="7"/>
  <c r="M89" i="7"/>
  <c r="M91" i="7"/>
  <c r="M93" i="7"/>
  <c r="M94" i="7"/>
  <c r="M97" i="7"/>
  <c r="M98" i="7"/>
  <c r="M99" i="7"/>
  <c r="M100" i="7"/>
  <c r="M102" i="7"/>
  <c r="M103" i="7"/>
  <c r="M105" i="7"/>
  <c r="M108" i="7"/>
  <c r="M106" i="7"/>
  <c r="M107" i="7"/>
  <c r="M109" i="7"/>
  <c r="M112" i="7"/>
  <c r="M113" i="7"/>
  <c r="M114" i="7"/>
  <c r="M116" i="7"/>
  <c r="M117" i="7"/>
  <c r="M120" i="7"/>
  <c r="M121" i="7"/>
  <c r="M122" i="7"/>
  <c r="M119" i="7"/>
  <c r="M125" i="7"/>
  <c r="M126" i="7"/>
  <c r="M128" i="7"/>
  <c r="M130" i="7"/>
  <c r="M133" i="7"/>
  <c r="M134" i="7"/>
  <c r="M137" i="7"/>
  <c r="M141" i="7"/>
  <c r="M140" i="7"/>
  <c r="M147" i="7"/>
  <c r="M148" i="7"/>
  <c r="M144" i="7"/>
  <c r="M145" i="7"/>
  <c r="M142" i="7"/>
  <c r="M143" i="7"/>
  <c r="M146" i="7"/>
  <c r="M158" i="7"/>
  <c r="M159" i="7"/>
  <c r="M154" i="7"/>
  <c r="M155" i="7"/>
  <c r="M164" i="7"/>
  <c r="M165" i="7"/>
  <c r="M169" i="7"/>
  <c r="M170" i="7"/>
  <c r="M172" i="7"/>
  <c r="M171" i="7"/>
  <c r="M174" i="7"/>
  <c r="M173" i="7"/>
  <c r="M175" i="7"/>
  <c r="M150" i="7"/>
  <c r="M181" i="7"/>
  <c r="M179" i="7"/>
  <c r="M178" i="7"/>
  <c r="M180" i="7"/>
  <c r="M183" i="7"/>
  <c r="M185" i="7"/>
  <c r="M186" i="7"/>
  <c r="M189" i="7"/>
  <c r="M190" i="7"/>
  <c r="M193" i="7"/>
  <c r="M192" i="7"/>
  <c r="M191" i="7"/>
  <c r="M194" i="7"/>
  <c r="M195" i="7"/>
  <c r="M196" i="7"/>
  <c r="M198" i="7"/>
  <c r="M200" i="7"/>
  <c r="M201" i="7"/>
  <c r="M202" i="7"/>
  <c r="M204" i="7"/>
  <c r="M203" i="7"/>
  <c r="M205" i="7"/>
  <c r="M206" i="7"/>
  <c r="M199" i="7"/>
  <c r="M207" i="7"/>
  <c r="M209" i="7"/>
  <c r="M208" i="7"/>
  <c r="M211" i="7"/>
  <c r="M210" i="7"/>
  <c r="M212" i="7"/>
  <c r="M213" i="7"/>
  <c r="M214" i="7"/>
  <c r="M215" i="7"/>
  <c r="M218" i="7"/>
  <c r="M219" i="7"/>
  <c r="M221" i="7"/>
  <c r="M222" i="7"/>
  <c r="M224" i="7"/>
  <c r="M226" i="7"/>
  <c r="M225" i="7"/>
  <c r="M228" i="7"/>
  <c r="M230" i="7"/>
  <c r="M229" i="7"/>
  <c r="M231" i="7"/>
  <c r="M232" i="7"/>
  <c r="M233" i="7"/>
  <c r="M235" i="7"/>
  <c r="M234" i="7"/>
  <c r="M227" i="7"/>
  <c r="M239" i="7"/>
  <c r="M236" i="7"/>
  <c r="M243" i="7"/>
  <c r="M244" i="7"/>
  <c r="M245" i="7"/>
  <c r="M247" i="7"/>
  <c r="M248" i="7"/>
  <c r="M251" i="7"/>
  <c r="M250" i="7"/>
  <c r="M252" i="7"/>
  <c r="M257" i="7"/>
  <c r="M256" i="7"/>
  <c r="M258" i="7"/>
  <c r="M259" i="7"/>
  <c r="M261" i="7"/>
  <c r="M260" i="7"/>
  <c r="M262" i="7"/>
  <c r="M263" i="7"/>
  <c r="M264" i="7"/>
  <c r="M267" i="7"/>
  <c r="M266" i="7"/>
  <c r="M270" i="7"/>
  <c r="M273" i="7"/>
  <c r="M274" i="7"/>
  <c r="M275" i="7"/>
  <c r="M277" i="7"/>
  <c r="M278" i="7"/>
  <c r="M276" i="7"/>
  <c r="M279" i="7"/>
  <c r="M272" i="7"/>
  <c r="M282" i="7"/>
  <c r="M283" i="7"/>
  <c r="M284" i="7"/>
  <c r="M285" i="7"/>
  <c r="M286" i="7"/>
  <c r="M287" i="7"/>
  <c r="M288" i="7"/>
  <c r="M292" i="7"/>
  <c r="M293" i="7"/>
  <c r="M291" i="7"/>
  <c r="M295" i="7"/>
  <c r="M296" i="7"/>
  <c r="M294" i="7"/>
  <c r="M298" i="7"/>
  <c r="M301" i="7"/>
  <c r="M300" i="7"/>
  <c r="M302" i="7"/>
  <c r="M303" i="7"/>
  <c r="M304" i="7"/>
  <c r="M308" i="7"/>
  <c r="M310" i="7"/>
  <c r="M311" i="7"/>
  <c r="M313" i="7"/>
  <c r="M314" i="7"/>
  <c r="M315" i="7"/>
  <c r="M317" i="7"/>
  <c r="M316" i="7"/>
  <c r="M318" i="7"/>
  <c r="M320" i="7"/>
  <c r="M319" i="7"/>
  <c r="M321" i="7"/>
  <c r="M73" i="7"/>
  <c r="M70" i="7"/>
  <c r="M79" i="7"/>
  <c r="M84" i="7"/>
  <c r="M82" i="7"/>
  <c r="M88" i="7"/>
  <c r="M92" i="7"/>
  <c r="M95" i="7"/>
  <c r="M96" i="7"/>
  <c r="M101" i="7"/>
  <c r="M110" i="7"/>
  <c r="M111" i="7"/>
  <c r="M74" i="7"/>
  <c r="M129" i="7"/>
  <c r="M138" i="7"/>
  <c r="M71" i="7"/>
  <c r="M85" i="7"/>
  <c r="M90" i="7"/>
  <c r="M104" i="7"/>
  <c r="M77" i="7"/>
  <c r="M118" i="7"/>
  <c r="M124" i="7"/>
  <c r="M132" i="7"/>
  <c r="M139" i="7"/>
  <c r="M161" i="7"/>
  <c r="M162" i="7"/>
  <c r="M163" i="7"/>
  <c r="M167" i="7"/>
  <c r="M166" i="7"/>
  <c r="M177" i="7"/>
  <c r="M238" i="7"/>
  <c r="M115" i="7"/>
  <c r="M123" i="7"/>
  <c r="M127" i="7"/>
  <c r="M135" i="7"/>
  <c r="M136" i="7"/>
  <c r="M149" i="7"/>
  <c r="M152" i="7"/>
  <c r="M131" i="7"/>
  <c r="M151" i="7"/>
  <c r="M153" i="7"/>
  <c r="M176" i="7"/>
  <c r="M184" i="7"/>
  <c r="M187" i="7"/>
  <c r="M197" i="7"/>
  <c r="M217" i="7"/>
  <c r="M223" i="7"/>
  <c r="M237" i="7"/>
  <c r="M242" i="7"/>
  <c r="M249" i="7"/>
  <c r="M254" i="7"/>
  <c r="M246" i="7"/>
  <c r="M255" i="7"/>
  <c r="M280" i="7"/>
  <c r="M216" i="7"/>
  <c r="M81" i="7"/>
  <c r="M87" i="7"/>
  <c r="M182" i="7"/>
  <c r="M65" i="7"/>
  <c r="M168" i="7"/>
  <c r="M241" i="7"/>
  <c r="M188" i="7"/>
  <c r="M220" i="7"/>
  <c r="M240" i="7"/>
  <c r="M265" i="7"/>
  <c r="M305" i="7"/>
  <c r="M268" i="7"/>
  <c r="M269" i="7"/>
  <c r="M290" i="7"/>
  <c r="M297" i="7"/>
  <c r="M299" i="7"/>
  <c r="M160" i="7"/>
  <c r="M307" i="7"/>
  <c r="M306" i="7"/>
  <c r="M309" i="7"/>
  <c r="M312" i="7"/>
  <c r="M322" i="7"/>
  <c r="M289" i="7"/>
  <c r="M323" i="7"/>
  <c r="M324" i="7"/>
  <c r="M325" i="7"/>
  <c r="M327" i="7"/>
  <c r="M4" i="7"/>
  <c r="N194" i="7"/>
  <c r="N195" i="7"/>
  <c r="N196" i="7"/>
  <c r="N198" i="7"/>
  <c r="N200" i="7"/>
  <c r="N201" i="7"/>
  <c r="N202" i="7"/>
  <c r="N204" i="7"/>
  <c r="N203" i="7"/>
  <c r="N205" i="7"/>
  <c r="N206" i="7"/>
  <c r="N199" i="7"/>
  <c r="N207" i="7"/>
  <c r="N209" i="7"/>
  <c r="N208" i="7"/>
  <c r="N211" i="7"/>
  <c r="N210" i="7"/>
  <c r="N213" i="7"/>
  <c r="N214" i="7"/>
  <c r="N215" i="7"/>
  <c r="N218" i="7"/>
  <c r="N219" i="7"/>
  <c r="N221" i="7"/>
  <c r="N222" i="7"/>
  <c r="N224" i="7"/>
  <c r="N226" i="7"/>
  <c r="N225" i="7"/>
  <c r="N228" i="7"/>
  <c r="N230" i="7"/>
  <c r="N229" i="7"/>
  <c r="N231" i="7"/>
  <c r="N232" i="7"/>
  <c r="N233" i="7"/>
  <c r="N235" i="7"/>
  <c r="N234" i="7"/>
  <c r="N227" i="7"/>
  <c r="N239" i="7"/>
  <c r="N236" i="7"/>
  <c r="N243" i="7"/>
  <c r="N244" i="7"/>
  <c r="N245" i="7"/>
  <c r="N247" i="7"/>
  <c r="N248" i="7"/>
  <c r="N251" i="7"/>
  <c r="N250" i="7"/>
  <c r="N252" i="7"/>
  <c r="N257" i="7"/>
  <c r="N256" i="7"/>
  <c r="N258" i="7"/>
  <c r="N259" i="7"/>
  <c r="N261" i="7"/>
  <c r="N260" i="7"/>
  <c r="N262" i="7"/>
  <c r="N263" i="7"/>
  <c r="N264" i="7"/>
  <c r="N267" i="7"/>
  <c r="N266" i="7"/>
  <c r="N270" i="7"/>
  <c r="N273" i="7"/>
  <c r="N274" i="7"/>
  <c r="N275" i="7"/>
  <c r="N277" i="7"/>
  <c r="N278" i="7"/>
  <c r="N276" i="7"/>
  <c r="N279" i="7"/>
  <c r="N272" i="7"/>
  <c r="N282" i="7"/>
  <c r="N283" i="7"/>
  <c r="N284" i="7"/>
  <c r="N285" i="7"/>
  <c r="N286" i="7"/>
  <c r="N287" i="7"/>
  <c r="N288" i="7"/>
  <c r="N292" i="7"/>
  <c r="N293" i="7"/>
  <c r="N291" i="7"/>
  <c r="N295" i="7"/>
  <c r="N296" i="7"/>
  <c r="N294" i="7"/>
  <c r="N298" i="7"/>
  <c r="N301" i="7"/>
  <c r="N300" i="7"/>
  <c r="N302" i="7"/>
  <c r="N303" i="7"/>
  <c r="N304" i="7"/>
  <c r="N308" i="7"/>
  <c r="N310" i="7"/>
  <c r="N311" i="7"/>
  <c r="N313" i="7"/>
  <c r="N314" i="7"/>
  <c r="N315" i="7"/>
  <c r="N317" i="7"/>
  <c r="N316" i="7"/>
  <c r="N318" i="7"/>
  <c r="N320" i="7"/>
  <c r="N319" i="7"/>
  <c r="N321" i="7"/>
  <c r="N73" i="7"/>
  <c r="N70" i="7"/>
  <c r="N79" i="7"/>
  <c r="N84" i="7"/>
  <c r="N82" i="7"/>
  <c r="N88" i="7"/>
  <c r="N92" i="7"/>
  <c r="N95" i="7"/>
  <c r="N101" i="7"/>
  <c r="N110" i="7"/>
  <c r="N111" i="7"/>
  <c r="N74" i="7"/>
  <c r="N129" i="7"/>
  <c r="N138" i="7"/>
  <c r="N71" i="7"/>
  <c r="N85" i="7"/>
  <c r="N90" i="7"/>
  <c r="N104" i="7"/>
  <c r="N77" i="7"/>
  <c r="N118" i="7"/>
  <c r="N132" i="7"/>
  <c r="N139" i="7"/>
  <c r="N161" i="7"/>
  <c r="N162" i="7"/>
  <c r="N163" i="7"/>
  <c r="N167" i="7"/>
  <c r="N166" i="7"/>
  <c r="N177" i="7"/>
  <c r="N238" i="7"/>
  <c r="N115" i="7"/>
  <c r="N123" i="7"/>
  <c r="N127" i="7"/>
  <c r="N135" i="7"/>
  <c r="N136" i="7"/>
  <c r="N149" i="7"/>
  <c r="N152" i="7"/>
  <c r="N131" i="7"/>
  <c r="N151" i="7"/>
  <c r="N153" i="7"/>
  <c r="N176" i="7"/>
  <c r="N184" i="7"/>
  <c r="N187" i="7"/>
  <c r="N197" i="7"/>
  <c r="N217" i="7"/>
  <c r="N223" i="7"/>
  <c r="N237" i="7"/>
  <c r="N242" i="7"/>
  <c r="N249" i="7"/>
  <c r="N254" i="7"/>
  <c r="N246" i="7"/>
  <c r="N255" i="7"/>
  <c r="N280" i="7"/>
  <c r="N216" i="7"/>
  <c r="N81" i="7"/>
  <c r="N87" i="7"/>
  <c r="N182" i="7"/>
  <c r="N65" i="7"/>
  <c r="N168" i="7"/>
  <c r="N241" i="7"/>
  <c r="N188" i="7"/>
  <c r="N220" i="7"/>
  <c r="N240" i="7"/>
  <c r="N265" i="7"/>
  <c r="N305" i="7"/>
  <c r="N268" i="7"/>
  <c r="N269" i="7"/>
  <c r="N290" i="7"/>
  <c r="N297" i="7"/>
  <c r="N299" i="7"/>
  <c r="N160" i="7"/>
  <c r="N307" i="7"/>
  <c r="N306" i="7"/>
  <c r="N309" i="7"/>
  <c r="N312" i="7"/>
  <c r="N322" i="7"/>
  <c r="N289" i="7"/>
  <c r="N323" i="7"/>
  <c r="N324" i="7"/>
  <c r="N325" i="7"/>
  <c r="N327" i="7"/>
  <c r="N191" i="7"/>
  <c r="W253" i="7"/>
  <c r="W271" i="7"/>
  <c r="N5" i="7"/>
  <c r="N6" i="7"/>
  <c r="N7" i="7"/>
  <c r="N8" i="7"/>
  <c r="N9" i="7"/>
  <c r="N11" i="7"/>
  <c r="N12" i="7"/>
  <c r="N10" i="7"/>
  <c r="N14" i="7"/>
  <c r="N13" i="7"/>
  <c r="N15" i="7"/>
  <c r="N16" i="7"/>
  <c r="N17" i="7"/>
  <c r="N18" i="7"/>
  <c r="N19" i="7"/>
  <c r="N66" i="7"/>
  <c r="N20" i="7"/>
  <c r="N21" i="7"/>
  <c r="N22" i="7"/>
  <c r="N25" i="7"/>
  <c r="N23" i="7"/>
  <c r="N24" i="7"/>
  <c r="N26" i="7"/>
  <c r="N27" i="7"/>
  <c r="N28" i="7"/>
  <c r="N29" i="7"/>
  <c r="N30" i="7"/>
  <c r="N31" i="7"/>
  <c r="N32" i="7"/>
  <c r="N34" i="7"/>
  <c r="N35" i="7"/>
  <c r="N36" i="7"/>
  <c r="N37" i="7"/>
  <c r="N38" i="7"/>
  <c r="N39" i="7"/>
  <c r="N67" i="7"/>
  <c r="N68" i="7"/>
  <c r="N40" i="7"/>
  <c r="N41" i="7"/>
  <c r="N42" i="7"/>
  <c r="N44" i="7"/>
  <c r="N43" i="7"/>
  <c r="N45" i="7"/>
  <c r="N46" i="7"/>
  <c r="N47" i="7"/>
  <c r="N48" i="7"/>
  <c r="N49" i="7"/>
  <c r="N50" i="7"/>
  <c r="N51" i="7"/>
  <c r="N52" i="7"/>
  <c r="N53" i="7"/>
  <c r="N54" i="7"/>
  <c r="N56" i="7"/>
  <c r="N59" i="7"/>
  <c r="N60" i="7"/>
  <c r="N62" i="7"/>
  <c r="N61" i="7"/>
  <c r="N63" i="7"/>
  <c r="N72" i="7"/>
  <c r="N64" i="7"/>
  <c r="N75" i="7"/>
  <c r="N76" i="7"/>
  <c r="N78" i="7"/>
  <c r="N80" i="7"/>
  <c r="N83" i="7"/>
  <c r="N86" i="7"/>
  <c r="N89" i="7"/>
  <c r="N91" i="7"/>
  <c r="N93" i="7"/>
  <c r="N94" i="7"/>
  <c r="N97" i="7"/>
  <c r="N98" i="7"/>
  <c r="N99" i="7"/>
  <c r="N100" i="7"/>
  <c r="N102" i="7"/>
  <c r="N103" i="7"/>
  <c r="N105" i="7"/>
  <c r="N108" i="7"/>
  <c r="N106" i="7"/>
  <c r="N107" i="7"/>
  <c r="N109" i="7"/>
  <c r="N112" i="7"/>
  <c r="N113" i="7"/>
  <c r="N114" i="7"/>
  <c r="N116" i="7"/>
  <c r="N117" i="7"/>
  <c r="N120" i="7"/>
  <c r="N121" i="7"/>
  <c r="N122" i="7"/>
  <c r="N119" i="7"/>
  <c r="N126" i="7"/>
  <c r="N128" i="7"/>
  <c r="N130" i="7"/>
  <c r="N133" i="7"/>
  <c r="N134" i="7"/>
  <c r="N137" i="7"/>
  <c r="N141" i="7"/>
  <c r="N140" i="7"/>
  <c r="N147" i="7"/>
  <c r="N148" i="7"/>
  <c r="N144" i="7"/>
  <c r="N145" i="7"/>
  <c r="N142" i="7"/>
  <c r="N143" i="7"/>
  <c r="N158" i="7"/>
  <c r="N159" i="7"/>
  <c r="N154" i="7"/>
  <c r="N155" i="7"/>
  <c r="N164" i="7"/>
  <c r="N165" i="7"/>
  <c r="N169" i="7"/>
  <c r="N170" i="7"/>
  <c r="N172" i="7"/>
  <c r="N171" i="7"/>
  <c r="N174" i="7"/>
  <c r="N173" i="7"/>
  <c r="N175" i="7"/>
  <c r="N150" i="7"/>
  <c r="N181" i="7"/>
  <c r="N179" i="7"/>
  <c r="N178" i="7"/>
  <c r="N180" i="7"/>
  <c r="N183" i="7"/>
  <c r="N185" i="7"/>
  <c r="N186" i="7"/>
  <c r="N189" i="7"/>
  <c r="N190" i="7"/>
  <c r="N193" i="7"/>
  <c r="N192" i="7"/>
  <c r="N4" i="7"/>
  <c r="E5" i="14" s="1"/>
  <c r="E11" i="14" s="1"/>
  <c r="W281" i="7"/>
  <c r="W156" i="7"/>
  <c r="W157" i="7"/>
  <c r="AP57" i="7"/>
  <c r="AP69" i="7"/>
  <c r="AP55" i="7"/>
  <c r="J84" i="5"/>
  <c r="I84" i="5"/>
  <c r="I50" i="3"/>
  <c r="J50" i="3"/>
  <c r="I83" i="5"/>
  <c r="J83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J49" i="3"/>
  <c r="J259" i="2"/>
  <c r="I259" i="2"/>
  <c r="J258" i="2"/>
  <c r="I258" i="2"/>
  <c r="I257" i="2"/>
  <c r="J66" i="5"/>
  <c r="J255" i="2"/>
  <c r="J256" i="2"/>
  <c r="I255" i="2"/>
  <c r="I256" i="2"/>
  <c r="J254" i="2"/>
  <c r="I254" i="2"/>
  <c r="J253" i="2"/>
  <c r="I253" i="2"/>
  <c r="J252" i="2"/>
  <c r="I252" i="2"/>
  <c r="J251" i="2"/>
  <c r="I251" i="2"/>
  <c r="J249" i="2"/>
  <c r="J250" i="2"/>
  <c r="I249" i="2"/>
  <c r="I250" i="2"/>
  <c r="J248" i="2"/>
  <c r="I248" i="2"/>
  <c r="J247" i="2"/>
  <c r="I247" i="2"/>
  <c r="J78" i="5"/>
  <c r="I78" i="5"/>
  <c r="I71" i="5"/>
  <c r="J71" i="5"/>
  <c r="I79" i="5"/>
  <c r="J79" i="5"/>
  <c r="I80" i="5"/>
  <c r="J80" i="5"/>
  <c r="I81" i="5"/>
  <c r="J81" i="5"/>
  <c r="I82" i="5"/>
  <c r="J82" i="5"/>
  <c r="J246" i="2"/>
  <c r="I246" i="2"/>
  <c r="J76" i="5"/>
  <c r="I76" i="5"/>
  <c r="J75" i="5"/>
  <c r="I75" i="5"/>
  <c r="J74" i="5"/>
  <c r="I74" i="5"/>
  <c r="I48" i="5"/>
  <c r="I236" i="2"/>
  <c r="J236" i="2"/>
  <c r="I237" i="2"/>
  <c r="J237" i="2"/>
  <c r="I238" i="2"/>
  <c r="J238" i="2"/>
  <c r="I239" i="2"/>
  <c r="J239" i="2"/>
  <c r="I240" i="2"/>
  <c r="J240" i="2"/>
  <c r="I241" i="2"/>
  <c r="J241" i="2"/>
  <c r="I242" i="2"/>
  <c r="J242" i="2"/>
  <c r="I243" i="2"/>
  <c r="J243" i="2"/>
  <c r="I244" i="2"/>
  <c r="J244" i="2"/>
  <c r="I245" i="2"/>
  <c r="J245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9" i="2"/>
  <c r="J230" i="2"/>
  <c r="J231" i="2"/>
  <c r="J232" i="2"/>
  <c r="J233" i="2"/>
  <c r="J234" i="2"/>
  <c r="J235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R70" i="5"/>
  <c r="Q228" i="2"/>
  <c r="R56" i="5"/>
  <c r="I58" i="5"/>
  <c r="J58" i="5"/>
  <c r="J70" i="5"/>
  <c r="I70" i="5"/>
  <c r="J77" i="5"/>
  <c r="I77" i="5"/>
  <c r="J62" i="3"/>
  <c r="J105" i="3"/>
  <c r="AI105" i="3"/>
  <c r="AI61" i="3"/>
  <c r="U61" i="3"/>
  <c r="J61" i="3"/>
  <c r="I61" i="3"/>
  <c r="J56" i="5"/>
  <c r="I56" i="5"/>
  <c r="J72" i="5"/>
  <c r="J73" i="5"/>
  <c r="I72" i="5"/>
  <c r="I73" i="5"/>
  <c r="I211" i="2"/>
  <c r="I57" i="5"/>
  <c r="J200" i="2"/>
  <c r="I200" i="2"/>
  <c r="J34" i="5"/>
  <c r="I34" i="5"/>
  <c r="I59" i="3"/>
  <c r="J59" i="3"/>
  <c r="I102" i="3"/>
  <c r="J102" i="3"/>
  <c r="I103" i="3"/>
  <c r="J103" i="3"/>
  <c r="I83" i="3"/>
  <c r="J83" i="3"/>
  <c r="I104" i="3"/>
  <c r="J104" i="3"/>
  <c r="I56" i="3"/>
  <c r="I4" i="3"/>
  <c r="J4" i="3"/>
  <c r="I107" i="3"/>
  <c r="J107" i="3"/>
  <c r="I63" i="3"/>
  <c r="J63" i="3"/>
  <c r="I84" i="3"/>
  <c r="J84" i="3"/>
  <c r="I85" i="3"/>
  <c r="J85" i="3"/>
  <c r="I86" i="3"/>
  <c r="J86" i="3"/>
  <c r="I88" i="3"/>
  <c r="J88" i="3"/>
  <c r="I89" i="3"/>
  <c r="J89" i="3"/>
  <c r="I64" i="3"/>
  <c r="J64" i="3"/>
  <c r="I65" i="3"/>
  <c r="J65" i="3"/>
  <c r="I51" i="5"/>
  <c r="J51" i="5"/>
  <c r="I65" i="5"/>
  <c r="J65" i="5"/>
  <c r="I68" i="5"/>
  <c r="J68" i="5"/>
  <c r="I52" i="5"/>
  <c r="J52" i="5"/>
  <c r="I55" i="5"/>
  <c r="J55" i="5"/>
  <c r="I53" i="5"/>
  <c r="J53" i="5"/>
  <c r="I54" i="5"/>
  <c r="J54" i="5"/>
  <c r="J57" i="5"/>
  <c r="I69" i="5"/>
  <c r="J69" i="5"/>
  <c r="I198" i="2"/>
  <c r="J198" i="2"/>
  <c r="I199" i="2"/>
  <c r="J199" i="2"/>
  <c r="I201" i="2"/>
  <c r="J201" i="2"/>
  <c r="I202" i="2"/>
  <c r="J202" i="2"/>
  <c r="I203" i="2"/>
  <c r="J203" i="2"/>
  <c r="I204" i="2"/>
  <c r="J204" i="2"/>
  <c r="I205" i="2"/>
  <c r="J205" i="2"/>
  <c r="I206" i="2"/>
  <c r="J206" i="2"/>
  <c r="I207" i="2"/>
  <c r="J207" i="2"/>
  <c r="I208" i="2"/>
  <c r="J208" i="2"/>
  <c r="I209" i="2"/>
  <c r="J209" i="2"/>
  <c r="I210" i="2"/>
  <c r="J210" i="2"/>
  <c r="J211" i="2"/>
  <c r="I197" i="2"/>
  <c r="J197" i="2"/>
  <c r="J196" i="2"/>
  <c r="I196" i="2"/>
  <c r="J195" i="2"/>
  <c r="I195" i="2"/>
  <c r="I194" i="2"/>
  <c r="I193" i="2"/>
  <c r="J194" i="2"/>
  <c r="J193" i="2"/>
  <c r="I192" i="2"/>
  <c r="J192" i="2"/>
  <c r="J68" i="3"/>
  <c r="I68" i="3"/>
  <c r="J189" i="2"/>
  <c r="J191" i="2"/>
  <c r="I189" i="2"/>
  <c r="I191" i="2"/>
  <c r="I101" i="3"/>
  <c r="J101" i="3"/>
  <c r="I67" i="5"/>
  <c r="J67" i="5"/>
  <c r="J30" i="3"/>
  <c r="I30" i="3"/>
  <c r="J29" i="3"/>
  <c r="I59" i="5"/>
  <c r="J59" i="5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J174" i="2"/>
  <c r="I174" i="2"/>
  <c r="I171" i="2"/>
  <c r="J171" i="2"/>
  <c r="J164" i="2"/>
  <c r="Q106" i="3"/>
  <c r="J106" i="3"/>
  <c r="I106" i="3"/>
  <c r="I173" i="2"/>
  <c r="J172" i="2"/>
  <c r="I172" i="2"/>
  <c r="J170" i="2"/>
  <c r="I170" i="2"/>
  <c r="J169" i="2"/>
  <c r="I169" i="2"/>
  <c r="J168" i="2"/>
  <c r="I168" i="2"/>
  <c r="J167" i="2"/>
  <c r="I167" i="2"/>
  <c r="J162" i="2"/>
  <c r="I162" i="2"/>
  <c r="J166" i="2"/>
  <c r="I166" i="2"/>
  <c r="J165" i="2"/>
  <c r="I161" i="2"/>
  <c r="I163" i="2"/>
  <c r="J159" i="2"/>
  <c r="J160" i="2"/>
  <c r="J161" i="2"/>
  <c r="J163" i="2"/>
  <c r="I160" i="2"/>
  <c r="I155" i="2"/>
  <c r="J155" i="2"/>
  <c r="I156" i="2"/>
  <c r="I154" i="2"/>
  <c r="J154" i="2"/>
  <c r="I157" i="2"/>
  <c r="J157" i="2"/>
  <c r="I153" i="2"/>
  <c r="I147" i="2"/>
  <c r="J147" i="2"/>
  <c r="I148" i="2"/>
  <c r="J148" i="2"/>
  <c r="I149" i="2"/>
  <c r="J149" i="2"/>
  <c r="I150" i="2"/>
  <c r="J150" i="2"/>
  <c r="I151" i="2"/>
  <c r="J151" i="2"/>
  <c r="I152" i="2"/>
  <c r="J153" i="2"/>
  <c r="I158" i="2"/>
  <c r="J158" i="2"/>
  <c r="I159" i="2"/>
  <c r="J102" i="2"/>
  <c r="J129" i="2"/>
  <c r="J12" i="2"/>
  <c r="I123" i="2"/>
  <c r="I100" i="3"/>
  <c r="J100" i="3"/>
  <c r="I27" i="3"/>
  <c r="J27" i="3"/>
  <c r="I28" i="3"/>
  <c r="J28" i="3"/>
  <c r="I29" i="3"/>
  <c r="I31" i="3"/>
  <c r="J31" i="3"/>
  <c r="AU26" i="3"/>
  <c r="J33" i="5"/>
  <c r="I33" i="5"/>
  <c r="I79" i="3"/>
  <c r="J79" i="3"/>
  <c r="J109" i="3"/>
  <c r="I109" i="3"/>
  <c r="I64" i="5"/>
  <c r="J111" i="2"/>
  <c r="J130" i="2"/>
  <c r="I70" i="3"/>
  <c r="I71" i="3"/>
  <c r="J24" i="3"/>
  <c r="I24" i="3"/>
  <c r="Q136" i="2"/>
  <c r="Q135" i="2"/>
  <c r="AW23" i="3"/>
  <c r="J132" i="2"/>
  <c r="I132" i="2"/>
  <c r="I127" i="2"/>
  <c r="I77" i="3"/>
  <c r="I76" i="3"/>
  <c r="I74" i="3"/>
  <c r="I75" i="3"/>
  <c r="I73" i="3"/>
  <c r="I72" i="3"/>
  <c r="I25" i="3"/>
  <c r="I69" i="3"/>
  <c r="I22" i="3"/>
  <c r="I21" i="3"/>
  <c r="J122" i="2"/>
  <c r="I122" i="2"/>
  <c r="J63" i="5"/>
  <c r="J19" i="5"/>
  <c r="J5" i="5"/>
  <c r="I110" i="2"/>
  <c r="I111" i="2"/>
  <c r="I112" i="2"/>
  <c r="I113" i="2"/>
  <c r="I114" i="2"/>
  <c r="I115" i="2"/>
  <c r="I116" i="2"/>
  <c r="I117" i="2"/>
  <c r="I118" i="2"/>
  <c r="I119" i="2"/>
  <c r="I120" i="2"/>
  <c r="I121" i="2"/>
  <c r="I124" i="2"/>
  <c r="I125" i="2"/>
  <c r="I126" i="2"/>
  <c r="I128" i="2"/>
  <c r="I133" i="2"/>
  <c r="I134" i="2"/>
  <c r="I135" i="2"/>
  <c r="I136" i="2"/>
  <c r="I137" i="2"/>
  <c r="I138" i="2"/>
  <c r="I139" i="2"/>
  <c r="J115" i="2"/>
  <c r="J116" i="2"/>
  <c r="J117" i="2"/>
  <c r="J118" i="2"/>
  <c r="J119" i="2"/>
  <c r="J120" i="2"/>
  <c r="J121" i="2"/>
  <c r="J124" i="2"/>
  <c r="J125" i="2"/>
  <c r="J126" i="2"/>
  <c r="J127" i="2"/>
  <c r="J128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I25" i="5"/>
  <c r="J25" i="5"/>
  <c r="I17" i="5"/>
  <c r="J17" i="5"/>
  <c r="I37" i="5"/>
  <c r="J37" i="5"/>
  <c r="I42" i="5"/>
  <c r="J42" i="5"/>
  <c r="I26" i="5"/>
  <c r="J26" i="5"/>
  <c r="I38" i="5"/>
  <c r="J38" i="5"/>
  <c r="I39" i="5"/>
  <c r="J39" i="5"/>
  <c r="I18" i="5"/>
  <c r="J18" i="5"/>
  <c r="I27" i="5"/>
  <c r="J27" i="5"/>
  <c r="I43" i="5"/>
  <c r="J43" i="5"/>
  <c r="I40" i="5"/>
  <c r="J40" i="5"/>
  <c r="I41" i="5"/>
  <c r="J41" i="5"/>
  <c r="I44" i="5"/>
  <c r="J44" i="5"/>
  <c r="I28" i="5"/>
  <c r="J28" i="5"/>
  <c r="I29" i="5"/>
  <c r="J29" i="5"/>
  <c r="I30" i="5"/>
  <c r="J30" i="5"/>
  <c r="I31" i="5"/>
  <c r="J31" i="5"/>
  <c r="J64" i="5"/>
  <c r="I32" i="5"/>
  <c r="J32" i="5"/>
  <c r="I45" i="5"/>
  <c r="J45" i="5"/>
  <c r="I62" i="5"/>
  <c r="J62" i="5"/>
  <c r="I46" i="5"/>
  <c r="J46" i="5"/>
  <c r="I47" i="5"/>
  <c r="J47" i="5"/>
  <c r="I66" i="5"/>
  <c r="J48" i="5"/>
  <c r="I49" i="5"/>
  <c r="J49" i="5"/>
  <c r="I50" i="5"/>
  <c r="J50" i="5"/>
  <c r="I19" i="3"/>
  <c r="I18" i="3"/>
  <c r="I102" i="2"/>
  <c r="I103" i="2"/>
  <c r="J103" i="2"/>
  <c r="I104" i="2"/>
  <c r="J104" i="2"/>
  <c r="I105" i="2"/>
  <c r="J105" i="2"/>
  <c r="I106" i="2"/>
  <c r="J106" i="2"/>
  <c r="I107" i="2"/>
  <c r="J107" i="2"/>
  <c r="I108" i="2"/>
  <c r="J108" i="2"/>
  <c r="I109" i="2"/>
  <c r="J109" i="2"/>
  <c r="J110" i="2"/>
  <c r="J112" i="2"/>
  <c r="J113" i="2"/>
  <c r="J114" i="2"/>
  <c r="I140" i="2"/>
  <c r="I141" i="2"/>
  <c r="I142" i="2"/>
  <c r="I143" i="2"/>
  <c r="I144" i="2"/>
  <c r="I145" i="2"/>
  <c r="I146" i="2"/>
  <c r="J19" i="3"/>
  <c r="J20" i="3"/>
  <c r="J21" i="3"/>
  <c r="J22" i="3"/>
  <c r="J71" i="3"/>
  <c r="J70" i="3"/>
  <c r="J69" i="3"/>
  <c r="J25" i="3"/>
  <c r="J72" i="3"/>
  <c r="J75" i="3"/>
  <c r="J77" i="3"/>
  <c r="J18" i="3"/>
  <c r="J9" i="5"/>
  <c r="I9" i="5"/>
  <c r="I19" i="5"/>
  <c r="I5" i="5"/>
  <c r="I63" i="5"/>
  <c r="AG15" i="3"/>
  <c r="Q15" i="3"/>
  <c r="J61" i="5"/>
  <c r="I61" i="5"/>
  <c r="J20" i="5"/>
  <c r="I20" i="5"/>
  <c r="J60" i="5"/>
  <c r="I60" i="5"/>
  <c r="J6" i="5"/>
  <c r="I6" i="5"/>
  <c r="J23" i="5"/>
  <c r="I23" i="5"/>
  <c r="I16" i="5"/>
  <c r="J4" i="5"/>
  <c r="I4" i="5"/>
  <c r="J36" i="5"/>
  <c r="I36" i="5"/>
  <c r="J35" i="5"/>
  <c r="I35" i="5"/>
  <c r="J24" i="5"/>
  <c r="I24" i="5"/>
  <c r="J15" i="5"/>
  <c r="I15" i="5"/>
  <c r="J14" i="5"/>
  <c r="I14" i="5"/>
  <c r="J22" i="5"/>
  <c r="I22" i="5"/>
  <c r="J13" i="5"/>
  <c r="I13" i="5"/>
  <c r="J12" i="5"/>
  <c r="I12" i="5"/>
  <c r="J11" i="5"/>
  <c r="I11" i="5"/>
  <c r="J21" i="5"/>
  <c r="I21" i="5"/>
  <c r="J8" i="5"/>
  <c r="I8" i="5"/>
  <c r="J7" i="5"/>
  <c r="I7" i="5"/>
  <c r="J101" i="2"/>
  <c r="I101" i="2"/>
  <c r="J16" i="3"/>
  <c r="J17" i="3"/>
  <c r="I17" i="3"/>
  <c r="J15" i="3"/>
  <c r="I15" i="3"/>
  <c r="I85" i="2"/>
  <c r="I91" i="2"/>
  <c r="J14" i="3"/>
  <c r="I14" i="3"/>
  <c r="AI32" i="3"/>
  <c r="U32" i="3"/>
  <c r="J32" i="3"/>
  <c r="I32" i="3"/>
  <c r="J13" i="3"/>
  <c r="J12" i="3"/>
  <c r="I89" i="2"/>
  <c r="J89" i="2"/>
  <c r="I90" i="2"/>
  <c r="J90" i="2"/>
  <c r="J91" i="2"/>
  <c r="I92" i="2"/>
  <c r="J92" i="2"/>
  <c r="I93" i="2"/>
  <c r="J93" i="2"/>
  <c r="I94" i="2"/>
  <c r="J94" i="2"/>
  <c r="I96" i="2"/>
  <c r="J96" i="2"/>
  <c r="I97" i="2"/>
  <c r="J97" i="2"/>
  <c r="I98" i="2"/>
  <c r="J98" i="2"/>
  <c r="I99" i="2"/>
  <c r="J99" i="2"/>
  <c r="I100" i="2"/>
  <c r="J100" i="2"/>
  <c r="J88" i="2"/>
  <c r="I88" i="2"/>
  <c r="AW11" i="3"/>
  <c r="J11" i="3"/>
  <c r="J87" i="2"/>
  <c r="I87" i="2"/>
  <c r="J86" i="2"/>
  <c r="I86" i="2"/>
  <c r="J85" i="2"/>
  <c r="J84" i="2"/>
  <c r="I84" i="2"/>
  <c r="AI10" i="3"/>
  <c r="U10" i="3"/>
  <c r="J10" i="3"/>
  <c r="I10" i="3"/>
  <c r="J83" i="2"/>
  <c r="I83" i="2"/>
  <c r="J82" i="2"/>
  <c r="I82" i="2"/>
  <c r="J81" i="2"/>
  <c r="I81" i="2"/>
  <c r="J79" i="2"/>
  <c r="I79" i="2"/>
  <c r="I72" i="2"/>
  <c r="J72" i="2"/>
  <c r="I73" i="2"/>
  <c r="J73" i="2"/>
  <c r="I74" i="2"/>
  <c r="J74" i="2"/>
  <c r="I75" i="2"/>
  <c r="J75" i="2"/>
  <c r="I76" i="2"/>
  <c r="J76" i="2"/>
  <c r="I77" i="2"/>
  <c r="J77" i="2"/>
  <c r="I78" i="2"/>
  <c r="J78" i="2"/>
  <c r="AJ61" i="2"/>
  <c r="J61" i="2"/>
  <c r="I61" i="2"/>
  <c r="J62" i="2"/>
  <c r="I62" i="2"/>
  <c r="AJ60" i="2"/>
  <c r="J60" i="2"/>
  <c r="I60" i="2"/>
  <c r="J58" i="2"/>
  <c r="I58" i="2"/>
  <c r="AJ59" i="2"/>
  <c r="J71" i="2"/>
  <c r="I71" i="2"/>
  <c r="J57" i="2"/>
  <c r="I57" i="2"/>
  <c r="J70" i="2"/>
  <c r="I70" i="2"/>
  <c r="J69" i="2"/>
  <c r="I69" i="2"/>
  <c r="J68" i="2"/>
  <c r="I68" i="2"/>
  <c r="J56" i="2"/>
  <c r="I56" i="2"/>
  <c r="J55" i="2"/>
  <c r="I55" i="2"/>
  <c r="J8" i="3"/>
  <c r="I8" i="3"/>
  <c r="J54" i="2"/>
  <c r="I54" i="2"/>
  <c r="J67" i="2"/>
  <c r="I67" i="2"/>
  <c r="I65" i="2"/>
  <c r="J65" i="2"/>
  <c r="J66" i="2"/>
  <c r="I66" i="2"/>
  <c r="J53" i="2"/>
  <c r="I53" i="2"/>
  <c r="J51" i="2"/>
  <c r="I51" i="2"/>
  <c r="J52" i="2"/>
  <c r="I52" i="2"/>
  <c r="J7" i="3"/>
  <c r="I7" i="3"/>
  <c r="J6" i="3"/>
  <c r="I6" i="3"/>
  <c r="AI5" i="3"/>
  <c r="U5" i="3"/>
  <c r="J5" i="3"/>
  <c r="I5" i="3"/>
  <c r="J50" i="2"/>
  <c r="I50" i="2"/>
  <c r="J49" i="2"/>
  <c r="I49" i="2"/>
  <c r="J48" i="2"/>
  <c r="I48" i="2"/>
  <c r="J46" i="2"/>
  <c r="I46" i="2"/>
  <c r="J47" i="2"/>
  <c r="I47" i="2"/>
  <c r="J45" i="2"/>
  <c r="I45" i="2"/>
  <c r="J44" i="2"/>
  <c r="I44" i="2"/>
  <c r="J43" i="2"/>
  <c r="I43" i="2"/>
  <c r="J64" i="2"/>
  <c r="J63" i="2" s="1"/>
  <c r="I64" i="2"/>
  <c r="I63" i="2" s="1"/>
  <c r="J42" i="2"/>
  <c r="I42" i="2"/>
  <c r="J41" i="2"/>
  <c r="I41" i="2"/>
  <c r="J39" i="2"/>
  <c r="I39" i="2"/>
  <c r="J40" i="2"/>
  <c r="I40" i="2"/>
  <c r="J37" i="2"/>
  <c r="I37" i="2"/>
  <c r="J38" i="2"/>
  <c r="I38" i="2"/>
  <c r="J36" i="2"/>
  <c r="I36" i="2"/>
  <c r="AS34" i="2"/>
  <c r="J34" i="2"/>
  <c r="J35" i="2"/>
  <c r="I34" i="2"/>
  <c r="I35" i="2"/>
  <c r="J33" i="2"/>
  <c r="I33" i="2"/>
  <c r="J32" i="2"/>
  <c r="I32" i="2"/>
  <c r="J31" i="2"/>
  <c r="I31" i="2"/>
  <c r="I30" i="2"/>
  <c r="J29" i="2"/>
  <c r="I29" i="2"/>
  <c r="I18" i="2"/>
  <c r="J28" i="2"/>
  <c r="I28" i="2"/>
  <c r="J27" i="2"/>
  <c r="I27" i="2"/>
  <c r="J21" i="2"/>
  <c r="J26" i="2"/>
  <c r="I26" i="2"/>
  <c r="J25" i="2"/>
  <c r="I25" i="2"/>
  <c r="J24" i="2"/>
  <c r="I24" i="2"/>
  <c r="I6" i="2"/>
  <c r="J7" i="2"/>
  <c r="I7" i="2"/>
  <c r="I4" i="2"/>
  <c r="I5" i="2"/>
  <c r="I8" i="2"/>
  <c r="I9" i="2"/>
  <c r="I10" i="2"/>
  <c r="I11" i="2"/>
  <c r="I12" i="2"/>
  <c r="I13" i="2"/>
  <c r="I15" i="2"/>
  <c r="I14" i="2"/>
  <c r="I16" i="2"/>
  <c r="I20" i="2"/>
  <c r="I17" i="2"/>
  <c r="I19" i="2"/>
  <c r="I21" i="2"/>
  <c r="I23" i="2"/>
  <c r="J4" i="2"/>
  <c r="J5" i="2"/>
  <c r="J23" i="2"/>
  <c r="J19" i="2"/>
  <c r="J18" i="2"/>
  <c r="J17" i="2"/>
  <c r="J16" i="2"/>
  <c r="J14" i="2"/>
  <c r="J15" i="2"/>
  <c r="J13" i="2"/>
  <c r="J11" i="2"/>
  <c r="J10" i="2"/>
  <c r="J9" i="2"/>
  <c r="J8" i="2"/>
  <c r="J22" i="2"/>
  <c r="I22" i="2"/>
  <c r="G5" i="14" l="1"/>
  <c r="G11" i="14" s="1"/>
  <c r="J5" i="14"/>
  <c r="J11" i="14" s="1"/>
  <c r="K5" i="14"/>
  <c r="K11" i="14" s="1"/>
  <c r="M5" i="14"/>
  <c r="M11" i="14" s="1"/>
  <c r="O5" i="14"/>
  <c r="O11" i="14" s="1"/>
  <c r="P5" i="14"/>
  <c r="P11" i="14" s="1"/>
  <c r="Q5" i="14"/>
  <c r="Q11" i="14" s="1"/>
  <c r="R5" i="14"/>
  <c r="R11" i="14" s="1"/>
  <c r="C11" i="14"/>
  <c r="B11" i="14"/>
  <c r="C25" i="14"/>
  <c r="B25" i="14"/>
  <c r="B24" i="14"/>
  <c r="B26" i="14" s="1"/>
  <c r="F24" i="14"/>
  <c r="E24" i="14"/>
  <c r="D24" i="14"/>
  <c r="F25" i="14"/>
  <c r="E25" i="14"/>
  <c r="D25" i="14"/>
  <c r="J26" i="3"/>
  <c r="AF1" i="12"/>
  <c r="AF2" i="12"/>
  <c r="AG1" i="12"/>
  <c r="AG2" i="12"/>
  <c r="R25" i="12"/>
  <c r="Q2" i="12"/>
  <c r="Q1" i="12"/>
  <c r="AZ1" i="12"/>
  <c r="AZ2" i="12"/>
  <c r="N33" i="7"/>
  <c r="M33" i="7"/>
  <c r="N55" i="7"/>
  <c r="M55" i="7"/>
  <c r="N69" i="7"/>
  <c r="M69" i="7"/>
  <c r="N57" i="7"/>
  <c r="M57" i="7"/>
  <c r="N157" i="7"/>
  <c r="M157" i="7"/>
  <c r="N156" i="7"/>
  <c r="H5" i="14" s="1"/>
  <c r="H11" i="14" s="1"/>
  <c r="M156" i="7"/>
  <c r="M281" i="7"/>
  <c r="N281" i="7"/>
  <c r="M271" i="7"/>
  <c r="N271" i="7"/>
  <c r="M253" i="7"/>
  <c r="N253" i="7"/>
  <c r="I5" i="14" s="1"/>
  <c r="I11" i="14" s="1"/>
  <c r="J228" i="2"/>
  <c r="I228" i="2"/>
  <c r="J59" i="2"/>
  <c r="I59" i="2"/>
  <c r="F5" i="14" l="1"/>
  <c r="F11" i="14" s="1"/>
  <c r="C24" i="14" s="1"/>
  <c r="C26" i="14"/>
  <c r="D26" i="14"/>
  <c r="E26" i="14"/>
  <c r="F26" i="14"/>
  <c r="J25" i="12"/>
  <c r="I25" i="12"/>
  <c r="I2" i="12" s="1"/>
  <c r="R1" i="12"/>
  <c r="R2" i="12"/>
  <c r="J2" i="12" l="1"/>
  <c r="J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tc={D34B1311-31CA-4951-B442-0905FBD08291}</author>
    <author>tc={1531D67D-B0AD-4920-8C32-E35E5CAA8EFB}</author>
    <author>tc={85589FD5-39EF-4C13-96BE-3DC412CAD514}</author>
    <author>tc={93FD6D33-0A47-4CD8-8B59-9EB658AD3DAF}</author>
    <author>tc={54F5FA50-419B-4B75-9C6A-6572FDA703BB}</author>
  </authors>
  <commentList>
    <comment ref="L82" authorId="0" shapeId="0" xr:uid="{D34B1311-31CA-4951-B442-0905FBD08291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 was for 1858 euros, not sure what row to associate it</t>
      </text>
    </comment>
    <comment ref="L88" authorId="1" shapeId="0" xr:uid="{1531D67D-B0AD-4920-8C32-E35E5CAA8E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 was for 925, more than the figure here. </t>
      </text>
    </comment>
    <comment ref="L98" authorId="2" shapeId="0" xr:uid="{85589FD5-39EF-4C13-96BE-3DC412CAD514}">
      <text>
        <t>[Threaded comment]
Your version of Excel allows you to read this threaded comment; however, any edits to it will get removed if the file is opened in a newer version of Excel. Learn more: https://go.microsoft.com/fwlink/?linkid=870924
Comment:
    PO was for 880 though</t>
      </text>
    </comment>
    <comment ref="L116" authorId="3" shapeId="0" xr:uid="{93FD6D33-0A47-4CD8-8B59-9EB658AD3DAF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Invoiced 204.17 excl VAT - 245 total</t>
      </text>
    </comment>
    <comment ref="E189" authorId="4" shapeId="0" xr:uid="{54F5FA50-419B-4B75-9C6A-6572FDA703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Etes vous sure que c est pour moi? Je suis sur DI et MOBILE :)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tc={108EBF37-1BF3-41F6-9135-C67A681CF96E}</author>
    <author>tc={A76E3D13-69C8-4B2D-9BB0-ECDED6CB1CE4}</author>
    <author>tc={CE91AAC1-EA7C-4F41-8E84-C99E73A6F2B8}</author>
    <author>tc={CB96C8F9-4437-4C37-8F5E-EFF8DE8FF86A}</author>
    <author>tc={47278526-0BB2-4E79-8C28-C8EEEFBB7DB8}</author>
    <author>tc={EC94E78D-60DB-4044-B521-676CA91EA054}</author>
    <author>tc={77B5BDD2-C280-4EA2-B19B-BDC6DDDA2AD8}</author>
    <author>tc={CEEE4BEE-DE8E-4112-B1D0-9AEF802BCE58}</author>
    <author>tc={45F7054C-9C4F-41DB-9766-687EDCC1C96A}</author>
    <author>tc={9034907A-57D7-4AAF-ABA1-CA2005FDAF43}</author>
    <author>tc={3A140D92-CE24-46B6-8354-314F7389AD6F}</author>
    <author>tc={48B9BFA4-76C0-49DF-BB67-0B814A804294}</author>
    <author>tc={15304852-0DFB-4A2B-B907-601929C1E18F}</author>
    <author>Alice Devulder</author>
    <author>tc={89609473-EDF2-4529-AE7C-FB39DD4060A8}</author>
    <author>tc={CA931B89-8E89-44D6-B3C7-E72F9AE2AC70}</author>
    <author>tc={0453745A-3DCF-455A-B8DF-649C97299437}</author>
    <author>tc={5EBEB2EE-6B50-4C40-B7C8-EB1A57773A18}</author>
    <author>tc={27168AA2-8547-4846-A36E-B552B9F915CB}</author>
    <author>tc={AC2CF725-60C0-4FF4-83B1-6DC7A1D8B7AD}</author>
    <author>tc={5D06607A-423F-43F0-87BD-C2F242606D17}</author>
    <author>tc={1FE85D86-A4CC-4113-A57A-92EC4577D576}</author>
    <author>tc={962F934E-74B1-4A1F-B535-BC7A7AB37F8B}</author>
    <author>tc={783D2AB5-7D4A-4752-AF81-ECA318E1C98A}</author>
    <author>tc={889C1796-3D60-4843-8D8B-65A18B8CD128}</author>
    <author>tc={4537A3FD-3C08-4D32-B61F-F5EFEB979E97}</author>
    <author>tc={FA8A1FBD-0674-463D-863C-031386CC4C72}</author>
    <author>tc={D8CAF25A-B614-4F88-BD1B-4A7D04551A00}</author>
    <author>tc={5C449189-9AC1-4FC7-8099-06715A436DB1}</author>
    <author>tc={85DDB8C0-0FD6-440B-B97D-84849BC9F16F}</author>
    <author>tc={CD4B2C3C-772E-4731-ABD6-467846949C14}</author>
    <author>tc={FB81A538-9085-4B9D-9C2F-39FD68AE3BE2}</author>
    <author>tc={6A6C4EF5-644D-4018-BBFB-6C3205C6320A}</author>
    <author>tc={E0775F12-D158-4360-8706-C9ED0B85A41A}</author>
    <author>tc={BB469E07-98E5-4899-9DE9-195FD071C9D7}</author>
    <author>tc={BAB34304-84CD-41DD-93D0-D70F58CB903F}</author>
    <author>tc={AD7901D7-80B7-407F-ADFB-08FF21F5CA5F}</author>
    <author>tc={BAF2A70D-8FBA-4BBD-B59B-8816334F2B8A}</author>
    <author>tc={32139D4E-6D42-4589-AECB-79F59A58AC59}</author>
    <author>tc={A369FC20-8430-4665-A5A8-8C9365726F7E}</author>
    <author>tc={6F6DAB4B-53E1-451E-9EC9-11EADA73BC64}</author>
    <author>tc={58F2DCE3-A0C9-41EC-92B0-4E2A716C2156}</author>
    <author>tc={3367A42C-18F5-4DFB-8C32-819232C2A093}</author>
    <author>tc={87924A1E-F280-489B-A5BF-BA724446967D}</author>
  </authors>
  <commentList>
    <comment ref="Q63" authorId="0" shapeId="0" xr:uid="{108EBF37-1BF3-41F6-9135-C67A681CF96E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 was for 1858 euros, not sure what row to associate it</t>
      </text>
    </comment>
    <comment ref="Q80" authorId="1" shapeId="0" xr:uid="{A76E3D13-69C8-4B2D-9BB0-ECDED6CB1C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 was for 925, more than the figure here. </t>
      </text>
    </comment>
    <comment ref="Q81" authorId="2" shapeId="0" xr:uid="{CE91AAC1-EA7C-4F41-8E84-C99E73A6F2B8}">
      <text>
        <t>[Threaded comment]
Your version of Excel allows you to read this threaded comment; however, any edits to it will get removed if the file is opened in a newer version of Excel. Learn more: https://go.microsoft.com/fwlink/?linkid=870924
Comment:
    N° de PO changé APRES l'édition de la facture sur PO 4200641950</t>
      </text>
    </comment>
    <comment ref="Q87" authorId="3" shapeId="0" xr:uid="{CB96C8F9-4437-4C37-8F5E-EFF8DE8FF86A}">
      <text>
        <t>[Threaded comment]
Your version of Excel allows you to read this threaded comment; however, any edits to it will get removed if the file is opened in a newer version of Excel. Learn more: https://go.microsoft.com/fwlink/?linkid=870924
Comment:
    N° de PO changé APRES l'édition de la facture sur PO 4200641950</t>
      </text>
    </comment>
    <comment ref="Q99" authorId="4" shapeId="0" xr:uid="{47278526-0BB2-4E79-8C28-C8EEEFBB7DB8}">
      <text>
        <t>[Threaded comment]
Your version of Excel allows you to read this threaded comment; however, any edits to it will get removed if the file is opened in a newer version of Excel. Learn more: https://go.microsoft.com/fwlink/?linkid=870924
Comment:
    PO was for 880 though</t>
      </text>
    </comment>
    <comment ref="N125" authorId="5" shapeId="0" xr:uid="{EC94E78D-60DB-4044-B521-676CA91EA054}">
      <text>
        <t>[Threaded comment]
Your version of Excel allows you to read this threaded comment; however, any edits to it will get removed if the file is opened in a newer version of Excel. Learn more: https://go.microsoft.com/fwlink/?linkid=870924
Comment:
    204.16€ Facturée</t>
      </text>
    </comment>
    <comment ref="Q125" authorId="6" shapeId="0" xr:uid="{77B5BDD2-C280-4EA2-B19B-BDC6DDDA2AD8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Invoiced 204.17 excl VAT - 245 total</t>
      </text>
    </comment>
    <comment ref="Q249" authorId="7" shapeId="0" xr:uid="{CEEE4BEE-DE8E-4112-B1D0-9AEF802BCE58}">
      <text>
        <t>[Threaded comment]
Your version of Excel allows you to read this threaded comment; however, any edits to it will get removed if the file is opened in a newer version of Excel. Learn more: https://go.microsoft.com/fwlink/?linkid=870924
Comment:
    PO changé après édition par 4200657838</t>
      </text>
    </comment>
    <comment ref="Q254" authorId="8" shapeId="0" xr:uid="{45F7054C-9C4F-41DB-9766-687EDCC1C96A}">
      <text>
        <t>[Threaded comment]
Your version of Excel allows you to read this threaded comment; however, any edits to it will get removed if the file is opened in a newer version of Excel. Learn more: https://go.microsoft.com/fwlink/?linkid=870924
Comment:
    PO changé après édition par 4200657838</t>
      </text>
    </comment>
    <comment ref="Q268" authorId="9" shapeId="0" xr:uid="{9034907A-57D7-4AAF-ABA1-CA2005FDAF43}">
      <text>
        <t>[Threaded comment]
Your version of Excel allows you to read this threaded comment; however, any edits to it will get removed if the file is opened in a newer version of Excel. Learn more: https://go.microsoft.com/fwlink/?linkid=870924
Comment:
    PO changé APRES Edition de la facture pas n° 4200657852</t>
      </text>
    </comment>
    <comment ref="Q269" authorId="10" shapeId="0" xr:uid="{3A140D92-CE24-46B6-8354-314F7389AD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 changé APRES Edition de la facture pas n° 4200657852</t>
      </text>
    </comment>
    <comment ref="Q291" authorId="11" shapeId="0" xr:uid="{48B9BFA4-76C0-49DF-BB67-0B814A8042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Devrais le passer sous: 4200641950 car celui mentionné est plein
</t>
      </text>
    </comment>
    <comment ref="H300" authorId="12" shapeId="0" xr:uid="{15304852-0DFB-4A2B-B907-601929C1E1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Etes vous sure que c est pour moi? Je suis sur DI et MOBILE :)
</t>
      </text>
    </comment>
    <comment ref="Q382" authorId="13" shapeId="0" xr:uid="{F28B5987-CF6F-477C-B61B-EC464BFE1F76}">
      <text>
        <r>
          <rPr>
            <sz val="11"/>
            <color theme="1"/>
            <rFont val="Calibri"/>
            <family val="2"/>
            <scheme val="minor"/>
          </rPr>
          <t>Alice Devulder:
1001321779</t>
        </r>
      </text>
    </comment>
    <comment ref="N441" authorId="14" shapeId="0" xr:uid="{89609473-EDF2-4529-AE7C-FB39DD4060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Dissocier 2 ligne 80€ en juillet 
le reste aout
</t>
      </text>
    </comment>
    <comment ref="N442" authorId="15" shapeId="0" xr:uid="{CA931B89-8E89-44D6-B3C7-E72F9AE2AC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initialement 135€ à vérifier </t>
      </text>
    </comment>
    <comment ref="N459" authorId="16" shapeId="0" xr:uid="{0453745A-3DCF-455A-B8DF-649C97299437}">
      <text>
        <t>[Threaded comment]
Your version of Excel allows you to read this threaded comment; however, any edits to it will get removed if the file is opened in a newer version of Excel. Learn more: https://go.microsoft.com/fwlink/?linkid=870924
Comment:
    40€ rajouté ensuite</t>
      </text>
    </comment>
    <comment ref="Q606" authorId="17" shapeId="0" xr:uid="{5EBEB2EE-6B50-4C40-B7C8-EB1A57773A18}">
      <text>
        <t>[Threaded comment]
Your version of Excel allows you to read this threaded comment; however, any edits to it will get removed if the file is opened in a newer version of Excel. Learn more: https://go.microsoft.com/fwlink/?linkid=870924
Comment:
    Alice n'étais pas d'accord avec ces dépenses</t>
      </text>
    </comment>
    <comment ref="T620" authorId="18" shapeId="0" xr:uid="{27168AA2-8547-4846-A36E-B552B9F915CB}">
      <text>
        <t>[Threaded comment]
Your version of Excel allows you to read this threaded comment; however, any edits to it will get removed if the file is opened in a newer version of Excel. Learn more: https://go.microsoft.com/fwlink/?linkid=870924
Comment:
     Invalid PO New PO required (MOZART)</t>
      </text>
    </comment>
    <comment ref="Q659" authorId="19" shapeId="0" xr:uid="{AC2CF725-60C0-4FF4-83B1-6DC7A1D8B7AD}">
      <text>
        <t>[Threaded comment]
Your version of Excel allows you to read this threaded comment; however, any edits to it will get removed if the file is opened in a newer version of Excel. Learn more: https://go.microsoft.com/fwlink/?linkid=870924
Comment:
    2217€ SC 1001360229</t>
      </text>
    </comment>
    <comment ref="Q674" authorId="20" shapeId="0" xr:uid="{5D06607A-423F-43F0-87BD-C2F242606D17}">
      <text>
        <t>[Threaded comment]
Your version of Excel allows you to read this threaded comment; however, any edits to it will get removed if the file is opened in a newer version of Excel. Learn more: https://go.microsoft.com/fwlink/?linkid=870924
Comment:
    1665€ SC 1001360226</t>
      </text>
    </comment>
    <comment ref="Q686" authorId="21" shapeId="0" xr:uid="{1FE85D86-A4CC-4113-A57A-92EC4577D576}">
      <text>
        <t>[Threaded comment]
Your version of Excel allows you to read this threaded comment; however, any edits to it will get removed if the file is opened in a newer version of Excel. Learn more: https://go.microsoft.com/fwlink/?linkid=870924
Comment:
    290€ SC 1001360239</t>
      </text>
    </comment>
    <comment ref="T731" authorId="22" shapeId="0" xr:uid="{962F934E-74B1-4A1F-B535-BC7A7AB37F8B}">
      <text>
        <t>[Threaded comment]
Your version of Excel allows you to read this threaded comment; however, any edits to it will get removed if the file is opened in a newer version of Excel. Learn more: https://go.microsoft.com/fwlink/?linkid=870924
Comment:
     Invalid PO New PO required (MOZART)</t>
      </text>
    </comment>
    <comment ref="T740" authorId="23" shapeId="0" xr:uid="{783D2AB5-7D4A-4752-AF81-ECA318E1C98A}">
      <text>
        <t>[Threaded comment]
Your version of Excel allows you to read this threaded comment; however, any edits to it will get removed if the file is opened in a newer version of Excel. Learn more: https://go.microsoft.com/fwlink/?linkid=870924
Comment:
     Invalid PO New PO required (MOZART)</t>
      </text>
    </comment>
    <comment ref="U740" authorId="24" shapeId="0" xr:uid="{889C1796-3D60-4843-8D8B-65A18B8CD128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U741" authorId="25" shapeId="0" xr:uid="{4537A3FD-3C08-4D32-B61F-F5EFEB979E97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U742" authorId="26" shapeId="0" xr:uid="{FA8A1FBD-0674-463D-863C-031386CC4C72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U743" authorId="27" shapeId="0" xr:uid="{D8CAF25A-B614-4F88-BD1B-4A7D04551A00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U744" authorId="28" shapeId="0" xr:uid="{5C449189-9AC1-4FC7-8099-06715A436DB1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U745" authorId="29" shapeId="0" xr:uid="{85DDB8C0-0FD6-440B-B97D-84849BC9F16F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U746" authorId="30" shapeId="0" xr:uid="{CD4B2C3C-772E-4731-ABD6-467846949C14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U747" authorId="31" shapeId="0" xr:uid="{FB81A538-9085-4B9D-9C2F-39FD68AE3BE2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U748" authorId="32" shapeId="0" xr:uid="{6A6C4EF5-644D-4018-BBFB-6C3205C6320A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U749" authorId="33" shapeId="0" xr:uid="{E0775F12-D158-4360-8706-C9ED0B85A41A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U760" authorId="34" shapeId="0" xr:uid="{BB469E07-98E5-4899-9DE9-195FD071C9D7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U761" authorId="35" shapeId="0" xr:uid="{BAB34304-84CD-41DD-93D0-D70F58CB903F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Q765" authorId="36" shapeId="0" xr:uid="{AD7901D7-80B7-407F-ADFB-08FF21F5CA5F}">
      <text>
        <t>[Threaded comment]
Your version of Excel allows you to read this threaded comment; however, any edits to it will get removed if the file is opened in a newer version of Excel. Learn more: https://go.microsoft.com/fwlink/?linkid=870924
Comment:
    utiliser PO 4300153673 </t>
      </text>
    </comment>
    <comment ref="T765" authorId="37" shapeId="0" xr:uid="{BAF2A70D-8FBA-4BBD-B59B-8816334F2B8A}">
      <text>
        <t>[Threaded comment]
Your version of Excel allows you to read this threaded comment; however, any edits to it will get removed if the file is opened in a newer version of Excel. Learn more: https://go.microsoft.com/fwlink/?linkid=870924
Comment:
     Invalid PO New PO required (MOZART)</t>
      </text>
    </comment>
    <comment ref="T766" authorId="38" shapeId="0" xr:uid="{32139D4E-6D42-4589-AECB-79F59A58AC59}">
      <text>
        <t>[Threaded comment]
Your version of Excel allows you to read this threaded comment; however, any edits to it will get removed if the file is opened in a newer version of Excel. Learn more: https://go.microsoft.com/fwlink/?linkid=870924
Comment:
     Invalid PO New PO required (MOZART)</t>
      </text>
    </comment>
    <comment ref="T775" authorId="39" shapeId="0" xr:uid="{A369FC20-8430-4665-A5A8-8C9365726F7E}">
      <text>
        <t>[Threaded comment]
Your version of Excel allows you to read this threaded comment; however, any edits to it will get removed if the file is opened in a newer version of Excel. Learn more: https://go.microsoft.com/fwlink/?linkid=870924
Comment:
     Invalid PO New PO required (MOZART)</t>
      </text>
    </comment>
    <comment ref="U775" authorId="40" shapeId="0" xr:uid="{6F6DAB4B-53E1-451E-9EC9-11EADA73BC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Facture envoyée le 23/03 avec nouveau PO
</t>
      </text>
    </comment>
    <comment ref="U778" authorId="41" shapeId="0" xr:uid="{58F2DCE3-A0C9-41EC-92B0-4E2A716C21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Facture envoyée le 23/03 avec nouveau PO
</t>
      </text>
    </comment>
    <comment ref="T783" authorId="42" shapeId="0" xr:uid="{3367A42C-18F5-4DFB-8C32-819232C2A093}">
      <text>
        <t>[Threaded comment]
Your version of Excel allows you to read this threaded comment; however, any edits to it will get removed if the file is opened in a newer version of Excel. Learn more: https://go.microsoft.com/fwlink/?linkid=870924
Comment:
     Invalid PO New PO required (MOZART)</t>
      </text>
    </comment>
    <comment ref="Q877" authorId="43" shapeId="0" xr:uid="{87924A1E-F280-489B-A5BF-BA724446967D}">
      <text>
        <t>[Threaded comment]
Your version of Excel allows you to read this threaded comment; however, any edits to it will get removed if the file is opened in a newer version of Excel. Learn more: https://go.microsoft.com/fwlink/?linkid=870924
Comment:
    Ce PO a été renseigné hors il est de 440€ et 185€ on déjà été facturé dessus- email envoyé le 11/03 en attente d'un retour de Xanthi et/ou Sébastien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tc={98CD630F-03D5-4F5A-ABD1-2B46CAFE410E}</author>
  </authors>
  <commentList>
    <comment ref="P63" authorId="0" shapeId="0" xr:uid="{98CD630F-03D5-4F5A-ABD1-2B46CAFE410E}">
      <text>
        <t>[Threaded comment]
Your version of Excel allows you to read this threaded comment; however, any edits to it will get removed if the file is opened in a newer version of Excel. Learn more: https://go.microsoft.com/fwlink/?linkid=870924
Comment:
    Selon Ann-Kathrin nous devrions être payé en fin de mois</t>
      </text>
    </comment>
  </commentList>
</comments>
</file>

<file path=xl/sharedStrings.xml><?xml version="1.0" encoding="utf-8"?>
<sst xmlns="http://schemas.openxmlformats.org/spreadsheetml/2006/main" count="20438" uniqueCount="4349">
  <si>
    <t>Sony France</t>
  </si>
  <si>
    <t>FY</t>
  </si>
  <si>
    <t>FY24</t>
  </si>
  <si>
    <t>FY23</t>
  </si>
  <si>
    <t>PO Status</t>
  </si>
  <si>
    <t>(Tous)</t>
  </si>
  <si>
    <t>PO en attente</t>
  </si>
  <si>
    <t>Sum of Total Value</t>
  </si>
  <si>
    <t>Month</t>
  </si>
  <si>
    <t>Team</t>
  </si>
  <si>
    <t>Contact</t>
  </si>
  <si>
    <t>Project</t>
  </si>
  <si>
    <t>01-APR</t>
  </si>
  <si>
    <t>02-MAY</t>
  </si>
  <si>
    <t>03-JUN</t>
  </si>
  <si>
    <t>04-JUL</t>
  </si>
  <si>
    <t>05-AUG</t>
  </si>
  <si>
    <t>06-SEP</t>
  </si>
  <si>
    <t>07-OCT</t>
  </si>
  <si>
    <t>08-NOV</t>
  </si>
  <si>
    <t>10-JAN</t>
  </si>
  <si>
    <t>11-FEB</t>
  </si>
  <si>
    <t>12-MAR</t>
  </si>
  <si>
    <t>Total</t>
  </si>
  <si>
    <t>Category</t>
  </si>
  <si>
    <t>(vide)</t>
  </si>
  <si>
    <t>Alice Mucke</t>
  </si>
  <si>
    <t>Kenza Touili</t>
  </si>
  <si>
    <t>Justine RODRIGUES</t>
  </si>
  <si>
    <t>SDLP - Leaflet Vlogging</t>
  </si>
  <si>
    <t>CM</t>
  </si>
  <si>
    <t>Lucia Alvaro</t>
  </si>
  <si>
    <t>Mylène Pellet</t>
  </si>
  <si>
    <t>Xanthi Ountzoudi</t>
  </si>
  <si>
    <t>BA</t>
  </si>
  <si>
    <t>Anissa Azediou</t>
  </si>
  <si>
    <t>Astrid Jean-Baptiste</t>
  </si>
  <si>
    <t>Françoise Burgarella</t>
  </si>
  <si>
    <t>Héloïse Leroy</t>
  </si>
  <si>
    <t>Stickers vitrines - Dealer Days 2024</t>
  </si>
  <si>
    <t>Mise au format visuel JPO FNAC Audio</t>
  </si>
  <si>
    <t>Insertion pub</t>
  </si>
  <si>
    <t>URGENT : Visuel pour stand Fnac</t>
  </si>
  <si>
    <t>Ivet Rico</t>
  </si>
  <si>
    <t>BRIEF CREA_Magnet ZV 1II</t>
  </si>
  <si>
    <t>Comparaison Table Xperia 5 V</t>
  </si>
  <si>
    <t>Léa Novio</t>
  </si>
  <si>
    <t>Sébastien Minaux</t>
  </si>
  <si>
    <t>Kenza Touilli</t>
  </si>
  <si>
    <t>AN1000 Award</t>
  </si>
  <si>
    <t>TV SONY format demi-page</t>
  </si>
  <si>
    <t>Antoine Cuvillier</t>
  </si>
  <si>
    <t>Visuels page produits S40R</t>
  </si>
  <si>
    <t>Valentin Gibaud</t>
  </si>
  <si>
    <t xml:space="preserve">BRAVIA 8 BVB screenfill </t>
  </si>
  <si>
    <t>Adaptations Header web</t>
  </si>
  <si>
    <t>Orianne Hochweiker</t>
  </si>
  <si>
    <t>Visuel 800 x 418 - Lancement ZVE10M2B</t>
  </si>
  <si>
    <t>Lisa Peron</t>
  </si>
  <si>
    <t>Panneau - Visuel pour un événement interne Sony</t>
  </si>
  <si>
    <t xml:space="preserve">OP IP&amp;S AOUT_Focales Fixes et TRADE IN </t>
  </si>
  <si>
    <t>OP LENSES BACK TO SCHOOL</t>
  </si>
  <si>
    <t>SDLP - LEAFLET MICROS</t>
  </si>
  <si>
    <t>Sony France - CM</t>
  </si>
  <si>
    <t>(Plusieurs éléments)</t>
  </si>
  <si>
    <t>Quarter</t>
  </si>
  <si>
    <t>PO</t>
  </si>
  <si>
    <t>Cross</t>
  </si>
  <si>
    <t>Q2</t>
  </si>
  <si>
    <t>DI</t>
  </si>
  <si>
    <t>Q1</t>
  </si>
  <si>
    <t>4200663622</t>
  </si>
  <si>
    <t>BOULANGER OP AVRIL</t>
  </si>
  <si>
    <t>Visuel ZV E10-format FNAC</t>
  </si>
  <si>
    <t>Affiche A9M_ Decli Vitrine IP CHOLET</t>
  </si>
  <si>
    <t>Lancement nouvel Objectif_BANNERS</t>
  </si>
  <si>
    <t>OP LANDSCAPE_banners</t>
  </si>
  <si>
    <t>OP 500€ de remise_ KIT A7M4 ou A7M3</t>
  </si>
  <si>
    <t>FRENCH DAYS | Adaptation des créas</t>
  </si>
  <si>
    <t>Fnac Darty - Brief Habillage &amp; Bannières OP Photo</t>
  </si>
  <si>
    <t>DI | Brief 21x21 OPENEYE</t>
  </si>
  <si>
    <t>Print always on DI - Juin</t>
  </si>
  <si>
    <t>DI | FY24 Always ON DI - Flight 1</t>
  </si>
  <si>
    <t>STUDENT CASHBACK France</t>
  </si>
  <si>
    <t>BOULANGER | Offres braderie</t>
  </si>
  <si>
    <t>BOULANGER | Opération de reprise Gaming</t>
  </si>
  <si>
    <t>Q3</t>
  </si>
  <si>
    <t>Q4</t>
  </si>
  <si>
    <t>Newsletter PRT - Janvier 2024</t>
  </si>
  <si>
    <t>4200665859</t>
  </si>
  <si>
    <t>OP SUMMER FY24</t>
  </si>
  <si>
    <t>4200664144</t>
  </si>
  <si>
    <t>XV500 Subtitles</t>
  </si>
  <si>
    <t>HAV</t>
  </si>
  <si>
    <t>BOULANGER | Newsletter 65BRAVIA7 + QUAD</t>
  </si>
  <si>
    <t>MDR</t>
  </si>
  <si>
    <t>BOULANGER | Offre XM4</t>
  </si>
  <si>
    <t>BOULANGER | Offres sur la 1000X Family</t>
  </si>
  <si>
    <t>Brief Créa ULT - Megastar/Impulse Fnac Darty</t>
  </si>
  <si>
    <t>ULT WEAR - AMS bannières statiques</t>
  </si>
  <si>
    <t>ULT WEAR - REC AMAZON</t>
  </si>
  <si>
    <t>Nouveau format Megastar ULT</t>
  </si>
  <si>
    <t>4200665082</t>
  </si>
  <si>
    <t>BRIEF INLAYS ULT</t>
  </si>
  <si>
    <t>FICHES PRODUITS ULT FAMILY</t>
  </si>
  <si>
    <t>ULT | Bannières</t>
  </si>
  <si>
    <t>ULT - CHALLENGE POS</t>
  </si>
  <si>
    <t>Assets Vidéos - Campagne Social Ads Fnac Darty</t>
  </si>
  <si>
    <t>Créa Box magasin</t>
  </si>
  <si>
    <t>BOULANGER | Video SocialAds GAMME ULT</t>
  </si>
  <si>
    <t>BOULANGER | Offres Audio EURO</t>
  </si>
  <si>
    <t>Reformatage Asset ULT - Challenge Fnac Airport</t>
  </si>
  <si>
    <t>ULT bannières</t>
  </si>
  <si>
    <t>BOULANGER | ILV Magasins  - CH720N</t>
  </si>
  <si>
    <t>BOULANGER | Vidéo magasins ULT</t>
  </si>
  <si>
    <t xml:space="preserve">Etiquette inlay </t>
  </si>
  <si>
    <t>BOULANGER | Adaptation bulles WFXM5</t>
  </si>
  <si>
    <t>Facture Complémentaire PO 4200663610</t>
  </si>
  <si>
    <t>Simluation rayon casques TV</t>
  </si>
  <si>
    <t>CREA DSP WH1000XM5</t>
  </si>
  <si>
    <t xml:space="preserve">FICHES PRODUITS LANCEMENT INZONE </t>
  </si>
  <si>
    <t>4200663610</t>
  </si>
  <si>
    <t>BOULANGER | ILV Magasins</t>
  </si>
  <si>
    <t>BOULANGER | Homepage sur l'Audio Coloré</t>
  </si>
  <si>
    <t>Audio Coloré adaptation Newsletter</t>
  </si>
  <si>
    <t>4200664145</t>
  </si>
  <si>
    <t>POS ULT</t>
  </si>
  <si>
    <t>MEDIA DI</t>
  </si>
  <si>
    <t>MEDIA TV</t>
  </si>
  <si>
    <t>PAG</t>
  </si>
  <si>
    <t>TV</t>
  </si>
  <si>
    <t>BOULANGER | BUNDLE A3000+SW3</t>
  </si>
  <si>
    <t>BOULANGER | Offre 75X75WL</t>
  </si>
  <si>
    <t>BOULANGER  | Showcase Criteo</t>
  </si>
  <si>
    <t>BOULANGER | Vidéo Magasin - Un été sportif avec Bravia</t>
  </si>
  <si>
    <t>Modification Assets Cashback TV &amp; BDS</t>
  </si>
  <si>
    <t>BOULANGER | Vidéo Magasin - 2e vidéo TV</t>
  </si>
  <si>
    <t>4200664137</t>
  </si>
  <si>
    <t>HABILLAGE BOULANGER GENNEVILLIERS</t>
  </si>
  <si>
    <t>BOULANGER | Trigger TV BDS</t>
  </si>
  <si>
    <t>BOULANGER | Offre limitée sur les A80L</t>
  </si>
  <si>
    <t>BOULANGER | Mise à jour landing page TV</t>
  </si>
  <si>
    <t>BOULANGER | Synergie TV &amp; BDS</t>
  </si>
  <si>
    <t>Affichages dynamiques - RELAY V1</t>
  </si>
  <si>
    <t>BOULANGER | Habillage rayon casques TV</t>
  </si>
  <si>
    <t>Affichages dynamiques - RELAY V2</t>
  </si>
  <si>
    <t>T&amp;C Crunchyroll - update 2024</t>
  </si>
  <si>
    <t>MARCOM TV</t>
  </si>
  <si>
    <t>HE | Cashback lancement HE 2024</t>
  </si>
  <si>
    <t>4200666286</t>
  </si>
  <si>
    <t>HE | Adaptation POS Gamme 2024</t>
  </si>
  <si>
    <t>HE | POLO promoteurs Eurocup</t>
  </si>
  <si>
    <t>HE | Bannières &amp; modalités SPC</t>
  </si>
  <si>
    <t>MARCOM HE | Screenfills BVB A80L &amp; A95L</t>
  </si>
  <si>
    <t xml:space="preserve">Adaptation bannière A95L </t>
  </si>
  <si>
    <t>Lancement adaptation bannières BOULANGER</t>
  </si>
  <si>
    <t>BOULANGER | Nouveautés TV</t>
  </si>
  <si>
    <t>HE | screenfill X75WL</t>
  </si>
  <si>
    <t>Adaptation POS leaflet/upcale/TV guide</t>
  </si>
  <si>
    <t>4200665873</t>
  </si>
  <si>
    <t>TV x HAV - EuroCup &amp; JO 2024</t>
  </si>
  <si>
    <t>MARCOM HAV</t>
  </si>
  <si>
    <t>HE | Traduction fiches produit HAV</t>
  </si>
  <si>
    <t>PSK</t>
  </si>
  <si>
    <t>GAM</t>
  </si>
  <si>
    <t>Price File</t>
  </si>
  <si>
    <t>Online</t>
  </si>
  <si>
    <t>Offline</t>
  </si>
  <si>
    <t>Presentations</t>
  </si>
  <si>
    <t>Web</t>
  </si>
  <si>
    <t>Videos</t>
  </si>
  <si>
    <t>Virtualization</t>
  </si>
  <si>
    <t>Copy</t>
  </si>
  <si>
    <t>Details</t>
  </si>
  <si>
    <r>
      <t xml:space="preserve">Banner creation </t>
    </r>
    <r>
      <rPr>
        <i/>
        <sz val="11"/>
        <color theme="0"/>
        <rFont val="Calibri"/>
        <family val="2"/>
        <scheme val="minor"/>
      </rPr>
      <t>(static)</t>
    </r>
  </si>
  <si>
    <r>
      <t xml:space="preserve">Banner adaptation </t>
    </r>
    <r>
      <rPr>
        <i/>
        <sz val="11"/>
        <color theme="0"/>
        <rFont val="Calibri"/>
        <family val="2"/>
        <scheme val="minor"/>
      </rPr>
      <t>(static)</t>
    </r>
  </si>
  <si>
    <r>
      <t xml:space="preserve">Banner creation </t>
    </r>
    <r>
      <rPr>
        <i/>
        <sz val="11"/>
        <color theme="0"/>
        <rFont val="Calibri"/>
        <family val="2"/>
        <scheme val="minor"/>
      </rPr>
      <t>(animated)</t>
    </r>
  </si>
  <si>
    <r>
      <t xml:space="preserve">Banner adaptation </t>
    </r>
    <r>
      <rPr>
        <i/>
        <sz val="11"/>
        <color theme="0"/>
        <rFont val="Calibri"/>
        <family val="2"/>
        <scheme val="minor"/>
      </rPr>
      <t>(animated)</t>
    </r>
  </si>
  <si>
    <t>Logo</t>
  </si>
  <si>
    <t>Lifestyle Picture</t>
  </si>
  <si>
    <t>Wallpapers</t>
  </si>
  <si>
    <r>
      <t xml:space="preserve">Offline creation </t>
    </r>
    <r>
      <rPr>
        <i/>
        <sz val="11"/>
        <color theme="0"/>
        <rFont val="Calibri"/>
        <family val="2"/>
        <scheme val="minor"/>
      </rPr>
      <t>(standard)</t>
    </r>
  </si>
  <si>
    <r>
      <t xml:space="preserve">Offline creation </t>
    </r>
    <r>
      <rPr>
        <i/>
        <sz val="11"/>
        <color theme="0"/>
        <rFont val="Calibri"/>
        <family val="2"/>
        <scheme val="minor"/>
      </rPr>
      <t>(adaptation)</t>
    </r>
  </si>
  <si>
    <r>
      <t xml:space="preserve">Leaflet
</t>
    </r>
    <r>
      <rPr>
        <i/>
        <sz val="11"/>
        <color theme="0"/>
        <rFont val="Calibri"/>
        <family val="2"/>
        <scheme val="minor"/>
      </rPr>
      <t>(1 page)</t>
    </r>
  </si>
  <si>
    <r>
      <t xml:space="preserve">Leaflet
</t>
    </r>
    <r>
      <rPr>
        <i/>
        <sz val="11"/>
        <color theme="0"/>
        <rFont val="Calibri"/>
        <family val="2"/>
        <scheme val="minor"/>
      </rPr>
      <t>(2 pages)</t>
    </r>
  </si>
  <si>
    <r>
      <rPr>
        <b/>
        <sz val="11"/>
        <color rgb="FFFFFFFF"/>
        <rFont val="Calibri"/>
      </rPr>
      <t xml:space="preserve">Packaging
</t>
    </r>
    <r>
      <rPr>
        <i/>
        <sz val="11"/>
        <color rgb="FFFFFFFF"/>
        <rFont val="Calibri"/>
      </rPr>
      <t>(box)</t>
    </r>
  </si>
  <si>
    <t>Merchandising Plan</t>
  </si>
  <si>
    <t>Roll-up / Wall creation</t>
  </si>
  <si>
    <t>Chart</t>
  </si>
  <si>
    <r>
      <t xml:space="preserve">Brochure
</t>
    </r>
    <r>
      <rPr>
        <i/>
        <sz val="11"/>
        <color theme="0"/>
        <rFont val="Calibri"/>
        <family val="2"/>
        <scheme val="minor"/>
      </rPr>
      <t>(20 pages)</t>
    </r>
  </si>
  <si>
    <t>Slide</t>
  </si>
  <si>
    <r>
      <rPr>
        <b/>
        <sz val="11"/>
        <color rgb="FFFFFFFF"/>
        <rFont val="Calibri"/>
      </rPr>
      <t xml:space="preserve">Newsletter
</t>
    </r>
    <r>
      <rPr>
        <i/>
        <sz val="11"/>
        <color rgb="FFFFFFFF"/>
        <rFont val="Calibri"/>
      </rPr>
      <t>(design only)</t>
    </r>
  </si>
  <si>
    <r>
      <rPr>
        <b/>
        <sz val="11"/>
        <color rgb="FFFFFFFF"/>
        <rFont val="Calibri"/>
      </rPr>
      <t xml:space="preserve">Newsletter
</t>
    </r>
    <r>
      <rPr>
        <i/>
        <sz val="11"/>
        <color rgb="FFFFFFFF"/>
        <rFont val="Calibri"/>
      </rPr>
      <t>(complete)</t>
    </r>
  </si>
  <si>
    <r>
      <t xml:space="preserve">Landing page </t>
    </r>
    <r>
      <rPr>
        <i/>
        <sz val="11"/>
        <color theme="0"/>
        <rFont val="Calibri"/>
        <family val="2"/>
        <scheme val="minor"/>
      </rPr>
      <t>(design only)</t>
    </r>
  </si>
  <si>
    <r>
      <t xml:space="preserve">Landing page
</t>
    </r>
    <r>
      <rPr>
        <i/>
        <sz val="11"/>
        <color theme="0"/>
        <rFont val="Calibri"/>
        <family val="2"/>
        <scheme val="minor"/>
      </rPr>
      <t>(complete)</t>
    </r>
  </si>
  <si>
    <r>
      <t xml:space="preserve">Website
</t>
    </r>
    <r>
      <rPr>
        <i/>
        <sz val="11"/>
        <color theme="0"/>
        <rFont val="Calibri"/>
        <family val="2"/>
        <scheme val="minor"/>
      </rPr>
      <t>(design only)</t>
    </r>
  </si>
  <si>
    <r>
      <t xml:space="preserve">Website
</t>
    </r>
    <r>
      <rPr>
        <i/>
        <sz val="11"/>
        <color theme="0"/>
        <rFont val="Calibri"/>
        <family val="2"/>
        <scheme val="minor"/>
      </rPr>
      <t>(complete)</t>
    </r>
  </si>
  <si>
    <t>Simple Edition</t>
  </si>
  <si>
    <t>Longer Edition</t>
  </si>
  <si>
    <r>
      <rPr>
        <b/>
        <sz val="11"/>
        <color rgb="FFFFFFFF"/>
        <rFont val="Calibri"/>
      </rPr>
      <t xml:space="preserve">Social Media Video
</t>
    </r>
    <r>
      <rPr>
        <i/>
        <sz val="11"/>
        <color rgb="FFFFFFFF"/>
        <rFont val="Calibri"/>
      </rPr>
      <t>(up to 30s)</t>
    </r>
  </si>
  <si>
    <r>
      <rPr>
        <b/>
        <sz val="11"/>
        <color rgb="FFFFFFFF"/>
        <rFont val="Calibri"/>
      </rPr>
      <t xml:space="preserve">Social Media Video
</t>
    </r>
    <r>
      <rPr>
        <i/>
        <sz val="11"/>
        <color rgb="FFFFFFFF"/>
        <rFont val="Calibri"/>
      </rPr>
      <t>(up to 1 min)</t>
    </r>
  </si>
  <si>
    <t>Promotional</t>
  </si>
  <si>
    <r>
      <t xml:space="preserve">2D Video 
</t>
    </r>
    <r>
      <rPr>
        <i/>
        <sz val="11"/>
        <color theme="0"/>
        <rFont val="Calibri"/>
        <family val="2"/>
        <scheme val="minor"/>
      </rPr>
      <t>(up to 3min)</t>
    </r>
  </si>
  <si>
    <r>
      <t xml:space="preserve">3D Video 
</t>
    </r>
    <r>
      <rPr>
        <i/>
        <sz val="11"/>
        <color theme="0"/>
        <rFont val="Calibri"/>
        <family val="2"/>
        <scheme val="minor"/>
      </rPr>
      <t>(up to 3min)</t>
    </r>
  </si>
  <si>
    <t>Virtual space</t>
  </si>
  <si>
    <t>Virtual showroom</t>
  </si>
  <si>
    <r>
      <t xml:space="preserve">Translation 
</t>
    </r>
    <r>
      <rPr>
        <i/>
        <sz val="11"/>
        <color theme="0"/>
        <rFont val="Calibri"/>
        <family val="2"/>
        <scheme val="minor"/>
      </rPr>
      <t>(per word)</t>
    </r>
  </si>
  <si>
    <r>
      <t xml:space="preserve">Copywrite
</t>
    </r>
    <r>
      <rPr>
        <i/>
        <sz val="11"/>
        <color theme="0"/>
        <rFont val="Calibri"/>
        <family val="2"/>
        <scheme val="minor"/>
      </rPr>
      <t>(per word)</t>
    </r>
  </si>
  <si>
    <t>Customer</t>
  </si>
  <si>
    <t>Division</t>
  </si>
  <si>
    <t>Date</t>
  </si>
  <si>
    <t>Status</t>
  </si>
  <si>
    <t>Link</t>
  </si>
  <si>
    <t>Assets</t>
  </si>
  <si>
    <t>Total Value</t>
  </si>
  <si>
    <t>Quote</t>
  </si>
  <si>
    <t>Mois de paiement</t>
  </si>
  <si>
    <t>Invoice</t>
  </si>
  <si>
    <t>N° Invoice</t>
  </si>
  <si>
    <t>sa</t>
  </si>
  <si>
    <t>Sony</t>
  </si>
  <si>
    <t>SFR</t>
  </si>
  <si>
    <t>Bannières de lancement A80L + ZV-E1</t>
  </si>
  <si>
    <t>Delivered</t>
  </si>
  <si>
    <t>https://saranistudio-my.sharepoint.com/:f:/g/personal/team_sarani_studio/EmtLIsoaTzxJnuMVqwFkEXEBRLxiJIn6Dx3sdurRJBv18Q?e=SUZpe2</t>
  </si>
  <si>
    <t>Avril</t>
  </si>
  <si>
    <t>Adaptation Offres MEGASTAR</t>
  </si>
  <si>
    <t>https://saranistudio-my.sharepoint.com/:f:/g/personal/team_sarani_studio/Em9OAsLQ3rVAsCjuhjlyf9ABulvOo8C6xbY6ZkPMG8hkFQ?e=cTZegr</t>
  </si>
  <si>
    <t>sent</t>
  </si>
  <si>
    <t>Habillages de site Lancement TV FY23</t>
  </si>
  <si>
    <t>Maureen Masson</t>
  </si>
  <si>
    <t>https://saranistudio-my.sharepoint.com/:f:/g/personal/team_sarani_studio/ErYK9M-zOA5Hl_9y0WcmEwsBwd5R8qMMwATIAABc168MWQ?e=kSNAdo</t>
  </si>
  <si>
    <t>Mai</t>
  </si>
  <si>
    <t>26/04/23</t>
  </si>
  <si>
    <t>Adaptation Megastar Cashback TV HAV</t>
  </si>
  <si>
    <t xml:space="preserve">TV </t>
  </si>
  <si>
    <t>https://saranistudio-my.sharepoint.com/:f:/g/personal/team_sarani_studio/EryFOZSDujNAvnhAwzgHd6YBejy68T4VHXJZQ1QAcVGLmw?e=rKtkku</t>
  </si>
  <si>
    <t>Juin</t>
  </si>
  <si>
    <t>Campagne TV launch FNAC DARTY</t>
  </si>
  <si>
    <t>https://saranistudio-my.sharepoint.com/:f:/g/personal/team_sarani_studio/Eq7SJAAGtLFPt3_OkqT-cAUBgqmFSKdaWA6Q3fjNYYyZLw?e=Kf8H76</t>
  </si>
  <si>
    <t>28/04/23</t>
  </si>
  <si>
    <t>Webpop TV FY23</t>
  </si>
  <si>
    <t>Joelle Mechache</t>
  </si>
  <si>
    <t>https://saranistudio-my.sharepoint.com/:f:/g/personal/team_sarani_studio/EksaPdiWfxhMnbU7goZGW3wBNMdtyNVXPZFQGY1IHS_P8w?e=K0olFY</t>
  </si>
  <si>
    <t xml:space="preserve">Sony </t>
  </si>
  <si>
    <t>Mockup Newsletter Micromania</t>
  </si>
  <si>
    <t>https://saranistudio-my.sharepoint.com/:f:/g/personal/team_sarani_studio/EhXJcziQF1VOliqxaNrnlb0BfZuNE9G1FoVfA52_LbSH2A?e=KNakVW</t>
  </si>
  <si>
    <t>0,5</t>
  </si>
  <si>
    <t>250 €</t>
  </si>
  <si>
    <t>Sent</t>
  </si>
  <si>
    <t>Cashback TV HAV - Adaptation Impulse</t>
  </si>
  <si>
    <t>https://saranistudio-my.sharepoint.com/:f:/g/personal/team_sarani_studio/Ekai1uZu5I1DjFQDqtNMglUB-a9khXEpgHVGO6Ehmq4loA?e=O64h2s</t>
  </si>
  <si>
    <t>Spiderman Micromania banners</t>
  </si>
  <si>
    <t>https://saranistudio-my.sharepoint.com/:f:/g/personal/team_sarani_studio/Ej9SOLBtCcBHld_gbUxWxU4Bj5ZI1lZOhveurJhxJ-lshA?e=zgWyyk</t>
  </si>
  <si>
    <t>17/05/23</t>
  </si>
  <si>
    <t>HAV bundle - Réseaux sociaux</t>
  </si>
  <si>
    <t>https://saranistudio-my.sharepoint.com/:f:/g/personal/team_sarani_studio/Eno1hTwc6CZOpOaDyfuFXzEBK3IEmmBUsIThhxjU7-HINg?e=eUPBG7</t>
  </si>
  <si>
    <t>30/05/23</t>
  </si>
  <si>
    <t>Jeu Concours PS5 - Banners Boulanger</t>
  </si>
  <si>
    <t>https://saranistudio-my.sharepoint.com/:f:/g/personal/team_sarani_studio/Et4JEQ0pJl5Kp_gFcv6IrzAB9iSZfuy0HfDvSRmUsm9szw?e=pEDdUu</t>
  </si>
  <si>
    <t>Lancement TA-AN1000 - Banners Boulanger</t>
  </si>
  <si>
    <t>https://saranistudio-my.sharepoint.com/:f:/g/personal/team_sarani_studio/Ei_NmotrYflMp_lWmHZy990BpLoLZi4cDnXnEJa6yjOecw?e=dGyo9B</t>
  </si>
  <si>
    <t xml:space="preserve">New C700 Video - Short Video Editing </t>
  </si>
  <si>
    <t>https://saranistudio-my.sharepoint.com/:f:/g/personal/team_sarani_studio/EkiROo65MdxOl4foCK_JnkMB7b1GqAM5JaGtE7NM2E563A?e=zgcdCi</t>
  </si>
  <si>
    <t>Adaptations C700 / CH520 / XG300</t>
  </si>
  <si>
    <t>https://saranistudio-my.sharepoint.com/:f:/g/personal/team_sarani_studio/EnY_cb3_b3FBkuyHMMgrIqABI3LhFTYtdKHZJVa7a7n45w?e=c3qr6G</t>
  </si>
  <si>
    <t>Juillet</t>
  </si>
  <si>
    <t>Patacos nouveautés MDR</t>
  </si>
  <si>
    <t>https://saranistudio-my.sharepoint.com/:f:/g/personal/team_sarani_studio/EhWQhvikpjJAs9fRKuPWGgEBkfzxAmfMaaWw3wA91WzwdQ?e=0urtbw</t>
  </si>
  <si>
    <t>Aout</t>
  </si>
  <si>
    <t>Déclinaisons TV / DI</t>
  </si>
  <si>
    <t>https://saranistudio-my.sharepoint.com/:f:/g/personal/team_sarani_studio/EmtLIsoaTzxJnuMVqwFkEXEBRLxiJIn6Dx3sdurRJBv18Q?e=g8c6h9</t>
  </si>
  <si>
    <t>OP summer - Déclinaisons Photo Univers</t>
  </si>
  <si>
    <t>https://saranistudio-my.sharepoint.com/:f:/g/personal/team_sarani_studio/ElqnG-FXH_tIjM-5CjehobkBI3iwiykX2wZsbbcXjP2u5Q?e=cTcTX3</t>
  </si>
  <si>
    <t>OP FX30 - Photo Univers</t>
  </si>
  <si>
    <t>https://saranistudio-my.sharepoint.com/:f:/g/personal/team_sarani_studio/EmGsdIsbJgRJsHn18mqoDSQB5FuBnBna9S_58xG7MtztpQ?e=qp39eM</t>
  </si>
  <si>
    <t>23/05/23</t>
  </si>
  <si>
    <t>CX64800 - Photo Univers</t>
  </si>
  <si>
    <t>https://saranistudio-my.sharepoint.com/:f:/g/personal/team_sarani_studio/En4adQAwLLdMpS_-kswH4HYBlTRV8MD-w8jBUwACO_7rVA?e=59Phkd</t>
  </si>
  <si>
    <t>Bannières Boulanger promo barres de son</t>
  </si>
  <si>
    <t>https://saranistudio-my.sharepoint.com/:f:/g/personal/team_sarani_studio/EkZE4Y3oDmxOgPwByulkRGQBO22GCn4XXiv8vxBWXU3BOQ?e=QYcm2Z</t>
  </si>
  <si>
    <t>Adaptation Bannières XG300</t>
  </si>
  <si>
    <t>https://saranistudio-my.sharepoint.com/:f:/g/personal/team_sarani_studio/Ev6IqmHMJZBCphm3dxGsXhYBeFhBvti6G9s1vJiBrYBRdA?e=gI4oeQ</t>
  </si>
  <si>
    <t>Cross Visuel - Document de formation</t>
  </si>
  <si>
    <t>https://saranistudio-my.sharepoint.com/:f:/g/personal/team_sarani_studio/EmZPb6upSoFLpsVrD7mVPrQBWIvIxUkXO5KuEznQtZpHRA?e=gonNYb</t>
  </si>
  <si>
    <t>Affichages dynamiques - BOULANGER</t>
  </si>
  <si>
    <t>https://saranistudio-my.sharepoint.com/:f:/g/personal/team_sarani_studio/Enx5U2mYTNFMnJc-xIoaRV0B1eOVGObhT3Vm8PYvRQBmQQ?e=buAC3K</t>
  </si>
  <si>
    <t>Soldes d'été - adaptation</t>
  </si>
  <si>
    <t>https://saranistudio-my.sharepoint.com/:f:/g/personal/team_sarani_studio/EshfpkcRdslJlWo_wRSFdokBKfbGaymAkkISj5Hs0t-4Gg?e=rxI0Dg</t>
  </si>
  <si>
    <t>F2023-0422</t>
  </si>
  <si>
    <t>Paid 19/01/2024</t>
  </si>
  <si>
    <t xml:space="preserve">Bannières de lancement - HT-A7X </t>
  </si>
  <si>
    <t>https://saranistudio.sharepoint.com/:f:/s/SaraniAssets/Eo4fs8B0yVxOnYJDdESxq3IBMQTRyrJaLmIY-WuqR8BCHw?e=CXm0xp</t>
  </si>
  <si>
    <t>Bannières teasing E5 Boulanger</t>
  </si>
  <si>
    <t>https://saranistudio.sharepoint.com/:f:/s/SaraniAssets/Et5dFqZmczRMgczFiFOa0GsBBMgBPGHSfouO-Ayz_KXs-g?e=etIRaC</t>
  </si>
  <si>
    <t>24/07/2023</t>
  </si>
  <si>
    <t xml:space="preserve">Adaptation bannières Boulanger </t>
  </si>
  <si>
    <t>https://saranistudio.sharepoint.com/:f:/s/SaraniAssets/Ep_e6bGp1cJGnZiPUIoGnmMBOeKbF9oZdsw2Vnw67-ugPA?e=9SpT7N</t>
  </si>
  <si>
    <t>27/07/2023</t>
  </si>
  <si>
    <t>FNAC DARTY WF1000XM5</t>
  </si>
  <si>
    <t>https://saranistudio.sharepoint.com/:f:/s/SaraniAssets/EiknNepsLsBCrpdYsClDYf4BJ3FbQd_CWM1gJFTvYGUW-Q?e=Rq1u9R</t>
  </si>
  <si>
    <t>Bannières Boulanger Try&amp;Buy WF-1000XM5</t>
  </si>
  <si>
    <t>https://saranistudio.sharepoint.com/:f:/s/SaraniAssets/EooaxtefwdJHkHIXb1uHNp0Bo4oLLxMQXbDoZSqdCMOmdA?e=0dKqff</t>
  </si>
  <si>
    <t>Boulanger | Social Ads - WF1000XM5</t>
  </si>
  <si>
    <t>https://saranistudio.sharepoint.com/:f:/s/SaraniAssets/EtFcNiBU0NdFlh47hWv2DIcB350g2zzLb2TcsdaZ7gu2IA?e=VVwlcH</t>
  </si>
  <si>
    <t>Septembre</t>
  </si>
  <si>
    <t>31/10/2023</t>
  </si>
  <si>
    <t>Création Assets - Régie Mégastar</t>
  </si>
  <si>
    <t>https://saranistudio.sharepoint.com/:f:/s/SaraniAssets/Eh6KVl3bFE5LhnPwJatp_ZAB-BRSqFvxMpNBm7iwT-IQ2Q?e=HY0ocq</t>
  </si>
  <si>
    <t>Janvier</t>
  </si>
  <si>
    <t>F2023-0439</t>
  </si>
  <si>
    <t>Paid 23/01/2024</t>
  </si>
  <si>
    <t>OP Photo Fnac</t>
  </si>
  <si>
    <t>https://saranistudio-my.sharepoint.com/:f:/g/personal/team_sarani_studio/EmcPifH5zRNCuYQ6gTYnx6sBDvIuTZFuDZPI2FJvUxiAxw?e=XWt4Db</t>
  </si>
  <si>
    <t>OP Photo Fnac adaptations</t>
  </si>
  <si>
    <t>https://saranistudio-my.sharepoint.com/:f:/g/personal/team_sarani_studio/EtIVwt5h1mBGvOR3ExJTZ1gBzwxRkAB45F-wXqyU66HBZg?e=Ck53W4</t>
  </si>
  <si>
    <t>Déclinaisons Packs VLOG / FF</t>
  </si>
  <si>
    <t>https://saranistudio-my.sharepoint.com/:f:/g/personal/team_sarani_studio/EnsODutXGZlJka_h6isAGR0BOCwDvdDheBpIbUVmfdjGWQ?e=loMFxG</t>
  </si>
  <si>
    <t>ZV-E1 - vidéo format court</t>
  </si>
  <si>
    <t>https://saranistudio-my.sharepoint.com/:f:/g/personal/team_sarani_studio/Eq9dY38BCXlJpcBriotIXLwBSlmTZTPUeCHR-CXQ-1YX2g?e=07oE5T</t>
  </si>
  <si>
    <t>Opération Optiques GM garantie</t>
  </si>
  <si>
    <t>https://saranistudio-my.sharepoint.com/:f:/g/personal/team_sarani_studio/EjjU1nsll0ZLpfwcqkqDz1ABqwYNoyuQuP2Jpd3qOaYqaw?e=tAAr5m</t>
  </si>
  <si>
    <t>F2023-0423</t>
  </si>
  <si>
    <t>Op Optiques</t>
  </si>
  <si>
    <t>https://saranistudio.sharepoint.com/:f:/s/SaraniAssets/EsYuFhHQcFRDtLfSjO_6uGMB0GNO5CLhpB3N6Q9GmyqNJQ?e=Y20eDi</t>
  </si>
  <si>
    <t>Je fais mon kit - 2023</t>
  </si>
  <si>
    <t>https://saranistudio.sharepoint.com/:f:/s/SaraniAssets/EkWffmfdAPhJqYBPKmTZI68BPTppr0WVR3suOlBsij0oiQ?e=fU70oR</t>
  </si>
  <si>
    <t>Affichages dynamiques - RELAY</t>
  </si>
  <si>
    <t>https://saranistudio-my.sharepoint.com/:f:/g/personal/team_sarani_studio/Egj4cX4pxGtJhLcuZRe4SgIB1aofCP5Wp59nYn874HRKqw?e=QamI4u</t>
  </si>
  <si>
    <t>Intégration inscreen sur visuels TV</t>
  </si>
  <si>
    <t>https://saranistudio.sharepoint.com/:f:/s/SaraniAssets/EoZ04PuGIvlHkkrh7M2jUFkBNolII5PschT6ClRo9ay4iw?e=Aty2Lv</t>
  </si>
  <si>
    <t>Bannières Braderie Boulanger</t>
  </si>
  <si>
    <t>https://saranistudio.sharepoint.com/:f:/s/SaraniAssets/EnGdKGI3RDlNkYa-Rt8thvMB-hjoMEf_kapNSCKqGMYx9A?e=yuE1BI</t>
  </si>
  <si>
    <t>Vidéo Magasin Boulanger - Coupe du Monde de Rugby</t>
  </si>
  <si>
    <t>https://saranistudio.sharepoint.com/:f:/s/SaraniAssets/EsSvNf2CmCpLoLYMmLs749cBUiV0hVkSNGQXJeSn24BJww?e=mJoRlc</t>
  </si>
  <si>
    <t>F2023-0421</t>
  </si>
  <si>
    <t>A95L Megastar</t>
  </si>
  <si>
    <t>https://saranistudio.sharepoint.com/:f:/s/SaraniAssets/EnKMlvMUmgtHl33KogLSSL4BT4by5o36kDO9QCfgduKfRg?e=h0mc84</t>
  </si>
  <si>
    <t>BOULANGER Homepage A95L</t>
  </si>
  <si>
    <t>https://saranistudio.sharepoint.com/:f:/s/SaraniAssets/El4Zg-mjvdVNsHXBYyw_hr8BeakFEMytWf-TaaZWoMSIZQ?e=ro3lEN</t>
  </si>
  <si>
    <t>Octobre</t>
  </si>
  <si>
    <t>3 créas Meuble TV 4K</t>
  </si>
  <si>
    <t>https://saranistudio.sharepoint.com/:f:/s/SaraniAssets/EtfUCFAtvM1ClAWzs5V8ly4Bl5_BtcfUzG-ocfaZiYi-UA?e=mfemRc</t>
  </si>
  <si>
    <t>BOULANGER | -10% sur les A80L</t>
  </si>
  <si>
    <t>https://saranistudio.sharepoint.com/:f:/s/SaraniAssets/Eo2gCErVUSNJhhWrswEkgr0BuKZlajnhYGCJdyMEFeChjw?e=t0AxyP</t>
  </si>
  <si>
    <t>Novembre</t>
  </si>
  <si>
    <t>F2023-0424</t>
  </si>
  <si>
    <t>Screenfill A95L D2C adaptation</t>
  </si>
  <si>
    <t>https://saranistudio.sharepoint.com/:f:/s/SaraniAssets/EuQyocrz7aFDuO819yz0ww0BMrZ7LmNdTJ5E1BsfIs5bxw?e=A74Tv9</t>
  </si>
  <si>
    <t>RETARGETING | Formats display et natives</t>
  </si>
  <si>
    <t>https://saranistudio.sharepoint.com/:f:/s/SaraniAssets/EjJ8FapyEDlGhNbQtDSCKMEBmzrKpIOokm6DzVfxKrqvfQ?e=xeCvE8</t>
  </si>
  <si>
    <t>Décembre</t>
  </si>
  <si>
    <t>A95L | Vidéo de 25 secondes</t>
  </si>
  <si>
    <t>https://saranistudio.sharepoint.com/:f:/s/SaraniAssets/EpVLTD8AcVFOoq7WqfTgzHYBaoFcP9nMoLJncoN9hs7E7w?e=kvyV0y</t>
  </si>
  <si>
    <t>Display et Habillage TV A95L DARTY</t>
  </si>
  <si>
    <t>https://saranistudio.sharepoint.com/:f:/s/SaraniAssets/EjFSqeQ09NFHvpMTxDxk31QBAlTBXEylsg91OVIxKT6fPQ?e=flMF03</t>
  </si>
  <si>
    <t xml:space="preserve">OFFRE ILV 65X90BF BOULANGER </t>
  </si>
  <si>
    <t>https://saranistudio.sharepoint.com/:f:/s/SaraniAssets/EhaXdK045ktJg8QiQguTvs8B2qCauga7MsVE7QwYTqF63w?e=6ZHC8E</t>
  </si>
  <si>
    <t>Format Impulse Barre de son Fnac Darty</t>
  </si>
  <si>
    <t>https://saranistudio.sharepoint.com/:f:/s/SaraniAssets/EsS0n7-mcOhAizFqMCHg0M0BcG125BDooC6feMnZVwvCow?e=HC8MzD</t>
  </si>
  <si>
    <t>24/11/2023</t>
  </si>
  <si>
    <t>Banniere Offre Speciale / Platine + Cross Noël</t>
  </si>
  <si>
    <t>https://saranistudio.sharepoint.com/:f:/s/SaraniAssets/Ejr-QoovUvhFlKdqynue9OgBmRMS9myizreXW47oGc6XSA?e=0nFbmm</t>
  </si>
  <si>
    <t>Février</t>
  </si>
  <si>
    <t>F2024-0023</t>
  </si>
  <si>
    <t>Unpaid</t>
  </si>
  <si>
    <t>BOULANGER | Modification des dimensions</t>
  </si>
  <si>
    <t>https://saranistudio.sharepoint.com/:f:/s/SaraniAssets/Esb88uDM9kZPvZ5uB5ZOp7IBdO3An7CZXDJUWtFeBMIAsw?e=NB7Jei</t>
  </si>
  <si>
    <t>F2023-0425</t>
  </si>
  <si>
    <t>Bannière offre noël PRT // A7M3</t>
  </si>
  <si>
    <t>https://saranistudio.sharepoint.com/:f:/s/SaraniAssets/ElaTCnH-UbBDhAwIQzcejYIBSEVMBrpOe96t7VFsvzzqFw?e=KtU3Cp</t>
  </si>
  <si>
    <t>F2024-0020</t>
  </si>
  <si>
    <t>BOULANGER | Bannière HT-A9</t>
  </si>
  <si>
    <t>https://saranistudio.sharepoint.com/:f:/s/SaraniAssets/Eu2RanequfNGsQqUWNobPq0BHu4nG3ip_jSh-z5ivF-SNg?e=Z9FmxR</t>
  </si>
  <si>
    <t>F2023-0426</t>
  </si>
  <si>
    <t>24/04/23</t>
  </si>
  <si>
    <t>Le printemps Sony / Amazon</t>
  </si>
  <si>
    <t>https://saranistudio-my.sharepoint.com/:f:/g/personal/team_sarani_studio/EhsZRSxgxfVLrM85FfWaf4wBIG1duzSBgim6pUcZ5L-q-g?e=ImXkgA</t>
  </si>
  <si>
    <t>F2024-0041</t>
  </si>
  <si>
    <t>UNPAID</t>
  </si>
  <si>
    <t>French Days - Adaptations Boulanger</t>
  </si>
  <si>
    <t>https://saranistudio-my.sharepoint.com/:f:/g/personal/team_sarani_studio/El9e7jWbxXdMjpwPrqrY1MwBS4are5bsKjLjkvs3GxUcVA?e=WhH1kd</t>
  </si>
  <si>
    <t>Back-to-School Sony Crea - AMAZON</t>
  </si>
  <si>
    <t>https://saranistudio.sharepoint.com/:f:/s/SaraniAssets/EkM4_4S2YUlChNsH90t7glEB0h_thC1ZAJOIh6EKmPcE9w?e=hxqLqh</t>
  </si>
  <si>
    <t>TV - Displays Les Numériques</t>
  </si>
  <si>
    <t>Fatima-Zohra Ichi</t>
  </si>
  <si>
    <t>https://saranistudio-my.sharepoint.com/:f:/g/personal/team_sarani_studio/EhGvAIAk9nhJjmewxCW5higB28ZJKSWD-dA33c2u3yxD1w?e=RZ63bm</t>
  </si>
  <si>
    <t>F2024-0040</t>
  </si>
  <si>
    <t xml:space="preserve">RUGBY WORLDCUP FNAC DARTY </t>
  </si>
  <si>
    <t>https://saranistudio.sharepoint.com/:f:/s/SaraniAssets/EiknNepsLsBCrpdYsClDYf4BJ3FbQd_CWM1gJFTvYGUW-Q?e=gKgtg0</t>
  </si>
  <si>
    <t>BOULANGER | Une PS5 à gagner pour l'achat d'un XPERIA</t>
  </si>
  <si>
    <t>https://saranistudio.sharepoint.com/:f:/s/SaraniAssets/Epz1Uwo7qKRHsoXZRMrZaGUBic3akKIBcVEYe2sM45EsUQ?e=NhNinE</t>
  </si>
  <si>
    <t xml:space="preserve">BOULANGER | Bannière Exclus 2 en 1 </t>
  </si>
  <si>
    <t>https://saranistudio.sharepoint.com/:f:/s/SaraniAssets/EqEFLDs290NFhFKnIKvHsREBm5-NMDYOyYi9fj6Lz-NCPw?e=lTl3ml</t>
  </si>
  <si>
    <t>F2024-0042</t>
  </si>
  <si>
    <t>Boulanger Alisage</t>
  </si>
  <si>
    <t>https://saranistudio.sharepoint.com/:f:/s/SaraniAssets/Er1x1PPB_U5HtSXsmDKHazoBk6wVtgrwAriyWUNJ7GUixg?e=zvz3rS</t>
  </si>
  <si>
    <t>BLACK FRIDAY | Bannières Boulanger</t>
  </si>
  <si>
    <t>https://saranistudio.sharepoint.com/:f:/s/SaraniAssets/ErSgv-hqFRpOuvmAVjD_t1gBaECQLYpE-t9VB7eIFXWUGQ?e=qBNZQf</t>
  </si>
  <si>
    <t>17/11/2023</t>
  </si>
  <si>
    <t>Créa Impulse 65A95L</t>
  </si>
  <si>
    <t>https://saranistudio.sharepoint.com/:f:/s/SaraniAssets/ErbIaajS6sFLnYkxn-DbMdkBiP476TtQ2kiHvY381FmGjg?e=grtKaU</t>
  </si>
  <si>
    <t>Assets Créa SOLDES - Boulanger</t>
  </si>
  <si>
    <t>https://saranistudio.sharepoint.com/:f:/s/SaraniAssets/Ej_ZtFDNGhhEoYEWR38NaYUBYId-dXbNQROQXHhEAmib1Q?e=3B1uH4</t>
  </si>
  <si>
    <t>OP LANCEMENT A9III extra asset</t>
  </si>
  <si>
    <t>https://saranistudio.sharepoint.com/:f:/s/SaraniAssets/EgRVJ7M8DotDrEnyTLJ5S80BXA2hLOZ6s3Itax5zhMPyxQ?e=zgCO0J</t>
  </si>
  <si>
    <t>F2024-0021</t>
  </si>
  <si>
    <t>21/11/2023</t>
  </si>
  <si>
    <t>Bannières 98X90L</t>
  </si>
  <si>
    <t>https://saranistudio.sharepoint.com/:f:/s/SaraniAssets/ErPLt4I4ugdKvV8jBHbwSlgBXz4Vz3JbCCpnY0t6_1bBKg?e=BTiFOm</t>
  </si>
  <si>
    <t>F2023-0438</t>
  </si>
  <si>
    <t>TV A80L + X75WL banners</t>
  </si>
  <si>
    <t>https://saranistudio.sharepoint.com/:f:/s/SaraniAssets/EgSBMO7G8CtPiA2qeVp_ODkBbAHHc8LP-rPTkwH6_xHmdg?e=efaM1O</t>
  </si>
  <si>
    <t>New TV Visuels Hero - Micromania</t>
  </si>
  <si>
    <t>https://saranistudio.sharepoint.com/:f:/s/SaraniAssets/Eh5uhux84DVPk0koK0veA4kBNcIs_Folxc65B8tNPAIiJw?e=eYXaB0</t>
  </si>
  <si>
    <t>F2024-0022</t>
  </si>
  <si>
    <t>BOULANGER | Adaptations des créas Photo Soldes</t>
  </si>
  <si>
    <t>BOULANGER | Bannière "Choisir sa TV"</t>
  </si>
  <si>
    <t>https://saranistudio.sharepoint.com/:f:/s/SaraniAssets/EpsNyvJ0-BpHqZgKY9OcGWUBVl17ZHoLs9KuFQ-VyT8yFA?e=ydkCEr</t>
  </si>
  <si>
    <t>MICROMANIA - Boites factices nouveautés 2023</t>
  </si>
  <si>
    <t>Micromania</t>
  </si>
  <si>
    <t>https://saranistudio.sharepoint.com/:f:/s/SaraniAssets/EuPLdBmkrSBBjYGA9yTfmOsB8gm0yfdSaY35ycXI4CHu3Q?e=ofOhdX</t>
  </si>
  <si>
    <t>Assets Brand Week - Amazon</t>
  </si>
  <si>
    <t>https://saranistudio.sharepoint.com/:f:/s/SaraniAssets/Eq-G0OXt7vlHmHi81zgLafwBcYQj-fDcP68S1bRRJECbdQ?e=jCQYCn</t>
  </si>
  <si>
    <t>MICROMANIA - Boite adaptation</t>
  </si>
  <si>
    <t>https://saranistudio.sharepoint.com/:f:/s/SaraniAssets/EkfqcsyPeeVHrBTexWbhyMQBHX1Dgzi-LouhHe8418G9NA?e=7FHPoe</t>
  </si>
  <si>
    <t>SOLDES - Boulanger adaptations</t>
  </si>
  <si>
    <t>Compilation vidéo FNAC</t>
  </si>
  <si>
    <t>https://saranistudio.sharepoint.com/:f:/s/SaraniAssets/EtUnX_f3m65Pl1ZbIR2LtFcBdyH_pFE4j6bsj_lvVjHrzQ?e=6ao9MM</t>
  </si>
  <si>
    <t>31/12/2023</t>
  </si>
  <si>
    <t>BOULANGER | Bannières WF-1000XM5</t>
  </si>
  <si>
    <t>https://saranistudio.sharepoint.com/:f:/s/SaraniAssets/EgPyDxfLaM5NtZ_Kfe9TRQ4Bkvs6LnolxNbRXg41QgrwyA?e=bwzV8E</t>
  </si>
  <si>
    <t>BOULANGER | HTS400 offerte pour l'achat d'une 75X75WL</t>
  </si>
  <si>
    <t>In progress</t>
  </si>
  <si>
    <t>https://saranistudio.sharepoint.com/:f:/s/SaraniAssets/EiD1r8hyOmVHqcBftZ43yokBQPOqC5P4SWGgKQ1TXKqYeQ?e=EVwLhY</t>
  </si>
  <si>
    <t>Sarani
Ne pas toucher, svp</t>
  </si>
  <si>
    <t>MDR MEG TW FNAC</t>
  </si>
  <si>
    <t>Laura Vivient</t>
  </si>
  <si>
    <t>V&amp;S</t>
  </si>
  <si>
    <t>https://saranistudio-my.sharepoint.com/:f:/g/personal/team_sarani_studio/Etevju8IZKpEjFi3N14QmoUBp7wUTsms6pxhOWBv6e2jlQ?e=poko2y</t>
  </si>
  <si>
    <t>29/11/2022</t>
  </si>
  <si>
    <t>4200630823</t>
  </si>
  <si>
    <t>MDR TW Stop Rayon Bluetooth Multipoint</t>
  </si>
  <si>
    <t>https://saranistudio-my.sharepoint.com/:f:/g/personal/team_sarani_studio/EiWYden95S1PhgR70pI8qxEBwY-0nfvYhECdhw2ZQdFqdw?e=oKMO8n</t>
  </si>
  <si>
    <t>4200630799</t>
  </si>
  <si>
    <t>Xmas - Creative Assets</t>
  </si>
  <si>
    <t>Maxime Fenech</t>
  </si>
  <si>
    <t>https://saranistudio-my.sharepoint.com/:f:/g/personal/team_sarani_studio/EiXLGF1XZ1VNkmFgudaLWcQB0AP6n1T0jNDvvhweNqqJwg?e=vKq0Pw</t>
  </si>
  <si>
    <t>22/11/2022</t>
  </si>
  <si>
    <t>4200632493</t>
  </si>
  <si>
    <t>Bulles Boulanger 2</t>
  </si>
  <si>
    <t>https://saranistudio-my.sharepoint.com/:f:/g/personal/team_sarani_studio/EvZFoSgMoTlGiWeuK20ZrcwBr1BCtYNuR2DptwGgJMpg-A?e=ucRI2s</t>
  </si>
  <si>
    <t>4200630798</t>
  </si>
  <si>
    <t>Infographies PSK FR</t>
  </si>
  <si>
    <t>https://saranistudio-my.sharepoint.com/:f:/g/personal/team_sarani_studio/Evtfs8z--DpCs3Qy9Cvq1Y4BMFsqWlLop36Ti2xykheKBA?e=DSnQzV</t>
  </si>
  <si>
    <t>4200630825</t>
  </si>
  <si>
    <t>1000XM5 Award</t>
  </si>
  <si>
    <t>https://saranistudio-my.sharepoint.com/:f:/g/personal/team_sarani_studio/Eiu73Y88xwJPqQdXyeju6gcBPx5Nk46QboMvzke5SksCEw?e=lK8Qjn</t>
  </si>
  <si>
    <t>4270024443</t>
  </si>
  <si>
    <t>A95K-A83K Topper</t>
  </si>
  <si>
    <t>https://saranistudio-my.sharepoint.com/:f:/g/personal/team_sarani_studio/Enb5T0uGjd5It7r-yOl8Hw4BRcePMvNEVtlCj65ShnZ1eA?e=oRN2hs</t>
  </si>
  <si>
    <t>4200631414</t>
  </si>
  <si>
    <t>Labo Fnac</t>
  </si>
  <si>
    <t>https://saranistudio-my.sharepoint.com/:f:/g/personal/team_sarani_studio/EmBOVYV-QulImoZen16_XSMBt4gcYjkuDidXF__Uf1-VHw?e=ibhnwE</t>
  </si>
  <si>
    <t>4200631417</t>
  </si>
  <si>
    <t>HAV PLV MEG BDS LEAFLET TV</t>
  </si>
  <si>
    <t>https://saranistudio-my.sharepoint.com/:f:/g/personal/team_sarani_studio/EsKN0KK2wo5EuWcP_12lMhIBc3AUZVWjUaf03MKgHmGTeQ?e=4x7Av8</t>
  </si>
  <si>
    <t>30/11/2022</t>
  </si>
  <si>
    <t>4200630829</t>
  </si>
  <si>
    <t>LinkBuds S avec SZA</t>
  </si>
  <si>
    <t>https://saranistudio-my.sharepoint.com/:f:/g/personal/team_sarani_studio/Ev2DdJ24TI9DnMYkKwzIkq0BHlTI4PJMje_IlrhSeabtxw?e=g9BnfI</t>
  </si>
  <si>
    <t>4200630821</t>
  </si>
  <si>
    <t>Sony Values Poster (5 A4 assets)</t>
  </si>
  <si>
    <t>https://saranistudio-my.sharepoint.com/:f:/g/personal/team_sarani_studio/Em0VBaXS7r5GiCtkcsyiCosBToqjoeJ6S1SQLfPqkfkGsQ?e=fEshRi</t>
  </si>
  <si>
    <t>14/12/2022</t>
  </si>
  <si>
    <t>Infographies Xperia 5M4</t>
  </si>
  <si>
    <t>Xperia</t>
  </si>
  <si>
    <t>https://saranistudio-my.sharepoint.com/:f:/g/personal/team_sarani_studio/Eu6UoQJssNdAvleXAzibZ1MBJ1RpI-TWGcduRRM37c84hw?e=4VncEj</t>
  </si>
  <si>
    <t>4200631343</t>
  </si>
  <si>
    <t>ok</t>
  </si>
  <si>
    <t>Newsletter PRT Décembre</t>
  </si>
  <si>
    <t>-</t>
  </si>
  <si>
    <t>15/12/2022</t>
  </si>
  <si>
    <t>OP FAITES VOTRE CINEMA</t>
  </si>
  <si>
    <t>https://saranistudio-my.sharepoint.com/:f:/g/personal/team_sarani_studio/EuGwoElxdVxAqUlHd5jwPl0Bd9dIrtw0j4nHaTHU_C0F4Q?e=k1zDEI</t>
  </si>
  <si>
    <t>VITRO A7RV</t>
  </si>
  <si>
    <t>https://saranistudio-my.sharepoint.com/:f:/g/personal/team_sarani_studio/El0REgOxzW1Eiu8AI5a8WPQBuRgA-xuGK77IgcuOUuwGhw?e=jWWT4e</t>
  </si>
  <si>
    <t>PANNEAU PHOTO HAUT VITRINE</t>
  </si>
  <si>
    <t>https://saranistudio-my.sharepoint.com/:f:/g/personal/team_sarani_studio/En0xaWGTYWZOtWFNrWlERJYBEkKsluD4U7oLp_2fMTfyPA?e=3dNfLG</t>
  </si>
  <si>
    <t>Winter Sales Banners adaptations</t>
  </si>
  <si>
    <t>https://saranistudio-my.sharepoint.com/:f:/g/personal/team_sarani_studio/EitZRBZy2n1Kkw5kaWztE5sBgYKU_BFeDcX25iDrx1Ct5w?e=j19Nkg</t>
  </si>
  <si>
    <t>22/12/2022</t>
  </si>
  <si>
    <t>Winter Sales Banners adaptations DI</t>
  </si>
  <si>
    <t>Micromania Boites Factices Update</t>
  </si>
  <si>
    <t>Other</t>
  </si>
  <si>
    <t>https://saranistudio-my.sharepoint.com/:f:/g/personal/team_sarani_studio/Ehi8kv4332BOmhmF0GTdxqcBXMS0bXPqJJq-QzgW5N5jlg?e=BJOqXJ</t>
  </si>
  <si>
    <t>Invitation Dealers Days</t>
  </si>
  <si>
    <t>https://saranistudio-my.sharepoint.com/:f:/g/personal/team_sarani_studio/EqmJWhjv9h9NosYk49rtluQBxvyRtTDdxMXLJdwMK-1B6g?e=mNiTFd</t>
  </si>
  <si>
    <t>Banners Inzone soldes</t>
  </si>
  <si>
    <t>https://saranistudio-my.sharepoint.com/:f:/g/personal/team_sarani_studio/EuGDS2OAMPpGu_ldGvZT0DMBpcZ-xeMJpp8v2XzS9CAt0g?e=xhsdm9</t>
  </si>
  <si>
    <t>OP FX3 Assets</t>
  </si>
  <si>
    <t>https://saranistudio-my.sharepoint.com/:f:/g/personal/team_sarani_studio/EitCbbZcUbZAkfWL7WBLee8BGH7SK4bXE2Dt7jdZHoYz1g?e=PygYN7</t>
  </si>
  <si>
    <t>OP Trade In Janvier</t>
  </si>
  <si>
    <t>https://saranistudio-my.sharepoint.com/:f:/g/personal/team_sarani_studio/EoitW15aeoVAtVoerfyyJgAB8NtwzeqQjRMP7QJz7L-yow?e=jCYZtF</t>
  </si>
  <si>
    <t>Infographies NW-A306</t>
  </si>
  <si>
    <t>https://saranistudio-my.sharepoint.com/:f:/g/personal/team_sarani_studio/Ev8VV5oNGQpDt88C9YGvPJ0BeWvCOnfN80JI8f52rlCkDA?e=svUNka</t>
  </si>
  <si>
    <t>HAV Brief créa ILV A4 accessoires</t>
  </si>
  <si>
    <t>https://saranistudio-my.sharepoint.com/:f:/g/personal/team_sarani_studio/ErATZuFVVhFNvJLA8_C_5_kBPisr2V-sQmmcvuADdnOrlg?e=Jt6Yhl</t>
  </si>
  <si>
    <t>CREA SOLDES - XB300</t>
  </si>
  <si>
    <t>https://saranistudio-my.sharepoint.com/:f:/g/personal/team_sarani_studio/EqOyYJkBr71FjjKi8T4TbU8BmZDWzGHq4lIzmPemScoNIg?e=gSGgM9</t>
  </si>
  <si>
    <t>Update - Plan merch DI</t>
  </si>
  <si>
    <t>https://saranistudio-my.sharepoint.com/:f:/g/personal/team_sarani_studio/EgL726Ww1tBPiY3JLeGkgKABHLa4iBWeCZvZMffXcTD0Ow?e=Ev0d8h</t>
  </si>
  <si>
    <t>Additional DI assets</t>
  </si>
  <si>
    <t>PSK - Refresh Inlay display PSK HYPERS</t>
  </si>
  <si>
    <t>https://saranistudio-my.sharepoint.com/:f:/g/personal/team_sarani_studio/EtI6MF01VhJDu73LzSQ3CuMBaxqkBPUNcHfWG9NmZXKZGA?e=cAjunF</t>
  </si>
  <si>
    <t>Newsletter PRT Janvier</t>
  </si>
  <si>
    <t>Lenses 3D Virtual Showroom</t>
  </si>
  <si>
    <t>Paid</t>
  </si>
  <si>
    <t>Bannières New VX8030</t>
  </si>
  <si>
    <t>https://saranistudio-my.sharepoint.com/:f:/g/personal/team_sarani_studio/EksBlAWoBtxAkG5l32B3Di0BbzDMWHG22vO5j0H6ctS9zw?e=RqK3BS</t>
  </si>
  <si>
    <t>HAS - podium High Power Leclerc</t>
  </si>
  <si>
    <t>https://saranistudio-my.sharepoint.com/:f:/g/personal/team_sarani_studio/Euz7AgxtBlxIhnwZ-lXXmF4BeflqaS0GTyKxYGbCz-vMlw?e=IjE9RV</t>
  </si>
  <si>
    <t>Dealer Days 2023 DI</t>
  </si>
  <si>
    <t>https://saranistudio-my.sharepoint.com/:f:/g/personal/team_sarani_studio/EmLaqFBj_51MjXZHYWWXnkoBLAa6nzoR1xsPq4BDMu7-cw?e=t3K8Ml</t>
  </si>
  <si>
    <t>HAV ILV4 et Awards</t>
  </si>
  <si>
    <t>https://saranistudio-my.sharepoint.com/:f:/g/personal/team_sarani_studio/EiFOxcsYWW5HrKMAqEXG268BJdUb73tokZ2aUpOjrqGbMw?e=ZjeN6x</t>
  </si>
  <si>
    <t>Glorifier Boulanger ZV 1F</t>
  </si>
  <si>
    <t>https://saranistudio-my.sharepoint.com/:f:/g/personal/team_sarani_studio/Et8JT6N3J55Khs36INxlBgQBUbyHbYyC93L5UVW3Wg41vA?e=Q1dlBF</t>
  </si>
  <si>
    <t>LANCEMENT CH720 / CH520</t>
  </si>
  <si>
    <t>https://saranistudio-my.sharepoint.com/:f:/g/personal/team_sarani_studio/EqrCH40AdxVPsCGpjT8TB8wB_B709B2_yzvFX8TAKmXMlg?e=JQ9afM</t>
  </si>
  <si>
    <t>OP Les belles ouvertures 2</t>
  </si>
  <si>
    <t>https://saranistudio-my.sharepoint.com/:f:/g/personal/team_sarani_studio/EoXM_bPXFQtOqtOuolOqWAQBFcKOS1eXgcsuycPvj9witg?e=ACLkrl</t>
  </si>
  <si>
    <t>https://saranistudio-my.sharepoint.com/:b:/g/personal/team_sarani_studio/EWLP_vMxED9FmUZQ_nOkkJwBjJNjECiaaIw3yVFqt7yTpQ?e=R7ciE8</t>
  </si>
  <si>
    <t>OP Extension de garantie</t>
  </si>
  <si>
    <t>https://saranistudio-my.sharepoint.com/:f:/g/personal/team_sarani_studio/EhmXSE3SqJlLttJIjP3d1EwBO-MeT52KYDPXcUnZ4UeiYQ?e=EPq6RY</t>
  </si>
  <si>
    <t>https://saranistudio-my.sharepoint.com/:b:/g/personal/team_sarani_studio/EeqqQcvt8QpJhIrMKvXrqeMBVFpg9cjIOvDd7UQb-ahIQg?e=Va6RIJ</t>
  </si>
  <si>
    <t>Fiche produit WHCH720-520N</t>
  </si>
  <si>
    <t>https://saranistudio-my.sharepoint.com/:f:/g/personal/team_sarani_studio/EjWeixWwgG9KtdKsd3nfu10B4P2-8KWwWAHTtBQASfQ6Rg?e=c0kl8T</t>
  </si>
  <si>
    <t>Adaptation WE LIVE FOR THE MUSIC backdrop LOCAL</t>
  </si>
  <si>
    <t>https://saranistudio-my.sharepoint.com/:f:/g/personal/team_sarani_studio/EhV2y_XPV35GlXBIYHQS6jABX0y5PDDKSwC4di7PXUrm9w?e=g9nzP1</t>
  </si>
  <si>
    <t>OP Tryptique</t>
  </si>
  <si>
    <t>https://saranistudio-my.sharepoint.com/:f:/g/personal/team_sarani_studio/Evv4GLCeCfpNtcFppwmuF4gBs0wDfkYfUCp2XZgOusP4jA?e=VUWW5q</t>
  </si>
  <si>
    <t>Inlay CH720</t>
  </si>
  <si>
    <t>https://saranistudio-my.sharepoint.com/:f:/g/personal/team_sarani_studio/EvdB_pa-nYlJjcn2m_-V6CIBlwvd0lovLbZhSbor2xacAQ?e=54JYDm</t>
  </si>
  <si>
    <t>OP Trade In Février</t>
  </si>
  <si>
    <t>https://saranistudio-my.sharepoint.com/:f:/g/personal/team_sarani_studio/Eslmo5VnmeBOls9PXeiKfcsB6Y_V2-ku-io7Yd_KczQicQ?e=vV1ZSQ</t>
  </si>
  <si>
    <t>OP REMISE IMMEDIATE DI</t>
  </si>
  <si>
    <t>https://saranistudio-my.sharepoint.com/:f:/g/personal/team_sarani_studio/Emm2wYCHbftLi5SQSqzjQ6wB8eW0AeAyCmSo_d-F4O4-gw?e=aIQngs</t>
  </si>
  <si>
    <t>Newsletter PRT Février</t>
  </si>
  <si>
    <t>Amazon Les jours Sony</t>
  </si>
  <si>
    <t>https://saranistudio-my.sharepoint.com/:f:/g/personal/team_sarani_studio/Evzfu13U4IpLp3GoN-MrbKcB6voUMWbQ-KWviKSEWfxHyA?e=u1uaJh</t>
  </si>
  <si>
    <t>MDR - FNAC NEW WALL A4</t>
  </si>
  <si>
    <t>https://saranistudio-my.sharepoint.com/:f:/g/personal/team_sarani_studio/EplbkOAQ_RVKlimX_vm_Yz4BYsRWiropgEjSV64xwAiFlQ?e=QjcDN1</t>
  </si>
  <si>
    <t>Brief Sony Bannières Bravia Core Boulanger</t>
  </si>
  <si>
    <t>https://saranistudio-my.sharepoint.com/:f:/g/personal/team_sarani_studio/Eqe3rBnlph1BiwQsMsq2QLkBMf2xPp5Wnzudz7Z8Kwje7Q?e=SJbPDi</t>
  </si>
  <si>
    <t>MDR - Offline POS CH720N CH520</t>
  </si>
  <si>
    <t>https://saranistudio-my.sharepoint.com/:f:/g/personal/team_sarani_studio/EvQORSWeLIhCmtRAW0oiAUwBTsJV6BOljIGWmUFQwsMZaw?e=d5u6bG</t>
  </si>
  <si>
    <t>Synchro HAV lancements TV FY23</t>
  </si>
  <si>
    <t>https://saranistudio-my.sharepoint.com/:f:/g/personal/team_sarani_studio/ElN1J_IN9NhPr2CeLrCnszQBKTAJ_nOdr-HrnPgQqoGmgA?e=2DZGUU</t>
  </si>
  <si>
    <t>HAV Cashback</t>
  </si>
  <si>
    <t>https://saranistudio-my.sharepoint.com/:f:/g/personal/team_sarani_studio/EsMnikTmJL1KpvYorntrkkABl8AjzYKd5G85aBnUnFq9Iw?e=TuaAG2</t>
  </si>
  <si>
    <t>Welcome to VLOG</t>
  </si>
  <si>
    <t>https://saranistudio-my.sharepoint.com/:f:/g/personal/team_sarani_studio/Evv8Y4u5CcpBkA6LoIczitQBWRTN97zK7m4SmXnl8monYA?e=FXqhEq</t>
  </si>
  <si>
    <t>Web banner WF-C700 WH-1000XM5</t>
  </si>
  <si>
    <t>https://saranistudio-my.sharepoint.com/:f:/g/personal/team_sarani_studio/Eo2562j1PBhFsm0D9eCdORoBS6przlDgwVkoQg0sOXiM3A?e=yrz1uS</t>
  </si>
  <si>
    <t>Bannières awards</t>
  </si>
  <si>
    <t>https://saranistudio-my.sharepoint.com/:f:/g/personal/team_sarani_studio/EsAgXdGVXc1Bqb3hwi8zpSEBcRj8U2XkFGSGV62rqumcjw?e=mIcDe6</t>
  </si>
  <si>
    <t>Adaptation Landing Page FY23</t>
  </si>
  <si>
    <t xml:space="preserve">Landing page Audio FY23 </t>
  </si>
  <si>
    <t>F2023-0419</t>
  </si>
  <si>
    <t>PO number incorrect</t>
  </si>
  <si>
    <t>Landing page Partenaires</t>
  </si>
  <si>
    <t>Newsletter PRT Mars</t>
  </si>
  <si>
    <t>Lancement TV 2023 Assets</t>
  </si>
  <si>
    <t>Web Pop Crunchyroll</t>
  </si>
  <si>
    <t>https://saranistudio-my.sharepoint.com/:f:/g/personal/team_sarani_studio/Eqpu9-LPvfZElOAGt1viRf8Bhsdxnu1Eu10IOtnxqhR8Iw?e=2Uijzq</t>
  </si>
  <si>
    <t>Lancement TV X80L</t>
  </si>
  <si>
    <t>https://saranistudio-my.sharepoint.com/:f:/g/personal/team_sarani_studio/EpbAZG5lEmVIiR_on7fzuLEB9DbDwGiQ8g3E-EP6ZMPlBw?e=WDYhbk</t>
  </si>
  <si>
    <t>Lancement TV A80L</t>
  </si>
  <si>
    <t>Spiderman Screenfill A80</t>
  </si>
  <si>
    <t>https://saranistudio-my.sharepoint.com/:f:/g/personal/team_sarani_studio/Etv4q6mkEfNNic3xn8dvZO0BrqE8g3P8hL7SmR_Fp_I3wQ?e=9JittU</t>
  </si>
  <si>
    <t>TV Bannières de lancement X80/A80</t>
  </si>
  <si>
    <t>https://saranistudio-my.sharepoint.com/:f:/g/personal/team_sarani_studio/EjXst-lsglZAi0Q2IrrJuM4BaunLX6dQ9jdJrU_j-AJ-iA?e=BB0ACA</t>
  </si>
  <si>
    <t>Brief leaflet &amp; poster</t>
  </si>
  <si>
    <t>https://saranistudio-my.sharepoint.com/:f:/g/personal/team_sarani_studio/Et8Mg5FeJk1NtO-LbUI6GWIBaKP7wdAFxBlojd6prDrs-A?e=2HZ6NX</t>
  </si>
  <si>
    <t>TV FY23 Hero visuel webpop</t>
  </si>
  <si>
    <t>https://saranistudio-my.sharepoint.com/:f:/g/personal/team_sarani_studio/Ekw_x8Y39OdCmvbhTwiifiAB6YSU8f6NC-Wqd59I4hByhA?e=yq5q21</t>
  </si>
  <si>
    <t>INSCREEN STICKER VERTICAL</t>
  </si>
  <si>
    <t>https://saranistudio-my.sharepoint.com/:f:/g/personal/team_sarani_studio/Eja1rtCkq_5Jg3Wq74-bzXoBTCkVjZhgoxD1dq0yy1dWJQ?e=7VGydF</t>
  </si>
  <si>
    <t>Bandeaux strip offline X85L ; X90L ; X95L ; X75WL</t>
  </si>
  <si>
    <t>https://saranistudio-my.sharepoint.com/:f:/g/personal/team_sarani_studio/Eh0qjz1spy9PjbzagdXeAMoBf6kwU9cCsgMSuxS8Uk36pw?e=dCHHiS</t>
  </si>
  <si>
    <t>Bandeaux strip offline A95L</t>
  </si>
  <si>
    <t>Webpop X85L</t>
  </si>
  <si>
    <t>Webpop X90L</t>
  </si>
  <si>
    <t>Webpop X95L</t>
  </si>
  <si>
    <t>Webpop X75WL</t>
  </si>
  <si>
    <t>Bannières de lancement tous modèles</t>
  </si>
  <si>
    <t>Voir avec Kenza</t>
  </si>
  <si>
    <t>Fiche Produit WF-C700</t>
  </si>
  <si>
    <t>https://saranistudio-my.sharepoint.com/:f:/g/personal/team_sarani_studio/EsV2_KLDqwdOi0nyINCRhnABKsqCgrqSPww-zwD5kRW76g?e=55qEkF</t>
  </si>
  <si>
    <t>FY23 BRAVIA Launch extra assets</t>
  </si>
  <si>
    <t>https://saranistudio-my.sharepoint.com/:f:/g/personal/team_sarani_studio/EjXst-lsglZAi0Q2IrrJuM4BaunLX6dQ9jdJrU_j-AJ-iA?e=ZonV9A</t>
  </si>
  <si>
    <t>MDR - Assets OFFLINE WF-C700N</t>
  </si>
  <si>
    <t>https://saranistudio-my.sharepoint.com/:f:/g/personal/team_sarani_studio/Eh-XtLfnCf1LnsVtx5DtbCEBjY0SGdeSjDPwHzDnQHgN9w?e=2LU41r</t>
  </si>
  <si>
    <t>ZV-E1 Launch assets</t>
  </si>
  <si>
    <t>https://saranistudio-my.sharepoint.com/:f:/g/personal/team_sarani_studio/EvN6F1tLUb1HpsDsbcqLJpgBS_xatQW1Mdo30DXnEk4Umw?e=ZwLhqb</t>
  </si>
  <si>
    <t>CROSS Produits + X80L + A80L​</t>
  </si>
  <si>
    <t>https://saranistudio-my.sharepoint.com/:f:/g/personal/team_sarani_studio/EmtLIsoaTzxJnuMVqwFkEXEBRLxiJIn6Dx3sdurRJBv18Q?e=jb6qLr</t>
  </si>
  <si>
    <t>F-(2023)-180</t>
  </si>
  <si>
    <t>Paid 24/09/2023</t>
  </si>
  <si>
    <t>HAV - offre caisson SW3 offert</t>
  </si>
  <si>
    <t>OP SUMMER</t>
  </si>
  <si>
    <t>https://saranistudio-my.sharepoint.com/:f:/g/personal/team_sarani_studio/ErR6Cnz8koFJgGWWVv_vuxMB39tB1cZ0JkSx87G68Dab2A?e=ADHUf1</t>
  </si>
  <si>
    <t>Panneaux Photo Haut de meuble</t>
  </si>
  <si>
    <t>https://saranistudio-my.sharepoint.com/:f:/g/personal/team_sarani_studio/Emr78pZYwmhKg7QstwR5YX8B_01h9nWSmEplb8WNjpatfQ?e=qLyHA4</t>
  </si>
  <si>
    <t>BRIEF / FRENCH DAYS</t>
  </si>
  <si>
    <t>https://saranistudio-my.sharepoint.com/:f:/g/personal/team_sarani_studio/EhrI14UZk7dKhgchM2ASROYBdoIrI_P1svtBiXsGLwNAfg?e=fEdvZa</t>
  </si>
  <si>
    <t>ZV-E1 Offline assets</t>
  </si>
  <si>
    <t>HAV Cashback - Déclinaisons Online</t>
  </si>
  <si>
    <t>https://saranistudio-my.sharepoint.com/:f:/g/personal/team_sarani_studio/ErdSLaG4JVpLopEZ8cxzFtUBxHbje724J8NKcPC9cI4CxQ?e=TTH44r</t>
  </si>
  <si>
    <t>OP FX30</t>
  </si>
  <si>
    <t>https://saranistudio-my.sharepoint.com/:f:/g/personal/team_sarani_studio/Eo_WrjVzYsBLghSpIKuCgJ4BkWtZHQIu_zjYECvNipC1AQ?e=7Ka5FQ</t>
  </si>
  <si>
    <t>French Days - TV HAV réseaux sociaux</t>
  </si>
  <si>
    <t>https://saranistudio-my.sharepoint.com/:f:/g/personal/team_sarani_studio/Ess1vC7t3GRDlkrH39chUyABGRfHdGSAU5PEixcxFc0JLA?e=s28LEw</t>
  </si>
  <si>
    <t>https://saranistudio-my.sharepoint.com/:b:/g/personal/team_sarani_studio/Ecb_Wvnzn41Jms0Ozi5wOg0BgmWnsfYuKClAV_v1-WEylg?e=UjRbbG</t>
  </si>
  <si>
    <t>LANCEMENT XV800 Fiches produit</t>
  </si>
  <si>
    <t>https://saranistudio-my.sharepoint.com/:f:/g/personal/team_sarani_studio/EkLgT7b2GW1FiXyXqMeqvNoBaTEkUZ9CqiBTTtiXfQFnqw?e=bI4r6i</t>
  </si>
  <si>
    <t>Sony INZONE Micromania</t>
  </si>
  <si>
    <t>https://saranistudio-my.sharepoint.com/:f:/g/personal/team_sarani_studio/Er1KKzEqwjxItH20UH-sjJMB6Q2eGPk-wVC73X09tW3j7w?e=yPEG2L</t>
  </si>
  <si>
    <t>WSK - XV800 Web banner</t>
  </si>
  <si>
    <t>https://saranistudio-my.sharepoint.com/:f:/g/personal/team_sarani_studio/Espt-U8X33FIn_OoCNAzUcYBPpS87vnP4camNLiVvGkeQA?e=kUXhS1</t>
  </si>
  <si>
    <t>15/05/23</t>
  </si>
  <si>
    <t>S2000 Web banners adaptations</t>
  </si>
  <si>
    <t>https://saranistudio-my.sharepoint.com/:f:/g/personal/team_sarani_studio/Es4vZNBp-AxAtvj3-nml6O4B84X7Wlgc4f3a4IkoogbN5Q?e=8YHYEj</t>
  </si>
  <si>
    <t>105 €</t>
  </si>
  <si>
    <t>https://saranistudio-my.sharepoint.com/:b:/g/personal/team_sarani_studio/EcR_bOe9wg5Oo1F73iFL_ZYBnCY5Z41ptfvKQMY4s7yT7Q?e=Yicbvw</t>
  </si>
  <si>
    <t>F2023-0243</t>
  </si>
  <si>
    <t>Sony offre salariés - Visuel Promo</t>
  </si>
  <si>
    <t>CROSS</t>
  </si>
  <si>
    <t>https://saranistudio-my.sharepoint.com/:f:/g/personal/team_sarani_studio/EtK7hTypFuBHpDOePw_7ccgBRDwmVFet1fcnWhxQ1F1Cew?e=RoAcRf</t>
  </si>
  <si>
    <t xml:space="preserve">A déduire de 4200639284 </t>
  </si>
  <si>
    <t>A ne pas facturer</t>
  </si>
  <si>
    <t>WSK - XV800 POS</t>
  </si>
  <si>
    <t>https://saranistudio-my.sharepoint.com/:f:/g/personal/team_sarani_studio/ElQaod7CY55KqoiGgYDoyv8B9dN5xE9O39YkvDCzlz6FLQ?e=5WSxf7</t>
  </si>
  <si>
    <t>16/05/23</t>
  </si>
  <si>
    <t xml:space="preserve">Lancement XPERIA 1 V </t>
  </si>
  <si>
    <t>https://saranistudio-my.sharepoint.com/:f:/g/personal/team_sarani_studio/Ejwkr_FCr89Nk4tFrjd8trMBGbqwHGBZWd-1CJbhqlgyGQ?e=K9fyxE</t>
  </si>
  <si>
    <t>Lancement CX64800 Online</t>
  </si>
  <si>
    <t>https://saranistudio-my.sharepoint.com/:f:/g/personal/team_sarani_studio/EtoGrfab8TBPqqqH2nHVI1gBmONIk1QrS4vWxTVcfPum0w?e=RQg19w</t>
  </si>
  <si>
    <t>https://saranistudio-my.sharepoint.com/:b:/g/personal/team_sarani_studio/EWpE3hXotlpGqUUf3-d076oBYc9ifdfAUM4r3WVYiVXhkw?e=WnxmrE</t>
  </si>
  <si>
    <t xml:space="preserve">Sent </t>
  </si>
  <si>
    <t>F-(2023)-227</t>
  </si>
  <si>
    <t>Paid 28/11/2023</t>
  </si>
  <si>
    <t>18/05/23</t>
  </si>
  <si>
    <t>Xperia 1 &amp; 10 V - Infographics</t>
  </si>
  <si>
    <t>https://saranistudio-my.sharepoint.com/:f:/g/personal/team_sarani_studio/EslvmHj5SR1MhY8R-sw1arABPE3oMfscF8vtjzp50abaDw?e=r8aHPD</t>
  </si>
  <si>
    <t>Newsletter PRT Mai</t>
  </si>
  <si>
    <t>https://saranistudio-my.sharepoint.com/:f:/g/personal/team_sarani_studio/Euz2mPwjXO9ApleKiM0w1HIBWLN328saVLkmxOcKGWyUoA?e=ymSIjj</t>
  </si>
  <si>
    <t>https://saranistudio-my.sharepoint.com/:b:/g/personal/team_sarani_studio/ERGLPn5MN0xFtdPl043Yr88BObvQ3p3mkyDeHLpkEmIPkA?e=iDhphm</t>
  </si>
  <si>
    <t>26/05/23</t>
  </si>
  <si>
    <t>HAV caisson offert - adaptations</t>
  </si>
  <si>
    <t>https://saranistudio-my.sharepoint.com/:f:/g/personal/team_sarani_studio/Ehfxvz__gf1NvW8ydi3n7RYBCFT_MxJ_JosrOZuBHNHMog?e=WaY5JK</t>
  </si>
  <si>
    <t>https://saranistudio-my.sharepoint.com/:b:/g/personal/team_sarani_studio/EcKNg6a2qLhBs1Ppgm8qprwB690_Nkgh3GY-tj911lU0tA?e=mLArCc</t>
  </si>
  <si>
    <t>SFR OP ZV 1II</t>
  </si>
  <si>
    <t>https://saranistudio-my.sharepoint.com/:f:/g/personal/team_sarani_studio/EqlLsDa0-OdHiGWvUGclPS8Baj-tDmZI7GrEMryNAItQJw?e=PzaIKU</t>
  </si>
  <si>
    <t>https://saranistudio-my.sharepoint.com/:b:/g/personal/team_sarani_studio/EYwVhDmTALVMlSXR13Fk7S8BZddeA1BxVAGjdwPHyJK3yQ?e=6xSWPv</t>
  </si>
  <si>
    <t xml:space="preserve">SFR Glorifier ZVE1 </t>
  </si>
  <si>
    <t>https://saranistudio-my.sharepoint.com/:f:/g/personal/team_sarani_studio/EohPa1Xy819BhgL0n4Y_wGgBCMYtqni5puedJYtVolpFmw?e=R0uwwn</t>
  </si>
  <si>
    <t>29/05/23</t>
  </si>
  <si>
    <t>Promo Xperia 10 V</t>
  </si>
  <si>
    <t>https://saranistudio-my.sharepoint.com/:f:/g/personal/team_sarani_studio/Et0n6qSoe-xPtkYYFwnsqcEBg2KPEz4sE8xNY_4Aoysh8w?e=WrXRn9</t>
  </si>
  <si>
    <t>31/05/23</t>
  </si>
  <si>
    <t>Offre Sony D2C</t>
  </si>
  <si>
    <t>https://saranistudio-my.sharepoint.com/:f:/g/personal/team_sarani_studio/EiRrfmVomIlIjiBB0V8ChO0BdJ6J5DJ0fGN84RaL52WxfQ?e=5VEp81</t>
  </si>
  <si>
    <t>OP PRT - A6400</t>
  </si>
  <si>
    <t>https://saranistudio-my.sharepoint.com/:f:/g/personal/team_sarani_studio/EuIZ9Boj4kxIow1TYIbGLOMBIxF7VJMX-RRS8lGtYjWOZw?e=JHqjig</t>
  </si>
  <si>
    <t>OP PRT - TELECONVERTISSEUR Optique</t>
  </si>
  <si>
    <t>https://saranistudio-my.sharepoint.com/:f:/g/personal/team_sarani_studio/EiyrmxYKzJ9OuT_ADJ886ZoBaIG-IWWrvAjUmM56P0qa-Q?e=EzQjR6</t>
  </si>
  <si>
    <t>Adaptation A3 ZV 1II</t>
  </si>
  <si>
    <t>https://saranistudio-my.sharepoint.com/:f:/g/personal/team_sarani_studio/EkgtywBt5tdKteLfsQw1yR8BZX4JZdVzUGhDfp-ICfQa7Q?e=gjyoIc</t>
  </si>
  <si>
    <t>https://saranistudio-my.sharepoint.com/:b:/g/personal/team_sarani_studio/ER6hJRVc1glPnzJ7Z9u4ickBFz2NCRqCbnQrgkq1Wd1Gdw?e=cuVWMa</t>
  </si>
  <si>
    <t>Leaflet adaptation</t>
  </si>
  <si>
    <t>https://saranistudio-my.sharepoint.com/:f:/g/personal/team_sarani_studio/El8laoyQDYZPnVc7Z2BMo6MB3gwAjuJ8oeoJ6OLmWphTUQ?e=8lV0Ww</t>
  </si>
  <si>
    <t>https://saranistudio-my.sharepoint.com/:b:/g/personal/team_sarani_studio/Eci3BZ1l2wVLtUT0u5jWcG8BWkpWl7AaBl8MG2cOzb1C4A?e=NPEGsD</t>
  </si>
  <si>
    <t>F2024-0010</t>
  </si>
  <si>
    <t>Xperia 10V Fiche produit</t>
  </si>
  <si>
    <t>https://saranistudio-my.sharepoint.com/:f:/g/personal/team_sarani_studio/EpE5Y-bLf4BJj9OOdJ0kRS0BWcnDOy6_qDeSk0B6N2_35g?e=F3dVIw</t>
  </si>
  <si>
    <t>Xperia Infographics Lavender</t>
  </si>
  <si>
    <t>https://saranistudio-my.sharepoint.com/:f:/g/personal/team_sarani_studio/ErBIh8Q7RcxKtpZSkOTPKuUB4hqTOQ1qXwlxHVwbTHUBjw?e=ZrA0BB</t>
  </si>
  <si>
    <t>OP PRT - A7M3</t>
  </si>
  <si>
    <t>https://saranistudio-my.sharepoint.com/:f:/g/personal/team_sarani_studio/EqsD2Sbc36JAhwHWMJZqsrMBAMxIJxi3jYCUiMmWccKI4A?e=yubVDN</t>
  </si>
  <si>
    <t>Soldes d'été 2023</t>
  </si>
  <si>
    <t>MEDIA Cross</t>
  </si>
  <si>
    <t>https://saranistudio-my.sharepoint.com/:f:/g/personal/team_sarani_studio/Eg39IZWIqplBqs70KQ07ic0BYjZ2B5MN4UUbGN81zVMNog?e=4bjvuH</t>
  </si>
  <si>
    <t>https://saranistudio-my.sharepoint.com/:b:/g/personal/team_sarani_studio/EfzPLtbTTzhKhB0LXEqvdCUBiqZVbJXGPDHC-vA9agM0Sg?e=QEvz6v</t>
  </si>
  <si>
    <t>F-(2023)-176</t>
  </si>
  <si>
    <t>Paid 20/09/2023</t>
  </si>
  <si>
    <t>HAV POS TA-AN1000</t>
  </si>
  <si>
    <t>https://saranistudio-my.sharepoint.com/:f:/g/personal/team_sarani_studio/EqlFGHWqcuFIgXulyu1u7-cBimiPb-0LGSqvgCUVCR7Tmw?e=jlB2eB</t>
  </si>
  <si>
    <t>https://saranistudio-my.sharepoint.com/:w:/g/personal/team_sarani_studio/EUqjjO63JJtAgt-emos8IuYBxmvnWmTi1b6qEPakVQi2Cg?e=DcLPhR</t>
  </si>
  <si>
    <t>Xperia offline adaptations</t>
  </si>
  <si>
    <t>https://saranistudio-my.sharepoint.com/:f:/g/personal/team_sarani_studio/EpMtJW_jv0NEt3IV09rF06YBYDZsH3E7iCs2ItByKPvvsw?e=YoPLx5</t>
  </si>
  <si>
    <t>https://saranistudio-my.sharepoint.com/:b:/g/personal/team_sarani_studio/EXN5uEEWwWNJlBBhqbF6ht4BAufUsYIeBCVYL2iM05vRgA?e=NhvxRC</t>
  </si>
  <si>
    <t>F-(2023)-226</t>
  </si>
  <si>
    <t>Social shopping TV banner</t>
  </si>
  <si>
    <t>https://saranistudio-my.sharepoint.com/:f:/g/personal/team_sarani_studio/EnvOKZLY5a5DqK7FCLYyhy0BELnJjT4h_XAIhziY3fDhBA?e=3TM4cJ</t>
  </si>
  <si>
    <t>https://saranistudio-my.sharepoint.com/:b:/g/personal/team_sarani_studio/EcOazcJa9a1AiG8LW6zPip8BxDE-cfed4KK9cxbJLQ0rBg?e=c9934o</t>
  </si>
  <si>
    <t>POS S2000</t>
  </si>
  <si>
    <t>https://saranistudio-my.sharepoint.com/:f:/g/personal/team_sarani_studio/Et0Rv2C2C3VGiSp-XPCO_uYB_zLrGB6sYLG5KaSPwRRAsQ?e=Y6vNdA</t>
  </si>
  <si>
    <t>Fiche Produit nouveauté E5</t>
  </si>
  <si>
    <t>https://saranistudio-my.sharepoint.com/:f:/g/personal/team_sarani_studio/ErxdVNQySkRJtAGooPQ5wE8BuQR8HnH7e3K6pfksWKaDUg?e=r0IqkT</t>
  </si>
  <si>
    <t>Habillages C700N CH520 CH720N</t>
  </si>
  <si>
    <t>S&amp;V</t>
  </si>
  <si>
    <t>https://saranistudio-my.sharepoint.com/:f:/g/personal/team_sarani_studio/EjENbY_XPsxEtHzZE697MlsBTEZBXqAwDCx_PRurS6rpDw?e=KVEHke</t>
  </si>
  <si>
    <t>Newsletter PRT Juin</t>
  </si>
  <si>
    <t xml:space="preserve">TA-AN1000 fiche produit V2 </t>
  </si>
  <si>
    <t>MDR - MEG C500 C700 E5</t>
  </si>
  <si>
    <t>https://saranistudio-my.sharepoint.com/:f:/g/personal/team_sarani_studio/EkK1iuwnypdEiOwsJ-j_akABDP_rpvm30Dyyp6q_ND7oog?e=N4GdaC</t>
  </si>
  <si>
    <t>A80L KV Spiderman Les Numériques</t>
  </si>
  <si>
    <t>https://saranistudio-my.sharepoint.com/:f:/g/personal/team_sarani_studio/Eo1WM37R-eJAh5DDN3KO-6IBfCmnVD1lTAycgVSjrLzLHQ?e=nn4yec</t>
  </si>
  <si>
    <t>https://saranistudio-my.sharepoint.com/:b:/g/personal/team_sarani_studio/EQb6QhTH_gRFhAa1OD9MRoYB9I_Qs6B3erjotY_ia4ignw?e=LQheQY</t>
  </si>
  <si>
    <t xml:space="preserve">SONY sticker nouveauté </t>
  </si>
  <si>
    <t>https://saranistudio-my.sharepoint.com/:f:/g/personal/team_sarani_studio/ElsRtseJsiNPoID54P7HWHIBAKyM_bSuNpMa2EkQFXNqHQ?e=zymZQO</t>
  </si>
  <si>
    <t>https://saranistudio-my.sharepoint.com/:b:/g/personal/team_sarani_studio/ETt91MIECWVLs2WOr0bPVkQBRnQXGhU3TVafehwQNkDhaw?e=rkaMoE</t>
  </si>
  <si>
    <t>OP PRT - Juillet</t>
  </si>
  <si>
    <t>https://saranistudio-my.sharepoint.com/:f:/g/personal/team_sarani_studio/EvQN4pTLbGlGtvszZNOwt0QB3geNAHjthS4yBFQDknbV5Q?e=U5iNrI</t>
  </si>
  <si>
    <t>https://saranistudio-my.sharepoint.com/:b:/g/personal/team_sarani_studio/ERDCkML_0fROtlF57jNElvwBzacEfRKpUUd2uuvMSWDlzA?e=YEo90H</t>
  </si>
  <si>
    <t xml:space="preserve">OP TRADE IN - A7RV </t>
  </si>
  <si>
    <t>https://saranistudio-my.sharepoint.com/:f:/g/personal/team_sarani_studio/EheXA2fe-4RAnQ2VBrjV7bUBCH7z_0bNmW1LEX3dWP3Xbg?e=z39khh</t>
  </si>
  <si>
    <t>https://saranistudio-my.sharepoint.com/:b:/g/personal/team_sarani_studio/EasI3NzmUiNBsxQbJyupZ0YB3EJpW77PbqhDJyVB0m7eNw?e=SaMo42</t>
  </si>
  <si>
    <t>F-(2023)-196</t>
  </si>
  <si>
    <t>Paid 20/11/2023</t>
  </si>
  <si>
    <t xml:space="preserve">HAV - Cashback TV / BDS Automne23 </t>
  </si>
  <si>
    <t>https://saranistudio-my.sharepoint.com/:f:/g/personal/team_sarani_studio/EhoNdMxI6BZBm6WwyBTGhHoBufBpJY10m8zRrqgzkG54yw?e=FLrgLB</t>
  </si>
  <si>
    <t>https://saranistudio-my.sharepoint.com/:b:/g/personal/team_sarani_studio/EWZDebpX_3NLnB2kPm4prroBkIIgVsMjvlgdRG2KL6oTyA?e=k6vJEN</t>
  </si>
  <si>
    <t>PLV A80L Awards</t>
  </si>
  <si>
    <t>https://saranistudio.sharepoint.com/:f:/s/SaraniAssets/EsMHhSdNvINElyx3JEst28ABbEZ2UyxACzwOgbo7r8uNhQ?e=GMg6XF</t>
  </si>
  <si>
    <t>https://saranistudio-my.sharepoint.com/:b:/g/personal/team_sarani_studio/Ed1vPGHqbmFNs7Nnwr-8wVYB_-OJvm6ZR5rYOVkAvupcug?e=uvKXZp</t>
  </si>
  <si>
    <t>29/06/23</t>
  </si>
  <si>
    <t>Fiche Produit XB100</t>
  </si>
  <si>
    <t>https://saranistudio-my.sharepoint.com/:b:/g/personal/team_sarani_studio/EepN62Np7N9MseVxKTtjK_oBFAFljE_tUVkIlvItykaeeg?e=zsWnuM</t>
  </si>
  <si>
    <t>Newsletter PRT Juillet</t>
  </si>
  <si>
    <t>https://saranistudio-my.sharepoint.com/:b:/g/personal/team_sarani_studio/EaAm0jo7YspMmLcsxcmfHPIBBXT0ddMFG9EJoUECtwNNQg?e=CnUbUH</t>
  </si>
  <si>
    <t>Banner Japan Expo - Crunchyroll</t>
  </si>
  <si>
    <t>Caroline Dindault</t>
  </si>
  <si>
    <t>https://saranistudio.sharepoint.com/:f:/s/SaraniAssets/Et_OuIyMgu9FqMczpXXXQO0BYZHuDowfoC-0qggLgHG-1w?e=X52FgQ</t>
  </si>
  <si>
    <t>https://saranistudio-my.sharepoint.com/:b:/g/personal/team_sarani_studio/EXCRcqoF15JCk5vCkqNXQnwBFClE1WMJsbcopn9YwR9JLg?e=j2aPCB</t>
  </si>
  <si>
    <t>Assets FR A95L</t>
  </si>
  <si>
    <t>https://saranistudio.sharepoint.com/:f:/s/SaraniAssets/EtPwKzkXSJBPhvy3z6vmVH8BQM9lGtquGJFflIK4WIM36g?e=bQbusC</t>
  </si>
  <si>
    <t>https://saranistudio-my.sharepoint.com/:b:/g/personal/team_sarani_studio/EWGp38GY6q1KuMXYXz9FOQMBA7ZQTdYcdqtBRu6518Vuiw?e=PuZDyk</t>
  </si>
  <si>
    <t>F-(2023)-221</t>
  </si>
  <si>
    <t>Nouveautés DI et promos</t>
  </si>
  <si>
    <t>https://saranistudio.sharepoint.com/:f:/s/SaraniAssets/EmpZqDYoERtKuhOOIHkw9_gBrteRG4ajzx_u89Z4wZw4zQ?e=X4yJ7B</t>
  </si>
  <si>
    <t>https://saranistudio-my.sharepoint.com/:b:/g/personal/team_sarani_studio/EbMu1HYXhFpLtgxnigk-TjcB6fev3kyohzD-8laqQpYdng?e=lbUxXL</t>
  </si>
  <si>
    <t>D2C sony.fr banners</t>
  </si>
  <si>
    <t>https://saranistudio.sharepoint.com/:f:/s/SaraniAssets/Eu4HYzd9NQRJnfvY9OKXwKAB32ifwohQSl3OWelvCRxaTA?e=lj7MMr</t>
  </si>
  <si>
    <t>https://saranistudio-my.sharepoint.com/:b:/g/personal/team_sarani_studio/EYvkssAWQDBOhaylZ-v94csBva-466LhIu1pWKdrltZVrQ?e=31xfi7</t>
  </si>
  <si>
    <t>F-(2023)-195</t>
  </si>
  <si>
    <t>Paid 07/11/2023</t>
  </si>
  <si>
    <t>Assets world cup rugby</t>
  </si>
  <si>
    <t>https://saranistudio.sharepoint.com/:f:/s/SaraniAssets/EmbgGkCAJl5KniAwcW-yi4gBS89mkOFy73-Lxx4pgUOlJw?e=32YWjh</t>
  </si>
  <si>
    <t>https://saranistudio-my.sharepoint.com/:b:/g/personal/team_sarani_studio/EdEsi0jQWIhCmGtVIbG65wUBODq9lBfEQqAJH7bY7NKYUQ?e=zdALnm</t>
  </si>
  <si>
    <t>25/07/23</t>
  </si>
  <si>
    <t>Infographies XB100</t>
  </si>
  <si>
    <t>Pascale Saint-Jean</t>
  </si>
  <si>
    <t>https://saranistudio.sharepoint.com/:f:/s/SaraniAssets/ErA000UoVLhDqslLZSyhjoABU1xbvgg3E8Ij-0qMkvDYQA?e=pL3NJr</t>
  </si>
  <si>
    <t>https://saranistudio-my.sharepoint.com/:b:/g/personal/team_sarani_studio/Ee3F3z-Ic6ZFo5wGD56lVwYBbC7nmfyNq2WfFQ2DqZJaOQ?e=YRGbt6</t>
  </si>
  <si>
    <t>27/07/23</t>
  </si>
  <si>
    <t>Assets world cup rugby adaptations</t>
  </si>
  <si>
    <t>https://saranistudio-my.sharepoint.com/:b:/g/personal/team_sarani_studio/EYfPjnYGS8FGsZ0gdHWW64IBAoVToD60cZQCJSYu5LeJdw?e=Z2CL8X</t>
  </si>
  <si>
    <t>F2023-0245</t>
  </si>
  <si>
    <t>31/07/23</t>
  </si>
  <si>
    <t>OP BTS DI</t>
  </si>
  <si>
    <t>https://saranistudio.sharepoint.com/:f:/s/SaraniAssets/Epr_dftlsahOqnBaqYpQ1IwBdjuBZBSNRjYGvWqZFWvfdQ?e=K77OzC</t>
  </si>
  <si>
    <t>https://saranistudio-my.sharepoint.com/:b:/g/personal/team_sarani_studio/EXD6YiKrBANPkq8-Hsf5MjABUwU26BCb4uGgcw6H8Era9w?e=4QiNEb</t>
  </si>
  <si>
    <t>F-(2023)-224</t>
  </si>
  <si>
    <t>OP A7M3</t>
  </si>
  <si>
    <t>https://saranistudio.sharepoint.com/:f:/s/SaraniAssets/Eh9pJydNgoBIiQg1xt4_hMkBIQFJfTzxzyOy2aB0HQLWbw?e=VYbLCf</t>
  </si>
  <si>
    <t>https://saranistudio-my.sharepoint.com/:b:/g/personal/team_sarani_studio/EQtAEpb8-uNGq9VExKsBI9YBaNSVllvUgb21pGrriQEX5Q?e=FUjEx9</t>
  </si>
  <si>
    <t>Web banners XB100 Adaptations</t>
  </si>
  <si>
    <t>Joseph Batellier</t>
  </si>
  <si>
    <t>https://saranistudio.sharepoint.com/:f:/s/SaraniAssets/Etu_da7dC-ZJt1b3jGIkTpkB2HKcNrt4v7mQPatbLXCQZg?e=zHQWkX</t>
  </si>
  <si>
    <t>https://saranistudio-my.sharepoint.com/:b:/g/personal/team_sarani_studio/EZ9VPz3tawJPrjr0NBBQa00BkGoBz_hRaVayzQMEDa8-aQ?e=k6fkeu</t>
  </si>
  <si>
    <t>A6700_POSTER A4 et A3</t>
  </si>
  <si>
    <t>https://saranistudio.sharepoint.com/:f:/s/SaraniAssets/EjmX0yufN1tOqaFCw7M8mOoBeCJ-8gVyiGVAxQB_3dKtaA?e=LWQbbn</t>
  </si>
  <si>
    <t>Quote Proposal SFR - A6700_POSTER A4 et A3.pdf</t>
  </si>
  <si>
    <t>Sony Rugby T-shirt</t>
  </si>
  <si>
    <t>https://saranistudio.sharepoint.com/:f:/s/SaraniAssets/EoKSGK51uHBEnY1ZxChc8dUBgoMgtGMxAYGBdrNOH35tlw?e=mhd6dJ</t>
  </si>
  <si>
    <t>https://saranistudio-my.sharepoint.com/:b:/g/personal/team_sarani_studio/EY5ZwooHEn1Ap9p-sANWqnIBeUNizdDrVhUyTeBs8GtTag?e=lj6Jkd</t>
  </si>
  <si>
    <t>Assets Offline RUGBY</t>
  </si>
  <si>
    <t>https://saranistudio.sharepoint.com/:f:/s/SaraniAssets/Epw4h05_vL5CnVw4f-KDh-UB89uqfY6Sdd5s-k7Bcsy2Iw?e=8ENPlX</t>
  </si>
  <si>
    <t>https://saranistudio-my.sharepoint.com/:b:/g/personal/team_sarani_studio/EaeBiR_2KilLpZTBK49Fcz8B-brFbqzVP-8J5CEH_B5OdA?e=ojl7Ba</t>
  </si>
  <si>
    <t>Brief créa cashback TV x HAV</t>
  </si>
  <si>
    <t>https://saranistudio.sharepoint.com/:f:/s/SaraniAssets/ElTa0JXiSFFGjfAVBnnVTK8BJonfzHVj6-25QaDXsBZNHA?e=tcu9y9</t>
  </si>
  <si>
    <t>https://saranistudio-my.sharepoint.com/:b:/g/personal/team_sarani_studio/ET24GpU1_VNBieU98p25518BureXOdtLbgAKZXKKqI_8yw?e=vekEA6</t>
  </si>
  <si>
    <t>HAV - Cashback TV / BDS Automne23</t>
  </si>
  <si>
    <t>https://saranistudio.sharepoint.com/:f:/s/SaraniAssets/EnLENnmWU4FBhXBFfLq0YnYBr8dbOibVptSN7QelSupl6g?e=a4pTg8</t>
  </si>
  <si>
    <t>https://saranistudio-my.sharepoint.com/:b:/g/personal/team_sarani_studio/EWZDebpX_3NLnB2kPm4prroBkIIgVsMjvlgdRG2KL6oTyA?e=ENTdXo</t>
  </si>
  <si>
    <t>F-(2023)-194</t>
  </si>
  <si>
    <t>Paid 03/11/2023</t>
  </si>
  <si>
    <t>New August DI banners</t>
  </si>
  <si>
    <t>https://saranistudio.sharepoint.com/:f:/s/SaraniAssets/EsDHlKjDmc1NnjHAIvG09IIB4GCZPT25Avl1J7-s7co-1w?e=LM2h4P</t>
  </si>
  <si>
    <t>https://saranistudio-my.sharepoint.com/:b:/g/personal/team_sarani_studio/Ee-r9UVvMG5Hj3_7HINyOEMBnhCNC0eGD_9xfpYOwkOBGQ?e=g038XB</t>
  </si>
  <si>
    <t>Lancement TV A95L</t>
  </si>
  <si>
    <t>https://saranistudio.sharepoint.com/:f:/s/SaraniAssets/EvEpbJJidBJIphpL9bLaQiQB6nSdlpuoabFsbLUwdA3CCQ?e=ccfrKI</t>
  </si>
  <si>
    <t>https://saranistudio-my.sharepoint.com/:b:/g/personal/team_sarani_studio/ES7N79UhyBNArwSJtJeQQ6gBUvMU_SmAPI1bAXg3JC8E1w?e=lsbAtD</t>
  </si>
  <si>
    <t>HAV Cashback extra format</t>
  </si>
  <si>
    <t>https://saranistudio-my.sharepoint.com/:b:/g/personal/team_sarani_studio/ESPthCNjpEhMgnhygkWLu9IBQKUX6xiI-AicOgWl8ec73g?e=aaTAxK</t>
  </si>
  <si>
    <t>OP Back to School</t>
  </si>
  <si>
    <t>https://saranistudio.sharepoint.com/:f:/s/SaraniAssets/En7FKk0utLxBgDFZPlo1_nsByb06GLKqiXDojjLdmHkuGw?e=nRecsF</t>
  </si>
  <si>
    <t>https://saranistudio-my.sharepoint.com/:b:/g/personal/team_sarani_studio/EZZz9wSeXS5Mlto9IICvCOQBaLjJoxTmM9xE_Go5-u-7Zg?e=vZ9QF0</t>
  </si>
  <si>
    <t>F2023-0252</t>
  </si>
  <si>
    <t>INZONE new banners</t>
  </si>
  <si>
    <t>https://saranistudio.sharepoint.com/:f:/s/SaraniAssets/EgSlBkWINZBKgVGmCp6NzfMBevXK6wtmU5crT8987XNsuA?e=WhQ0PI</t>
  </si>
  <si>
    <t>https://saranistudio-my.sharepoint.com/:b:/g/personal/team_sarani_studio/ER2atkNeQI5EiAjHEumDAP8B1I69p8nuFKFUWNZrPLaTNQ?e=MDDN03</t>
  </si>
  <si>
    <t>F2023-0250</t>
  </si>
  <si>
    <t>TV - Screenfill A95L</t>
  </si>
  <si>
    <t>https://saranistudio.sharepoint.com/:f:/s/SaraniAssets/Eqe3gbbCcnFBsfM-Z-NzrskBCYTF77L7fe_M4kSNgHkPqQ?e=dUemvu</t>
  </si>
  <si>
    <t>https://saranistudio-my.sharepoint.com/:b:/g/personal/team_sarani_studio/EflpC_-5ZvVAvjkEgumvs5MBML3w4D_HG5FTDFaIQU12Yg?e=VV3Zfg</t>
  </si>
  <si>
    <t xml:space="preserve">Lancement Xperia 5 V </t>
  </si>
  <si>
    <t>https://saranistudio.sharepoint.com/:f:/s/SaraniAssets/EpaVO7YRjRRKhnmYbKc3cVwB12wLQr2nbSc29Xfb7OCgmA?e=7alCrE</t>
  </si>
  <si>
    <t>https://saranistudio-my.sharepoint.com/:b:/g/personal/team_sarani_studio/EQpISRj0UgxHqXSqjEC62GkB_q8FMna7bW-UXf3NH1xSZw?e=yzYU1L</t>
  </si>
  <si>
    <t>F-(2023)-223</t>
  </si>
  <si>
    <t>French Days Assets</t>
  </si>
  <si>
    <t>https://saranistudio.sharepoint.com/:f:/s/SaraniAssets/EiAE12Do1MZMg0W-9T7tF1QBr4ZBLd42z3ye7bo1XdXYpg?e=xfeLUO</t>
  </si>
  <si>
    <t>https://saranistudio-my.sharepoint.com/:b:/g/personal/team_sarani_studio/ETcMeN84ZjZGnpPa8MzZEXcBi51BuWWSYsDBmvGZCbzI5Q?e=tfMEJ4</t>
  </si>
  <si>
    <t>F-(2023)222</t>
  </si>
  <si>
    <t>HAV POS Darwin</t>
  </si>
  <si>
    <t>https://saranistudio.sharepoint.com/:f:/s/SaraniAssets/EpGzfMaM4etKnuUhx3z1v6oBj4nWjwn117upCao5G7aLAg?e=rsWGfZ</t>
  </si>
  <si>
    <t>https://saranistudio-my.sharepoint.com/:b:/g/personal/team_sarani_studio/ETWMNhpNsrRCrZ5CaIqNJikBsG2QXbxCGke8l7AHozCIxg?e=et0XbI</t>
  </si>
  <si>
    <t>F2023-0249</t>
  </si>
  <si>
    <t>https://saranistudio.sharepoint.com/:f:/s/SaraniAssets/EoDd5iSaHp1BmhGEHbw4yxQBQ4qnO6mrhQAweiEthTCCHQ?e=fIHbbK</t>
  </si>
  <si>
    <t>https://saranistudio-my.sharepoint.com/:b:/g/personal/team_sarani_studio/EcPU1zDJq_5Dj5RURg-3P14BBbx6ZIb_sGUP63gWzDcIEw?e=6UUo1L</t>
  </si>
  <si>
    <t>BRIEF CREA PANNEAUX salon de la PHOTO</t>
  </si>
  <si>
    <t>https://saranistudio.sharepoint.com/:f:/s/SaraniAssets/EubiP4v5xjdNvP4nhtG04H8BeVph2gPgBhnIJPo6sgeOEA?e=8ky5RC</t>
  </si>
  <si>
    <t>https://saranistudio-my.sharepoint.com/:b:/g/personal/team_sarani_studio/EcQ2bFA71DxKit4aFhtCavsBXCxBKjD2Jt9SYzLZ3VkeUA?e=0V6KoA</t>
  </si>
  <si>
    <t>F-(2023)-225</t>
  </si>
  <si>
    <t>OP EXTENSION DE GARANTIE</t>
  </si>
  <si>
    <t>https://saranistudio.sharepoint.com/:f:/s/SaraniAssets/EvoGkMIDaxNNn_D4yYhjN4YBXzeH_waUwudgSgJoQgPVJw?e=uzDWRD</t>
  </si>
  <si>
    <t>https://saranistudio-my.sharepoint.com/:b:/g/personal/team_sarani_studio/Ec8oiCI_A_VMqO6IpEd3GVIBX5rjzOcpzsaHAkGERCpbZg?e=QEbRh7</t>
  </si>
  <si>
    <t>F-(2023)-228</t>
  </si>
  <si>
    <t>Adaptations A7C</t>
  </si>
  <si>
    <t>https://saranistudio.sharepoint.com/:f:/s/SaraniAssets/Eudaw4YslfdBhu0vnN490_4BJHnKa-UmasiU9FJEIAWJhQ?e=iE4aE0</t>
  </si>
  <si>
    <t>https://saranistudio-my.sharepoint.com/:b:/g/personal/team_sarani_studio/ERdoI-L0XbVJs87g6xS4qnUBrZsmBnHyFItYQ5A35GkDNQ?e=FqpR3i</t>
  </si>
  <si>
    <t>F2023-0251</t>
  </si>
  <si>
    <t>Vlog leaflet Translations</t>
  </si>
  <si>
    <t>https://saranistudio.sharepoint.com/:f:/s/SaraniAssets/EoJoy7UW0lpFqdCZ2erboVkB1cV5JIQm6EWzwqjzOYrh6g?e=XEoEbY</t>
  </si>
  <si>
    <t>https://saranistudio-my.sharepoint.com/:b:/g/personal/team_sarani_studio/EexMQHd2cc1ImRI6Z1c0GuYBZVLxgeGirRdWWJ3_Jd6qaQ?e=brg44k</t>
  </si>
  <si>
    <t>https://saranistudio.sharepoint.com/:f:/s/SaraniAssets/EtfUCFAtvM1ClAWzs5V8ly4Bl5_BtcfUzG-ocfaZiYi-UA?e=620qVs</t>
  </si>
  <si>
    <t>https://saranistudio-my.sharepoint.com/:b:/g/personal/team_sarani_studio/EYIsqaLikcxFsPOg39Xgf5wBUN38FMlTSiuK4Z8TL4F2ig?e=aIXyQu</t>
  </si>
  <si>
    <t>4200648002 done  by Xanthi</t>
  </si>
  <si>
    <t>Brief Screenfills TV 2021/2022</t>
  </si>
  <si>
    <t>https://saranistudio.sharepoint.com/:f:/s/SaraniAssets/Em-zhxoSE1dPu5mZXjRKowIB9S3tWCFm8NW6chvKpkE_GA?e=WeHAlM</t>
  </si>
  <si>
    <t>https://saranistudio-my.sharepoint.com/:b:/g/personal/team_sarani_studio/ESTdhvAHB2VDpGZvjKGcT80BEBmxhZJ0Wcbs8rXVwZrkbw?e=oVdzce</t>
  </si>
  <si>
    <t>https://saranistudio.sharepoint.com/:f:/s/SaraniAssets/EqWakb816FJJtNEYqGsUM8wBcz_yDOHPD7-owXm-1XIyYA?e=mNfifv</t>
  </si>
  <si>
    <t>https://saranistudio-my.sharepoint.com/:b:/g/personal/team_sarani_studio/EVBYG2u1lmxAjHiHP80tfoMBXMPLaRNOwUEusn0mQRpo7w?e=TXcMmn</t>
  </si>
  <si>
    <t xml:space="preserve">JPO Fnac Visual </t>
  </si>
  <si>
    <t>https://saranistudio.sharepoint.com/:f:/s/SaraniAssets/EnnFIK011BRPu4_4wDbgM54B3hUmsum-1aBStFQCPhfjOA?e=sEVJlL</t>
  </si>
  <si>
    <t>https://saranistudio-my.sharepoint.com/:b:/g/personal/team_sarani_studio/EZq8osiLjkhPmcKT8E1ihwYBFA4-3JDKMCAPsSQ13wCRvQ?e=OkbS5c</t>
  </si>
  <si>
    <t>F2023-0478</t>
  </si>
  <si>
    <t>Créa sticker SRS-XB100</t>
  </si>
  <si>
    <t>https://saranistudio.sharepoint.com/:f:/s/SaraniAssets/Ej9OFxjwwBFIoj56QKVj-d4BVZdYKvocXasWAXiz_sqqDg?e=mnFKxP</t>
  </si>
  <si>
    <t>https://saranistudio-my.sharepoint.com/:b:/g/personal/team_sarani_studio/EebtS8Xsn9ZCjcbknRDjg7QBdlqTyfd-l4Qrg_z7dvatXw?e=dB61oc</t>
  </si>
  <si>
    <t>F2023-0254</t>
  </si>
  <si>
    <t>New Microphones launch</t>
  </si>
  <si>
    <t>https://saranistudio.sharepoint.com/:f:/s/SaraniAssets/Er9pInJc7SlPlb-H9tAnvvUBVGJ3H5DxZwDvHG7WJWU-yw?e=9IaSUZ</t>
  </si>
  <si>
    <t>https://saranistudio-my.sharepoint.com/:b:/g/personal/team_sarani_studio/EcKgbKdU6mZPiMSAoC96NG4BC-zObw42WjSJzmMQdmZYhQ?e=87vEKf</t>
  </si>
  <si>
    <t>F2023-0449</t>
  </si>
  <si>
    <t>Crea AN1000</t>
  </si>
  <si>
    <t>https://saranistudio.sharepoint.com/:f:/s/SaraniAssets/EmNZUpYuUJVBlPsZ5mpcLwsBDIhpr6GOmZlNGa9BS72IYg?e=ZS0gUM</t>
  </si>
  <si>
    <t>https://saranistudio-my.sharepoint.com/:b:/g/personal/team_sarani_studio/Ed7tDI3v6LZGk1bKdthyEp0BJEKTNkLD_g_JjFViRSl_xw?e=w8wx6R</t>
  </si>
  <si>
    <t>F2023-0258</t>
  </si>
  <si>
    <t>Awards A95L Screenfill</t>
  </si>
  <si>
    <t>https://saranistudio.sharepoint.com/:f:/s/SaraniAssets/EuQyocrz7aFDuO819yz0ww0BMrZ7LmNdTJ5E1BsfIs5bxw?e=YQHKS3</t>
  </si>
  <si>
    <t>https://saranistudio-my.sharepoint.com/:b:/g/personal/team_sarani_studio/EZ7UhPlEtMJPvHb_iYYmp24B-rX3om96VNF4F0bZAt61gQ?e=Kp3lwi</t>
  </si>
  <si>
    <t>F2023-0441</t>
  </si>
  <si>
    <t>Paid 26.01.2024</t>
  </si>
  <si>
    <t xml:space="preserve">Floating EPOP - OP </t>
  </si>
  <si>
    <t>https://saranistudio.sharepoint.com/:f:/s/SaraniAssets/EiUV8vEk15ZIixLeLqfTjrwBWDb9EeJiCNly26p2idnXTw?e=qSse1D</t>
  </si>
  <si>
    <t>https://saranistudio-my.sharepoint.com/:b:/g/personal/team_sarani_studio/EVDbEEyekklAvnboueTocroBMRj1nfk-FPDv2jGy40Z5Zw?e=aoCu4r</t>
  </si>
  <si>
    <t>Crea SPES TV Garantie 5 Ans offerte</t>
  </si>
  <si>
    <t>https://saranistudio.sharepoint.com/:f:/s/SaraniAssets/El0tdjxRYl1PiNJ3B0pRzoYBn0SSC79WMKmOImstNA0BgQ?e=4oAbIs</t>
  </si>
  <si>
    <t>https://saranistudio-my.sharepoint.com/:b:/g/personal/team_sarani_studio/ETDM6t_HJ_1HsXNYmIZd5kIBMcuspqcflWKLRySWxbVi6Q?e=9ApFzX</t>
  </si>
  <si>
    <t>OcO</t>
  </si>
  <si>
    <t>OP XMAS 1</t>
  </si>
  <si>
    <t>https://saranistudio.sharepoint.com/:f:/s/SaraniAssets/EosNDDBskm9BjknVqVaTUUIBFbs2cKTF3yYLg-eQh4eaFw?e=EgB9v5</t>
  </si>
  <si>
    <t>https://saranistudio-my.sharepoint.com/:b:/g/personal/team_sarani_studio/EdSj0tw5I89CphUXa5VDuO4Bw3SJyPQsDm8HB9OKLpiuDQ?e=hhbdeT</t>
  </si>
  <si>
    <t>ERREUR DE PO: 4200655571</t>
  </si>
  <si>
    <t>F2023-0477</t>
  </si>
  <si>
    <t>Q3 Newsletter</t>
  </si>
  <si>
    <t>3200 €</t>
  </si>
  <si>
    <t>https://saranistudio-my.sharepoint.com/:b:/g/personal/team_sarani_studio/ER40hT-2KSBCom2GEXH7HBsB7LsVMyyIyLO3ec2XghTHMg?e=YVLZpp</t>
  </si>
  <si>
    <t xml:space="preserve">Sent (partially) </t>
  </si>
  <si>
    <t>1. F-(2023)-232
2. F2023-0416</t>
  </si>
  <si>
    <r>
      <rPr>
        <b/>
        <i/>
        <sz val="10"/>
        <color rgb="FFFF0000"/>
        <rFont val="Calibri"/>
      </rPr>
      <t xml:space="preserve">Remains 1400€
</t>
    </r>
    <r>
      <rPr>
        <i/>
        <sz val="10"/>
        <color rgb="FF000000"/>
        <rFont val="Calibri"/>
      </rPr>
      <t>1. paid 13/12/2023
2. Paid 18/01/2023</t>
    </r>
  </si>
  <si>
    <t>https://saranistudio.sharepoint.com/:f:/s/SaraniAssets/EnvjXDVRAaRNhzW_TjYr0oUBUlaunpRrsyCD_hK7W_5EjA?e=bbhN4N</t>
  </si>
  <si>
    <t>https://saranistudio-my.sharepoint.com/:b:/g/personal/team_sarani_studio/EU-YkmXnr7VLtMk8Dfl2QJEBHpvMwAiqL1lcMWbZp62jxg?e=nQeAR2</t>
  </si>
  <si>
    <t>DI AUGUST PROMO Extension</t>
  </si>
  <si>
    <t>https://saranistudio.sharepoint.com/:f:/s/SaraniAssets/Ek4-C4S8VUhKrpgqfdB8kpsBCxBsDIcaltFTXJ6sYcDJYw?e=OiIPZw</t>
  </si>
  <si>
    <t>https://saranistudio-my.sharepoint.com/:b:/g/personal/team_sarani_studio/EX44UzSazw1Gu17DKPZjbZUBtBZio3VSA1SZ-8cFZTzQDA?e=7syrWZ</t>
  </si>
  <si>
    <t>D2C - Paris Games Week</t>
  </si>
  <si>
    <t>Lea Novio</t>
  </si>
  <si>
    <t>https://saranistudio.sharepoint.com/:f:/s/SaraniAssets/EqS68Cj1mPZPlirOsctem94Bc-DHT1369DGaGUUHq8BuTQ?e=3PVG8S</t>
  </si>
  <si>
    <t>https://saranistudio-my.sharepoint.com/:b:/g/personal/team_sarani_studio/ETKC76CSHshFnZCpLK3mTOkByoWGbBT-S5xsjxmPdosVPw?e=QRa261</t>
  </si>
  <si>
    <t>OP XMAS 2</t>
  </si>
  <si>
    <t>https://saranistudio.sharepoint.com/:f:/s/SaraniAssets/EsZE1mf1761OmkcL89GTnkYBNFxkNZXRaQLXbIrhI6TSmA?e=UgnWWN</t>
  </si>
  <si>
    <t>https://saranistudio-my.sharepoint.com/:b:/g/personal/team_sarani_studio/ES2hMQcThZhBkH4vuhbAVDQBPw2t9df2m1581HZXUcLztA?e=NzNzjM</t>
  </si>
  <si>
    <t>OP FX30 PRT</t>
  </si>
  <si>
    <t>https://saranistudio.sharepoint.com/:f:/s/SaraniAssets/EopPAL2uRh5Bsqupw0B08EUBQN8MPRNFSzMpMKGC2N2RLg?e=whBxMW</t>
  </si>
  <si>
    <t>https://saranistudio-my.sharepoint.com/:b:/g/personal/team_sarani_studio/EXLGrF4HwZVJvLpNHpSkeqEBqOkJgbz4KB5cU6BPBDcwog?e=x7801J</t>
  </si>
  <si>
    <t xml:space="preserve">4200646111 </t>
  </si>
  <si>
    <t>BANNIERE ONLINE LANCEMENT INZONE 10/10</t>
  </si>
  <si>
    <t>https://saranistudio.sharepoint.com/:f:/s/SaraniAssets/Eg17VuhV_ldOgMxMKJA4eQgBKKq_TkGuLdj02znvJEAwwg?e=N4C3dX</t>
  </si>
  <si>
    <t>https://saranistudio-my.sharepoint.com/:b:/g/personal/team_sarani_studio/EZQlHu_e6gFBqhnPVeyWRbIBOg1X0ZDZF6p5Vm9ArPczPw?e=t4CLm9</t>
  </si>
  <si>
    <t>CREAL OFFLINE XV800 ET XB100</t>
  </si>
  <si>
    <t>https://saranistudio.sharepoint.com/:f:/s/SaraniAssets/EhkVnyJH94hKmot5OrrllS4BUJVOD1kD0zyMSBrD9ymi8Q?e=wtQe48</t>
  </si>
  <si>
    <t>https://saranistudio-my.sharepoint.com/:b:/g/personal/team_sarani_studio/Ee7AjtL2ZSBNsBiGOqR4LRUBaiKg_4ouz5GBdFwTTy6H2Q?e=0lEP6b</t>
  </si>
  <si>
    <t>F2023-0433</t>
  </si>
  <si>
    <t>MACROM TV Black friday - Créa offre spéciale</t>
  </si>
  <si>
    <t>https://saranistudio.sharepoint.com/:f:/s/SaraniAssets/EnOPpSZDpMNCs_MB0Ynw414BA6mrn65nq5WEHdDDGxjF0w?e=4XaPPD</t>
  </si>
  <si>
    <t>https://saranistudio-my.sharepoint.com/:b:/g/personal/team_sarani_studio/EXNXP2GmQo1EqAXGf0Y4yN8Be7_NE6k_0bsyQd-QdJw_RQ?e=K8VwFy</t>
  </si>
  <si>
    <t xml:space="preserve">DI - Parution Magazine Photo </t>
  </si>
  <si>
    <t>https://saranistudio.sharepoint.com/:f:/s/SaraniAssets/En6M1gE4gRFMsxWNh2FEAgwBbUM5rm7OtWR9MxNEfcUwQA?e=dh9KSP</t>
  </si>
  <si>
    <t>https://saranistudio-my.sharepoint.com/:b:/g/personal/team_sarani_studio/EfWXFgChM0pIvne8GtciDicBSv_RgXWPHS29oXKrxZQDeQ?e=3KsHae</t>
  </si>
  <si>
    <t>F2023-0445</t>
  </si>
  <si>
    <t>PGW 2023 Assets</t>
  </si>
  <si>
    <t>MEDIA V&amp;S</t>
  </si>
  <si>
    <t>https://saranistudio.sharepoint.com/:f:/s/SaraniAssets/El7rq3jNFQdDo91RrmenfzQBgvdmDeHXKaa4yD0fsD1L8w?e=cAeOkQ</t>
  </si>
  <si>
    <t>https://saranistudio-my.sharepoint.com/:b:/g/personal/team_sarani_studio/EahYvQzsfYlIkoszpFaZOoMBsZURjumMORm0GSEdIn0-3Q?e=yI0Cej</t>
  </si>
  <si>
    <t>4200655508
4200657347</t>
  </si>
  <si>
    <t>Sent
Sent</t>
  </si>
  <si>
    <t>F2023-0454
F2024-0012</t>
  </si>
  <si>
    <t>Unpaid
Unpaid</t>
  </si>
  <si>
    <t>INZONE INLAY</t>
  </si>
  <si>
    <t>https://saranistudio.sharepoint.com/:f:/s/SaraniAssets/EpEBYf5GWK9DoKU8_Yd9V50BoIhlLLzOcq6RIxsIik3LEw?e=TKRh3j</t>
  </si>
  <si>
    <t>https://saranistudio-my.sharepoint.com/:b:/g/personal/team_sarani_studio/EYhsQn8I6rlOjpEbFRVb784BF5JzkASIiip86bCCEG6V7g?e=Q20Pnr</t>
  </si>
  <si>
    <t>F2023-0437</t>
  </si>
  <si>
    <t>Nouveau screenfill A95L D2C</t>
  </si>
  <si>
    <t>https://saranistudio.sharepoint.com/:f:/s/SaraniAssets/EgTar_V48PBDpAOoe7_M2q0Bt6Lflm8qblY-7nejS9_7Tw?e=dzeRJc</t>
  </si>
  <si>
    <t>https://saranistudio-my.sharepoint.com/:b:/g/personal/team_sarani_studio/EX7EXGd6FlZNm1XngjQkjfwBT8HnldXrw_JwFJUBYigR_Q?e=CoSLsV</t>
  </si>
  <si>
    <t xml:space="preserve">INZONE PGW - MEG Headset </t>
  </si>
  <si>
    <t>https://saranistudio.sharepoint.com/:f:/s/SaraniAssets/EjIIsWrWIkZBsqrOXS7l2F8BF_TFSnTVgtkbju4QU9EUAg?e=h2BqHl</t>
  </si>
  <si>
    <t>https://saranistudio-my.sharepoint.com/:b:/g/personal/team_sarani_studio/EZvICIqE9sNGkQ0goRtft_gBQPyLrz0fw8raQhGhRMKZ8g?e=RN7a4v</t>
  </si>
  <si>
    <t>F2023-0435</t>
  </si>
  <si>
    <t>Créa chevalet Awards A95L</t>
  </si>
  <si>
    <t>https://saranistudio.sharepoint.com/:f:/s/SaraniAssets/EuDargvsjaJHm6KMYUjW1jkBhC2C0AUlOATLqNdWnjfKsQ?e=MBLIoI</t>
  </si>
  <si>
    <t>https://saranistudio-my.sharepoint.com/:b:/g/personal/team_sarani_studio/EYWGVMM7uglFiTVIWi_5vJ8Bq6JIWdRv83Bi6j9YEKl1QQ?e=R3PjHE</t>
  </si>
  <si>
    <t xml:space="preserve">3 créas Meuble TV 4K </t>
  </si>
  <si>
    <t>https://saranistudio.sharepoint.com/:f:/s/SaraniAssets/EoZB1B3l379Er-dU-2tGrtkBVXo0iuml8uO1d_hG59ArRw?e=8yTk5N</t>
  </si>
  <si>
    <t>https://saranistudio-my.sharepoint.com/:b:/g/personal/team_sarani_studio/EXO2zt5Ku7pEs8uPz16HjagB2M635QAA9dackpaGx6rUiw?e=tQDIFd</t>
  </si>
  <si>
    <t>OP Black Friday</t>
  </si>
  <si>
    <t>https://saranistudio.sharepoint.com/:f:/s/SaraniAssets/EvHB7IEJC-9PrFrCASV1LP4BfkiadPCQNOE1ln0j822RvQ?e=3Wy3MQ</t>
  </si>
  <si>
    <t>https://saranistudio-my.sharepoint.com/:b:/g/personal/team_sarani_studio/EV01VyI3Y7dAhLWfBjESBrEBhqKkubDYw3wWXtmonbUYiQ?e=dHJTVf</t>
  </si>
  <si>
    <t>Créa photobooth PGW 2023</t>
  </si>
  <si>
    <t>Heloise Leroy</t>
  </si>
  <si>
    <t>https://saranistudio.sharepoint.com/:f:/s/SaraniAssets/Es10BwBnj4BLhUyLluH6ex0BE4bVUY4ltMNws6mvczb7nA?e=eEctHw</t>
  </si>
  <si>
    <t>https://saranistudio-my.sharepoint.com/:b:/g/personal/team_sarani_studio/Eal89tqTA6pAvcl9GArXLAAB_MtVbfBx1PscgWveTtUMEg?e=AD7PIq</t>
  </si>
  <si>
    <t>F2023-0246</t>
  </si>
  <si>
    <t>MARCOM TV | Nouvelles dimensions - créa chevalet A4</t>
  </si>
  <si>
    <t>https://saranistudio.sharepoint.com/:f:/s/SaraniAssets/EtiyCT7mNLdHqxDasw9eLzcBAVrCWUC2RQrcvnXZaZ6_fw?e=gGhnnL</t>
  </si>
  <si>
    <t>https://saranistudio-my.sharepoint.com/:b:/g/personal/team_sarani_studio/EVjwSH6NtUhIhIaeNhju4C0B57_rhdL35DnyoiKTYSunoQ?e=i4jhgV</t>
  </si>
  <si>
    <t>27/10/2023</t>
  </si>
  <si>
    <t>Sous Titrage WF1000XM5</t>
  </si>
  <si>
    <t>https://saranistudio.sharepoint.com/:f:/s/SaraniAssets/EtWdHJrF9hVKrIKcT7S2lTMBSXuI0TbH9VrL4SYS3lXe_w?e=23uhUv</t>
  </si>
  <si>
    <t>https://saranistudio-my.sharepoint.com/:b:/g/personal/team_sarani_studio/EcP79JqJyO1KuACaCWwAsM0By9Y56qw25VCvkEANIKn29w?e=otW0Ru</t>
  </si>
  <si>
    <t>F2023-0434</t>
  </si>
  <si>
    <t>30/10/2023</t>
  </si>
  <si>
    <t>Bannière black Friday TV</t>
  </si>
  <si>
    <t>https://saranistudio.sharepoint.com/:f:/s/SaraniAssets/ErSgv-hqFRpOuvmAVjD_t1gBaECQLYpE-t9VB7eIFXWUGQ?e=l0ti5F</t>
  </si>
  <si>
    <t>https://saranistudio-my.sharepoint.com/:b:/g/personal/team_sarani_studio/EfLZu5jwbb9MpqwJcMDzVyUBRuUglA6JbbnmnMKCJKxUiA?e=OxV7kf</t>
  </si>
  <si>
    <t>F2023-0442</t>
  </si>
  <si>
    <t>Xmas banner adaptations</t>
  </si>
  <si>
    <t>https://saranistudio.sharepoint.com/:f:/s/SaraniAssets/Ei0hBdEi0LdAph64pXwjhs4B-v2QPUjMUy8zwDh1TxcIdQ?e=KM7Hj1</t>
  </si>
  <si>
    <t>https://saranistudio-my.sharepoint.com/:b:/g/personal/team_sarani_studio/ERHEmUH7_D9HifO6AIqjs9EBrx79IRPlRLHpsw1-uVPcoQ?e=7OhB5g</t>
  </si>
  <si>
    <t>F2023-0480</t>
  </si>
  <si>
    <t>OP Winter</t>
  </si>
  <si>
    <t>https://saranistudio.sharepoint.com/:f:/s/SaraniAssets/ElDA9gHAyABLsFiMfzvMUMUBObva9HRnR40ejDIIdDiDSw?e=DnPrDa</t>
  </si>
  <si>
    <t>https://saranistudio-my.sharepoint.com/:b:/g/personal/team_sarani_studio/ETvYDfg1SEZNoeKYRZwU1pIBH6qrlTSkWmZaAnqKvA7H4w?e=SeFUF9</t>
  </si>
  <si>
    <t>Bannière black Friday Cross</t>
  </si>
  <si>
    <t>https://saranistudio.sharepoint.com/:f:/s/SaraniAssets/ErSgv-hqFRpOuvmAVjD_t1gBaECQLYpE-t9VB7eIFXWUGQ?e=IvSeqU</t>
  </si>
  <si>
    <t>https://saranistudio-my.sharepoint.com/:b:/g/personal/team_sarani_studio/ER04FKUsxMdNpc9PLwzvJA4BjY-XQVjWZkxRvQ5wdZqZyg?e=fbfmHc</t>
  </si>
  <si>
    <t>F2024-0008</t>
  </si>
  <si>
    <t>24/10/2023</t>
  </si>
  <si>
    <t>Fnac Airport - Créa Challenge</t>
  </si>
  <si>
    <t>https://saranistudio.sharepoint.com/:f:/s/SaraniAssets/EoKzAjJfVbVNhvCRivdo9ZoBtTCqqsbRnxPCHmyopMrBAQ?e=eFf2r0</t>
  </si>
  <si>
    <t>https://saranistudio-my.sharepoint.com/:b:/g/personal/team_sarani_studio/Ef7qEkyzMWBEvMzmfCXB0tcBegfhsnSFfaSlMMlPiVOBpA?e=EfztE5</t>
  </si>
  <si>
    <t>F2024-0033</t>
  </si>
  <si>
    <t>Webpop crunchyroll update</t>
  </si>
  <si>
    <t>https://saranistudio.sharepoint.com/:f:/s/SaraniAssets/EiMrvdzFUKBKnLHN7ZsP-TkB45Sh1osY8jkrY614bUEVQA?e=Cmk0f5</t>
  </si>
  <si>
    <t>https://saranistudio-my.sharepoint.com/:b:/g/personal/team_sarani_studio/EcOO71X0ZUxIo-hufoC5qmUB-ay2RwHT-3DIdmTwS9yytA?e=YS3mXZ</t>
  </si>
  <si>
    <t xml:space="preserve"> TV | Sticker Boulanger 65X90L</t>
  </si>
  <si>
    <t>https://saranistudio.sharepoint.com/:f:/s/SaraniAssets/Emj3lo3qwdBGpoI6Fhs_-i8Bp5ctL7etXZ0ws1ViWvjRCw?e=BRNp14</t>
  </si>
  <si>
    <t>https://saranistudio-my.sharepoint.com/:b:/g/personal/team_sarani_studio/EQwdTsW3akxEgYnzHAoAJ3AB9RBmPgUz_Y8e7SxkBMn16g?e=akTYrW</t>
  </si>
  <si>
    <t xml:space="preserve">Adaptation bannières OP 800 PRT </t>
  </si>
  <si>
    <t>https://saranistudio.sharepoint.com/:f:/s/SaraniAssets/EseZG1JSwf1Cseiw44aDO5oBtTh2_e4dw_xPmpa6dVifIQ?e=UcYmQn</t>
  </si>
  <si>
    <t>https://saranistudio-my.sharepoint.com/:b:/g/personal/team_sarani_studio/EacYcAvM6c1NnVYFi5WKm1ABE58avpJZsxRdRJl7CAP6Yw?e=ha9jef</t>
  </si>
  <si>
    <t>OP Winter banners</t>
  </si>
  <si>
    <t>https://saranistudio.sharepoint.com/:f:/s/SaraniAssets/Ep6BTvJIpBdMicDZzIPZcQ4BXiNwHP2JKzUuVj6rtc0Ndw?e=4BGCzX</t>
  </si>
  <si>
    <t>https://saranistudio-my.sharepoint.com/:b:/g/personal/team_sarani_studio/ETZ2NlpKgUJAi_61LhAAaMsBGZj-YgOe1iKvXFmEgTk9Pg?e=kvzNPP</t>
  </si>
  <si>
    <t>A4 Bundle barre de son &amp; caisson-BLACK FRIDAY ACTIVATION</t>
  </si>
  <si>
    <t>https://saranistudio.sharepoint.com/:f:/s/SaraniAssets/Eodd6cfk8mdCu1Q9slmbozMBVaEbNlFrea2iijCXO3p6fA?e=bZrnJb</t>
  </si>
  <si>
    <t>https://saranistudio-my.sharepoint.com/:b:/g/personal/team_sarani_studio/EZWhW9hYN09FmjnDf0_SqL4BrUffJEv-Baj4R7_6Uzr7JA?e=Svnzt2</t>
  </si>
  <si>
    <t>F2023-0436</t>
  </si>
  <si>
    <t>New Launch - FE 300mm F2.8 GM OSS</t>
  </si>
  <si>
    <t>https://saranistudio.sharepoint.com/:f:/s/SaraniAssets/EhDO8dvFKWJGqTFoP_xOULEBHzHN2pZyBynicE-3iFvHKg?e=SQC793</t>
  </si>
  <si>
    <t>https://saranistudio-my.sharepoint.com/:b:/g/personal/team_sarani_studio/ERKsAjSgYG5LlexbDjdcRxMBkVxrKDPRRC9sUP4wAd6Fxg?e=qSvSTV</t>
  </si>
  <si>
    <t>Cross banner adaptation</t>
  </si>
  <si>
    <t>https://saranistudio.sharepoint.com/:f:/s/SaraniAssets/EgbQPIwF3-5Pi58HT8VqEbkBfP1ST72E3-9Hyt873aiHqQ?e=uM3Ihz</t>
  </si>
  <si>
    <t>https://saranistudio-my.sharepoint.com/:b:/g/personal/team_sarani_studio/EQjg1lHmlxhHs0kHjFiCVe8BDUXL4V2QcCQj4DTqo9g6gw?e=2WE5Cy</t>
  </si>
  <si>
    <t>BF TV Banner RS</t>
  </si>
  <si>
    <t>https://saranistudio.sharepoint.com/:f:/s/SaraniAssets/Ehlx1QHa5nVFk9jOx6_X-4wB-kQF0cgJOpv_7bM_nYb8vA?e=1ZskZ6</t>
  </si>
  <si>
    <t>https://saranistudio-my.sharepoint.com/:b:/g/personal/team_sarani_studio/EWQMC3KXQUlPpa21m72--xcBYouLgypp8DYh3kMI2wZjqQ?e=0F2Fp6</t>
  </si>
  <si>
    <t>Bundles D2C-BLACK FRIDAY ACTIVATION</t>
  </si>
  <si>
    <t>https://saranistudio.sharepoint.com/:f:/s/SaraniAssets/Eodd6cfk8mdCu1Q9slmbozMBVaEbNlFrea2iijCXO3p6fA?e=9cWXcH</t>
  </si>
  <si>
    <t>A95L Hero VIsual</t>
  </si>
  <si>
    <t>SFR_A95L_blk_dark_sil_edge2edge_front-wo-camera</t>
  </si>
  <si>
    <t>https://saranistudio.sharepoint.com/:b:/s/SaraniAssets/ERVofbQeMXVFh8plR4siuxIBM3bqJlSrIULEqZxY5zp79g?e=EBboNd</t>
  </si>
  <si>
    <t>A voir avec Kenza</t>
  </si>
  <si>
    <t>13/11/2023</t>
  </si>
  <si>
    <t>Adaptation bannières BF TV</t>
  </si>
  <si>
    <t>https://saranistudio-my.sharepoint.com/:b:/g/personal/team_sarani_studio/EUy0XoUzTxJPqpFSVMoAyTABerH6TQC_SFVKBp_qdiluWw?e=MkAH9P</t>
  </si>
  <si>
    <t>BANNIERE XB100 BALCK FRIDAY-BLACK FRIDAY ACTIVATION</t>
  </si>
  <si>
    <t>https://saranistudio.sharepoint.com/:f:/s/SaraniAssets/EovRry9I1YNLl3Bs6R8iMREBr7g1_iWsS9N1z90BE7DcYg?e=P9sxZM</t>
  </si>
  <si>
    <t>_</t>
  </si>
  <si>
    <t>15/11/2023</t>
  </si>
  <si>
    <t>Flash visual adaptation</t>
  </si>
  <si>
    <t>https://saranistudio.sharepoint.com/:b:/s/SaraniAssets/EX12yRxzfzxAo7gXxHru470B7UESnCu7F3wDzr5WqEZXfg?e=KPTkT8</t>
  </si>
  <si>
    <t>Bundles banners adaptationsBLACK FRIDAY ACTIVATION</t>
  </si>
  <si>
    <t>https://saranistudio.sharepoint.com/:f:/s/SaraniAssets/EovRry9I1YNLl3Bs6R8iMREBr7g1_iWsS9N1z90BE7DcYg?e=6Yusw1</t>
  </si>
  <si>
    <t>16/11/2023</t>
  </si>
  <si>
    <t>DI | PRINT ALWAYS ON - DEC</t>
  </si>
  <si>
    <t>https://saranistudio.sharepoint.com/:f:/s/SaraniAssets/EhSKdIbKiXBOp7CdN7EABowB7Fa6SqA4P1_Bfp4D41Uc2A?e=oRPYXG</t>
  </si>
  <si>
    <t>https://saranistudio.sharepoint.com/:b:/s/SaraniAssets/EaGA5-YxOy5LrfrpmX-ZBjcBt2WkDMbK4g_HX-9hWSiHqA?e=RyhJL8</t>
  </si>
  <si>
    <t xml:space="preserve"> TV | Toile tendue DARTY ST EGREVE</t>
  </si>
  <si>
    <t>https://saranistudio.sharepoint.com/:f:/s/SaraniAssets/EuVjuW78QlZIr2AwL770ycgBtu-7kJHdMWZn5etR7DSQPg?e=s99CPP</t>
  </si>
  <si>
    <t>https://saranistudio.sharepoint.com/:b:/s/SaraniAssets/EYB4GuQUUCBIl3rPnOgk8-sB3kQ93sfRrmZVYQxzQb3LPg?e=ZlobtX</t>
  </si>
  <si>
    <t>Bundles RS déclinaisons</t>
  </si>
  <si>
    <t>https://saranistudio-my.sharepoint.com/:b:/g/personal/team_sarani_studio/ER3sr30lpVxJh2FBCCoJ_AIBXu7YHLzSx6K-CL6YOJJyrg?e=z4k7dU</t>
  </si>
  <si>
    <t>Nouveaute FE300F28GM_PROMO</t>
  </si>
  <si>
    <t>https://saranistudio.sharepoint.com/:f:/s/SaraniAssets/EtY9hpKd1PlIhHe2wixiXsMBSDqRMLLEeq1QqO4tJfzyUw?e=UhMRMw</t>
  </si>
  <si>
    <t>https://saranistudio-my.sharepoint.com/:b:/g/personal/team_sarani_studio/EV03LyVoqJRGoo_L4CUjmQgBpakEaO7HKB7shbkLtsDFIQ?e=kDBipF</t>
  </si>
  <si>
    <t>OP XPERIA Orange</t>
  </si>
  <si>
    <t>https://saranistudio.sharepoint.com/:f:/s/SaraniAssets/Esedv7weB8dJhpQl1jrHyVsBNuiW1YPKAv-SDwz8gdjw-g?e=61sZ25</t>
  </si>
  <si>
    <t>https://saranistudio-my.sharepoint.com/:b:/g/personal/team_sarani_studio/EYzJ3Jb7P4pBk7bzPT6LnxYBBRoKQavMxx4uk5-507INZw?e=xQpcIj</t>
  </si>
  <si>
    <t>F2024-0032</t>
  </si>
  <si>
    <t>20/11/2023</t>
  </si>
  <si>
    <t>Décli D2C FE300F28GM</t>
  </si>
  <si>
    <t>https://saranistudio.sharepoint.com/:b:/s/SaraniAssets/EYhTk4vogA9NjMuidPFnXwsBV7n7ZOheWcqSwkuKNwjnXA?e=sxESJQ</t>
  </si>
  <si>
    <t>PO A PASSER</t>
  </si>
  <si>
    <t>CROSS | online assets NOEL</t>
  </si>
  <si>
    <t>https://saranistudio.sharepoint.com/:f:/s/SaraniAssets/Etk7nPcUzU1GhgoWi9I3qvwBxHShviAn8roYqGG9BsU4IQ?e=chdydV</t>
  </si>
  <si>
    <t>https://saranistudio.sharepoint.com/:b:/s/SaraniAssets/ERGcizIiVwNIg62Yz-6cEP4B1hDgS9p6byhOa7GTIg8sfw?e=jRXxZ2</t>
  </si>
  <si>
    <t>MEDIA DI | Bannières 10 ans Alpha</t>
  </si>
  <si>
    <t>https://saranistudio.sharepoint.com/:f:/s/SaraniAssets/EogVu9PGqENJlOaRkAxLbfYBs4fSofJOrkhOr7N8gIUyMg?e=CFyYSV</t>
  </si>
  <si>
    <t>https://saranistudio-my.sharepoint.com/:b:/g/personal/team_sarani_studio/Edbt_2QSy4tFkmYFGtYTNuEBcC4sWXovquwfCy4zOTXylA?e=jblPwJ</t>
  </si>
  <si>
    <t>F2024-0009</t>
  </si>
  <si>
    <t>28/11/2023</t>
  </si>
  <si>
    <t>15% TV XXL</t>
  </si>
  <si>
    <t>https://saranistudio.sharepoint.com/:f:/s/SaraniAssets/EkdO0k0RwRlBn3CN75Qe-K0Bc27LV-0mYQtRRRHpKrhEpw?e=UaXdlf</t>
  </si>
  <si>
    <t>https://saranistudio-my.sharepoint.com/:b:/g/personal/team_sarani_studio/Ef08ecDBfrxHoDQtiT02wrEBTAAQxP2v4rq-1idxO41QTQ?e=veCSoV</t>
  </si>
  <si>
    <t>What HI-FI Xperia</t>
  </si>
  <si>
    <t>https://saranistudio.sharepoint.com/:f:/s/SaraniAssets/EtTQvQUqDLZDuW4X1KXxts0Bxa5o4QhOKyfwZOQHfiOT4w?e=l5SlaL</t>
  </si>
  <si>
    <t>https://saranistudio-my.sharepoint.com/:b:/g/personal/team_sarani_studio/EaE60WBZcuBHrxbljAvdwQwB5V-pRP7DtpMfIspF3xnJ9Q?e=38Wu9B</t>
  </si>
  <si>
    <t>F2024-0035</t>
  </si>
  <si>
    <t>29/11/2023</t>
  </si>
  <si>
    <t>Update battery claim</t>
  </si>
  <si>
    <t>https://saranistudio.sharepoint.com/:f:/s/SaraniAssets/EsrLHInvcfpIkFHXKwypzk8BCr5D80WLMupRsNiZi0mi4A?e=GxKSMP</t>
  </si>
  <si>
    <t>https://saranistudio-my.sharepoint.com/:b:/g/personal/team_sarani_studio/EWfdu_W2MxVPiqId8_itqAEBGJK-jiDSY_nGNLfoar9u4A?e=SFk3R6</t>
  </si>
  <si>
    <t>30/11/2023</t>
  </si>
  <si>
    <t>BRAVIA CORE video</t>
  </si>
  <si>
    <t>https://saranistudio.sharepoint.com/:f:/s/SaraniAssets/Eq_4r49gcC9Bj00v7q3gfvwBj7s5XYsbRYYc2g66E_K5QA?e=Kxe9nJ</t>
  </si>
  <si>
    <t>https://saranistudio-my.sharepoint.com/:b:/g/personal/team_sarani_studio/EfhIRCGDI0FBmQyvfuH9Vl8B4AEayL5UZc9MNoj3mBFt3A?e=cAyEu9</t>
  </si>
  <si>
    <t>F2024-0011</t>
  </si>
  <si>
    <t>Plan Merch Update</t>
  </si>
  <si>
    <t>https://saranistudio.sharepoint.com/:f:/s/SaraniAssets/EntdyUUrZ1tKp6dOiDNihfEB2ewws39CBid-QD8UiFHLdQ?e=ldUB63</t>
  </si>
  <si>
    <t>https://saranistudio-my.sharepoint.com/:b:/g/personal/team_sarani_studio/EdYpitgAILVBpBaXr51kDCoB3zNGJZColWY9XIfXI3QzFQ?e=03IVjP</t>
  </si>
  <si>
    <t>TV | Webpop awards A95L</t>
  </si>
  <si>
    <t>https://saranistudio.sharepoint.com/:f:/s/SaraniAssets/EvLqFCTPT-JBgWX0-O3P3HMBaUHT_hM3HZiMgfHLnAM-Zg?e=dKnCe7</t>
  </si>
  <si>
    <t>https://saranistudio-my.sharepoint.com/:b:/g/personal/team_sarani_studio/EfqFqdvqAVJPqr8x4ngpH2YB5JbufIXQoMe0Ap-sLDxAOw?e=q0IO9I</t>
  </si>
  <si>
    <t>14/12/2023</t>
  </si>
  <si>
    <t>TV | New Créa X85L</t>
  </si>
  <si>
    <t>https://saranistudio.sharepoint.com/:f:/s/SaraniAssets/EqVHj3QrpOBHuNq306Uwn8ABRuqjmgfSrZ-qlthSK8FlOg?e=h4sqe1</t>
  </si>
  <si>
    <t>https://saranistudio-my.sharepoint.com/:b:/g/personal/team_sarani_studio/EWEz89Ry_nVCnED4RdpmrKwBLYQtJk23EAWBlWoHFuHF5w?e=jzCZaA</t>
  </si>
  <si>
    <t>FY23 SFR DI Always on online assets</t>
  </si>
  <si>
    <t>Open PO</t>
  </si>
  <si>
    <t>F2023-0481</t>
  </si>
  <si>
    <t>OP Trade-In et Hiver</t>
  </si>
  <si>
    <t>https://saranistudio.sharepoint.com/:f:/s/SaraniAssets/Eh3RpKQXfyVCvqdtfiu9dD0BLzbG-2HelOsfJzr8BWzm4w?e=eJP2zN</t>
  </si>
  <si>
    <t>https://saranistudio-my.sharepoint.com/:b:/g/personal/team_sarani_studio/EYIbdklDZiFJtBu9I2w79SwBkJDL3uomwnTOTsK145AbCw?e=CMgovQ</t>
  </si>
  <si>
    <t>CROSS | Brief soldes d'hiver</t>
  </si>
  <si>
    <t>https://saranistudio.sharepoint.com/:f:/s/SaraniAssets/ErT4J6QJlBBFvkm9Sh2P1qsBIg6YZRyWE4aefs1H35BBvQ?e=4pAu4a</t>
  </si>
  <si>
    <t>https://saranistudio-my.sharepoint.com/:b:/g/personal/team_sarani_studio/EYEDMoQJJMxMgJ_66Eq6EVIBnRoBZBt97Yhch3hNjF2NRQ?e=FyJkSO</t>
  </si>
  <si>
    <t>Visuel TV Soldes</t>
  </si>
  <si>
    <t>https://saranistudio.sharepoint.com/:f:/s/SaraniAssets/EicjkYBFJdFOsIJPGjTZYj4BZ1xU1-wmuN4QDnGvBW3EQQ?e=PlLNv4</t>
  </si>
  <si>
    <t>https://saranistudio-my.sharepoint.com/:b:/g/personal/team_sarani_studio/ERbG334ExCBCqCb8zJ9vFREB4MicjMOCfu7R4AHgcTSnEA?e=rVMxz9</t>
  </si>
  <si>
    <t>Reel WH-1000XM5 family</t>
  </si>
  <si>
    <t>https://saranistudio.sharepoint.com/:f:/s/SaraniAssets/EjDgnSqnnktCqVt60aDhlIUB-OKnKjfmjwbVaIQ1IoFZKw?e=9LXPXk</t>
  </si>
  <si>
    <t>https://saranistudio-my.sharepoint.com/:b:/g/personal/team_sarani_studio/EShFBRoPLuNPraWp6S9oZ2oBYSXQUE_cQTA9mrCtMQ27BA?e=JiRWS1</t>
  </si>
  <si>
    <t>F2024-0012</t>
  </si>
  <si>
    <t>Assets A9III</t>
  </si>
  <si>
    <t>https://saranistudio.sharepoint.com/:f:/s/SaraniAssets/Ek27zj4qBm1OpALPmdV8m38BfsLo2q6fO1PkRunoBVhSsw?e=RJLXDM</t>
  </si>
  <si>
    <t>https://saranistudio-my.sharepoint.com/:b:/g/personal/team_sarani_studio/ETzSIRCRJW1Bqc32G7ia2gQBEf6EOS8HPei035mZFe3YgA?e=WfX3CW</t>
  </si>
  <si>
    <t>Social Video Alpha Universe</t>
  </si>
  <si>
    <t>https://saranistudio.sharepoint.com/:f:/s/SaraniAssets/Eoy_6Ku94RRHm6VNocjMGqkB0DinGBXQrXxSUaNw99jChQ?e=UnkAhO</t>
  </si>
  <si>
    <t>https://saranistudio-my.sharepoint.com/:b:/g/personal/team_sarani_studio/EdW2tFvbDXJBhz_m1P9guREBFQdSldlwnRSy4o1msmIEyw?e=EpBZ2S</t>
  </si>
  <si>
    <t>POS WSK JANVIER</t>
  </si>
  <si>
    <t>WSK</t>
  </si>
  <si>
    <t>https://saranistudio.sharepoint.com/:f:/s/SaraniAssets/EoiJsbpW73dChfZf0UF1Tr8BUBhPBV0tV-KQU6HbS7aIrg?e=zMN09d</t>
  </si>
  <si>
    <t>https://saranistudio-my.sharepoint.com/:b:/g/personal/team_sarani_studio/EVKFGpKvCShMjtTbzKT-_JoBjkT48yW9cQN3DOAfiAZs3w?e=wRafoU</t>
  </si>
  <si>
    <t>F2024-0034</t>
  </si>
  <si>
    <t>DI - Créa always on digital</t>
  </si>
  <si>
    <t>https://saranistudio.sharepoint.com/:f:/s/SaraniAssets/Elot0d9wGCVOorZl-8CHHl0BmTsYZy44UOlj5PqoR-nnLQ?e=HmvmpU</t>
  </si>
  <si>
    <t>Assets PRT Soldes Janvier 2024 extra sizes</t>
  </si>
  <si>
    <t>https://saranistudio.sharepoint.com/:f:/s/SaraniAssets/Eh3RpKQXfyVCvqdtfiu9dD0BLzbG-2HelOsfJzr8BWzm4w?e=2lkyhd</t>
  </si>
  <si>
    <t>https://saranistudio-my.sharepoint.com/:b:/g/personal/team_sarani_studio/EW1nhZgi7ndFkHiCMESXxM4Bj4tQdqxeHmu0XUn71EwGvg?e=LOJgPA</t>
  </si>
  <si>
    <t>Bannière Micromania TV/Crunchyroll</t>
  </si>
  <si>
    <t>https://saranistudio.sharepoint.com/:f:/s/SaraniAssets/Eh5uhux84DVPk0koK0veA4kBNcIs_Folxc65B8tNPAIiJw?e=gbqtc5</t>
  </si>
  <si>
    <t>https://saranistudio-my.sharepoint.com/:b:/g/personal/team_sarani_studio/EUnPTu7lngJDrk-Bha-IdWoB_k_4R1vM8Cf1PxvpYZPcSA?e=0oHPG6</t>
  </si>
  <si>
    <t>Soldes Réseaux Sociaux</t>
  </si>
  <si>
    <t>https://saranistudio.sharepoint.com/:f:/s/SaraniAssets/EnZBOAvlxFVIk_GqrB-F6AkBjY5YsvPSksmbu18M3nycBQ?e=qPZc5Q</t>
  </si>
  <si>
    <t>https://saranistudio-my.sharepoint.com/:b:/g/personal/team_sarani_studio/EXaikXzQhPdDrK3iaH4alnQBZ0gkcplRx-dbJCVDzVALSA?e=tSD1Dz</t>
  </si>
  <si>
    <t>TV | T&amp;C Crunchyroll</t>
  </si>
  <si>
    <t>https://saranistudio.sharepoint.com/:f:/s/SaraniAssets/EiJQZuPEG3tMs2HSdv2Vbh4BW79bFpZJqQuoF6y5iyOzeA?e=CypeEo</t>
  </si>
  <si>
    <t>https://saranistudio-my.sharepoint.com/:b:/g/personal/team_sarani_studio/EdN9NfHNNXRFvbUlkJYua6sBUuHIbe__K89JlsVdMeeW-Q?e=cS03Pa</t>
  </si>
  <si>
    <t>DI | Print POLKA janvier 2024</t>
  </si>
  <si>
    <t>https://saranistudio.sharepoint.com/:f:/s/SaraniAssets/El6JUgriq5VLpbkwd8HuxeMB6f8siWKlbXTB7a8AoLGadg?e=41lFTW</t>
  </si>
  <si>
    <t>https://saranistudio-my.sharepoint.com/:b:/g/personal/team_sarani_studio/ETBQj9rlqzpMqL8bRaQKAFABgPEAZi3rCpz7OYtrV_XYwQ?e=ohRi3A</t>
  </si>
  <si>
    <t>OP LANCEMENT A9III</t>
  </si>
  <si>
    <t>https://saranistudio-my.sharepoint.com/:b:/g/personal/team_sarani_studio/ERes_rMDhzRAsn3xxoeeTOsBne02ZAkta6EEDt4MkFwX_A?e=0UyfLe</t>
  </si>
  <si>
    <t>Crea Camara Brive</t>
  </si>
  <si>
    <t>https://saranistudio.sharepoint.com/:f:/s/SaraniAssets/EhzYRDTfOztNjGqwX4LMf-kBoxj19aYGsZ5YEszS40tdpg?e=nTOKAY</t>
  </si>
  <si>
    <t>https://saranistudio-my.sharepoint.com/:b:/g/personal/team_sarani_studio/Ee3WzsdaYQhOjprjyS1UmTkBw2RuYGeD26DQ1LQzXJhjaA?e=ULrNrz</t>
  </si>
  <si>
    <t>Boulanger formats - OP Photo</t>
  </si>
  <si>
    <t>https://saranistudio.sharepoint.com/:f:/s/SaraniAssets/Eh9zdDtWGndKrlPGFS3NGgwBUsDHATT-cV1iOIGosz1mKg?e=ejvqoO</t>
  </si>
  <si>
    <t>https://saranistudio-my.sharepoint.com/:b:/g/personal/team_sarani_studio/Ef8aTcR_ghpFnQocEBadxRABqQxNJOWQYJOMmcfU7VEEdA?e=q8KVfx</t>
  </si>
  <si>
    <t>V&amp;S | Vidéo HT-A7000</t>
  </si>
  <si>
    <t>https://saranistudio.sharepoint.com/:f:/s/SaraniAssets/EtutNhXCPKJCldhs6LqsqhYBPoDbD5nTEXYr4eYsZfatjA?e=1Lex1C</t>
  </si>
  <si>
    <t>https://saranistudio-my.sharepoint.com/:b:/g/personal/team_sarani_studio/EdCDQbFdf6lDkNsaJY7V3cABz5_9-xeuy1TBRiD4sP_mPg?e=uZmfVb</t>
  </si>
  <si>
    <t>LOCALISATION  Brochure ILX-LR1 et Leaflet Micro</t>
  </si>
  <si>
    <t>https://saranistudio.sharepoint.com/:f:/s/SaraniAssets/Etf8n6cNrqJAkRVRDvtnTg8BFO3Dc6eXorX24klkXyYQKA?e=DAbVAB</t>
  </si>
  <si>
    <t>https://saranistudio-my.sharepoint.com/:b:/g/personal/team_sarani_studio/EfCMrxGfBGNAg-bCsn5ZthEBBIhRYzfMITPZuebg7JEdWg?e=M7pOzh</t>
  </si>
  <si>
    <t>Projet en cours</t>
  </si>
  <si>
    <t>Screenfills without 2023</t>
  </si>
  <si>
    <t>https://saranistudio.sharepoint.com/:f:/s/SaraniAssets/EsxR39dmC3xAri8Ild6PjHYBidATZgf2xKXted8VIZFjoQ?e=G1pNPi</t>
  </si>
  <si>
    <t>https://saranistudio-my.sharepoint.com/:b:/g/personal/team_sarani_studio/EV4GOVKCzhFKqyuwLWbYLFIBnjyNOAfnKriH7e5IRAbUTQ?e=XgIM2G</t>
  </si>
  <si>
    <t>https://saranistudio-my.sharepoint.com/:b:/g/personal/team_sarani_studio/Ee_ooEDaB_RIkac2trISsL4BG9aXj3lAyjJjbAh-3b0_yw?e=3tCHn6</t>
  </si>
  <si>
    <t>Bannière WHM5 Family</t>
  </si>
  <si>
    <t>https://saranistudio.sharepoint.com/:f:/s/SaraniAssets/EpV7IqKJOkpBp30yaj9Lr8YBRAMDn4gShu3KO6WbD6eQrA?e=JLaWMF</t>
  </si>
  <si>
    <t>https://saranistudio-my.sharepoint.com/:b:/g/personal/team_sarani_studio/EbjxyBzHVXJAsLL_TLov45wBkfjRbUcohJtDy1SAtsD4tA?e=WMQYMr</t>
  </si>
  <si>
    <t>Je fais mon Kit 2024</t>
  </si>
  <si>
    <t>https://saranistudio.sharepoint.com/:f:/s/SaraniAssets/Eu_VtA94-DNKsBWZapZiQ8MBA24HCtS1PCc4Y6Ny-bf79A?e=zi3fLa</t>
  </si>
  <si>
    <t>https://saranistudio-my.sharepoint.com/:b:/g/personal/team_sarani_studio/EW_tTYaI-ThIp8Ip3HxpOLsBNOp_LGAlHHo6Hn8Gq2vArA?e=W0i8Mr</t>
  </si>
  <si>
    <t>DI | Always on print - Février</t>
  </si>
  <si>
    <t>https://saranistudio.sharepoint.com/:f:/s/SaraniAssets/EkLuQ-hiEUNHu3h5MKnRM3QBfEiuqVHaU1qH0Z2Uw3Erqw?e=LkWNbD</t>
  </si>
  <si>
    <t>https://saranistudio-my.sharepoint.com/:b:/g/personal/team_sarani_studio/EZdP5CS08g9DrUQ2dnAhV6MBPYXvjglxKEJ4MRtgbIcRTA?e=ifTDux</t>
  </si>
  <si>
    <t>VITRO SPECIFIQUES Top Store A9M3</t>
  </si>
  <si>
    <t>https://saranistudio.sharepoint.com/:f:/s/SaraniAssets/EhnNN8cI2w9ErzD3LxSZgN4B_BMVQ28-8nXl4X_Sd4ilSQ?e=3V1Wx5</t>
  </si>
  <si>
    <t>https://saranistudio-my.sharepoint.com/:b:/g/personal/team_sarani_studio/EZ7Flf3xqXNIoZ9T3gHch7gBJmwMn_UwI6EtXMkYdAg1fQ?e=EXJF76</t>
  </si>
  <si>
    <t>En attente autres dimensions</t>
  </si>
  <si>
    <t>Post HT-A7000</t>
  </si>
  <si>
    <t>https://saranistudio.sharepoint.com/:f:/s/SaraniAssets/ErZ5jFn0L2BHmr7djpMSHzcBbcPO5eLs-sYL-77RZ9iIiQ?e=d4PVJG</t>
  </si>
  <si>
    <t>https://saranistudio-my.sharepoint.com/:b:/g/personal/team_sarani_studio/EX87DKt-y25Dg1vKHaMyQm4BivtgvNn1jwpq90BxHhGWRg?e=DolkpH</t>
  </si>
  <si>
    <t>OP TRADE IN_ Prolongation</t>
  </si>
  <si>
    <t>https://saranistudio.sharepoint.com/:f:/s/SaraniAssets/EkODzffymf9Kt6B5DtEBckcBM8ydTJ3TRvQBCSNNMQt7Cw?e=pe1Ggi</t>
  </si>
  <si>
    <t>https://saranistudio-my.sharepoint.com/:b:/g/personal/team_sarani_studio/EbU41EfhIntDjWhxgBwHD_QBCPDVQzHVuG_03S-4u_pTYQ?e=eX6W0e</t>
  </si>
  <si>
    <t>OP WBW A6700</t>
  </si>
  <si>
    <t>https://saranistudio.sharepoint.com/:f:/s/SaraniAssets/Eq7JgiFincpCoJ-EemhtEpcBeXJqw_XkqE5yCW0mCe1CCQ?e=e4uqMY</t>
  </si>
  <si>
    <t>https://saranistudio-my.sharepoint.com/:b:/g/personal/team_sarani_studio/ETqL8Buv7MBNnb2mKaHtYr8BDSsqjZRB17eVtEDGZTuUDQ?e=b9FMIm</t>
  </si>
  <si>
    <t>A passer</t>
  </si>
  <si>
    <t>CREA TA-AN1000</t>
  </si>
  <si>
    <t>https://saranistudio.sharepoint.com/:f:/s/SaraniAssets/EmNZUpYuUJVBlPsZ5mpcLwsBDIhpr6GOmZlNGa9BS72IYg?e=UGaDiN</t>
  </si>
  <si>
    <t>https://saranistudio-my.sharepoint.com/:b:/g/personal/team_sarani_studio/EeQ-SQ6ymGpPp_9q064_UxABi6FBdA8GYVOvUTq74tgcGw?e=Sr9lyu</t>
  </si>
  <si>
    <t>OP_ZV E1 + Micro</t>
  </si>
  <si>
    <t>https://saranistudio.sharepoint.com/:f:/s/SaraniAssets/ErZe77Ka1O1Erlh-LHqZRTMBUJA02CgCwIwj3UL2N5zu8g?e=OFWYeZ</t>
  </si>
  <si>
    <t>Invitation Dealer 2024</t>
  </si>
  <si>
    <t>https://saranistudio-my.sharepoint.com/:b:/g/personal/team_sarani_studio/EV008j8FmwVPovsgdHIIwBEB__DTWxzb64HlCkBdSlT_NA?e=EPevmH</t>
  </si>
  <si>
    <t>VITRO A9III</t>
  </si>
  <si>
    <t>Signature Email - A9III</t>
  </si>
  <si>
    <t>https://saranistudio.sharepoint.com/:f:/s/SaraniAssets/Erha6gi88whLuj_pvtxIpRcBXZVc8vTFR0xPQmbb9FSA2g?e=nvU2Sf</t>
  </si>
  <si>
    <t>Performance Dashboard — Sony Projects</t>
  </si>
  <si>
    <t>REVENUS (€)</t>
  </si>
  <si>
    <t>Sony Europe - Manu</t>
  </si>
  <si>
    <t>Sony Professional</t>
  </si>
  <si>
    <t>Sony Europe - Other</t>
  </si>
  <si>
    <t>Sony Europe - New</t>
  </si>
  <si>
    <t>TOTAL</t>
  </si>
  <si>
    <t>NOMBRE DE PROJETS</t>
  </si>
  <si>
    <t>SYNTHÈSE ANNUELLE</t>
  </si>
  <si>
    <t>Revenus (€)</t>
  </si>
  <si>
    <t>Projets</t>
  </si>
  <si>
    <t>Rev. / Projet (€)</t>
  </si>
  <si>
    <t>or no</t>
  </si>
  <si>
    <r>
      <rPr>
        <b/>
        <sz val="11"/>
        <color rgb="FFFFFFFF"/>
        <rFont val="Calibri"/>
        <scheme val="minor"/>
      </rPr>
      <t xml:space="preserve">Banner creation </t>
    </r>
    <r>
      <rPr>
        <i/>
        <sz val="11"/>
        <color rgb="FFFFFFFF"/>
        <rFont val="Calibri"/>
        <scheme val="minor"/>
      </rPr>
      <t>(animated)</t>
    </r>
  </si>
  <si>
    <r>
      <rPr>
        <b/>
        <sz val="11"/>
        <color rgb="FFFFFFFF"/>
        <rFont val="Calibri"/>
        <scheme val="minor"/>
      </rPr>
      <t xml:space="preserve">Banner adaptation </t>
    </r>
    <r>
      <rPr>
        <i/>
        <sz val="11"/>
        <color rgb="FFFFFFFF"/>
        <rFont val="Calibri"/>
        <scheme val="minor"/>
      </rPr>
      <t>(animated)</t>
    </r>
  </si>
  <si>
    <t>Advanced Edition</t>
  </si>
  <si>
    <t>Mois de Facturation</t>
  </si>
  <si>
    <t>FY22</t>
  </si>
  <si>
    <t>https://saranistudio-my.sharepoint.com/:f:/g/personal/team_sarani_studio/Etevju8IZKpEjFi3N14QmoUBp7wUTsms6pxhOWBv6e2jlQ?e=pPaido2y</t>
  </si>
  <si>
    <t>https://saranistudio-my.sharepoint.com/:f:/g/personal/team_sarani_studio/EiWYden95S1PhgR70pI8qxEBwY-0nfvYhECdhw2ZQdFqdw?e=PaidMO8n</t>
  </si>
  <si>
    <t>https://saranistudio-my.sharepoint.com/:f:/g/personal/team_sarani_studio/EiFOxcsYWW5HrKMAqEXG268BJdUb73tPaidZ2aUpOjrqGbMw?e=ZjeN6x</t>
  </si>
  <si>
    <t>Covered</t>
  </si>
  <si>
    <t>F2024-0140</t>
  </si>
  <si>
    <t>Paid 23/04/2024</t>
  </si>
  <si>
    <t>F2023-0612</t>
  </si>
  <si>
    <t>https://saranistudio-my.sharepoint.com/:b:/g/personal/team_sarani_studio/EWLP_vMxED9FmUZQ_nPaidkJwBjJNjECiaaIw3yVFqt7yTpQ?e=R7ciE8</t>
  </si>
  <si>
    <t>F2024-0100</t>
  </si>
  <si>
    <t>Paid 16/05/2024</t>
  </si>
  <si>
    <t>F2023-0603</t>
  </si>
  <si>
    <t>F2023-0609</t>
  </si>
  <si>
    <t>F2023-0572</t>
  </si>
  <si>
    <t>F2023-0600</t>
  </si>
  <si>
    <t>F2023-0577</t>
  </si>
  <si>
    <t>F2023-0607</t>
  </si>
  <si>
    <t>F2023-0608</t>
  </si>
  <si>
    <t>F2023-0599</t>
  </si>
  <si>
    <t>F2023-0611</t>
  </si>
  <si>
    <t>F2023-0606</t>
  </si>
  <si>
    <t>Paid 27/03/2024</t>
  </si>
  <si>
    <t>https://saranistudio-my.sharepoint.com/:f:/g/personal/team_sarani_studio/Eq7SJAAGtLFPt3_PaidqT-cAUBgqmFSKdaWA6Q3fjNYYyZLw?e=Kf8H76</t>
  </si>
  <si>
    <t>F2023-0587</t>
  </si>
  <si>
    <t>F2023-0594</t>
  </si>
  <si>
    <t>F2023-0602</t>
  </si>
  <si>
    <t>F2023-0604</t>
  </si>
  <si>
    <t>F2024-0139</t>
  </si>
  <si>
    <t>F2023-0610</t>
  </si>
  <si>
    <t>F2025-0143</t>
  </si>
  <si>
    <t>Paid 28/05/2025</t>
  </si>
  <si>
    <t>F2023-0588</t>
  </si>
  <si>
    <t>F2023-0598</t>
  </si>
  <si>
    <t>F2023-0593</t>
  </si>
  <si>
    <t>F2023-0595</t>
  </si>
  <si>
    <t>F2023-0596</t>
  </si>
  <si>
    <t>F2023-0580</t>
  </si>
  <si>
    <t>F2023-0559</t>
  </si>
  <si>
    <t>F2023-0586</t>
  </si>
  <si>
    <t>F2023-0605</t>
  </si>
  <si>
    <t>F2024-0358</t>
  </si>
  <si>
    <t>Paid 27/09/2024</t>
  </si>
  <si>
    <t>F2023-0571</t>
  </si>
  <si>
    <t>F2023-0592</t>
  </si>
  <si>
    <t>F2024-0062</t>
  </si>
  <si>
    <t>Paid 18/04/2024</t>
  </si>
  <si>
    <t>F2023-0589</t>
  </si>
  <si>
    <t>F2023-0590</t>
  </si>
  <si>
    <t>F2023-0569</t>
  </si>
  <si>
    <t>Paid 26/09/2023</t>
  </si>
  <si>
    <t>Paid 05/03/2024</t>
  </si>
  <si>
    <t>F2024-0098</t>
  </si>
  <si>
    <t>Paid 14/05/2024</t>
  </si>
  <si>
    <t>F2023-0575</t>
  </si>
  <si>
    <t>F2023-0597</t>
  </si>
  <si>
    <t>Pais 01/09/2023</t>
  </si>
  <si>
    <t>F2023-0560</t>
  </si>
  <si>
    <t>https://saranistudio-my.sharepoint.com/:f:/g/personal/team_sarani_studio/EnvPaidZLY5a5DqK7FCLYyhy0BELnJjT4h_XAIhziY3fDhBA?e=3TM4cJ</t>
  </si>
  <si>
    <t>F2023-0582</t>
  </si>
  <si>
    <t>Paid 01/09/2023</t>
  </si>
  <si>
    <t>F2023-0570</t>
  </si>
  <si>
    <t>F2023-0584</t>
  </si>
  <si>
    <t>Paid 04/09/2023</t>
  </si>
  <si>
    <t>F2023-0583</t>
  </si>
  <si>
    <t>F2023-0585</t>
  </si>
  <si>
    <t xml:space="preserve">Paid </t>
  </si>
  <si>
    <t>https://saranistudio-my.sharepoint.com/:f:/g/personal/team_sarani_studio/EshfpkcRdslJlWo_wRSFdPaidBKfbGaymAkkISj5Hs0t-4Gg?e=rxI0Dg</t>
  </si>
  <si>
    <t>F2023-0581</t>
  </si>
  <si>
    <t>F2024-0138</t>
  </si>
  <si>
    <t>Paid 29/05/2024</t>
  </si>
  <si>
    <t>A déduire de ce po</t>
  </si>
  <si>
    <t>F2023-0566</t>
  </si>
  <si>
    <t>F2023-0579</t>
  </si>
  <si>
    <t>F2023-0568</t>
  </si>
  <si>
    <t>F2023-0565</t>
  </si>
  <si>
    <t>https://saranistudio.sharepoint.com/:f:/s/SaraniAssets/Eu4HYzd9NQRJnfvY9PaidXwKAB32ifwohQSl3OWelvCRxaTA?e=lj7MMr</t>
  </si>
  <si>
    <t>F2023-0567</t>
  </si>
  <si>
    <t>F2023-0573</t>
  </si>
  <si>
    <t>F2023-0574</t>
  </si>
  <si>
    <t>F2023-0576</t>
  </si>
  <si>
    <t>https://saranistudio-my.sharepoint.com/:b:/g/personal/team_sarani_studio/EUeKjGC8h31KsgrUB3dY0vYB95gQ-1NlB553h9S1x7LIgg?e=5ZOISE</t>
  </si>
  <si>
    <t>https://saranistudio.sharepoint.com/:f:/s/SaraniAssets/EPaidSGK51uHBEnY1ZxChc8dUBgoMgtGMxAYGBdrNOH35tlw?e=mhd6dJ</t>
  </si>
  <si>
    <t>F2023-0558</t>
  </si>
  <si>
    <t>F2023-0561</t>
  </si>
  <si>
    <t xml:space="preserve"> done  by Xanthi</t>
  </si>
  <si>
    <t>F2024-0072</t>
  </si>
  <si>
    <t>https://saranistudio-my.sharepoint.com/:b:/g/personal/team_sarani_studio/EZq8osiLjkhPmcKT8E1ihwYBFA4-3JDKMCAPsSQ13wCRvQ?e=PaidbS5c</t>
  </si>
  <si>
    <t>Paid 20/02/2024</t>
  </si>
  <si>
    <t>Paid 29/01/2024</t>
  </si>
  <si>
    <t>https://saranistudio-my.sharepoint.com/:b:/g/personal/team_sarani_studio/EdSj0tw5I89CphUXa5VDuO4Bw3SJyPQsDm8HB9PaidLpiuDQ?e=hhbdeT</t>
  </si>
  <si>
    <t>F2024-0193</t>
  </si>
  <si>
    <t>Paid 25/06/2024</t>
  </si>
  <si>
    <t>https://saranistudio.sharepoint.com/:f:/s/SaraniAssets/Ev6BQewJ7IVEoyVlw6kD0kABX-Esbi2lG8oHAIeoafMf8g?e=t6tpZx</t>
  </si>
  <si>
    <t>https://saranistudio-my.sharepoint.com/:b:/g/personal/team_sarani_studio/ETKC76CSHshFnZCpLK3mTPaidByoWGbBT-S5xsjxmPdosVPw?e=QRa261</t>
  </si>
  <si>
    <t>https://saranistudio-my.sharepoint.com/:b:/g/personal/team_sarani_studio/EXLGrF4HwZVJvLpNHpSkeqEBqPaidJgbz4KB5cU6BPBDcwog?e=x7801J</t>
  </si>
  <si>
    <t>F2023-0591</t>
  </si>
  <si>
    <t>https://saranistudio.sharepoint.com/:f:/s/SaraniAssets/El7rq3jNFQdDo91RrmenfzQBgvdmDeHXKaa4yD0fsD1L8w?e=cAePaidQ</t>
  </si>
  <si>
    <t>Paid
Paid</t>
  </si>
  <si>
    <t>https://saranistudio.sharepoint.com/:f:/s/SaraniAssets/EpEBYf5GWK9DPaidU8_Yd9V50BoIhlLLzOcq6RIxsIik3LEw?e=TKRh3j</t>
  </si>
  <si>
    <t>https://saranistudio.sharepoint.com/:f:/s/SaraniAssets/EPaidzAjJfVbVNhvCRivdo9ZoBtTCqqsbRnxPCHmyopMrBAQ?e=eFf2r0</t>
  </si>
  <si>
    <t>F2024-0101</t>
  </si>
  <si>
    <t>Paid 22/03/2024</t>
  </si>
  <si>
    <t>F2024-0148</t>
  </si>
  <si>
    <t>Paid 06/06/2024</t>
  </si>
  <si>
    <t>https://saranistudio.sharepoint.com/:f:/s/SaraniAssets/EjJ8FapyEDlGhNbQtDSCKMEBmzrKpIOPaidm6DzVfxKrqvfQ?e=xeCvE8</t>
  </si>
  <si>
    <t>F2024-0102</t>
  </si>
  <si>
    <t>Mars</t>
  </si>
  <si>
    <t>F2024-0075</t>
  </si>
  <si>
    <t>Sebastien Minaux</t>
  </si>
  <si>
    <t>F2025-0089</t>
  </si>
  <si>
    <t>Paid 07/05/2025</t>
  </si>
  <si>
    <t>PO4200655370</t>
  </si>
  <si>
    <t>https://saranistudio-my.sharepoint.com/:b:/g/personal/team_sarani_studio/EYzJ3Jb7P4pBk7bzPT6LnxYBBRPaidQavMxx4uk5-507INZw?e=xQpcIj</t>
  </si>
  <si>
    <t>F2024-0071</t>
  </si>
  <si>
    <t>Paid 26/02/2024</t>
  </si>
  <si>
    <t>https://saranistudio.sharepoint.com/:f:/s/SaraniAssets/EtTQvQUqDLZDuW4X1KXxts0Bxa5o4QhPaidyfwZOQHfiOT4w?e=l5SlaL</t>
  </si>
  <si>
    <t xml:space="preserve">4200662004 </t>
  </si>
  <si>
    <t>F2024-0126</t>
  </si>
  <si>
    <t>Paid 23/05/2024</t>
  </si>
  <si>
    <t>https://saranistudio.sharepoint.com/:f:/s/SaraniAssets/EjDgnSqnnktCqVt60aDhlIUB-PaidnKjfmjwbVaIQ1IoFZKw?e=9LXPXk</t>
  </si>
  <si>
    <t>https://saranistudio.sharepoint.com/:f:/s/SaraniAssets/Eh5uhux84DVPk0kPaid0veA4kBNcIs_Folxc65B8tNPAIiJw?e=eYXaB0</t>
  </si>
  <si>
    <t>Paid 15/03/2024</t>
  </si>
  <si>
    <t>https://saranistudio.sharepoint.com/:f:/s/SaraniAssets/Eh5uhux84DVPk0kPaid0veA4kBNcIs_Folxc65B8tNPAIiJw?e=gbqtc5</t>
  </si>
  <si>
    <t>F2024-0173</t>
  </si>
  <si>
    <t>Paid 20/06/2024</t>
  </si>
  <si>
    <t>F2024-0086</t>
  </si>
  <si>
    <t>Paid 10/05/2024</t>
  </si>
  <si>
    <t>F2024-0087</t>
  </si>
  <si>
    <t>https://saranistudio.sharepoint.com/:f:/s/SaraniAssets/EhzYRDTfOztNjGqwX4LMf-kBoxj19aYGsZ5YEszS40tdpg?e=nTPaidAY</t>
  </si>
  <si>
    <t>F2024-0122</t>
  </si>
  <si>
    <t>F2024-0070</t>
  </si>
  <si>
    <t>F2024-0076</t>
  </si>
  <si>
    <t>4200657160 ( 875)</t>
  </si>
  <si>
    <t>F2024-0088</t>
  </si>
  <si>
    <t>F2024-0242</t>
  </si>
  <si>
    <t>Paid 25/07/2024</t>
  </si>
  <si>
    <t>https://saranistudio-my.sharepoint.com/:b:/g/personal/team_sarani_studio/EZWieqSx6GlEq2696zrIVgMBvk4hOE8V0_ap6hFUebWZxA?e=D6bF4G</t>
  </si>
  <si>
    <t>F2024-0074</t>
  </si>
  <si>
    <t>https://saranistudio.sharepoint.com/:f:/s/SaraniAssets/EpV7IqKJPaidpBp30yaj9Lr8YBRAMDn4gShu3KO6WbD6eQrA?e=JLaWMF</t>
  </si>
  <si>
    <t>F2024-0063</t>
  </si>
  <si>
    <t>https://saranistudio-my.sharepoint.com/:b:/g/personal/team_sarani_studio/Ec-0ZXlnKttCkbZZIkpP-_0BAz5nyFkld9AQE1vOjDwLQQ?e=yzPY9e</t>
  </si>
  <si>
    <t>F2024-0131</t>
  </si>
  <si>
    <t>https://saranistudio-my.sharepoint.com/:b:/g/personal/team_sarani_studio/EQH_nxgooO9Ah4mFp09MdYoBLKHna8ndYgNrrzLfwtpCnw?e=esmwJW</t>
  </si>
  <si>
    <t>https://saranistudio.sharepoint.com/:f:/s/SaraniAssets/EiD1r8hyOmVHqcBftZ43yPaidBQPOqC5P4SWGgKQ1TXKqYeQ?e=EVwLhY</t>
  </si>
  <si>
    <t>DI Always On - Habillage 1800x1000</t>
  </si>
  <si>
    <t>https://saranistudio-my.sharepoint.com/:b:/g/personal/team_sarani_studio/Efem-xIJdXlMgAaV87jggl4B6C1sQiE4-wHBXte0YDwjJA?e=l3um4H</t>
  </si>
  <si>
    <t>4200661819</t>
  </si>
  <si>
    <t>F2024-0129</t>
  </si>
  <si>
    <t>Banner nouveautes OPTIQUE</t>
  </si>
  <si>
    <t>https://saranistudio.sharepoint.com/:f:/s/SaraniAssets/EhPjY6uekQdMmzdqL3TF_NsBhQe4Z6nlnR1_oHtKq8_I3g?e=beo9lV</t>
  </si>
  <si>
    <t>https://saranistudio-my.sharepoint.com/:b:/g/personal/team_sarani_studio/EaZpPhsz-khIi9Q2h9awtQAByjEO80pn0mk7VTsrVl3wLA?e=vlgBPp</t>
  </si>
  <si>
    <t>Assets OP Hiver - Spé TV</t>
  </si>
  <si>
    <t>https://saranistudio.sharepoint.com/:f:/s/SaraniAssets/Ej_ZtFDNGhhEoYEWR38NaYUBYId-dXbNQROQXHhEAmib1Q?e=POiJoj</t>
  </si>
  <si>
    <t>4200661839</t>
  </si>
  <si>
    <t>F2024-0127</t>
  </si>
  <si>
    <t>https://saranistudio.sharepoint.com/:f:/s/SaraniAssets/EtzysycQ4ElEoNBaSZzHP78Baz7U9-q1UmnrfNCmzZMBdA?e=a98GFr</t>
  </si>
  <si>
    <t>https://saranistudio-my.sharepoint.com/:b:/g/personal/team_sarani_studio/ER_gzF7UJI1Ml3mVa7HZYhsBSDrt21ZJ_kw70iUvGqBKYg?e=kd0paC</t>
  </si>
  <si>
    <t>4200679438</t>
  </si>
  <si>
    <t>F2025-0087</t>
  </si>
  <si>
    <t>OP IP&amp;S MARS</t>
  </si>
  <si>
    <t>https://saranistudio.sharepoint.com/:f:/s/SaraniAssets/EtD9d435buZPqGStzUlhn4gB7mw6quD1f2mrOG2st2Y4UA?e=Sfpy0W</t>
  </si>
  <si>
    <t>https://saranistudio-my.sharepoint.com/:w:/g/personal/team_sarani_studio/EViYUu2CsrZHtqedL405SNEBnqjK6iAkEbRC41bxUM80xQ?e=K4bGXt</t>
  </si>
  <si>
    <t>4200661515</t>
  </si>
  <si>
    <t>PROLONGATION TRADE IN</t>
  </si>
  <si>
    <t>https://saranistudio.sharepoint.com/:f:/s/SaraniAssets/El66Cihq-dVMvH2jOrsC7KIBApsPxMZxyR61yOSqzh4fmw?e=JFcjmR</t>
  </si>
  <si>
    <t>https://saranistudio-my.sharepoint.com/:b:/g/personal/team_sarani_studio/EZcje6JzYbZMrR1JIMmO1zkBc_wKurN3OrJnEyU7m-rvjg?e=I5W9Tf</t>
  </si>
  <si>
    <t>https://saranistudio.sharepoint.com/:f:/s/SaraniAssets/EroKN3PzdltJneKt2o_XSUUB4sltXzgD2ObSFiLmGdrv1A?e=HAI7jz</t>
  </si>
  <si>
    <t>F2024-0174</t>
  </si>
  <si>
    <t>SONY PATACO RELAY</t>
  </si>
  <si>
    <t>https://saranistudio.sharepoint.com/:f:/s/SaraniAssets/Em_b86CsQbZMrDe8YW9DG1kB7dn3_27o3JuEq73puUrOIA?e=tXn1t3</t>
  </si>
  <si>
    <t>https://saranistudio-my.sharepoint.com/:b:/g/personal/team_sarani_studio/EZn5vd-mAt5NhuSlYS_fGmoBVKGtGlMmtlSdlzWEFRUh5Q?e=kPBaVh</t>
  </si>
  <si>
    <t>4200662196</t>
  </si>
  <si>
    <t>F2024-0124</t>
  </si>
  <si>
    <t>https://saranistudio.sharepoint.com/:f:/s/SaraniAssets/EkOxO22ZnMZKvUsGA-88ASYBTLnP7ui5B_q6jwpaKNsDkw?e=BxlGvb</t>
  </si>
  <si>
    <t>SONY - Créa Fiche produit XV500</t>
  </si>
  <si>
    <t>https://saranistudio.sharepoint.com/:f:/s/SaraniAssets/Ej3zITewMqRBr0DVoUTNgnABjXGMqVQzediGQTrB1IrqYA?e=QQu6am</t>
  </si>
  <si>
    <t>https://saranistudio-my.sharepoint.com/:b:/g/personal/team_sarani_studio/EbFeck4rv9pMs0N-AtdSEzQBmlZutNt_pV45jhyp1dNTDg?e=yhgoNl</t>
  </si>
  <si>
    <t>4200662156</t>
  </si>
  <si>
    <t>F2024-0123</t>
  </si>
  <si>
    <t>Alpha range leaflet - Format A3</t>
  </si>
  <si>
    <t>https://saranistudio.sharepoint.com/:f:/s/SaraniAssets/Ete30fvPW0lKo6d9Na2lVH0Bh2D62ZvlFWnGKof51TXJIw?e=d9OY4u</t>
  </si>
  <si>
    <t>https://saranistudio-my.sharepoint.com/:b:/g/personal/team_sarani_studio/EVnbW8U-c6pPr-6HpUYfwdABIxKYBlDYM6siO5zqd0ySVg?e=jQGbbt</t>
  </si>
  <si>
    <t>PACK A6400 FNAC DARTY</t>
  </si>
  <si>
    <t>https://saranistudio.sharepoint.com/:f:/s/SaraniAssets/EidD6EOJ6o1AiYh94C70apUBWp_CZkPmXNeI4B_g72yjHA?e=4fANOm</t>
  </si>
  <si>
    <t>https://saranistudio-my.sharepoint.com/:b:/g/personal/team_sarani_studio/EYh2nlxA0jRIvkzZKwaLVBkBwC2WgiCufNsOJreFpeCBDw?e=TGtBHx</t>
  </si>
  <si>
    <t>SONY - Banniere XV500 BOULANGER</t>
  </si>
  <si>
    <t>https://saranistudio.sharepoint.com/:f:/s/SaraniAssets/EgUsfYtYyfFKtmHNTqQ6qgcBPtljUeIjoRBuPm5metAtJQ?e=EPRhR3</t>
  </si>
  <si>
    <t>Banner D2C - 65X95L + S40R</t>
  </si>
  <si>
    <t>https://saranistudio.sharepoint.com/:f:/s/SaraniAssets/EvefX4xmGyNLgvpbCQZnHeoBDXe84CtjAdzzR-CW5iumig?e=si8IbE</t>
  </si>
  <si>
    <t>https://saranistudio-my.sharepoint.com/:b:/g/personal/team_sarani_studio/ERv8HGyfiOZLoW2Gkd3GhwABB06TRZqLwv4Mo0jiBN4jAg?e=pJATec</t>
  </si>
  <si>
    <t>Le Mag Photo Adaptation</t>
  </si>
  <si>
    <t>Mise à jour formats homepage 75X75WL</t>
  </si>
  <si>
    <t>https://saranistudio.sharepoint.com/:f:/s/SaraniAssets/EnGJM3eYNIxLv_mnxjzdFOUBcX_Pv9vt4ZPvNxu-tMcMiA?e=rcAj2L</t>
  </si>
  <si>
    <t>F2024-0146</t>
  </si>
  <si>
    <t>Paid 03/06/2024</t>
  </si>
  <si>
    <t>SRS-XV500 | Bannières de lancement</t>
  </si>
  <si>
    <t>https://saranistudio.sharepoint.com/:f:/s/SaraniAssets/EoDg3a131HlKu8H6WP3W-iwBpbogjRLy1k9WglAruq6aPA?e=SERajM</t>
  </si>
  <si>
    <t xml:space="preserve"> Adaptations réseaux sociaux WF-1000XM5</t>
  </si>
  <si>
    <t>4200657852</t>
  </si>
  <si>
    <t>F2024-0147</t>
  </si>
  <si>
    <t>https://saranistudio.sharepoint.com/:f:/s/SaraniAssets/EiPTo3VGgbZCr0vKNwLlJfYBiYadxjrKfVky87psbmoJYg?e=fPhMwe</t>
  </si>
  <si>
    <t>https://saranistudio-my.sharepoint.com/:b:/g/personal/team_sarani_studio/EWqr-ubejwJEqVb-KmpBUt0BmLMGHUcbD6pk8InxE7bsrg?e=gDqRdY</t>
  </si>
  <si>
    <t>F2024-0245</t>
  </si>
  <si>
    <t xml:space="preserve">POS ADAPTATION </t>
  </si>
  <si>
    <t>4200661838</t>
  </si>
  <si>
    <t>F2024-0128</t>
  </si>
  <si>
    <t xml:space="preserve">FY23 SFR DI French days assets </t>
  </si>
  <si>
    <t>4200661818</t>
  </si>
  <si>
    <t>F2024-0130</t>
  </si>
  <si>
    <t>FY23 SFR DI Q4 FPPLI banners</t>
  </si>
  <si>
    <t>4200661829</t>
  </si>
  <si>
    <t>F2024-0144</t>
  </si>
  <si>
    <t>FY23 SFR Q4 DI Always On digital_x000D_</t>
  </si>
  <si>
    <t>4200661817</t>
  </si>
  <si>
    <t>F2024-0145</t>
  </si>
  <si>
    <t>OP PORTRAIT</t>
  </si>
  <si>
    <t>https://saranistudio.sharepoint.com/:f:/s/SaraniAssets/ErD3pM9DzypHgZeWLQwPE9gB31DgBp_kFyJR3kn-xoPuew?e=mRc6q7</t>
  </si>
  <si>
    <t>Quote Proposal SFR - OP PORTRAIT (1).pdf</t>
  </si>
  <si>
    <t>4200662923</t>
  </si>
  <si>
    <t>F2024-0164</t>
  </si>
  <si>
    <t>Paid 11/06/2024</t>
  </si>
  <si>
    <t>OP WBW AVRIL</t>
  </si>
  <si>
    <t>https://saranistudio.sharepoint.com/:f:/s/SaraniAssets/EpTa-4xmK2tMn34BravF36UBzCg7X-7JkfWV1Tli0nQtPA?e=Wx4iha</t>
  </si>
  <si>
    <t>https://saranistudio-my.sharepoint.com/:b:/g/personal/team_sarani_studio/EXtQYFq5SBpHm1UXIIPt2uUBPypkdFBbb4s7j4ChI7Wqqw?e=ee5jWa</t>
  </si>
  <si>
    <t>https://saranistudio.sharepoint.com/:f:/s/SaraniAssets/EqihqzuXCWdMk7ZkEKZCEHkBQZmNBjqgExq2Oq1oempz6g?e=n1wMti</t>
  </si>
  <si>
    <t>https://saranistudio-my.sharepoint.com/:b:/g/personal/team_sarani_studio/ERq-7c8FuVpOv_SxtzOIaiUBVnuCxOacqjfVWDSMn6beJA?e=hhnoAX</t>
  </si>
  <si>
    <t>F2024-0190</t>
  </si>
  <si>
    <t>https://saranistudio.sharepoint.com/:f:/s/SaraniAssets/EsF2yLFxol9HrOUjIA3buBoB1JW9KOPVkoTEFmx1UznSMg?e=86ztCi</t>
  </si>
  <si>
    <t>https://saranistudio-my.sharepoint.com/:b:/g/personal/team_sarani_studio/EczO1otJpg9PvQ4M-uHZQ4UBse8EV0x_D94_J9agF4J-RA?e=aHRUzJ</t>
  </si>
  <si>
    <t>4200671152</t>
  </si>
  <si>
    <t>F2024-0551</t>
  </si>
  <si>
    <t>Paid 23/12/2024</t>
  </si>
  <si>
    <t>https://saranistudio.sharepoint.com/:f:/s/SaraniAssets/EjPYi239xCVElSfC8e_a1hgBWTV1fenDMap0fMgCDoVO4Q?e=8Hivxx</t>
  </si>
  <si>
    <t>https://saranistudio-my.sharepoint.com/:b:/g/personal/team_sarani_studio/ER2HIz_jA4pLsBsC7bbQLv0BB0C1lpGGGL08mcZiHYPEUA?e=UWx2kv</t>
  </si>
  <si>
    <t>F2024-0246</t>
  </si>
  <si>
    <t>BOULANGER | Bannières Infinity</t>
  </si>
  <si>
    <t>https://saranistudio.sharepoint.com/:f:/s/SaraniAssets/Ej64duHJi2JPpUFCwe07IKQBPqwO7XUkKtNjpK1qL2nvnQ?e=eg7lkB</t>
  </si>
  <si>
    <t>4200663716</t>
  </si>
  <si>
    <t>https://saranistudio.sharepoint.com/:f:/s/SaraniAssets/Er2_Ky9NC99Lr6MRmq2vET8B_HcuLHvumKeWQtwBHvrXvA?e=tJ7dXA</t>
  </si>
  <si>
    <t>https://saranistudio-my.sharepoint.com/:b:/g/personal/team_sarani_studio/EY8Pj_CKLTlNhA9j7C08MrEBr1DM6HIDuph7tqC4ySDNkA?e=5Pr93v</t>
  </si>
  <si>
    <t>F2024-0191</t>
  </si>
  <si>
    <t>https://saranistudio.sharepoint.com/:f:/s/SaraniAssets/EgTJGvwB-w5GoVYe_Vc43QMBkxbEU7jSpo70QXgNcHfW4w?e=LPrkdp</t>
  </si>
  <si>
    <t>https://saranistudio-my.sharepoint.com/:b:/g/personal/team_sarani_studio/ERTYPxQ-i5hLlHk58FqffiwByQrbJuglizmRgboW81i5SA?e=VU0oPO</t>
  </si>
  <si>
    <t>F2024-0192</t>
  </si>
  <si>
    <t>https://saranistudio.sharepoint.com/:f:/s/SaraniAssets/EqaBBpqgAtBBrNMsexISB40BBiVSOjhWsdoJj16cwPESyw?e=RxOJ4e</t>
  </si>
  <si>
    <t>https://saranistudio-my.sharepoint.com/:b:/g/personal/team_sarani_studio/ESniVIKuekhAsCfV_bE05bgBPtC-hmdUWyc8nHq98mv-9Q?e=YhOCas</t>
  </si>
  <si>
    <t>F2024-0227</t>
  </si>
  <si>
    <t>Paid 22/07/2024</t>
  </si>
  <si>
    <t>https://saranistudio.sharepoint.com/:f:/s/SaraniAssets/EvuMeO0kwwZAljOqQ0epLuEBFkZmVVXbvIRZ8wXd6QI9Ew?e=qea1BK</t>
  </si>
  <si>
    <t>F2024-0273</t>
  </si>
  <si>
    <t>Paid  06/08/2024</t>
  </si>
  <si>
    <t>https://saranistudio.sharepoint.com/:f:/s/SaraniAssets/EpI4LuUcEvdChCCBrbH1XssBpxyzTJ27kIt1ZaA8q9RVmQ?e=NejfAw</t>
  </si>
  <si>
    <t>https://saranistudio-my.sharepoint.com/:b:/g/personal/team_sarani_studio/EeHMOyBi1ShItBC6U5Ga9BgBC2Z2vWUuDrmUCx881IHxoQ?e=q2xPl3</t>
  </si>
  <si>
    <t>Media Cross | Assets French Days 2024</t>
  </si>
  <si>
    <t>https://saranistudio.sharepoint.com/:f:/s/SaraniAssets/EkEo9YAM-k9JpDcOOMsj0N4BqQdCqnwFRq5dHhyaS8vZ_Q?e=mphunD</t>
  </si>
  <si>
    <t>https://saranistudio-my.sharepoint.com/:b:/g/personal/team_sarani_studio/EcNg0PVBgclJnIPNkfFfjf4BscH7A2QCOLIzzB-BKDKq6Q?e=Wza2p6</t>
  </si>
  <si>
    <t>4200667507</t>
  </si>
  <si>
    <t>F2024-0549</t>
  </si>
  <si>
    <t>https://saranistudio.sharepoint.com/:f:/s/SaraniAssets/EtZJKV3QQ1dFihGdGGlypzYBa2fM9OTDQjsX_Rt3tdBHwA?e=gmFcxS</t>
  </si>
  <si>
    <t>F2024-0194</t>
  </si>
  <si>
    <t>https://saranistudio.sharepoint.com/:f:/s/SaraniAssets/Ev9lchSMAvhHrBi8Py5aR7YBSh0OOiH8L5qF_L7y9UdQNw?e=5ZC3Jk</t>
  </si>
  <si>
    <t>https://saranistudio.sharepoint.com/:f:/s/SaraniAssets/EmSEmaLzzZ9No0benJZjBGIBnxOlbpl1CcNy1p5Oip8PeA?e=H4b13G</t>
  </si>
  <si>
    <t>https://saranistudio-my.sharepoint.com/:b:/g/personal/team_sarani_studio/EUmowgVpIZRIllct1yJVE8cBkxVQAIuIo4sLITmtGPqy9g?e=qwxlkV</t>
  </si>
  <si>
    <t>https://saranistudio.sharepoint.com/:f:/s/SaraniAssets/EuidLJOHgO5MmFGstSjETtQBtba8qYdtW3Lwhbon-9wT3A?e=8DK76G</t>
  </si>
  <si>
    <t>https://saranistudio.sharepoint.com/:f:/s/SaraniAssets/EvPKShJOq9xHmm0J5jUOaLwBlMrSmWP6v_y3an7nrIknMA?e=TnL1Wi</t>
  </si>
  <si>
    <t>https://saranistudio-my.sharepoint.com/:b:/g/personal/team_sarani_studio/EcmGaqomQMxHiUdFN1voEpkBnJQZhKoLOdB3yhx8_tj5Hw?e=4YCEYM</t>
  </si>
  <si>
    <t>F2024-0272</t>
  </si>
  <si>
    <t>https://saranistudio.sharepoint.com/:f:/s/SaraniAssets/EtsV8PoN70NFl0M7kPyWV6kBtKJmEaon9gelwAx4plPWng?e=Sd6NYJ</t>
  </si>
  <si>
    <t>https://saranistudio-my.sharepoint.com/:b:/g/personal/team_sarani_studio/EUZO-qDz_0VChKZtzPqVJqwBAPK1MGZNM08vHAvRsWrrdw?e=PpaKcR</t>
  </si>
  <si>
    <t>F2024-0223</t>
  </si>
  <si>
    <t>https://saranistudio.sharepoint.com/:f:/s/SaraniAssets/EnfJ5zwlGdpCugUcAwsCwgUB2X2tuD11D7wDm8yS3J94HA?e=SXhVhe</t>
  </si>
  <si>
    <t>https://saranistudio.sharepoint.com/:f:/s/SaraniAssets/EgNwwxmfRAZNuwSYI9uqy1gBePbcdPUY2EbSYUPNpHFu-Q?e=uzUIny</t>
  </si>
  <si>
    <t>https://saranistudio-my.sharepoint.com/:b:/g/personal/team_sarani_studio/ET7rnwjZqRRFt4x6vAlcgT0BNATx7bOE0k63FKOLrgHnpA?e=zTF3LY</t>
  </si>
  <si>
    <t>F2024-0225</t>
  </si>
  <si>
    <t>https://saranistudio.sharepoint.com/:f:/s/SaraniAssets/Eq2nV7zd6vZBuEg8VhhXqzgBySu0gm3uDaMz9IECfvBceQ?e=5pjsxI</t>
  </si>
  <si>
    <t>https://saranistudio-my.sharepoint.com/:b:/g/personal/team_sarani_studio/EeS8D9Vk9WJPj98y7PoMarwB8BHvpM5AiJKSkfi_ZyxQUw?e=kff4mZ</t>
  </si>
  <si>
    <t>F2024-0243</t>
  </si>
  <si>
    <t>https://saranistudio.sharepoint.com/:f:/s/SaraniAssets/EqTx-n82px9LrFfhqbsvbCIBpEmjZILUVQ4dB6SveYD_Pg?e=fGqG8X</t>
  </si>
  <si>
    <t>https://saranistudio-my.sharepoint.com/:b:/g/personal/team_sarani_studio/EaH36wJeO1BNohmyw-zJiEcBkhduW_PSAitlKxPMIawqfA?e=13RS0d</t>
  </si>
  <si>
    <t>https://saranistudio.sharepoint.com/:f:/s/SaraniAssets/Ejp6z1h9AbVMm-uBwMVMqF8BWWReMA_R5wd4nw7LQKzOIw?e=JSFe5m</t>
  </si>
  <si>
    <t>https://saranistudio-my.sharepoint.com/:b:/g/personal/team_sarani_studio/EWTycKpZSIVOpr9YgSaNPlgBI0Na7NkNDt7IarNXBuRXnA?e=yDC9El</t>
  </si>
  <si>
    <t>https://saranistudio.sharepoint.com/:f:/s/SaraniAssets/EuUYFnqbnpxPnAaX6F-_tLIBhMLkbIZL_y2SWZ9rYTCJaA?e=NVNVDT</t>
  </si>
  <si>
    <t>https://saranistudio.sharepoint.com/:f:/s/SaraniAssets/Er-PEg6DqARKs3tSJB8nyHgBy4GqS7ph3PCYLd4MuLJnvA?e=GFJHWz</t>
  </si>
  <si>
    <t>https://saranistudio-my.sharepoint.com/:b:/g/personal/team_sarani_studio/Ee2DL-38SlZJlyFFN3yuzvMBwe6mTejQAABjCRfMvV_HKg?e=l5Tw3V</t>
  </si>
  <si>
    <t>F2024-0224</t>
  </si>
  <si>
    <t>https://saranistudio.sharepoint.com/:f:/s/SaraniAssets/ErMv8O5DtkZOgP8Sgy8VGL0BvuoCRZcoQYRIcFDYhpIjzQ?e=qT65fl</t>
  </si>
  <si>
    <t>https://saranistudio-my.sharepoint.com/:b:/g/personal/team_sarani_studio/EW_LYwageBVCvFG6bAEgDe4BjavgXVJnQEXNzAa9I9X8dg?e=WaWfeB</t>
  </si>
  <si>
    <t>https://saranistudio.sharepoint.com/:f:/s/SaraniAssets/Eo-AyhdPsMZAn-XYUnBaDtIBXFOEYR5RvbWi9ptFp-HiAw?e=ZtymDI</t>
  </si>
  <si>
    <t>https://saranistudio-my.sharepoint.com/:b:/g/personal/team_sarani_studio/EUwhFC-dFPZJrA3VydFx-fYBZ-HLJvEs88lc0vTxj1zWLQ?e=Gj9N7L</t>
  </si>
  <si>
    <t>MEDIA DI | Créa phox été</t>
  </si>
  <si>
    <t>https://saranistudio.sharepoint.com/:f:/s/SaraniAssets/EvBpMz5x6mVMqn8TNtLw8GQBpN8xTeuD1iJkRCjDTrSAhQ?e=KrtI0E</t>
  </si>
  <si>
    <t>https://saranistudio-my.sharepoint.com/:b:/g/personal/team_sarani_studio/EWEkOX5Cs5hJjYKV_5JJbf4BIcXPAKYEBbw8jyRlkPziKw?e=LmifJO</t>
  </si>
  <si>
    <t>https://saranistudio.sharepoint.com/:f:/s/SaraniAssets/EpeDbwZ95uZOsbwElQFZBFsBf1ajHGyBv0vilqtipM4Dng?e=LXVPFU</t>
  </si>
  <si>
    <t>F2024-0232</t>
  </si>
  <si>
    <t>Paid 23/07/2024</t>
  </si>
  <si>
    <t>F2024-0202</t>
  </si>
  <si>
    <t>Paid 02/07/2024</t>
  </si>
  <si>
    <t>F2024-0231</t>
  </si>
  <si>
    <t>Paid 02/0/2024</t>
  </si>
  <si>
    <t>https://saranistudio.sharepoint.com/:f:/s/SaraniAssets/EvrjEbO7U8VLuh9JOLXUnPMBtaSBRRB0D0dt_yeLhLLBAQ?e=RE4Rmc</t>
  </si>
  <si>
    <t>F2024-0244</t>
  </si>
  <si>
    <t>https://saranistudio.sharepoint.com/:f:/s/SaraniAssets/ErfiFDAAzOtNvLJdzYYAOOoBDx-l94ZG_zRdyuC-btUpJA?e=8PL9LS</t>
  </si>
  <si>
    <t>https://saranistudio.sharepoint.com/:f:/s/SaraniAssets/Et0hUCo5dGxNsdkyKhZJFkgBpCYS4IM_RykmowQq5dUpyw?e=bLchob</t>
  </si>
  <si>
    <t>https://saranistudio-my.sharepoint.com/:b:/g/personal/team_sarani_studio/EQwB_wSsR4JNpBP6oP79UzMBUZyOLEBqDywxs5xm1qWlHQ?e=GWYmO9</t>
  </si>
  <si>
    <t>https://saranistudio.sharepoint.com/:f:/s/SaraniAssets/EpuF0GvidPpCoKTPb7RUo2MBYN0-r0EJc_Uj_cpiNSo5jQ?e=0Lj0rd</t>
  </si>
  <si>
    <t>F2024-0204</t>
  </si>
  <si>
    <t>https://saranistudio.sharepoint.com/:f:/s/SaraniAssets/Ep2jZWRNsEZBkU5YJN-86TYBDnYtvmF-fueR0QxGnhmihw?e=tVvhWU</t>
  </si>
  <si>
    <t>https://saranistudio-my.sharepoint.com/:b:/g/personal/team_sarani_studio/ESEoRrTg-uVCoHR_9OPrVr4B62kM-VgfzQ9usdaqhbuojQ?e=YONTVz</t>
  </si>
  <si>
    <t>https://saranistudio.sharepoint.com/:f:/s/SaraniAssets/EqD5fuq8njtGqEDmU3V28BYB0UHFOZuYOy_8n8cVVJyXNQ?e=k6B7Dm</t>
  </si>
  <si>
    <t>F2024-0205</t>
  </si>
  <si>
    <t>https://saranistudio.sharepoint.com/:f:/s/SaraniAssets/EpI4LuUcEvdChCCBrbH1XssBpxyzTJ27kIt1ZaA8q9RVmQ?e=lUwq63</t>
  </si>
  <si>
    <t>https://saranistudio-my.sharepoint.com/:b:/g/personal/team_sarani_studio/ERFb5RUowoJLr4garr6oXbIBgwoDjeIgbAedcWkiH5KyRQ?e=cGPLp6</t>
  </si>
  <si>
    <t>https://saranistudio.sharepoint.com/:f:/s/SaraniAssets/Eq1taI9Ie_FAnNM8CRpg5_cBirxVa-nMBMiEfvyeH3-Kbw?e=0ueiru</t>
  </si>
  <si>
    <t>https://saranistudio-my.sharepoint.com/:b:/g/personal/team_sarani_studio/EZVOrbqimPJGhFeM54GD_EoBVFu4iscLo93pnJnFRhIu_w?e=h7kuch</t>
  </si>
  <si>
    <t>BOULANGER | Offre CB Mai</t>
  </si>
  <si>
    <t>https://saranistudio.sharepoint.com/:f:/s/SaraniAssets/EugIaT5Y-4FFk_ekcHc6vA4Bujn6xzHDqayUn0zLrwq0XQ?e=cQwanN</t>
  </si>
  <si>
    <t>PO 2</t>
  </si>
  <si>
    <t>PO DI A PASSER</t>
  </si>
  <si>
    <t>F2024-0299</t>
  </si>
  <si>
    <t>Paid 28/08/2024</t>
  </si>
  <si>
    <t>https://saranistudio.sharepoint.com/:f:/s/SaraniAssets/EsktGZLVyKVLs7Cy-qa66Y4BIKZDB-NQkkC6XTThDZCTsQ?e=Ba07wz</t>
  </si>
  <si>
    <t>F2024-0222</t>
  </si>
  <si>
    <t>Lancement nouveauté Xperia</t>
  </si>
  <si>
    <t>https://saranistudio.sharepoint.com/:f:/s/SaraniAssets/EtLEiKL7gslAumc6yYgdz5IBjMcHMB2WaPTtsaHWRoBrNQ?e=gvkCqW</t>
  </si>
  <si>
    <t>F2024-0241</t>
  </si>
  <si>
    <t>Newsletter PRT Q3 &amp; Sep 2023</t>
  </si>
  <si>
    <t>F2023-0416</t>
  </si>
  <si>
    <t>Paid 18/01/2024</t>
  </si>
  <si>
    <t>F2023-0557</t>
  </si>
  <si>
    <t>Paid 13/12/2023</t>
  </si>
  <si>
    <t>Infographics - New Xperia</t>
  </si>
  <si>
    <t>https://saranistudio.sharepoint.com/:f:/s/SaraniAssets/Eqmm1iP9McFJk5_q4XHIdC8BEoDN7L83ULmv7at8YPd8jA?e=wiKxDY</t>
  </si>
  <si>
    <t>Sticker Xperia</t>
  </si>
  <si>
    <t>https://saranistudio.sharepoint.com/:f:/s/SaraniAssets/EozSxbw1PLpIi7ps5MaPEzEBg8x5eZOcaMVSkbQpSNgx6A?e=YDz7Hg</t>
  </si>
  <si>
    <t>SIMUL MERCH FNAC</t>
  </si>
  <si>
    <t>https://saranistudio.sharepoint.com/:f:/s/SaraniAssets/EjFSjDYzorNLgbn7yPkR_ssB1ksnxWQioy4SwdjyScB89A?e=sgwMNR</t>
  </si>
  <si>
    <t>https://saranistudio.sharepoint.com/:f:/s/SaraniAssets/EsYbLAN-xf1CjzM66DHjhPkBWE2t4w7sWYGuou11AYgBag?e=2CgBmW</t>
  </si>
  <si>
    <t>F2024-0228</t>
  </si>
  <si>
    <t>https://saranistudio.sharepoint.com/:f:/s/SaraniAssets/EmsHaDp_oehBmBVbSYBHlkYBim4LNK3YffGFnU0OaiwfBg?e=tgJQoT</t>
  </si>
  <si>
    <t>F2024-0248</t>
  </si>
  <si>
    <t>Nouveau Xperia_Product Sheet and Sticker</t>
  </si>
  <si>
    <t>https://saranistudio.sharepoint.com/:f:/s/SaraniAssets/Euv2yNLJnftBpUEvrmsAB6MBzD1B8_AINXYOKWYngc6ngw?e=X9YHng</t>
  </si>
  <si>
    <t>F2024-0280</t>
  </si>
  <si>
    <t>Paid 19/08/2024</t>
  </si>
  <si>
    <t>Matrice de Choix de TV/ Usages /Techno</t>
  </si>
  <si>
    <t>https://saranistudio.sharepoint.com/:f:/s/SaraniAssets/EmLewSVzoptNn5ZuPISMdM4BUzvV8u_WgugTdBZYxzROEQ?e=j6cbt5</t>
  </si>
  <si>
    <t>https://saranistudio-my.sharepoint.com/:b:/g/personal/team_sarani_studio/EcFOzxN24aFDtt2h1Pq8q5wB5N0OELdbBeHpQVVPCd7UrQ?e=AkdHXi</t>
  </si>
  <si>
    <t>https://saranistudio.sharepoint.com/:f:/s/SaraniAssets/EtayZByJoNdFg-3jCdGXYCcBq6P4QU0FAzLzwdUEp2nU7g?e=b2nLNn</t>
  </si>
  <si>
    <t>F2024-0230</t>
  </si>
  <si>
    <t>Bannière Always DI (710€)</t>
  </si>
  <si>
    <t>https://saranistudio.sharepoint.com/:f:/s/SaraniAssets/EouMIdRhPcVDsdIUWvbbkB4Blsi550HM2ChPSeJp7Z0roA?e=GeOeJo</t>
  </si>
  <si>
    <t>Lancement nouveau XPERIA 10</t>
  </si>
  <si>
    <t>https://saranistudio.sharepoint.com/:f:/s/SaraniAssets/Etwl93LNOF5Eht7C1BDfsa4B95GM4qwgItmGbFhb1hdFFQ?e=nj3fhJ</t>
  </si>
  <si>
    <t>https://saranistudio.sharepoint.com/:f:/s/SaraniAssets/ElsTsTVSbihBmSsE_sy4JtoBrkgTiKYgXxMCMrCsZpnraw?e=Xl80xz</t>
  </si>
  <si>
    <t>FREE</t>
  </si>
  <si>
    <t>https://saranistudio.sharepoint.com/:f:/s/SaraniAssets/EvwzYNiI5UhHgdamXcxgvCkB_DMY7BzE3G-qtLJmcl9ztA?e=4PX0op</t>
  </si>
  <si>
    <t>F2024-0249</t>
  </si>
  <si>
    <t>NOUVEAU XPERIA 10 VI_Assets Online et Offline</t>
  </si>
  <si>
    <t>https://saranistudio.sharepoint.com/:f:/s/SaraniAssets/EmthEZcMCoxNuvL9Yb_GG0AB3x94POgrSYnCgHAJG1j0ww?e=7wgDwX</t>
  </si>
  <si>
    <t>https://saranistudio.sharepoint.com/:f:/s/SaraniAssets/Ekg7Tg3hT8xJl0ubrYGOQVcB7RL4s97y92TIeEJ6RziGBA?e=bja3dV</t>
  </si>
  <si>
    <t>F2024-0339</t>
  </si>
  <si>
    <t>Paid 18/09/2024</t>
  </si>
  <si>
    <t>https://saranistudio.sharepoint.com/:f:/s/SaraniAssets/EgBeeewikS9AgBkhZ_yBst4BCj6A7DhLmVunHlpYiYwbRw?e=t9OqtD</t>
  </si>
  <si>
    <t>https://saranistudio-my.sharepoint.com/:b:/g/personal/team_sarani_studio/EQ7GXYd1FJBKnLoGY-heX_EB3EjC_aWTqSPYMfHjXoNykA?e=hKLm9e</t>
  </si>
  <si>
    <t>F2024-0429</t>
  </si>
  <si>
    <t>https://saranistudio.sharepoint.com/:f:/s/SaraniAssets/Ei3ANav5PvpHndaR3BFDZ5kBArHb4Zz92nDrVcl2i6mejw?e=t9Retc</t>
  </si>
  <si>
    <t>Paid 06/08/2024</t>
  </si>
  <si>
    <t>https://saranistudio.sharepoint.com/:f:/s/SaraniAssets/EgGilnohRfROnc6J4znyRPABtZUKO0lgq9Fybh7c6TPsOw?e=dcgWuJ</t>
  </si>
  <si>
    <t>https://saranistudio.sharepoint.com/:f:/s/SaraniAssets/EgegWP7zOfNDg24oVYVI_7QB0lq0ucv8uDs_2e3Iho3YBg?e=B4Zs7Z</t>
  </si>
  <si>
    <t>https://saranistudio.sharepoint.com/:f:/s/SaraniAssets/EmlF2Giz0-BBuyDs2pgrDHkB1jTEvQdNa0BMW-dWIEkmZg?e=eVLTPi</t>
  </si>
  <si>
    <t>https://saranistudio-my.sharepoint.com/:b:/g/personal/team_sarani_studio/Eaq0BE-MnRNKvLKran9Za9kBXKsycoGg2ZfxBKpA6TPk_Q?e=uVc2GS</t>
  </si>
  <si>
    <t>F2024-0431</t>
  </si>
  <si>
    <t>PROLONGATION OP XPERIA 1 VI</t>
  </si>
  <si>
    <t>https://saranistudio.sharepoint.com/:f:/s/SaraniAssets/Emf-0urCpUJGopWX6J7pFi4Bx10cuLewUQ2qXNt1WaevVg?e=XNZtj8</t>
  </si>
  <si>
    <t>HE | Vidéo BVB pour Social boost</t>
  </si>
  <si>
    <t>https://saranistudio.sharepoint.com/:f:/s/SaraniAssets/Ep9JMmRBZoZAtrerYFkxz94BCxJ5jVd6VvgvRPq1FNxXJQ?e=7B8PiH</t>
  </si>
  <si>
    <t>F2024-0307</t>
  </si>
  <si>
    <t>Paid 03/09/2024</t>
  </si>
  <si>
    <t>https://saranistudio.sharepoint.com/:f:/s/SaraniAssets/ElAFfdmhCgxFoaRaY-RdbhIBl9hWt_eVuZV0Kmy2Z0wKaQ?e=inCEty</t>
  </si>
  <si>
    <t>https://saranistudio.sharepoint.com/:f:/s/SaraniAssets/Evn5QFIj681CiBYBSAR-s4sBb7cKx2Ae40dmsCgDq_e9zg?e=Qe5MEJ</t>
  </si>
  <si>
    <t>F2024-0340</t>
  </si>
  <si>
    <t>https://saranistudio.sharepoint.com/:f:/s/SaraniAssets/ElGPCVgps-5JpgHxtKUSM-MBYEXhBbe2pD-PSii3KaLUUg?e=FAExJ6</t>
  </si>
  <si>
    <t>F2024-0341</t>
  </si>
  <si>
    <t xml:space="preserve">URGENCE OP_WBW A7CII A7CR </t>
  </si>
  <si>
    <t>https://saranistudio.sharepoint.com/:f:/s/SaraniAssets/En_qrLBjiMBCjodGl2s7B78BbOckj-ePZ0O1feATW7q2AA?e=SgdfDg</t>
  </si>
  <si>
    <t>PO 3</t>
  </si>
  <si>
    <t>F2024-0298</t>
  </si>
  <si>
    <t>Vidéos HE lancement 2024</t>
  </si>
  <si>
    <t>https://saranistudio.sharepoint.com/:f:/s/SaraniAssets/Ekq-c-EH7xJNpeFdFAZsFCcBRs91prkMQIZbDM6Ao654mA?e=GVe7R8</t>
  </si>
  <si>
    <t>https://saranistudio-my.sharepoint.com/:b:/g/personal/team_sarani_studio/EeWB78suXEVAgcONbSH4tXMBoPXqDpjKcTgwRunEeuv_qA?e=bcjyMP</t>
  </si>
  <si>
    <t>F2024-0356</t>
  </si>
  <si>
    <t>https://saranistudio.sharepoint.com/:f:/s/SaraniAssets/EnYHUuIBAuhEu9XVZv8IzLMB8Odd2FFREj4I7CC7JCdt_Q?e=joIJsD</t>
  </si>
  <si>
    <t>https://saranistudio.sharepoint.com/:f:/s/SaraniAssets/EhXRjx-cXYZDuQKo9LVK3tYBmzis0I32EN6jEZkfgK4-3A?e=bGYyZk</t>
  </si>
  <si>
    <t>F2024-0309</t>
  </si>
  <si>
    <t>https://saranistudio.sharepoint.com/:f:/s/SaraniAssets/ElcfvqkToXxCqKNhw4EjVqoBhpjVr9RCYH22P9hcSTVP0g?e=5sku3a</t>
  </si>
  <si>
    <t>boulanger.studio.sarani</t>
  </si>
  <si>
    <t>https://saranistudio.sharepoint.com/:f:/s/SaraniAssets/Eo-ef3FBOY5IhexFYiiHH6sBTe-6RyBZA1e_otPJwodP8g?e=eg9qC1</t>
  </si>
  <si>
    <t>https://saranistudio-my.sharepoint.com/:b:/g/personal/team_sarani_studio/EfBDJd2Ydl5Kjw47GQ0t7pQBKrqp_Xi6PmhY-DJa8kPqTg?e=IDRO1W</t>
  </si>
  <si>
    <t>OP BOOST A7M3 A7M4</t>
  </si>
  <si>
    <t>https://saranistudio.sharepoint.com/:f:/s/SaraniAssets/EhBq60ktHbRCsIuUr6gKcG8B1o0vMi-zVILdUnmd7Iqf4w?e=uo46kE</t>
  </si>
  <si>
    <t>F2024-0297</t>
  </si>
  <si>
    <t>https://saranistudio.sharepoint.com/:f:/s/SaraniAssets/EmuJNJfdmj5Pop4J2dxN2ZAB9Qmr5BCdomS3__5EHXWBhA?e=cxeMda</t>
  </si>
  <si>
    <t>https://saranistudio.sharepoint.com/:f:/s/SaraniAssets/EhO-5w6ttZxOmYPWkQAcIrgBvlmNpSBODyUQHjmVkm6KUg?e=5CV25P</t>
  </si>
  <si>
    <t>F2024-0357</t>
  </si>
  <si>
    <t>https://saranistudio.sharepoint.com/:f:/s/SaraniAssets/EmeHGyR9bVREsH0LVtMvhN0BQW9Dnu2iY9856vBl9LJ9-Q?e=qKSchl</t>
  </si>
  <si>
    <t>F2024-0300</t>
  </si>
  <si>
    <t>https://saranistudio.sharepoint.com/:f:/s/SaraniAssets/EtOGp_-LwGdMmJPGqc_UIJABUy9fIGChXSISZRULXt_qXg?e=1cse1L</t>
  </si>
  <si>
    <t>https://saranistudio.sharepoint.com/:f:/s/SaraniAssets/EroKN3PzdltJneKt2o_XSUUB4sltXzgD2ObSFiLmGdrv1A?e=4ldb0s</t>
  </si>
  <si>
    <t>https://saranistudio.sharepoint.com/:f:/s/SaraniAssets/EgI-eeDc1opNnJFAh7DH0JgByKg3Q6rJ6n4P1eQe2lA6OA?e=8DQWBW</t>
  </si>
  <si>
    <t>HE | Brief PDF T&amp;C Molotov</t>
  </si>
  <si>
    <t>https://saranistudio.sharepoint.com/:f:/s/SaraniAssets/Ek4ezwAaTBBBmSwdwT3JSdkBODgrk7MwkN-3c3tGY5kR9Q?e=PInU3p</t>
  </si>
  <si>
    <t>https://saranistudio-my.sharepoint.com/:b:/g/personal/team_sarani_studio/EZKErqLRYzRAvNEh1Z01ObMBTzEI61Z1CJ0kFMEST0bS3g?e=n2hVdT</t>
  </si>
  <si>
    <t>CROSS | Assets Soldes d'été 2024</t>
  </si>
  <si>
    <t>https://saranistudio.sharepoint.com/:f:/s/SaraniAssets/Es6eU4KuJSRGqkp8BPNpnpsBn-Ef9QhFrXvoFMwhF88GdQ?e=gvfyXG</t>
  </si>
  <si>
    <t>https://saranistudio-my.sharepoint.com/:b:/g/personal/team_sarani_studio/Ea_SAlRLISRDvxs1fMHccw4BJrOOXZ-El_j7UgS6PDn3ug?e=icp0zg</t>
  </si>
  <si>
    <t>F2024-0359</t>
  </si>
  <si>
    <t>https://saranistudio.sharepoint.com/:f:/s/SaraniAssets/EjM4Q3tyhF9LnUsicVyzcnsBBeMynolw6fnEywyFvJsVng?e=3bv5V1</t>
  </si>
  <si>
    <t>OP A7RV</t>
  </si>
  <si>
    <t>https://saranistudio.sharepoint.com/:f:/s/SaraniAssets/ErmayX47zihJp_53bV8cmqIBUM8PsFONdeCBGnZXLa25pw?e=ZbOZz9</t>
  </si>
  <si>
    <t>OPTIQUES GM_A6</t>
  </si>
  <si>
    <t>https://saranistudio.sharepoint.com/:f:/s/SaraniAssets/EvYFJ4v0DXxKv8QMdttHaasBiWIQk6La2tTExiZ85-Pc_A?e=ZZ85AK</t>
  </si>
  <si>
    <t>https://saranistudio.sharepoint.com/:f:/s/SaraniAssets/EjkN5MJKxstNnYuYg4wExZsBKcvbXqKGIuCqsZRL0MPa7w?e=IffpqF</t>
  </si>
  <si>
    <t>HE | Magnet A4</t>
  </si>
  <si>
    <t>https://saranistudio.sharepoint.com/:f:/s/SaraniAssets/Evvp5syt8NlKu3x6h_651tIB-xSmhJi0-kGGbrySc9gK2g?e=eanFli</t>
  </si>
  <si>
    <t>https://saranistudio-my.sharepoint.com/:b:/g/personal/team_sarani_studio/EQi3l5ZPK7ZAvDYVcqQPSa0BLjgLdqrVAzIX2FxMQX_sCA?e=9gaHFF</t>
  </si>
  <si>
    <t>TRES URGENT_DIRECTE CB DI</t>
  </si>
  <si>
    <t>https://saranistudio.sharepoint.com/:f:/s/SaraniAssets/EgZajInehrxFifPoaPJ4-5gBmKU4v2d4wGVxQkaIM8RXzw?e=BfbSqu</t>
  </si>
  <si>
    <t>F2024-0355</t>
  </si>
  <si>
    <t>https://saranistudio.sharepoint.com/:f:/s/SaraniAssets/Eq5c6z0PoPRPhMz9b_uScU8BaXV5C-LsqKeQN9vcX139hA?e=uRJ9ga</t>
  </si>
  <si>
    <t>MARCOM HE | T&amp;C PS Premium promo</t>
  </si>
  <si>
    <t>https://saranistudio.sharepoint.com/:f:/s/SaraniAssets/EpHwwxgqhI5Oljt17Lf697IBtYjB1btFjmXzue9fCkPNHw?e=CCkE6Y</t>
  </si>
  <si>
    <t>https://saranistudio-my.sharepoint.com/:b:/g/personal/team_sarani_studio/EfG20n0-ZpdJv7g8OvwqCvEBpJApmtVumFpqpiAyJ2EJOA?e=Okk0mn</t>
  </si>
  <si>
    <t>MARCOM HE | Webpop Offres HE</t>
  </si>
  <si>
    <t>https://saranistudio.sharepoint.com/:f:/s/SaraniAssets/EhbO9XzfOCpEj8BayD-357EBr7rP_AXRMU_UkxK6_rmjxg?e=Wx7LoI</t>
  </si>
  <si>
    <t>https://saranistudio-my.sharepoint.com/:b:/g/personal/team_sarani_studio/ES-xqsS-U7dOluwLpPqvmrABbdaSHCABG-5p8eaf_d_1RA?e=IyR6Ad</t>
  </si>
  <si>
    <t>F2024-0374</t>
  </si>
  <si>
    <t>Paid 24/10/2024</t>
  </si>
  <si>
    <t>Decli CREA SUDENTS_ROLL UP</t>
  </si>
  <si>
    <t>https://saranistudio.sharepoint.com/:f:/s/SaraniAssets/EpVspBwu9T5Dnu62V0u8-UUB3RNwbh9SCdYryKyrQFEe1Q?e=5f04xQ</t>
  </si>
  <si>
    <t>https://saranistudio-my.sharepoint.com/:b:/g/personal/team_sarani_studio/EZb6XLaWbcVIhvt3p_3Zi2oBzqdHs8hxQRV652nw5gkE6Q?e=wIXarR</t>
  </si>
  <si>
    <t>F2024-0333</t>
  </si>
  <si>
    <t>Student CB Boulanger formats</t>
  </si>
  <si>
    <t>https://saranistudio.sharepoint.com/:f:/s/SaraniAssets/EkJvrKlxTgFIh7hLhLwT5D4BALVUOMlVKTX5rUvsIhOT4g?e=wXyAPi</t>
  </si>
  <si>
    <t>https://saranistudio-my.sharepoint.com/:b:/g/personal/team_sarani_studio/EeLRdWvkq-pHgw9beHz28w0ByuGopZZ74B5-pOtRH3zGYg?e=bH2ymU</t>
  </si>
  <si>
    <t>TRADE IN A7RV</t>
  </si>
  <si>
    <t>https://saranistudio.sharepoint.com/:f:/s/SaraniAssets/EolyJiuXLQxBt73lhfEQbVQBIKj04CfpxHdGYUgnz6ITag?e=DTCo16</t>
  </si>
  <si>
    <t>https://saranistudio-my.sharepoint.com/:b:/g/personal/team_sarani_studio/EXh4CRIobZ1EqSXZ37LH8H8B47hT7vT-s39bGU34THKxeg?e=fXAdvR</t>
  </si>
  <si>
    <t>F2024-0335</t>
  </si>
  <si>
    <t>OP WELCOME TO ALPHA</t>
  </si>
  <si>
    <t>https://saranistudio.sharepoint.com/:f:/s/SaraniAssets/EuAK_QR69m9Ngyh_AIqX7yABWO9Zm-ysRoxPBof0dr1mfQ?e=UQG1AE</t>
  </si>
  <si>
    <t>https://saranistudio-my.sharepoint.com/:b:/g/personal/team_sarani_studio/ESUr14er0ctCuqjXS5pKcFwBZQMUv24UoqJ089QsXxOx8Q?e=etBxNM</t>
  </si>
  <si>
    <t>F2024-0336</t>
  </si>
  <si>
    <t>PROLONGATION OP A7CII et A7CR</t>
  </si>
  <si>
    <t>https://saranistudio.sharepoint.com/:f:/s/SaraniAssets/EpBgsamiTbFLk-peY6eAUgUB8YCr8jZOec1vUh_6gql4UA?e=bBUtF2</t>
  </si>
  <si>
    <t>https://saranistudio-my.sharepoint.com/:b:/g/personal/team_sarani_studio/ESf7AlpGyshBi8q2UN7qFFQBBY8ZjhlLo1hqROdcyONh6Q?e=xwVbip</t>
  </si>
  <si>
    <t>F2024-0337</t>
  </si>
  <si>
    <t xml:space="preserve"> MARCOM HE | ILV A4 BAR 8 - Mural BDS</t>
  </si>
  <si>
    <t>https://saranistudio.sharepoint.com/:f:/s/SaraniAssets/EiRpfY_yquBNog0NBAVobvIBn3V9qrJAy-Lvp6b5P_XP_Q?e=J1Jmaj</t>
  </si>
  <si>
    <t>https://saranistudio-my.sharepoint.com/:b:/g/personal/team_sarani_studio/EbeybU3vCIRBjVksjjdrm5UBLkUZkQcWkpdpN61_UkEgBw?e=BDfZKX</t>
  </si>
  <si>
    <t>PROLONGATION OP A6700</t>
  </si>
  <si>
    <t>https://saranistudio.sharepoint.com/:f:/s/SaraniAssets/EpbpHP8AG-ZBkDqink_15fMB8jqc7IHw1dev2t__mqdaKQ?e=FBJ8UF</t>
  </si>
  <si>
    <t>https://saranistudio-my.sharepoint.com/:b:/g/personal/team_sarani_studio/EXgQfY4jEmpNlj81H0UGQ4cBrw0hqmidKspYF51ezcVSgw?e=XQ44gZ</t>
  </si>
  <si>
    <t>https://saranistudio.sharepoint.com/:f:/s/SaraniAssets/EtqHfimpfxhGppOD-ZaLOvYBk-hY54gXjNLgP7htjM0n3A?e=RRXAiA</t>
  </si>
  <si>
    <t>F2024-0370</t>
  </si>
  <si>
    <t>NOUVEAUTE ZV</t>
  </si>
  <si>
    <t>https://saranistudio.sharepoint.com/:f:/s/SaraniAssets/Ev9vsoKXkx1IuTFU5dO7qPwBFBqvMMYdOk9qbsAls2q4QA?e=93Gh9n</t>
  </si>
  <si>
    <t>https://saranistudio-my.sharepoint.com/:b:/g/personal/team_sarani_studio/EV2YjuOuYO5FlGOq-alAfjQB_mWQAzauCgmG4xmaIMIA9A?e=bAXt3F</t>
  </si>
  <si>
    <t>F2024-0334</t>
  </si>
  <si>
    <t>F2024-0313</t>
  </si>
  <si>
    <t>https://saranistudio.sharepoint.com/:f:/s/SaraniAssets/EoXaxbPJpHVLp15kcjeVvngBduoPc8biQSRCNO4CQOLPzQ?e=cap6Fg</t>
  </si>
  <si>
    <t>F2024-0371</t>
  </si>
  <si>
    <t>https://saranistudio.sharepoint.com/:f:/s/SaraniAssets/Ehw1jfO_jvZKt_Z30_gShkYBxoCZzKDb3CLVsmsr2aQrGg?e=xtWtHR</t>
  </si>
  <si>
    <t>https://saranistudio-my.sharepoint.com/:b:/g/personal/team_sarani_studio/EX-NIXOQLjZDue0jxyrxdcgBp72NBICObQhicC5pCYDaMw?e=p5l8hF</t>
  </si>
  <si>
    <t xml:space="preserve">4200673779	</t>
  </si>
  <si>
    <t>F2024-0663</t>
  </si>
  <si>
    <t>Paid 04/02/2025</t>
  </si>
  <si>
    <t>https://saranistudio.sharepoint.com/:f:/s/SaraniAssets/EkHdbaOf_mtHmlvprjN-kFkBEty88UphCbmtw3vE9bh1uQ?e=nu7lfZ</t>
  </si>
  <si>
    <t>https://saranistudio-my.sharepoint.com/:b:/g/personal/team_sarani_studio/EU5haV2IanlHj8Ck_XLe4k8B7ijwc9YXNUbEt2pPRmHJ0A?e=crFont</t>
  </si>
  <si>
    <t>F2024-0560</t>
  </si>
  <si>
    <t>Paid 03/01/2025</t>
  </si>
  <si>
    <t>https://saranistudio.sharepoint.com/:f:/s/SaraniAssets/Ei-Vlc8DKbtEqeHCv12wBhEBHr4hwqDfMhy4qgQiFi5o7A?e=B6uQn1</t>
  </si>
  <si>
    <t>F2024-0372</t>
  </si>
  <si>
    <t>https://saranistudio.sharepoint.com/:f:/s/SaraniAssets/EnDGwhOIgKpKmvhf95Wcy5IBbYZioYn5VfY1L6G8SIbKrQ?e=I0DCKj</t>
  </si>
  <si>
    <t>F2024-0373</t>
  </si>
  <si>
    <t>HE | ILV Theatre U</t>
  </si>
  <si>
    <t>https://saranistudio.sharepoint.com/:f:/s/SaraniAssets/El-xdUxsSoRLkS_yGY722hQB_ol9-FafSLAm4YRKbMZDOw?e=cTPv99</t>
  </si>
  <si>
    <t>F2024-0447</t>
  </si>
  <si>
    <t>DI | Print Image et Nature Août</t>
  </si>
  <si>
    <t>https://saranistudio.sharepoint.com/:f:/s/SaraniAssets/EsZamTc6Ug1Agjjy8-wlKaQBsss-8Ktl8g26mLyNwp_Jmw?e=6lczzk</t>
  </si>
  <si>
    <t>F2024-0354</t>
  </si>
  <si>
    <t xml:space="preserve">Inlay Darty Custom </t>
  </si>
  <si>
    <t>https://saranistudio.sharepoint.com/:f:/s/SaraniAssets/EsVUeEMY1-pHmuV_uTBInBcBxIaFln7K81JfhoYxxrkQHg?e=Vmwsl6</t>
  </si>
  <si>
    <t>https://saranistudio-my.sharepoint.com/:b:/g/personal/team_sarani_studio/EREAGX4HaJ9LlO6tP-c7a1EBG7GEDiuKCCDrUgK4yc3_1A?e=iw52tY</t>
  </si>
  <si>
    <t>F2024-0430</t>
  </si>
  <si>
    <t>Paid 13/12/2024</t>
  </si>
  <si>
    <t>Crea OFFLINE ZV E10 II</t>
  </si>
  <si>
    <t>https://saranistudio.sharepoint.com/:f:/s/SaraniAssets/Es3F2UBug-dNnBJo23Q-QeMBR7tDh3g1U8hVNfX1-3KkeA?e=d6QiDw</t>
  </si>
  <si>
    <t>https://saranistudio-my.sharepoint.com/:b:/g/personal/team_sarani_studio/ET8tBzkYkBRKjRFuoqNRv1ABsUUPbhOcmnGmwcv9rJG61w?e=ESIRId</t>
  </si>
  <si>
    <t>F2024-0458</t>
  </si>
  <si>
    <t>Paid 16/11/2024</t>
  </si>
  <si>
    <t>https://saranistudio.sharepoint.com/:f:/s/SaraniAssets/Et3iXbm3KSxPmJBToc1U0p8Bsfg_pcL5p4IzC5Eg2Z4ecw?e=TnRBQT</t>
  </si>
  <si>
    <t>F2024-0432</t>
  </si>
  <si>
    <t>PLV ULT FIELD 7</t>
  </si>
  <si>
    <t>Anissa AZEDIOU</t>
  </si>
  <si>
    <t>20240729_ULT FIELD 7_3 PLV</t>
  </si>
  <si>
    <t>https://saranistudio-my.sharepoint.com/:b:/g/personal/team_sarani_studio/Ee6BRtDNh_9DvK32aI06QvwBlo8ed0CoAIMO8Jo2XM7VZw?e=VzE19h</t>
  </si>
  <si>
    <t>F2024-0468</t>
  </si>
  <si>
    <t>Paid 26/11/2024</t>
  </si>
  <si>
    <t>BOULANGER | 15% sur le 65A95L</t>
  </si>
  <si>
    <t>https://saranistudio.sharepoint.com/:f:/s/SaraniAssets/EmLovRNhETxAmk2doaBZE2oB7IAQr6aroTqtZs1dZNEoCg?e=I1dhYA</t>
  </si>
  <si>
    <t>F2024-0441</t>
  </si>
  <si>
    <t xml:space="preserve">DI | Catalogue Camara </t>
  </si>
  <si>
    <t>https://saranistudio.sharepoint.com/:f:/s/SaraniAssets/Ehh_kaWTCf9IoLAp_rtpc8ABSnWOEC0tTPhpXphTtWIuJw?e=sBdDuU</t>
  </si>
  <si>
    <t>Quote Proposal SFR - DI Catalogue Camara.pdf</t>
  </si>
  <si>
    <t>BOULANGER | Offre de reprise A7M4</t>
  </si>
  <si>
    <t>https://saranistudio.sharepoint.com/:f:/s/SaraniAssets/Enu7Fy8gbalChU1-KQ0eK88Bu0jqy09lBNy0duUZLw_0fg?e=cn2aOk</t>
  </si>
  <si>
    <t>F2024-0442</t>
  </si>
  <si>
    <t>HE | Webpop Offres HE</t>
  </si>
  <si>
    <t>https://saranistudio.sharepoint.com/:f:/s/SaraniAssets/EhbO9XzfOCpEj8BayD-357EBr7rP_AXRMU_UkxK6_rmjxg?e=rNibsF</t>
  </si>
  <si>
    <t>BOULANGER | Bannières Back To School</t>
  </si>
  <si>
    <t>20240805_Boulanger_Bannières Back To School</t>
  </si>
  <si>
    <t>MARCOM HE | Screenfills W800</t>
  </si>
  <si>
    <t>20240806_MARCOM HE Screenfills W800</t>
  </si>
  <si>
    <t>MARCOM HAV | Hang tag T-U</t>
  </si>
  <si>
    <t>https://saranistudio.sharepoint.com/:f:/s/SaraniAssets/EhgOVNUvyeZJuwCGlcsSD3QBOZRmvFZpnnrKl_oHOhnROg?e=OH7dsH</t>
  </si>
  <si>
    <t>Brief gondole high power Boulanger</t>
  </si>
  <si>
    <t>20240808_Brief gondole high power Boulanger</t>
  </si>
  <si>
    <t>Quote Proposal SFR - Brief gondole high power Boulanger.pdf</t>
  </si>
  <si>
    <t>F2024-0467</t>
  </si>
  <si>
    <t>MARCOM HE / PE | RAYON CASQUES TV - A4 MEG</t>
  </si>
  <si>
    <t>20240808_MARCOM HE PE _A4 MEG</t>
  </si>
  <si>
    <t>Quote Proposal SFR - MARCOM HE PE RAYON CASQUES TV.pdf</t>
  </si>
  <si>
    <t>F2024-0546</t>
  </si>
  <si>
    <t>BANNIERES D2C CTL PRODUCT</t>
  </si>
  <si>
    <t>20240808_BANNIERES D2C CTL PRODUCT</t>
  </si>
  <si>
    <t>Quote Proposal SFR - BANNIERES D2C CTL PRODUCT.pdf</t>
  </si>
  <si>
    <t>POS OFFLINE WF-510</t>
  </si>
  <si>
    <t>https://saranistudio.sharepoint.com/:f:/s/SaraniAssets/EldybPEP3DpJum6hkhNYDq0BgzMZ4YB8EhK4dDHZL253Mg?e=fx2IyE</t>
  </si>
  <si>
    <t>Quote Proposal SFR - POS OFFLINE WF-510.pdf</t>
  </si>
  <si>
    <t>INLAY INZONE UPDATE</t>
  </si>
  <si>
    <t>https://saranistudio.sharepoint.com/:f:/s/SaraniAssets/Ei0Vkdw8IxtEvUoz4RNKaQIBOeXZD-vHoc1HZKp2544PVQ?e=gCIelM</t>
  </si>
  <si>
    <t>Quote Proposal SFR - INLAY INZONE UPDATE.pdf</t>
  </si>
  <si>
    <t>F2024-0466</t>
  </si>
  <si>
    <t>A4 couverture magasine Seminaire</t>
  </si>
  <si>
    <t>https://saranistudio.sharepoint.com/:f:/s/SaraniAssets/EjbsC7Mh3_ZLuJnQgIYtsdMBQoquw2O3m9mvLmVhLNZTug?e=eLNVyr</t>
  </si>
  <si>
    <t>Quote Proposal SFR - A4 couverture magasine Seminaire.pdf</t>
  </si>
  <si>
    <t>F2024-0470</t>
  </si>
  <si>
    <t>Vectorisation image canapé 6 place</t>
  </si>
  <si>
    <t>https://saranistudio.sharepoint.com/:f:/s/SaraniAssets/EqNRQXPIGLFMnEtYxw55MrgB6tiP3sItFi9I5Xj8teqxgg?e=a4gk1G</t>
  </si>
  <si>
    <t>Quote Proposal SFR - Vectorisation image canapé 6 place.pdf</t>
  </si>
  <si>
    <t>20240813_Panneau_Événement interne Sony</t>
  </si>
  <si>
    <t>F2024-0364</t>
  </si>
  <si>
    <t>Gondole rayon casque TV Boulanger</t>
  </si>
  <si>
    <t>20240820_Gondole rayon casque TV Boulanger</t>
  </si>
  <si>
    <t>Quote Proposal SFR - Gondole rayon casque TV Boulanger.pdf</t>
  </si>
  <si>
    <t>MARCOM DI | Print Chasseur d'images septembre</t>
  </si>
  <si>
    <t>https://saranistudio.sharepoint.com/:f:/s/SaraniAssets/EvmV9NOmpE1Gp73t6q6TKjsByUPz29qyu6IwEKEftD8Caw?e=fm3Imy</t>
  </si>
  <si>
    <t>Quote Proposal SFR - MARCOM DI Print Chasseur d'images.pdf</t>
  </si>
  <si>
    <t>F2025-0071</t>
  </si>
  <si>
    <t>Paid 28/04/2025</t>
  </si>
  <si>
    <t xml:space="preserve">BOULANGER | 65B7 / bundle Bravia U offert </t>
  </si>
  <si>
    <t>https://saranistudio.sharepoint.com/:f:/s/SaraniAssets/EtT4NUZpbSZMmx7tPUeLB84BZ8gHWzq5cD8naTWFMi-KDA?e=M1gw9I</t>
  </si>
  <si>
    <t>F2024-0661</t>
  </si>
  <si>
    <t>Nouveau VX8040_banners URGENTES</t>
  </si>
  <si>
    <t>https://saranistudio.sharepoint.com/:f:/s/SaraniAssets/EjYhLXuA4fZIv1hplPTjm4wBK-OSZZazMtcy_pyV6Yq1pQ?e=pdaLri</t>
  </si>
  <si>
    <t>Quote Proposal SFR - Nouveau VX8040_banners URGENTES.pdf</t>
  </si>
  <si>
    <t>F2024-0456</t>
  </si>
  <si>
    <t>20240828_Visuel pour stand Fnac</t>
  </si>
  <si>
    <t>Quote Proposal SFR - Visuel pour stand Fnac.pdf</t>
  </si>
  <si>
    <t>F2025-0085</t>
  </si>
  <si>
    <t>MARCOM HAV | Chevalet A4 Synergie BRAVIA</t>
  </si>
  <si>
    <t>20240830_MARCOM HAV Chevalet A4 Synergie BRAVIA</t>
  </si>
  <si>
    <t>Quote Proposal SFR - MARCOM HAV Chevalet A4 Synergie BRAVIA.pdf</t>
  </si>
  <si>
    <t>F2024-0550</t>
  </si>
  <si>
    <t>MARCOM HE | Créa Muraux Boulanger</t>
  </si>
  <si>
    <t>https://saranistudio.sharepoint.com/:f:/s/SaraniAssets/Ejd4EdnGdndEsE7uQDtJnCkBU_l8bxZiTow4LsziqyG6aQ?e=JS1kr3</t>
  </si>
  <si>
    <t>Quote Proposal SFR - MARCOM HE Créa Muraux Boulanger.pdf</t>
  </si>
  <si>
    <t>Hangtag WH-CH520</t>
  </si>
  <si>
    <t>20240902_2 Hangtags WH-CH520</t>
  </si>
  <si>
    <t>Quote Proposal SFR - Hangtag WH-CH520.pdf</t>
  </si>
  <si>
    <t>F2024-0545</t>
  </si>
  <si>
    <t xml:space="preserve">BOULANGER / ULT WEAR / BRAVIA </t>
  </si>
  <si>
    <t>20240902_BOULANGER_ULT WEAR_BRAVIA</t>
  </si>
  <si>
    <t>F2024-0657</t>
  </si>
  <si>
    <t>MARCOM HAV | A4 prix gamme HAV</t>
  </si>
  <si>
    <t>https://saranistudio.sharepoint.com/:f:/s/SaraniAssets/Ej8owhzrSclNvjHSokPxMiwBSZ_-j_e2xbEcekama5o4qw?e=jL125F</t>
  </si>
  <si>
    <t>Quote Proposal SFR - MARCOM HAV A4 prix gamme HAV.pdf</t>
  </si>
  <si>
    <t>CUBE POS WF-510</t>
  </si>
  <si>
    <t>Batch 06</t>
  </si>
  <si>
    <t>Quote Proposal SFR - CUBE POS WF-510.pdf</t>
  </si>
  <si>
    <t>F2024-0547</t>
  </si>
  <si>
    <t>Justine Rodriguez</t>
  </si>
  <si>
    <t>20240906_OP LENSES BACK TO SCHOOL</t>
  </si>
  <si>
    <t>Quote Proposal SFR - OP LENSES BACK TO SCHOOL.pdf</t>
  </si>
  <si>
    <t>F2024-0457</t>
  </si>
  <si>
    <t>20240729_OP IP&amp;S AOUT_Focales Fixes et TRADE IN</t>
  </si>
  <si>
    <t>Quote Proposal SFR - OP IP&amp;S AOUT_Focales Fixes et TRADE IN.pdf</t>
  </si>
  <si>
    <t>F2024-0459</t>
  </si>
  <si>
    <t>SFR - Brief chevalet WF-1000XM5 New affordable</t>
  </si>
  <si>
    <t>20240909_SFR - Brief chevalet WF-1000XM5 New affordable</t>
  </si>
  <si>
    <t>Quote Proposal SFR - Brief chevalet WF-1000XM5 New affordable.pdf</t>
  </si>
  <si>
    <t>F2024-0469</t>
  </si>
  <si>
    <t>Fiche Produit LINKBUDS SPEAKER</t>
  </si>
  <si>
    <t>https://saranistudio.sharepoint.com/:f:/s/SaraniAssets/Ei8My_eLX_JNnjtvmKjZR8YBTQdrs8q0DOgqhSVsIMvYKQ?e=tnfVHs</t>
  </si>
  <si>
    <t>Quote Proposal SFR - Fiche Produit LINKBUDS SPEAKER.pdf</t>
  </si>
  <si>
    <t>F2024-0308</t>
  </si>
  <si>
    <t>Paid 03/09/2025</t>
  </si>
  <si>
    <t>SDLP - Leaflet Micros</t>
  </si>
  <si>
    <t>https://saranistudio.sharepoint.com/:f:/s/SaraniAssets/Eg_1gdvbg8xNh-v1HEaNdt8BOi0iRVVF2ySuu1eddPTpNw?e=9RCr6j</t>
  </si>
  <si>
    <t>Quote Proposal SFR - SDLP - Leaflet Vlogging.pdf</t>
  </si>
  <si>
    <t>F2024-0460</t>
  </si>
  <si>
    <t>F2024-0464</t>
  </si>
  <si>
    <t>MEDIA DI | Print septembre</t>
  </si>
  <si>
    <t>20240911_MEDIA DI Print septembre</t>
  </si>
  <si>
    <t>Quote Proposal SFR - MEDIA DI Print septembre.pdf</t>
  </si>
  <si>
    <t>MARCOM HAV | Inserts Refresh</t>
  </si>
  <si>
    <t>https://saranistudio.sharepoint.com/:f:/s/SaraniAssets/EjyaFolLqoRGntjEVPLPkzgB9JieYhVvm3yJFfJSg3OWHg?e=kp2smJ</t>
  </si>
  <si>
    <t>Quote Proposal SFR - HAV Inserts Refresh.pdf</t>
  </si>
  <si>
    <t>MARCOM HE | Adaptation Inscreen stickers pour Muraux Boulanger</t>
  </si>
  <si>
    <t>https://saranistudio.sharepoint.com/:f:/s/SaraniAssets/Eh2lwDQdc35DnA5Y6B9hKjoB084ACf9Ql6iUIvjUX0z8ig?e=7jwlfp</t>
  </si>
  <si>
    <t>Quote Proposal SFR - Adaptation Inscreen stickers pour Muraux Boulanger.pdf</t>
  </si>
  <si>
    <t>BOULANGER [ Offres Spéciales Barre de Son</t>
  </si>
  <si>
    <t>https://saranistudio.sharepoint.com/:f:/s/SaraniAssets/Emf5cUy6FzdCi19JvN-Q38gBNHhnGQ4JqisrLoDalQWRQA?e=N4mIUg</t>
  </si>
  <si>
    <t>BOULANGER | Visuels WH1000XM4 avec awards</t>
  </si>
  <si>
    <t>20240912_BOULANGER - Visuels WH1000XM4 avec awards</t>
  </si>
  <si>
    <t>F2025-0135</t>
  </si>
  <si>
    <t>BOULANGER | Offres 70 ans</t>
  </si>
  <si>
    <t>20240916_BOULANGER Offres 70 ans</t>
  </si>
  <si>
    <t>Brief créa SDLP - Mobile</t>
  </si>
  <si>
    <t>MOBILE</t>
  </si>
  <si>
    <t>20240917-Brief créa SDLP Mobile</t>
  </si>
  <si>
    <t>Quote Proposal SFR - SDLP - Mobile Xperia.pdf</t>
  </si>
  <si>
    <t>F2024-0465</t>
  </si>
  <si>
    <t>SDLP - LEAFLET OPTIQUES</t>
  </si>
  <si>
    <t>https://saranistudio.sharepoint.com/:f:/s/SaraniAssets/EjW3dul14qFCsFyRRC4mSJcBgsD-6-Fh4n9Z-kytoU_DwQ?e=N79mGH</t>
  </si>
  <si>
    <t>Quote Proposal SFR - SDLP - LEAFLET OPTIQUES.pdf</t>
  </si>
  <si>
    <t>F2024-0527</t>
  </si>
  <si>
    <t>Fiches produits InZone</t>
  </si>
  <si>
    <t>20240918_Fiches produits InZone</t>
  </si>
  <si>
    <t>Quote Proposal SFR - Fiches produits InZone.pdf</t>
  </si>
  <si>
    <t>F2024-0548</t>
  </si>
  <si>
    <t>LANCEMENT WH-1000XM5 PINK - 18 SEPTEMBRE</t>
  </si>
  <si>
    <t>20240919_LANCEMENT WH-1000XM5 PINK - 18 SEPTEMBRE</t>
  </si>
  <si>
    <t>FICHES PRODUITS LINKBUDS OPEN / FIT</t>
  </si>
  <si>
    <t>https://saranistudio.sharepoint.com/:f:/s/SaraniAssets/EutEnILkHzpIpoHpkMHUzwMBgnYzIJfkJo73P93RRqJTPA?e=RdrUJN</t>
  </si>
  <si>
    <t>Quote Proposal SFR - FICHES PRODUITS LINKBUDS OPEN FIT.pdf</t>
  </si>
  <si>
    <t>F2024-0623</t>
  </si>
  <si>
    <t>Paid 21/01/2025</t>
  </si>
  <si>
    <t>SDPL - LEAFLET HYBRIDES</t>
  </si>
  <si>
    <t>20240920_SDPL - LEAFLET HYBRIDES</t>
  </si>
  <si>
    <t>Quote Proposal SFR - SDPL - LEAFLET HYBRIDES.pdf</t>
  </si>
  <si>
    <t>F2024-0526</t>
  </si>
  <si>
    <t>SDPL Sticker mural - Adaptation OP STUDENTS</t>
  </si>
  <si>
    <t>20240923_SDPL Sticker mural Adaptation OP STUDENTS</t>
  </si>
  <si>
    <t>Quote Proposal SFR - SDPL Sticker mural - Adaptation OP STUDENTS.pdf</t>
  </si>
  <si>
    <t>F2024-0528</t>
  </si>
  <si>
    <t>Brief Wrappers BDS - Mural Boulanger</t>
  </si>
  <si>
    <t>Luna FABRESSE</t>
  </si>
  <si>
    <t>20240920_Brief Wrappers BDS - Mural Boulanger</t>
  </si>
  <si>
    <t>Quote Proposal SFR -Brief Wrappers BDS - Mural Boulanger.pdf</t>
  </si>
  <si>
    <t>F2025-0137</t>
  </si>
  <si>
    <t>WF-1000XM5 - WH-1000XM5 : A4/A5 New wall</t>
  </si>
  <si>
    <t>WF-1000XM5 WH-1000XM5 - A4 A5 New wall</t>
  </si>
  <si>
    <t>Quote Proposal SFR - WF-1000XM5 - WH-1000XM5 - A4 A5 New wall.pdf</t>
  </si>
  <si>
    <t>BOULANGER | Newsletter 1000XM5</t>
  </si>
  <si>
    <t>20240923_BOULANGER Newsletter 1000XM5</t>
  </si>
  <si>
    <t>F2024-0655</t>
  </si>
  <si>
    <t>SDLP – ALPHA COUNTERMAT</t>
  </si>
  <si>
    <t>https://saranistudio.sharepoint.com/:f:/s/SaraniAssets/Eg1AqwLtsSxEtxC3D3tbze4BI7p-gWGwIWY5ZDoPdD6Ejw?e=nkl2ws</t>
  </si>
  <si>
    <t>Quote Proposal SFR - SDLP – ALPHA COUNTERMAT.pdf</t>
  </si>
  <si>
    <t>F2024-0525</t>
  </si>
  <si>
    <t>Paid 23/2/2024</t>
  </si>
  <si>
    <t xml:space="preserve">BOULANGER | 70 Ans </t>
  </si>
  <si>
    <t>20240924_BOULANGER 70 Ans Audio</t>
  </si>
  <si>
    <t>BANNIERES LANCEMENT INZONE</t>
  </si>
  <si>
    <t>20230925_BANNIERES LANCEMENT INZONE</t>
  </si>
  <si>
    <t>Quote Proposal SFR -BANNIERES LANCEMENT INZONE.pdf</t>
  </si>
  <si>
    <t>2 créas OP WBW</t>
  </si>
  <si>
    <t>https://saranistudio.sharepoint.com/:f:/s/SaraniAssets/EqEhsE2mkfJMqaIjW-T2toEB466UQWl0F2C_7L06CuErWA?e=VLNOGN</t>
  </si>
  <si>
    <t>Quote Proposal SFR - 2 créas OP WBW.pdf</t>
  </si>
  <si>
    <t>F2024-0626</t>
  </si>
  <si>
    <t>WHM5 ROSE - Bannières DSP AMAZON</t>
  </si>
  <si>
    <t>Mylène PELLET</t>
  </si>
  <si>
    <t>20240926_WHM5 ROSE - Bannières DSP AMAZON</t>
  </si>
  <si>
    <t>JPG 210 x 297 (type A4)</t>
  </si>
  <si>
    <t>20240927_JPG 210 x 297 (type A4)</t>
  </si>
  <si>
    <t>Quote Proposal SFR - JPG 210 x 297 (type A4).pdf</t>
  </si>
  <si>
    <t>F2024-0627</t>
  </si>
  <si>
    <t>Créa 3D pour print</t>
  </si>
  <si>
    <t>https://saranistudio.sharepoint.com/:f:/s/SaraniAssets/EnZFRdpkllFAsNlDSEvk9eQB-3Wehef1ZyyrBYHOq5wkvw?e=hNbhht</t>
  </si>
  <si>
    <t>Quote Proposal SFR - créa 3D pour print.pdf</t>
  </si>
  <si>
    <t xml:space="preserve">BOULANGER Banner | 70 Ans </t>
  </si>
  <si>
    <t>20240930_BOULANGER Banner 70 Ans Audio</t>
  </si>
  <si>
    <t>BOULANGER | Updates Offre de reprise ZV1F</t>
  </si>
  <si>
    <t>BOULANGER | Prio Nouveauté LinkBuds Fit</t>
  </si>
  <si>
    <t>20241001_BOULANGER Prio Nouveauté LinkBuds Fit</t>
  </si>
  <si>
    <t>Quote Proposal SFR -BOULANGER Prio Nouveauté LinkBuds Fit.pdf</t>
  </si>
  <si>
    <t>F2024-0544</t>
  </si>
  <si>
    <t>Resize image</t>
  </si>
  <si>
    <t>20241004_Resize image</t>
  </si>
  <si>
    <t>Quote Proposal SFR - Resize image.pdf</t>
  </si>
  <si>
    <t>F2025-0086</t>
  </si>
  <si>
    <t>LinkBuds French 15 sec format 9x16</t>
  </si>
  <si>
    <t>Quote Proposal SFR -LinkBuds French 15 sec format 9x16.pdf</t>
  </si>
  <si>
    <t>[URGENT] SALON BOULANGER - Visuel Linkbuds Open</t>
  </si>
  <si>
    <t>20241003_SALON BOULANGER - Visuel Linkbuds Open</t>
  </si>
  <si>
    <t>Quote Proposal SFR -SALON BOULANGER - Visuel Linkbuds Open.pdf</t>
  </si>
  <si>
    <t>FNAC DARTY - STICKER NOUVEAU XM5 PINK</t>
  </si>
  <si>
    <t>20231003_FNAC DARTY - STICKER NOUVEAU XM5 PINK</t>
  </si>
  <si>
    <t>Quote Proposal SFR -FNAC DARTY - STICKER NOUVEAU XM5 PINK.pdf</t>
  </si>
  <si>
    <t>POS CASHBACK LINKBUDS FIT OPEN</t>
  </si>
  <si>
    <t>20241003_POS CASHBACK LINKBUDS FIT OPEN</t>
  </si>
  <si>
    <t>Quote Proposal SFR -POS CASHBACK LINKBUDS FIT OPEN.pdf</t>
  </si>
  <si>
    <t>BRIEF DSP AMAZON LINKBUDS FIT</t>
  </si>
  <si>
    <t>https://saranistudio.sharepoint.com/:f:/s/SaraniAssets/Elvk_d67HbpFmu4So3DGnJUBfoG9zuJ_OcUkQZHkF6v1FQ?e=esHDMq</t>
  </si>
  <si>
    <t>F2024-0656</t>
  </si>
  <si>
    <t>BOULANGER | Theatre U Gaming</t>
  </si>
  <si>
    <t>https://saranistudio.sharepoint.com/:f:/s/SaraniAssets/ElgLYBysTTdHqQShEo4sypIBEVskwjCqz9d_tRCQCH_qwA?e=0B74NB</t>
  </si>
  <si>
    <t>F2024-0658</t>
  </si>
  <si>
    <t>Paid 05/03/2025</t>
  </si>
  <si>
    <t>Bâche pour la Paris Game Week</t>
  </si>
  <si>
    <t>https://saranistudio.sharepoint.com/:f:/s/SaraniAssets/EsIlt9AFW8VNsWDRW72L-bcB3AOFWg1sFPDnt5Kcw83W0A?e=mg5NsZ</t>
  </si>
  <si>
    <t>Quote Proposal SFR -Bâche pour la Paris Game Week.pdf</t>
  </si>
  <si>
    <t xml:space="preserve">PGW - Topper écran INZONE M9II M10S - Anissa </t>
  </si>
  <si>
    <t>20240410_Topper écran INZONE M9II M10S</t>
  </si>
  <si>
    <t>Quote Proposal SFR -Topper écran INZONE M9II M10S.pdf</t>
  </si>
  <si>
    <t>F2024-0543</t>
  </si>
  <si>
    <t>MEDIA DI | Catalogue Phox - hiver</t>
  </si>
  <si>
    <t>https://saranistudio.sharepoint.com/:f:/s/SaraniAssets/Ehi4UsNOgsFEl_7mf-WuEuwBzmFIS3xCK7Dspk09vfuHDQ?e=eSbIgk</t>
  </si>
  <si>
    <t>Quote Proposal SFR - MEDIA DI Catalogue Phox - hiver.pdf</t>
  </si>
  <si>
    <t>Brief Paris Games Week - D2C</t>
  </si>
  <si>
    <t>https://saranistudio.sharepoint.com/:f:/s/SaraniAssets/Ev6BQewJ7IVEoyVlw6kD0kABX-Esbi2lG8oHAIeoafMf8g?e=008UVj</t>
  </si>
  <si>
    <t>Quote Proposal SFR - D2C Paris Games Week.pdf</t>
  </si>
  <si>
    <t>MEDIA DI | FY24 Always ON DI - Flight 2</t>
  </si>
  <si>
    <t>Camille Leriche</t>
  </si>
  <si>
    <t>20241008_MEDIA DI FY24 Always ON DI - Flight 2</t>
  </si>
  <si>
    <t>Quote Proposal SFR - FY24 Always ON DI - Flight 2 (1).pdf</t>
  </si>
  <si>
    <t>Backdrop Bull Boulanger</t>
  </si>
  <si>
    <t>20240910_Backdrop Bull Boulanger</t>
  </si>
  <si>
    <t>Quote Proposal SFR -Backdrop Bull Boulanger.pdf</t>
  </si>
  <si>
    <t>HAV x Sony Pictures Core - Asset &amp; Modalités A4</t>
  </si>
  <si>
    <t>Marcom HAV</t>
  </si>
  <si>
    <t>20241009_HAV x Sony Pictures Core - Asset &amp; Modalités A4</t>
  </si>
  <si>
    <t>Quote Proposal SFR - Campaigns assets.pdf</t>
  </si>
  <si>
    <t>F2024-0694</t>
  </si>
  <si>
    <t>Paid 19/02/2025</t>
  </si>
  <si>
    <t>PGW - Brief MEG  Moniteur - Anissa</t>
  </si>
  <si>
    <t>20241010_PGW - Brief MEG Moniteur</t>
  </si>
  <si>
    <t>Quote Proposal SFR - PGW - Brief MEG Moniteur .pdf</t>
  </si>
  <si>
    <t>Créas OP Winter FY24</t>
  </si>
  <si>
    <t>20241010_Créas OP Winter FY24</t>
  </si>
  <si>
    <t>Quote Proposal SFR - Créas OP Winter FY24.pdf</t>
  </si>
  <si>
    <t>F2024-0654</t>
  </si>
  <si>
    <t>Vitrophanie Miss Num A7R5</t>
  </si>
  <si>
    <t>https://saranistudio.sharepoint.com/:f:/s/SaraniAssets/Eg-Cv1a3jVBAkTk-QhHc328BJNjwl3oiS1v-8jD_yX-n9g?e=wFCzie</t>
  </si>
  <si>
    <t>Quote Proposal SFR - Vitrophanie Miss Num A7R5.pdf</t>
  </si>
  <si>
    <t>F2024-0691</t>
  </si>
  <si>
    <t>Extra POS CASHBACK LINKBUDS FIT OPEN</t>
  </si>
  <si>
    <t xml:space="preserve">SONY | Habillage Boulanger Portet-sur-Garonne </t>
  </si>
  <si>
    <t>Luna Fabresse</t>
  </si>
  <si>
    <t>SONY - Habillage Boulanger Portet-sur-Garonne</t>
  </si>
  <si>
    <t>Quote Proposal SFR - Habillage Boulanger Portet-sur-Garonne.pdf</t>
  </si>
  <si>
    <t>F2024-0639</t>
  </si>
  <si>
    <t>Paid 24/01/2025</t>
  </si>
  <si>
    <t>Visu WBW</t>
  </si>
  <si>
    <t>20241015_Visu WBW</t>
  </si>
  <si>
    <t>Quote Proposal SFR - Visu WBW.pdf</t>
  </si>
  <si>
    <t>F2024-0645</t>
  </si>
  <si>
    <t>Brief HE Xmas cashback</t>
  </si>
  <si>
    <t>https://saranistudio.sharepoint.com/:f:/s/SaraniAssets/Eu01YgsQDwdJgQ-l3MrBX2gByVTEOJiBsML4oWLsC1eqpg?e=qksiAv</t>
  </si>
  <si>
    <t>F2024-0701</t>
  </si>
  <si>
    <t>Sony - Update Vidéo PGW2023 to 2024</t>
  </si>
  <si>
    <t xml:space="preserve">Maxime Fenech </t>
  </si>
  <si>
    <t>20241016_Sony - Update Vidéo PGW2023 to 2024</t>
  </si>
  <si>
    <t>Quote Proposal SFR - Sony - Update Vidéo PGW2023 to 2024.pdf</t>
  </si>
  <si>
    <t>PATACOS LINKBUDS FIT &amp; OPEN - STICKER TAKO OPEN</t>
  </si>
  <si>
    <t>https://saranistudio.sharepoint.com/:f:/s/SaraniAssets/Es1-v4N7vzBPrm788Bdc5BoBinWSl3VAyYqTpuZNyK71Yw?e=UZhxDl</t>
  </si>
  <si>
    <t>SONY | A4 Mural BDS</t>
  </si>
  <si>
    <t>20241016_SONY A3 Mural BDS</t>
  </si>
  <si>
    <t>DI | Brief print DI - Parutions Novembre 2024</t>
  </si>
  <si>
    <t>https://saranistudio.sharepoint.com/:f:/s/SaraniAssets/EhMZ_sSNlcZKtQ_s8FYlzV4B6siHz9Dkcrntlc0t1XWg8w?e=Okwpu8</t>
  </si>
  <si>
    <t>Quote Proposal SFR - Brief print DI - Parutions Novembre 2024.pdf</t>
  </si>
  <si>
    <t>HE | Assets campagne BF HE</t>
  </si>
  <si>
    <t>https://saranistudio.sharepoint.com/:f:/s/SaraniAssets/EviNQ_ms3w9Cs3G-sfBv_7oBnF5as2iEI4NMP8h87qHZ9Q?e=zw61PL</t>
  </si>
  <si>
    <t>F2024-0630</t>
  </si>
  <si>
    <t>VIDEO Jeu Concours - Social content</t>
  </si>
  <si>
    <t>https://saranistudio.sharepoint.com/:f:/s/SaraniAssets/EguF_RuJfAhHqZQ8udstFnsBGhKAj_gaj8cwxyZcZ88DoQ?e=9PydOm</t>
  </si>
  <si>
    <t>Quote Proposal SFR -VIDEO Jeu Concours - Social content.pdf</t>
  </si>
  <si>
    <t>WH/WF-1000XM5 patacos adaptations</t>
  </si>
  <si>
    <t>https://saranistudio.sharepoint.com/:f:/s/SaraniAssets/ElYE32HIZgFKpCfvnV7Ki00B9Pae6cx9MBZr3fZBtex8qg?e=hpT9NH</t>
  </si>
  <si>
    <t>Brief boite vide WH-1000XM4</t>
  </si>
  <si>
    <t>20241022_Brief boite vide WH-1000XM4</t>
  </si>
  <si>
    <t>Quote Proposal SFR - Brief boite vide WH-1000XM4.pdf</t>
  </si>
  <si>
    <t>F2024-0674</t>
  </si>
  <si>
    <t>Paid 12/02/2025</t>
  </si>
  <si>
    <t>Visuels Animation Fnac Airport - ULT Music</t>
  </si>
  <si>
    <t>Orianne HOCHWELKER</t>
  </si>
  <si>
    <t>20241025_Visuels Animation Fnac Airport - ULT Music</t>
  </si>
  <si>
    <t>Quote Proposal SFR - Visuels Animation Fnac Airport - ULT Music.pdf</t>
  </si>
  <si>
    <t>F2024-0624</t>
  </si>
  <si>
    <t>Bannière ZARA LARSON</t>
  </si>
  <si>
    <t>https://saranistudio.sharepoint.com/:f:/s/SaraniAssets/Es_QKIEnFjpGhIQ2QLZ5O1UBFUvLfzdq9O_lSh3BnjwzeQ?e=fIn5FX</t>
  </si>
  <si>
    <t>MARCOM TV | Brief toppers RSE</t>
  </si>
  <si>
    <t>20241025_MARCOM TV l Brief toppers RSE</t>
  </si>
  <si>
    <t>Quote Proposal SFR - MARCOM TV Brief toppers RSE.pdf</t>
  </si>
  <si>
    <t>F2024-0638</t>
  </si>
  <si>
    <t>SONY l BOULANGER | BF Audio</t>
  </si>
  <si>
    <t>20241025_SONY l BOULANGER l BF Audio</t>
  </si>
  <si>
    <t>Quote Proposal SFR - BOULANGER BF Audio.pdf</t>
  </si>
  <si>
    <t xml:space="preserve"> SONY l Boulanger Black Friday - Banners</t>
  </si>
  <si>
    <t>https://saranistudio.sharepoint.com/:f:/r/sites/SaraniAssets/Shared%20Documents/03.%20Customers/02.%20Sony/03.%20Sony%20France/06.%20Boulanger/20241024_Boulanger%20Black%20Friday%20-%20Banners?csf=1&amp;web=1&amp;e=MmVE8C</t>
  </si>
  <si>
    <t>Quote Proposal SFR - Boulanger Black Friday - Banners (1).pdf</t>
  </si>
  <si>
    <t>F2024-0659</t>
  </si>
  <si>
    <t>BOULANGER | Vidéo magasin - Black Friday</t>
  </si>
  <si>
    <t>20241025_BOULANGER Vidéo magasin - Black Friday</t>
  </si>
  <si>
    <t>F2024-0662</t>
  </si>
  <si>
    <t>LINKBUDS FIT | boites vides</t>
  </si>
  <si>
    <t>20241031_LINKBUDS FIT boites vides</t>
  </si>
  <si>
    <t>Nouveau Backdrop Bulles LinkBuds Fit</t>
  </si>
  <si>
    <t>https://saranistudio.sharepoint.com/:f:/s/SaraniAssets/Ej8x4xJqblpPq88y3Xt0Z7wBmSCYwuIrO-cIQEGjhXXA0Q?e=y94dJL</t>
  </si>
  <si>
    <t>F2025-0088</t>
  </si>
  <si>
    <t>MEDIA CROSS - Assets Black Friday 2024</t>
  </si>
  <si>
    <t>Aurelie Chantrel</t>
  </si>
  <si>
    <t>20241104_MEDIA CROSS - Assets Black Friday 2024</t>
  </si>
  <si>
    <t>Quote Proposal SFR - MEDIA CROSS - Assets Black Friday 2024.pdf</t>
  </si>
  <si>
    <t>F2024-0629</t>
  </si>
  <si>
    <t>Merch sony fnac la défense</t>
  </si>
  <si>
    <t>20241105_Merch sony fnac la défense</t>
  </si>
  <si>
    <t>Quote Proposal SFR - Merch sony fnac la défense.pdf</t>
  </si>
  <si>
    <t>F2024-0651</t>
  </si>
  <si>
    <t>BOULANGER | Offres BF</t>
  </si>
  <si>
    <t>20241105_BOULANGER Offres BF</t>
  </si>
  <si>
    <t>3 PLV ULT FIELD 7</t>
  </si>
  <si>
    <t>Quote Proposal SFR - 3 PLV ULT FIELD 7.pdf</t>
  </si>
  <si>
    <t>BOULANGER | Sword onsite</t>
  </si>
  <si>
    <t>20241108_BOULANGER Sword onsite</t>
  </si>
  <si>
    <t>[TV] Labofnac 5 étoiles - herovisuals</t>
  </si>
  <si>
    <t>20241112_Labofnac 5 étoiles - herovisuals</t>
  </si>
  <si>
    <t>Quote Proposal SFR - Labofnac 5 étoiles - herovisuals.pdf</t>
  </si>
  <si>
    <t>F2024-0695</t>
  </si>
  <si>
    <t>[HAV] - ILV BDS Boulanger</t>
  </si>
  <si>
    <t>20241113_ILV BDS Boulanger</t>
  </si>
  <si>
    <t>ILV Theatre U - Fnac Darty</t>
  </si>
  <si>
    <t>20241113_ILV Theatre U - Fnac Darty</t>
  </si>
  <si>
    <t>Quote Proposal SFR - HE ILV Theatre U.pdf</t>
  </si>
  <si>
    <t>Créa Affiche 70*100cm</t>
  </si>
  <si>
    <t>20241114_Créa Affiche 70x100cm</t>
  </si>
  <si>
    <t>Quote Proposal SFR - Créa Affiche 70x100cm.pdf</t>
  </si>
  <si>
    <t>F2024-0653</t>
  </si>
  <si>
    <t>MEDIA IP&amp;S / brief PRINT IP&amp;S - Parution Décembre 2024</t>
  </si>
  <si>
    <t>20241114_MEDIA IP&amp;S brief PRINT IP&amp;S</t>
  </si>
  <si>
    <t>Quote Proposal SFR - MEDIA IP S brief PRINT IP&amp;S - Parution Décembre 2024.pdf</t>
  </si>
  <si>
    <t>F2024-0706</t>
  </si>
  <si>
    <t>SARANI x SONY  - CREA ULT TOWER PODIUM</t>
  </si>
  <si>
    <t>20241115_CREA ULT TOWER PODIUM</t>
  </si>
  <si>
    <t>Quote Proposal SFR - CREA ULT TOWER PODIUM.pdf</t>
  </si>
  <si>
    <t>BOULANGER |BF ULT</t>
  </si>
  <si>
    <t>20241118_BOULANGER BF ULT</t>
  </si>
  <si>
    <t>F2024-0660</t>
  </si>
  <si>
    <t>Darty durabilité - logo screenfill &amp; floating ePop</t>
  </si>
  <si>
    <t>https://saranistudio.sharepoint.com/:f:/s/SaraniAssets/EuG6uZETPO1HisZpiKSAVdAB2r9-I8SA-fS9ufzRwWJ96w?e=ignDA8</t>
  </si>
  <si>
    <t>Quote Proposal SFR - Darty durabilité - logo screenfill &amp; floating ePop.pdf</t>
  </si>
  <si>
    <t>F2024-0712</t>
  </si>
  <si>
    <t>Histo packs fnac A7M4</t>
  </si>
  <si>
    <t>20241119_histo packs fnac A7M4</t>
  </si>
  <si>
    <t>Quote Proposal SFR - Histo packs fnac A7M4.pdf</t>
  </si>
  <si>
    <t>F2024-0649</t>
  </si>
  <si>
    <t>Extra habillage fnac la défense</t>
  </si>
  <si>
    <t>Quote Proposal SFR - Extra habillage fnac la défense.pdf</t>
  </si>
  <si>
    <t>F2024-0650</t>
  </si>
  <si>
    <t>Urgent lancement optique et boîtier</t>
  </si>
  <si>
    <t>20241119_Urgent lancement optique et boîtier</t>
  </si>
  <si>
    <t>Quote Proposal SFR - Urgent lancement optique et boîtier.pdf</t>
  </si>
  <si>
    <t>F2024-0652</t>
  </si>
  <si>
    <t>F2024-0648</t>
  </si>
  <si>
    <t>Salon de la photo newsletter</t>
  </si>
  <si>
    <t>Quote Proposal SFR - Salon de la photo Newsletter.pdf</t>
  </si>
  <si>
    <t>F2024-0646</t>
  </si>
  <si>
    <t>HE Xmas cashback - Extra amazon banners</t>
  </si>
  <si>
    <t>BOULANGER | BF V43D X75WL</t>
  </si>
  <si>
    <t>BOULANGER BF V43D X75WL</t>
  </si>
  <si>
    <t>F2024-0705</t>
  </si>
  <si>
    <t>STOP RAYON - ULT WEAR &amp; FIELD 1</t>
  </si>
  <si>
    <t>20241126_STOP RAYON - ULT WEAR &amp; FIELD 1</t>
  </si>
  <si>
    <t>Quote Proposal SFR - STOP RAYON - ULT WEAR &amp; FIELD 1.pdf</t>
  </si>
  <si>
    <t>[HE] - Cashback offer Winter 2024 - extra banner</t>
  </si>
  <si>
    <t>20241112_[HE] - Cashback offer Winter 2024</t>
  </si>
  <si>
    <t>F2024-0703</t>
  </si>
  <si>
    <t>Winter cashback A5</t>
  </si>
  <si>
    <t>BOULANGER | Retargeting 1000X</t>
  </si>
  <si>
    <t>https://saranistudio.sharepoint.com/:f:/s/SaraniAssets/EjClhCsHZpFOlXwIcGhutEoBCnj2Tqd3iM9qf_IvZZykcA?e=YQfxcf</t>
  </si>
  <si>
    <t>F2024-0702</t>
  </si>
  <si>
    <t>Histo packs fnac A7M4 EXTRA STICKER</t>
  </si>
  <si>
    <t>Quote Proposal SFR - Histo packs fnac A7M4 EXTRA STICKER.pdf</t>
  </si>
  <si>
    <t>F2024-0692</t>
  </si>
  <si>
    <t>MEDIA CROSS - Opé Noël 2024</t>
  </si>
  <si>
    <t>20241128_MEDIA CROSS - Opé Noël 2024</t>
  </si>
  <si>
    <t>Quote Proposal SFR - MEDIA CROSS - Opé Noël 2024.pdf</t>
  </si>
  <si>
    <t>F2025-0002</t>
  </si>
  <si>
    <t>CRM Dédié SONY</t>
  </si>
  <si>
    <t>https://saranistudio.sharepoint.com/:f:/s/SaraniAssets/Eq6i3R-Sl79Jlmx-huf2MdcB6ksnwJejh7CA-lo-imtIOA?e=bTiW4P</t>
  </si>
  <si>
    <t>BOULANGER | BF BARRES DE SON</t>
  </si>
  <si>
    <t>20241128_BOULANGER BF BARRES DE SON</t>
  </si>
  <si>
    <t>Winter cashback homepage boulanger</t>
  </si>
  <si>
    <t>https://saranistudio.sharepoint.com/:f:/s/SaraniAssets/EobqDa7nvhhAgTeOqh3Gd1kBzCgIUfpL5tUcvPY4KSndmA?e=XKD23y</t>
  </si>
  <si>
    <t xml:space="preserve">Extra Banners Boulanger </t>
  </si>
  <si>
    <t>20240212_Extra Banners Boulanger</t>
  </si>
  <si>
    <t>F2024-0704</t>
  </si>
  <si>
    <t>Opération ‘’Un boitier SONY sous le sapin’’</t>
  </si>
  <si>
    <t>https://saranistudio.sharepoint.com/:f:/s/SaraniAssets/EvBuPKfKD5pBgFkITo9KRfIBdnAPFILBYjAm5VB1riiBnw?e=Afe74P</t>
  </si>
  <si>
    <t>Quote Proposal SFR - Opération ‘’Un boitier SONY sous le sapin’’.pdf</t>
  </si>
  <si>
    <t>F2024-0693</t>
  </si>
  <si>
    <t>MEDIA DI | FY24 Always ON DI - Flight 3</t>
  </si>
  <si>
    <t>MEDIA DI FY24 Always ON DI - Flight 3</t>
  </si>
  <si>
    <t>Quote Proposal SFR - FY24 Always ON DI - Flight 3.pdf</t>
  </si>
  <si>
    <t>F2024-0708</t>
  </si>
  <si>
    <t>MOCK UP 3D rapide</t>
  </si>
  <si>
    <t>Quote Proposal SFR - MOCK UP 3D rapide.pdf</t>
  </si>
  <si>
    <t>F2024-0709</t>
  </si>
  <si>
    <t>[HE] - Cashback offer Winter 2024</t>
  </si>
  <si>
    <t>[TV] Bravia 8 - Assets awards + Webpop créa magnétique</t>
  </si>
  <si>
    <t>20241211_Bravia 8 - Assets awards + Webpop créa magnétique</t>
  </si>
  <si>
    <t>Quote Proposal SFR - Bravia 8 - Assets awards + Webpop créa magnétique (1).pdf</t>
  </si>
  <si>
    <t>F2025-0041</t>
  </si>
  <si>
    <t>Paid 02/04/2025</t>
  </si>
  <si>
    <t>Créa labo fnac</t>
  </si>
  <si>
    <t>20241216_Crea Labo Fnac</t>
  </si>
  <si>
    <t>Quote Proposal SFR - Créa labo fnac.pdf</t>
  </si>
  <si>
    <t>F2024-0707</t>
  </si>
  <si>
    <t>MEDIA CROSS - Soldes d'Hiver brief</t>
  </si>
  <si>
    <t>20241612_MEDIA CROSS - Soldes d'Hiver brief</t>
  </si>
  <si>
    <t>F2024-0717</t>
  </si>
  <si>
    <t>[HAV] Mural barre de son Boulanger</t>
  </si>
  <si>
    <t>20241217_Mural barre de son Boulanger</t>
  </si>
  <si>
    <t>Quote Proposal SFR - Mural barre de son Boulanger.pdf</t>
  </si>
  <si>
    <t>F2025-0040</t>
  </si>
  <si>
    <t>A4 Fnac casque + backdrop bulle</t>
  </si>
  <si>
    <t>20241218_A4 Fnac casque + backdrop bulle</t>
  </si>
  <si>
    <t>Quote Proposal SFR - A4 Fnac casque + backdrop bulle.pdf</t>
  </si>
  <si>
    <t>créa WBW janvier</t>
  </si>
  <si>
    <t>https://saranistudio.sharepoint.com/:f:/s/SaraniAssets/EhjEx1ZzWOxDiLQrJXnjoFIB_nuR5Ogv-yNTgBBsboLTRg?e=wUhuM0</t>
  </si>
  <si>
    <t>Quote Proposal SFR - créa WBW janvier.pdf</t>
  </si>
  <si>
    <t>F2025-0005</t>
  </si>
  <si>
    <t>Bandeau sticker prolongation OP winter</t>
  </si>
  <si>
    <t>20241219_Bandeau sticker prolongation OP winter</t>
  </si>
  <si>
    <t>Quote Proposal SFR - Bandeau sticker prolongation OP winter (1).pdf</t>
  </si>
  <si>
    <t>F2025-0008</t>
  </si>
  <si>
    <t>Cashback bannière adaptation - Spé</t>
  </si>
  <si>
    <t>Quote Proposal SFR - Cashback bannière adaptation - Spé.pdf</t>
  </si>
  <si>
    <t>BOULANGER Vidéo magasin - Black Friday - Soldes - Week 3</t>
  </si>
  <si>
    <t>20241223_BOULANGER Vidéo magasin - Black Friday - Soldes - Week 3</t>
  </si>
  <si>
    <t>BOULANGER | Soldes d'Hiver</t>
  </si>
  <si>
    <t>20241223_BOULANGER I Soldes d'Hiver</t>
  </si>
  <si>
    <t>Sony France - Brochure</t>
  </si>
  <si>
    <t>20241226_Sony France - Emailing B2B</t>
  </si>
  <si>
    <t>Quote Proposal SFR - Brochure.pdf</t>
  </si>
  <si>
    <t>F2025-0006</t>
  </si>
  <si>
    <t>Sony France - Emailing B2B</t>
  </si>
  <si>
    <t>Quote Proposal SFR - E-mailing B2B (1).pdf</t>
  </si>
  <si>
    <t>F2025-0007</t>
  </si>
  <si>
    <t xml:space="preserve">[TV] Bravia 9 - Assets awards </t>
  </si>
  <si>
    <t>Quote Proposal SFR - Bravia 9 - Assets awards + Webpop créa magnétique (1).pdf</t>
  </si>
  <si>
    <t>Condition offre Inzone M10S</t>
  </si>
  <si>
    <t>20241226_Condition offre Inzone M10S</t>
  </si>
  <si>
    <t>Quote Proposal SFR - Condition offre Inzone M10S.pdf</t>
  </si>
  <si>
    <t>STICKER - ULT FIELD 1 &amp; 7</t>
  </si>
  <si>
    <t>https://saranistudio.sharepoint.com/:f:/s/SaraniAssets/ErM-r801mg9EqlA_v4uYQlwB5Cnavq2gPYFpayFE4xpemg?e=Gb32k8</t>
  </si>
  <si>
    <t>Quote Proposal SFR - STICKER - ULT FIELD 1 &amp; 7.pdf</t>
  </si>
  <si>
    <t xml:space="preserve"> Media IP&amp;S  / Brief PRINT - Parutions Février 2025</t>
  </si>
  <si>
    <t>20250106_Media IP&amp;S Brief PRINT - Parutions Février 2025</t>
  </si>
  <si>
    <t>Quote Proposal SFR - Media IPS Brief PRINT - Parutions Février 2025.pdf</t>
  </si>
  <si>
    <t>F2025-0069</t>
  </si>
  <si>
    <t>BOULANGER | XM5 Rose</t>
  </si>
  <si>
    <t>https://saranistudio.sharepoint.com/:f:/s/SaraniAssets/EpzxjWYCIp5Em9i8wDlRvYgB7GnN_Xg3XPUPGuZs4f5Kfg?e=48lsae</t>
  </si>
  <si>
    <t>Fevrier</t>
  </si>
  <si>
    <t>F2025-0042</t>
  </si>
  <si>
    <t xml:space="preserve">Créa WBW janvier - extra versions </t>
  </si>
  <si>
    <t>20241220_créa WBW janvier</t>
  </si>
  <si>
    <t>Quote Proposal SFR - Créa WBW janvier - extra versions.pdf</t>
  </si>
  <si>
    <t>F2025-0017</t>
  </si>
  <si>
    <t>Paid 19/03/2025</t>
  </si>
  <si>
    <t xml:space="preserve">Sony France WEB POP </t>
  </si>
  <si>
    <t>20250121_WEB POP</t>
  </si>
  <si>
    <t>Quote Proposal SFR - WEB POP.pdf</t>
  </si>
  <si>
    <t xml:space="preserve">Fichier pour impression - nappe </t>
  </si>
  <si>
    <t>20242201_fichier pour impression nappe</t>
  </si>
  <si>
    <t>Quote Proposal SFR - Devis global impressions.pdf</t>
  </si>
  <si>
    <t>F2025-0048</t>
  </si>
  <si>
    <t>Paid 16/04/2025</t>
  </si>
  <si>
    <t>OP février optiques wildlife</t>
  </si>
  <si>
    <t>20250123_OP février optiques wildlife</t>
  </si>
  <si>
    <t>Quote Proposal SFR - OP février optiques wildlife (1).pdf</t>
  </si>
  <si>
    <t>F2025-0045</t>
  </si>
  <si>
    <t>Paid 09/04/2025</t>
  </si>
  <si>
    <t>Fond de stand en toile</t>
  </si>
  <si>
    <t>20250123_fond de stand en toile</t>
  </si>
  <si>
    <t>[HAV] TA-AN1000 Webpop award</t>
  </si>
  <si>
    <t>20250123_TA-AN1000 Webpop award</t>
  </si>
  <si>
    <t>Quote Proposal SFR - TA-AN1000 Webpop award.pdf</t>
  </si>
  <si>
    <t>F2025-0090</t>
  </si>
  <si>
    <t>OP C-PRO février</t>
  </si>
  <si>
    <t>20250124_OP C-PRO février</t>
  </si>
  <si>
    <t>Quote Proposal SFR - OP C-PRO février.pdf</t>
  </si>
  <si>
    <t>F2025-0047</t>
  </si>
  <si>
    <t>Waiting payment for 13/04/2025</t>
  </si>
  <si>
    <t>BRIEF STOP RAYON WF-C510</t>
  </si>
  <si>
    <t>20250124_BRIEF STOP RAYON WF-C510</t>
  </si>
  <si>
    <t>BRIEF HBBT BACKDROP</t>
  </si>
  <si>
    <t>20250124_BRIEF HBBT BACKDROP</t>
  </si>
  <si>
    <t>Stickers 100€ de remise</t>
  </si>
  <si>
    <t>20250127_stickers 100€ de remise</t>
  </si>
  <si>
    <t>Quote Proposal SFR - Stickers 100€ de remise.pdf</t>
  </si>
  <si>
    <t>F2025-0046</t>
  </si>
  <si>
    <t>Paid 08/10/2025</t>
  </si>
  <si>
    <t>Fichier pour impression - oriflamme</t>
  </si>
  <si>
    <t>https://saranistudio.sharepoint.com/:f:/s/SaraniAssets/EneBhxAlwV1CrMXZd49l7qYBpd11rnAFsQPmF8TrlaKtKg?e=5ble3Y</t>
  </si>
  <si>
    <t>TV hero images - BRAVIA 8 et BRAVIA 9</t>
  </si>
  <si>
    <t>https://saranistudio.sharepoint.com/:f:/s/SaraniAssets/Eq3JeuQ1mxFDiQv1V5SCTAMBemOtITDJPz70BomVvczKBw?e=Y4q6ea</t>
  </si>
  <si>
    <t>Quote Proposal SFR - Hero Visuels - Bravia 8 et Bravia 9.pdf</t>
  </si>
  <si>
    <t>[HAV] - Webpop awards Bar 8 et Bar 9</t>
  </si>
  <si>
    <t>20250128_Webpop awards Bar 8 et Bar 9</t>
  </si>
  <si>
    <t>Quote Proposal SFR - [HAV] - Webpop awards Bar 8 et Bar 9.pdf</t>
  </si>
  <si>
    <t>BOULANGER | Sword LinkBuds</t>
  </si>
  <si>
    <t>https://saranistudio.sharepoint.com/:f:/s/SaraniAssets/Eu8X1Zgowg5HrT7RHRnwa-8B_iqi3mVXrpI_oqRClIA5vw?e=P0Dqam</t>
  </si>
  <si>
    <t>F2025-0133</t>
  </si>
  <si>
    <t>BOULANGER | Soldes d'Hiver homepage</t>
  </si>
  <si>
    <t>https://saranistudio.sharepoint.com/:f:/s/SaraniAssets/EicFSRJoPEdKn2TRRw3gbi8Bu4_XUIWtahwug2nCtp2H8A?e=XpDP7O</t>
  </si>
  <si>
    <t>F2025-0136</t>
  </si>
  <si>
    <t>Mise à jour pack FNAC A7M4 - A7M3</t>
  </si>
  <si>
    <t>20250131_Mise à jour pack FNAC A7M4 - A7M3</t>
  </si>
  <si>
    <t>Quote Proposal SFR - Mise à jour pack FNAC A7M4 - A7M3.pdf</t>
  </si>
  <si>
    <t>F2025-0078</t>
  </si>
  <si>
    <t>Mise à jour pack Fnac A6400</t>
  </si>
  <si>
    <t>20250131_Mise à jour pack Fnac A6400</t>
  </si>
  <si>
    <t>Quote Proposal SFR - Mise à jour pack Fnac A6400.pdf</t>
  </si>
  <si>
    <t>F2025-0080</t>
  </si>
  <si>
    <t>Mise à jour pack fnac ZVE1</t>
  </si>
  <si>
    <t>20250203_Mise à jour pack fnac ZVE1</t>
  </si>
  <si>
    <t>Quote Proposal SFR - Mise à jour pack fnac ZVE1.pdf</t>
  </si>
  <si>
    <t>F2025-0081</t>
  </si>
  <si>
    <t>Paid 24/09/2025</t>
  </si>
  <si>
    <t>STICKER - ULT FIELD 1 &amp; 7 - extra versions</t>
  </si>
  <si>
    <t>20250103_STICKER - ULT FIELD 1 &amp; 7</t>
  </si>
  <si>
    <t>Quote Proposal SFR - STICKER - ULT FIELD 1 &amp; 7 - EXTRA VERSIONS.pdf</t>
  </si>
  <si>
    <t>BOULANGER | XM5 Rose = extra banners</t>
  </si>
  <si>
    <t>20250107_BOULANGER I XM5 Rose</t>
  </si>
  <si>
    <t>BOULANGER | SERIE OLED A80L</t>
  </si>
  <si>
    <t>20250502_BOULANGER - SERIE OLED A80L</t>
  </si>
  <si>
    <t>BOULANGER | Offre Club BAR9</t>
  </si>
  <si>
    <t>20250205_BOULANGER - Offre Club BAR9</t>
  </si>
  <si>
    <t>BOULANGER | LinkBuds Fit Violet Newsletter</t>
  </si>
  <si>
    <t>20250210_BOULANGER I LinkBuds Fit Violet Newsletter</t>
  </si>
  <si>
    <t>BOULANGER | Campagne display 55bravia8</t>
  </si>
  <si>
    <t>https://saranistudio.sharepoint.com/:f:/s/SaraniAssets/ErxQVfML0I9Kv_OZu0wvAAYBcqDN20ivt1tEACvHEwDx_Q?e=3Leih2</t>
  </si>
  <si>
    <t>Production Boîtes Vides - SONY Theatre U</t>
  </si>
  <si>
    <t>https://saranistudio.sharepoint.com/:f:/s/SaraniAssets/Etb1UeuZAIdHkWQRi3bMBZkBXiXXaWj-BbdNgM7ZHBih1Q?e=9vJF5f</t>
  </si>
  <si>
    <t>Quote Proposal SFR - LINKBUDS FIT boites vides.pdf</t>
  </si>
  <si>
    <t>BOULANGER | EMS LinkBuds</t>
  </si>
  <si>
    <t>20250217_BOULANGER EMS LinkBuds</t>
  </si>
  <si>
    <t>F2025-0134</t>
  </si>
  <si>
    <t>OP G MASTER MARS</t>
  </si>
  <si>
    <t>20250218_OP G MASTER MARS</t>
  </si>
  <si>
    <t>Quote Proposal SFR - OP G Master Mars (1).pdf</t>
  </si>
  <si>
    <t>F2025-0077</t>
  </si>
  <si>
    <t xml:space="preserve">OP Movie Mars </t>
  </si>
  <si>
    <t>20250218_OP MARS</t>
  </si>
  <si>
    <t>Quote Proposal SFR - OP Movie Mars (1).pdf</t>
  </si>
  <si>
    <t>F2025-0079</t>
  </si>
  <si>
    <t>BOULANGER | Offre TV 300e Club</t>
  </si>
  <si>
    <t>20250220_BOULANGER Offre TV 300e Club</t>
  </si>
  <si>
    <t>Modification infographie WH-1000XM5</t>
  </si>
  <si>
    <t>20250225_Modification infographie WH-1000XM5</t>
  </si>
  <si>
    <t>Quote Proposal SFR - Modification infographie WH-1000XM5.pdf</t>
  </si>
  <si>
    <t>HE | Adaptation bandeaux muraux Boulanger</t>
  </si>
  <si>
    <t>20250225_HE - Adaptation bandeaux muraux Boulanger</t>
  </si>
  <si>
    <t>Urgent - declination of assets for launch VX8032</t>
  </si>
  <si>
    <t>20250226_Urgent - declination of assets for launch VX8032</t>
  </si>
  <si>
    <t>Quote Proposal SFR - Urgent - declination of assets for launch VX8032 (1).pdf</t>
  </si>
  <si>
    <t>F2025-0082</t>
  </si>
  <si>
    <t>CASHBACK SUMER FY25 - OFFLINE</t>
  </si>
  <si>
    <t>IPS</t>
  </si>
  <si>
    <t>20240226_CASHBACK SUMER FY25 - OFFLINE</t>
  </si>
  <si>
    <t>Quote Proposal SFR - CASHBACK SUMMER FY25 - OFFLINE.pdf</t>
  </si>
  <si>
    <t>F2025-0141</t>
  </si>
  <si>
    <t>WH-1000XM5 - WEB POP</t>
  </si>
  <si>
    <t>20250227_WH-1000XM5 - WEB POP</t>
  </si>
  <si>
    <t>Brief Assets Social Boost TV &amp; BDS</t>
  </si>
  <si>
    <t>20250227_Brief Assets Social Boost TV &amp; BDS</t>
  </si>
  <si>
    <t>Quote Proposal SFR - [HAV] - Brief Assets Social Boost TV &amp; BDS.pdf</t>
  </si>
  <si>
    <t>MEDIA DI | FY24 Always ON DI - Flight 4 - TRAVEL</t>
  </si>
  <si>
    <t>20250228_MEDIA DI FY24 Always ON DI - Flight 4 - TRAVEL</t>
  </si>
  <si>
    <t>Quote Proposal SFR - MEDIA DI FY24 Always ON DI - Flight 4 - TRAVEL.pdf</t>
  </si>
  <si>
    <t>F2025-0116</t>
  </si>
  <si>
    <t>Paid 11/06/2025</t>
  </si>
  <si>
    <t>BOULANGER | Offres Mars 2025</t>
  </si>
  <si>
    <t>20250303_BOULANGER Offres Mars 2025</t>
  </si>
  <si>
    <t>TV | Extra toile tendue DARTY ST EGREVE</t>
  </si>
  <si>
    <t>20231116_ TV Toile tendue DARTY ST EGREVE</t>
  </si>
  <si>
    <t>Quote Proposal SFR - TV Extra toile tendue DARTY ST EGREVE.pdf</t>
  </si>
  <si>
    <t>F2025-0115</t>
  </si>
  <si>
    <t>Paid 21/05/2025</t>
  </si>
  <si>
    <t>CASHBACK SUMMER FY25 - ONLINE</t>
  </si>
  <si>
    <t>20250310_CASHBACK SUMMER FY25 - ONLINE</t>
  </si>
  <si>
    <t>Quote Proposal SFR - CASHBACK SUMMER FY25 - ONLINE.pdf</t>
  </si>
  <si>
    <t>F2025-0140</t>
  </si>
  <si>
    <t>F2025-0142</t>
  </si>
  <si>
    <t>FY25</t>
  </si>
  <si>
    <t>Pack Phox Q3</t>
  </si>
  <si>
    <t>Jordan SABATIER</t>
  </si>
  <si>
    <t>https://saranistudio.sharepoint.com/:f:/s/SaraniAssets/Eiflouw-qppAgfcaIxPrXeABelnBdbdDgIlfzht6cEim5A?e=GP4smc</t>
  </si>
  <si>
    <t>https://saranistudio.sharepoint.com/:b:/s/SaraniAssets/EfsXDcMnPetAm756IdCp2DEB82t9yQWrSSEkUw9eKRbmHg?e=6gwxt7</t>
  </si>
  <si>
    <t>BANNIERE BOULANGER OFFRE PROMO CLUB + XM5</t>
  </si>
  <si>
    <t>20250312_BANNIERE BOULANGER OFFRE PROMO CLUB + XM5</t>
  </si>
  <si>
    <t xml:space="preserve">Créa bâches formation FNAC </t>
  </si>
  <si>
    <t>20250313_Créa bâches formation FNAC</t>
  </si>
  <si>
    <t>Quote Proposal SFR - Créa bâches formation FNAC (4).pdf</t>
  </si>
  <si>
    <t>F2025-0128</t>
  </si>
  <si>
    <t>Brief Fiches Produit Nouveautés HAV</t>
  </si>
  <si>
    <t>20250317_Brief Fiches Produit Nouveautés HAV</t>
  </si>
  <si>
    <t>Quote Proposal SFR - Brief Fiches Produit Nouveautés HAV.pdf</t>
  </si>
  <si>
    <t xml:space="preserve">Mock-up boites fnac </t>
  </si>
  <si>
    <t>Quote Proposal SFR - Mock-up boites fnac (2).pdf</t>
  </si>
  <si>
    <t>F2025-0213</t>
  </si>
  <si>
    <t>Paid 18/06/2025</t>
  </si>
  <si>
    <t>[CONFIDENTIEL] INFOGRAPHIES - LANCEMENT TV FY25</t>
  </si>
  <si>
    <t>20250318_INFOGRAPHIES - LANCEMENT TV FY25</t>
  </si>
  <si>
    <t>Quote Proposal SFR - INFOGRAPHIES - LANCEMENT TV FY25.pdf</t>
  </si>
  <si>
    <t>F2025-0289</t>
  </si>
  <si>
    <t>Paid 28/07/2025</t>
  </si>
  <si>
    <t>Fiche produit ULT 5</t>
  </si>
  <si>
    <t>20250320_FICHE PRODUIT - ULT FIELD 5</t>
  </si>
  <si>
    <t>Quote Proposal SFR - FICHE PRODUIT - ULT FIELD 5 (1).pdf</t>
  </si>
  <si>
    <t>Fiche produit ULT 3</t>
  </si>
  <si>
    <t>20250320_FICHE PRODUIT - ULT FIELD 3</t>
  </si>
  <si>
    <t>Quote Proposal SFR - Fiche produit ULT 3.pdf</t>
  </si>
  <si>
    <t>WRAPPER BAR 6 &amp; SYSTEM 6</t>
  </si>
  <si>
    <t>20250320_WRAPPER BAR 6 &amp; SYSTEM 6</t>
  </si>
  <si>
    <t>Quote Proposal SFR - WRAPPER BAR 6 &amp; SYSTEM 6.pdf</t>
  </si>
  <si>
    <t>F2025-0162</t>
  </si>
  <si>
    <t>Paid 04/06/2025</t>
  </si>
  <si>
    <t>20250320_Production Boîtes Vides - SONY Theatre U</t>
  </si>
  <si>
    <t>Quote Proposal SFR - Production Boîtes Vides - SONY Theatre U.pdf</t>
  </si>
  <si>
    <t>TV | Extra toile tendue - new dimension</t>
  </si>
  <si>
    <t>Quote Proposal SFR - TV Extra toile - new dimension.pdf</t>
  </si>
  <si>
    <t>Briefing Page Pulsat</t>
  </si>
  <si>
    <t>20250321_Briefing Page Pulsat</t>
  </si>
  <si>
    <t>https://saranistudio-my.sharepoint.com/:b:/g/personal/team_sarani_studio/EWWneK7rMOFPoXhVuHoki5oBnM1KQnDnKkbnOrH4ykPJCA?e=cne3qN</t>
  </si>
  <si>
    <t>Fiche Produit Tower 9 AC</t>
  </si>
  <si>
    <t>20250325_FICHE PRODUIT - ULT TOWER 9AC</t>
  </si>
  <si>
    <t>Quote Proposal SFR - Fiche Produit Tower 9 AC.pdf</t>
  </si>
  <si>
    <t>URGENT - BANNIERES LANCEMENT WF-C710 WH-CH520 WH-C720 / Fiche produit WF-C710</t>
  </si>
  <si>
    <t>20250325_URGENT - BANNIERES LANCEMENT</t>
  </si>
  <si>
    <t>Quote Proposal SFR - URGENT - BANNIERES LANCEMENT WF-C710 WH-CH520 WH-C720.pdf</t>
  </si>
  <si>
    <t>F2025-0144</t>
  </si>
  <si>
    <t>WF-C710 - PLV A4/A5 FNAC DARTY WF-C710</t>
  </si>
  <si>
    <t>20250403_WF-C710 PLV A4-A5 FNAC DARTY WF-C710</t>
  </si>
  <si>
    <t>MDR POS WH-CH520 &amp; CH720</t>
  </si>
  <si>
    <t>20250327_MDR POS WH-CH520 &amp; CH720</t>
  </si>
  <si>
    <t>Quote Proposal SFR - MDR POS WH-CH520 &amp; CH720.pdf</t>
  </si>
  <si>
    <t>Tracé boite vide XM4 &amp; ULT WEAR</t>
  </si>
  <si>
    <t>20250327_Tracé boite vide XM4 &amp; ULT WEAR</t>
  </si>
  <si>
    <t xml:space="preserve">Créa Cashback Line up 2025 </t>
  </si>
  <si>
    <t>20250327_Créa Cashback Line up 2025</t>
  </si>
  <si>
    <t>Quote Proposal SFR - Créa Cashback Line up 2025.pdf</t>
  </si>
  <si>
    <t>F2025-0223</t>
  </si>
  <si>
    <t>Paid 25/06/2025</t>
  </si>
  <si>
    <t>IP&amp;S I PRT page le mag photo</t>
  </si>
  <si>
    <t>Batch 05</t>
  </si>
  <si>
    <t>Quote Proposal SFR - IP&amp;S I PRT page le mag photo.pdf</t>
  </si>
  <si>
    <t>F2025-0230</t>
  </si>
  <si>
    <t>Paid 26/06/2025</t>
  </si>
  <si>
    <t>Brief Shorts Vidéos Bar 6</t>
  </si>
  <si>
    <t>20250328_Brief Shorts Vidéos Bar 6</t>
  </si>
  <si>
    <t>Quote Proposal SFR - Brief Shorts Vidéos Bar 6.pdf</t>
  </si>
  <si>
    <t>F2025-0288</t>
  </si>
  <si>
    <t>Bannières Bar 6 / System 6 Boulanger</t>
  </si>
  <si>
    <t>20250331_Bannières Bar 6 I System 6 Boulanger</t>
  </si>
  <si>
    <t>STICKER BAR 6 &amp; SYSTEM 6 MAGASINS SPE</t>
  </si>
  <si>
    <t>20250401_STICKER BAR 6 &amp; SYSTEM 6 MAGASINS SPE</t>
  </si>
  <si>
    <t>Quote Proposal SFR - STICKER BAR 6 &amp; SYSTEM 6 MAGASINS SPE.pdf</t>
  </si>
  <si>
    <t>BOULANGER | Offres d'Avril</t>
  </si>
  <si>
    <t xml:space="preserve">Alice Mucke </t>
  </si>
  <si>
    <t>20250401_BOULANGER Offres d'Avril</t>
  </si>
  <si>
    <t>F2025-0226</t>
  </si>
  <si>
    <t>Reprise vidéo produit Theatre Bar 6 Fnac</t>
  </si>
  <si>
    <t>Orianne Hochwelker</t>
  </si>
  <si>
    <t>https://saranistudio.sharepoint.com/:f:/s/SaraniAssets/EteJkilWA8BDlfj0LLEaYAwBfr1dtQah3VRA8LFP8zQB4w?e=KXi95l</t>
  </si>
  <si>
    <t>Quote Proposal SFR - Reprise vidéo produit Theatre Bar 6 Fnac.pdf</t>
  </si>
  <si>
    <t>F2025-0280</t>
  </si>
  <si>
    <t xml:space="preserve">BOULANGER - Avril - QUAD </t>
  </si>
  <si>
    <t>20250402_BOULANGER AVRIL QUAD</t>
  </si>
  <si>
    <t>F2025-0231</t>
  </si>
  <si>
    <t>BOULANGER - Avril - ULTFIELD 1</t>
  </si>
  <si>
    <t>20250403_BOULANGER - Avril - ULTFIELD 1</t>
  </si>
  <si>
    <t>F2025-0225</t>
  </si>
  <si>
    <t>BOULANGER - Avril -  XM5</t>
  </si>
  <si>
    <t>20250403_BOULANGER - Avril - XM5</t>
  </si>
  <si>
    <t>Affiches A6 good better best</t>
  </si>
  <si>
    <t>20250403_Affiches A6 good better best</t>
  </si>
  <si>
    <t>Quote Proposal SFR - Affiches A6 good better best.pdf</t>
  </si>
  <si>
    <t>F2025-0235</t>
  </si>
  <si>
    <t>SONY IP&amp;S I Phox | Le Guide Eté 2025</t>
  </si>
  <si>
    <t>20250404_SONY IP&amp;S I Phox I Le Guide Eté 2025</t>
  </si>
  <si>
    <t>Quote Proposal SFR - SONY Phox - Le Guide Eté 2025.pdf</t>
  </si>
  <si>
    <t xml:space="preserve">BRAVIA Theatre Bar 6 - edits </t>
  </si>
  <si>
    <t>20250404_BRAVIA Theatre Bar 6 - edits</t>
  </si>
  <si>
    <t>Quote Proposal SFR - BRAVIA Theatre Bar 6 - edits.pdf</t>
  </si>
  <si>
    <t>Fiche produit MIC</t>
  </si>
  <si>
    <t>ULT - FICHE PRODUIT ULT MICRO</t>
  </si>
  <si>
    <t>20250408_ULT - FICHE PRODUIT ULT MICRO</t>
  </si>
  <si>
    <t>Quote Proposal SFR - ULT - FICHE PRODUIT ULT MICRO.pdf</t>
  </si>
  <si>
    <t>F2025-0290</t>
  </si>
  <si>
    <t>Créa Cashback Line up 2025 - adaptations</t>
  </si>
  <si>
    <t>F2025-0291</t>
  </si>
  <si>
    <t>Vidéos produits ULT FIELD 5</t>
  </si>
  <si>
    <t>MDR/PSK</t>
  </si>
  <si>
    <t>20250409_Videos produits ULT FIELD 5</t>
  </si>
  <si>
    <t>Quote Proposal SFR - Vidéos produits ULT FIELD 5.pdf</t>
  </si>
  <si>
    <t>F2025-0322</t>
  </si>
  <si>
    <t>BANNIERE ULT FIELD 5 – BOULANGER</t>
  </si>
  <si>
    <t>20250409_BANNIERE ULT FIELD 5 – BOULANGER</t>
  </si>
  <si>
    <t>Quote Proposal SFR - BANNIERE ULT FIELD 5 BOULANGER.pdf</t>
  </si>
  <si>
    <t>F2025-0324</t>
  </si>
  <si>
    <t>Fiche produit ULT 9</t>
  </si>
  <si>
    <t>Adaptations Créa PLV ULT FIELD 5  ULT FIELD 3 &amp; ULT TOWER 9 AC</t>
  </si>
  <si>
    <t>20250411_Adaptations Créa PLV ULT FIELD 5  ULT FIELD 3 &amp; ULT TOWER 9 AC</t>
  </si>
  <si>
    <t>Quote Proposal SFR - Adaptations Créa PLV ULT FIELD 5  ULT FIELD 3 ULT TOWER 9 AC.pdf</t>
  </si>
  <si>
    <t>F2025-0355</t>
  </si>
  <si>
    <t>Paid 26/08/2025</t>
  </si>
  <si>
    <t xml:space="preserve">CASHBACK SUMMER FY25 - OFFLINE - extra dimensions </t>
  </si>
  <si>
    <t>Quote Proposal SFR - CASHBACK SUMMER FY25 - OFFLINE - exra dimensions.pdf</t>
  </si>
  <si>
    <t>F2025-0233</t>
  </si>
  <si>
    <t>BOULANGER LATTES - MURAL WSK</t>
  </si>
  <si>
    <t>https://saranistudio.sharepoint.com/:f:/s/SaraniAssets/EjVlxRe3cHdFjrCKG7Jk2KEBsC2rPXtVR71CH5r20vT3nQ?e=ADtH0r</t>
  </si>
  <si>
    <t>Quote Proposal SFR - BOULANGER LATTES - MURAL WSK.pdf</t>
  </si>
  <si>
    <t>BOULANGER | Offres WE</t>
  </si>
  <si>
    <t>20250416_BOULANGER - Offres WE</t>
  </si>
  <si>
    <t>F2025-0224</t>
  </si>
  <si>
    <t>ARTWORK BACKDROP ULT FIELD 7</t>
  </si>
  <si>
    <t>20250416_ARTWORK BACKDROP ULT FIELD 7</t>
  </si>
  <si>
    <t>Quote Proposal SFR - ARTWORK BACKDROP ULT FIELD 7.pdf</t>
  </si>
  <si>
    <t>BOULANGER ENGLOS</t>
  </si>
  <si>
    <t>https://saranistudio.sharepoint.com/:f:/s/SaraniAssets/Ehz3TlSblblCsvLIvzi-Xx8BGYx6jKdFuE1e8DT_4DWi1w?e=cWoEtS</t>
  </si>
  <si>
    <t>Quote Proposal SFR - BOULANGER ENGLOS.pdf</t>
  </si>
  <si>
    <t>F2025-0323</t>
  </si>
  <si>
    <t>Déclinaisons - LANCEMENT DI</t>
  </si>
  <si>
    <t>https://saranistudio.sharepoint.com/:f:/s/SaraniAssets/Egn4I9INgYNJr5ydo2iX30oBZrDzP71NKdfkVCVTequUtA?e=1qjQqy</t>
  </si>
  <si>
    <t>Quote Proposal SFR - Déclinaisons - LANCEMENT DI.pdf</t>
  </si>
  <si>
    <t>F2025-0234</t>
  </si>
  <si>
    <t>BOULANGER | Offres French Days</t>
  </si>
  <si>
    <t>20250423_BOULANGER Offres French Days</t>
  </si>
  <si>
    <t>F2025-0279</t>
  </si>
  <si>
    <t>BOULANGER | MastHead</t>
  </si>
  <si>
    <t>https://saranistudio.sharepoint.com/:f:/s/SaraniAssets/EqWeBFyXgoBHqQ22BuvTbnIBhIHC5uLCKeP9DLtUGO3raA?e=arAZN6</t>
  </si>
  <si>
    <t>4200682307</t>
  </si>
  <si>
    <t>Social Boost - Consideration Bar 6 / System 6</t>
  </si>
  <si>
    <t>20250425_Social Boost - Consideration Bar 6 System 6</t>
  </si>
  <si>
    <t>BOULANGER | Sword Enceintes</t>
  </si>
  <si>
    <t>20250428_BOULANGER Sword Enceintes</t>
  </si>
  <si>
    <t>F2025-0278</t>
  </si>
  <si>
    <t>Visuel devanture Camara Nantes</t>
  </si>
  <si>
    <t>20250429_Visuel devanture Camara Nantes</t>
  </si>
  <si>
    <t>Quote Proposal SFR - Visuel devanture Camara Nantes.pdf</t>
  </si>
  <si>
    <t>F2025-0294</t>
  </si>
  <si>
    <t>[Boulanger] Visuel BDS pour habillage électromagnétique</t>
  </si>
  <si>
    <t>20250430_[Boulanger] Visuel BDS pour habillage électromagnétique</t>
  </si>
  <si>
    <t>MDR POS FY25</t>
  </si>
  <si>
    <t>20250506_MDR POS FY25</t>
  </si>
  <si>
    <t>Quote Proposal SFR - MDR POS FY25 (1).pdf</t>
  </si>
  <si>
    <t>WebPop Award Quad</t>
  </si>
  <si>
    <t>20250507_WebPop Award Quad</t>
  </si>
  <si>
    <t>Visuel pour création Habillage Mural Fnac</t>
  </si>
  <si>
    <t>https://saranistudio.sharepoint.com/:f:/s/SaraniAssets/En9_KFEouJxBqyjiFn6x1PwBiq4sdw5Aw5k3jueg50yBtg?e=KspSgv</t>
  </si>
  <si>
    <t>Quote Proposal SFR - Visuel pour création Habillage Mural Fnac (1).pdf</t>
  </si>
  <si>
    <t>F2025-0292</t>
  </si>
  <si>
    <t>Update Je fais mon kit</t>
  </si>
  <si>
    <t>https://saranistudio.sharepoint.com/:f:/s/SaraniAssets/Eig19STN22RJo3_evU3DzNQB_nlUJOuNs9dLZfTeT4fa1A?e=MtuHqZ</t>
  </si>
  <si>
    <t>Quote Proposal SFR - Update Je fais mon kit.pdf</t>
  </si>
  <si>
    <t>F2025-0293</t>
  </si>
  <si>
    <t>SONY - WH1000XM6 : FICHE PRODUIT</t>
  </si>
  <si>
    <t>https://saranistudio.sharepoint.com/:f:/s/SaraniAssets/EkHXnBnwxeNDr7PKZ57AHaoBs3KI6LC6LCaCum7qjOYW7g?e=vfNfR7</t>
  </si>
  <si>
    <t>Quote Proposal SFR - SONY - WH1000XM6 FICHE PRODUIT.pdf</t>
  </si>
  <si>
    <t>[Sony] MAJ Bannières ULT</t>
  </si>
  <si>
    <t>BOULANGER | Lancement XM6</t>
  </si>
  <si>
    <t>20250512_BOULANGER Lancement XM6</t>
  </si>
  <si>
    <t>F2025-0388</t>
  </si>
  <si>
    <t>20250513_MOCK UP 3D rapide</t>
  </si>
  <si>
    <t>Créa bâches formation FNAC adaptation</t>
  </si>
  <si>
    <t>Quote Proposal SFR - Créa bâches formation FNAC.pdf</t>
  </si>
  <si>
    <t>F2025-0319</t>
  </si>
  <si>
    <t>Adaptation poster</t>
  </si>
  <si>
    <t>20250516_Adaptation poster</t>
  </si>
  <si>
    <t>https://saranistudio-my.sharepoint.com/:b:/g/personal/team_sarani_studio/EavrXOsb6HtOkXDsk5UaPGwBzbGX1b29_UJTDClnIdYGZw?e=SPr7hp</t>
  </si>
  <si>
    <t>F2025-0320</t>
  </si>
  <si>
    <t xml:space="preserve">HBBT Cutter Guides </t>
  </si>
  <si>
    <t>0250516_HBBT Cutter Guides</t>
  </si>
  <si>
    <t>Quote Proposal SFR - HBBT Cutter Guides.pdf</t>
  </si>
  <si>
    <t>WHXM6 | Awards</t>
  </si>
  <si>
    <t>https://saranistudio.sharepoint.com/:f:/s/SaraniAssets/EqGLrmHSP5VJs0lrhte_p_cBQV6dJgPRQ_eTUC_uAP0ZhQ?e=r4d2j1</t>
  </si>
  <si>
    <t>Quote Proposal SFR - WHXM6 Awards.pdf</t>
  </si>
  <si>
    <t>Challenge Fnac Airport Summer 2025</t>
  </si>
  <si>
    <t>https://saranistudio.sharepoint.com/:f:/s/SaraniAssets/EgyUOvgWO8BOn9R5jXHE6usBh_DnKGM1rU8ngG4GeLiRWw?e=WYB1R1</t>
  </si>
  <si>
    <t>https://saranistudio-my.sharepoint.com/:b:/g/personal/team_sarani_studio/Ee5274ntfA1DmoDb9V6iQt8BIwBBMbqvcNRPeWESBgWrCg?e=U4IkkF</t>
  </si>
  <si>
    <t>F2025-0287</t>
  </si>
  <si>
    <t>[Boulanger BHV Marais] Chevalet Jeu concours</t>
  </si>
  <si>
    <t>20250519_Boulanger BHV Marais - Chevalet Jeu concours</t>
  </si>
  <si>
    <t>Quote Proposal SFR - Chevalet Jeu concours.pdf</t>
  </si>
  <si>
    <t>[Sony]Montée en gamme 1000X</t>
  </si>
  <si>
    <t>20250519_Montée en gamme 1000X</t>
  </si>
  <si>
    <t>Quote Proposal SFR - Montée en gamme 1000X.pdf</t>
  </si>
  <si>
    <t>Visuel remise exceptionnelle A7I4</t>
  </si>
  <si>
    <t>https://saranistudio.sharepoint.com/:f:/s/SaraniAssets/Er_AyUv9ei1Lj4M_-kyDtMIB5jpO_cZHuhI7bsCVjMvsKw?e=MuxhdA</t>
  </si>
  <si>
    <t>Quote Proposal SFR - Visuel remise exceptionnelle A7I4 (1).pdf</t>
  </si>
  <si>
    <t>F2025-0327</t>
  </si>
  <si>
    <t>Création Sticker Labo FNAC XM6</t>
  </si>
  <si>
    <t>https://saranistudio.sharepoint.com/:f:/s/SaraniAssets/EgqPgXGGOQVNt18e3vrjABwBQtuxG2KmJHc-6zwSpjMLtg?e=gigoYY</t>
  </si>
  <si>
    <t>Quote Proposal SFR - Création Sticker Labo FNAC XM6.pdf</t>
  </si>
  <si>
    <t xml:space="preserve">Tracé boite vide XM4 &amp; ULT WEAR (extra work) </t>
  </si>
  <si>
    <t>Quote Proposal SFR - Tracé boite vide XM4 &amp; ULT WEAR (extra work).pdf</t>
  </si>
  <si>
    <t>[Boulanger] EMS B8M2 - Urgent</t>
  </si>
  <si>
    <t>20250521_EMS B8M2 - Urgent</t>
  </si>
  <si>
    <t>Lancement produit CX96900</t>
  </si>
  <si>
    <t>https://saranistudio.sharepoint.com/:f:/s/SaraniAssets/EmCFhW7rtK1LjN6uQzHHxF8BJ0jr-XghW7De08THgjS2vQ?e=kgydSw</t>
  </si>
  <si>
    <t>Quote Proposal SFR - Lancement produit CX96900.pdf</t>
  </si>
  <si>
    <t>F2025-0325</t>
  </si>
  <si>
    <t>[Boulanger] ODR Barres de son</t>
  </si>
  <si>
    <t>https://saranistudio.sharepoint.com/:f:/s/SaraniAssets/EmXoptuO7YBCra_yxzzH6bYBOW7NtlR54RbaPsSlFB6TiA?e=hAhyeD</t>
  </si>
  <si>
    <t>F2025-0354</t>
  </si>
  <si>
    <t>Brief Vidéo Social Boost Considération - Bar 6 Edition</t>
  </si>
  <si>
    <t>20250526_Brief Vidéo Social Boost Considération - Bar 6 Edition</t>
  </si>
  <si>
    <t>Lancement produit CX96900 - Assets</t>
  </si>
  <si>
    <t>20250527_Lancement produit CX96900 - Assets</t>
  </si>
  <si>
    <t>F2025-0326</t>
  </si>
  <si>
    <t>[Boulanger] Vitrophanies Juillet</t>
  </si>
  <si>
    <t>20250603_Vitrophanies Juillet</t>
  </si>
  <si>
    <t>F2025-0356</t>
  </si>
  <si>
    <t>Créa Ecosystème Muraux Boulanger HE</t>
  </si>
  <si>
    <t>20250603_Créa Ecosystème Muraux Boulanger HE</t>
  </si>
  <si>
    <t>Quote Proposal SFR - Créa Ecosystème Muraux Boulanger HE.pdf</t>
  </si>
  <si>
    <t>F2025-0492</t>
  </si>
  <si>
    <t>Paid 21/11/2025</t>
  </si>
  <si>
    <t>WHXM6 - Brief social content à venir</t>
  </si>
  <si>
    <t>20250604_WHXM6 - Brief social content à venir</t>
  </si>
  <si>
    <t>Quote Proposal SFR - WHXM6 - Brief social content à venir.pdf</t>
  </si>
  <si>
    <t>F2025-0586</t>
  </si>
  <si>
    <t>Paid 06/01/2026</t>
  </si>
  <si>
    <t>TOPPER CAISSON SYSTEM 6</t>
  </si>
  <si>
    <t>20250320_TOPPER CAISSON SYSTEM 6</t>
  </si>
  <si>
    <t>Quote Proposal SFR - TOPPER CAISSON SYSTEM 6.pdf</t>
  </si>
  <si>
    <t>UPDATE A4 MURAL BDS</t>
  </si>
  <si>
    <t>https://saranistudio.sharepoint.com/:f:/s/SaraniAssets/EtW0UT9qhS1DsZWQSi2Mrj8BPBBJdBEZqVo0bKZGH2bIhg?e=O5fz98</t>
  </si>
  <si>
    <t>Quote Proposal SFR - HAV - UPDATE A4 MURAL BDS.pdf</t>
  </si>
  <si>
    <t>F2025-0277</t>
  </si>
  <si>
    <t>Waiting for payment 26/07/2025</t>
  </si>
  <si>
    <t xml:space="preserve">[Boulanger] Affichage mural Soldes </t>
  </si>
  <si>
    <t>20250613_Affichage mural Soldes</t>
  </si>
  <si>
    <t>Bâches PGW 2024</t>
  </si>
  <si>
    <t>https://saranistudio.sharepoint.com/:f:/s/SaraniAssets/EtTo0WLGJ41CkMQyVvB-qQYBwyyjP4n--5F4ivHpSgw9cw?e=u5Fyvu</t>
  </si>
  <si>
    <t>Quote Proposal SFR - Bâches PGW 2024.pdf</t>
  </si>
  <si>
    <t>F2025-0416</t>
  </si>
  <si>
    <t>Créa Welcome to Alpha FY25</t>
  </si>
  <si>
    <t>https://saranistudio.sharepoint.com/:f:/s/SaraniAssets/ErjHvSdIc51BlrMPbnni_cgBoRj7Y2zAq-G7WdCwxHtCWg?e=mzHC4S</t>
  </si>
  <si>
    <t>Quote Proposal SFR - Créa Welcome to Alpha FY25.pdf</t>
  </si>
  <si>
    <t>F2025-0387</t>
  </si>
  <si>
    <t>Créas Student Cashback FY25</t>
  </si>
  <si>
    <t>20250613_Créas Student Cashback FY25</t>
  </si>
  <si>
    <t>Quote Proposal SFR - Créas Student Cashback FY25.pdf</t>
  </si>
  <si>
    <t>F2025-0392</t>
  </si>
  <si>
    <t>Paid 10/09/2025</t>
  </si>
  <si>
    <t>[Boulanger] Offres Soldes d'été</t>
  </si>
  <si>
    <t>20250616_[Boulanger] Offres Soldes d'été</t>
  </si>
  <si>
    <t>totem SATIS+</t>
  </si>
  <si>
    <t>20250624_totem SATIS+</t>
  </si>
  <si>
    <t>https://saranistudio-my.sharepoint.com/:b:/g/personal/team_sarani_studio/EcgdrjhWT4xJnEku1x5-K-cBtzz6sEX29HCSAnBuCHoUVA?e=DRhAWt</t>
  </si>
  <si>
    <t>F2025-0397</t>
  </si>
  <si>
    <t>[Boulanger] Shorts Vidéos XM6</t>
  </si>
  <si>
    <t>https://saranistudio.sharepoint.com/:f:/s/SaraniAssets/ErInWyu1AQZKrepegI6jdZsBSGGmkDerTjLmsZNnffuVvQ?e=GTORy7</t>
  </si>
  <si>
    <t>F2025-0473</t>
  </si>
  <si>
    <t xml:space="preserve">Bandeaux Muraux HE Boulanger </t>
  </si>
  <si>
    <t>20250624_Bandeaux Muraux HE Boulanger</t>
  </si>
  <si>
    <t>https://saranistudio-my.sharepoint.com/:b:/g/personal/team_sarani_studio/EUtfb9TD1SBFqN-VE3YmPsEBf3eGOY-SbkizIVSPB2sEcw?e=r7RdoN</t>
  </si>
  <si>
    <t>Mockup Theatralisation Fnac Forum</t>
  </si>
  <si>
    <t>20250605_Mockup Theatralisation Fnac Forum</t>
  </si>
  <si>
    <t>Quote Proposal SFR - Mockup Theatralisation Fnac Forum.pdf</t>
  </si>
  <si>
    <t>F2025-0494</t>
  </si>
  <si>
    <t>Paid 20/03/2026</t>
  </si>
  <si>
    <t xml:space="preserve">Vidéo WH1000XM6 | Vitrophanie Fnac Forum </t>
  </si>
  <si>
    <t>20250624_Vidéo WH1000XM6 Vitrophanie Fnac Forum</t>
  </si>
  <si>
    <t>https://saranistudio-my.sharepoint.com/:b:/g/personal/team_sarani_studio/EeoeAqFlo6FNv0NOiSzJomoBk-wFGfXn8USE3F_jyAUxkQ?e=bge2Tg</t>
  </si>
  <si>
    <t>F2025-0495</t>
  </si>
  <si>
    <t xml:space="preserve">MOCK-UP 3D - Extra work </t>
  </si>
  <si>
    <t>Quote Proposal SFR - MOCK-UP 3D - Extra work (1).pdf</t>
  </si>
  <si>
    <t>[Boulanger] Page de marque</t>
  </si>
  <si>
    <t>20250626_[Boulanger] Page de marque</t>
  </si>
  <si>
    <t>F2025-0472</t>
  </si>
  <si>
    <t>Vitrophanie NiceCap3000</t>
  </si>
  <si>
    <t>20250630_Vitrophanie NiceCap3000</t>
  </si>
  <si>
    <t xml:space="preserve">[Boulanger] Offres Soldes d'été extra version </t>
  </si>
  <si>
    <t>Créa Packs SCAN Camara</t>
  </si>
  <si>
    <t>20250701_Créa Packs SCAN Camara</t>
  </si>
  <si>
    <t>Quote Proposal SFR - Créa Packs SCAN Camara.pdf</t>
  </si>
  <si>
    <t>F2025-0418</t>
  </si>
  <si>
    <t>[Sony] Offres Braderie</t>
  </si>
  <si>
    <t>20250601_Offres Braderie</t>
  </si>
  <si>
    <t>BANNIERE ULT FIELD 5 – BOULANGER (extra versions)</t>
  </si>
  <si>
    <t>F2025-0474</t>
  </si>
  <si>
    <t xml:space="preserve">[Magasin Forum] Chevalet Jeu Concours - Extra version </t>
  </si>
  <si>
    <t>Batch 03</t>
  </si>
  <si>
    <t>https://saranistudio-my.sharepoint.com/:b:/g/personal/team_sarani_studio/EViHDJdYBQhGnJudELY5MMoBLM8KcCX_W4HDJ1ifmG71XQ?e=ow9Cqu</t>
  </si>
  <si>
    <t>Fiche Technique RING PHOTO (Juillet 2025)</t>
  </si>
  <si>
    <t>20250704_Fiche Technique RING PHOTO (Juillet 2025)</t>
  </si>
  <si>
    <t>https://saranistudio.sharepoint.com/:b:/s/SaraniAssets/EdGP-X4bYGpPj6UfY97aeS8Bd97V3S-TWXbNsx_zo8r8iw?e=IPx8DA</t>
  </si>
  <si>
    <t>F2025-0419</t>
  </si>
  <si>
    <t>Visuel combiné WTA + Cashback</t>
  </si>
  <si>
    <t>20250707_Visuel combiné WTA + Cashback</t>
  </si>
  <si>
    <t>Quote Proposal SFR - Visuel combiné WTA + Cashback.pdf</t>
  </si>
  <si>
    <t>F2025-0420</t>
  </si>
  <si>
    <t>Créa Haut de fronton FNAC</t>
  </si>
  <si>
    <t>https://saranistudio.sharepoint.com/:f:/s/SaraniAssets/EqTmqtQMDp1EvefeMCqHZIIB17wUQ1mSXFgAAS6bX9Zlzg?e=FNEatv</t>
  </si>
  <si>
    <t>Quote Proposal SFR - Créa Haut de fronton FNAC.pdf</t>
  </si>
  <si>
    <t>F2025-0421</t>
  </si>
  <si>
    <t xml:space="preserve">URGENT - BOULANGER ENGLOS (extra version) </t>
  </si>
  <si>
    <t>20250421_BOULANGER ENGLOS</t>
  </si>
  <si>
    <t>Quote Proposal SFR - URGENT - BOULANGER ENGLOS (extra version).pdf</t>
  </si>
  <si>
    <t>F2025-0490</t>
  </si>
  <si>
    <t>Post Malone Contest Poster</t>
  </si>
  <si>
    <t>20250708_Post Malone Contest Poster</t>
  </si>
  <si>
    <t>Quote Proposal SFR - Post Malone Contest Poster.pdf</t>
  </si>
  <si>
    <t>Demande Historique ZVE10 Pack FNAC</t>
  </si>
  <si>
    <t>20250709_Demande Historique ZVE10 Pack FNAC</t>
  </si>
  <si>
    <t>Quote Proposal SFR - Demande Historique ZVE10 Pack FNAC.pdf</t>
  </si>
  <si>
    <t>F2025-0489</t>
  </si>
  <si>
    <t xml:space="preserve">PDF Sony Picture Core 2025 </t>
  </si>
  <si>
    <t>20250709_PDF Sony Picture Core 2025</t>
  </si>
  <si>
    <t>Quote Proposal SFR - PDF Sony Picture Core 2025.pdf</t>
  </si>
  <si>
    <t>BANNIERE BOULANGER CASQUE H5</t>
  </si>
  <si>
    <t>https://saranistudio.sharepoint.com/:f:/s/SaraniAssets/EoYUpC6YiThAq8vBgz1vno8BIDRTeHID1l5qpvSUsweJRQ?e=78oZWj</t>
  </si>
  <si>
    <t>Quote Proposal SFR - BANNIERE BOULANGER CASQUE H5.pdf</t>
  </si>
  <si>
    <t xml:space="preserve">Boulanger - 2 créa pour le 10/07 </t>
  </si>
  <si>
    <t>Nathalie Kervarec</t>
  </si>
  <si>
    <t>20250710_Boulanger - 2 créa pour le 10.07</t>
  </si>
  <si>
    <t>Quote Proposal SFR - Boulanger - 2 créa pour le 10 07.pdf</t>
  </si>
  <si>
    <t>French Leaflet 2025</t>
  </si>
  <si>
    <t>20250715_French Leaflet 2025</t>
  </si>
  <si>
    <t>https://saranistudio.sharepoint.com/:b:/s/SaraniAssets/EYN6Mrh_mllPrWx9sIG-3sgBGhaBmi1wbG9l5BBdHHxpCg?e=YMb0FL</t>
  </si>
  <si>
    <t>BANNIERE BOULANGER LINKBUDS FIT PINK</t>
  </si>
  <si>
    <t>https://saranistudio-my.sharepoint.com/:b:/g/personal/team_sarani_studio/EVgFTAdvU_RFnFhJUhZGAvUBuNOZmfatP5ZrMxbMbiZOiA?e=AHCYEr</t>
  </si>
  <si>
    <t xml:space="preserve">XM6 - POTACO &amp; HANG-TAG extra version </t>
  </si>
  <si>
    <t>A4</t>
  </si>
  <si>
    <t>Quote Proposal SFR - XM6 - POTACO &amp; HANG-TAG extra version.pdf</t>
  </si>
  <si>
    <t>Créa 10 jours restants OP Summer</t>
  </si>
  <si>
    <t>https://saranistudio.sharepoint.com/:f:/s/SaraniAssets/Ej8msInygM5HnzqcCkp4c7gBKgT33JbMI34OzN9S3pZJLA?e=1evz1C</t>
  </si>
  <si>
    <t>Quote Proposal SFR - Créa 10 jours restants OP Summer.pdf</t>
  </si>
  <si>
    <t>F2025-0487</t>
  </si>
  <si>
    <t>Launch RX1RM3</t>
  </si>
  <si>
    <t>20250716_Launch RX1RM3</t>
  </si>
  <si>
    <t>Quote Proposal SFR - Launch RX1RM3 (1).pdf</t>
  </si>
  <si>
    <t>F2025-0488</t>
  </si>
  <si>
    <t>Webpop Award BRAVIA 8II</t>
  </si>
  <si>
    <t>https://saranistudio.sharepoint.com/:f:/s/SaraniAssets/EvjeFJ2SIylNuO6GIdPudekBeNah41nzhjiW_srihuPS2Q?e=bHxEjG</t>
  </si>
  <si>
    <t>Quote Proposal SFR - Webpop Award BRAVIA 8II.pdf</t>
  </si>
  <si>
    <t>IP&amp;S PRINT AO - parution Images et Nature</t>
  </si>
  <si>
    <t>Aurélie Chantrel</t>
  </si>
  <si>
    <t>20250715_IP&amp;S PRINT AO - parution Images et Nature</t>
  </si>
  <si>
    <t>Quote Proposal SFR - IPS PRINT AO - parution Images et Nature.pdf</t>
  </si>
  <si>
    <t>F2025-0496</t>
  </si>
  <si>
    <t>Waiting payment for 28/10/2025</t>
  </si>
  <si>
    <t>[Boulanger] Offre ZV1F CH520</t>
  </si>
  <si>
    <t>20250716_[Boulanger] Offre ZV1F CH520</t>
  </si>
  <si>
    <t>F2025-0475</t>
  </si>
  <si>
    <t>Waiting payment for  25/10/2025</t>
  </si>
  <si>
    <t xml:space="preserve">[Boulanger] Page de marque - bannieres </t>
  </si>
  <si>
    <t xml:space="preserve">Ajout logo WhatHifi Visuels Hero Page BRAVIA 8II </t>
  </si>
  <si>
    <t>20250721_Ajout logo WhatHifi Visuels Hero Page BRAVIA 8II</t>
  </si>
  <si>
    <t>Quote Proposal SFR - Ajout logo WhatHifi Visuels Hero Page BRAVIA 8II.pdf</t>
  </si>
  <si>
    <t xml:space="preserve">[Sony] L'avis des Experts - </t>
  </si>
  <si>
    <t>20250721_Sony L'avis des Experts - Bar6-System6</t>
  </si>
  <si>
    <t>https://saranistudio.sharepoint.com/:b:/s/SaraniAssets/EWUlYaAvk_xOj_-7zaUrI14BReHkJnrNk_x9Rji5VL7iuQ?e=NAUMsy</t>
  </si>
  <si>
    <t>Mise à jour page SONY Boulanger</t>
  </si>
  <si>
    <t>https://creativelicense.eu/tmp/sony/index.html</t>
  </si>
  <si>
    <t>https://saranistudio.sharepoint.com/:b:/s/SaraniAssets/ERIL3_ZjBxFOo7guZOUDpsABag5r3HV1sg7E3BlJOohBUw?e=ymxkcC</t>
  </si>
  <si>
    <t>F2025-0605</t>
  </si>
  <si>
    <t>Paid 10/12/2025</t>
  </si>
  <si>
    <t xml:space="preserve">ILV A4 Gaming </t>
  </si>
  <si>
    <t>https://saranistudio.sharepoint.com/:f:/s/SaraniAssets/EiNNj2KncRdIh4opGyF9lx0BRDXPju_uNudKO45XW3zLBg?e=hTZEEQ</t>
  </si>
  <si>
    <t>https://saranistudio.sharepoint.com/:b:/s/SaraniAssets/EReSDRQ-SwJGkBOcdPVIzz4BPfOoDPUdDllfzoA1uwi3AA?e=U2yuMn</t>
  </si>
  <si>
    <t>Asset Caques - Habillage Gondole Boulanger</t>
  </si>
  <si>
    <t>https://saranistudio.sharepoint.com/:f:/s/SaraniAssets/EpP23fXlHZ9PpeAxGvXM2MkBrS0VeRah4LIDNfVPXp6JaQ?e=EMpcje</t>
  </si>
  <si>
    <t>Quote Proposal SFR - Asset Caques - Habillage Gondole Boulanger.pdf</t>
  </si>
  <si>
    <t> Web Pop Bravia5</t>
  </si>
  <si>
    <t>2020728_Web Pop Bravia5</t>
  </si>
  <si>
    <t>https://saranistudio.sharepoint.com/:b:/s/SaraniAssets/EevpfKz2Cl1HmrrtqGEYIaABkBrDzxOWca8mWCwMQeI0BA?e=Om5WsE</t>
  </si>
  <si>
    <t>IP&amp;S PRINT AO - Parution Chasseur D'Images - Parution Septembre</t>
  </si>
  <si>
    <t>20250728_CHASSEUR D'I SEPT 2025</t>
  </si>
  <si>
    <t>Quote Proposal SFR - Parution Chasseur D'Images - Parution Septembre.pdf</t>
  </si>
  <si>
    <t>F2025-0524</t>
  </si>
  <si>
    <t>Webpop Awards MDR - Boulanger</t>
  </si>
  <si>
    <t>Primrose SEMILINKO</t>
  </si>
  <si>
    <t>20250716_Webpop Awards MDR - Boulanger</t>
  </si>
  <si>
    <t>Quote Proposal SFR - Webpop Awards MDR - Boulanger.pdf</t>
  </si>
  <si>
    <t>F2025-0592</t>
  </si>
  <si>
    <t>Waiting payment for 04/12/2025</t>
  </si>
  <si>
    <t>OP TRADE-IN SEPTEMBRE</t>
  </si>
  <si>
    <t>https://saranistudio.sharepoint.com/:f:/s/SaraniAssets/El6gT60XGn9GniAWGmiZiuUBMB45ocLXdhw1aNs37Hsohg?e=5hM2K0</t>
  </si>
  <si>
    <t>https://saranistudio.sharepoint.com/:b:/s/SaraniAssets/Ef8wFChZg85Bmi08K8pAK1wBq9Rcq1RO87fCtJ2eW8jLeg?e=A0o9Me</t>
  </si>
  <si>
    <t>F2025-0522</t>
  </si>
  <si>
    <t>Créas mock-up boites FNAC</t>
  </si>
  <si>
    <t>20250813_Créas mock-up boites FNAC</t>
  </si>
  <si>
    <t>https://saranistudio.sharepoint.com/:b:/s/SaraniAssets/EUW5CA3HiU1Djp8xLXWIIm8BEZlj02mX9XfGMFBZFRy-qA?e=GMKkQ4</t>
  </si>
  <si>
    <t>F2025-0526</t>
  </si>
  <si>
    <t xml:space="preserve">Inlay Roissy T1 </t>
  </si>
  <si>
    <t>20240808_POS OFFLINE WF-510</t>
  </si>
  <si>
    <t>dg</t>
  </si>
  <si>
    <t>SONY - INZONE H9 II / E9 : FICHE PRODUIT x2</t>
  </si>
  <si>
    <t>https://saranistudio.sharepoint.com/:f:/s/SaraniAssets/EmpPXmUsMeJJg_hJXKTIEmUBUsFGJBRWaNGVzTmAgkUSTA?e=sKksQh</t>
  </si>
  <si>
    <t>https://saranistudio.sharepoint.com/:b:/s/SaraniAssets/EaW_j75-2ihJr79580vNP1YBOlZUAvuhjZj14Mw7UhBUSQ?e=gdLWdG</t>
  </si>
  <si>
    <t>F2025-0590</t>
  </si>
  <si>
    <t>Paid 03/12/2025</t>
  </si>
  <si>
    <t>LANCEMENT INZONE</t>
  </si>
  <si>
    <t>20250819_Lancement INZONE</t>
  </si>
  <si>
    <t>https://saranistudio.sharepoint.com/:b:/s/SaraniAssets/ET9m5ekRt5hHv36UFbY4zhgBZnTwC_EqLR86Bx0YwX2sxg?e=3a1eoV</t>
  </si>
  <si>
    <t>BOULANGER | Offre XM6</t>
  </si>
  <si>
    <t>20250819_BOULANGER Offre XM6</t>
  </si>
  <si>
    <t>https://saranistudio.sharepoint.com/:b:/s/SaraniAssets/ERBKXR2MquROgWIi7cIbo9sBYdaZemItxRpE_kpyFPKYsQ?e=8q1eQv</t>
  </si>
  <si>
    <t>F2025-0645</t>
  </si>
  <si>
    <t>Paid 18/02/2026</t>
  </si>
  <si>
    <t>Creas Plan Beat Sigma</t>
  </si>
  <si>
    <t>Jordan Sabatier</t>
  </si>
  <si>
    <t>https://saranistudio.sharepoint.com/:f:/s/SaraniAssets/ElDlZfoy5yhAnN1tK7zuXfwBUzJMFt1NN6TA-zyoEDoVIA?e=KO4ldr</t>
  </si>
  <si>
    <t>https://saranistudio.sharepoint.com/:b:/s/SaraniAssets/Edyl4Hp6LnFOiWX5_NRJK-wBlgeIc0xqas-5CcNq6ivrOQ?e=wiLQZT</t>
  </si>
  <si>
    <t>F2025-0525</t>
  </si>
  <si>
    <t xml:space="preserve">BOULANGER | EMS BackToSchool </t>
  </si>
  <si>
    <t>20250804_BOULANGER EMS BackToSchool</t>
  </si>
  <si>
    <t>https://saranistudio.sharepoint.com/:b:/s/SaraniAssets/EYQpnjgfzJdHtexIXhMdJrkBH5gzObGBSK6aRovv1IKgfg?e=QEcO60</t>
  </si>
  <si>
    <t>F2025-0497</t>
  </si>
  <si>
    <t>MEDIA / Double page catalogue CAMARA 2026 - URGENCE</t>
  </si>
  <si>
    <t>https://saranistudio.sharepoint.com/:f:/s/SaraniAssets/Epi9M0QjZYxNmozuQSkHneYBIfdTH7ke6jDBNnnlV1jb5Q?e=Ng2D6D</t>
  </si>
  <si>
    <t>https://saranistudio.sharepoint.com/:b:/s/SaraniAssets/EcvlMtkdawZApzyKxefRRPgB1kOfy39FFtgNELmv2URM-w?e=ScjKfY</t>
  </si>
  <si>
    <t>Brief Gondole Casques - BUT</t>
  </si>
  <si>
    <t>20250813_Brief Gondole Casques - BUT</t>
  </si>
  <si>
    <t>https://saranistudio.sharepoint.com/:b:/s/SaraniAssets/EddtYUmqNjdDiaswOvpFL8sBGChc60asqC3FlRk0c8O1ag?e=wiNg7r</t>
  </si>
  <si>
    <t>F2026-0034</t>
  </si>
  <si>
    <t>Paid 25/03/2026</t>
  </si>
  <si>
    <t>Créas Winter Cashback 2025 - ONLINE</t>
  </si>
  <si>
    <t>https://saranistudio.sharepoint.com/:f:/s/SaraniAssets/EiO_eDG7l09AuX-cj8QR_IUBmZFigmrH4_YwG_yEu3KYZw?e=OTIB9X</t>
  </si>
  <si>
    <t>https://saranistudio.sharepoint.com/:b:/s/SaraniAssets/Ef9Ai55hTUBOlsbo6JPyVocB7d-5-i_FUjp_Q6b2hLJbTA?e=yHbVqd</t>
  </si>
  <si>
    <t>F2025-0585</t>
  </si>
  <si>
    <t>BOULANGER - Newsletter Sony Month</t>
  </si>
  <si>
    <t>https://saranistudio.sharepoint.com/:f:/s/SaraniAssets/EqDV4IbFiDZNrFKIPhegDUMBPUDup8CdjGlWls3qEJd1gw?e=YOETLT</t>
  </si>
  <si>
    <t>https://saranistudio.sharepoint.com/:b:/s/SaraniAssets/ET7B8TOZ1aZIkI6KKREmddIBYHhpUjKe2PCiTPU1GA9nNA?e=5S6imW</t>
  </si>
  <si>
    <t>F2025-0607</t>
  </si>
  <si>
    <t>MEDIA / Créa pour parution double page PHOX 2025</t>
  </si>
  <si>
    <t>20250904_Créa pour parution double page PHOX 2025</t>
  </si>
  <si>
    <t>https://saranistudio.sharepoint.com/:b:/s/SaraniAssets/EWLHwkGGS-1KoEPqEjkQRvIBXhtC-3nBrFFbpr5_IShxzQ?e=dATBHm</t>
  </si>
  <si>
    <t>MEDIA / AO DIGITAL IP&amp;S - Septembre 2025</t>
  </si>
  <si>
    <t>20250904_AO DIGITAL IP&amp;S - Septembre 2025</t>
  </si>
  <si>
    <t>https://saranistudio.sharepoint.com/:b:/s/SaraniAssets/EVZVcUPmi29OpdB469e6IbwBpawcVz81CVYF-PqKTsg_2g?e=eULFPD</t>
  </si>
  <si>
    <t>BOULANGER | Affichage mural</t>
  </si>
  <si>
    <t>https://saranistudio.sharepoint.com/:f:/s/SaraniAssets/ErDbQeO7KKZAkXGQOpUE_yoBCp6n3W5Dj8_0NuLZ6-rxVg?e=203Psa</t>
  </si>
  <si>
    <t>https://saranistudio.sharepoint.com/:b:/s/SaraniAssets/Ecw8Te8r3_pGqrWCK52oa98BPrxCnvx_W2lzk1BzKpRHBA?e=ZsDwnF</t>
  </si>
  <si>
    <t>F2025-0633</t>
  </si>
  <si>
    <t>Paid 17/12/2025</t>
  </si>
  <si>
    <t>Mise en forme lettre mailing CB Student</t>
  </si>
  <si>
    <t>20250909_Mise en forme lettre mailing CB Student</t>
  </si>
  <si>
    <t>https://saranistudio.sharepoint.com/:b:/s/SaraniAssets/EZALtLH9vZJNprrZBo7B1hcBGIRg1xFyA9Mc2-H7_mWBzA?e=cZV07n</t>
  </si>
  <si>
    <t>F2025-0582</t>
  </si>
  <si>
    <t>Créa Mock-up pack FNAC ZV1A</t>
  </si>
  <si>
    <t>20250909_Créa Mock-up pack FNAC ZV1A</t>
  </si>
  <si>
    <t>https://saranistudio.sharepoint.com/:b:/s/SaraniAssets/EVCUtV_ZU05KopL0Td55-OoBntw606Vb1lBA9sUN7T7NSw?e=38BGsv</t>
  </si>
  <si>
    <t>F2025-0583</t>
  </si>
  <si>
    <t>RECAP TEST - Bravia 8 II / Labo Fnac</t>
  </si>
  <si>
    <t>20250909_RECAP TEST - Bravia 8 II Labo Fnac</t>
  </si>
  <si>
    <t>https://saranistudio.sharepoint.com/:b:/s/SaraniAssets/EbarRLXIgAJPkiG_nOInMxIBIftOgi8vAcIPuf2EaCNjZA?e=kwAMLh</t>
  </si>
  <si>
    <t>MEDIA / Format pour page pub Festival de Chamonix</t>
  </si>
  <si>
    <t>https://saranistudio.sharepoint.com/:f:/s/SaraniAssets/ErhpD4XNgWhNmnbWnfzvtM4BV_UckuJZAfGqIxIa3X4dwA?e=bZoEVC</t>
  </si>
  <si>
    <t>https://saranistudio.sharepoint.com/:b:/s/SaraniAssets/EbHeLbTmJ69IsHAwKsyRnDIBi7YuotudvIs5Y8Y2YZujHQ?e=5VecPU</t>
  </si>
  <si>
    <t>F2025-0591</t>
  </si>
  <si>
    <t>Paid 02/12/2025</t>
  </si>
  <si>
    <t>MAJ Leaflet optique FY25</t>
  </si>
  <si>
    <t>20250911_MAJ Leaflet optique FY25</t>
  </si>
  <si>
    <t>https://saranistudio.sharepoint.com/:b:/s/SaraniAssets/EQ1S78iggVlPspLYa0OSg_sB-RBDznO0hZDof6i_UZ90ng?e=cjkfHw</t>
  </si>
  <si>
    <t>F2025-0581</t>
  </si>
  <si>
    <t>Fiche Produit pour écouteurs Intra MDR</t>
  </si>
  <si>
    <t>https://saranistudio.sharepoint.com/:f:/s/SaraniAssets/EpizfA758rROsbhe1mWymlgBPO1BJARr45GLoWNTU9o8MA?e=MNQR8n</t>
  </si>
  <si>
    <t>https://saranistudio.sharepoint.com/:b:/s/SaraniAssets/EbOPMM9T04NIpanBMj6gCPsB9kJKQJeLLVCtRc9ILOFZcw?e=IRJYTq</t>
  </si>
  <si>
    <t>F2026-0020</t>
  </si>
  <si>
    <t>OP DI WINTER FY25_ BRIEF PRINT</t>
  </si>
  <si>
    <t>20250916_OP DI WINTER FY25_ BRIEF PRINT</t>
  </si>
  <si>
    <t>https://saranistudio.sharepoint.com/:b:/s/SaraniAssets/ETyNuOL8FSJFuh5Oz4oYZqcBp0vI2X_HhttDC1biIqZXMg?e=zlfd3r</t>
  </si>
  <si>
    <t>F2025-0584</t>
  </si>
  <si>
    <t>IP&amp;S PRINT AO / Images et Nature Parution Octobre</t>
  </si>
  <si>
    <t>20250917_IP&amp;S PRINT AO Images et Nature Parution Octobre</t>
  </si>
  <si>
    <t>https://saranistudio.sharepoint.com/:b:/s/SaraniAssets/EeevQRoaT69GtQ3xC-JhWz0BHgjuJKueD14fRN9dcjqVUQ?e=KBhylM</t>
  </si>
  <si>
    <t>F2025-0587</t>
  </si>
  <si>
    <t>IP&amp;S PRINT AO / Chasseur d'Images Parution Octobre</t>
  </si>
  <si>
    <t>20250917_IP&amp;S PRINT AO Chasseur d'Images Parution Octobre</t>
  </si>
  <si>
    <t>https://saranistudio.sharepoint.com/:b:/s/SaraniAssets/ER9o8MM_iztMtPrih9WerGYBAHMMfRC9jR-UEfFgrEZKlg?e=UWUGNd</t>
  </si>
  <si>
    <t>SIMUL Merch FNAC update</t>
  </si>
  <si>
    <t>https://saranistudio.sharepoint.com/:f:/s/SaraniAssets/EjFSjDYzorNLgbn7yPkR_ssB1ksnxWQioy4SwdjyScB89A?e=ZnxX8e</t>
  </si>
  <si>
    <t>Quote Proposal SFR - SIMUL Merch FNAC update.pdf</t>
  </si>
  <si>
    <t>F2025-0602</t>
  </si>
  <si>
    <t>Assets Offre de Reprise Boulanger</t>
  </si>
  <si>
    <t>20250917_Assets Offre de Reprise Boulanger</t>
  </si>
  <si>
    <t>https://saranistudio.sharepoint.com/:b:/s/SaraniAssets/ESk0XpibJZ5HsDF9DzengdQBECLjNRFpNsA98XT1cOn_eQ?e=yL4Cgi</t>
  </si>
  <si>
    <t>MAJ Leaflet Hybride FY25</t>
  </si>
  <si>
    <t>20250918_MAJ Leaflet optique FY25</t>
  </si>
  <si>
    <t>https://saranistudio.sharepoint.com/:b:/s/SaraniAssets/EccbHat-mHpCvZX7aOciwwUBGMVNMCakja82azOeYBnDYA?e=y6UU6V</t>
  </si>
  <si>
    <t>Sword Media - Sony Month Boulanger</t>
  </si>
  <si>
    <t>https://saranistudio.sharepoint.com/:f:/s/SaraniAssets/EinXtZm9PXJEmWkTYc895NIBP3mpwCo0ehe4hTLKL2__Yg?e=oZ8xkz</t>
  </si>
  <si>
    <t>https://saranistudio.sharepoint.com/:b:/s/SaraniAssets/Edv3eomleOhDnJEpsONWM5gBBV4eYvVy_sTE9nk0PL26Zg?e=nj9Y5p</t>
  </si>
  <si>
    <t>F2025-0606</t>
  </si>
  <si>
    <t>Logo awards XM6 et Bravia 8 II</t>
  </si>
  <si>
    <t>20250922_Logo awards XM6 et Bravia 8 II</t>
  </si>
  <si>
    <t>https://saranistudio.sharepoint.com/:b:/s/SaraniAssets/EW0M21KdJg1It9oyeAqeZYgBqrTZNbrYZ5f8UeBA1L0Kmg?e=mgyPsQ</t>
  </si>
  <si>
    <t>F2025-0588</t>
  </si>
  <si>
    <t>PANNEAU ROAD TO ZERO</t>
  </si>
  <si>
    <t>https://saranistudio.sharepoint.com/:f:/s/SaraniAssets/EovhzY5HoCRHpKaboeRTMeABCpPpctuEEVe6WqoR-V73pQ?e=hduBuO</t>
  </si>
  <si>
    <t>https://saranistudio.sharepoint.com/:b:/s/SaraniAssets/EZdLpqo-DdZOibOK_TA_nIgB6eTOWBGroSbkou7eys7BSg?e=F1iXp4</t>
  </si>
  <si>
    <t>F2025-0601</t>
  </si>
  <si>
    <t>MAJ Countermat FY25</t>
  </si>
  <si>
    <t>https://saranistudio.sharepoint.com/:f:/s/SaraniAssets/EqQZAV4Ak8JPtosf7yC1nVsBZMkRLbbCDZOSgEUO6Yd4bw?e=qwMZLf</t>
  </si>
  <si>
    <t>https://saranistudio.sharepoint.com/:b:/s/SaraniAssets/Edql_QrA1SFGjYgJPiCNSJ4Bd5GL8dZvr1pnHjf6Khx0iQ?e=2N7uaf</t>
  </si>
  <si>
    <t>BRIEF COI</t>
  </si>
  <si>
    <t>20250923_BRIEF COI</t>
  </si>
  <si>
    <t>https://saranistudio.sharepoint.com/:b:/s/SaraniAssets/EcmdiwBw0ytEh310L84OdD8Beair6xvkKu0DV4SvLeB2jg?e=e0lgGj</t>
  </si>
  <si>
    <t>F2025-0600</t>
  </si>
  <si>
    <t>Pack Scan Q3 MAJ</t>
  </si>
  <si>
    <t>https://saranistudio.sharepoint.com/:b:/s/SaraniAssets/EXt0zZBfkC9LnyHIodhn4HoB1x_IsiLu_CPUAvxot9TqwA?e=ZyL9EU</t>
  </si>
  <si>
    <t>F2025-0580</t>
  </si>
  <si>
    <t xml:space="preserve">Créa Bannières SONY MONTH Boulanger - ZVE10 II </t>
  </si>
  <si>
    <t>20250924_Bannière ZV-E10 II Sony Month Boulanger</t>
  </si>
  <si>
    <t>https://saranistudio.sharepoint.com/:b:/s/SaraniAssets/EXpmaGX2_LFFoIb6o4s1AzwB_oaY5oIy5uyoIBq8WUu06A?e=hlNNfa</t>
  </si>
  <si>
    <t>F2025-0608</t>
  </si>
  <si>
    <t>SFR - French Day Boulanger bannière</t>
  </si>
  <si>
    <t>https://saranistudio.sharepoint.com/:f:/s/SaraniAssets/EvN76BP8oSRKp1PJeQPTonQBo-etRTp3TaMPhiIQ8fEE0w?e=lrgawL</t>
  </si>
  <si>
    <t>https://saranistudio.sharepoint.com/:b:/s/SaraniAssets/EdoVukeJWXxCgqQ5kAc8kNYB3YU4Ysx6IGIkzSNkuN7qcQ?e=qWpyAj</t>
  </si>
  <si>
    <t>OA MDR Q423</t>
  </si>
  <si>
    <t>F2025-0015</t>
  </si>
  <si>
    <t>CREA SLDP_ACCESSIBILITE</t>
  </si>
  <si>
    <t>20250925_CREA SLDP_ACCESSIBILITE</t>
  </si>
  <si>
    <t>https://saranistudio.sharepoint.com/:b:/s/SaraniAssets/Ed9C7mRSpq5HivuWFpThNKgBS6TPwh8CNYUs2V93GVXOiQ?e=NZvyUA</t>
  </si>
  <si>
    <t>Traduction vidéo accessibilité</t>
  </si>
  <si>
    <t>https://saranistudio.sharepoint.com/:f:/s/SaraniAssets/EqSRglcmE1dBjd04l5Je-tMBtuKl3BYyYL_QFQYGIfWZ2Q?e=0Dh4aO</t>
  </si>
  <si>
    <t>https://saranistudio.sharepoint.com/:b:/s/SaraniAssets/EX9-EvtE6-1KttUwWXl38NsBT-dDemgd98_SxfXs5iO-Rg?e=JPLA8M</t>
  </si>
  <si>
    <t>Sony extra banners Sony Month</t>
  </si>
  <si>
    <t>https://saranistudio.sharepoint.com/:b:/s/SaraniAssets/Ecm62Y1MipJFpqWQ5Te7gv0BG4N2HD815dc_mu78XfOWMw?e=kpTSDf</t>
  </si>
  <si>
    <t>Newsletter assets for Boulanger trade-in offers</t>
  </si>
  <si>
    <t>https://saranistudio.sharepoint.com/:f:/s/SaraniAssets/EsFcZSU_5BBEl-ww452nWFcB51G5oaPdQ93kARXqFVYQIQ?e=MXP2tG</t>
  </si>
  <si>
    <t>https://saranistudio.sharepoint.com/:b:/s/SaraniAssets/EaNlwXaW0rpDjYMa3PzB9eQBxuHuIQCFgTu6-i-cDm9LNA?e=AqMyxv</t>
  </si>
  <si>
    <t xml:space="preserve">Banner Nouveauté </t>
  </si>
  <si>
    <t>20250929_Banner Nouveauté</t>
  </si>
  <si>
    <t>https://saranistudio.sharepoint.com/:b:/s/SaraniAssets/EUwnZt0p05tBjqTdernVkysBSiEcgbxcqHbEY0pnpmw8KA?e=Y5ie2i</t>
  </si>
  <si>
    <t>F2025-0579</t>
  </si>
  <si>
    <t>CREA HABILLAGE BOULANGER VILLARS</t>
  </si>
  <si>
    <t>https://saranistudio.sharepoint.com/:f:/s/SaraniAssets/EnOdVCpOMRBDvOXu0R1SS1cBuYetBUZMK1moazn7p0pgWQ?e=kZUCva</t>
  </si>
  <si>
    <t>https://saranistudio.sharepoint.com/:b:/s/SaraniAssets/EaFLU82L4sBIrRwiHLyKOOYBkxsCXVLp-guBfiSUVzQBOA?e=gZGe5d</t>
  </si>
  <si>
    <t>MEDIA / AO DIGITAL IP&amp;S - Octobre 2025</t>
  </si>
  <si>
    <t xml:space="preserve">                                                                                                                     </t>
  </si>
  <si>
    <t>https://saranistudio.sharepoint.com/:f:/s/SaraniAssets/EjdF87-SgFVOmzaXcJfEr30BwZ-YMIb-DSxHzaWTETSA8w?e=q2QV6P</t>
  </si>
  <si>
    <t>https://saranistudio.sharepoint.com/:b:/s/SaraniAssets/ETfipLzgiFtAiKfj1bhxslQBEfl3SpRnC46iCAOfC7zBbg?e=Ksrjyi</t>
  </si>
  <si>
    <t>F2025-0604</t>
  </si>
  <si>
    <t>Brief visuels marques table &amp; TG casques BOULANGER x SONY</t>
  </si>
  <si>
    <t>https://saranistudio.sharepoint.com/:f:/s/SaraniAssets/EnuhdrrsW2hDtnVNB28CTzIB5ZnWXiekkWVt44s_yMeQOg?e=0rdBgX</t>
  </si>
  <si>
    <t>https://saranistudio.sharepoint.com/:b:/s/SaraniAssets/EW3Mc2-_FxFMlEqr45jpkPAB1dBrjeCbqd0pajyNt47x9Q?e=bQHuym</t>
  </si>
  <si>
    <t>F2026-0017</t>
  </si>
  <si>
    <t>Waiting payment for 16/03/2026</t>
  </si>
  <si>
    <t>UPDATE PATACO WF-510 710 &amp; WH-C720</t>
  </si>
  <si>
    <t>https://saranistudio.sharepoint.com/:f:/s/SaraniAssets/EjOuMCmQMyFDklS6ab5J-O4BNkrS-Tih4Yda9x2Vgh2exA?e=Oi1dCZ</t>
  </si>
  <si>
    <t>https://saranistudio.sharepoint.com/:b:/s/SaraniAssets/Eclxq22mnMFCvaqZPRgZutcBD65Xnzi4NNImoWbo8pKqIw?e=tY94jt</t>
  </si>
  <si>
    <t>WEB POP INZONE H9 II FNAC &amp; BOULANGER</t>
  </si>
  <si>
    <t>https://saranistudio.sharepoint.com/:f:/s/SaraniAssets/EskWKfk53g1DgskQkw2t_vcBvvN0Zb-Peps4KZcTj8_zyQ?e=tpux3V</t>
  </si>
  <si>
    <t>https://saranistudio.sharepoint.com/:b:/s/SaraniAssets/EWWFCAtUk_JOv7od-ekIjpoB_FcjSARHLv-VGqaIOxZBVQ?e=PmfFws</t>
  </si>
  <si>
    <t>F2026-0033</t>
  </si>
  <si>
    <t>Vidéos Affichage Casques/Ecouteurs RELAY</t>
  </si>
  <si>
    <t>20251006_Vidéos Affichage Casques-Ecouteurs RELAY</t>
  </si>
  <si>
    <t>https://saranistudio.sharepoint.com/:b:/s/SaraniAssets/ETJIVSyHRJhChyqJqoVsCw0BmEvUcOUuygfxqY04-VEYpQ?e=h6ezEp</t>
  </si>
  <si>
    <t>December</t>
  </si>
  <si>
    <t>F2025-0766</t>
  </si>
  <si>
    <t>Waiting payment for 27/01/2026</t>
  </si>
  <si>
    <t>IP&amp;S PRINT AO / Chasseur d'Images Parution Novembre</t>
  </si>
  <si>
    <t>20251013_Chasseur d'Images Parution Novembre</t>
  </si>
  <si>
    <t>https://saranistudio.sharepoint.com/:b:/s/SaraniAssets/Ecu0u-RF12hBvFeCE-ThG5IByXQV_Z3M3-1SyPX3h7EnCw?e=T4BNxQ</t>
  </si>
  <si>
    <t>F2025-0644</t>
  </si>
  <si>
    <t>Paid 23/12/2025</t>
  </si>
  <si>
    <t xml:space="preserve">Emailing ADF et Studio Sport Dentiste </t>
  </si>
  <si>
    <t>https://saranistudio.sharepoint.com/:f:/s/SaraniAssets/Em24-XlGphFIgkBOC70CwWgBsIcbGYigIXjNjTEEB-v-oQ?e=hYGbKO</t>
  </si>
  <si>
    <t>https://saranistudio.sharepoint.com/:b:/s/SaraniAssets/EbRxdaHlY2VKow7sobUO_QYBgezbdfBOdPTOoCl3q43COw?e=JfezvP</t>
  </si>
  <si>
    <t>Ds systeme</t>
  </si>
  <si>
    <t>F2025-0739</t>
  </si>
  <si>
    <t>Paid 21/01/2026</t>
  </si>
  <si>
    <t>BRIEF HABILLAGE PANIERE XM6 &amp; INZONE</t>
  </si>
  <si>
    <t>20251006_BRIEF HABILLAGE PANIERE XM6 &amp; INZONE</t>
  </si>
  <si>
    <t>https://saranistudio.sharepoint.com/:b:/s/SaraniAssets/EVZovOQmH3ZHt6cW5lDYb_kBaZClLVtSTLWmb3fFJFN3cg?e=WSncAm</t>
  </si>
  <si>
    <t>F2026-0002</t>
  </si>
  <si>
    <t xml:space="preserve">Créas Winter Cashback 2025 - ONLINE extra assets </t>
  </si>
  <si>
    <t>https://saranistudio.sharepoint.com/:b:/s/SaraniAssets/EZkxF_afamJNmQYZjOqEDaQB3lpm---siiUSkD-hOMoPSA?e=FEI77y</t>
  </si>
  <si>
    <t>WEB POP INZONE E9 FNAC &amp; BOULANGER</t>
  </si>
  <si>
    <t>20251015_WEB POP INZONE E9 FNAC &amp; BOULANGER</t>
  </si>
  <si>
    <t>https://saranistudio.sharepoint.com/:b:/s/SaraniAssets/EYgnzrkpN5tOpMX6OhX0GaIBLczSrs3GpDpW6lHTBnBvNQ?e=F35OH6</t>
  </si>
  <si>
    <t>MEDIA / Assets CROSS opés Noël 2025</t>
  </si>
  <si>
    <t>MEDIA - Assets CROSS opés Noël 2025</t>
  </si>
  <si>
    <t>https://saranistudio.sharepoint.com/:b:/s/SaraniAssets/EQHW655USxVGjlg30-N4b-MBfO_PukzLatR2QcrHA94X8w?e=78t9Es</t>
  </si>
  <si>
    <t>F2025-0692</t>
  </si>
  <si>
    <t>Brief MEG Casques ULT/1000X</t>
  </si>
  <si>
    <t>20251016_Brief MEG Casques ULT-1000X</t>
  </si>
  <si>
    <t>https://saranistudio.sharepoint.com/:b:/s/SaraniAssets/EYkAsIaQ31VGlS5hebE9Dy0BGivQFFlhqu636UVYP1YNEw?e=Woz4MZ</t>
  </si>
  <si>
    <t>F2025-0762</t>
  </si>
  <si>
    <t>Paid 28/01/2026</t>
  </si>
  <si>
    <t>CREA STOP RAYON ULT FIELD 3</t>
  </si>
  <si>
    <t>20251017_CREA STOP RAYON ULT FIELD 3</t>
  </si>
  <si>
    <t>Quote Proposal SFR - STOP RAYON ULT FIELD 3.pdf</t>
  </si>
  <si>
    <t>F2025-0691</t>
  </si>
  <si>
    <t>Waiting payment for 04/01/2026</t>
  </si>
  <si>
    <t>https://saranistudio.sharepoint.com/:b:/s/SaraniAssets/ETShlErXUIFGpErdioLEAf8B3KG_NDBS6CMa8ScUVGCiOA?e=wptA1v</t>
  </si>
  <si>
    <t>Signature A1 II</t>
  </si>
  <si>
    <t>20251020_Signature A1 II</t>
  </si>
  <si>
    <t>https://saranistudio.sharepoint.com/:b:/s/SaraniAssets/EQwOA5kfmXhGorH18KHUHTQB-DCA6RYRO1oYer0jJMvRkQ?e=9TOwqN</t>
  </si>
  <si>
    <t>F2025-0741</t>
  </si>
  <si>
    <t>Bandeaux Muraux HE Boulanger</t>
  </si>
  <si>
    <t>https://saranistudio.sharepoint.com/:b:/s/SaraniAssets/EQktZ0mgoYhJrejYBOb1fR0B9yWxoXtvYYqr_ihX7mr7HQ?e=Vh5v5o</t>
  </si>
  <si>
    <t>F2026-0061</t>
  </si>
  <si>
    <t>Waiting payment for 17/04/2026</t>
  </si>
  <si>
    <t>Projet Valise Sony X Camara</t>
  </si>
  <si>
    <t>https://saranistudio.sharepoint.com/:f:/s/SaraniAssets/El4UzcdVGXBCh4T-xpM0yzABgeOh0mRaH0UtDLZSMk9VwQ?e=5uawXh</t>
  </si>
  <si>
    <t>https://saranistudio.sharepoint.com/:b:/s/SaraniAssets/EdwWnYB2US9HqThPGzIARhcBUVA5lb-SZ6vBq90MN8oJ9g?e=Ln0Z42</t>
  </si>
  <si>
    <t>F2025-0729</t>
  </si>
  <si>
    <t>BRIEF BANNIERE BLACK FRIDAY extra versions</t>
  </si>
  <si>
    <t xml:space="preserve">Ophélie Veneau </t>
  </si>
  <si>
    <t>https://saranistudio.sharepoint.com/:f:/s/SaraniAssets/Eo4-sg-WsfRMmbTNZlWBnokB6h1w53OBNgghMEzAWhHt6w?e=5pIxMt</t>
  </si>
  <si>
    <t>20251003_Quote_Sony_BF Extra versions.pdf</t>
  </si>
  <si>
    <t xml:space="preserve">4300145266
</t>
  </si>
  <si>
    <t>F2025-0730</t>
  </si>
  <si>
    <t>Paid 20/01/2026</t>
  </si>
  <si>
    <t xml:space="preserve">BRIEF BANNIERE BLACK FRIDAY </t>
  </si>
  <si>
    <t>20251003_Quote_Sony_BANNIERE BLACK FRIDAY.pdf</t>
  </si>
  <si>
    <t>F2025-0745</t>
  </si>
  <si>
    <t>Brief Magnet - Bonus Rachat Boulanger</t>
  </si>
  <si>
    <t>20251021_Brief Magnet - Bonus Rachat Boulanger</t>
  </si>
  <si>
    <t>https://saranistudio.sharepoint.com/:b:/s/SaraniAssets/IQA7QAhMmwBPRoX8_YbFN1v3AcL8DpeM_YTabEduql4vHL8?e=2HeuxM</t>
  </si>
  <si>
    <t>Brief Etiquette Arceau ULT/M5/M6</t>
  </si>
  <si>
    <t>20251021_Brief Etiquette Arceau</t>
  </si>
  <si>
    <t>https://saranistudio.sharepoint.com/:b:/s/SaraniAssets/IQBl6AMm489PSYiuqOHyT6t5AeDsTIpDCubyBAvE0Bh7lek?e=7bWQWf</t>
  </si>
  <si>
    <t xml:space="preserve">Boulanger Englos/Dunkerque </t>
  </si>
  <si>
    <t>20251021_Boulanger Englos-Dunkerque</t>
  </si>
  <si>
    <t>https://saranistudio.sharepoint.com/:b:/s/SaraniAssets/IQBNKWvXf4QWS7bd77WghfL7ASH0a_Crh5eccvNiHuf-2vU?e=jZ06lu</t>
  </si>
  <si>
    <t>F2025-0763</t>
  </si>
  <si>
    <t>MEDIA / AO DIGITAL IP&amp;S - Novembre 2025</t>
  </si>
  <si>
    <t>https://saranistudio.sharepoint.com/:f:/s/SaraniAssets/EqsKohgyUEVJrK3fPPhi4rUB_JNsiF87rXcRGo036U0xVg?e=Vpnu2T</t>
  </si>
  <si>
    <t>https://saranistudio.sharepoint.com/:b:/s/SaraniAssets/EQBR-ZFi9ihGhO4ML5YYZUIBsOHUrAXlYTatNEp1zrB1MQ?e=h3Sc9A</t>
  </si>
  <si>
    <t>F2025-0738</t>
  </si>
  <si>
    <t>HABILLAGE PANIERE XM6 &amp; INZONE extra version</t>
  </si>
  <si>
    <t>https://saranistudio.sharepoint.com/:b:/s/SaraniAssets/ER3eipcibBZIpLjQwNud0uQBU-tcU_EcRpUo9lpmfW6ZUQ?e=BFFwcT</t>
  </si>
  <si>
    <t>URGENT_OP PRT NOVEMBRE</t>
  </si>
  <si>
    <t>20251105_URGENT_OP PRT NOVEMBRE</t>
  </si>
  <si>
    <t>https://saranistudio.sharepoint.com/:b:/s/SaraniAssets/IQBaSs4l4otgSZiSgzwKNYTOAT-zACekcQFFHpaTle6lYYo?e=tmY65h</t>
  </si>
  <si>
    <t>F2025-0740</t>
  </si>
  <si>
    <t>ETIQUETTE FNAC_BOITIER ET OPTIQUES - extra versions</t>
  </si>
  <si>
    <t>https://saranistudio.sharepoint.com/:f:/s/SaraniAssets/Ek5inBbicDJGnf4gVMtVyhUBdI3tCoYKKRUbnIzoieCpVg?e=PP9FMq</t>
  </si>
  <si>
    <t>https://saranistudio.sharepoint.com/:b:/s/SaraniAssets/IQCiUvDRz22VQZxIM1nEO-i9Af5cX05c22NdAvFfXlgOy2Y?e=RgdmSs</t>
  </si>
  <si>
    <t>F2025-0742</t>
  </si>
  <si>
    <t>MEDIA / Assets BF 1</t>
  </si>
  <si>
    <t>https://saranistudio.sharepoint.com/:f:/s/SaraniAssets/EkrcDVztF0JOrhgk_KL-3nwBDu8FXRv_ftF8wSVqZ0phJA?e=vEowHV</t>
  </si>
  <si>
    <t>https://saranistudio-my.sharepoint.com/:b:/g/personal/team_sarani_studio/EazWhIbpm69JupMv-TgO4g8BHhLiIyD10RR4j8aAmYF0rw?e=odskoI</t>
  </si>
  <si>
    <t>F2025-0743</t>
  </si>
  <si>
    <t>Reprise Vidéo BRAVIA 8II - BF</t>
  </si>
  <si>
    <t>https://saranistudio.sharepoint.com/:f:/s/SaraniAssets/El-J8USbSENNt3Hm51-KEOIB3LWa_QYhPsxQoEuhij19AA?e=o60AT3</t>
  </si>
  <si>
    <t>https://saranistudio.sharepoint.com/:b:/s/SaraniAssets/IQDup2aMbC0gSb6zsBepJzAbAbxizzSLs9UaiTx7naeWDew?e=3Sblcc</t>
  </si>
  <si>
    <t xml:space="preserve">4300142646
</t>
  </si>
  <si>
    <t>F2025-0744</t>
  </si>
  <si>
    <t>Waiting Payment for 20/01/2026</t>
  </si>
  <si>
    <t>Asset Fnac Airport - extra version</t>
  </si>
  <si>
    <t>20250519_Challenge Fnac Airport Summer 2025</t>
  </si>
  <si>
    <t>https://saranistudio.sharepoint.com/:b:/s/SaraniAssets/EbuZfqa_qYxHqs8vWpA2a_8Bf-FrDrzkdGdwcTaeQTfHOA?e=G81ghY</t>
  </si>
  <si>
    <t>MEDIA / Assets BF 2</t>
  </si>
  <si>
    <t>F2026-0019</t>
  </si>
  <si>
    <t>CREA MONTIER EN DER</t>
  </si>
  <si>
    <t>20251112_CREA MONTIER EN DER</t>
  </si>
  <si>
    <t>https://saranistudio.sharepoint.com/:b:/s/SaraniAssets/IQDdUxfUvYjQSKGbqkGPhHNRAZtVK5AQuirbAb2Lt0v0PVU?e=lGUA0x</t>
  </si>
  <si>
    <t>F2026-0018</t>
  </si>
  <si>
    <t>BRIEF POS STOP-RAYON ECOUTEURS</t>
  </si>
  <si>
    <t>https://saranistudio.sharepoint.com/:f:/s/SaraniAssets/IgAt8IQEyMLETaq6rQHXHZDFAfduylHZxKNWzY4mEObtsfM?e=PBT6ys</t>
  </si>
  <si>
    <t>https://saranistudio.sharepoint.com/:b:/s/SaraniAssets/IQDHUD9VlIkEQ72nFNcpBFJDARetZMRQlGHETYlszIlDkzU?e=wgyHDS</t>
  </si>
  <si>
    <t xml:space="preserve">OP JE FAIS MON KIT_Coquille extra versions </t>
  </si>
  <si>
    <t>20250507_Update Je fais mon kit</t>
  </si>
  <si>
    <t>https://saranistudio.sharepoint.com/:b:/s/SaraniAssets/IQAjfcNzhziCS65DhjJKwOPdAQnRrxXY9-pAT8fxi4Eu4Yw?e=QhQZHH</t>
  </si>
  <si>
    <t xml:space="preserve">FNAC - Créa Black Friday Audio </t>
  </si>
  <si>
    <t>https://saranistudio.sharepoint.com/:f:/s/SaraniAssets/ElupN-kw5mpNni1ketO9RgEBgvSMuUrh81D1csr-qaC5sg?e=3wDWRW</t>
  </si>
  <si>
    <t>https://saranistudio.sharepoint.com/:b:/s/SaraniAssets/IQBIJ2eQT6e6Tqw7fFlI9KbXAd1XdWmPew64A8QStmWh888?e=I7jART</t>
  </si>
  <si>
    <t xml:space="preserve">4300142648
</t>
  </si>
  <si>
    <t>F2025-0804</t>
  </si>
  <si>
    <t>INZONE | CREA BOITES VIDES</t>
  </si>
  <si>
    <t>https://saranistudio.sharepoint.com/:f:/s/SaraniAssets/IgCOuEDKm8atTIJ3k5_JorqeAeJxadmIdxm1iZGl5n455zY?e=xJvWLY</t>
  </si>
  <si>
    <t>https://saranistudio.sharepoint.com/:b:/s/SaraniAssets/IQDOCz_9XVbpQqCikp6sRS9nAWTiIZLgVRa-yeCQtMna-yE?e=4Ol38k</t>
  </si>
  <si>
    <t>Retravail visuel principal QUAD</t>
  </si>
  <si>
    <t>https://saranistudio.sharepoint.com/:f:/s/SaraniAssets/IgCwWQJO7MZrTKufk3BbkLSJAf0JmtyVrZFzp4QxNB-wPNw?e=xzWFkR</t>
  </si>
  <si>
    <t>https://saranistudio.sharepoint.com/:b:/s/SaraniAssets/IQASFNp3f-SzQqnr_bkQ7ASvASTeIzRFdQmnQnPR9H7kQgs?e=Wydh5h</t>
  </si>
  <si>
    <t>Brief page produit optimisation</t>
  </si>
  <si>
    <t>Ophélie Veneau</t>
  </si>
  <si>
    <t>https://saranistudio.sharepoint.com/:f:/s/SaraniAssets/IgAjC_kBnAcfRqjBEtdjDtHGAZ5D-N584cVa_fqFTX7cGzo?e=IInwBR</t>
  </si>
  <si>
    <t>https://saranistudio.sharepoint.com/:b:/s/SaraniAssets/IQBSGyNiW4J1RrJzwRzC9PwXAXscKkK26qOhg85hv3bEOfo?e=BKAUBM</t>
  </si>
  <si>
    <t>F2026-0016</t>
  </si>
  <si>
    <t>Black Friday global banner extra format</t>
  </si>
  <si>
    <t>https://saranistudio.sharepoint.com/:f:/s/SaraniAssets/IgD3vr25gV9qSbL-gQoBZ-oBASk-jg8RIzPAMrCPbW8EPLE?e=5jNedE</t>
  </si>
  <si>
    <t>https://saranistudio.sharepoint.com/:b:/s/SaraniAssets/IQCW14PRvFTJRLDS0AS4GVWoAQSt3eoYH7UN_rPdOoIQHp0?e=jT3dDF</t>
  </si>
  <si>
    <t>IP&amp;S PRINT AO / Images et Nature Parution Décembre</t>
  </si>
  <si>
    <t>20251117_IPS PRINT AO Images et Nature Parution Décembre</t>
  </si>
  <si>
    <t>https://saranistudio.sharepoint.com/:b:/s/SaraniAssets/IQAQa7aLs6bJQrOJMWyhu1KDAc4n_sEjVbWnp4UkfF0SFho?e=gRds2x</t>
  </si>
  <si>
    <t>F2025-0764</t>
  </si>
  <si>
    <t>MEDIA / AO DIGITAL IP&amp;S - Décembre 2025</t>
  </si>
  <si>
    <t>20250203_MEDIA AO DIGITAL IP&amp;S - Décembre 2025</t>
  </si>
  <si>
    <t>https://saranistudio.sharepoint.com/:b:/s/SaraniAssets/IQAgaJ5GBrGLRq42AtvInPRtASM02vbISQUjzISBEF5qPAk?e=JthnvV</t>
  </si>
  <si>
    <t>F2026-0030</t>
  </si>
  <si>
    <t>Bannière TV Noël</t>
  </si>
  <si>
    <t>Florian Simard</t>
  </si>
  <si>
    <t>https://saranistudio.sharepoint.com/:f:/s/SaraniAssets/IgB_LcROsb-vT4_0exOT0a4oAVyDMTyUx0CFkJwED2MEVuw?e=qe3yN5</t>
  </si>
  <si>
    <t>https://saranistudio.sharepoint.com/:b:/s/SaraniAssets/IQCyd1hwE8XeRYGs2W8m1jUlAa4x8h59wxokE5fbEDoyRg8?e=fL6HYv</t>
  </si>
  <si>
    <t>F2026-0014</t>
  </si>
  <si>
    <t>Xmas H9 II Post X</t>
  </si>
  <si>
    <t>https://saranistudio.sharepoint.com/:b:/s/SaraniAssets/IQCNEa4nFY4URIQg-LbmhlfDAV_rQNb5UT6JvCP3yuCQJA8?e=R98wdV</t>
  </si>
  <si>
    <t>F2025-0803</t>
  </si>
  <si>
    <t>IP&amp;S PRINT AO / COMPETENCE PHOTO Jan-Feb Publication</t>
  </si>
  <si>
    <t>https://saranistudio.sharepoint.com/:f:/s/SaraniAssets/IgDeCCunDXGcS4gtIs0CgQxuAROe74MQywS9rO1c3Hat_ZI?e=ThH5di</t>
  </si>
  <si>
    <t>https://saranistudio.sharepoint.com/:b:/s/SaraniAssets/IQAkZfpcr-d3Q7CHfPzXNh90AeUDsHbX6FPegOMRfh2YxnM?e=JGfmyo</t>
  </si>
  <si>
    <t>https://saranistudio.sharepoint.com/:b:/s/SaraniAssets/IQC5Eoj82zAmS5FGm5NazpwbAYjCms7ayHdUAM0LeQiWsAM?e=VsssSv</t>
  </si>
  <si>
    <t>MEG Casques ULT/1000X extra print versions</t>
  </si>
  <si>
    <t>https://saranistudio.sharepoint.com/:b:/s/SaraniAssets/IQDFCCVpMUHxQq4Fr3zBRrI7AZnr0cs93qT8eP311Q6SCTc?e=cHDYqY</t>
  </si>
  <si>
    <t>Boulanger Christmas Banners</t>
  </si>
  <si>
    <t>20251211_Boulanger Christmas Banners</t>
  </si>
  <si>
    <t>https://saranistudio.sharepoint.com/:b:/s/SaraniAssets/IQDe_T2RAvWWRIzKdKq8EB-LAXkOkOaNiGSssBOjR7-xmTA?e=5RjJ5h</t>
  </si>
  <si>
    <t>F2026-0015</t>
  </si>
  <si>
    <t>NEWSLETTER PRT</t>
  </si>
  <si>
    <t>20251212_NEWSLETTER PRT</t>
  </si>
  <si>
    <t>https://saranistudio.sharepoint.com/:b:/s/SaraniAssets/IQBGbUFOiy_NS4x2KIt3rCV-Ae4dqEX86SoNdJT2o0KEaLg?e=YkUk7D</t>
  </si>
  <si>
    <t>F2026-0003</t>
  </si>
  <si>
    <t>OP PRT Q4</t>
  </si>
  <si>
    <t>https://saranistudio.sharepoint.com/:f:/s/SaraniAssets/IgBD1fGCyaMTSI7qBOlkdY1yAUTzAMdIvKd_4_5kp_BMsYY?e=cc4rJ4</t>
  </si>
  <si>
    <t>https://saranistudio.sharepoint.com/:b:/s/SaraniAssets/IQBv3BA2rYoETp2vO2ii4-4SAalggktWMnvtupf0tLULZDY?e=iZDDaw</t>
  </si>
  <si>
    <t>F2026-0024</t>
  </si>
  <si>
    <t xml:space="preserve">Lancement CX76800 - extra assets </t>
  </si>
  <si>
    <t>https://saranistudio.sharepoint.com/sites/SaraniAssets/Shared%20Documents/Forms/AllItems.aspx?id=%2Fsites%2FSaraniAssets%2FShared%20Documents%2F03%2E%20Customers%2F02%2E%20Sony%2F03%2E%20Sony%20France%2F04%2E%20DI%2F20251128%5FLancement%20CX76800&amp;p=true&amp;ga=1</t>
  </si>
  <si>
    <t>F2026-0026</t>
  </si>
  <si>
    <t>MEDIA / AO DIGITAL IP&amp;S - Janvier 2026</t>
  </si>
  <si>
    <t>https://saranistudio.sharepoint.com/:f:/s/SaraniAssets/IgDlXlRvtji5TKEg2cxRc5cAAbuFu7PPT7jLmSXe1mnJ5hs?e=HQuZ1m</t>
  </si>
  <si>
    <t>https://saranistudio.sharepoint.com/:b:/s/SaraniAssets/IQDI66BuFEAlTbGLV4MBeecvAYqtEqmhA0-EUHslwBumRZ8?e=d28e2w</t>
  </si>
  <si>
    <t>Assets Platines Vinyle SONY</t>
  </si>
  <si>
    <t>20251219_Assets Platines Vinyle SONY</t>
  </si>
  <si>
    <t>https://saranistudio.sharepoint.com/:b:/s/SaraniAssets/IQAQNQwvx_aYSqtc6srVXnzOAXvqJ-7gizcY090OffynqVk?e=ID8tOB</t>
  </si>
  <si>
    <t>Chasseur d'Images- Images et nature Fev/mars 2026 Publications</t>
  </si>
  <si>
    <t>20251222_Chasseur d'Images- Images et nature Fev-mars 2026 Publications</t>
  </si>
  <si>
    <t>https://saranistudio.sharepoint.com/:b:/s/SaraniAssets/IQBXPLOxYnhiRbX8PZQ2KLagAWvvnGWIMaXp49QqZP8PJf0?e=fkLlD4</t>
  </si>
  <si>
    <t>F2026-0035</t>
  </si>
  <si>
    <t>NOUVEAU PACK SCAN</t>
  </si>
  <si>
    <t>20251216_OP PRT Q4</t>
  </si>
  <si>
    <t>https://saranistudio.sharepoint.com/:b:/s/SaraniAssets/IQCUyNhrQZMtSLEBsf3ZtCIpASyCfNgAmAJtLSEJPoPMQDk?e=LHCdvG</t>
  </si>
  <si>
    <t>F2026-0025</t>
  </si>
  <si>
    <t>Home page Inzone</t>
  </si>
  <si>
    <t>20251223_Home page Inzone</t>
  </si>
  <si>
    <t>https://saranistudio.sharepoint.com/:b:/s/SaraniAssets/IQDCJPKSjL3KS4LcOcyq973pASGGD354GfCmxBjJa36SRqk?e=PEugJS</t>
  </si>
  <si>
    <t>F2026-0029</t>
  </si>
  <si>
    <t>Paid 25.03.2026</t>
  </si>
  <si>
    <t>MEDIA CROSS / Soldes d'Hiver 2026 créas</t>
  </si>
  <si>
    <t>20251223_MEDIA CROSS Soldes d'Hiver 2026 créas</t>
  </si>
  <si>
    <t>https://saranistudio.sharepoint.com/:b:/s/SaraniAssets/IQBbwfOtIzN1QIjOnmsbq3LRAdmJ6tFEkUc5QE9it5Z9vuQ?e=nXhhPH</t>
  </si>
  <si>
    <t>F2026-0066</t>
  </si>
  <si>
    <t>Waiting payment for 18/04/2026</t>
  </si>
  <si>
    <t xml:space="preserve">Bannières TV BRAVIA SONY </t>
  </si>
  <si>
    <t>Batch 10</t>
  </si>
  <si>
    <t>https://saranistudio.sharepoint.com/:b:/s/SaraniAssets/IQCs9XbE3pi-ToDLIjYvCDT-AeS8FlIGNCFeGV_-1Pit5mg?e=mC4F1I</t>
  </si>
  <si>
    <t>Visuel soldes d'hiver</t>
  </si>
  <si>
    <t>https://saranistudio.sharepoint.com/:f:/s/SaraniAssets/IgAo-2VFm5iMT7089SCZdUioAZwJtwaG3mePUkPiOFXtCPQ?e=TSZLeP</t>
  </si>
  <si>
    <t>https://saranistudio.sharepoint.com/:b:/s/SaraniAssets/IQD_cofMd8AiQbPrsj-aBdfKAXl3wkdmZGYsZ7z5icgbl5k?e=lyQk6s</t>
  </si>
  <si>
    <t xml:space="preserve">4300142651
</t>
  </si>
  <si>
    <t>F2026-0028</t>
  </si>
  <si>
    <t>Soldes Hiver - Nouvelles créa</t>
  </si>
  <si>
    <t>20250105_Soldes Hiver - Nouvelles créa</t>
  </si>
  <si>
    <t>https://saranistudio.sharepoint.com/:b:/s/SaraniAssets/IQD8QvOKXvhVRpl9pvDNg51SAfE9sw6YPTKoIG616oqdDrY?e=gne1Jn</t>
  </si>
  <si>
    <t>French translation - Data Sheet PSLX - part 2</t>
  </si>
  <si>
    <t>Deliverables</t>
  </si>
  <si>
    <t>https://saranistudio.sharepoint.com/:b:/s/SaraniAssets/IQB_LWuFNcmxSbUF1nSYU_h1AbFrPXr76p6btbTQw0hkHR0?e=d9SRAM</t>
  </si>
  <si>
    <t>F2026-0124</t>
  </si>
  <si>
    <t>Waiting payment for 22/05/2026</t>
  </si>
  <si>
    <t>French translation - Data Sheet PSLX - part 1</t>
  </si>
  <si>
    <t>F2026-0125</t>
  </si>
  <si>
    <t>Waiting payment for  22/05/2026</t>
  </si>
  <si>
    <t xml:space="preserve">NL VISUAL </t>
  </si>
  <si>
    <t>20250109_NL VISUAL</t>
  </si>
  <si>
    <t>https://saranistudio.sharepoint.com/:b:/s/SaraniAssets/IQDI_DIu6B8dSa-4s1U0xs2VAfi30dDxFc817PCsLzZmlW8?e=P6BaXK</t>
  </si>
  <si>
    <t>Bannières Noël - Sarani x Sony HE</t>
  </si>
  <si>
    <t>20251121_Bannières Noël - Sarani x Sony</t>
  </si>
  <si>
    <t>https://saranistudio.sharepoint.com/:b:/s/SaraniAssets/IQAGRk-pzoBHRoxKFx2weDYoAXFTEUfbXShSpr_xxM3LiG4?e=gtn9S0</t>
  </si>
  <si>
    <t>F2025-0801</t>
  </si>
  <si>
    <t>Bannières Noël - Sarani x Sony AV</t>
  </si>
  <si>
    <t>20251124_Bannières Noël - Sarani x Sony AV</t>
  </si>
  <si>
    <t>https://saranistudio.sharepoint.com/:b:/s/SaraniAssets/IQDVMuwdrWdvTqh4F7shQ4wVAdFdUnl4YEgCbfjBO09l978?e=mlCJxa</t>
  </si>
  <si>
    <t>F2025-0802</t>
  </si>
  <si>
    <t>NOUVEAU_PROJET MERCH FNAC - Cameras / Boitiers / accessoires</t>
  </si>
  <si>
    <t>20251124_NOUVEAU_PROJET MERCH FNAC - Cameras - Boitiers - accessoires</t>
  </si>
  <si>
    <t>https://saranistudio.sharepoint.com/:b:/s/SaraniAssets/IQCwLAPX9IZbRYhhM8Gl1ypqAWKBjIv-IK3cEFcYotaabmo?e=kPJtCL</t>
  </si>
  <si>
    <t>Demande photo last minute</t>
  </si>
  <si>
    <t>20251126 _Demande photo last minute</t>
  </si>
  <si>
    <t>https://saranistudio.sharepoint.com/:b:/s/SaraniAssets/IQDi7iwIGvvARZbn5_a6HLNYAfqolkpgYgVVQwlahDkaXwo?e=nfFs8D</t>
  </si>
  <si>
    <t>Vidéo ULT Wear - Régie Darty</t>
  </si>
  <si>
    <t>20251126_Vidéo ULT Wear - Régie Darty</t>
  </si>
  <si>
    <t>https://saranistudio.sharepoint.com/:b:/s/SaraniAssets/IQCUUQJsoJpuQqwm5w7-AiRmAdBKJyR0njOVr693XNfR6b4?e=pA2x5w</t>
  </si>
  <si>
    <t>Bannière générale et H9II</t>
  </si>
  <si>
    <t>https://saranistudio.sharepoint.com/:f:/s/SaraniAssets/IgCQ2vANsQ7aT7zt63D1EvzgAY4xIxGNfHZAs1H5EDUt9gI?e=U9q6S5</t>
  </si>
  <si>
    <t>https://saranistudio.sharepoint.com/:b:/s/SaraniAssets/IQA0G5aK4yzITZaTs9ElP6e3AecPVvqOV1PyABtGxtbuxZ8?e=ejG8xa</t>
  </si>
  <si>
    <t>Lancement CX76800</t>
  </si>
  <si>
    <t>https://saranistudio.sharepoint.com/:f:/s/SaraniAssets/IgDXfqwCOOHdTpqZPZJhq43oAXd-ZZ-jGswCuzV4ak6IncE?e=nb5hOG</t>
  </si>
  <si>
    <t>https://saranistudio.sharepoint.com/:b:/s/SaraniAssets/IQCrHr5yMsjcQIsEpQXlP3mgAaiuBPq90LbU46gBQe3PVq4?e=wRFnwP</t>
  </si>
  <si>
    <t>F2026-0027</t>
  </si>
  <si>
    <t xml:space="preserve">Créa Nouveautés Platines-Écouteurs </t>
  </si>
  <si>
    <t>20260116_Créa Nouveautés Platines-Écouteurs</t>
  </si>
  <si>
    <t>https://saranistudio.sharepoint.com/:b:/s/SaraniAssets/IQAxzR1jTvQHT7-GjrZu3Oq8AWYYDsh9kjMPTq1J3uLSgHs?e=dUkUCC</t>
  </si>
  <si>
    <t>F2026-0059</t>
  </si>
  <si>
    <t>Waiting payment for 14/04/2026</t>
  </si>
  <si>
    <t>VISUEL HANG TAG / Award ULT Field 5</t>
  </si>
  <si>
    <t>20260127_VISUEL HANG TAG - Award ULT Field 5</t>
  </si>
  <si>
    <t>https://saranistudio.sharepoint.com/:b:/s/SaraniAssets/IQBFZ5vdeNOWRbu8RdU6rrtuASlW-T6my866-uCkhdy5WYY?e=q3f4Zl</t>
  </si>
  <si>
    <t>F2026-0088</t>
  </si>
  <si>
    <t>Waiting payment for 27/04/2026</t>
  </si>
  <si>
    <t>Visuel adaptation</t>
  </si>
  <si>
    <t>https://saranistudio.sharepoint.com/:b:/s/SaraniAssets/IQDZMJtqKXSvTLTkq1kTnjo6Af5uXF9SycptOMgbooFqyu8?e=AgFL8w</t>
  </si>
  <si>
    <t>F2026-0062</t>
  </si>
  <si>
    <t>Brief Visuel Promotion</t>
  </si>
  <si>
    <t>20260128_Brief Visuel Promotion</t>
  </si>
  <si>
    <t>https://saranistudio.sharepoint.com/:b:/s/SaraniAssets/IQCkf2-fDwfTSqVdkEObui99AUO35mkV_D_-1N7a2bRbZvY?e=ceMHCD</t>
  </si>
  <si>
    <t>Etiquette A7V</t>
  </si>
  <si>
    <t>https://saranistudio.sharepoint.com/:f:/s/SaraniAssets/IgCJBILbEvrTRpEo7M9SXMehAdODy1aNej4ISidFvtTGVfo?e=davfIz</t>
  </si>
  <si>
    <t>https://saranistudio.sharepoint.com/:b:/s/SaraniAssets/IQBtu6XesfkMT7R3wshyFNksAXzYIXFyCw702mi0PQUmK7U?e=syL3aL</t>
  </si>
  <si>
    <t>F2026-0087</t>
  </si>
  <si>
    <t xml:space="preserve">URGENT_OP PRT NOVEMBRE extra versions </t>
  </si>
  <si>
    <t>https://saranistudio.sharepoint.com/:b:/s/SaraniAssets/IQDD6HTAJqpdSLOxcgTQ8--4AYJMN1J3CRtuW0_4UK9b0yA?e=dQfIZm</t>
  </si>
  <si>
    <t>Chasseur d'Images- Images et nature Fev/mars 2026 Publications - extra versions</t>
  </si>
  <si>
    <t>https://saranistudio.sharepoint.com/:b:/s/SaraniAssets/IQD4IZ--WUpDRLWZgGKSwb24AcvbIKgUFGmj6VddlLTxkuo?e=zrRxLs</t>
  </si>
  <si>
    <t>F2026-0107</t>
  </si>
  <si>
    <t>Waiting payment for 10/05/2026</t>
  </si>
  <si>
    <t xml:space="preserve">Bannière Saint Valentin </t>
  </si>
  <si>
    <t>https://saranistudio.sharepoint.com/:f:/s/SaraniAssets/IgADIFP61c6tQp5HMmJ2U-CpAUdz_zD_ju8IjOABUxJs228?e=c8VD9Z</t>
  </si>
  <si>
    <t>https://saranistudio.sharepoint.com/:b:/s/SaraniAssets/IQCLJkVXVms2RZgKDFGcgGI1AYj8l_vgk10TYFsJB-8cZxA?e=b1JNRM</t>
  </si>
  <si>
    <t xml:space="preserve">Modification Brief COI </t>
  </si>
  <si>
    <t>https://saranistudio.sharepoint.com/:b:/s/SaraniAssets/IQD60elmGvBcSJ4BeQCC_aH6AZvK1V_NukjE9k86BkpbANs?e=FHaGFt</t>
  </si>
  <si>
    <t>Fiches Produits - Ecouteurs LinkBuds Clip &amp; E6</t>
  </si>
  <si>
    <t>Lucia ALVARO</t>
  </si>
  <si>
    <t>20260210_Fiches Produits - Ecouteurs LinkBuds Clip &amp; E6</t>
  </si>
  <si>
    <t>https://saranistudio.sharepoint.com/:b:/s/SaraniAssets/IQAHERAzx3amSr4vG30NI1JmAaRUYfnTQACXrhIiUTIzbx4?e=Y4N6Cj</t>
  </si>
  <si>
    <t>F2026-0058</t>
  </si>
  <si>
    <t>INZONE GAMING| 2 x FICHES PRODUIT: MOUSE-A + KEYBOARD</t>
  </si>
  <si>
    <t>20260210_INZONE GAMING 2 x FICHES PRODUIT MOUSE-A + KEYBOARD</t>
  </si>
  <si>
    <t>https://saranistudio.sharepoint.com/:b:/s/SaraniAssets/IQA7iYPSTzprTb-EXDK2MkWJAV1GcXg6Y1f5R4KX47Yxosw?e=UdfoOj</t>
  </si>
  <si>
    <t>F2026-0057</t>
  </si>
  <si>
    <t>Brief nouveaux écouteurs</t>
  </si>
  <si>
    <t>20260212_Nouveaux Écouteurs WF-1000XM6</t>
  </si>
  <si>
    <t>https://saranistudio.sharepoint.com/:b:/s/SaraniAssets/IQBNe8XrCuysQp06YMJ9flMyAR8IcesTEmuivYDE7MiEbHM?e=1YHmjP</t>
  </si>
  <si>
    <t>[WF-1000XM6] Slide Reviews Presse</t>
  </si>
  <si>
    <t>20260212_WF-1000XM6 Slide Reviews Presse</t>
  </si>
  <si>
    <t>https://saranistudio.sharepoint.com/:b:/s/SaraniAssets/IQCVxZd_Ky8ESYTdSFJ2VaPhAT4VKeqKqt5X8GmqIpljRA4?e=bzGWIT</t>
  </si>
  <si>
    <t>F2026-0085</t>
  </si>
  <si>
    <t>MEDIA / PRINT / IP&amp;S /  Page PHOX - le mag Photo 19</t>
  </si>
  <si>
    <t>https://saranistudio.sharepoint.com/:f:/s/SaraniAssets/IgAKMmxRbBpkTLaDf54rPbnNAVaVlYAFQpRUEBnwUhgx8Uk?e=mP09lt</t>
  </si>
  <si>
    <t>https://saranistudio.sharepoint.com/:b:/s/SaraniAssets/IQCF8ujODNpGSIpq5Wc5_RDiAXC3R2JLzsC7wfbSgTUFTLY?e=dr6vLz</t>
  </si>
  <si>
    <t>MEDIA / AO DIGITAL IP&amp;S - Mars 2026</t>
  </si>
  <si>
    <t>20260217_AO DIGITAL IP&amp;S - Mars 2026</t>
  </si>
  <si>
    <t>https://saranistudio.sharepoint.com/:b:/s/SaraniAssets/IQAJbqzEDRCrSIaHDBoGFinGATs-wwhX-3q0tMmuhmHBp4Q?e=wCc1Cq</t>
  </si>
  <si>
    <t>F2026-0108</t>
  </si>
  <si>
    <t>[WF-1000XM6] Video Reviews Presse</t>
  </si>
  <si>
    <t>https://saranistudio.sharepoint.com/:f:/s/SaraniAssets/IgCPo2QF1_KaRrvxAREu8Z2-AXqojOUAgE0mtU-shM3-ujM?e=S28cGD</t>
  </si>
  <si>
    <t>https://saranistudio.sharepoint.com/:b:/s/SaraniAssets/IQBVoMALWT4ORabPcC5eM-DJAVLU2tji48VYNRcLfY9TtIY?e=giFHK7</t>
  </si>
  <si>
    <t>MAJ Countermat FY26</t>
  </si>
  <si>
    <t>https://saranistudio.sharepoint.com/:f:/s/SaraniAssets/IgDPaeL6EkZBR75--2SqtdkFAfRcQ49evo2HRwij1RbterQ?e=0NnRmf</t>
  </si>
  <si>
    <t>https://saranistudio.sharepoint.com/:b:/s/SaraniAssets/IQBwyLB9ihaKRpqQP_ZLb-LNAQWZgk6Op_4UWHLDIc7wb_w?e=T6jeyr</t>
  </si>
  <si>
    <t>F2026-0109</t>
  </si>
  <si>
    <t>Magnet A7V</t>
  </si>
  <si>
    <t>20260219_Magnet A7V</t>
  </si>
  <si>
    <t>https://saranistudio.sharepoint.com/:b:/s/SaraniAssets/IQD1tT8g-acnS5CWiFvU3XVSAZNZwnwcB4Dlu30SireUH3k?e=cnkHyO</t>
  </si>
  <si>
    <t>NEW_ BANNER Offre FX MARS</t>
  </si>
  <si>
    <t>20260220_NEW_ BANNER Offre FX MARS</t>
  </si>
  <si>
    <t>https://saranistudio.sharepoint.com/:b:/s/SaraniAssets/IQDE2cX0zizzSJIwCpv-HXsfAawR9kjWT-G3troXuN33XFw?e=lmNQpe</t>
  </si>
  <si>
    <t>CREA OP SUMMER FY26_IP&amp;S</t>
  </si>
  <si>
    <t>20260226_CREA OP SUMMER FY26_IP&amp;S</t>
  </si>
  <si>
    <t>https://saranistudio.sharepoint.com/:b:/s/SaraniAssets/IQB1mhBUlU5OQadhAaQkl67wAX-mAsapF8O5oM_lnofrR4s?e=CTPONd</t>
  </si>
  <si>
    <t>MEDIA / Film Festival de Reims / page de pub catalogue officiel</t>
  </si>
  <si>
    <t>https://saranistudio.sharepoint.com/:f:/s/SaraniAssets/IgAo_juUF4ycQZElYEMxDdtQAdHp5h_EngLVtNmd3Tz2KI8?e=lsQJWF</t>
  </si>
  <si>
    <t>https://saranistudio.sharepoint.com/:b:/s/SaraniAssets/IQC5GuUUnaNjS5aaIkveKaK4Aa-YDHD0xLXCCwwvdfdax9U?e=G9P32w</t>
  </si>
  <si>
    <t>MEDIA / Page PHOX Guide Fiches Métiers - Mars 2026</t>
  </si>
  <si>
    <t>https://saranistudio.sharepoint.com/:f:/s/SaraniAssets/IgCC9q0HlFtuS5QX_G59tQrAAfIqm1cUjevMzgImBKLtGms?e=oE36HJ</t>
  </si>
  <si>
    <t>https://saranistudio.sharepoint.com/:b:/s/SaraniAssets/IQCDTdfYC7SXQY5SmWhKIvu5AfoF2TEGsyxCKBBk1RG4VIk?e=kjEtuE</t>
  </si>
  <si>
    <t xml:space="preserve"> Visuels 1000XM6 | Challenge Fnac Airport Avril 2026</t>
  </si>
  <si>
    <t>https://saranistudio.sharepoint.com/:f:/s/SaraniAssets/IgCVFKvTFwsmRa1zj1u7qVpJAQrokq64S9t0F6uVp74_B-g?e=pow7fE</t>
  </si>
  <si>
    <t>20260303_Quote_Sony_Visuels 1000XM6 - Challenge Fnac Airport Avril 2026</t>
  </si>
  <si>
    <t>MDR Refresh Avril 2026</t>
  </si>
  <si>
    <t>https://saranistudio.sharepoint.com/:f:/s/SaraniAssets/IgBsW-ZDevShTrQGH1HFxzcYAauf32pzxRHqd_ji9Tmf-l4?e=JB7T0v</t>
  </si>
  <si>
    <t xml:space="preserve">CREA PATACOS // Nouvelle charte Fnac </t>
  </si>
  <si>
    <t>20260310_CREA PATACOS - Nouvelle charte Fnac</t>
  </si>
  <si>
    <t>HAV Fiche produit Bar 7 + Sub</t>
  </si>
  <si>
    <t>https://saranistudio.sharepoint.com/:f:/s/SaraniAssets/IgCG_81Uxfd2SLimBIMkkCMuAQpL98YExpi4JAzX4fGHpak?e=D8vJYO</t>
  </si>
  <si>
    <t>Conversion format vidéo pour Film Festival de Reims</t>
  </si>
  <si>
    <t>https://saranistudio.sharepoint.com/:f:/s/SaraniAssets/IgAEeU9Nqh_VTKljCd87klncARqwgfulZvi2wZU6dxDuhC8?e=pdAdyI</t>
  </si>
  <si>
    <t>https://saranistudio.sharepoint.com/:b:/s/SaraniAssets/IQC4-KlrDPvnRpvYSdEB3SuZAWDojEOXFVyVXA4o-B-z4Hs?e=UeWCTV</t>
  </si>
  <si>
    <t>HE - Festival Reims / créa bannières FNAC</t>
  </si>
  <si>
    <t>https://saranistudio.sharepoint.com/:f:/s/SaraniAssets/IgDa4v5lbsAmRoQTCwyhhrKpAXMdo0lQD3JtiL75BKsGKls?e=kOROQC</t>
  </si>
  <si>
    <t>https://saranistudio.sharepoint.com/:b:/s/SaraniAssets/IQC3At-D0wLPSbsP3bw_kMBvAY692c7uZf1PIL17UnNH2y8?e=VinKhz</t>
  </si>
  <si>
    <t xml:space="preserve">Infographie Bar 5 et Bar 7 </t>
  </si>
  <si>
    <t>Music</t>
  </si>
  <si>
    <t xml:space="preserve">OP AUDIO Avril </t>
  </si>
  <si>
    <t>In Progress</t>
  </si>
  <si>
    <t>https://saranistudio.sharepoint.com/:f:/s/SaraniAssets/IgDNyObvosRjRpfKgKCyEOiNAetu_ldVzakrhvPwzxq9o4A?e=EpNom7</t>
  </si>
  <si>
    <t xml:space="preserve">OP TV Avril </t>
  </si>
  <si>
    <t>https://saranistudio.sharepoint.com/:f:/s/SaraniAssets/IgCOIdB6OxZ7Q72zgBLDOtgJAUqyyL1NdYrtPlLYNh5jpkg?e=Zom8zV</t>
  </si>
  <si>
    <t>StoryTeq</t>
  </si>
  <si>
    <t>Templates</t>
  </si>
  <si>
    <t>Updates</t>
  </si>
  <si>
    <r>
      <rPr>
        <b/>
        <sz val="11"/>
        <color rgb="FFFFFFFF"/>
        <rFont val="Calibri"/>
        <scheme val="minor"/>
      </rPr>
      <t xml:space="preserve">DeepL
</t>
    </r>
    <r>
      <rPr>
        <i/>
        <sz val="11"/>
        <color rgb="FFFFFFFF"/>
        <rFont val="Calibri"/>
        <scheme val="minor"/>
      </rPr>
      <t>(per word)</t>
    </r>
  </si>
  <si>
    <t>Raised</t>
  </si>
  <si>
    <t>N°invoice</t>
  </si>
  <si>
    <t>SEU</t>
  </si>
  <si>
    <t>Comparison Chart</t>
  </si>
  <si>
    <t>Yoosung Lee</t>
  </si>
  <si>
    <t>https://saranistudio-my.sharepoint.com/:f:/r/personal/team_sarani_studio/Documents/01.%20Sarani/03.%20Projects/02.%20Sony/02.%20Sony%20Europe/01.%20TV/20230112_FY23%20Line%20Up%20BRAVIA%20Launch/Web%20Pops?csf=1&amp;web=1&amp;e=c67TrU</t>
  </si>
  <si>
    <t>A7RV indd work</t>
  </si>
  <si>
    <t>https://saranistudio-my.sharepoint.com/:f:/g/personal/team_sarani_studio/EpIUlVrGwKtEgB_-pJpLfyUBv6zGmk4qzrL8oHdNBNlnIg?e=prZMm0</t>
  </si>
  <si>
    <t>Welcome to Alpha</t>
  </si>
  <si>
    <t>https://saranistudio-my.sharepoint.com/:f:/g/personal/team_sarani_studio/EkhQlIgE4RJEjLxavWjMot8Bms0Db7iLZb5aNZDc3Umupg?e=3Rs6jb</t>
  </si>
  <si>
    <t>SEL2070 Launch assets (2 x KV)</t>
  </si>
  <si>
    <t>https://saranistudio-my.sharepoint.com/:f:/g/personal/team_sarani_studio/EnByDhd_wvBHgH2mTvLN9ioBAyk7XHFIi92EJAHpRKikoA?e=Tp0BA7</t>
  </si>
  <si>
    <t>SEU Salesbook v2</t>
  </si>
  <si>
    <t>https://saranistudio-my.sharepoint.com/:f:/g/personal/team_sarani_studio/EqAcVk__l7BJnxImc-IH7FsBGvrukso3ykt8j6UzVn42tg?e=wc3B5L</t>
  </si>
  <si>
    <t>FY23 Line Up Offline Assets</t>
  </si>
  <si>
    <t>https://saranistudio-my.sharepoint.com/:f:/g/personal/team_sarani_studio/Et33vgRLwgBKiU3pdg4ZheMBcCDchtnVZ9z88zEgL7ch-A?e=1pj7nd</t>
  </si>
  <si>
    <t xml:space="preserve">FY23 Line Up Online Assets </t>
  </si>
  <si>
    <t>https://saranistudio-my.sharepoint.com/:f:/g/personal/team_sarani_studio/Es9lEK5bJOxIjaTN7ct1wyABsmpdMU09A9HBVukIha0Llg?e=aLryQw</t>
  </si>
  <si>
    <t>FY23 Line Up Extra Assets (Datasheet, Guidelines)</t>
  </si>
  <si>
    <t>https://saranistudio-my.sharepoint.com/:f:/g/personal/team_sarani_studio/Ei6dQBD3rv9Psu3oNPzb8OIB_K5XI-Z25r3dIbN-XWJS6A?e=kRftQe</t>
  </si>
  <si>
    <t>2023.01 - DI Trade In</t>
  </si>
  <si>
    <t>https://saranistudio-my.sharepoint.com/:f:/g/personal/team_sarani_studio/Et_zmQmRDD5Mip8gvvRqPYUBU5J8xoiVNG0zIgFYjT6YPA?e=Znai5h</t>
  </si>
  <si>
    <t>SEL50F14GM Launch assets</t>
  </si>
  <si>
    <t>https://saranistudio-my.sharepoint.com/:f:/g/personal/team_sarani_studio/EnEFhRsNebFNrAJLeoU5qCIBzaTiSa6qPlkrzORUXVbx2A?e=4xRKJw</t>
  </si>
  <si>
    <t>Acoustic Centre Sync POS</t>
  </si>
  <si>
    <t>https://saranistudio-my.sharepoint.com/:f:/g/personal/team_sarani_studio/EqlgNOxVMgJLtfhAwHf7jIIBoSscowRbUqVyOFH0n7QVNg?e=c2g938</t>
  </si>
  <si>
    <t>Microphone Comparison Chart</t>
  </si>
  <si>
    <t>https://saranistudio-my.sharepoint.com/:f:/g/personal/team_sarani_studio/EoLSwUV_pbVCtJ1NtsWlYuYBrDBpXOTMiicNcCxFxkCkZg?e=yL4nTD</t>
  </si>
  <si>
    <t>HAV QR DCI</t>
  </si>
  <si>
    <t>https://saranistudio-my.sharepoint.com/:f:/g/personal/team_sarani_studio/EuhIYoQKHe1HqkCcmACOgscBm07kxgaph0H7xUE5PdHrDA?e=8CUgkH</t>
  </si>
  <si>
    <t>Vlog animated banners</t>
  </si>
  <si>
    <t>https://saranistudio-my.sharepoint.com/:f:/g/personal/team_sarani_studio/Ek-4J-cD1N5Evve_6bXGfpEB1sDbx0kQnetzLacuTXr9Og?e=xXZoxh</t>
  </si>
  <si>
    <t>Icon for soundbar</t>
  </si>
  <si>
    <t>https://saranistudio.sharepoint.com/:f:/s/SaraniAssets/EupVrTZjz4FGmAv-DJDCHjIBb_vwae2kj3zME7vDgTBaVg?e=FJSyuI</t>
  </si>
  <si>
    <t>CEA-G160T Type A Card Promo</t>
  </si>
  <si>
    <t>https://saranistudio.sharepoint.com/:f:/s/SaraniAssets/EpGgPgx4QzBDiemIovSamRAB6e7GL_XWxz2SFH07vzEH4Q?e=GQNThK</t>
  </si>
  <si>
    <t xml:space="preserve">Cashback TV &amp; SBAR asset </t>
  </si>
  <si>
    <t>https://saranistudio-my.sharepoint.com/:f:/g/personal/team_sarani_studio/EiimH2-O7MFKtnNaN_piZ0QBzKJWVWmVSr38IE7oNEZB5A?e=gzGXqH</t>
  </si>
  <si>
    <t>CX89400 animations + DCI (ZV-E1)</t>
  </si>
  <si>
    <t>https://saranistudio-my.sharepoint.com/:f:/g/personal/team_sarani_studio/EqNlVMYIfcNPh3OUspPTlTMBDDu2OhnFOxSYGHTsaG_1vQ?e=nTao5j</t>
  </si>
  <si>
    <t>DI Summer Cashback</t>
  </si>
  <si>
    <t>https://saranistudio-my.sharepoint.com/:f:/g/personal/team_sarani_studio/ErsCQZ8a5AtDpYFtQOEnusIBJBqi_J1uzX887oxzw1Q-SQ?e=1SdyoX</t>
  </si>
  <si>
    <t>F2024-0201</t>
  </si>
  <si>
    <t>S2000 Launch assets</t>
  </si>
  <si>
    <t>https://saranistudio-my.sharepoint.com/:f:/g/personal/team_sarani_studio/Ep453QkbotVCtM1IN_7jEuABn4XxcrRe1_ZiMtE0ZQEC5g?e=JURzGf</t>
  </si>
  <si>
    <t>Darwin Project</t>
  </si>
  <si>
    <t>https://saranistudio-my.sharepoint.com/:f:/g/personal/team_sarani_studio/EuOiK6B4ig9OjxtfefIiMyQBEMk9ZOUBvfnXFaKQMBbbHg?e=QVFDyP</t>
  </si>
  <si>
    <t>D2C Bravia App Next Steps Check</t>
  </si>
  <si>
    <t>https://saranistudio-my.sharepoint.com/:f:/g/personal/team_sarani_studio/EvPjoF7lEAZHq5-32LCLvCQBWpIPx4thI_vgvv_1b_B-HQ?e=kI7tsB</t>
  </si>
  <si>
    <t xml:space="preserve">SWPA Social Media Stories </t>
  </si>
  <si>
    <t>https://saranistudio-my.sharepoint.com/:f:/g/personal/team_sarani_studio/EkwQM-b_8dtHtseZW9ppFrMBklYsWqBiIwEqnr76Y1PYRw?e=TJKKSp</t>
  </si>
  <si>
    <t>BRAVIA CAM Compatibility Infographic</t>
  </si>
  <si>
    <t>https://saranistudio-my.sharepoint.com/:f:/g/personal/team_sarani_studio/Em2rgpHW15tKtfCN6c3cD_kB0YL0SrAANj9cI286O1iU3w?e=MW6kmK</t>
  </si>
  <si>
    <t>Summer Cashback adaptations</t>
  </si>
  <si>
    <t>https://saranistudio-my.sharepoint.com/:f:/g/personal/team_sarani_studio/EsFcBnr48EhAkUEZy6ctVQABclmxat2_HAsBFGDIi5YqZw?e=A9XmYM</t>
  </si>
  <si>
    <t>Furniture TV Rework</t>
  </si>
  <si>
    <t>https://saranistudio-my.sharepoint.com/:f:/g/personal/team_sarani_studio/EuQs-W2Wf_1OjPUVAg14CD4BMIkk7s2wB5cg1uEkdtVp1Q?e=ZKzBVv</t>
  </si>
  <si>
    <t xml:space="preserve">TIPA AWARD 2023 </t>
  </si>
  <si>
    <t>Input on the new TV KV</t>
  </si>
  <si>
    <t>https://saranistudio-my.sharepoint.com/:f:/g/personal/team_sarani_studio/ErBEJ3HyAVFOgIeEaUK8CR0Bs2dpGzP5FeIK_FRx4lQFaQ?e=qoUlCz</t>
  </si>
  <si>
    <t>Horizontal perfect for PS5 banner</t>
  </si>
  <si>
    <t>https://saranistudio-my.sharepoint.com/:f:/g/personal/team_sarani_studio/EkH2YE7VPSJDrsha8rYfnQ4Bd_FH11fMhX9_PwedLZZwUA?e=QVOLeC</t>
  </si>
  <si>
    <t xml:space="preserve">CX64800 - Animated banner </t>
  </si>
  <si>
    <t>https://saranistudio-my.sharepoint.com/:f:/g/personal/team_sarani_studio/ErS3jJWRFzJFp7dAGYySnX8BwlMmi6WV06OigXL2DCL0pA?e=8oSgCV</t>
  </si>
  <si>
    <t>TV + Bravia Cam Bundle Hero Image</t>
  </si>
  <si>
    <t>https://saranistudio-my.sharepoint.com/:f:/g/personal/team_sarani_studio/Etxhg1G3VCxHixc4aqZInYMBQ0qH28f0wgB-apN8i-QhvA?e=j37oCv</t>
  </si>
  <si>
    <t xml:space="preserve">FY23 KV disclaimers removal </t>
  </si>
  <si>
    <t>https://saranistudio-my.sharepoint.com/:f:/g/personal/team_sarani_studio/EjrDXfpMza9CoThNSNx2yFcBWWa9JWGeoY-aw7KVf3N1lg?e=lHFyjE</t>
  </si>
  <si>
    <t>HT-AX7 Assets</t>
  </si>
  <si>
    <t>https://saranistudio-my.sharepoint.com/:f:/g/personal/team_sarani_studio/ErUxxCWKKMtPgPEr0s-KJMwBs_rwU14NK2E1z-z3XU_KFA?e=dZZTtM</t>
  </si>
  <si>
    <t>S2000 Banners</t>
  </si>
  <si>
    <t>https://saranistudio-my.sharepoint.com/:f:/g/personal/team_sarani_studio/Ei4YicOIcOBIkYDIA57sF94Bn4tshtsX2xfOz2m0CQCx-w?e=K4Rltj</t>
  </si>
  <si>
    <t>Horizontal perfect for PS5 banner - translations</t>
  </si>
  <si>
    <t>https://saranistudio-my.sharepoint.com/:f:/g/personal/team_sarani_studio/EvO2BCgAXpVMgmZtZBI50ccBQnOeqtaeE7qQ8COcMky7Sw?e=MAP32E</t>
  </si>
  <si>
    <t>Eco Web POP A95L</t>
  </si>
  <si>
    <t>https://saranistudio-my.sharepoint.com/:f:/g/personal/team_sarani_studio/Esx4_akWNAtKvFcu9fSJ21ABskzRbN_3NHHLO_p6gy4dPg?e=xlwsPq</t>
  </si>
  <si>
    <t>Data sheet - A95L Inclusion</t>
  </si>
  <si>
    <t>https://saranistudio-my.sharepoint.com/:f:/g/personal/team_sarani_studio/Emch4-emWHxDkRnx97aeTXMB0SEAENKz6TT43bWQVLZs8w?e=WWru2G</t>
  </si>
  <si>
    <t>Dimensions web POP A95L</t>
  </si>
  <si>
    <t>https://saranistudio-my.sharepoint.com/:f:/g/personal/team_sarani_studio/EkdsSf2gOMVMrdVeXOrheMkBH_dGKAjEB8ry_lYTvZDa3g?e=k0SxM7</t>
  </si>
  <si>
    <t>BRAVIA CAM Infographics</t>
  </si>
  <si>
    <t>https://saranistudio-my.sharepoint.com/:f:/g/personal/team_sarani_studio/EkXfrSYA2QFLoljauj0Yq9gBE1k5h8jK500sga-S6TG3xQ?e=EdvnpA</t>
  </si>
  <si>
    <t>NEW 2023 Offline TV POP</t>
  </si>
  <si>
    <t>https://saranistudio-my.sharepoint.com/:f:/g/personal/team_sarani_studio/EgQXXyXwmDtAqwIJt-K88TABQ6OV4PhryZ0takee2DqACQ?e=zd9K2I</t>
  </si>
  <si>
    <t>DI July triple launch</t>
  </si>
  <si>
    <t>https://saranistudio-my.sharepoint.com/:f:/g/personal/team_sarani_studio/EjU4BmlIbC5OhBZBhRo32BABHt3iXneGGwnCM3-0P36jxA?e=AnUaTW</t>
  </si>
  <si>
    <t>Welcome to Alpha Adaptations</t>
  </si>
  <si>
    <t>https://saranistudio-my.sharepoint.com/:f:/g/personal/team_sarani_studio/EuyUvGyTcBZJlP6sDAkZp6EB377xBnlpIjXo4JXqH6ZD4w?e=IjxQYX</t>
  </si>
  <si>
    <t>Triple Launch Animation</t>
  </si>
  <si>
    <t>https://saranistudio.sharepoint.com/:f:/s/SaraniAssets/Ej8vzAudL7hJtPiNTIw9T3IBPd4EhVKrIh_qJweukTswPg?e=nGbD2p</t>
  </si>
  <si>
    <t>[DI] Sample image - with credentials</t>
  </si>
  <si>
    <t>https://saranistudio.sharepoint.com/:f:/s/SaraniAssets/EuuiIjlR9QVEshe-bkuwBPQBlpBeaAOXakD9-7bueUi4mQ?e=hhX25U</t>
  </si>
  <si>
    <t>[DI] Winter Cashback</t>
  </si>
  <si>
    <t>https://saranistudio.sharepoint.com/:f:/r/sites/SaraniAssets/Shared%20Documents/03.%20Customers/02.%20Sony/02.%20Sony%20Europe/03.%20DI/20230710_%5BDI%5D%20Winter%20Cashback?csf=1&amp;web=1&amp;e=CdB9Em</t>
  </si>
  <si>
    <t xml:space="preserve">Draw gift for TV Registrants </t>
  </si>
  <si>
    <t>https://sonyeur-my.sharepoint.com/:f:/r/personal/emanuelle_fernandes_sony_com/Documents/01.%20Pan%20EU%20Customer%20Marketing/02.%20TV/01.%20Projects/2023.07%20-%20TV%20drawing%20campaign/03.%20Proposals/Batch%2001?csf=1&amp;web=1&amp;e=EEne9S</t>
  </si>
  <si>
    <t>Vlogging Banners</t>
  </si>
  <si>
    <t>https://saranistudio.sharepoint.com/:f:/s/SaraniAssets/EvUHXVzNVphJgALRztd9TwkBTzr3JBNZMOwz-_lRDZBaYA?e=b3LqYU</t>
  </si>
  <si>
    <t>Vlogging Leaflet</t>
  </si>
  <si>
    <t>https://saranistudio.sharepoint.com/:f:/s/SaraniAssets/EojKlm1jiM9OtNIvRIF6gaABSURtgaI_2D5dH-MxcTkHKQ?e=l4hGNC</t>
  </si>
  <si>
    <t>TV Hero transparent background</t>
  </si>
  <si>
    <t>https://saranistudio.sharepoint.com/:f:/s/SaraniAssets/Er8WuU03g6dNvNRNtBbReZ0BTVlq8W5JsS-9LFKk1VQGSQ?e=9Iyu2U</t>
  </si>
  <si>
    <t>2023.2H Salesbook</t>
  </si>
  <si>
    <t>https://saranistudio.sharepoint.com/:f:/s/SaraniAssets/Ej_wJaal69lIixwp_H-7l0EBGC86G3vbGNSEPcULt69p3A?e=htBiAW</t>
  </si>
  <si>
    <t>EISA Award 2023</t>
  </si>
  <si>
    <t>https://saranistudio.sharepoint.com/:f:/s/SaraniAssets/ElU_FomH6CdNr08N-aEfn1cBLbSxQlPbWuWhrGOq1_QKvA?e=fETWBd</t>
  </si>
  <si>
    <t>F2023-0525</t>
  </si>
  <si>
    <t>Promo assets - SEL300F28GM</t>
  </si>
  <si>
    <t>https://saranistudio.sharepoint.com/:f:/s/SaraniAssets/EoWMV5sy36FDm8k5lkTRu00BY5XpcHTfvoYlN7b5PTB0wA?e=3f9pvu</t>
  </si>
  <si>
    <t>Promoter Notepad</t>
  </si>
  <si>
    <t>https://saranistudio.sharepoint.com/:f:/r/sites/SaraniAssets/Shared%20Documents/03.%20Customers/02.%20Sony/02.%20Sony%20Europe/01.%20TV/20230817_Promoter%20Notepad?csf=1&amp;web=1&amp;e=nWaO6u</t>
  </si>
  <si>
    <t>New lens launch - SEL1635GM2</t>
  </si>
  <si>
    <t>https://saranistudio.sharepoint.com/:f:/s/SaraniAssets/EuAHaU9dM91KhZNkZgnZ5JUB29q7aNhyDuyrvhYeQDy5xQ?e=8kq47I</t>
  </si>
  <si>
    <t>CX89700 / CX89800 BTL Toolkit</t>
  </si>
  <si>
    <t>https://saranistudio.sharepoint.com/:f:/r/sites/SaraniAssets/Shared%20Documents/03.%20Customers/02.%20Sony/02.%20Sony%20Europe/03.%20DI/20230818_CX89700%20-%20CX89800%20BTL%20Toolkit?csf=1&amp;web=1&amp;e=Z5PrRI</t>
  </si>
  <si>
    <t>https://saranistudio-my.sharepoint.com/:b:/g/personal/team_sarani_studio/EbnJ4ZvLOGpOvwYken1Rqf8BJxOXWcGGACax-Vy6csb8mQ?e=RvmAgm</t>
  </si>
  <si>
    <t>F2023-0473</t>
  </si>
  <si>
    <t>Paid 19/02/2024</t>
  </si>
  <si>
    <t>CX89700/800 Product Image EXIF Data</t>
  </si>
  <si>
    <t>https://saranistudio.sharepoint.com/:f:/s/SaraniAssets/Ev-H9sdeJXhDmR0hGeHFkLEBiX7hjKLFXJBMDA-9NGATNQ?e=uSJRfH</t>
  </si>
  <si>
    <t>32W800 SCREENFILL</t>
  </si>
  <si>
    <t>https://saranistudio.sharepoint.com/:f:/s/SaraniAssets/Eh5AUHrlFNhOhTc-a1dpEIUBQHeRD290snPNQUZofpSuOQ?e=1psksI</t>
  </si>
  <si>
    <t>Microphone Leaflet</t>
  </si>
  <si>
    <t>https://saranistudio.sharepoint.com/:f:/s/SaraniAssets/EvZ0sifpJjFFsXPy1p6TSNoBuKzQAJda3z-5YwGuoFXRmw?e=0dmIBy</t>
  </si>
  <si>
    <t>F2023-0526</t>
  </si>
  <si>
    <t>Paid 24/11/2023</t>
  </si>
  <si>
    <t>2023 Winter Cashback</t>
  </si>
  <si>
    <t>https://saranistudio.sharepoint.com/:f:/s/SaraniAssets/ErbXJg2CfJBLvNunQK-fCqEBcAEZ6lFJuzcW8RE5au-QQw?e=allQnu</t>
  </si>
  <si>
    <t xml:space="preserve">[DI] Lens Trade-in </t>
  </si>
  <si>
    <t>https://saranistudio.sharepoint.com/:f:/s/SaraniAssets/EjK-H2UuMG1IkDaDS5naq7QBoig--ZWy2NRn0nUNhyzjqA?e=nyHg4x</t>
  </si>
  <si>
    <t>New Microphone Online Assets</t>
  </si>
  <si>
    <t>https://saranistudio.sharepoint.com/:f:/s/SaraniAssets/EpeItao2eHFJvUng6SS6OSUBwuVQ9nAJfSCrZHmrmpwjdw?e=peAnzB</t>
  </si>
  <si>
    <t>New format UK Draw gift</t>
  </si>
  <si>
    <t>Website image</t>
  </si>
  <si>
    <t>https://saranistudio.sharepoint.com/:f:/s/SaraniAssets/EmoOxdt4yARMnqbUuqPj3ysBinZgf_oRL_GVVQv5_LJajw?e=b2UDkW</t>
  </si>
  <si>
    <t>Lenses infographics</t>
  </si>
  <si>
    <t>https://saranistudio.sharepoint.com/:f:/s/SaraniAssets/Eu8JiVoEAq9Hp81GrBfWh3sBqhdcNDYzSHkX_yJNdAvRFA?e=KrRRy4</t>
  </si>
  <si>
    <t>NEW LENS LAUNCH adaptations</t>
  </si>
  <si>
    <t>https://saranistudio.sharepoint.com/:f:/s/SaraniAssets/Eu8JiVoEAq9Hp81GrBfWh3sBqhdcNDYzSHkX_yJNdAvRFA?e=liq5Y6</t>
  </si>
  <si>
    <t>Google TV Web POP</t>
  </si>
  <si>
    <t>https://saranistudio.sharepoint.com/:f:/s/SaraniAssets/ElbSuuzFBHxClBC66ustiQwBqpy-dftnUKcJtk3eMtmsVg?e=3MOcIK</t>
  </si>
  <si>
    <t>[DI] Lens Trade-in Phase 2</t>
  </si>
  <si>
    <t>https://saranistudio.sharepoint.com/:f:/s/SaraniAssets/Enjob-33BYVHnLN5wiOTFd8BMS94GFkEVswKbacvRkR-1w?e=vNngXV</t>
  </si>
  <si>
    <t>ZV-1 II + GP-VPT2BT Saving 100€ (Manu)</t>
  </si>
  <si>
    <t>https://saranistudio.sharepoint.com/:f:/s/SaraniAssets/ErkPup2jHu5Mog3XC2XAIcsB3LRz5r2t9U5jjRtUv8C-4g?e=NFgA6O</t>
  </si>
  <si>
    <t>F2023-0524</t>
  </si>
  <si>
    <t>Paid 07/12/2023</t>
  </si>
  <si>
    <t>X85 Retention email</t>
  </si>
  <si>
    <t>https://saranistudio.sharepoint.com/:f:/s/SaraniAssets/EuRHUHRU4khEqBIo_7_gpfIBZQk5qxYdAwDZlBgkSBiXKA?e=cwm51c</t>
  </si>
  <si>
    <t xml:space="preserve">Crunchyroll promo </t>
  </si>
  <si>
    <t>https://saranistudio.sharepoint.com/:f:/s/SaraniAssets/EiX8HagnoPxAgqzx_pONRFMBxl7J6XXIajWILhog-vO4fA?e=ISUERp</t>
  </si>
  <si>
    <t>Movie Lens Promotion</t>
  </si>
  <si>
    <t>https://saranistudio.sharepoint.com/:f:/s/SaraniAssets/EpexburqmYZAnlwASB3psE8BpdrmXsuQ6iMNsDwGPbZAQA?e=nbQccC</t>
  </si>
  <si>
    <t xml:space="preserve">[DI] ZV-E1 YouTube Assets </t>
  </si>
  <si>
    <t>https://saranistudio.sharepoint.com/:f:/s/SaraniAssets/EqN9KtYEkUNHito15JeqGqgBhaBNX9o8xI5jrJ4Z7nyrAw?e=U3fPdK</t>
  </si>
  <si>
    <t xml:space="preserve">Seasonal promotion Banners </t>
  </si>
  <si>
    <t>https://saranistudio.sharepoint.com/:f:/s/SaraniAssets/EnMsxsCwcVFEld_ngOQgjfwBK3zyHIZjDcFu20gHlOwVFw?e=j7v1WE</t>
  </si>
  <si>
    <t>Retargeting emails</t>
  </si>
  <si>
    <t>https://saranistudio.sharepoint.com/:f:/s/SaraniAssets/EtpkbKiSVMFIhNbQjNyml4wBs8c16J56IrJMZ2KnUJymfw?e=LyGIS8</t>
  </si>
  <si>
    <t>BVB Collaboration</t>
  </si>
  <si>
    <t>https://saranistudio.sharepoint.com/:f:/s/SaraniAssets/ErQgpIhUUdZMiLZLX7ySmvsBGqPfgNa9sMQmXMDkx6v7Wg?e=mYZy9F</t>
  </si>
  <si>
    <t>https://saranistudio-my.sharepoint.com/:b:/g/personal/team_sarani_studio/ER97ZcYu77lFvYpKtgVNZaYBfRv6XzK2GOHc8HWvxn_GsQ?e=adaoA4</t>
  </si>
  <si>
    <t>F2023-0470</t>
  </si>
  <si>
    <t>Crunchyroll extra banner sizes needed</t>
  </si>
  <si>
    <t>https://saranistudio.sharepoint.com/:f:/s/SaraniAssets/Eok5C3JUDjZFuFJSFr_c7YkBBBThrDnAkPvszCfGr7Nofw?e=DqbHhr</t>
  </si>
  <si>
    <t>PRT BF-Xmas offer improvement</t>
  </si>
  <si>
    <t>https://saranistudio.sharepoint.com/:f:/s/SaraniAssets/EpQoTPsIOKFKupw3Xb15zkMB0wrfxEhOm0-n7Hw6bkWUmw?e=4HEwiy</t>
  </si>
  <si>
    <t>https://saranistudio-my.sharepoint.com/:b:/g/personal/team_sarani_studio/ETfNj2ebsPdOkWzxajz_hS8BePD4q1Rnzmwchhq4tAIJpw?e=31AhYr</t>
  </si>
  <si>
    <t>F2023-0472</t>
  </si>
  <si>
    <t>NEW LENS LAUNCH 07.11.23</t>
  </si>
  <si>
    <t>https://saranistudio-my.sharepoint.com/:b:/g/personal/team_sarani_studio/EQRLXMKvgLtCjJMfj4ceemcBhNaFpHeqpb0axEpgfUiCgA?e=8QN2io</t>
  </si>
  <si>
    <t>F2023-0475</t>
  </si>
  <si>
    <t>FY24 Retail Assets (Online + offline)</t>
  </si>
  <si>
    <t>Emanuelle Fernandes</t>
  </si>
  <si>
    <t>https://saranistudio.sharepoint.com/:f:/s/SaraniAssets/Eo4WDaJwpyVIkNe_seLiXOkBbuKudTxn77GRfWhINFkwOQ?e=c5dQrs</t>
  </si>
  <si>
    <t>Alpha 9 III</t>
  </si>
  <si>
    <t>https://saranistudio.sharepoint.com/:f:/s/SaraniAssets/Emes8eO5R-5PoaVOfjNhpBsBipX6RbShAMr0UVPigG5ZLA?e=a8HET0</t>
  </si>
  <si>
    <t>Big Screen TV retention email</t>
  </si>
  <si>
    <t>https://saranistudio.sharepoint.com/:f:/s/SaraniAssets/EvrtslhhDNFJvWu675iNAogBzs_AY3yfkc3JEqyTfyRa9Q?e=HyLig7</t>
  </si>
  <si>
    <t>https://saranistudio-my.sharepoint.com/:b:/g/personal/team_sarani_studio/EVPIyDRdoMVAi58OoB19c-0BEdd_FxpCkC5m4wYuwnLLbw?e=OaV5o9</t>
  </si>
  <si>
    <t>F2023-0471</t>
  </si>
  <si>
    <t>Alpha 9 III BTL Toolkit</t>
  </si>
  <si>
    <t>https://saranistudio.sharepoint.com/:f:/s/SaraniAssets/EqupQjOgfo1MncW91pQPY64BhlsVhcqbATJo5rSsDQnYQQ?e=Blj9CM</t>
  </si>
  <si>
    <t>[DI] Trade In Promotion (Multi)​</t>
  </si>
  <si>
    <t>https://saranistudio.sharepoint.com/:f:/s/SaraniAssets/EqJrRiBiAQpOjBPwFBJ3btcBDvpzKy2Nrc19ckmfd8x--A?e=WQHTJA</t>
  </si>
  <si>
    <t>BRAVIA Card Image</t>
  </si>
  <si>
    <t>https://saranistudio.sharepoint.com/:f:/s/SaraniAssets/EswQwEeWKqdOiJ2XCXR4HCYBnO0BVHzIE-B8DmpuLdLTig?e=yCv5vo</t>
  </si>
  <si>
    <t>SUK formats Trade In</t>
  </si>
  <si>
    <t>ZV-E1, ZV-E10 + Mic WBW</t>
  </si>
  <si>
    <t>https://saranistudio.sharepoint.com/:f:/s/SaraniAssets/EsGsZdTN37NFpfQEW0mYj1gBWC4dx3EC6mENJxKEB0a6ew?e=gBUk0V</t>
  </si>
  <si>
    <t>Wildlife promo - D2C Formats</t>
  </si>
  <si>
    <t>https://saranistudio.sharepoint.com/:f:/s/SaraniAssets/EvVtj2ygUblLg5UXK0j5FYUBCoxfsLqTbi5DrylQPbBqQQ?e=rgJfTR</t>
  </si>
  <si>
    <t>FY24 HE Brief - Graphic Overlay &amp; floating POP</t>
  </si>
  <si>
    <t>https://saranistudio.sharepoint.com/:f:/s/SaraniAssets/Epz0xp4DDTVOkagGmjNF3FEBaMpa0B5qYB3SCjq-0Z_rSA?e=FVKGBW</t>
  </si>
  <si>
    <t>FY24 HE - HAV banners</t>
  </si>
  <si>
    <t>https://saranistudio.sharepoint.com/:f:/s/SaraniAssets/EkQmTEnJO-VGmSGBW0x94lEBu9SCT5wqyGjuAgW-C3SfwQ?e=eaNaOn</t>
  </si>
  <si>
    <t>F2024-0095</t>
  </si>
  <si>
    <t>FY24 - BVB assets</t>
  </si>
  <si>
    <t>https://saranistudio.sharepoint.com/:f:/s/SaraniAssets/EkwHEWVhl8JIq_Qhbg09gPwBrCG9icOCo3rwC5HP0K2WpA?e=inFSmg</t>
  </si>
  <si>
    <t>[IPSE] VX8033 Launch IMPORTANT</t>
  </si>
  <si>
    <t>https://saranistudio.sharepoint.com/:f:/s/SaraniAssets/EhdUQ0Cw5UhMv5lBEKlm4-QBIh3Z1aERQj_S6r4twhl5Ew?e=Sn8C9H</t>
  </si>
  <si>
    <t>https://saranistudio-my.sharepoint.com/:w:/g/personal/team_sarani_studio/ESrff40XWBVLvyjE6hVmoRwBWyO86NRtCfD7em5_hjMyJg?e=mgmSRn</t>
  </si>
  <si>
    <t>F2024-0137</t>
  </si>
  <si>
    <t>FY24 HE Online - Web POP - TV Hero Images</t>
  </si>
  <si>
    <t>https://saranistudio.sharepoint.com/:f:/s/SaraniAssets/Eo4WDaJwpyVIkNe_seLiXOkBbuKudTxn77GRfWhINFkwOQ?e=KC1Alm</t>
  </si>
  <si>
    <t>FY24 TV Guidelines</t>
  </si>
  <si>
    <t>https://saranistudio.sharepoint.com/:f:/s/SaraniAssets/EhbQP5-nE-ZCjeWrmAC8_RkBqPvAbHL1WLlc0ejFViux_A?e=vQHq2s</t>
  </si>
  <si>
    <t>FY24 HE - Line up Banner</t>
  </si>
  <si>
    <t>https://saranistudio.sharepoint.com/:f:/s/SaraniAssets/Eip5X_YEK3VDrdEQ_e9iSoABgU_64oqKjeS-0b6sEugb_Q?e=k5xWrQ</t>
  </si>
  <si>
    <t>FY24 HE - Datasheet</t>
  </si>
  <si>
    <t>https://saranistudio.sharepoint.com/:f:/s/SaraniAssets/Eo_hV8V2-0dAoIZcss7pqb4BSEW57KCwLkoDcypYbUlGDQ?e=at2foT</t>
  </si>
  <si>
    <t>2,500.00 €</t>
  </si>
  <si>
    <t>F2024-0239</t>
  </si>
  <si>
    <t>Shutterstock video</t>
  </si>
  <si>
    <t>FY24 - Soundbar Data sheet</t>
  </si>
  <si>
    <t>https://saranistudio.sharepoint.com/:f:/s/SaraniAssets/Eoq-kmx-cvZLtuVuyL16G2YBx5ices0C-AOPYI4pf8FXGw?e=QOin3Q</t>
  </si>
  <si>
    <t>2,000.00 €</t>
  </si>
  <si>
    <t>F2024-0283</t>
  </si>
  <si>
    <t>Paid 20/08/2024</t>
  </si>
  <si>
    <t>New firmware update Alpha7SIII/Alpha1/Alpha 7 IV/Alpha 9 III</t>
  </si>
  <si>
    <t>https://saranistudio.sharepoint.com/:f:/s/SaraniAssets/EohK5v0c5sVMhM4nR228CdABigO1c3Yh5KJXnVHyBzSCpg?e=O7jtBl</t>
  </si>
  <si>
    <t>https://saranistudio-my.sharepoint.com/:b:/g/personal/team_sarani_studio/EaHE11gHn0JAqe0e3wP2KEUBYEalW5MKlra0shGV9xMCMw?e=P1k4PD</t>
  </si>
  <si>
    <t>F2024-0219</t>
  </si>
  <si>
    <t>FY24 HE - HAV banners remaining models</t>
  </si>
  <si>
    <t>https://saranistudio.sharepoint.com/:f:/s/SaraniAssets/EnZ-uzmWWkFFkiHsTQyAW0ABRH5yq1FUu3gvJw7FlMwsNQ?e=hSl8ao</t>
  </si>
  <si>
    <t>https://saranistudio-my.sharepoint.com/:b:/g/personal/team_sarani_studio/Ee7Hbj-508lNl-zqjrBBiXYBxq7rQdf8TZyr6kyn7mu2WA?e=25sQ9S</t>
  </si>
  <si>
    <t>F2024-0221</t>
  </si>
  <si>
    <t>Summer CB - WIP</t>
  </si>
  <si>
    <t>https://saranistudio.sharepoint.com/:f:/s/SaraniAssets/Ej0woRs4byZFrhHNJJCCehQBDX1cwAjyCDNnULcPO3z2WA?e=yhdDWi</t>
  </si>
  <si>
    <t>https://saranistudio-my.sharepoint.com/:b:/g/personal/team_sarani_studio/Ea2ZbIkAT8ZFlDZYilkbgQQBlALE1d3il9Oed3jYdcYyUg?e=nIjTl6</t>
  </si>
  <si>
    <t>F2024-0217</t>
  </si>
  <si>
    <t>VX8034 Launch IMPORTANT</t>
  </si>
  <si>
    <t>https://saranistudio.sharepoint.com/:f:/s/SaraniAssets/EueUOt5gRntNljMm30bgyRIBY6YF2TmehaK5xvJ6oFrxxA?e=8MFZzW</t>
  </si>
  <si>
    <t>https://saranistudio-my.sharepoint.com/:b:/g/personal/team_sarani_studio/Edkt_WYi669LiYpswyqulQEBZtVh8wcL1WZXW2xANagq0w?e=pdZeTc</t>
  </si>
  <si>
    <t>F2024-0218</t>
  </si>
  <si>
    <t>Summer Combos CB - WIP</t>
  </si>
  <si>
    <t>https://saranistudio.sharepoint.com/:f:/s/SaraniAssets/Esoy0TdLEqJAkKGFS4uHuJwBeU3BRBd__bt-gznRfdFYWw?e=GZmYMF</t>
  </si>
  <si>
    <t>https://saranistudio-my.sharepoint.com/:b:/g/personal/team_sarani_studio/EVXlu184_RVNoiOqtsZyNp4BVlqsjY75PxD0io1vJ2JsrQ?e=a7PYo2</t>
  </si>
  <si>
    <t>F2024-0220</t>
  </si>
  <si>
    <t>New LUT social post gif</t>
  </si>
  <si>
    <t>20240413_New LUT social post gif</t>
  </si>
  <si>
    <t>F2024-0200</t>
  </si>
  <si>
    <t>Key Visual Adaptation - New Briefing</t>
  </si>
  <si>
    <t>Deniz Birol</t>
  </si>
  <si>
    <t>https://saranistudio.sharepoint.com/:f:/s/SaraniAssets/El_qbxRXkWRKsWcI-77GKeoBBCPL2PtxJS_pUq0f8A4F8g?e=bPvJs9</t>
  </si>
  <si>
    <t>DI GIF Summer Promo</t>
  </si>
  <si>
    <t>Cecile Gregory</t>
  </si>
  <si>
    <t>[DI] Lens Search Campaign Banners</t>
  </si>
  <si>
    <t>https://saranistudio.sharepoint.com/:f:/s/SaraniAssets/Eubt39PoA3FMmIszQYPrPq8BqGamy08xoGtK5yITSZWT-A?e=TVbjC7</t>
  </si>
  <si>
    <t>https://saranistudio-my.sharepoint.com/:b:/g/personal/team_sarani_studio/ERKc5QV3irBPrWyf6gQlPH4BitYxDNtcfFbGNANR8nPptg?e=L6nRAr</t>
  </si>
  <si>
    <t>F2024-0240</t>
  </si>
  <si>
    <t>Student cashback brief</t>
  </si>
  <si>
    <t>https://saranistudio.sharepoint.com/:f:/s/SaraniAssets/EqeQlpdNg2ZKvhSQMzUmLhIBCq4-ZzRnY2kFxdRyiYNyHA?e=eElAJE</t>
  </si>
  <si>
    <t>2500.00 €</t>
  </si>
  <si>
    <t>F2024-0284</t>
  </si>
  <si>
    <t>New Student cashback visuals</t>
  </si>
  <si>
    <t>https://saranistudio.sharepoint.com/:f:/s/SaraniAssets/EoRokXSMQKVJgdiDHP0KNykBU71DRKooWvC-hba58vyctA?e=nT4wV8</t>
  </si>
  <si>
    <t>G Lens Project - Animated banners</t>
  </si>
  <si>
    <t>https://saranistudio.sharepoint.com/:f:/s/SaraniAssets/EoKlREufcmpOuZ0fXrdYWoQBvOBVUoZEHKUGJY8UNmd7vw?e=Jiaofw</t>
  </si>
  <si>
    <t>F2024-0366</t>
  </si>
  <si>
    <t>New Launch: Animated Banner</t>
  </si>
  <si>
    <t>https://saranistudio.sharepoint.com/:f:/s/SaraniAssets/EnbTrESYZ_xPmFUe4keV7SkBeW2mQyVzDZnu_-NehuhH8g?e=9xa4c4</t>
  </si>
  <si>
    <t>F2024-0343</t>
  </si>
  <si>
    <t>Paid 24/09/2024</t>
  </si>
  <si>
    <t>New lens page URLs</t>
  </si>
  <si>
    <t>https://saranistudio.sharepoint.com/:f:/s/SaraniAssets/EhgK_seiA_tCsp0Gc_Smm-wBmhwbJgoyuINq25vLZ9gubQ?e=TqGY4V</t>
  </si>
  <si>
    <t>F2024-0344</t>
  </si>
  <si>
    <t>Aug-Sep TI assets</t>
  </si>
  <si>
    <t>https://saranistudio.sharepoint.com/:f:/s/SaraniAssets/EvOj5THHos1CnBq3SiY0bwYBsx2I_AUhSuJ7WaXubeb3FA?e=GVP2Oj</t>
  </si>
  <si>
    <t>F2024-0367</t>
  </si>
  <si>
    <t>Assets for QTM VX8040</t>
  </si>
  <si>
    <t>https://saranistudio.sharepoint.com/:f:/s/SaraniAssets/Ek77nRJFXDpDjvjUcxFdj1QBm1SfzRuxP_df1P7zIHbpLg?e=dCrNCP</t>
  </si>
  <si>
    <t>F2024-0461</t>
  </si>
  <si>
    <t>Paid 26/11/2024
avec A2024-0050</t>
  </si>
  <si>
    <t>New Summer LUTs - August Email</t>
  </si>
  <si>
    <t>https://saranistudio.sharepoint.com/:f:/s/SaraniAssets/Eiai428SuCBKlVUo_bfexuMByqXlTavPmUMzMv-T-KRQDg?e=oDbG5W</t>
  </si>
  <si>
    <t>Creators' Cloud assets</t>
  </si>
  <si>
    <t>https://saranistudio.sharepoint.com/:f:/s/SaraniAssets/EsgXaSZ3nMlEgp5-e9p9K5kBbE00aAksz125JOMcPgmMKA?e=U4ZQmn</t>
  </si>
  <si>
    <t>F2024-0365</t>
  </si>
  <si>
    <t>EISA Awards 2024</t>
  </si>
  <si>
    <t>https://saranistudio.sharepoint.com/:f:/s/SaraniAssets/EnUObeTjRI5OiA6V8dNaAn0B6VttLZUapsY48cfOqgBsxA?e=uDAqgg</t>
  </si>
  <si>
    <t>F2024-0462</t>
  </si>
  <si>
    <t>VX8040 Video Localisation</t>
  </si>
  <si>
    <t>https://saranistudio.sharepoint.com/:f:/s/SaraniAssets/ElBOAiSYnb5NtU8LqFdZersBnE_Dgi7soXoTcAXwJOYg2g?e=HHmum7</t>
  </si>
  <si>
    <t>VX9557 Video localisation</t>
  </si>
  <si>
    <t>F2024-0463</t>
  </si>
  <si>
    <t>DI Winter CB Products and Amounts visual tests</t>
  </si>
  <si>
    <t>https://saranistudio.sharepoint.com/:f:/s/SaraniAssets/EvQmFOscm1RAq_PnYUxvycsBcBbYHDMbjg3X-KYObzIHwA?e=RCGdB2</t>
  </si>
  <si>
    <t>EISA extra assets</t>
  </si>
  <si>
    <t>F2024-0533</t>
  </si>
  <si>
    <t>Paid 20/12/2024</t>
  </si>
  <si>
    <t>A7Cii &amp; CA Campaign Brief translation</t>
  </si>
  <si>
    <t xml:space="preserve"> https://saranistudio.sharepoint.com/:x:/s/SaraniAssets/ET2fh9pZ16hLv2e003ra-AUBVROyhwQN8yTM3ErTUOr_ew?e=SuOHDS</t>
  </si>
  <si>
    <t>DI Winter Cashback REELS</t>
  </si>
  <si>
    <t>https://saranistudio.sharepoint.com/:f:/s/SaraniAssets/EvLUBxoou9pAp2tE_9jLb7ABBTVK99fi62he8yLJU3_xKg?e=cC4X6q</t>
  </si>
  <si>
    <t>F2024-0534</t>
  </si>
  <si>
    <t>FY24 Always On Print &amp; Digital Campaign</t>
  </si>
  <si>
    <t>https://saranistudio.sharepoint.com/:f:/s/SaraniAssets/EnvIKkj07iZIo94o8C9NMy0BxLwNA_Km-54VVoMyyZI8tg?e=8EEDIt</t>
  </si>
  <si>
    <t>F2024-0532</t>
  </si>
  <si>
    <r>
      <rPr>
        <b/>
        <sz val="11"/>
        <color rgb="FF000000"/>
        <rFont val="Calibri"/>
        <scheme val="minor"/>
      </rPr>
      <t xml:space="preserve">Creation of </t>
    </r>
    <r>
      <rPr>
        <b/>
        <sz val="12"/>
        <color rgb="FF000000"/>
        <rFont val="Segoe UI"/>
      </rPr>
      <t>Unidays/D2C</t>
    </r>
    <r>
      <rPr>
        <b/>
        <sz val="12"/>
        <color rgb="FF242424"/>
        <rFont val="Segoe UI"/>
      </rPr>
      <t xml:space="preserve"> </t>
    </r>
    <r>
      <rPr>
        <b/>
        <sz val="12"/>
        <color rgb="FF000000"/>
        <rFont val="Segoe UI"/>
      </rPr>
      <t>assets</t>
    </r>
  </si>
  <si>
    <t>20241107_Creation of Unidays - D2C assets</t>
  </si>
  <si>
    <t>Quote Proposal SONY Europe - Creation of Unidays D2C assets.pdf</t>
  </si>
  <si>
    <t>VX8041 PFV Vtt - Translation</t>
  </si>
  <si>
    <t>https://saranistudio.sharepoint.com/:f:/s/SaraniAssets/EjpB_55WXaxEvkii0KkLEKMBYdbxr1h37PzR3BYA1T2VsA?e=2Sa0eM</t>
  </si>
  <si>
    <t>Quote Proposal SONY Europe - VX8041 PFV Vtt - Translation.pdf</t>
  </si>
  <si>
    <t>F2024-0711</t>
  </si>
  <si>
    <t>Paid 27/03/2025</t>
  </si>
  <si>
    <t>CX89900 | BTL Toolkit - Translation</t>
  </si>
  <si>
    <t>https://saranistudio.sharepoint.com/:f:/s/SaraniAssets/ErnzFJnXNWJGskl2p7lWCE0B3hJHWljlscNwosZQ_bJ9gA?e=eI1XGQ</t>
  </si>
  <si>
    <t>Quote Proposal SONY Europe - CX89900 BTL Toolkit - Translation.pdf</t>
  </si>
  <si>
    <t>Autumn LUT - November Email</t>
  </si>
  <si>
    <t>20241112_Autumn LUT - November Email</t>
  </si>
  <si>
    <t>VX8041 PFV Vtt - Video Localisation</t>
  </si>
  <si>
    <t>https://saranistudio-my.sharepoint.com/:b:/g/personal/team_sarani_studio/EWRuOysoY6hJhU08EQ1kUGcBjvklv8YKSKNh3YjwipK2Vg?e=PSTx4g</t>
  </si>
  <si>
    <t>CX89900 | BTL Toolkit - Video Localisation</t>
  </si>
  <si>
    <t>https://saranistudio-my.sharepoint.com/:f:/g/personal/team_sarani_studio/EjtzOE4rrcVAhRjQijOMNf0Bf5P7Nlr_QJ64qrf5mHy8pQ?e=uRXJPa</t>
  </si>
  <si>
    <t>F2024-0647</t>
  </si>
  <si>
    <t>Sony World Photography Awards</t>
  </si>
  <si>
    <t>20241126_Sony World Photography Awards</t>
  </si>
  <si>
    <t>DI Winter CB Reel - Portrait</t>
  </si>
  <si>
    <t>https://saranistudio.sharepoint.com/:f:/s/SaraniAssets/ErAF-472q1BGthxrv1peEK8B49Yrtae7Hf5ccNBLK9XQ4Q?e=jwtfPD</t>
  </si>
  <si>
    <t>Alpha Universe Winter Competition Reel</t>
  </si>
  <si>
    <t>https://saranistudio.sharepoint.com/:f:/s/SaraniAssets/ErlfPQHOu89Ck-oaNTPj5HQBqOj214zCJhynBMxd-kCHEw?e=RT5rV3</t>
  </si>
  <si>
    <t>Image Request - Alpha Academy</t>
  </si>
  <si>
    <t>https://saranistudio.sharepoint.com/:f:/s/SaraniAssets/EhUIDtdwjSJMj04P45vf2t8BNnyripjVAll_UBPOTNOQCg?e=lMeXgb</t>
  </si>
  <si>
    <t>New LUTs GIF for Newsletter</t>
  </si>
  <si>
    <t>https://saranistudio.sharepoint.com/:f:/s/SaraniAssets/ErwbXuBI-ctJs2LgKD66f8IBHbZgoCZGbHZkW4R-IUFgww?e=bNj0US</t>
  </si>
  <si>
    <t>Vlogging email GIF</t>
  </si>
  <si>
    <t>https://saranistudio.sharepoint.com/:f:/s/SaraniAssets/EumEHPNjf8xDuEJZur5dSDAB3ThQLjRNJcD8oa3DXvgUVg?e=yZ2E3S</t>
  </si>
  <si>
    <t>Master Assets | DI Promotion Campaigns 2025</t>
  </si>
  <si>
    <t>20250128_Master Assets I DI Promotion Campaigns 2025</t>
  </si>
  <si>
    <t>G Master Reel</t>
  </si>
  <si>
    <t>20250121_ G Master Reel</t>
  </si>
  <si>
    <t>F2025-0067</t>
  </si>
  <si>
    <t>DI Feb Launch - VX8032 &amp; VX8042 Banners</t>
  </si>
  <si>
    <t>20250130_DI Feb Launch Plan with STQ - VX8032 &amp; VX8042</t>
  </si>
  <si>
    <t>F2025-0104</t>
  </si>
  <si>
    <t>Paid 14/05/2025</t>
  </si>
  <si>
    <t>DI Feb Launch - VX8032 &amp; VX8042 Videos</t>
  </si>
  <si>
    <t>Sony Launch video</t>
  </si>
  <si>
    <t>Master Design - Online</t>
  </si>
  <si>
    <r>
      <rPr>
        <b/>
        <sz val="11"/>
        <color rgb="FFFFFFFF"/>
        <rFont val="Calibri"/>
      </rPr>
      <t xml:space="preserve">Key Visual </t>
    </r>
    <r>
      <rPr>
        <i/>
        <sz val="11"/>
        <color rgb="FFFFFFFF"/>
        <rFont val="Calibri"/>
      </rPr>
      <t>(image)</t>
    </r>
  </si>
  <si>
    <r>
      <rPr>
        <b/>
        <sz val="11"/>
        <color rgb="FFFFFFFF"/>
        <rFont val="Calibri"/>
      </rPr>
      <t xml:space="preserve">Key Visual </t>
    </r>
    <r>
      <rPr>
        <i/>
        <sz val="11"/>
        <color rgb="FFFFFFFF"/>
        <rFont val="Calibri"/>
      </rPr>
      <t>(banner)</t>
    </r>
  </si>
  <si>
    <r>
      <rPr>
        <b/>
        <sz val="11"/>
        <color rgb="FFFFFFFF"/>
        <rFont val="Calibri"/>
      </rPr>
      <t xml:space="preserve">Infographics </t>
    </r>
    <r>
      <rPr>
        <i/>
        <sz val="11"/>
        <color rgb="FFFFFFFF"/>
        <rFont val="Calibri"/>
      </rPr>
      <t>(web pop)</t>
    </r>
  </si>
  <si>
    <r>
      <rPr>
        <b/>
        <sz val="11"/>
        <color rgb="FFFFFFFF"/>
        <rFont val="Calibri"/>
        <scheme val="minor"/>
      </rPr>
      <t xml:space="preserve">Trade-in </t>
    </r>
    <r>
      <rPr>
        <i/>
        <sz val="11"/>
        <color rgb="FFFFFFFF"/>
        <rFont val="Calibri"/>
        <scheme val="minor"/>
      </rPr>
      <t>(promotional)</t>
    </r>
  </si>
  <si>
    <r>
      <rPr>
        <b/>
        <sz val="11"/>
        <color rgb="FFFFFFFF"/>
        <rFont val="Calibri"/>
        <scheme val="minor"/>
      </rPr>
      <t xml:space="preserve">Cash Back </t>
    </r>
    <r>
      <rPr>
        <i/>
        <sz val="11"/>
        <color rgb="FFFFFFFF"/>
        <rFont val="Calibri"/>
        <scheme val="minor"/>
      </rPr>
      <t>(promotional)</t>
    </r>
  </si>
  <si>
    <r>
      <rPr>
        <b/>
        <sz val="11"/>
        <color rgb="FFFFFFFF"/>
        <rFont val="Calibri"/>
        <scheme val="minor"/>
      </rPr>
      <t xml:space="preserve">Seasonal </t>
    </r>
    <r>
      <rPr>
        <i/>
        <sz val="11"/>
        <color rgb="FFFFFFFF"/>
        <rFont val="Calibri"/>
        <scheme val="minor"/>
      </rPr>
      <t>(promotional)</t>
    </r>
  </si>
  <si>
    <t>Community / Lifestyle</t>
  </si>
  <si>
    <t>TEmplates</t>
  </si>
  <si>
    <t xml:space="preserve">Alpha Summer Competition: Social Reels </t>
  </si>
  <si>
    <t>Sayaka Furuse</t>
  </si>
  <si>
    <t>https://saranistudio.sharepoint.com/:f:/s/SaraniAssets/EoADAN5rsttDj66QdaqN4GEBgRtofIr1Ci5_BlffTE4NiA?e=0mrcxi</t>
  </si>
  <si>
    <t>https://saranistudio-my.sharepoint.com/:b:/g/personal/team_sarani_studio/EcO9PRZbsZ1PmzQQTd8u_QIBP6GdSMnRx9XjEHq_UKaOTQ?e=CRcHqU</t>
  </si>
  <si>
    <t xml:space="preserve">Mobile Amazon Banners </t>
  </si>
  <si>
    <t>https://saranistudio.sharepoint.com/:f:/s/SaraniAssets/Eu4qEwYiEExLhs6m1xIY0gUBbpFcpkcN5O8fOTt-_b8sjA?e=lYMetg</t>
  </si>
  <si>
    <t>https://saranistudio-my.sharepoint.com/:b:/g/personal/team_sarani_studio/Ebsmplk4MEtBu9MWcLEa7KgBY3oScayFJaygF-rrzq_iCA?e=VF9jeF</t>
  </si>
  <si>
    <t>F2025-0358</t>
  </si>
  <si>
    <t>Waiting for payment 24/08/2025</t>
  </si>
  <si>
    <t>SUK Student Cashback</t>
  </si>
  <si>
    <t>Cristina Ifrim</t>
  </si>
  <si>
    <t>https://saranistudio.sharepoint.com/:f:/s/SaraniAssets/Eqn1jHB9VPZJkz4ldsXpv-EB70FbvD2WQZ-l7fKDrOqPoQ?e=LzZfYr</t>
  </si>
  <si>
    <t>https://saranistudio-my.sharepoint.com/:b:/g/personal/team_sarani_studio/EYs9z-40lFdDma2O7cJgaG0BEWIX9f_xnuWs8GwBMDOIbw?e=w5Iai2</t>
  </si>
  <si>
    <t>Student CB extra formats LP</t>
  </si>
  <si>
    <t>https://saranistudio-my.sharepoint.com/:b:/g/personal/team_sarani_studio/EQmp0bVKtj5KhlFohES0F-ABAOAmsIZ6dwQ3pCvj2L2Omw?e=lStI9w</t>
  </si>
  <si>
    <t>F2025-0361</t>
  </si>
  <si>
    <t>Waiting for payment 26/08/2025</t>
  </si>
  <si>
    <t xml:space="preserve">FX2 product video localization </t>
  </si>
  <si>
    <t>https://saranistudio.sharepoint.com/:f:/s/SaraniAssets/EqjlNkkOWTJMpxNIUUD2CycB9MVPcTsTtG1CTfGcj3xxFA?e=8bNEDW</t>
  </si>
  <si>
    <t>https://saranistudio-my.sharepoint.com/:b:/g/personal/team_sarani_studio/Eea1U64obCBDhTsCRGSJyosBv0yWI5_gWl3mxaqYP78aPg?e=wIhKJr</t>
  </si>
  <si>
    <t>F2025-0371</t>
  </si>
  <si>
    <t>Lens WOW Campaign</t>
  </si>
  <si>
    <t>https://saranistudio.sharepoint.com/:f:/s/SaraniAssets/EplEjv1SxM9MrEgtVctverQBIax7rwPPoCXtJYA2WqDcOA?e=QyzU6D</t>
  </si>
  <si>
    <t>https://saranistudio-my.sharepoint.com/:b:/g/personal/team_sarani_studio/EZIQoyYUJVRCnQnuK848EEcBLght8ZQTV_odufPZuqbIrQ?e=p6aeXm</t>
  </si>
  <si>
    <t>F2025-0370</t>
  </si>
  <si>
    <t>Email Template</t>
  </si>
  <si>
    <r>
      <rPr>
        <b/>
        <sz val="11"/>
        <color rgb="FFFFFFFF"/>
        <rFont val="Calibri"/>
      </rPr>
      <t>Leads Generation</t>
    </r>
    <r>
      <rPr>
        <i/>
        <sz val="11"/>
        <color rgb="FFFFFFFF"/>
        <rFont val="Calibri"/>
      </rPr>
      <t xml:space="preserve"> (meetings)</t>
    </r>
  </si>
  <si>
    <t>Social Media</t>
  </si>
  <si>
    <t>Virtual Floor</t>
  </si>
  <si>
    <t>PDS</t>
  </si>
  <si>
    <t>PDF to PPT</t>
  </si>
  <si>
    <t>Adam Dover</t>
  </si>
  <si>
    <t>https://saranistudio.sharepoint.com/:f:/s/SaraniAssets/Enn5l6Da6AtDoFfj23CTHSwBA_BEdWaGWTSDJ9DVu3HiOg?e=y0phF2</t>
  </si>
  <si>
    <t>Q4 Newsletter plan</t>
  </si>
  <si>
    <t>TEOS</t>
  </si>
  <si>
    <t>BRAVIA Supervisor &amp; signage video</t>
  </si>
  <si>
    <t>https://saranistudio.sharepoint.com/:v:/s/SaraniAssets/EfF-0sXJWWxLhB2LWsCbtXgB-ODUMKfg7ETK3vDmKUkHow?e=zEbEFG</t>
  </si>
  <si>
    <t>TEOS What's New 3.2 Guide &amp; ISE Assets</t>
  </si>
  <si>
    <t>https://saranistudio.sharepoint.com/:f:/s/SaraniAssets/Ei09yOaF_rlFqnzruCuw3HEBmATjwtXfEOyAvd3W_z9crQ?e=JCOhxS</t>
  </si>
  <si>
    <t>Extra TEOS training videos</t>
  </si>
  <si>
    <t>https://saranistudio.sharepoint.com/:f:/s/SaraniAssets/EmX5ELm0nD1NlgC2PNcZNVUBMWWuxJoSjT-05kz5BGoygg?e=tVXJE6</t>
  </si>
  <si>
    <t>Eco Tool creation</t>
  </si>
  <si>
    <t>http://ecotool.sarani.studio/</t>
  </si>
  <si>
    <t>BRAVIA Supervisor Translations</t>
  </si>
  <si>
    <t>https://saranistudio.sharepoint.com/:f:/s/SaraniAssets/Es8cHnGKZ-hLvB8g2sNdAg4BueN4I6bPtmfrnh3_Bak9iA?e=iCGbrR</t>
  </si>
  <si>
    <t>5 floors wayfiding map for Newen</t>
  </si>
  <si>
    <t>https://saranistudio.sharepoint.com/:f:/s/SaraniAssets/Ej9iBp0i5v5FvuyIVGPn5qYBJU8t_wWUjf3yHR4bD-sSrw?e=YBC18n</t>
  </si>
  <si>
    <t>BRAVIA Supervisor Launch assets</t>
  </si>
  <si>
    <t>Leads Generation Plan</t>
  </si>
  <si>
    <t>Home Cinema Campaign</t>
  </si>
  <si>
    <t>https://saranistudio-my.sharepoint.com/:f:/g/personal/team_sarani_studio/EhhRwjg8YCxAgLpx7vbn7G0BT5nb4jpi9-31UiiNW7oy9g?e=eSeWfg</t>
  </si>
  <si>
    <t>Micromedia 1630672</t>
  </si>
  <si>
    <t>Park plan Plopsaland De Panne</t>
  </si>
  <si>
    <t>https://saranistudio.sharepoint.com/:f:/s/SaraniAssets/EmXHactwXf9IgjJiSaXqsucB6PCEbi3v4eOV96OZpVvELw?e=7CcX6a</t>
  </si>
  <si>
    <t>Sony Presentation Template</t>
  </si>
  <si>
    <t>Philippe Remion</t>
  </si>
  <si>
    <t>https://saranistudio-my.sharepoint.com/:f:/g/personal/team_sarani_studio/EgvTUPgcIIFBrxRDM9FRid0BMb3Ua0BISOhuNRqhI2Ensg?e=dmSUsx</t>
  </si>
  <si>
    <t>TEOS Ad</t>
  </si>
  <si>
    <t>https://saranistudio-my.sharepoint.com/:f:/g/personal/team_sarani_studio/EtJoIHmk6WpGgd-0x8A4og8B-qJpcUPHlL7gwRBK1yi6yw?e=qd1VSi</t>
  </si>
  <si>
    <t>BRAVIA Supervisor Overview translations</t>
  </si>
  <si>
    <t>https://saranistudio-my.sharepoint.com/:f:/g/personal/team_sarani_studio/EuVze90-Qd9Ln5Vu3flHsbsBVfFhbWmBUE093oJvEc5Q4w?e=aeap43</t>
  </si>
  <si>
    <t>https://saranistudio-my.sharepoint.com/:b:/g/personal/team_sarani_studio/ERt-DTWvbAJMoSar64WaEogBb7OE0J5cNsBOKttMiimjow?e=OAlxiT</t>
  </si>
  <si>
    <t>BRAVIA Supervisor Presentation</t>
  </si>
  <si>
    <t>https://saranistudio-my.sharepoint.com/:f:/g/personal/team_sarani_studio/Eg9so6ZkvM9KhIDsCzrBZ7gB321L21koEn4ekeJTKVlYSQ?e=GJw3lh</t>
  </si>
  <si>
    <t>https://saranistudio-my.sharepoint.com/:b:/g/personal/team_sarani_studio/EQC6oem5Q3xJtE63qg5MBwkBZBe1UF4_NXMTY4sglQV5JQ?e=DqeP1f</t>
  </si>
  <si>
    <t>Sony PDS Leaflet</t>
  </si>
  <si>
    <t>https://saranistudio-my.sharepoint.com/:f:/g/personal/team_sarani_studio/EuoBsp9gIj9InaxgglMO4s8B1kR5oPRDLo7ItSgXmzFr8g?e=kM5cEG</t>
  </si>
  <si>
    <t>https://saranistudio-my.sharepoint.com/:b:/g/personal/team_sarani_studio/EaX5OB_gfUVIq4U8w5WPZckBeNOXWpplntQbePYTt47dQg?e=OUduDw</t>
  </si>
  <si>
    <t>TEOS 3.2 Translations</t>
  </si>
  <si>
    <t>https://saranistudio.sharepoint.com/:f:/s/SaraniAssets/Es8cHnGKZ-hLvB8g2sNdAg4BueN4I6bPtmfrnh3_Bak9iA?e=pO4ePY</t>
  </si>
  <si>
    <t>https://saranistudio-my.sharepoint.com/:b:/g/personal/team_sarani_studio/EbRPuaKY0FNMio3_HRqAsxgBr9_YCwfYWQrhv1GnWmcCsA?e=8zg81G</t>
  </si>
  <si>
    <t>Leads Generation Plan - France</t>
  </si>
  <si>
    <t>https://saranistudio-my.sharepoint.com/:b:/g/personal/team_sarani_studio/EVuHIKpFROBDgysHzx96XW8BkA1lq8l5MH3nj2Pc8sR84g?e=FU3ecK</t>
  </si>
  <si>
    <t>Office of the future situational images</t>
  </si>
  <si>
    <t>https://saranistudio.sharepoint.com/:f:/s/SaraniAssets/ElJcER4ZPEhDowwCWrJgcQYB84rQLk-hVsXyIufy92DfrQ?e=icTEEw</t>
  </si>
  <si>
    <t>https://saranistudio-my.sharepoint.com/:b:/g/personal/team_sarani_studio/EYmS8wYtJXhIvbfgRe1xo48BfnLSBMpWK-INycxyBZjHFw?e=IntFag</t>
  </si>
  <si>
    <t>Smart Office Event</t>
  </si>
  <si>
    <t>https://saranistudio.sharepoint.com/:f:/s/SaraniAssets/Eq-RgIxo6ihEuzu9pbEFicwBKiI5e0xSf6PvBaxYJ_xgnw?e=3nI3fI</t>
  </si>
  <si>
    <t>https://saranistudio-my.sharepoint.com/:b:/g/personal/team_sarani_studio/EdXWpL6ikBtGrzOTHTjPdakBB0VfgSZDIu0zeUR-DFa8-w?e=lnqgj5</t>
  </si>
  <si>
    <t>Home Cinema Visuel Extérieur</t>
  </si>
  <si>
    <t>https://saranistudio.sharepoint.com/:f:/s/SaraniAssets/ErOOYjtNda5NtgDjK4wM8XgBBw5J5Qj1b5EGyF0mZsrolw?e=XCR2rG</t>
  </si>
  <si>
    <t>https://saranistudio-my.sharepoint.com/:b:/g/personal/team_sarani_studio/EdCGxQXV6RlHrEmy9Ov_TG8BO-xbCp2wjJsrKOn3UOCElQ?e=ujCy0q</t>
  </si>
  <si>
    <t>Home Cinema Blackroom</t>
  </si>
  <si>
    <t>https://saranistudio.sharepoint.com/:f:/s/SaraniAssets/Ep5uGNvLSvtInLXWp6vWDAMBw5Hm2lre5B_huJViA8bKfQ?e=C1ZRBj</t>
  </si>
  <si>
    <t>https://saranistudio-my.sharepoint.com/:b:/g/personal/team_sarani_studio/EbUyMCGLDv1KlvZ8ZgEP2FQBNMR61wtKfBfO5SfhiaW1Cw?e=Jf0J9Y</t>
  </si>
  <si>
    <t>Logo adding to videos</t>
  </si>
  <si>
    <t>https://saranistudio.sharepoint.com/:f:/s/SaraniAssets/EmjvrptP8gBLimgj7y5nzoMB-8ajZb0V0UKvsskM1C0xTA?e=lD6OvU</t>
  </si>
  <si>
    <t>https://saranistudio-my.sharepoint.com/:b:/g/personal/team_sarani_studio/EQYywmfnqUVDspz7kH3B0VYB1Bwbvqk33C90vTks_kaxUA?e=WeSe3M</t>
  </si>
  <si>
    <t>Magazine Ad for PTZ Camera</t>
  </si>
  <si>
    <t>https://saranistudio.sharepoint.com/:f:/s/SaraniAssets/EhCw2hXXlSpFnAz0t_GRlbYBzQApchCFY7hTM3i6GCS7mg?e=8DoqW6</t>
  </si>
  <si>
    <t>https://saranistudio-my.sharepoint.com/:b:/g/personal/team_sarani_studio/EaXd8kno8utOvW6XxcxuvDwBtm1oUzAvo3Npgj4fosgHRw?e=nCOUJl</t>
  </si>
  <si>
    <t>Artwork Tech Expo</t>
  </si>
  <si>
    <t>https://saranistudio.sharepoint.com/:f:/s/SaraniAssets/ErK-ZhHsGvxIp7fStALUNkYBSxEfuYrnPZGe8pDYB8mlog?e=fmNqck</t>
  </si>
  <si>
    <t>https://saranistudio-my.sharepoint.com/:b:/g/personal/team_sarani_studio/EdzSh4yV9c1PjpQPDFIovVIBbwa8HdZjC2nEY8oT642SbQ?e=ZzsGY0</t>
  </si>
  <si>
    <t>Q1 Newsletter plan</t>
  </si>
  <si>
    <t>F2023-0549</t>
  </si>
  <si>
    <t>TEOS SharingCloud Promotion</t>
  </si>
  <si>
    <t>https://saranistudio.sharepoint.com/:f:/s/SaraniAssets/Ejm2-nbB07FHteoFfKdgbFUBipTQd5eCJF4ZXEFAz4KhPw?e=hHLoPe</t>
  </si>
  <si>
    <t>https://saranistudio-my.sharepoint.com/:b:/g/personal/team_sarani_studio/ERj2i4mVFnpOhx8A-sqR93YBe0luTYzh7upjAHgqhQzKEg?e=XcYm13</t>
  </si>
  <si>
    <t>F2024-0199</t>
  </si>
  <si>
    <t>Wall artwork - PAVS 2024 - Sony</t>
  </si>
  <si>
    <t>Francesca LA GALA</t>
  </si>
  <si>
    <t>https://saranistudio.sharepoint.com/:f:/s/SaraniAssets/Ev0hLAR4yHVHvWD8tsHuJLIBhC4jTqnv1sf461P1CSKKag?e=kUYvk3</t>
  </si>
  <si>
    <t>https://saranistudio-my.sharepoint.com/:b:/g/personal/team_sarani_studio/EfCenekeMsFBsZXJZQMJcy4BAg95xSpAekQ5rFx1S-Ip-w?e=k3HdRO</t>
  </si>
  <si>
    <t>F2024-0559</t>
  </si>
  <si>
    <t xml:space="preserve">Updated PDS Overview PDFs </t>
  </si>
  <si>
    <t>Francesca LaGala</t>
  </si>
  <si>
    <t>https://saranistudio.sharepoint.com/:f:/s/SaraniAssets/EkBF5n5P0yNDijMCV71ln8kBOEB3nPAunIEcZ-dnyRltiA?e=iTDwgk</t>
  </si>
  <si>
    <t>https://saranistudio-my.sharepoint.com/:b:/g/personal/team_sarani_studio/EbSi4V7U8btDtYjnkpfpHNsB141N6oFW0oBuutAq84vF8w?e=giuPvs</t>
  </si>
  <si>
    <t>F2024-0303</t>
  </si>
  <si>
    <t>Email banner</t>
  </si>
  <si>
    <t>Petra Norinder</t>
  </si>
  <si>
    <t>https://saranistudio.sharepoint.com/:f:/s/SaraniAssets/EpO4u4m5MidDuhiX3_1iEFEBn29i8DyH6tl-G-n9dVSB9g?e=v1Dv31</t>
  </si>
  <si>
    <t>F2024-0305</t>
  </si>
  <si>
    <t>Content x Sony Partner Day South Event</t>
  </si>
  <si>
    <t>https://saranistudio.sharepoint.com/:f:/s/SaraniAssets/Es8q9rEheaNJuR4I_TQ1hhMBqQR30a3uxY3wrznamHkLYw?e=6cIuWj</t>
  </si>
  <si>
    <t>F2024-0302</t>
  </si>
  <si>
    <t>Digital signage images</t>
  </si>
  <si>
    <t>https://saranistudio.sharepoint.com/:f:/s/SaraniAssets/Ep9o58PdGp5IjYsQrFpoeJwB92cBpeuRhrkq3UHvyOBgbA?e=zyfgLI</t>
  </si>
  <si>
    <t>F2024-0304</t>
  </si>
  <si>
    <t>New PDS Presentation Deck</t>
  </si>
  <si>
    <t>https://saranistudio-my.sharepoint.com/:b:/g/personal/team_sarani_studio/ESy2m2z2lpFIjqyZraG4JnwBp8V1thQ-SHGqCDzB3UGKpA?e=Aaf1Qw</t>
  </si>
  <si>
    <t>F2024-0058</t>
  </si>
  <si>
    <t>Paid 04/03/2024</t>
  </si>
  <si>
    <t>Event Graphics</t>
  </si>
  <si>
    <t>https://saranistudio.sharepoint.com/:f:/s/SaraniAssets/EgVU-7D4CylKrqCZ2lryckMB0nuDMiYkSlhonDqclpnU_Q?e=O1B2qj</t>
  </si>
  <si>
    <t>https://saranistudio-my.sharepoint.com/:b:/g/personal/team_sarani_studio/EQEXZrhyENhDtgD6lQFpmTEBitKo7gw7-xu2KkFRim9_Hg?e=2rRRqp</t>
  </si>
  <si>
    <t>F2024-0275</t>
  </si>
  <si>
    <t>New Event Graphics</t>
  </si>
  <si>
    <t>https://saranistudio.sharepoint.com/:f:/s/SaraniAssets/ElZyIBOtLTFFo-z6lSU4Z-QBrwyFxXIx3tM3SVHhDsLvrQ?e=q7mHIn</t>
  </si>
  <si>
    <t>https://saranistudio-my.sharepoint.com/:b:/g/personal/team_sarani_studio/EdK2h8RjtEVHsqtOgx5U2GABEaEYAKW3x0BMoB6Me5_xag?e=KZHLTc</t>
  </si>
  <si>
    <t>F2024-0276</t>
  </si>
  <si>
    <t>MVM Producties BV PTZ Package</t>
  </si>
  <si>
    <t>INVOICE SUPPORT</t>
  </si>
  <si>
    <t>https://saranistudio-my.sharepoint.com/:b:/g/personal/team_sarani_studio/EeWbopNUoBdEtt2AZPMo4ooB5JwKyqPAlVH0nfJ5GJfzhg?e=z8nQ9A</t>
  </si>
  <si>
    <t>F2024-0277</t>
  </si>
  <si>
    <t>MVM Producties AV Magazine</t>
  </si>
  <si>
    <t>https://saranistudio-my.sharepoint.com/:b:/g/personal/team_sarani_studio/EcFfgmTpc3tDkA82ME4DObQBDMhJAP0LIM9NFbm5csoSVw?e=gLFv6c</t>
  </si>
  <si>
    <t>F2024-0278</t>
  </si>
  <si>
    <t>iDiD Roadshow 24</t>
  </si>
  <si>
    <t>https://saranistudio-my.sharepoint.com/:b:/g/personal/team_sarani_studio/EZ_9QOew9MhInDC8Y7ACrKIBSZ6ewkzwinhL0n9GS9PROg?e=4O4rzN</t>
  </si>
  <si>
    <t>F2024-0274</t>
  </si>
  <si>
    <t>Lead Generation Plan (20 additional leads)</t>
  </si>
  <si>
    <t>https://saranistudio-my.sharepoint.com/:b:/g/personal/team_sarani_studio/EQWWuG1psdxJtWjj_sQz1P8B6c458pw7j2K6QlERNVchrw?e=aydcsQ</t>
  </si>
  <si>
    <t>F2024-0322</t>
  </si>
  <si>
    <t>Paid 09/09/2024</t>
  </si>
  <si>
    <t>Carousel Adaptations</t>
  </si>
  <si>
    <t>https://saranistudio.sharepoint.com/:f:/s/SaraniAssets/EmEwVdjCjPJClH2q0opZYuwBUonzPGdTdofoiDdlG8Mhwg?e=NTb1OH</t>
  </si>
  <si>
    <t>https://saranistudio-my.sharepoint.com/:b:/g/personal/team_sarani_studio/ERH-VTNn2VhNp4oXJi4owx4B9WvEKJOZ2FI1waf_b0UMKA?e=nyuaMf</t>
  </si>
  <si>
    <t>F2024-0323</t>
  </si>
  <si>
    <t>TEOS How-to &amp; Presentation</t>
  </si>
  <si>
    <t>https://saranistudio.sharepoint.com/:f:/s/SaraniAssets/EqK_nqXGZ_BKoG4TtOanoXsBrsBqUtrIMYN5m31PJkK53Q?e=Elw9kC</t>
  </si>
  <si>
    <t>https://saranistudio-my.sharepoint.com/:b:/g/personal/team_sarani_studio/EWfr16jFQ1dKq2NF9WYCWNIBznKYzjc41hQztYQLunt4Ug?e=lhXmW8</t>
  </si>
  <si>
    <t>F2024-0321</t>
  </si>
  <si>
    <t>TEOS Ad resize</t>
  </si>
  <si>
    <t>https://saranistudio.sharepoint.com/:f:/s/SaraniAssets/Ev16pc1NV-NDjEIw2GFtUzABVsUw67Fh5hr0wcgk8YJ1fQ?e=OWfaE5</t>
  </si>
  <si>
    <t>https://saranistudio-my.sharepoint.com/:b:/g/personal/team_sarani_studio/EdN42qCy25BIsWm6yDrUfacB5AG_6e6OoIMEga-TNsa9zA?e=qd777Y</t>
  </si>
  <si>
    <t>F2024-0324</t>
  </si>
  <si>
    <t>Graphic Event</t>
  </si>
  <si>
    <t>https://saranistudio.sharepoint.com/:f:/s/SaraniAssets/Eltj2TjiCWBEvPvAH0vyxj4BV1awYxybK0q9zypyXhNixg?e=e8Oxle</t>
  </si>
  <si>
    <t>https://saranistudio-my.sharepoint.com/:b:/g/personal/team_sarani_studio/EUofM3A1bI9DrK0f5g8saYUB1IljMtataVLZt5zK7wiDjA?e=52uK2C</t>
  </si>
  <si>
    <t>F2024-0155</t>
  </si>
  <si>
    <t>2 extra web banners</t>
  </si>
  <si>
    <t>https://saranistudio-my.sharepoint.com/:b:/g/personal/team_sarani_studio/EVNo0eTzduRFu1oAFUJ1RcQB--hfDbVw66-RhL-2y2XRhA?e=zbcd6J</t>
  </si>
  <si>
    <t>F2024-0161</t>
  </si>
  <si>
    <t>TEOS Media Day (30 videos for TEOS production and post-production)</t>
  </si>
  <si>
    <t>https://saranistudio-my.sharepoint.com/:b:/g/personal/team_sarani_studio/EcqevhIm7IxCpfL6gD8r03cBodplk3pgkTK063h1f41j4A?e=lRHzf2</t>
  </si>
  <si>
    <t>F2024-0159</t>
  </si>
  <si>
    <t>EDF Floors</t>
  </si>
  <si>
    <t>20240310_EDF Floors</t>
  </si>
  <si>
    <t>https://saranistudio-my.sharepoint.com/:b:/g/personal/team_sarani_studio/ESQWAdOA6vxCi1O94mgkj8gBCPpDbYEqNMEiyDoM4kPg7Q?e=43YcvS</t>
  </si>
  <si>
    <t>F2024-0157</t>
  </si>
  <si>
    <t>https://saranistudio-my.sharepoint.com/:b:/g/personal/team_sarani_studio/EYzIjrsuxZhCuKfhok7UnagBOPCqE8exyPrvMMEGM9iUVA?e=rMlY0U</t>
  </si>
  <si>
    <t>F2024-0158</t>
  </si>
  <si>
    <t>Live Expo Invoice</t>
  </si>
  <si>
    <t>https://saranistudio-my.sharepoint.com/:b:/g/personal/team_sarani_studio/EYW1VQGhshFBkBm8Rpiw10sB12W1Ax8QMpdLoX2qeLXWrA?e=JJdbY5</t>
  </si>
  <si>
    <t>F2024-0162</t>
  </si>
  <si>
    <t>PTZ Camera ad</t>
  </si>
  <si>
    <t>https://saranistudio.sharepoint.com/:f:/s/SaraniAssets/EoYNT9S44YxAlcXt0kstq74BOuOaDDTWMzIVd9c65nz1yw?e=5VOrkw</t>
  </si>
  <si>
    <t>Sony Intro Slides</t>
  </si>
  <si>
    <t>Alexandra Parlour</t>
  </si>
  <si>
    <t>https://saranistudio.sharepoint.com/:f:/s/SaraniAssets/Eu_nCFQ6SK9Isef8EeduBfQB3x9XK9LlOs3J2Fted2n8Xg?e=HB9BvN</t>
  </si>
  <si>
    <t>https://saranistudio-my.sharepoint.com/:b:/g/personal/team_sarani_studio/EQaFNXvkxs1EmUFehKLHf-YBkdr9bZW5KDgd1AdoUBhl9w?e=6NqRu8</t>
  </si>
  <si>
    <t>F2024-0019</t>
  </si>
  <si>
    <t>Clothing order from Sweden</t>
  </si>
  <si>
    <t>https://saranistudio-my.sharepoint.com/:b:/g/personal/team_sarani_studio/Eds_-_KHWihDvdTmT4k59ZMB9hYe2257wbFw7jwU1VCXsQ?e=zm5QIr</t>
  </si>
  <si>
    <t>F2023-0444</t>
  </si>
  <si>
    <t>Paid 17/11/2023</t>
  </si>
  <si>
    <t>Lead Generation Plan (37 additional leads)</t>
  </si>
  <si>
    <t>https://saranistudio-my.sharepoint.com/:b:/g/personal/team_sarani_studio/EfOoSMLCliRDlLIL9uT7tIoBd6thEg70DO_8yuhl86iqqw?e=R4K0Ee</t>
  </si>
  <si>
    <t>F2024-0160
A2024-0065</t>
  </si>
  <si>
    <t>Paid 18/07/2024</t>
  </si>
  <si>
    <t>Artwork tech expo x2</t>
  </si>
  <si>
    <t>https://saranistudio.sharepoint.com/:f:/s/SaraniAssets/ErK-ZhHsGvxIp7fStALUNkYBSxEfuYrnPZGe8pDYB8mlog?e=OXeAar</t>
  </si>
  <si>
    <t>https://saranistudio-my.sharepoint.com/:b:/g/personal/team_sarani_studio/EVADYjAZ00pNkQ8a_S_NVXsBnMqZwNkHW5iIcU8AYOjJ8g?e=Zh9CvT</t>
  </si>
  <si>
    <t>F2023-0427</t>
  </si>
  <si>
    <t>Koninklijke vezet - Templates</t>
  </si>
  <si>
    <t>https://saranistudio.sharepoint.com/:f:/s/SaraniAssets/EglgC4xfVGNJuFu1TJECJfcBMXcSSuBI4NM0A6yqpjR_dA?e=bBjXfi</t>
  </si>
  <si>
    <t>https://saranistudio-my.sharepoint.com/:b:/g/personal/team_sarani_studio/ETsqZd6KpBdGh7Tf3ARH_hgBcZiNBRid1mYWvSymjdckSQ?e=IKx9GR</t>
  </si>
  <si>
    <t>F2023-0474</t>
  </si>
  <si>
    <t>https://saranistudio-my.sharepoint.com/:b:/g/personal/team_sarani_studio/EbmeifB06C9NkYCqkDlVX_QBQQ6xj0hB9Pq1hDTmoZOwZQ?e=h59XS9</t>
  </si>
  <si>
    <t>F2023-0469</t>
  </si>
  <si>
    <t>Micromedia Payment</t>
  </si>
  <si>
    <t>https://saranistudio-my.sharepoint.com/:b:/g/personal/team_sarani_studio/EbIot3JuxE5KmKtQDLzxHjMBTBEEf4TPG-8O1fbZHl4C5w?e=MIj5B6</t>
  </si>
  <si>
    <t>F2023-0467</t>
  </si>
  <si>
    <t xml:space="preserve">Video Edit </t>
  </si>
  <si>
    <t>https://saranistudio.sharepoint.com/:f:/s/SaraniAssets/EkugvnHWUX1NvRv7AQ-AKtwBqveZLlHuF_VEZwyP6Z9CIg?e=B69vjt</t>
  </si>
  <si>
    <t>https://saranistudio-my.sharepoint.com/:b:/g/personal/team_sarani_studio/EXzvbOFbe2NNpKtiJT4NHe4BMA_7swhGB4Bq9JTmryzfcg?e=bqQZM9</t>
  </si>
  <si>
    <t>F2024-0065</t>
  </si>
  <si>
    <t>Paid 19/04/2024</t>
  </si>
  <si>
    <t>Corporate Workspaces Ads</t>
  </si>
  <si>
    <t>https://saranistudio.sharepoint.com/:f:/s/SaraniAssets/EnIOJ4T724lFthSzKRyTPEIB-NZXFtnIzolHmxs8A8Zl9Q?e=fc8LfH</t>
  </si>
  <si>
    <t>https://saranistudio-my.sharepoint.com/:b:/g/personal/team_sarani_studio/EeJbqSKnzlVDurO5UWSfLB8BX_sHy9ohQtD2nbbyj5V-kA?e=oJDVf9</t>
  </si>
  <si>
    <t>F2024-0068</t>
  </si>
  <si>
    <t>Sony Bravia Bonus adaptations</t>
  </si>
  <si>
    <t>https://saranistudio-my.sharepoint.com/:b:/g/personal/team_sarani_studio/ESYbL4mjXLRMs6UcaevqObABGDjZHQRFjAM8MW7LrJFQ6A?e=gIrAqb</t>
  </si>
  <si>
    <t>F2024-0066</t>
  </si>
  <si>
    <t>TEOS new Video</t>
  </si>
  <si>
    <t>https://saranistudio.sharepoint.com/:f:/s/SaraniAssets/EjjDDzPh-cNJq2KNBWDT4JcBm_UMOsKa17wv78fv4IyPiw?e=oSVNqK</t>
  </si>
  <si>
    <t>https://saranistudio-my.sharepoint.com/:b:/g/personal/team_sarani_studio/EXIrpcIYYDpBhIvCrzeMSzcBWzgQNPp7w_0EIdGtgaJQoQ?e=6UJf2s</t>
  </si>
  <si>
    <t>F2024-0067</t>
  </si>
  <si>
    <t>ISE 2024 Content</t>
  </si>
  <si>
    <t>https://saranistudio.sharepoint.com/:f:/s/SaraniAssets/EkHRlOhUlYpKpTcMUUgxb88B5YQFfiHWAPPaIQFQK8xgKA?e=ehw667</t>
  </si>
  <si>
    <t>https://saranistudio-my.sharepoint.com/:b:/g/personal/team_sarani_studio/EQgFQ3BVHNhIqsDbhbssjQUB7NqqKLrmhoezohEbK9019Q?e=RLNSAq</t>
  </si>
  <si>
    <t>F2024-0069</t>
  </si>
  <si>
    <t>Display lineup for event signage</t>
  </si>
  <si>
    <t>https://saranistudio.sharepoint.com/:f:/s/SaraniAssets/EpXGuW932oJKlN5b_YjQ_4QBzdKw14dXfwnBbR3MkZeT3Q?e=2ykcnL</t>
  </si>
  <si>
    <t>https://saranistudio-my.sharepoint.com/:b:/g/personal/team_sarani_studio/EVgRPi22CF9OrUWTfCXBEL4B3iviJdXIWxrEGV_x4RO53Q?e=bwYKEe</t>
  </si>
  <si>
    <t>F2023-0476</t>
  </si>
  <si>
    <t>Leads Generation Plan - Nordics</t>
  </si>
  <si>
    <t>https://saranistudio-my.sharepoint.com/:b:/g/personal/team_sarani_studio/ERDGOWL3RTpEibN96pWxkVgBrVrQMBw_uGqMSbD0BUT8Og?e=wX1WMV</t>
  </si>
  <si>
    <t>F-(2023)-206</t>
  </si>
  <si>
    <t>Leads Generation Plan - UK</t>
  </si>
  <si>
    <t>https://saranistudio-my.sharepoint.com/:b:/g/personal/team_sarani_studio/EUrhgg8fPqNNnEIKPVpD7uQB1MyOIZQ2vr0r9VT6ERAK1w?e=PfClES</t>
  </si>
  <si>
    <t>F-(2023)-207</t>
  </si>
  <si>
    <t>Leads Generation Plan - Spain</t>
  </si>
  <si>
    <t>https://saranistudio-my.sharepoint.com/:b:/g/personal/team_sarani_studio/EYbpHD4MNzJCgGDvJ5yBX-cBOsCucUCf85sOa_xfvIc12g?e=VmPsLc</t>
  </si>
  <si>
    <t>F-(2023)-208</t>
  </si>
  <si>
    <t>FW-55BZ40H Cheat Sheet Midwich</t>
  </si>
  <si>
    <t>https://saranistudio.sharepoint.com/:f:/s/SaraniAssets/EhLhcC8_VY1Np-I2cTqCAfwBu3v7MF6qm6724_fDG3wPig?e=O7Ncna</t>
  </si>
  <si>
    <t>https://saranistudio-my.sharepoint.com/:b:/g/personal/team_sarani_studio/EXkQWsUOVbxOhfgiWP7pMjwBK3nZn6TkIc6opCFzW-Z1RA?e=HRhnFM</t>
  </si>
  <si>
    <t>F-(2023)-201</t>
  </si>
  <si>
    <t>Sony BRAVIA Leaflet</t>
  </si>
  <si>
    <t>https://saranistudio.sharepoint.com/:f:/s/SaraniAssets/Egdrbs8PP-BPi7RsaOsoBb8B_XFk7LFDGOPKfChUanGHsg?e=J2L0zt</t>
  </si>
  <si>
    <t>https://saranistudio-my.sharepoint.com/:b:/g/personal/team_sarani_studio/EbpK8e2jwDdIqlGOZpXBx2IBIZ11xG2VNuYTjvPPyq9nPg?e=gZKLeo</t>
  </si>
  <si>
    <t>F-(2023)-204</t>
  </si>
  <si>
    <t>Sony Residential Leaflet</t>
  </si>
  <si>
    <t>https://saranistudio.sharepoint.com/:f:/s/SaraniAssets/EoiL0QvEBH5NiYw82K4BsTsB43p1z3ZhyvVc_FSUNMr-5w?e=iXIy3Q</t>
  </si>
  <si>
    <t>https://saranistudio-my.sharepoint.com/:b:/g/personal/team_sarani_studio/EbPM_DAwpzxGi8MJWKzDjmMBZFSgWJZkwIdaZrjvF49j0A?e=q2V6TA</t>
  </si>
  <si>
    <t>F-(2023)-197</t>
  </si>
  <si>
    <t>New BRAVIA carousel for LinkedIn (x2)</t>
  </si>
  <si>
    <t>https://saranistudio.sharepoint.com/:f:/s/SaraniAssets/EvdxCIz2jXJDoc-DLy3eFRUBFXlxsKj1I030K9bTKonkEA?e=Keo8vM</t>
  </si>
  <si>
    <t>https://saranistudio-my.sharepoint.com/:b:/g/personal/team_sarani_studio/ETF-sAO3_6RKgCeWv2ojCuQB7LnapwVGMbDRu-dWA8a4Aw?e=Sqw6Iz</t>
  </si>
  <si>
    <t>F-(2023)-202</t>
  </si>
  <si>
    <t>Sony TEOS Leaflet</t>
  </si>
  <si>
    <t>https://saranistudio.sharepoint.com/:f:/s/SaraniAssets/EhV0qCtHMSRPv49Ky-0mH4EB5uqjcSWp77hwrwbd5RIf0w?e=6IMFEq</t>
  </si>
  <si>
    <t>https://saranistudio-my.sharepoint.com/:b:/g/personal/team_sarani_studio/ER-vLdRgIxdGu4q27n4BkEwB88fil4HMR1xCdpi0I0svKg?e=AuDjN9</t>
  </si>
  <si>
    <t>F-(2023)-198</t>
  </si>
  <si>
    <t>EPATRA Event</t>
  </si>
  <si>
    <t>https://saranistudio.sharepoint.com/:f:/s/SaraniAssets/Enp2YV0AIt5FieQ8jc_gpCMBI_6Z3IV2KpV10GMKyZ_WDQ?e=ephdMH</t>
  </si>
  <si>
    <t>https://saranistudio-my.sharepoint.com/:b:/g/personal/team_sarani_studio/ESlzIfvtJz1PmZTrsY7ybAABTJVmDTRyxDm9bfQo1NA4rg?e=Md1weP</t>
  </si>
  <si>
    <t>F-(2023)-199</t>
  </si>
  <si>
    <t>Corporate Map redesign</t>
  </si>
  <si>
    <t>https://saranistudio.sharepoint.com/:f:/s/SaraniAssets/EnlyS8PoRfFFuYA1Nb8E0rAB1DPHpnQ-NTiEQBbz-FoZ0g?e=5knGDO</t>
  </si>
  <si>
    <t>https://saranistudio-my.sharepoint.com/:b:/g/personal/team_sarani_studio/Ea2WbZlSEwJAjA7ys2rEofYBBM-qLN0rNqXeWKAcRYKihQ?e=cPy9ib</t>
  </si>
  <si>
    <t>F-(2023)-203</t>
  </si>
  <si>
    <t>BRAVIA Back to Business Images</t>
  </si>
  <si>
    <t>https://saranistudio.sharepoint.com/:f:/s/SaraniAssets/ErfEHkAKtvpMpFPacPfS-R4B4czVsVCZP7JPfjUknQw4Mw?e=tRPN5b</t>
  </si>
  <si>
    <t>https://saranistudio-my.sharepoint.com/:b:/g/personal/team_sarani_studio/Ec1fHw8YgWJKhDmBTo9CxTQBhdXEDe7lzcQLDaTbMhL2cQ?e=qnyqux</t>
  </si>
  <si>
    <t>F-(2023)-200</t>
  </si>
  <si>
    <t>Visuals Roll-ups</t>
  </si>
  <si>
    <t>20240826_Visuals Roll-ups</t>
  </si>
  <si>
    <t>Quote Proposal Sony Professional - Visuals Roll-ups.pdf</t>
  </si>
  <si>
    <t>F2024-0542</t>
  </si>
  <si>
    <t>20240905_Digital signage images 2024</t>
  </si>
  <si>
    <t>Quote Proposal Sony Professional - Digital signage images 2024.pdf</t>
  </si>
  <si>
    <t>F2024-0541</t>
  </si>
  <si>
    <t>TEOS Carousel</t>
  </si>
  <si>
    <t>Romy Hoffman</t>
  </si>
  <si>
    <t>20240813_TEOS Carousel</t>
  </si>
  <si>
    <t>F2024-0368</t>
  </si>
  <si>
    <t>Teams Wallpapers</t>
  </si>
  <si>
    <t>https://saranistudio.sharepoint.com/:f:/s/SaraniAssets/ErpePWoEw-ZHm7IOTvJUpNgB51BseZVIFvfJBGlDT90B5A?e=Yy5FKX</t>
  </si>
  <si>
    <t>https://saranistudio-my.sharepoint.com/:b:/g/personal/team_sarani_studio/EahMm1QekhxPimRmQNvhMosBfo9TGsnFiay9DY2iKzw7aw?e=Jn1Xwx</t>
  </si>
  <si>
    <t>F2024-0036</t>
  </si>
  <si>
    <t>PDF and artwork</t>
  </si>
  <si>
    <t>https://saranistudio.sharepoint.com/:f:/s/SaraniAssets/EjjL61ZkBq9NupD6w7-3AVcBWuumjnhPAx8kU9b1-GYJ9A?e=P2mlXm</t>
  </si>
  <si>
    <t>https://saranistudio-my.sharepoint.com/:b:/g/personal/team_sarani_studio/EdS8bDBYevVEhyWrGffsZBgBGdo57afkPWeyOlHLc6G_gQ?e=sF5yxw</t>
  </si>
  <si>
    <t>EZ20L Display ad</t>
  </si>
  <si>
    <t>https://saranistudio.sharepoint.com/:f:/s/SaraniAssets/EtB_EJJax2NGmJbUiUNzb4gBeDkZP0ZHlMocuXfSjSNBQw?e=yBgcPG</t>
  </si>
  <si>
    <t>https://saranistudio-my.sharepoint.com/:b:/g/personal/team_sarani_studio/EWAxgboDPC1FvSOyhGxW_tABFfhhRvGF6xgMCgvFpOlXKQ?e=i2wqht</t>
  </si>
  <si>
    <t>EZ20L Display line-up</t>
  </si>
  <si>
    <t>https://saranistudio.sharepoint.com/:f:/s/SaraniAssets/EgVQiyygHQNEou1N-PIDKvAB-3koHmMVyK1zFzCeVSMCoQ?e=tnubov</t>
  </si>
  <si>
    <t>https://saranistudio-my.sharepoint.com/:b:/g/personal/team_sarani_studio/EVAQfqwByxRHm6FGp5DVgVgBNp_Bky6MyD-phoy2h-HdSg?e=IDCalZ</t>
  </si>
  <si>
    <t>9 x 3D rendering zooms</t>
  </si>
  <si>
    <t>https://saranistudio.sharepoint.com/:f:/s/SaraniAssets/EjFmOaP70YhGqJxrGFR6zpIB2uNlE4XhFy6vbggMJBJMgA?e=cfnqme</t>
  </si>
  <si>
    <t>https://saranistudio-my.sharepoint.com/:b:/g/personal/team_sarani_studio/EeRX8KWP0WRPnPHbuuAcbIwB3YeZt7HFxNSUi0AJ0I3QJg?e=47pern</t>
  </si>
  <si>
    <t>Web Banners for the EZ20L</t>
  </si>
  <si>
    <t>https://saranistudio.sharepoint.com/:f:/s/SaraniAssets/EjNaxyx0GbZEn8ueXJLXf7QB2Pbsd4d-jDe6m3Ja3DpyYA?e=2ncNkU</t>
  </si>
  <si>
    <t>https://saranistudio-my.sharepoint.com/:b:/g/personal/team_sarani_studio/EUmbHWmgIstCiUVFjdPQFooBe2nS5RIiiNn8jmuNXQn1mw?e=w4jdgc</t>
  </si>
  <si>
    <t>BRAVIA Supervisor Carousel Adaptation</t>
  </si>
  <si>
    <t>https://saranistudio.sharepoint.com/:f:/s/SaraniAssets/Egcu6-cinllOttkGwvdc48IBq1kx7cAn5GrhZOjF92Y-4Q?e=se3Dhh</t>
  </si>
  <si>
    <t>https://saranistudio-my.sharepoint.com/:b:/g/personal/team_sarani_studio/Ebt-pdh5iEdBta0TjgPar_4BUnYikwtvXzZ5GXPuCf2zLA?e=3PxdaI</t>
  </si>
  <si>
    <t>TEOS Video (invoice from 2021)</t>
  </si>
  <si>
    <t>https://saranistudio-my.sharepoint.com/:b:/g/personal/team_sarani_studio/ESYMy2DIEE9KnPhneDWx5WcB1MBafyYSqPx2HCjtgGqGDQ?e=N9YnVg</t>
  </si>
  <si>
    <t>F2024-0028</t>
  </si>
  <si>
    <t>Overview files in English</t>
  </si>
  <si>
    <t>https://saranistudio.sharepoint.com/:f:/s/SaraniAssets/Eo5fanx_9GFChNBh9VyDfFQBq1mobXMIlG-zb-yKrqUHWQ?e=j2qwcL</t>
  </si>
  <si>
    <t>Quote Proposal Sony Professional -Overview files in English.pdf</t>
  </si>
  <si>
    <t>F2024-0491</t>
  </si>
  <si>
    <t>Paid 27/11/2024</t>
  </si>
  <si>
    <t>Residential cheat sheet update</t>
  </si>
  <si>
    <t>https://saranistudio.sharepoint.com/:f:/s/SaraniAssets/EpU2mv_CrLlNucEh71ZNrAUBUv6LnDUnTGaNh2z7DjJBEA?e=CPjyF3</t>
  </si>
  <si>
    <t>https://saranistudio-my.sharepoint.com/:b:/g/personal/team_sarani_studio/EQH6nAoKGUpFiPpdt4oGGYoB11E3TLN2Ao6p9KH0CpRLtQ?e=O83DB0</t>
  </si>
  <si>
    <t>F2024-0492</t>
  </si>
  <si>
    <t>TEOS Newsletter edition</t>
  </si>
  <si>
    <t>https://saranistudio-my.sharepoint.com/:b:/g/personal/team_sarani_studio/Efm-9l_TeAxBgZpvR4ViU3gBeWMfVlPdGhlHxRgaU7aiDw?e=zveByF</t>
  </si>
  <si>
    <t>F2024-0494</t>
  </si>
  <si>
    <t>Lead Generation Plan (3 additional leads)</t>
  </si>
  <si>
    <t>https://saranistudio-my.sharepoint.com/:b:/g/personal/team_sarani_studio/EYJXwTXINAlOihzF9o_0ZSoBc1l-ETgGtX315lxaQbTSfQ?e=nvKPa0</t>
  </si>
  <si>
    <t>F2024-0495</t>
  </si>
  <si>
    <t>Slides Retail - AllSan</t>
  </si>
  <si>
    <t>20240822_Slides Retail_AllSan</t>
  </si>
  <si>
    <t>Quote Proposal Sony Professional - Slides Retail - AllSan.pdf</t>
  </si>
  <si>
    <t>F2024-0482</t>
  </si>
  <si>
    <t>Materiel x AV Tech Summit</t>
  </si>
  <si>
    <t>https://saranistudio.sharepoint.com/:f:/s/SaraniAssets/ErdfJN45SldEpKqGK3P1M58BgBA7Z008CgOoqnAZ_fp_Lw?e=QujKYO</t>
  </si>
  <si>
    <t>Quote Proposal Sony Professional -Materiel AV Tech Summit.pdf</t>
  </si>
  <si>
    <t>F2024-0481</t>
  </si>
  <si>
    <t>Artwork- Wall prints</t>
  </si>
  <si>
    <t>https://saranistudio.sharepoint.com/:f:/s/SaraniAssets/EiZjkqUpPllAtXuiWojLev0BZjwhKbatDzEaGnX73i7mlg?e=FqOxUd</t>
  </si>
  <si>
    <t>Quote Proposal Sony Professional - Artwork- Wall prints.pdf</t>
  </si>
  <si>
    <t>F2024-0496</t>
  </si>
  <si>
    <t>TEOS 3.3 Release Assets</t>
  </si>
  <si>
    <t>https://saranistudio.sharepoint.com/:f:/s/SaraniAssets/EjTpRylMrnNDlRY0uU028OQBfb4etk7HBPfoari_pg2dMg?e=Vzqh4R</t>
  </si>
  <si>
    <t>Quote Proposal Sony Professional - TEOS 3.3 Release Assets.pdf</t>
  </si>
  <si>
    <t>F2024-0493</t>
  </si>
  <si>
    <t>MAP STAND PAVS 2024</t>
  </si>
  <si>
    <t>20240926_MAP STAND PAVS 2024</t>
  </si>
  <si>
    <t>F2024-0480</t>
  </si>
  <si>
    <t>Sony Residential Logo</t>
  </si>
  <si>
    <t>https://saranistudio.sharepoint.com/:f:/s/SaraniAssets/Ekall8qGc9tPuWEncIojresB238Pht402pzv_IVqrBHSFA?e=GRkup5</t>
  </si>
  <si>
    <t>https://saranistudio-my.sharepoint.com/:b:/g/personal/team_sarani_studio/EaEFiDk5AodDqf8Pzmk1sVoBrTgDxb8RcoXhYiIQVdxoAA?e=1mrsok</t>
  </si>
  <si>
    <t>F2023-0446</t>
  </si>
  <si>
    <t>3 floors map for EDF</t>
  </si>
  <si>
    <t>https://saranistudio.sharepoint.com/:f:/s/SaraniAssets/Es44QGNG0dBEqFl324HnoiEBdOD09jIDZZLyPqYx1X1K5Q?e=vnbkjL</t>
  </si>
  <si>
    <t>https://saranistudio-my.sharepoint.com/:b:/g/personal/team_sarani_studio/Ecx_7wfu5fhKmJ_ZM0Ei9HoBG14scGlJAf3sNCedOPMnKA?e=VfrMja</t>
  </si>
  <si>
    <t>F2023-0455</t>
  </si>
  <si>
    <t>BZ Range overview Update</t>
  </si>
  <si>
    <t>https://saranistudio.sharepoint.com/:f:/s/SaraniAssets/EpXGuW932oJKlN5b_YjQ_4QBzdKw14dXfwnBbR3MkZeT3Q?e=1CGOya</t>
  </si>
  <si>
    <t>https://saranistudio-my.sharepoint.com/:b:/g/personal/team_sarani_studio/EXGuT7YGXFpMgRFdm_rGzKwBDR4zVJN-XL1p16OJkQBmJg?e=aMa53e</t>
  </si>
  <si>
    <t>F2023-0447</t>
  </si>
  <si>
    <t>TEOS Upgrade One Pager and carousel</t>
  </si>
  <si>
    <t>https://saranistudio.sharepoint.com/:f:/s/SaraniAssets/EhYVHEFmcX1IqB7CZ2E6Cr8BhWtCorT5oGlJ7rt7VfWQQg?e=oHe7EV</t>
  </si>
  <si>
    <t>https://saranistudio-my.sharepoint.com/:b:/g/personal/team_sarani_studio/ESuVKmACb8JJjG5r4JjqQlIBTTHhwS5VuXyCctp8GqamcQ?e=kPRc15</t>
  </si>
  <si>
    <t>F2023-0448</t>
  </si>
  <si>
    <t>TEOS One pagers</t>
  </si>
  <si>
    <t>https://saranistudio.sharepoint.com/:f:/s/SaraniAssets/Ek8OEynKL3hGssvQ-V3cG4EBy67fEIKcb1AwrXUNz3VUJQ?e=dpbhH2</t>
  </si>
  <si>
    <t>https://saranistudio-my.sharepoint.com/:b:/g/personal/team_sarani_studio/ERM8WquNr6FMlA2Bln3P_bsBxnwiDkTBCRQfSIou-aMWTg?e=7PcGAJ</t>
  </si>
  <si>
    <t>F2023-0465</t>
  </si>
  <si>
    <t>Transpörteren Invoice (invoice payment)</t>
  </si>
  <si>
    <t>https://saranistudio-my.sharepoint.com/:b:/g/personal/team_sarani_studio/Ebd8xSHseo9Br9NkLRiDz7sBNY72Kf7QmqOQauyBgF_p8A?e=1cRQH6</t>
  </si>
  <si>
    <t>F2023-0468</t>
  </si>
  <si>
    <t>Home Cinema Banners</t>
  </si>
  <si>
    <t>https://saranistudio-my.sharepoint.com/:b:/g/personal/team_sarani_studio/ETvR84w2OflFoPYm6w2CvOsBk_Su3mkz5SN_1nI65uZpBw?e=lKtxd5</t>
  </si>
  <si>
    <t>F2023-0247</t>
  </si>
  <si>
    <t>Paid 28/12/2023</t>
  </si>
  <si>
    <t>Offre VPL-XW5000 / VPL-XW7000 + PS5 Slim</t>
  </si>
  <si>
    <t>Maxime Lemoine</t>
  </si>
  <si>
    <t>https://saranistudio.sharepoint.com/:f:/s/SaraniAssets/EuRbxQHO8chKlgpFZKLDFs0BvcZMlivfRv_qt-CUeT5oQQ?e=eSjOvq</t>
  </si>
  <si>
    <t>https://saranistudio-my.sharepoint.com/:b:/g/personal/team_sarani_studio/ETtq_THuWM9Hrqhqbp2wH_0BsYqCnmxsB2o5HmuT_Khvbg?e=Vbdz3d</t>
  </si>
  <si>
    <t>F2024-0141</t>
  </si>
  <si>
    <t>TV hero image screenfills + Video Edits</t>
  </si>
  <si>
    <t>Laura Sarrazin</t>
  </si>
  <si>
    <t>https://saranistudio.sharepoint.com/:f:/s/SaraniAssets/EpomgSrW9BZPhWKqk3MSR3sBQIme5Q5lHjdloQZv8W2eUA?e=llgqLN</t>
  </si>
  <si>
    <t>https://saranistudio-my.sharepoint.com/:b:/g/personal/team_sarani_studio/ESMdk7iLmbxIuJ6k4ixLhU8BBmQldS_cyGZFkwvPUG-fpA?e=Zc0aoe</t>
  </si>
  <si>
    <t>F2024-0136</t>
  </si>
  <si>
    <t>BRAVIA Range Cheat Sheet</t>
  </si>
  <si>
    <t>https://saranistudio-my.sharepoint.com/:b:/g/personal/team_sarani_studio/EciiAFcbb0pFtRhxkCcxA2kBwIAbUPb2X1-mKbg1D6yMBQ?e=dEXrV8</t>
  </si>
  <si>
    <t>F-(2023)-205</t>
  </si>
  <si>
    <t>Kommunale Immobilien Dresden Templates</t>
  </si>
  <si>
    <t>https://saranistudio.sharepoint.com/:f:/s/SaraniAssets/Emw7aS6BTGhLjqHI6kUX7jwBoNSjQisddrA7QWrbwiGRVg?e=30jWrE</t>
  </si>
  <si>
    <t>Quote Proposal Sony Professional - Kommunale Immobilien Dresden Templates.pdf</t>
  </si>
  <si>
    <t>F2024-0688</t>
  </si>
  <si>
    <t>RIVM wayfinding</t>
  </si>
  <si>
    <t>https://saranistudio.sharepoint.com/:f:/s/SaraniAssets/EqwV-fkypaRAp6VhBcHT6VcBAzqS_C_-w2VI2nnWabc30Q?e=5JyBqM</t>
  </si>
  <si>
    <t>F2024-0689</t>
  </si>
  <si>
    <t>Recording volume</t>
  </si>
  <si>
    <t>https://saranistudio.sharepoint.com/:f:/s/SaraniAssets/ErJykiGCYYhKvEgyRldc3iAB45z9_TFo-Z_UTHnro0JSuQ?e=G31M3j</t>
  </si>
  <si>
    <t>https://saranistudio-my.sharepoint.com/:b:/g/personal/team_sarani_studio/EXkR80MGUolEoLYFBj77OtwBJGJnMIkAz8gYeEzEun0V_A?e=hcY23h</t>
  </si>
  <si>
    <t>F2024-0690</t>
  </si>
  <si>
    <t>TEOS asset resize</t>
  </si>
  <si>
    <t>https://saranistudio.sharepoint.com/:f:/s/SaraniAssets/EhiOKKgvVQVCq3WI0O2paDUBq2nHAG4AtPhYDKZPJD2KHQ?e=EK3xIJ</t>
  </si>
  <si>
    <t>https://saranistudio-my.sharepoint.com/:b:/g/personal/team_sarani_studio/EaiodtAQVYlMsZhhLtT1660BWZNyqe_FutTYO_w0tYgl7w?e=dV8fGH</t>
  </si>
  <si>
    <t>Sustainability whitepaper assets</t>
  </si>
  <si>
    <t>20240912_Sustainability whitepaper assets</t>
  </si>
  <si>
    <t>Quote Proposal Sony Professional - Sustainability whitepaper assets.pdf</t>
  </si>
  <si>
    <t>TEOS 3.3 What's new</t>
  </si>
  <si>
    <t>https://saranistudio.sharepoint.com/:f:/s/SaraniAssets/EocMccTg8S5BmRiEPU01-bgBhJgivRY70Yo4ay4WhMpGpQ?e=dcME8z</t>
  </si>
  <si>
    <t>Quote Proposal Sony Professional -TEOS 3.3 What's new.pdf</t>
  </si>
  <si>
    <t>BZ35L Cheat Sheet</t>
  </si>
  <si>
    <t>20240907_BZ35L Cheat Sheet</t>
  </si>
  <si>
    <t>Ad creation</t>
  </si>
  <si>
    <t>https://saranistudio.sharepoint.com/:f:/s/SaraniAssets/Er_XvGGtuXZDtzxDGVJjSSgBF1lEYN9MBEOcGfUnylFzEA?e=cWGirV</t>
  </si>
  <si>
    <t>https://saranistudio.sharepoint.com/:f:/s/SaraniAssets/Er_XvGGtuXZDtzxDGVJjSSgBF1lEYN9MBEOcGfUnylFzEA?e=LtRPdB</t>
  </si>
  <si>
    <t>PrimeSupport Promo Image</t>
  </si>
  <si>
    <t>20241002_PrimeSupport Promo Image</t>
  </si>
  <si>
    <t>Sustainability whitepaper paid ads</t>
  </si>
  <si>
    <t>Last minute ad request</t>
  </si>
  <si>
    <t>Nathiga Lertsahaphan</t>
  </si>
  <si>
    <t>20241025_Last minute ad request</t>
  </si>
  <si>
    <t>Quote Proposal Sony Professional - Last minute ad request.pdf</t>
  </si>
  <si>
    <t>Fidato Templates</t>
  </si>
  <si>
    <t>https://saranistudio.sharepoint.com/:f:/s/SaraniAssets/EvqFxhsiEHxPt5ZIJQj3hIoBJsazRio_lXZ2Sg0iGO6ztw?e=zA9tHo</t>
  </si>
  <si>
    <t>Quote Proposal Sony Professional - Fidato Templates.pdf</t>
  </si>
  <si>
    <t>Newen wayfinding</t>
  </si>
  <si>
    <t>20241104_RIVM Wayfinding</t>
  </si>
  <si>
    <t>Quote Proposal Sony Professional - Newen wayfinding (1).pdf</t>
  </si>
  <si>
    <t>Master Design Invoice coverage</t>
  </si>
  <si>
    <t>Quote Proposal Sony Professional - Master Design Invoice coverage.pdf</t>
  </si>
  <si>
    <t>Invoice Assistance</t>
  </si>
  <si>
    <t>https://saranistudio-my.sharepoint.com/:b:/g/personal/team_sarani_studio/Edad-VWVmSdJsrLs-HBnKpEB1OoCYuifkJQt-cmdJQqvyQ?e=Mjzbsk</t>
  </si>
  <si>
    <t>F2024-0628</t>
  </si>
  <si>
    <t>Paid 21/05/2024</t>
  </si>
  <si>
    <t xml:space="preserve"> Add screen fill to photos</t>
  </si>
  <si>
    <t>20240205_Add screen fill to photos</t>
  </si>
  <si>
    <t>Quote Proposal Sony Professional - Add screen fill to photos.pdf</t>
  </si>
  <si>
    <t>F2025-0050</t>
  </si>
  <si>
    <t>55P Casing Freestand Storage G1 BL - Invoice</t>
  </si>
  <si>
    <t>Quote Proposal Sony Professional - 55P Casing Freestand Storage G1 BL.pdf</t>
  </si>
  <si>
    <t>F2025-0051</t>
  </si>
  <si>
    <t>BRAVIA Cheat sheet update</t>
  </si>
  <si>
    <t>20250108_BRAVIA Cheat sheet update</t>
  </si>
  <si>
    <t>Quote Proposal Sony Professional - BRAVIA Cheat sheet update.pdf</t>
  </si>
  <si>
    <t>F2025-0049</t>
  </si>
  <si>
    <t>Media Spain - Sarani</t>
  </si>
  <si>
    <t>F2025-0018</t>
  </si>
  <si>
    <t>Flyer + Email Banner + Invoice</t>
  </si>
  <si>
    <t>20250123_Flyer + Email Banner</t>
  </si>
  <si>
    <t>Quote Proposal Sony Professional - Flyer + Email Banner + Invoice.pdf</t>
  </si>
  <si>
    <t>F2024-0064</t>
  </si>
  <si>
    <t>ISE 2025 TEOS Template</t>
  </si>
  <si>
    <t>Quote Proposal Sony Professional - ISE 2025 TEOS Template.pdf</t>
  </si>
  <si>
    <t>F2025-0062</t>
  </si>
  <si>
    <t>Master Design Invoice</t>
  </si>
  <si>
    <t>Quote Proposal Sony Professional - Master Design Invoice.pdf</t>
  </si>
  <si>
    <t>POC EDF Capteurs: plans 3D</t>
  </si>
  <si>
    <t>Guillaume Oliveira</t>
  </si>
  <si>
    <t>20250310_POC EDF Capteurs plans 3D</t>
  </si>
  <si>
    <t>Quote Proposal Sony Professional - POC EDF Capteurs - plans 3D.pdf</t>
  </si>
  <si>
    <t>F2025-0139</t>
  </si>
  <si>
    <t>RS-XW5000PUSH-FY24Q4</t>
  </si>
  <si>
    <t>20250122_Richer Sounds Warranty Flyer</t>
  </si>
  <si>
    <t>Quote Proposal Sony Professional - Richer Sounds Warranty Flyer.pdf</t>
  </si>
  <si>
    <t>F2025-0114</t>
  </si>
  <si>
    <t>ITC invoice support</t>
  </si>
  <si>
    <t>Quote Proposal Sony Professional - Invoice support.pdf</t>
  </si>
  <si>
    <t>F2025-0295</t>
  </si>
  <si>
    <t xml:space="preserve">Upcoming work </t>
  </si>
  <si>
    <t>Quote Proposal Sony Professional - Invoice upcoming work.pdf</t>
  </si>
  <si>
    <t>F2025-0138</t>
  </si>
  <si>
    <t xml:space="preserve">5 yr warranty promo pic - extra version </t>
  </si>
  <si>
    <t>Quote Proposal Sony Professional - 5 yr warranty promo pic - extra version.pdf</t>
  </si>
  <si>
    <t>NOT TO INVOICE</t>
  </si>
  <si>
    <t>Vertical Floor Plans</t>
  </si>
  <si>
    <t>Lucia Gonzalez De Velasco</t>
  </si>
  <si>
    <t>https://saranistudio.sharepoint.com/:f:/s/SaraniAssets/EgE74Kkh8OhIo4dvY6mb8LQB3xEpGcs1f9gxKy2YYhkGhQ?e=hMAHKb</t>
  </si>
  <si>
    <t>https://saranistudio-my.sharepoint.com/:b:/g/personal/team_sarani_studio/EfZuFZrqGFtBsOJcBGcZoygBoDLLs4WNWJWK73FD-0ftlQ?e=uThsuj</t>
  </si>
  <si>
    <t>F2025-0252</t>
  </si>
  <si>
    <t>Paid 09/07/2025</t>
  </si>
  <si>
    <t>5 yr warranty promo pic</t>
  </si>
  <si>
    <t>Chuc Anh</t>
  </si>
  <si>
    <t>20250414_5 yr warranty promo pic</t>
  </si>
  <si>
    <t>Quote Proposal Sony Professional - 5 yr warranty promo pic.pdf</t>
  </si>
  <si>
    <t>Sales Campaign Proposal – Sony BRAVIA Fantasy League (July 2025 – March 2026)</t>
  </si>
  <si>
    <t>Quote Proposal Sony Professional - Sales Campaign Proposal – Sony BRAVIA Fantasy League.pdf</t>
  </si>
  <si>
    <t>FVS Tech Up Artwork Rework Request</t>
  </si>
  <si>
    <t>Éva Füri</t>
  </si>
  <si>
    <t>20250521_FVS Tech Up Artwork Rework Request</t>
  </si>
  <si>
    <t>Quote Proposal Sony Professional - Sony EU - Video Projector Products Cards (1).pdf</t>
  </si>
  <si>
    <t>4200685236</t>
  </si>
  <si>
    <t>F2025-0434</t>
  </si>
  <si>
    <t>Sony EU - Video Projector Products Cards</t>
  </si>
  <si>
    <t>Quote Proposal Sony Professional - FVS Tech Up Artwork Rework Request (1).pdf</t>
  </si>
  <si>
    <t>Invoices Support</t>
  </si>
  <si>
    <t>https://saranistudio-my.sharepoint.com/:b:/g/personal/team_sarani_studio/ERHZhuEtyVdEgXyXOhPxImkB5-YVlWEqKtpvSGuCV0xkZg?e=ylMJhk</t>
  </si>
  <si>
    <t>F2025-0321</t>
  </si>
  <si>
    <t>Corporate Solutions Overview Video</t>
  </si>
  <si>
    <t>Chuc Anh Pham</t>
  </si>
  <si>
    <t>20250725_Corporate Solutions Overview Video</t>
  </si>
  <si>
    <t>https://saranistudio.sharepoint.com/:b:/s/SaraniAssets/EVA21p8twYpKhVMJpRAuiI0B9ln2wqR-7SO5yIZnJlKjYQ?e=WjXxgL</t>
  </si>
  <si>
    <t>F2026-0127</t>
  </si>
  <si>
    <t>Quick Print Artwork</t>
  </si>
  <si>
    <t>Eva Fueri</t>
  </si>
  <si>
    <t>https://saranistudio.sharepoint.com/:f:/s/SaraniAssets/EiKzxx4qk89AudY2Heg3YBcB1aHtEzxwGEuZ_LvPNvGXLw?e=3121Dy</t>
  </si>
  <si>
    <t>https://saranistudio-my.sharepoint.com/:b:/g/personal/team_sarani_studio/EY3S4_81FztGg1Kmau4cRcYBUm82caLeY1SD5Gk3Up8I1g?e=keilJe</t>
  </si>
  <si>
    <t>F2025-0469</t>
  </si>
  <si>
    <t>Artwork Request for MCR Event</t>
  </si>
  <si>
    <t>20250821_Artwork Request for MCR Event</t>
  </si>
  <si>
    <t>https://saranistudio.sharepoint.com/:b:/s/SaraniAssets/ESZE2TwoWo1BsjM46VlBXqsBsSO0_XF76GfP4SHjArDVbA?e=310NFh</t>
  </si>
  <si>
    <t>F2025-0476</t>
  </si>
  <si>
    <t>Reception Desk Artwork for AV Tech</t>
  </si>
  <si>
    <t>https://saranistudio.sharepoint.com/:f:/s/SaraniAssets/EuMhkBeEPsZMrxGVv0hkq3gB-nkLCOgFjdsKWMGW_AQx3A?e=oxHuWv</t>
  </si>
  <si>
    <t>https://saranistudio.sharepoint.com/:b:/s/SaraniAssets/EWv6E20x2kxGohXCAh0hfvUBG1Y_3WryoDA4nVJ9mB_tmA?e=TcxL9l</t>
  </si>
  <si>
    <t>F2025-0523</t>
  </si>
  <si>
    <t>ROLL UP x Exertis Day</t>
  </si>
  <si>
    <t>https://saranistudio.sharepoint.com/:f:/s/SaraniAssets/EuITalVvCgVLifUzObxZLPUBt97F7NPRbxuuCTyti_mHjA?e=PJPbOL</t>
  </si>
  <si>
    <t>https://saranistudio-my.sharepoint.com/:b:/g/personal/team_sarani_studio/EXSFvFaSF7VKsz4rXl9pTWkBqY5tMBwUBGy73KK39hP70A?e=r4R5Ja</t>
  </si>
  <si>
    <t>F2025-0603</t>
  </si>
  <si>
    <t>HP Poly Product Cards for Exertis Expo Sweden</t>
  </si>
  <si>
    <t>20251006_HP Poly Product Cards for Exertis Expo Sweden</t>
  </si>
  <si>
    <t>https://saranistudio-my.sharepoint.com/:b:/g/personal/team_sarani_studio/EQ23J-5iBYVOsfHz7wpnlgEBs9cwT0uQjuD7f-fABYCbXA?e=dAasFf</t>
  </si>
  <si>
    <t>F2025-0625</t>
  </si>
  <si>
    <t>DARÓ MEDIA GROUP S.L. Invoice Payment</t>
  </si>
  <si>
    <t>F2025-0728</t>
  </si>
  <si>
    <t>Banner resize</t>
  </si>
  <si>
    <t>20250808_Banner resize</t>
  </si>
  <si>
    <t>https://saranistudio.sharepoint.com/:b:/s/SaraniAssets/EfMDERYfxKlPnttiM6cEwPkBJGNVWoJqEf5toE5cdG5NAg?e=S6HeQ4</t>
  </si>
  <si>
    <t>F2026-0045</t>
  </si>
  <si>
    <t>Waiting payment for 30/03/2026</t>
  </si>
  <si>
    <t>Corporate AV Solutions ad</t>
  </si>
  <si>
    <t>https://saranistudio.sharepoint.com/:f:/s/SaraniAssets/Enujg3THCohBtOkT0-hSNrgBk0iA6nTNvpnMyiaP47XySg?e=hlWh0d</t>
  </si>
  <si>
    <t>https://saranistudio.sharepoint.com/:b:/s/SaraniAssets/EdXO3AzbVytOss-EfhLZo9sBgijtXui9xFBmu8vNaGSm3A?e=5kohTX</t>
  </si>
  <si>
    <t>F2026-0038</t>
  </si>
  <si>
    <t>Corp Social Content Creation</t>
  </si>
  <si>
    <t>https://saranistudio.sharepoint.com/:f:/s/SaraniAssets/IgCJn1Z-lzGFTbNJUQH7xC3TAbatmB_brgJjTThEHO37QGo?e=QW9Vdx</t>
  </si>
  <si>
    <t>F2026-0006</t>
  </si>
  <si>
    <t>Social Content Support</t>
  </si>
  <si>
    <t>F2026-0007</t>
  </si>
  <si>
    <t xml:space="preserve">Corporate Solutions Overview Video extra version </t>
  </si>
  <si>
    <t>https://saranistudio.sharepoint.com/:b:/s/SaraniAssets/IQD0HaFQVw_LSYyeF-x9a3-RAfUUeheEzON6eMwlNkkengw?e=Qked1f</t>
  </si>
  <si>
    <t>F2026-0044</t>
  </si>
  <si>
    <t>PD&amp;S T-shirt design</t>
  </si>
  <si>
    <t>https://saranistudio.sharepoint.com/:f:/s/SaraniAssets/IgBrcvzUWshjQ4YSxXiDYydJARzmBRWoO4_TEEJKRglDzwQ?e=zOQYJw</t>
  </si>
  <si>
    <t xml:space="preserve">Visual Assets | BRC-AM7 now compatible with Crestron driver </t>
  </si>
  <si>
    <t>20251218_Visual Assets BRC-AM7 now compatible with Crestron driver</t>
  </si>
  <si>
    <t>https://saranistudio.sharepoint.com/:b:/s/SaraniAssets/IQDalGSnouhMToAdDfIs8GkQAU3eij_BewWh6ZJtLSL1tcs?e=HSibF1</t>
  </si>
  <si>
    <t>F2026-0046</t>
  </si>
  <si>
    <t>Inserción online en ON OFF</t>
  </si>
  <si>
    <t>F2026-0120</t>
  </si>
  <si>
    <t>Waiting payment for 18/05/2026</t>
  </si>
  <si>
    <t>Artwork Request for MIR Event</t>
  </si>
  <si>
    <t>https://saranistudio.sharepoint.com/:f:/s/SaraniAssets/IgBsVOLd6iVGRqiYEP7cbC8IAdCSnJb9X_KMcZF-xWYoEcc?e=4dA2Dn</t>
  </si>
  <si>
    <t>Sony BVB Videos Localisations</t>
  </si>
  <si>
    <t>https://saranistudio.sharepoint.com/:f:/s/SaraniAssets/Emy7TxzIlVBHiAis3CV05w4B71Ag7jsXhwvFsfM9auq3KQ?e=IhwlGj</t>
  </si>
  <si>
    <t>F2024-0247</t>
  </si>
  <si>
    <t>Video Localisation project - Part 2</t>
  </si>
  <si>
    <t>https://saranistudio.sharepoint.com/:f:/s/SaraniAssets/El0O0WHzX1FFsdK-FRDWm4oBtOxT75naSlk8NomEj-gCvQ?e=S9sb0v</t>
  </si>
  <si>
    <t>F2024-0325</t>
  </si>
  <si>
    <t>StudioCalibrModes Localisation</t>
  </si>
  <si>
    <t>https://saranistudio.sharepoint.com/:f:/s/SaraniAssets/EnYnplX9V-ZNuDvWHwDlnlsB5QiQhfRz6fPckEYuiLBh0Q?e=BQVyPX</t>
  </si>
  <si>
    <t>Localisation_Introducing the Sony ZV-E1 Vlog Camera</t>
  </si>
  <si>
    <t>https://saranistudio.sharepoint.com/:f:/s/SaraniAssets/EoKxsqLDj61OgGUpNzAQ_X8BDVEIVndpmdo_Pq_H0QFsIw?e=yrqG7H</t>
  </si>
  <si>
    <t>F2024-0342</t>
  </si>
  <si>
    <t>M1 Video Localisation</t>
  </si>
  <si>
    <t>Daniel Israel</t>
  </si>
  <si>
    <t>https://saranistudio.sharepoint.com/:f:/s/SaraniAssets/Elp4iVVdHRRIqtSIEVw0vQwB9BN5oRLJvz_TMygP5-19gA?e=Fx0qQV</t>
  </si>
  <si>
    <t>F2024-0360</t>
  </si>
  <si>
    <t>M1 Interview Video Localisation</t>
  </si>
  <si>
    <t>F2024-0369</t>
  </si>
  <si>
    <t>WFM5 &amp; WHM5 Pink Videos: Localisation</t>
  </si>
  <si>
    <t>20240827_1000X Series_Pink Product Video Localisation</t>
  </si>
  <si>
    <t>F2024-0415</t>
  </si>
  <si>
    <t>Paid 04/11/2024</t>
  </si>
  <si>
    <t xml:space="preserve">New Translation Request: YouTube Landscape Campaign </t>
  </si>
  <si>
    <t>F2024-0443</t>
  </si>
  <si>
    <t>Paid 14/11/2024</t>
  </si>
  <si>
    <t>LinkBuds Product Video Localisation: LinkBuds Fit, LinkBuds Open, LinkBuds Speaker</t>
  </si>
  <si>
    <t>https://saranistudio.sharepoint.com/:f:/s/SaraniAssets/Elx2XuutZXRPiYWdX3g_43wBhHiEaPLKHC7JCnzpaVfRLQ?e=IWLL1g</t>
  </si>
  <si>
    <t>F2024-0445</t>
  </si>
  <si>
    <t>INZONE Product Video Localisations: M9 II &amp; M10S</t>
  </si>
  <si>
    <t>https://saranistudio.sharepoint.com/:f:/s/SaraniAssets/Eg2LeAK5RFpBrMD6pIF-S9oBwynjL5KDFJFS3_3lYp_FkA?e=l7VrOz</t>
  </si>
  <si>
    <t>F2024-0444</t>
  </si>
  <si>
    <t>WFM5 &amp; WHM5 Pink Videos: Extra</t>
  </si>
  <si>
    <t>Daniel Israel / Sara Parvaresh</t>
  </si>
  <si>
    <t>https://saranistudio.sharepoint.com/:f:/s/SaraniAssets/EnDfUG7GDFdDt9ePpRfwiVkBRAkvNYFziZNJsL5Wm8yi9A?e=ZsdhLk</t>
  </si>
  <si>
    <t>F2025-0113</t>
  </si>
  <si>
    <t>HTML banner production</t>
  </si>
  <si>
    <t>https://saranistudio.sharepoint.com/:f:/s/SaraniAssets/EpdqsFHyzb9DjkkIOD2N1EkBY-uiBAIEoxr78Og88YL0Uw?e=nmMuds</t>
  </si>
  <si>
    <t>F2024-0509</t>
  </si>
  <si>
    <t>Paid 06/12/2024</t>
  </si>
  <si>
    <t>Google Search Keywords: Copy writing &amp; Translation</t>
  </si>
  <si>
    <t>F2024-0625</t>
  </si>
  <si>
    <t>OR LinkBuds Fit/Open Product Video</t>
  </si>
  <si>
    <t>https://saranistudio.sharepoint.com/:f:/s/SaraniAssets/Eptx-Pv5nS5AnIiVdDnHMdkBTHq0JvyRAHdxwcA_TUVKMA?e=9Ul4gP</t>
  </si>
  <si>
    <t>F2024-0552</t>
  </si>
  <si>
    <t>MDR-MV1 - Pro Audio Product &amp; Endorsement Video Localisation</t>
  </si>
  <si>
    <t>https://saranistudio.sharepoint.com/:f:/s/SaraniAssets/EqLkMAyPmiNHkYNnAWFsB08BVse9nwTZWsHlzKGNc0j8AQ?e=oH6bE6</t>
  </si>
  <si>
    <t>Vlogging Contents: Translation Requests</t>
  </si>
  <si>
    <t>F2025-0003</t>
  </si>
  <si>
    <t>Getty Images</t>
  </si>
  <si>
    <t>HE</t>
  </si>
  <si>
    <t>F2025-0105</t>
  </si>
  <si>
    <t>Paid 16/07/2025</t>
  </si>
  <si>
    <t>Floating WebPop &amp; Graphic Overlays</t>
  </si>
  <si>
    <t>Jackson Jones</t>
  </si>
  <si>
    <t>https://saranistudio.sharepoint.com/:f:/r/sites/SaraniAssets/Shared%20Documents/03.%20Customers/02.%20Sony/02.%20Sony%20Europe/01.%20TV/20250306_Floating%20WebPop%20%26%20Graphic%20Overlays?csf=1&amp;web=1&amp;e=xozR8P</t>
  </si>
  <si>
    <t>New Brief: Creators App 3 Strut Cards A4</t>
  </si>
  <si>
    <t>20250307_New Brief Creators App 3 Strut Cards A4</t>
  </si>
  <si>
    <t>F2025-0103</t>
  </si>
  <si>
    <t>Creators App Photobook (PRINT)</t>
  </si>
  <si>
    <t>Canceled</t>
  </si>
  <si>
    <t>https://saranistudio.sharepoint.com/:f:/s/SaraniAssets/EhftZuopyJFEp3g8F4hYVvIBycEQT6fOaNF1N6vJf1K5Kg?e=dvWjla</t>
  </si>
  <si>
    <t>SBAR Infographics - for D2C resize &amp; localization</t>
  </si>
  <si>
    <t>Silvija Veide</t>
  </si>
  <si>
    <t>https://saranistudio.sharepoint.com/:f:/s/SaraniAssets/EmIqbRyagbNNgObxxWzyoqcBMsMl-k7MWU_InYVv18qJQg?e=jO5Bq6</t>
  </si>
  <si>
    <t>F2025-0124</t>
  </si>
  <si>
    <t>SARANI March</t>
  </si>
  <si>
    <t>F2025-0123</t>
  </si>
  <si>
    <t>Getty Images purchase</t>
  </si>
  <si>
    <t>https://saranistudio.sharepoint.com/:f:/s/SaraniAssets/Emn4EnTA9x9DlIxdAnJSc_QBs1_lrXebw0zj-qRanP1mbw?e=CthI4O</t>
  </si>
  <si>
    <t>F2025-0214</t>
  </si>
  <si>
    <t xml:space="preserve">ECO WEB POP Update- Old Models </t>
  </si>
  <si>
    <t>https://saranistudio.sharepoint.com/:f:/s/SaraniAssets/EoTu6yWEttFGknmQcicolLYB-gax0dHies9xJQquTq-zTQ?e=Dt22Bp</t>
  </si>
  <si>
    <t>COVERED below</t>
  </si>
  <si>
    <t>New Launch Assets: FE 28-70mm F2 GM lenses</t>
  </si>
  <si>
    <t>https://saranistudio.sharepoint.com/:f:/s/SaraniAssets/Eh_ZuL51WNxMr1zmHxc5uQIBfVNH1s8c6BmNd1xQpTrV5w?e=kJDl6Q</t>
  </si>
  <si>
    <t>https://saranistudio-my.sharepoint.com/:b:/g/personal/team_sarani_studio/EXgrBLSTq-BPg8bvvJUa9ioB9uX0wzw66Br-x9Xc6Jonag?e=t6lvH4</t>
  </si>
  <si>
    <t>F2025-0251</t>
  </si>
  <si>
    <t>New Launch Assets for SUK</t>
  </si>
  <si>
    <t>https://saranistudio.sharepoint.com/:f:/s/SaraniAssets/EnKaRpFH3CVAnCWWiNvzxskB6Bop7T_ADoUyaYKgkSncTQ?e=bMKDi7</t>
  </si>
  <si>
    <t>https://saranistudio-my.sharepoint.com/:b:/g/personal/team_sarani_studio/EfZ8VzZ2K2pMrNL05sQO4OkB7_kb753BXugHvsFIeRFIVQ?e=b8GDfA</t>
  </si>
  <si>
    <t>F2025-0232</t>
  </si>
  <si>
    <t>Cashback Social Assets</t>
  </si>
  <si>
    <t>https://saranistudio.sharepoint.com/:f:/s/SaraniAssets/EjVN6YxlBLZJtNJ12u-DuLgBxnvvUolDVhWpm7GFukZFuA?e=eb7bw4</t>
  </si>
  <si>
    <t>F2025-0249</t>
  </si>
  <si>
    <t>Sarani April</t>
  </si>
  <si>
    <t>F2025-0215</t>
  </si>
  <si>
    <t>Summer CB &amp; Spring Alpha Competition Social Assets</t>
  </si>
  <si>
    <t>F2025-0250</t>
  </si>
  <si>
    <t>Launch prep - FX2 cinema line camera</t>
  </si>
  <si>
    <t>20250509_Launch prep - FX2 cinema line camera</t>
  </si>
  <si>
    <t>https://saranistudio-my.sharepoint.com/:b:/g/personal/team_sarani_studio/EQrC8SGZM2VBsRJIv9GbqnoB2W26658eE19blKG0yzukVg?e=959dlf</t>
  </si>
  <si>
    <t>F2025-0296</t>
  </si>
  <si>
    <t>SUK formats - FX2 &amp; Grip Launch banners</t>
  </si>
  <si>
    <t>https://saranistudio.sharepoint.com/:f:/s/SaraniAssets/Ej2cpGGywkRMm5KE6ISIAmoBzZi_diQqU1BY5YmxqmWfGA?e=V7ozBp</t>
  </si>
  <si>
    <t>https://saranistudio-my.sharepoint.com/:b:/g/personal/team_sarani_studio/Ef3fiAjA54pAjuoMhUU5d-wBslWroZH409B-qB8rExQo2Q?e=v2VWDC</t>
  </si>
  <si>
    <t>F2025-0276</t>
  </si>
  <si>
    <t>Student Cashback Online &amp; Offline Assets</t>
  </si>
  <si>
    <t>https://saranistudio.sharepoint.com/:f:/s/SaraniAssets/EgdqIYd4TAlAtzQn_o3LzccBQWZjhS4iWGzx4tRIaubeRA?e=Yc0bLI</t>
  </si>
  <si>
    <t>https://saranistudio-my.sharepoint.com/:b:/g/personal/team_sarani_studio/EWxsz4cxMURJtoAy1g9rcXYBGk3THIXeH8pr2AR3_seD7Q?e=crat7n</t>
  </si>
  <si>
    <t>F2025-0328</t>
  </si>
  <si>
    <t>F2025-0417</t>
  </si>
  <si>
    <t>Eco features Webpop Localisation</t>
  </si>
  <si>
    <t>Jorge Bordona Melia</t>
  </si>
  <si>
    <t>https://saranistudio.sharepoint.com/:f:/s/SaraniAssets/EmqKRTOAOEJNkGeQVeICNb4BiYVoz-zCHu9B9rylJISAcw?e=vbM9iF</t>
  </si>
  <si>
    <t>https://saranistudio.sharepoint.com/:b:/s/SaraniAssets/Ed9VaxsKBC9Kk8pBkoiNCT8B5qAlosGNeW6v2fsOS5-thQ?e=9khkO2</t>
  </si>
  <si>
    <t>F2025-0777</t>
  </si>
  <si>
    <t>2 484</t>
  </si>
  <si>
    <t>VX9580 Product Video Localization</t>
  </si>
  <si>
    <t>https://saranistudio.sharepoint.com/:f:/s/SaraniAssets/Etunjoy7M6ZOjg3UO5rPoMcB38yON9Oe-7R2ESGom3CZAA?e=fbJcQ2</t>
  </si>
  <si>
    <t>https://saranistudio-my.sharepoint.com/:b:/g/personal/team_sarani_studio/EW77i99FEQFLsIiHqwNxYbIBh9e1XXja1aPhICSRwK5N0Q?e=G8ukgX</t>
  </si>
  <si>
    <t>F2025-0422</t>
  </si>
  <si>
    <t>4 267</t>
  </si>
  <si>
    <t>Catalyst Leaflet</t>
  </si>
  <si>
    <t>https://saranistudio.sharepoint.com/:f:/s/SaraniAssets/EuA-Vqo2k91Jslj3UeeCXGgB5X8MASBZKqqEFCZuEom68A?e=jHVg9i</t>
  </si>
  <si>
    <t>https://saranistudio-my.sharepoint.com/:b:/g/personal/team_sarani_studio/EX6pf6EabjpEgwrQyF0_E7gBE4uMLiOO97uc297btCP5JA?e=Z3qDdV</t>
  </si>
  <si>
    <t>F2025-0493</t>
  </si>
  <si>
    <t>RX1R Launch</t>
  </si>
  <si>
    <t>https://saranistudio.sharepoint.com/:f:/s/SaraniAssets/EjSAfxI0oJ5AgeChJsOEFU8BBwfmHKSeRhhPtJQwF3Mwkg?e=out0Fo</t>
  </si>
  <si>
    <t>https://saranistudio-my.sharepoint.com/:b:/g/personal/team_sarani_studio/EQGGiA0vrPBPmPKUqu_afHEB_1eRLx3mgQIet4EGMHG84Q?e=TcNxge</t>
  </si>
  <si>
    <t>F2025-0503</t>
  </si>
  <si>
    <t>Paid 09/12/2025</t>
  </si>
  <si>
    <t>ENG Master banners - Always On Digital</t>
  </si>
  <si>
    <t>https://saranistudio.sharepoint.com/:f:/s/SaraniAssets/EjD3i2Yamw1JtlE4tEjpElMB7SdMIA30aocLLbMEpKy4WA?e=r5ug0k</t>
  </si>
  <si>
    <t>https://saranistudio-my.sharepoint.com/:b:/g/personal/team_sarani_studio/EX2gkBteFjdMlHig2LlqaQEBXAx1TyF825d5yykZ82ZIdQ?e=hT2ixY</t>
  </si>
  <si>
    <t>FY25 Lens trade-in Promo ENG assets</t>
  </si>
  <si>
    <t>https://saranistudio.sharepoint.com/:f:/s/SaraniAssets/En78JVQS3udLioJWMscTaIcB1EAznmQQPN09tpWAvV8HRA?e=3DxaMA</t>
  </si>
  <si>
    <t>https://saranistudio-my.sharepoint.com/:b:/g/personal/team_sarani_studio/EV6lub_r7UFIiyn493Gezj8BvsSpMzBeK62bRIdTFN9C1A?e=BeYuL6</t>
  </si>
  <si>
    <t>Kyle's banner &amp; poster</t>
  </si>
  <si>
    <t>https://saranistudio.sharepoint.com/:f:/s/SaraniAssets/Ev6c0wrnHqBGiIEnFvKVe9UBsJJoK4fqcxJotKpu5u-eKw?e=j27UgT</t>
  </si>
  <si>
    <t>https://saranistudio.sharepoint.com/:b:/s/SaraniAssets/EQ4HaqCLMQdBr4tgiZVgU_MBL_rmZqyQQb1Xn6h_OyqNbQ?e=r4Trt5</t>
  </si>
  <si>
    <t>EISA-TIPA Awards</t>
  </si>
  <si>
    <t>https://saranistudio.sharepoint.com/:f:/s/SaraniAssets/EnzDjRnIx1hBidP6bGoeSUcBlg8K3QvBygGP9FP2ydn8mg?e=XCYZOm</t>
  </si>
  <si>
    <t>https://saranistudio.sharepoint.com/:b:/s/SaraniAssets/EewpNTQxA19PsYDhstfGp0QBzl4YCxJoamLUVISgRFU3IQ?e=SfKujG</t>
  </si>
  <si>
    <t>F2025-0491</t>
  </si>
  <si>
    <t xml:space="preserve">New Brief: Strut Card A5 </t>
  </si>
  <si>
    <t>https://saranistudio.sharepoint.com/:f:/s/SaraniAssets/EogP5hw8J99FkQsdbuXLenIBY-Qc8n_8lEA5o6rtERCJYQ?e=QnL58t</t>
  </si>
  <si>
    <t>https://saranistudio.sharepoint.com/:b:/s/SaraniAssets/EXdCqK0-eNpHlovB_AVUgwcB0_-RbuXHGX9FriAktPkg9w?e=YZnpSq</t>
  </si>
  <si>
    <t xml:space="preserve">FY25 Winter Cash-Back </t>
  </si>
  <si>
    <t>https://saranistudio.sharepoint.com/:f:/s/SaraniAssets/EvoOqm5jx01DpNC6zBLwCtoB8KF0-HKESlx8bFxfBbNcWw?e=Kt7TDt</t>
  </si>
  <si>
    <t>https://saranistudio.sharepoint.com/:b:/s/SaraniAssets/EU5MomHkGrhIlf8bHcqcGGAB4DjmZi0S9QUOiFgq4z3xgw?e=8pb4iR</t>
  </si>
  <si>
    <t>F2025-0502</t>
  </si>
  <si>
    <t>SUK</t>
  </si>
  <si>
    <t xml:space="preserve">SUK - Online FY25 Winter Cash-Back </t>
  </si>
  <si>
    <t>https://saranistudio.sharepoint.com/:f:/s/SaraniAssets/EvT6t47nYI5LgUN4tmUu1_YB6sUiKfxdJSkSftFvix-_eA?e=40snsn</t>
  </si>
  <si>
    <t>https://saranistudio-my.sharepoint.com/:b:/g/personal/team_sarani_studio/EVOMGHrUrulDh-ffJ8JYrXMBPxprDtkVDMa_g60LcC-TDw?e=Dnw8kc</t>
  </si>
  <si>
    <t>F2025-0546</t>
  </si>
  <si>
    <t xml:space="preserve">SUK - Offline FY25 Winter Cash-Back </t>
  </si>
  <si>
    <t>https://saranistudio-my.sharepoint.com/:b:/g/personal/team_sarani_studio/EZsrC9nCtndCqIGA2uzTrIABHGkumWlwASroY9GpbEaBnA?e=AnhT4y</t>
  </si>
  <si>
    <t>F2025-0556</t>
  </si>
  <si>
    <t>Paid 25/11/2025</t>
  </si>
  <si>
    <t>Confidential New Launch: SEL100M28GM Assets</t>
  </si>
  <si>
    <t>https://saranistudio.sharepoint.com/:f:/s/SaraniAssets/EtqrMiuDuAJIuJm_tvugeaMBcmBcQVcg8_k9nCCedf0QUw?e=byIgCu</t>
  </si>
  <si>
    <t>https://saranistudio.sharepoint.com/:b:/s/SaraniAssets/ETFZ5mRB_3BJmx7Ui2APhbUBVKMHbv9Kv50Ipud3edcvyQ?e=Hi601h</t>
  </si>
  <si>
    <t>F2025-0641</t>
  </si>
  <si>
    <t>Autumn Alpha Competition Reels</t>
  </si>
  <si>
    <t>https://saranistudio-my.sharepoint.com/:b:/g/personal/team_sarani_studio/EViVoxoxQ5FClb-JdT_5P5ABRXcVp51Rq9OWoySqSwRh7Q?e=Z1iAsv</t>
  </si>
  <si>
    <t>F2025-0617</t>
  </si>
  <si>
    <t>FY25 Winter Cash-Back  Extras</t>
  </si>
  <si>
    <t>https://saranistudio-my.sharepoint.com/:b:/g/personal/team_sarani_studio/EV-5aojfqJBHkGA94_5ksyoB4ITvCUOa-RzQlxMxJheOAA?e=54JJpk</t>
  </si>
  <si>
    <t>F2025-0640</t>
  </si>
  <si>
    <t>FY25 HE Launch - SARANI Assets</t>
  </si>
  <si>
    <t>Lucie Galli</t>
  </si>
  <si>
    <t>20241107_FY25 HE Launch - SARANI Assets</t>
  </si>
  <si>
    <t>F2025-0068</t>
  </si>
  <si>
    <t>FY25 HE Launch - Extra D2C Assets</t>
  </si>
  <si>
    <t>COI FY25 Winter CashBack</t>
  </si>
  <si>
    <t>https://saranistudio.sharepoint.com/:f:/s/SaraniAssets/EtlhVlrL_PNJs80_22p1y0MB7QqNkql9r_lSr0RDLsoU0A?e=tncysS</t>
  </si>
  <si>
    <t>Always On Digital Banners</t>
  </si>
  <si>
    <t>https://saranistudio.sharepoint.com/:f:/s/SaraniAssets/El5Z6gV5ovpNguAWsm8GAPABgo1vdpa5YvXL7C8x7ydBTA?e=qV0pLn</t>
  </si>
  <si>
    <t>https://saranistudio.sharepoint.com/:b:/s/SaraniAssets/EcJhAf3qvVdOimTPPEAFKFMBLUW6tVxIFVvvC1WO1lR-KA?e=QdMo6Z</t>
  </si>
  <si>
    <t>Pro Reel Social Localisation</t>
  </si>
  <si>
    <t>https://saranistudio.sharepoint.com/:f:/s/SaraniAssets/Eo8j3tBxOhBOigXs5QLnEGEBHG79srvLvbAHESTSFdS0TQ?e=2Sr7FH</t>
  </si>
  <si>
    <t>https://saranistudio-my.sharepoint.com/:b:/g/personal/team_sarani_studio/EYKtrXX7_N9AorpHC7YnEEIBxRTmHE7w7xyKQRwDnF0lvQ?e=UMvYD5</t>
  </si>
  <si>
    <t>F2025-0761</t>
  </si>
  <si>
    <t>Translations for Turntable Infographics</t>
  </si>
  <si>
    <t>William</t>
  </si>
  <si>
    <t>https://saranistudio-my.sharepoint.com/:b:/g/personal/team_sarani_studio/EfE4cjoq-qxOksIf8BBBg7YBihEoDCwVhYZCmO-50wTB7A?e=1YZB30</t>
  </si>
  <si>
    <t>F2025-0638</t>
  </si>
  <si>
    <t>Turnable data sheets</t>
  </si>
  <si>
    <t>https://saranistudio-my.sharepoint.com/:b:/g/personal/team_sarani_studio/EQM5B08YFiNAnoHxT2UkCGgBVwDXkxiP0FGyv5ssUXfwTA?e=1FveB7</t>
  </si>
  <si>
    <t>Sent via Whatsapp</t>
  </si>
  <si>
    <t>F2025-0647</t>
  </si>
  <si>
    <t>Always on Digital banners - Ananda Joinet</t>
  </si>
  <si>
    <t>Gulay</t>
  </si>
  <si>
    <t>https://saranistudio.sharepoint.com/:f:/s/SaraniAssets/IgAhrbJn50KUTK806zPXStelATM2AY-oK7JTH653DOl0YhU?e=4mwBwa</t>
  </si>
  <si>
    <t>https://saranistudio-my.sharepoint.com/:b:/g/personal/team_sarani_studio/IQBn9Zk0jCqTSIWIILDB5PflASK_DyivBbEjKbW-MCKvXcg?e=yNCk2f</t>
  </si>
  <si>
    <t>Lens Leaflet Update</t>
  </si>
  <si>
    <t>https://saranistudio.sharepoint.com/:f:/s/SaraniAssets/IgBBnxKsGuEzRLlFWAqlQgzmAZCW8_7EuM3VoSKDqCqBG3k?e=JFzt00</t>
  </si>
  <si>
    <t>https://saranistudio-my.sharepoint.com/:b:/g/personal/team_sarani_studio/IQCPbPSNLA9xSK5N3K2NxEfJARnLGu0vReoC4j7SoLNU0zM?e=ZozjFY</t>
  </si>
  <si>
    <t>F2026-0005</t>
  </si>
  <si>
    <t>SUK - CX76800 Launch</t>
  </si>
  <si>
    <t>https://saranistudio.sharepoint.com/:f:/s/SaraniAssets/IgB9MsvJ4zWwSZq0aTug6KHYAeqqJxTg7M5sMzRO5TOYlK4?e=WAhDtP</t>
  </si>
  <si>
    <t>https://saranistudio.sharepoint.com/:b:/s/SaraniAssets/IQBrALWdKKt6SKbBdRlG20h8AQxMnjeZodaKxC_sUc8-Deg?e=SXOylM</t>
  </si>
  <si>
    <t>F2026-0086</t>
  </si>
  <si>
    <t>SEU - HE Web POP - 1st PO</t>
  </si>
  <si>
    <t>Ann-Kathrin</t>
  </si>
  <si>
    <t>https://saranistudio.sharepoint.com/:f:/s/SaraniAssets/IgB0dTCqKkaSQI2nbPo9p4fPAZvWc1f_a427vSozGfRbv64?e=caLufH</t>
  </si>
  <si>
    <t>https://saranistudio-my.sharepoint.com/:b:/g/personal/team_sarani_studio/IQDTVR8L3siwSrPtoxeYQa75AYFo_5ade8Ydoq_Han5yZZ4?e=OMkjNp</t>
  </si>
  <si>
    <t>F2026-0131</t>
  </si>
  <si>
    <t>Waiting payment for 24/05/2026</t>
  </si>
  <si>
    <t>The Choice of Creators New Key Visuals</t>
  </si>
  <si>
    <t>https://saranistudio.sharepoint.com/:f:/s/SaraniAssets/IgBDZRpDxwDESavaOSYch1_hAYnVv-doMN1BY9HoApC6_jI?e=GYSAhr</t>
  </si>
  <si>
    <t>https://saranistudio.sharepoint.com/:b:/s/SaraniAssets/IQAoe2kGYJ_PRI6fEKKXMV1fAZAIqEnsad-LbjpFN8kUeVk?e=GdSRtM</t>
  </si>
  <si>
    <t xml:space="preserve">Alpha Photo Winter Competition Reel </t>
  </si>
  <si>
    <t>https://saranistudio.sharepoint.com/:f:/s/SaraniAssets/IgCHoOg5vNRrS4lnjRl6IqpOAaTYnfc-nRCfIciYHENmmgc?e=uYQTJP</t>
  </si>
  <si>
    <t>https://saranistudio-my.sharepoint.com/:b:/g/personal/team_sarani_studio/IQCZgiC_zxrLTI1UmuhFP6ykAZvVl-_KsYCWEbFEJ4ihUf0?e=7Otocl</t>
  </si>
  <si>
    <t>F2026-0106</t>
  </si>
  <si>
    <t>Update Extended Warranty Asset</t>
  </si>
  <si>
    <t>https://saranistudio.sharepoint.com/:b:/s/SaraniAssets/IQBTrY1lUFApRKKfbHlP3TL_Ae2Yd0yosPiQ5Vdq1iNbjB4?e=6ejBNl</t>
  </si>
  <si>
    <t>Update KVs for Content Creator pages</t>
  </si>
  <si>
    <t>F2026-0004</t>
  </si>
  <si>
    <t>New AO digital banner and localization request</t>
  </si>
  <si>
    <t>https://saranistudio-my.sharepoint.com/:b:/g/personal/team_sarani_studio/IQD0n7yh7CRZRZYmxrhgmdfCARtPqpCnI8r7hpnXnv86xh8?e=KlRjv5</t>
  </si>
  <si>
    <t>Filmmaking Localization</t>
  </si>
  <si>
    <t>https://saranistudio-my.sharepoint.com/:b:/g/personal/team_sarani_studio/IQD4XWARBtKdSJdCWp43LC6xAaRpuUu3B_4-bBAj0Ddjj60?e=hASJ6E</t>
  </si>
  <si>
    <t>F2026-0060</t>
  </si>
  <si>
    <t>Summer Cashback</t>
  </si>
  <si>
    <t>https://saranistudio.sharepoint.com/:f:/s/SaraniAssets/IgCKs4z7_BcIT6Wz7UTF6eWjAWnWZgkGdRh-WBGIDZHDZS8?e=ZX3VD7</t>
  </si>
  <si>
    <t>https://saranistudio-my.sharepoint.com/:b:/g/personal/team_sarani_studio/IQBcltZqZ6tlRLO47LCobX2PAVJIMXrxbHunU6FBNPSd3eI?e=gh3ESm</t>
  </si>
  <si>
    <t>F2026-0128</t>
  </si>
  <si>
    <t>Brief for TV data sheets &amp; Soundbars</t>
  </si>
  <si>
    <t>20260213_Brief for TV data sheets &amp; Soundbars</t>
  </si>
  <si>
    <t>https://saranistudio-my.sharepoint.com/:b:/g/personal/team_sarani_studio/IQDTVR8L3siwSrPtoxeYQa75AYFo_5ade8Ydoq_Han5yZZ4?e=We8B1S</t>
  </si>
  <si>
    <t>Lens Search copy AO Digital Banner</t>
  </si>
  <si>
    <t>F2026-0063</t>
  </si>
  <si>
    <t>SEU - HE Web POP - 2nd PO</t>
  </si>
  <si>
    <t>SUK - Summer Cashback 2026</t>
  </si>
  <si>
    <t>https://saranistudio.sharepoint.com/:f:/r/sites/SaraniAssets/Shared%20Documents/03.%20Customers/02.%20Sony/02.%20Sony%20Europe/03.%20DI/20260303_SUK%20-%20Summer%20Cashback%202026?csf=1&amp;web=1&amp;e=qhETYL</t>
  </si>
  <si>
    <t>https://saranistudio.sharepoint.com/:b:/s/SaraniAssets/IQAMoe6dY6TOR5wcnTT3TQWUAZukHM2iuF-cPAqwKWFa4DU?e=pRK0Tc</t>
  </si>
  <si>
    <t>New AO Digital Banner April &amp; May</t>
  </si>
  <si>
    <t>https://saranistudio.sharepoint.com/:f:/s/SaraniAssets/IgDnQSf0nVFrT7doixbRGUEBAfa8SW7OSal5S_03KmF5IiY?e=kMa3Th</t>
  </si>
  <si>
    <t>Spring Photo Competition FY2026</t>
  </si>
  <si>
    <t>https://saranistudio.sharepoint.com/:f:/s/SaraniAssets/IgB0slSbCjPXQZkRPSdYJeLXAf89LgMJ-x-N9W7C2GamhvI?e=C14n4H</t>
  </si>
  <si>
    <t>Products Categories</t>
  </si>
  <si>
    <t>Earplugs/Headsets/Inzone</t>
  </si>
  <si>
    <t>Speakers</t>
  </si>
  <si>
    <t>Aurélie CHANTREL</t>
  </si>
  <si>
    <t>Soundbars and accessories</t>
  </si>
  <si>
    <t>Cameras, lenses and mobile</t>
  </si>
  <si>
    <t>Valentin</t>
  </si>
  <si>
    <t>Orianne</t>
  </si>
  <si>
    <t>SONY france</t>
  </si>
  <si>
    <t>Sony Europe</t>
  </si>
  <si>
    <t xml:space="preserve">Sony Pro </t>
  </si>
  <si>
    <t>Sony Manu</t>
  </si>
  <si>
    <t>Emmanuel</t>
  </si>
  <si>
    <t>Silvija</t>
  </si>
  <si>
    <t>Justine Rodrigues</t>
  </si>
  <si>
    <t>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</si>
</sst>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\ &quot;€&quot;_-;\-* #,##0.00\ &quot;€&quot;_-;_-* &quot;-&quot;??\ &quot;€&quot;_-;_-@_-"/>
    <numFmt numFmtId="165" formatCode="#,##0.00\ &quot;€&quot;"/>
    <numFmt numFmtId="166" formatCode="#,##0\ &quot;€&quot;"/>
    <numFmt numFmtId="167" formatCode="_-* #,##0\ &quot;€&quot;_-;\-* #,##0\ &quot;€&quot;_-;_-* &quot;-&quot;??\ &quot;€&quot;_-;_-@_-"/>
    <numFmt numFmtId="168" formatCode="dd/mm/yy;@"/>
    <numFmt numFmtId="169" formatCode="0.0"/>
    <numFmt numFmtId="170" formatCode="_-* #,##0.00\ [$€-40C]_-;\-* #,##0.00\ [$€-40C]_-;_-* &quot;-&quot;??\ [$€-40C]_-;_-@_-"/>
    <numFmt numFmtId="171" formatCode="_([$€-2]\ * #,##0.00_);_([$€-2]\ * \(#,##0.00\);_([$€-2]\ * &quot;-&quot;??_);_(@_)"/>
    <numFmt numFmtId="172" formatCode="#,##0\ \€;\(#,##0\)\ \€;&quot;-&quot;"/>
    <numFmt numFmtId="173" formatCode="#,##0;\(#,##0\);&quot;-&quot;"/>
  </numFmts>
  <fonts count="8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1"/>
      <color rgb="FFFFFFFF"/>
      <name val="Calibri"/>
    </font>
    <font>
      <i/>
      <sz val="11"/>
      <color rgb="FFFFFFFF"/>
      <name val="Calibri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  <family val="2"/>
      <charset val="1"/>
    </font>
    <font>
      <b/>
      <sz val="11"/>
      <color rgb="FF424242"/>
      <name val="Calibri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sz val="11"/>
      <color rgb="FF444444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444444"/>
      <name val="Calibri"/>
      <family val="2"/>
      <charset val="1"/>
    </font>
    <font>
      <b/>
      <sz val="11"/>
      <color rgb="FF242424"/>
      <name val="Calibri"/>
      <scheme val="minor"/>
    </font>
    <font>
      <b/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0"/>
      <color rgb="FFFF0000"/>
      <name val="Calibri"/>
    </font>
    <font>
      <i/>
      <sz val="10"/>
      <color rgb="FF000000"/>
      <name val="Calibri"/>
    </font>
    <font>
      <b/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trike/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b/>
      <i/>
      <sz val="10"/>
      <color rgb="FF000000"/>
      <name val="Calibri"/>
      <scheme val="minor"/>
    </font>
    <font>
      <i/>
      <sz val="9"/>
      <color rgb="FF000000"/>
      <name val="Calibri"/>
      <scheme val="minor"/>
    </font>
    <font>
      <i/>
      <sz val="10"/>
      <color rgb="FF000000"/>
      <name val="Calibri"/>
      <family val="2"/>
      <scheme val="minor"/>
    </font>
    <font>
      <i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FF0000"/>
      <name val="Calibri"/>
      <charset val="1"/>
    </font>
    <font>
      <sz val="11"/>
      <color rgb="FF000000"/>
      <name val="Calibri"/>
      <charset val="1"/>
    </font>
    <font>
      <i/>
      <sz val="11"/>
      <color rgb="FFFF0000"/>
      <name val="Calibri"/>
      <family val="2"/>
      <charset val="1"/>
    </font>
    <font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i/>
      <sz val="11"/>
      <color rgb="FF000000"/>
      <name val="Calibri"/>
    </font>
    <font>
      <i/>
      <sz val="10"/>
      <color rgb="FF000000"/>
      <name val="Calibri"/>
      <scheme val="minor"/>
    </font>
    <font>
      <sz val="10"/>
      <color theme="1"/>
      <name val="Calibri"/>
    </font>
    <font>
      <sz val="10"/>
      <color theme="1"/>
      <name val="Calibri"/>
      <family val="2"/>
      <scheme val="minor"/>
    </font>
    <font>
      <sz val="11"/>
      <color rgb="FF000000"/>
      <name val="Aptos Narrow"/>
      <charset val="1"/>
    </font>
    <font>
      <sz val="10"/>
      <color rgb="FF000000"/>
      <name val="Calibri"/>
      <family val="2"/>
      <scheme val="minor"/>
    </font>
    <font>
      <i/>
      <u/>
      <sz val="11"/>
      <color rgb="FF00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rgb="FF000000"/>
      <name val="Arial"/>
      <charset val="1"/>
    </font>
    <font>
      <b/>
      <sz val="12"/>
      <color theme="1"/>
      <name val="Calibri"/>
      <scheme val="minor"/>
    </font>
    <font>
      <i/>
      <sz val="9"/>
      <color theme="1"/>
      <name val="Calibri"/>
      <family val="2"/>
      <scheme val="minor"/>
    </font>
    <font>
      <b/>
      <sz val="11"/>
      <color rgb="FFFF0000"/>
      <name val="Calibri"/>
      <scheme val="minor"/>
    </font>
    <font>
      <b/>
      <sz val="11"/>
      <color rgb="FFFFFFFF"/>
      <name val="Calibri"/>
      <scheme val="minor"/>
    </font>
    <font>
      <i/>
      <sz val="11"/>
      <color rgb="FFFFFFFF"/>
      <name val="Calibri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</font>
    <font>
      <sz val="11"/>
      <color rgb="FF242424"/>
      <name val="Aptos Narrow"/>
      <charset val="1"/>
    </font>
    <font>
      <sz val="11"/>
      <color theme="1"/>
      <name val="Aptos"/>
      <charset val="1"/>
    </font>
    <font>
      <b/>
      <sz val="11"/>
      <color rgb="FFC00000"/>
      <name val="Calibri"/>
      <family val="2"/>
      <scheme val="minor"/>
    </font>
    <font>
      <b/>
      <i/>
      <sz val="10"/>
      <color rgb="FFC00000"/>
      <name val="Calibri"/>
      <family val="2"/>
      <scheme val="minor"/>
    </font>
    <font>
      <b/>
      <sz val="12"/>
      <color rgb="FF000000"/>
      <name val="Segoe UI"/>
    </font>
    <font>
      <b/>
      <sz val="12"/>
      <color rgb="FF242424"/>
      <name val="Segoe UI"/>
    </font>
    <font>
      <i/>
      <strike/>
      <sz val="10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0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CBD5E1"/>
      <name val="Calibri"/>
    </font>
    <font>
      <b/>
      <sz val="10"/>
      <color rgb="FFF1F5F9"/>
      <name val="Calibri"/>
    </font>
    <font>
      <b/>
      <sz val="14"/>
      <color rgb="FFF1F5F9"/>
      <name val="Calibri"/>
    </font>
    <font>
      <b/>
      <sz val="8"/>
      <color rgb="FF64748B"/>
      <name val="Calibri"/>
    </font>
    <font>
      <sz val="10"/>
      <color rgb="FF94A3B8"/>
      <name val="Calibri"/>
    </font>
    <font>
      <b/>
      <sz val="10"/>
      <color rgb="FF10B981"/>
      <name val="Calibri"/>
    </font>
    <font>
      <b/>
      <sz val="10"/>
      <color rgb="FF3B82F6"/>
      <name val="Calibri"/>
    </font>
    <font>
      <sz val="10"/>
      <color rgb="FF121212"/>
      <name val="Calibri"/>
    </font>
  </fonts>
  <fills count="2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E2EFD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7"/>
        <bgColor indexed="64"/>
      </patternFill>
    </fill>
    <fill>
      <patternFill patternType="solid">
        <fgColor rgb="FFFFFAEB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1A365D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25252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3B82F6"/>
      </top>
      <bottom/>
      <diagonal/>
    </border>
    <border>
      <left/>
      <right/>
      <top/>
      <bottom style="thin">
        <color rgb="FF10B981"/>
      </bottom>
      <diagonal/>
    </border>
    <border>
      <left/>
      <right/>
      <top style="thin">
        <color rgb="FF10B98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37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2" fillId="2" borderId="0" xfId="0" applyFont="1" applyFill="1"/>
    <xf numFmtId="0" fontId="2" fillId="2" borderId="2" xfId="0" applyFont="1" applyFill="1" applyBorder="1"/>
    <xf numFmtId="0" fontId="2" fillId="2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166" fontId="3" fillId="4" borderId="1" xfId="1" applyNumberFormat="1" applyFont="1" applyFill="1" applyBorder="1" applyAlignment="1" applyProtection="1">
      <alignment horizontal="center"/>
    </xf>
    <xf numFmtId="166" fontId="3" fillId="4" borderId="0" xfId="1" applyNumberFormat="1" applyFont="1" applyFill="1" applyAlignment="1" applyProtection="1">
      <alignment horizontal="center"/>
    </xf>
    <xf numFmtId="166" fontId="3" fillId="4" borderId="0" xfId="1" applyNumberFormat="1" applyFont="1" applyFill="1" applyBorder="1" applyAlignment="1" applyProtection="1">
      <alignment horizontal="center"/>
    </xf>
    <xf numFmtId="165" fontId="3" fillId="4" borderId="1" xfId="1" applyNumberFormat="1" applyFont="1" applyFill="1" applyBorder="1" applyAlignment="1" applyProtection="1">
      <alignment horizontal="center"/>
    </xf>
    <xf numFmtId="165" fontId="3" fillId="4" borderId="0" xfId="1" applyNumberFormat="1" applyFont="1" applyFill="1" applyAlignment="1" applyProtection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2" applyProtection="1"/>
    <xf numFmtId="0" fontId="5" fillId="0" borderId="0" xfId="2" applyFill="1" applyBorder="1" applyProtection="1"/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5" borderId="0" xfId="0" applyFont="1" applyFill="1" applyAlignment="1">
      <alignment horizontal="center"/>
    </xf>
    <xf numFmtId="0" fontId="5" fillId="0" borderId="0" xfId="2"/>
    <xf numFmtId="167" fontId="2" fillId="2" borderId="0" xfId="1" applyNumberFormat="1" applyFont="1" applyFill="1" applyAlignment="1" applyProtection="1"/>
    <xf numFmtId="167" fontId="3" fillId="4" borderId="0" xfId="1" applyNumberFormat="1" applyFont="1" applyFill="1" applyAlignment="1" applyProtection="1"/>
    <xf numFmtId="167" fontId="0" fillId="0" borderId="0" xfId="1" applyNumberFormat="1" applyFont="1" applyAlignment="1" applyProtection="1"/>
    <xf numFmtId="167" fontId="0" fillId="0" borderId="0" xfId="1" applyNumberFormat="1" applyFont="1" applyAlignment="1" applyProtection="1">
      <protection locked="0"/>
    </xf>
    <xf numFmtId="14" fontId="0" fillId="6" borderId="0" xfId="0" applyNumberFormat="1" applyFill="1" applyAlignment="1">
      <alignment horizontal="center"/>
    </xf>
    <xf numFmtId="49" fontId="0" fillId="6" borderId="0" xfId="0" quotePrefix="1" applyNumberFormat="1" applyFill="1" applyAlignment="1">
      <alignment horizontal="center"/>
    </xf>
    <xf numFmtId="49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quotePrefix="1"/>
    <xf numFmtId="0" fontId="7" fillId="3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168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 applyAlignment="1" applyProtection="1">
      <alignment horizontal="center"/>
      <protection locked="0"/>
    </xf>
    <xf numFmtId="1" fontId="3" fillId="4" borderId="0" xfId="0" applyNumberFormat="1" applyFont="1" applyFill="1" applyAlignment="1">
      <alignment horizontal="center"/>
    </xf>
    <xf numFmtId="169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6" borderId="0" xfId="0" applyFill="1" applyAlignment="1" applyProtection="1">
      <alignment horizontal="center"/>
      <protection locked="0"/>
    </xf>
    <xf numFmtId="0" fontId="0" fillId="0" borderId="0" xfId="0" quotePrefix="1" applyProtection="1">
      <protection locked="0"/>
    </xf>
    <xf numFmtId="0" fontId="4" fillId="6" borderId="0" xfId="0" applyFont="1" applyFill="1" applyAlignment="1">
      <alignment horizontal="center"/>
    </xf>
    <xf numFmtId="14" fontId="0" fillId="6" borderId="0" xfId="0" applyNumberFormat="1" applyFill="1" applyAlignment="1" applyProtection="1">
      <alignment horizontal="center"/>
      <protection locked="0"/>
    </xf>
    <xf numFmtId="167" fontId="0" fillId="0" borderId="0" xfId="1" applyNumberFormat="1" applyFont="1"/>
    <xf numFmtId="0" fontId="5" fillId="0" borderId="0" xfId="2" quotePrefix="1" applyProtection="1">
      <protection locked="0"/>
    </xf>
    <xf numFmtId="0" fontId="3" fillId="0" borderId="2" xfId="0" applyFont="1" applyBorder="1"/>
    <xf numFmtId="0" fontId="3" fillId="0" borderId="2" xfId="0" applyFont="1" applyBorder="1" applyProtection="1">
      <protection locked="0"/>
    </xf>
    <xf numFmtId="0" fontId="3" fillId="0" borderId="2" xfId="0" applyFont="1" applyBorder="1" applyAlignment="1" applyProtection="1">
      <alignment wrapText="1"/>
      <protection locked="0"/>
    </xf>
    <xf numFmtId="0" fontId="9" fillId="0" borderId="0" xfId="0" applyFont="1"/>
    <xf numFmtId="0" fontId="9" fillId="0" borderId="2" xfId="0" applyFont="1" applyBorder="1" applyProtection="1">
      <protection locked="0"/>
    </xf>
    <xf numFmtId="0" fontId="10" fillId="5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0" fillId="6" borderId="0" xfId="0" applyFill="1"/>
    <xf numFmtId="167" fontId="0" fillId="0" borderId="0" xfId="1" applyNumberFormat="1" applyFont="1" applyFill="1"/>
    <xf numFmtId="169" fontId="0" fillId="0" borderId="0" xfId="0" applyNumberFormat="1" applyAlignment="1" applyProtection="1">
      <alignment horizontal="center"/>
      <protection locked="0"/>
    </xf>
    <xf numFmtId="0" fontId="0" fillId="0" borderId="0" xfId="0" quotePrefix="1" applyAlignment="1" applyProtection="1">
      <alignment horizontal="center"/>
      <protection locked="0"/>
    </xf>
    <xf numFmtId="167" fontId="0" fillId="0" borderId="0" xfId="1" applyNumberFormat="1" applyFont="1" applyAlignment="1">
      <alignment horizontal="center"/>
    </xf>
    <xf numFmtId="167" fontId="0" fillId="0" borderId="0" xfId="1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11" fillId="0" borderId="0" xfId="2" applyFont="1" applyProtection="1">
      <protection locked="0"/>
    </xf>
    <xf numFmtId="167" fontId="9" fillId="0" borderId="0" xfId="1" applyNumberFormat="1" applyFont="1" applyFill="1"/>
    <xf numFmtId="0" fontId="9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Protection="1">
      <protection locked="0"/>
    </xf>
    <xf numFmtId="0" fontId="9" fillId="0" borderId="0" xfId="0" applyFont="1" applyProtection="1"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0" xfId="0" quotePrefix="1" applyFont="1" applyAlignment="1" applyProtection="1">
      <alignment horizontal="center"/>
      <protection locked="0"/>
    </xf>
    <xf numFmtId="167" fontId="9" fillId="0" borderId="0" xfId="1" applyNumberFormat="1" applyFont="1"/>
    <xf numFmtId="168" fontId="0" fillId="0" borderId="0" xfId="0" applyNumberFormat="1" applyAlignment="1">
      <alignment horizontal="right"/>
    </xf>
    <xf numFmtId="0" fontId="12" fillId="0" borderId="2" xfId="0" applyFont="1" applyBorder="1" applyProtection="1">
      <protection locked="0"/>
    </xf>
    <xf numFmtId="0" fontId="5" fillId="0" borderId="0" xfId="2" applyProtection="1">
      <protection locked="0"/>
    </xf>
    <xf numFmtId="0" fontId="5" fillId="0" borderId="0" xfId="2" applyAlignment="1" applyProtection="1">
      <protection locked="0"/>
    </xf>
    <xf numFmtId="167" fontId="0" fillId="0" borderId="0" xfId="1" applyNumberFormat="1" applyFont="1" applyFill="1" applyAlignment="1">
      <alignment horizontal="right"/>
    </xf>
    <xf numFmtId="0" fontId="0" fillId="7" borderId="0" xfId="0" applyFill="1" applyAlignment="1" applyProtection="1">
      <alignment horizontal="center"/>
      <protection locked="0"/>
    </xf>
    <xf numFmtId="14" fontId="0" fillId="7" borderId="0" xfId="0" applyNumberFormat="1" applyFill="1" applyAlignment="1" applyProtection="1">
      <alignment horizontal="center"/>
      <protection locked="0"/>
    </xf>
    <xf numFmtId="0" fontId="14" fillId="0" borderId="0" xfId="0" applyFont="1"/>
    <xf numFmtId="167" fontId="0" fillId="8" borderId="0" xfId="1" applyNumberFormat="1" applyFont="1" applyFill="1"/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/>
    </xf>
    <xf numFmtId="0" fontId="0" fillId="6" borderId="0" xfId="0" quotePrefix="1" applyFill="1" applyAlignment="1">
      <alignment horizontal="left"/>
    </xf>
    <xf numFmtId="14" fontId="0" fillId="6" borderId="0" xfId="0" applyNumberFormat="1" applyFill="1" applyAlignment="1">
      <alignment horizontal="left"/>
    </xf>
    <xf numFmtId="14" fontId="0" fillId="6" borderId="0" xfId="0" applyNumberFormat="1" applyFill="1" applyAlignment="1" applyProtection="1">
      <alignment horizontal="left"/>
      <protection locked="0"/>
    </xf>
    <xf numFmtId="0" fontId="0" fillId="6" borderId="0" xfId="0" applyFill="1" applyAlignment="1">
      <alignment horizontal="left"/>
    </xf>
    <xf numFmtId="14" fontId="9" fillId="0" borderId="0" xfId="0" quotePrefix="1" applyNumberFormat="1" applyFont="1" applyAlignment="1" applyProtection="1">
      <alignment horizontal="left"/>
      <protection locked="0"/>
    </xf>
    <xf numFmtId="14" fontId="5" fillId="6" borderId="0" xfId="2" applyNumberFormat="1" applyFill="1" applyAlignment="1" applyProtection="1">
      <alignment horizontal="left"/>
      <protection locked="0"/>
    </xf>
    <xf numFmtId="14" fontId="5" fillId="7" borderId="0" xfId="2" applyNumberFormat="1" applyFill="1" applyAlignment="1" applyProtection="1">
      <alignment horizontal="left"/>
      <protection locked="0"/>
    </xf>
    <xf numFmtId="14" fontId="0" fillId="7" borderId="0" xfId="0" applyNumberFormat="1" applyFill="1" applyAlignment="1" applyProtection="1">
      <alignment horizontal="left"/>
      <protection locked="0"/>
    </xf>
    <xf numFmtId="0" fontId="0" fillId="7" borderId="0" xfId="0" applyFill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5" fillId="7" borderId="0" xfId="2" applyFill="1" applyAlignment="1" applyProtection="1">
      <alignment horizontal="center"/>
      <protection locked="0"/>
    </xf>
    <xf numFmtId="0" fontId="5" fillId="7" borderId="0" xfId="2" applyFill="1" applyAlignment="1"/>
    <xf numFmtId="0" fontId="5" fillId="7" borderId="0" xfId="2" applyFill="1"/>
    <xf numFmtId="0" fontId="5" fillId="0" borderId="0" xfId="2" applyAlignment="1" applyProtection="1">
      <alignment horizontal="left"/>
      <protection locked="0"/>
    </xf>
    <xf numFmtId="0" fontId="0" fillId="7" borderId="0" xfId="0" quotePrefix="1" applyFill="1" applyAlignment="1" applyProtection="1">
      <alignment horizontal="center"/>
      <protection locked="0"/>
    </xf>
    <xf numFmtId="14" fontId="0" fillId="0" borderId="0" xfId="0" applyNumberFormat="1" applyProtection="1">
      <protection locked="0"/>
    </xf>
    <xf numFmtId="166" fontId="0" fillId="0" borderId="0" xfId="0" applyNumberForma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16" fillId="0" borderId="2" xfId="0" applyFont="1" applyBorder="1" applyProtection="1">
      <protection locked="0"/>
    </xf>
    <xf numFmtId="0" fontId="17" fillId="0" borderId="2" xfId="0" applyFont="1" applyBorder="1" applyProtection="1">
      <protection locked="0"/>
    </xf>
    <xf numFmtId="2" fontId="0" fillId="0" borderId="0" xfId="0" applyNumberFormat="1" applyAlignment="1" applyProtection="1">
      <alignment horizontal="center"/>
      <protection locked="0"/>
    </xf>
    <xf numFmtId="0" fontId="18" fillId="7" borderId="0" xfId="2" applyFont="1" applyFill="1" applyAlignment="1" applyProtection="1">
      <alignment horizontal="left"/>
      <protection locked="0"/>
    </xf>
    <xf numFmtId="0" fontId="5" fillId="7" borderId="0" xfId="2" applyFill="1" applyAlignment="1" applyProtection="1">
      <alignment horizontal="left"/>
      <protection locked="0"/>
    </xf>
    <xf numFmtId="0" fontId="5" fillId="7" borderId="0" xfId="2" quotePrefix="1" applyFill="1" applyAlignment="1" applyProtection="1">
      <alignment horizontal="left"/>
      <protection locked="0"/>
    </xf>
    <xf numFmtId="0" fontId="20" fillId="0" borderId="0" xfId="0" applyFont="1"/>
    <xf numFmtId="0" fontId="0" fillId="8" borderId="0" xfId="0" applyFill="1" applyProtection="1">
      <protection locked="0"/>
    </xf>
    <xf numFmtId="0" fontId="5" fillId="0" borderId="0" xfId="2" applyAlignment="1" applyProtection="1">
      <alignment horizontal="center"/>
      <protection locked="0"/>
    </xf>
    <xf numFmtId="168" fontId="2" fillId="2" borderId="0" xfId="0" applyNumberFormat="1" applyFont="1" applyFill="1"/>
    <xf numFmtId="168" fontId="3" fillId="4" borderId="0" xfId="0" applyNumberFormat="1" applyFont="1" applyFill="1" applyAlignment="1">
      <alignment horizontal="center"/>
    </xf>
    <xf numFmtId="168" fontId="0" fillId="0" borderId="0" xfId="0" applyNumberFormat="1" applyProtection="1">
      <protection locked="0"/>
    </xf>
    <xf numFmtId="0" fontId="4" fillId="7" borderId="0" xfId="0" applyFont="1" applyFill="1" applyAlignment="1">
      <alignment horizontal="center"/>
    </xf>
    <xf numFmtId="0" fontId="0" fillId="7" borderId="0" xfId="0" applyFill="1"/>
    <xf numFmtId="0" fontId="21" fillId="7" borderId="0" xfId="0" applyFont="1" applyFill="1"/>
    <xf numFmtId="0" fontId="23" fillId="7" borderId="0" xfId="0" applyFont="1" applyFill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/>
      <protection locked="0"/>
    </xf>
    <xf numFmtId="0" fontId="4" fillId="7" borderId="0" xfId="0" applyFont="1" applyFill="1" applyAlignment="1" applyProtection="1">
      <alignment horizontal="center"/>
      <protection locked="0"/>
    </xf>
    <xf numFmtId="0" fontId="5" fillId="0" borderId="0" xfId="2" applyFill="1" applyProtection="1">
      <protection locked="0"/>
    </xf>
    <xf numFmtId="0" fontId="5" fillId="0" borderId="0" xfId="2" applyFill="1" applyAlignment="1" applyProtection="1">
      <alignment horizontal="left"/>
      <protection locked="0"/>
    </xf>
    <xf numFmtId="0" fontId="5" fillId="0" borderId="0" xfId="2" applyFill="1"/>
    <xf numFmtId="0" fontId="13" fillId="0" borderId="0" xfId="0" applyFont="1"/>
    <xf numFmtId="0" fontId="15" fillId="0" borderId="0" xfId="0" applyFont="1" applyProtection="1">
      <protection locked="0"/>
    </xf>
    <xf numFmtId="0" fontId="24" fillId="0" borderId="0" xfId="0" applyFont="1" applyProtection="1">
      <protection locked="0"/>
    </xf>
    <xf numFmtId="0" fontId="25" fillId="0" borderId="2" xfId="0" applyFont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7" fillId="2" borderId="0" xfId="0" applyFont="1" applyFill="1" applyAlignment="1">
      <alignment horizontal="center"/>
    </xf>
    <xf numFmtId="0" fontId="27" fillId="3" borderId="0" xfId="0" applyFont="1" applyFill="1" applyAlignment="1">
      <alignment horizontal="center" vertical="center" wrapText="1"/>
    </xf>
    <xf numFmtId="0" fontId="28" fillId="4" borderId="0" xfId="0" applyFont="1" applyFill="1" applyAlignment="1">
      <alignment horizontal="center"/>
    </xf>
    <xf numFmtId="0" fontId="26" fillId="0" borderId="0" xfId="0" applyFont="1" applyAlignment="1" applyProtection="1">
      <alignment horizontal="center"/>
      <protection locked="0"/>
    </xf>
    <xf numFmtId="0" fontId="29" fillId="0" borderId="0" xfId="0" applyFont="1" applyAlignment="1" applyProtection="1">
      <alignment horizontal="center"/>
      <protection locked="0"/>
    </xf>
    <xf numFmtId="0" fontId="30" fillId="7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7" borderId="0" xfId="0" applyFont="1" applyFill="1" applyAlignment="1" applyProtection="1">
      <alignment horizontal="center" vertical="center" wrapText="1"/>
      <protection locked="0"/>
    </xf>
    <xf numFmtId="168" fontId="0" fillId="0" borderId="0" xfId="0" applyNumberFormat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0" fillId="0" borderId="0" xfId="0" quotePrefix="1" applyAlignment="1" applyProtection="1">
      <alignment horizontal="center" vertical="center"/>
      <protection locked="0"/>
    </xf>
    <xf numFmtId="167" fontId="0" fillId="0" borderId="0" xfId="1" applyNumberFormat="1" applyFont="1" applyFill="1" applyAlignment="1">
      <alignment horizontal="center" vertical="center"/>
    </xf>
    <xf numFmtId="0" fontId="5" fillId="7" borderId="0" xfId="2" applyFill="1" applyAlignment="1" applyProtection="1">
      <alignment horizontal="center" vertical="center"/>
      <protection locked="0"/>
    </xf>
    <xf numFmtId="0" fontId="13" fillId="7" borderId="0" xfId="0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 wrapText="1"/>
    </xf>
    <xf numFmtId="0" fontId="33" fillId="4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1" fontId="17" fillId="4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0" fontId="3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Protection="1">
      <protection locked="0"/>
    </xf>
    <xf numFmtId="0" fontId="35" fillId="0" borderId="0" xfId="0" applyFont="1" applyProtection="1">
      <protection locked="0"/>
    </xf>
    <xf numFmtId="168" fontId="35" fillId="0" borderId="0" xfId="0" applyNumberFormat="1" applyFont="1" applyProtection="1">
      <protection locked="0"/>
    </xf>
    <xf numFmtId="0" fontId="36" fillId="0" borderId="2" xfId="0" applyFont="1" applyBorder="1" applyProtection="1">
      <protection locked="0"/>
    </xf>
    <xf numFmtId="0" fontId="37" fillId="5" borderId="0" xfId="0" applyFont="1" applyFill="1" applyAlignment="1">
      <alignment horizontal="center"/>
    </xf>
    <xf numFmtId="0" fontId="35" fillId="0" borderId="0" xfId="0" applyFont="1" applyAlignment="1" applyProtection="1">
      <alignment horizontal="center"/>
      <protection locked="0"/>
    </xf>
    <xf numFmtId="0" fontId="38" fillId="0" borderId="0" xfId="2" applyFont="1" applyProtection="1">
      <protection locked="0"/>
    </xf>
    <xf numFmtId="1" fontId="37" fillId="0" borderId="0" xfId="0" applyNumberFormat="1" applyFont="1" applyAlignment="1">
      <alignment horizontal="center"/>
    </xf>
    <xf numFmtId="167" fontId="35" fillId="0" borderId="0" xfId="1" applyNumberFormat="1" applyFont="1" applyFill="1"/>
    <xf numFmtId="0" fontId="0" fillId="9" borderId="0" xfId="0" applyFill="1" applyProtection="1">
      <protection locked="0"/>
    </xf>
    <xf numFmtId="0" fontId="0" fillId="9" borderId="0" xfId="0" applyFill="1" applyAlignment="1" applyProtection="1">
      <alignment horizontal="center"/>
      <protection locked="0"/>
    </xf>
    <xf numFmtId="0" fontId="13" fillId="7" borderId="0" xfId="0" applyFont="1" applyFill="1" applyAlignment="1">
      <alignment horizontal="center" vertical="center" wrapText="1"/>
    </xf>
    <xf numFmtId="0" fontId="39" fillId="7" borderId="0" xfId="0" quotePrefix="1" applyFont="1" applyFill="1" applyAlignment="1" applyProtection="1">
      <alignment horizontal="center" wrapText="1"/>
      <protection locked="0"/>
    </xf>
    <xf numFmtId="0" fontId="0" fillId="7" borderId="0" xfId="0" applyFill="1" applyAlignment="1" applyProtection="1">
      <alignment horizontal="center" wrapText="1"/>
      <protection locked="0"/>
    </xf>
    <xf numFmtId="0" fontId="29" fillId="0" borderId="0" xfId="0" quotePrefix="1" applyFont="1" applyAlignment="1" applyProtection="1">
      <alignment horizontal="center" wrapText="1"/>
      <protection locked="0"/>
    </xf>
    <xf numFmtId="0" fontId="4" fillId="7" borderId="0" xfId="0" applyFont="1" applyFill="1" applyAlignment="1" applyProtection="1">
      <alignment horizontal="center" wrapText="1"/>
      <protection locked="0"/>
    </xf>
    <xf numFmtId="0" fontId="0" fillId="7" borderId="0" xfId="0" applyFill="1" applyAlignment="1">
      <alignment horizontal="center"/>
    </xf>
    <xf numFmtId="0" fontId="26" fillId="7" borderId="0" xfId="0" applyFont="1" applyFill="1" applyAlignment="1">
      <alignment horizontal="center"/>
    </xf>
    <xf numFmtId="0" fontId="28" fillId="0" borderId="0" xfId="0" applyFont="1" applyAlignment="1" applyProtection="1">
      <alignment horizontal="center"/>
      <protection locked="0"/>
    </xf>
    <xf numFmtId="0" fontId="23" fillId="9" borderId="0" xfId="0" applyFont="1" applyFill="1" applyAlignment="1" applyProtection="1">
      <alignment horizontal="center"/>
      <protection locked="0"/>
    </xf>
    <xf numFmtId="0" fontId="29" fillId="9" borderId="0" xfId="0" applyFont="1" applyFill="1" applyAlignment="1" applyProtection="1">
      <alignment horizontal="center"/>
      <protection locked="0"/>
    </xf>
    <xf numFmtId="0" fontId="40" fillId="0" borderId="0" xfId="0" applyFont="1" applyAlignment="1" applyProtection="1">
      <alignment horizontal="center"/>
      <protection locked="0"/>
    </xf>
    <xf numFmtId="14" fontId="5" fillId="9" borderId="0" xfId="2" applyNumberFormat="1" applyFill="1" applyAlignment="1" applyProtection="1">
      <alignment horizontal="left"/>
      <protection locked="0"/>
    </xf>
    <xf numFmtId="167" fontId="23" fillId="0" borderId="0" xfId="1" applyNumberFormat="1" applyFont="1" applyFill="1"/>
    <xf numFmtId="167" fontId="23" fillId="0" borderId="0" xfId="1" applyNumberFormat="1" applyFont="1" applyFill="1" applyAlignment="1">
      <alignment horizontal="right"/>
    </xf>
    <xf numFmtId="0" fontId="16" fillId="0" borderId="2" xfId="2" applyFont="1" applyBorder="1" applyProtection="1">
      <protection locked="0"/>
    </xf>
    <xf numFmtId="0" fontId="41" fillId="7" borderId="0" xfId="0" applyFont="1" applyFill="1" applyAlignment="1" applyProtection="1">
      <alignment horizontal="center"/>
      <protection locked="0"/>
    </xf>
    <xf numFmtId="0" fontId="0" fillId="10" borderId="0" xfId="0" applyFill="1" applyAlignment="1" applyProtection="1">
      <alignment horizontal="center"/>
      <protection locked="0"/>
    </xf>
    <xf numFmtId="0" fontId="26" fillId="10" borderId="0" xfId="0" applyFont="1" applyFill="1" applyAlignment="1" applyProtection="1">
      <alignment horizontal="center"/>
      <protection locked="0"/>
    </xf>
    <xf numFmtId="0" fontId="42" fillId="7" borderId="0" xfId="0" applyFont="1" applyFill="1" applyAlignment="1" applyProtection="1">
      <alignment horizontal="center"/>
      <protection locked="0"/>
    </xf>
    <xf numFmtId="0" fontId="10" fillId="7" borderId="0" xfId="0" applyFont="1" applyFill="1" applyAlignment="1" applyProtection="1">
      <alignment horizontal="center"/>
      <protection locked="0"/>
    </xf>
    <xf numFmtId="0" fontId="10" fillId="7" borderId="0" xfId="0" applyFont="1" applyFill="1" applyAlignment="1" applyProtection="1">
      <alignment horizontal="left"/>
      <protection locked="0"/>
    </xf>
    <xf numFmtId="0" fontId="13" fillId="7" borderId="0" xfId="0" applyFont="1" applyFill="1"/>
    <xf numFmtId="0" fontId="23" fillId="0" borderId="0" xfId="0" applyFont="1" applyAlignment="1">
      <alignment horizontal="center"/>
    </xf>
    <xf numFmtId="0" fontId="15" fillId="7" borderId="0" xfId="0" applyFont="1" applyFill="1" applyAlignment="1" applyProtection="1">
      <alignment horizontal="center"/>
      <protection locked="0"/>
    </xf>
    <xf numFmtId="0" fontId="41" fillId="0" borderId="0" xfId="0" applyFont="1" applyAlignment="1" applyProtection="1">
      <alignment horizontal="center"/>
      <protection locked="0"/>
    </xf>
    <xf numFmtId="0" fontId="0" fillId="9" borderId="0" xfId="0" quotePrefix="1" applyFill="1" applyAlignment="1" applyProtection="1">
      <alignment horizontal="center"/>
      <protection locked="0"/>
    </xf>
    <xf numFmtId="0" fontId="26" fillId="9" borderId="0" xfId="0" applyFont="1" applyFill="1" applyAlignment="1" applyProtection="1">
      <alignment horizontal="center"/>
      <protection locked="0"/>
    </xf>
    <xf numFmtId="0" fontId="0" fillId="11" borderId="0" xfId="0" applyFill="1" applyAlignment="1" applyProtection="1">
      <alignment horizontal="center"/>
      <protection locked="0"/>
    </xf>
    <xf numFmtId="0" fontId="26" fillId="11" borderId="0" xfId="0" applyFont="1" applyFill="1" applyAlignment="1" applyProtection="1">
      <alignment horizontal="center"/>
      <protection locked="0"/>
    </xf>
    <xf numFmtId="0" fontId="0" fillId="11" borderId="0" xfId="0" quotePrefix="1" applyFill="1" applyAlignment="1" applyProtection="1">
      <alignment horizontal="center"/>
      <protection locked="0"/>
    </xf>
    <xf numFmtId="0" fontId="29" fillId="11" borderId="0" xfId="0" applyFont="1" applyFill="1" applyAlignment="1" applyProtection="1">
      <alignment horizontal="center"/>
      <protection locked="0"/>
    </xf>
    <xf numFmtId="0" fontId="0" fillId="12" borderId="0" xfId="0" quotePrefix="1" applyFill="1" applyAlignment="1" applyProtection="1">
      <alignment horizontal="center"/>
      <protection locked="0"/>
    </xf>
    <xf numFmtId="0" fontId="0" fillId="12" borderId="0" xfId="0" applyFill="1" applyAlignment="1" applyProtection="1">
      <alignment horizontal="center"/>
      <protection locked="0"/>
    </xf>
    <xf numFmtId="0" fontId="26" fillId="12" borderId="0" xfId="0" applyFont="1" applyFill="1" applyAlignment="1" applyProtection="1">
      <alignment horizontal="center"/>
      <protection locked="0"/>
    </xf>
    <xf numFmtId="0" fontId="26" fillId="9" borderId="0" xfId="0" applyFont="1" applyFill="1" applyAlignment="1">
      <alignment horizontal="center"/>
    </xf>
    <xf numFmtId="0" fontId="9" fillId="9" borderId="0" xfId="0" applyFont="1" applyFill="1" applyAlignment="1" applyProtection="1">
      <alignment horizontal="center"/>
      <protection locked="0"/>
    </xf>
    <xf numFmtId="0" fontId="0" fillId="10" borderId="0" xfId="0" quotePrefix="1" applyFill="1" applyAlignment="1" applyProtection="1">
      <alignment horizontal="center"/>
      <protection locked="0"/>
    </xf>
    <xf numFmtId="0" fontId="0" fillId="10" borderId="0" xfId="0" applyFill="1" applyAlignment="1" applyProtection="1">
      <alignment horizontal="left"/>
      <protection locked="0"/>
    </xf>
    <xf numFmtId="14" fontId="0" fillId="10" borderId="0" xfId="0" applyNumberFormat="1" applyFill="1" applyAlignment="1" applyProtection="1">
      <alignment horizontal="center"/>
      <protection locked="0"/>
    </xf>
    <xf numFmtId="0" fontId="43" fillId="10" borderId="0" xfId="0" applyFont="1" applyFill="1"/>
    <xf numFmtId="0" fontId="3" fillId="13" borderId="2" xfId="0" applyFont="1" applyFill="1" applyBorder="1" applyProtection="1">
      <protection locked="0"/>
    </xf>
    <xf numFmtId="0" fontId="21" fillId="0" borderId="0" xfId="0" applyFont="1"/>
    <xf numFmtId="0" fontId="2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7" borderId="0" xfId="0" applyFill="1" applyAlignment="1" applyProtection="1">
      <alignment horizontal="center" vertical="center"/>
      <protection locked="0"/>
    </xf>
    <xf numFmtId="0" fontId="43" fillId="10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43" fillId="10" borderId="0" xfId="0" applyFont="1" applyFill="1" applyAlignment="1">
      <alignment horizontal="center"/>
    </xf>
    <xf numFmtId="0" fontId="44" fillId="7" borderId="0" xfId="0" applyFont="1" applyFill="1"/>
    <xf numFmtId="0" fontId="44" fillId="7" borderId="0" xfId="0" applyFont="1" applyFill="1" applyAlignment="1">
      <alignment horizontal="center" vertical="center"/>
    </xf>
    <xf numFmtId="0" fontId="45" fillId="7" borderId="0" xfId="0" applyFont="1" applyFill="1"/>
    <xf numFmtId="0" fontId="45" fillId="7" borderId="0" xfId="0" applyFont="1" applyFill="1" applyAlignment="1">
      <alignment horizontal="center" vertical="center"/>
    </xf>
    <xf numFmtId="0" fontId="46" fillId="0" borderId="0" xfId="0" applyFont="1"/>
    <xf numFmtId="0" fontId="20" fillId="0" borderId="2" xfId="0" applyFont="1" applyBorder="1"/>
    <xf numFmtId="0" fontId="14" fillId="0" borderId="2" xfId="0" applyFont="1" applyBorder="1"/>
    <xf numFmtId="0" fontId="3" fillId="0" borderId="0" xfId="0" applyFont="1" applyProtection="1">
      <protection locked="0"/>
    </xf>
    <xf numFmtId="0" fontId="43" fillId="14" borderId="0" xfId="0" applyFont="1" applyFill="1"/>
    <xf numFmtId="0" fontId="47" fillId="14" borderId="0" xfId="0" applyFont="1" applyFill="1"/>
    <xf numFmtId="0" fontId="48" fillId="0" borderId="0" xfId="0" applyFont="1" applyAlignment="1">
      <alignment horizontal="center"/>
    </xf>
    <xf numFmtId="0" fontId="15" fillId="7" borderId="0" xfId="0" applyFont="1" applyFill="1" applyAlignment="1">
      <alignment horizontal="center"/>
    </xf>
    <xf numFmtId="0" fontId="49" fillId="14" borderId="0" xfId="0" applyFont="1" applyFill="1"/>
    <xf numFmtId="0" fontId="50" fillId="0" borderId="0" xfId="0" applyFont="1"/>
    <xf numFmtId="0" fontId="0" fillId="0" borderId="0" xfId="0" pivotButton="1"/>
    <xf numFmtId="0" fontId="3" fillId="0" borderId="3" xfId="0" applyFont="1" applyBorder="1"/>
    <xf numFmtId="0" fontId="3" fillId="0" borderId="3" xfId="0" applyFont="1" applyBorder="1" applyProtection="1">
      <protection locked="0"/>
    </xf>
    <xf numFmtId="0" fontId="3" fillId="0" borderId="3" xfId="0" applyFont="1" applyBorder="1" applyAlignment="1" applyProtection="1">
      <alignment wrapText="1"/>
      <protection locked="0"/>
    </xf>
    <xf numFmtId="0" fontId="12" fillId="0" borderId="3" xfId="0" applyFont="1" applyBorder="1" applyProtection="1">
      <protection locked="0"/>
    </xf>
    <xf numFmtId="0" fontId="14" fillId="0" borderId="3" xfId="0" applyFont="1" applyBorder="1"/>
    <xf numFmtId="0" fontId="17" fillId="0" borderId="3" xfId="0" applyFont="1" applyBorder="1" applyProtection="1">
      <protection locked="0"/>
    </xf>
    <xf numFmtId="0" fontId="16" fillId="0" borderId="3" xfId="0" applyFont="1" applyBorder="1" applyProtection="1">
      <protection locked="0"/>
    </xf>
    <xf numFmtId="0" fontId="20" fillId="0" borderId="3" xfId="0" applyFont="1" applyBorder="1"/>
    <xf numFmtId="0" fontId="0" fillId="0" borderId="3" xfId="0" applyBorder="1" applyProtection="1">
      <protection locked="0"/>
    </xf>
    <xf numFmtId="167" fontId="2" fillId="2" borderId="0" xfId="1" applyNumberFormat="1" applyFont="1" applyFill="1" applyAlignment="1" applyProtection="1">
      <alignment horizontal="center"/>
    </xf>
    <xf numFmtId="167" fontId="3" fillId="4" borderId="0" xfId="1" applyNumberFormat="1" applyFont="1" applyFill="1" applyAlignment="1" applyProtection="1">
      <alignment horizontal="center"/>
    </xf>
    <xf numFmtId="167" fontId="0" fillId="0" borderId="0" xfId="1" applyNumberFormat="1" applyFont="1" applyAlignment="1" applyProtection="1">
      <alignment horizontal="center"/>
    </xf>
    <xf numFmtId="168" fontId="0" fillId="0" borderId="0" xfId="0" applyNumberFormat="1" applyAlignment="1" applyProtection="1">
      <alignment horizontal="right"/>
      <protection locked="0"/>
    </xf>
    <xf numFmtId="168" fontId="35" fillId="0" borderId="0" xfId="0" applyNumberFormat="1" applyFont="1" applyAlignment="1" applyProtection="1">
      <alignment horizontal="right"/>
      <protection locked="0"/>
    </xf>
    <xf numFmtId="168" fontId="2" fillId="2" borderId="0" xfId="0" applyNumberFormat="1" applyFont="1" applyFill="1" applyAlignment="1">
      <alignment horizontal="right"/>
    </xf>
    <xf numFmtId="0" fontId="27" fillId="2" borderId="0" xfId="0" applyFont="1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49" fontId="0" fillId="6" borderId="0" xfId="0" quotePrefix="1" applyNumberForma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6" borderId="0" xfId="0" applyFill="1" applyAlignment="1" applyProtection="1">
      <alignment horizontal="center" vertic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10" fillId="7" borderId="0" xfId="0" applyFont="1" applyFill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0" fillId="7" borderId="0" xfId="0" quotePrefix="1" applyFill="1" applyAlignment="1" applyProtection="1">
      <alignment horizontal="center" vertical="center"/>
      <protection locked="0"/>
    </xf>
    <xf numFmtId="0" fontId="15" fillId="7" borderId="0" xfId="0" applyFont="1" applyFill="1" applyAlignment="1" applyProtection="1">
      <alignment horizontal="center" vertical="center"/>
      <protection locked="0"/>
    </xf>
    <xf numFmtId="0" fontId="4" fillId="7" borderId="0" xfId="0" applyFont="1" applyFill="1" applyAlignment="1" applyProtection="1">
      <alignment horizontal="center" vertical="center"/>
      <protection locked="0"/>
    </xf>
    <xf numFmtId="0" fontId="39" fillId="7" borderId="0" xfId="0" quotePrefix="1" applyFont="1" applyFill="1" applyAlignment="1" applyProtection="1">
      <alignment horizontal="center" vertical="center" wrapText="1"/>
      <protection locked="0"/>
    </xf>
    <xf numFmtId="0" fontId="4" fillId="7" borderId="0" xfId="0" applyFont="1" applyFill="1" applyAlignment="1">
      <alignment horizontal="center" vertical="center"/>
    </xf>
    <xf numFmtId="0" fontId="41" fillId="7" borderId="0" xfId="0" applyFont="1" applyFill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6" borderId="0" xfId="0" quotePrefix="1" applyFill="1" applyAlignment="1">
      <alignment horizontal="center"/>
    </xf>
    <xf numFmtId="0" fontId="5" fillId="0" borderId="0" xfId="2" applyFill="1" applyAlignment="1" applyProtection="1">
      <alignment horizontal="center"/>
      <protection locked="0"/>
    </xf>
    <xf numFmtId="0" fontId="51" fillId="0" borderId="0" xfId="0" applyFont="1"/>
    <xf numFmtId="0" fontId="4" fillId="5" borderId="0" xfId="0" quotePrefix="1" applyFont="1" applyFill="1" applyAlignment="1">
      <alignment horizontal="center"/>
    </xf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 applyProtection="1">
      <alignment horizontal="center"/>
      <protection locked="0"/>
    </xf>
    <xf numFmtId="14" fontId="5" fillId="0" borderId="0" xfId="2" applyNumberFormat="1" applyFill="1" applyAlignment="1" applyProtection="1">
      <alignment horizontal="center"/>
      <protection locked="0"/>
    </xf>
    <xf numFmtId="0" fontId="5" fillId="0" borderId="0" xfId="2" quotePrefix="1" applyFill="1" applyAlignment="1" applyProtection="1">
      <alignment horizontal="center"/>
      <protection locked="0"/>
    </xf>
    <xf numFmtId="0" fontId="5" fillId="0" borderId="0" xfId="2" applyFill="1" applyAlignment="1">
      <alignment horizontal="center"/>
    </xf>
    <xf numFmtId="0" fontId="18" fillId="0" borderId="0" xfId="2" applyFont="1" applyFill="1" applyAlignment="1" applyProtection="1">
      <alignment horizontal="center"/>
      <protection locked="0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0" fillId="0" borderId="0" xfId="1" applyNumberFormat="1" applyFont="1" applyFill="1" applyAlignment="1" applyProtection="1">
      <alignment horizontal="center"/>
    </xf>
    <xf numFmtId="0" fontId="0" fillId="15" borderId="0" xfId="0" quotePrefix="1" applyFill="1" applyAlignment="1">
      <alignment horizontal="center"/>
    </xf>
    <xf numFmtId="0" fontId="0" fillId="15" borderId="0" xfId="0" applyFill="1" applyAlignment="1" applyProtection="1">
      <alignment horizontal="center"/>
      <protection locked="0"/>
    </xf>
    <xf numFmtId="0" fontId="0" fillId="15" borderId="0" xfId="0" applyFill="1" applyAlignment="1">
      <alignment horizontal="center"/>
    </xf>
    <xf numFmtId="1" fontId="0" fillId="15" borderId="0" xfId="0" applyNumberFormat="1" applyFill="1" applyAlignment="1">
      <alignment horizontal="center"/>
    </xf>
    <xf numFmtId="0" fontId="9" fillId="15" borderId="0" xfId="0" applyFont="1" applyFill="1" applyAlignment="1">
      <alignment horizontal="center"/>
    </xf>
    <xf numFmtId="0" fontId="35" fillId="15" borderId="0" xfId="0" applyFont="1" applyFill="1" applyAlignment="1" applyProtection="1">
      <alignment horizontal="center"/>
      <protection locked="0"/>
    </xf>
    <xf numFmtId="0" fontId="0" fillId="15" borderId="0" xfId="0" applyFill="1"/>
    <xf numFmtId="0" fontId="0" fillId="15" borderId="0" xfId="0" applyFill="1" applyProtection="1">
      <protection locked="0"/>
    </xf>
    <xf numFmtId="0" fontId="9" fillId="15" borderId="0" xfId="0" applyFont="1" applyFill="1"/>
    <xf numFmtId="0" fontId="35" fillId="15" borderId="0" xfId="0" applyFont="1" applyFill="1" applyProtection="1">
      <protection locked="0"/>
    </xf>
    <xf numFmtId="1" fontId="9" fillId="15" borderId="0" xfId="0" applyNumberFormat="1" applyFont="1" applyFill="1" applyAlignment="1">
      <alignment horizontal="center"/>
    </xf>
    <xf numFmtId="0" fontId="52" fillId="0" borderId="3" xfId="0" applyFont="1" applyBorder="1" applyProtection="1">
      <protection locked="0"/>
    </xf>
    <xf numFmtId="0" fontId="9" fillId="0" borderId="0" xfId="0" quotePrefix="1" applyFont="1" applyAlignment="1" applyProtection="1">
      <alignment horizontal="center" vertical="center"/>
      <protection locked="0"/>
    </xf>
    <xf numFmtId="167" fontId="9" fillId="0" borderId="0" xfId="1" applyNumberFormat="1" applyFont="1" applyAlignment="1" applyProtection="1">
      <alignment horizontal="center"/>
    </xf>
    <xf numFmtId="0" fontId="11" fillId="0" borderId="0" xfId="2" applyFont="1" applyFill="1" applyAlignment="1" applyProtection="1">
      <alignment horizontal="center" vertical="center"/>
      <protection locked="0"/>
    </xf>
    <xf numFmtId="0" fontId="9" fillId="15" borderId="0" xfId="0" quotePrefix="1" applyFont="1" applyFill="1" applyAlignment="1">
      <alignment horizontal="center"/>
    </xf>
    <xf numFmtId="0" fontId="9" fillId="7" borderId="0" xfId="0" applyFont="1" applyFill="1" applyAlignment="1" applyProtection="1">
      <alignment horizontal="center" vertical="center"/>
      <protection locked="0"/>
    </xf>
    <xf numFmtId="0" fontId="4" fillId="7" borderId="0" xfId="0" quotePrefix="1" applyFont="1" applyFill="1" applyAlignment="1" applyProtection="1">
      <alignment horizontal="center" vertical="center"/>
      <protection locked="0"/>
    </xf>
    <xf numFmtId="0" fontId="9" fillId="7" borderId="0" xfId="0" applyFont="1" applyFill="1" applyAlignment="1" applyProtection="1">
      <alignment horizontal="center"/>
      <protection locked="0"/>
    </xf>
    <xf numFmtId="0" fontId="46" fillId="7" borderId="0" xfId="0" applyFont="1" applyFill="1" applyAlignment="1">
      <alignment horizontal="center" vertical="center"/>
    </xf>
    <xf numFmtId="0" fontId="12" fillId="7" borderId="3" xfId="0" applyFont="1" applyFill="1" applyBorder="1" applyProtection="1">
      <protection locked="0"/>
    </xf>
    <xf numFmtId="0" fontId="43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/>
    </xf>
    <xf numFmtId="0" fontId="4" fillId="7" borderId="0" xfId="0" quotePrefix="1" applyFont="1" applyFill="1" applyAlignment="1" applyProtection="1">
      <alignment horizontal="center"/>
      <protection locked="0"/>
    </xf>
    <xf numFmtId="0" fontId="33" fillId="0" borderId="4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7" fontId="0" fillId="16" borderId="0" xfId="1" applyNumberFormat="1" applyFont="1" applyFill="1" applyAlignment="1" applyProtection="1">
      <alignment horizontal="center"/>
    </xf>
    <xf numFmtId="0" fontId="5" fillId="0" borderId="0" xfId="2" quotePrefix="1" applyAlignment="1">
      <alignment horizontal="center"/>
    </xf>
    <xf numFmtId="170" fontId="0" fillId="7" borderId="0" xfId="0" applyNumberFormat="1" applyFill="1" applyAlignment="1" applyProtection="1">
      <alignment horizontal="center"/>
      <protection locked="0"/>
    </xf>
    <xf numFmtId="0" fontId="0" fillId="15" borderId="1" xfId="0" applyFill="1" applyBorder="1" applyAlignment="1">
      <alignment horizontal="center"/>
    </xf>
    <xf numFmtId="0" fontId="0" fillId="15" borderId="1" xfId="0" applyFill="1" applyBorder="1" applyProtection="1">
      <protection locked="0"/>
    </xf>
    <xf numFmtId="0" fontId="0" fillId="15" borderId="1" xfId="0" applyFill="1" applyBorder="1" applyAlignment="1" applyProtection="1">
      <alignment horizontal="center"/>
      <protection locked="0"/>
    </xf>
    <xf numFmtId="0" fontId="4" fillId="7" borderId="1" xfId="0" applyFont="1" applyFill="1" applyBorder="1" applyAlignment="1">
      <alignment horizontal="center"/>
    </xf>
    <xf numFmtId="0" fontId="0" fillId="7" borderId="1" xfId="0" applyFill="1" applyBorder="1" applyAlignment="1" applyProtection="1">
      <alignment horizontal="center" vertical="center"/>
      <protection locked="0"/>
    </xf>
    <xf numFmtId="0" fontId="17" fillId="7" borderId="3" xfId="0" applyFont="1" applyFill="1" applyBorder="1" applyProtection="1">
      <protection locked="0"/>
    </xf>
    <xf numFmtId="49" fontId="0" fillId="7" borderId="0" xfId="0" applyNumberFormat="1" applyFill="1" applyAlignment="1">
      <alignment horizontal="center" vertical="center"/>
    </xf>
    <xf numFmtId="0" fontId="54" fillId="7" borderId="0" xfId="0" applyFont="1" applyFill="1" applyAlignment="1" applyProtection="1">
      <alignment horizontal="center" vertical="center"/>
      <protection locked="0"/>
    </xf>
    <xf numFmtId="167" fontId="4" fillId="0" borderId="0" xfId="1" applyNumberFormat="1" applyFont="1" applyFill="1" applyAlignment="1" applyProtection="1">
      <alignment horizontal="center"/>
    </xf>
    <xf numFmtId="0" fontId="18" fillId="0" borderId="0" xfId="2" applyFont="1" applyProtection="1">
      <protection locked="0"/>
    </xf>
    <xf numFmtId="0" fontId="53" fillId="7" borderId="0" xfId="0" quotePrefix="1" applyFont="1" applyFill="1" applyAlignment="1" applyProtection="1">
      <alignment horizontal="center" vertical="center" wrapText="1"/>
      <protection locked="0"/>
    </xf>
    <xf numFmtId="0" fontId="31" fillId="7" borderId="0" xfId="0" applyFont="1" applyFill="1" applyAlignment="1" applyProtection="1">
      <alignment horizontal="center" vertical="center"/>
      <protection locked="0"/>
    </xf>
    <xf numFmtId="0" fontId="18" fillId="0" borderId="0" xfId="2" applyFont="1" applyAlignment="1" applyProtection="1">
      <protection locked="0"/>
    </xf>
    <xf numFmtId="0" fontId="27" fillId="2" borderId="0" xfId="0" applyFont="1" applyFill="1" applyAlignment="1">
      <alignment horizontal="center" wrapText="1"/>
    </xf>
    <xf numFmtId="0" fontId="28" fillId="4" borderId="0" xfId="0" applyFont="1" applyFill="1" applyAlignment="1">
      <alignment horizontal="center" wrapText="1"/>
    </xf>
    <xf numFmtId="0" fontId="26" fillId="7" borderId="0" xfId="0" applyFont="1" applyFill="1" applyAlignment="1">
      <alignment horizontal="center" wrapText="1"/>
    </xf>
    <xf numFmtId="0" fontId="26" fillId="7" borderId="0" xfId="0" applyFont="1" applyFill="1" applyAlignment="1" applyProtection="1">
      <alignment horizontal="center" wrapText="1"/>
      <protection locked="0"/>
    </xf>
    <xf numFmtId="0" fontId="42" fillId="7" borderId="0" xfId="0" applyFont="1" applyFill="1" applyAlignment="1" applyProtection="1">
      <alignment horizontal="center" wrapText="1"/>
      <protection locked="0"/>
    </xf>
    <xf numFmtId="0" fontId="55" fillId="7" borderId="0" xfId="0" applyFont="1" applyFill="1" applyAlignment="1" applyProtection="1">
      <alignment horizontal="center" wrapText="1"/>
      <protection locked="0"/>
    </xf>
    <xf numFmtId="0" fontId="26" fillId="0" borderId="0" xfId="0" applyFont="1" applyAlignment="1" applyProtection="1">
      <alignment horizontal="center" wrapText="1"/>
      <protection locked="0"/>
    </xf>
    <xf numFmtId="0" fontId="9" fillId="7" borderId="0" xfId="0" applyFont="1" applyFill="1" applyAlignment="1" applyProtection="1">
      <alignment horizontal="center" wrapText="1"/>
      <protection locked="0"/>
    </xf>
    <xf numFmtId="0" fontId="5" fillId="7" borderId="0" xfId="2" quotePrefix="1" applyFill="1" applyProtection="1">
      <protection locked="0"/>
    </xf>
    <xf numFmtId="0" fontId="17" fillId="0" borderId="2" xfId="2" applyFont="1" applyBorder="1" applyProtection="1">
      <protection locked="0"/>
    </xf>
    <xf numFmtId="167" fontId="10" fillId="0" borderId="0" xfId="1" applyNumberFormat="1" applyFont="1" applyFill="1" applyAlignment="1" applyProtection="1">
      <alignment horizontal="center"/>
    </xf>
    <xf numFmtId="0" fontId="58" fillId="0" borderId="0" xfId="2" applyFont="1" applyFill="1" applyAlignment="1" applyProtection="1">
      <alignment horizontal="center"/>
      <protection locked="0"/>
    </xf>
    <xf numFmtId="170" fontId="2" fillId="2" borderId="0" xfId="0" applyNumberFormat="1" applyFont="1" applyFill="1" applyAlignment="1">
      <alignment horizontal="center"/>
    </xf>
    <xf numFmtId="170" fontId="3" fillId="4" borderId="0" xfId="0" applyNumberFormat="1" applyFont="1" applyFill="1" applyAlignment="1">
      <alignment horizontal="center"/>
    </xf>
    <xf numFmtId="170" fontId="0" fillId="6" borderId="0" xfId="1" applyNumberFormat="1" applyFont="1" applyFill="1" applyAlignment="1">
      <alignment horizontal="center"/>
    </xf>
    <xf numFmtId="170" fontId="0" fillId="6" borderId="0" xfId="1" applyNumberFormat="1" applyFont="1" applyFill="1" applyAlignment="1" applyProtection="1">
      <protection locked="0"/>
    </xf>
    <xf numFmtId="170" fontId="0" fillId="7" borderId="0" xfId="1" applyNumberFormat="1" applyFont="1" applyFill="1" applyAlignment="1" applyProtection="1">
      <alignment horizontal="center"/>
      <protection locked="0"/>
    </xf>
    <xf numFmtId="170" fontId="0" fillId="0" borderId="0" xfId="0" applyNumberFormat="1" applyAlignment="1" applyProtection="1">
      <alignment horizontal="center"/>
      <protection locked="0"/>
    </xf>
    <xf numFmtId="170" fontId="0" fillId="7" borderId="0" xfId="1" applyNumberFormat="1" applyFont="1" applyFill="1"/>
    <xf numFmtId="0" fontId="46" fillId="7" borderId="0" xfId="0" applyFont="1" applyFill="1" applyAlignment="1">
      <alignment horizontal="center"/>
    </xf>
    <xf numFmtId="49" fontId="4" fillId="7" borderId="0" xfId="0" applyNumberFormat="1" applyFont="1" applyFill="1" applyAlignment="1">
      <alignment horizontal="center" vertical="center"/>
    </xf>
    <xf numFmtId="170" fontId="0" fillId="7" borderId="0" xfId="1" applyNumberFormat="1" applyFont="1" applyFill="1" applyAlignment="1">
      <alignment horizontal="center"/>
    </xf>
    <xf numFmtId="0" fontId="19" fillId="0" borderId="2" xfId="0" applyFont="1" applyBorder="1"/>
    <xf numFmtId="0" fontId="22" fillId="0" borderId="2" xfId="0" applyFont="1" applyBorder="1" applyAlignment="1">
      <alignment wrapText="1"/>
    </xf>
    <xf numFmtId="170" fontId="0" fillId="6" borderId="0" xfId="1" applyNumberFormat="1" applyFont="1" applyFill="1" applyAlignment="1">
      <alignment horizontal="center" wrapText="1"/>
    </xf>
    <xf numFmtId="0" fontId="5" fillId="6" borderId="0" xfId="2" applyFill="1" applyAlignment="1" applyProtection="1">
      <alignment horizontal="center"/>
      <protection locked="0"/>
    </xf>
    <xf numFmtId="0" fontId="55" fillId="7" borderId="0" xfId="0" applyFont="1" applyFill="1" applyAlignment="1">
      <alignment horizontal="center" vertical="center"/>
    </xf>
    <xf numFmtId="0" fontId="41" fillId="7" borderId="0" xfId="0" applyFont="1" applyFill="1" applyAlignment="1" applyProtection="1">
      <alignment horizontal="left"/>
      <protection locked="0"/>
    </xf>
    <xf numFmtId="0" fontId="0" fillId="7" borderId="0" xfId="0" applyFill="1" applyAlignment="1" applyProtection="1">
      <alignment horizontal="center" vertical="center" wrapText="1"/>
      <protection locked="0"/>
    </xf>
    <xf numFmtId="0" fontId="10" fillId="7" borderId="0" xfId="0" applyFont="1" applyFill="1" applyAlignment="1">
      <alignment wrapText="1"/>
    </xf>
    <xf numFmtId="167" fontId="0" fillId="0" borderId="0" xfId="1" applyNumberFormat="1" applyFont="1" applyFill="1" applyAlignment="1">
      <alignment horizontal="center"/>
    </xf>
    <xf numFmtId="0" fontId="56" fillId="7" borderId="0" xfId="0" applyFont="1" applyFill="1" applyAlignment="1">
      <alignment horizontal="center"/>
    </xf>
    <xf numFmtId="0" fontId="16" fillId="0" borderId="3" xfId="2" applyFont="1" applyBorder="1" applyProtection="1">
      <protection locked="0"/>
    </xf>
    <xf numFmtId="0" fontId="0" fillId="18" borderId="0" xfId="0" quotePrefix="1" applyFill="1" applyAlignment="1">
      <alignment horizontal="center"/>
    </xf>
    <xf numFmtId="0" fontId="57" fillId="7" borderId="0" xfId="0" applyFont="1" applyFill="1" applyAlignment="1" applyProtection="1">
      <alignment horizontal="center" vertical="center"/>
      <protection locked="0"/>
    </xf>
    <xf numFmtId="14" fontId="26" fillId="7" borderId="0" xfId="0" applyNumberFormat="1" applyFont="1" applyFill="1" applyAlignment="1" applyProtection="1">
      <alignment horizontal="center" wrapText="1"/>
      <protection locked="0"/>
    </xf>
    <xf numFmtId="0" fontId="60" fillId="0" borderId="0" xfId="0" applyFont="1"/>
    <xf numFmtId="0" fontId="0" fillId="9" borderId="0" xfId="0" applyFill="1" applyAlignment="1" applyProtection="1">
      <alignment horizontal="center" vertical="center"/>
      <protection locked="0"/>
    </xf>
    <xf numFmtId="0" fontId="26" fillId="9" borderId="0" xfId="0" applyFont="1" applyFill="1" applyAlignment="1" applyProtection="1">
      <alignment horizontal="center" vertical="center"/>
      <protection locked="0"/>
    </xf>
    <xf numFmtId="0" fontId="59" fillId="7" borderId="0" xfId="0" applyFont="1" applyFill="1" applyAlignment="1" applyProtection="1">
      <alignment horizontal="center" wrapText="1"/>
      <protection locked="0"/>
    </xf>
    <xf numFmtId="0" fontId="0" fillId="15" borderId="0" xfId="0" applyFill="1" applyAlignment="1" applyProtection="1">
      <alignment horizontal="center" wrapText="1"/>
      <protection locked="0"/>
    </xf>
    <xf numFmtId="17" fontId="0" fillId="7" borderId="0" xfId="0" applyNumberFormat="1" applyFill="1" applyAlignment="1" applyProtection="1">
      <alignment horizontal="center" vertical="center"/>
      <protection locked="0"/>
    </xf>
    <xf numFmtId="17" fontId="4" fillId="7" borderId="0" xfId="0" applyNumberFormat="1" applyFont="1" applyFill="1" applyAlignment="1" applyProtection="1">
      <alignment horizontal="center" vertical="center"/>
      <protection locked="0"/>
    </xf>
    <xf numFmtId="14" fontId="42" fillId="7" borderId="0" xfId="0" applyNumberFormat="1" applyFont="1" applyFill="1" applyAlignment="1" applyProtection="1">
      <alignment horizontal="center" wrapText="1"/>
      <protection locked="0"/>
    </xf>
    <xf numFmtId="167" fontId="0" fillId="7" borderId="0" xfId="0" applyNumberFormat="1" applyFill="1" applyAlignment="1" applyProtection="1">
      <alignment horizontal="center"/>
      <protection locked="0"/>
    </xf>
    <xf numFmtId="167" fontId="0" fillId="7" borderId="0" xfId="1" applyNumberFormat="1" applyFont="1" applyFill="1" applyAlignment="1" applyProtection="1">
      <protection locked="0"/>
    </xf>
    <xf numFmtId="0" fontId="5" fillId="0" borderId="0" xfId="2" applyFill="1" applyProtection="1"/>
    <xf numFmtId="0" fontId="0" fillId="7" borderId="5" xfId="0" applyFill="1" applyBorder="1" applyAlignment="1" applyProtection="1">
      <alignment horizontal="center" vertical="center"/>
      <protection locked="0"/>
    </xf>
    <xf numFmtId="0" fontId="50" fillId="7" borderId="0" xfId="0" applyFont="1" applyFill="1" applyAlignment="1">
      <alignment horizontal="center"/>
    </xf>
    <xf numFmtId="0" fontId="50" fillId="7" borderId="0" xfId="0" applyFont="1" applyFill="1" applyAlignment="1">
      <alignment horizontal="center" vertical="center"/>
    </xf>
    <xf numFmtId="0" fontId="53" fillId="7" borderId="0" xfId="0" applyFont="1" applyFill="1" applyAlignment="1" applyProtection="1">
      <alignment horizontal="center" vertical="center"/>
      <protection locked="0"/>
    </xf>
    <xf numFmtId="0" fontId="15" fillId="5" borderId="0" xfId="0" applyFont="1" applyFill="1" applyAlignment="1">
      <alignment horizontal="center"/>
    </xf>
    <xf numFmtId="0" fontId="15" fillId="0" borderId="0" xfId="0" applyFont="1" applyAlignment="1" applyProtection="1">
      <alignment horizontal="center"/>
      <protection locked="0"/>
    </xf>
    <xf numFmtId="0" fontId="15" fillId="15" borderId="0" xfId="0" applyFont="1" applyFill="1" applyAlignment="1">
      <alignment horizontal="center"/>
    </xf>
    <xf numFmtId="0" fontId="63" fillId="0" borderId="3" xfId="0" applyFont="1" applyBorder="1" applyProtection="1">
      <protection locked="0"/>
    </xf>
    <xf numFmtId="0" fontId="4" fillId="15" borderId="0" xfId="0" applyFont="1" applyFill="1" applyAlignment="1">
      <alignment horizontal="center"/>
    </xf>
    <xf numFmtId="0" fontId="35" fillId="0" borderId="0" xfId="0" applyFont="1"/>
    <xf numFmtId="167" fontId="0" fillId="0" borderId="0" xfId="1" applyNumberFormat="1" applyFont="1" applyFill="1" applyAlignment="1" applyProtection="1">
      <alignment horizontal="center"/>
      <protection locked="0"/>
    </xf>
    <xf numFmtId="0" fontId="0" fillId="15" borderId="0" xfId="0" quotePrefix="1" applyFill="1" applyAlignment="1" applyProtection="1">
      <alignment horizontal="center"/>
      <protection locked="0"/>
    </xf>
    <xf numFmtId="0" fontId="5" fillId="7" borderId="0" xfId="2" applyFill="1" applyAlignment="1">
      <alignment horizontal="left" vertical="center"/>
    </xf>
    <xf numFmtId="0" fontId="62" fillId="7" borderId="0" xfId="0" applyFont="1" applyFill="1" applyAlignment="1" applyProtection="1">
      <alignment horizontal="center"/>
      <protection locked="0"/>
    </xf>
    <xf numFmtId="0" fontId="64" fillId="3" borderId="0" xfId="0" applyFont="1" applyFill="1" applyAlignment="1">
      <alignment horizontal="center" vertical="center" wrapText="1"/>
    </xf>
    <xf numFmtId="0" fontId="3" fillId="0" borderId="0" xfId="0" applyFont="1" applyAlignment="1" applyProtection="1">
      <alignment horizontal="center"/>
      <protection locked="0"/>
    </xf>
    <xf numFmtId="0" fontId="62" fillId="7" borderId="0" xfId="0" applyFont="1" applyFill="1" applyAlignment="1" applyProtection="1">
      <alignment horizontal="center" wrapText="1"/>
      <protection locked="0"/>
    </xf>
    <xf numFmtId="0" fontId="0" fillId="17" borderId="0" xfId="0" applyFill="1" applyAlignment="1" applyProtection="1">
      <alignment horizontal="center"/>
      <protection locked="0"/>
    </xf>
    <xf numFmtId="167" fontId="0" fillId="0" borderId="0" xfId="1" applyNumberFormat="1" applyFont="1" applyAlignment="1" applyProtection="1">
      <alignment wrapText="1"/>
      <protection locked="0"/>
    </xf>
    <xf numFmtId="0" fontId="26" fillId="7" borderId="0" xfId="0" applyFont="1" applyFill="1" applyAlignment="1" applyProtection="1">
      <alignment horizontal="center" vertical="center" wrapText="1"/>
      <protection locked="0"/>
    </xf>
    <xf numFmtId="0" fontId="17" fillId="0" borderId="3" xfId="2" applyFont="1" applyBorder="1"/>
    <xf numFmtId="0" fontId="16" fillId="0" borderId="3" xfId="2" applyFont="1" applyBorder="1" applyAlignment="1" applyProtection="1">
      <alignment wrapText="1"/>
      <protection locked="0"/>
    </xf>
    <xf numFmtId="0" fontId="26" fillId="0" borderId="0" xfId="0" applyFont="1" applyAlignment="1" applyProtection="1">
      <alignment horizontal="center" vertical="center" wrapText="1"/>
      <protection locked="0"/>
    </xf>
    <xf numFmtId="0" fontId="61" fillId="0" borderId="2" xfId="0" applyFont="1" applyBorder="1"/>
    <xf numFmtId="0" fontId="26" fillId="7" borderId="3" xfId="0" applyFont="1" applyFill="1" applyBorder="1" applyAlignment="1">
      <alignment horizontal="center" vertical="center"/>
    </xf>
    <xf numFmtId="167" fontId="0" fillId="0" borderId="0" xfId="1" applyNumberFormat="1" applyFont="1" applyFill="1" applyAlignment="1" applyProtection="1">
      <alignment wrapText="1"/>
      <protection locked="0"/>
    </xf>
    <xf numFmtId="0" fontId="66" fillId="7" borderId="0" xfId="0" applyFont="1" applyFill="1" applyAlignment="1">
      <alignment horizontal="center"/>
    </xf>
    <xf numFmtId="165" fontId="3" fillId="4" borderId="0" xfId="1" applyNumberFormat="1" applyFont="1" applyFill="1" applyBorder="1" applyAlignment="1" applyProtection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64" fillId="3" borderId="4" xfId="0" applyFont="1" applyFill="1" applyBorder="1" applyAlignment="1">
      <alignment horizontal="center" vertical="center" wrapText="1"/>
    </xf>
    <xf numFmtId="166" fontId="3" fillId="4" borderId="4" xfId="1" applyNumberFormat="1" applyFont="1" applyFill="1" applyBorder="1" applyAlignment="1" applyProtection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 applyProtection="1">
      <alignment horizontal="center"/>
      <protection locked="0"/>
    </xf>
    <xf numFmtId="165" fontId="3" fillId="4" borderId="3" xfId="1" applyNumberFormat="1" applyFont="1" applyFill="1" applyBorder="1" applyAlignment="1" applyProtection="1">
      <alignment horizontal="center"/>
    </xf>
    <xf numFmtId="165" fontId="3" fillId="4" borderId="4" xfId="1" applyNumberFormat="1" applyFont="1" applyFill="1" applyBorder="1" applyAlignment="1" applyProtection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167" fontId="3" fillId="0" borderId="0" xfId="1" applyNumberFormat="1" applyFont="1" applyAlignment="1" applyProtection="1">
      <protection locked="0"/>
    </xf>
    <xf numFmtId="170" fontId="3" fillId="0" borderId="0" xfId="0" applyNumberFormat="1" applyFont="1" applyAlignment="1" applyProtection="1">
      <alignment horizontal="center"/>
      <protection locked="0"/>
    </xf>
    <xf numFmtId="1" fontId="0" fillId="19" borderId="0" xfId="0" applyNumberFormat="1" applyFill="1" applyAlignment="1">
      <alignment horizontal="center"/>
    </xf>
    <xf numFmtId="0" fontId="0" fillId="0" borderId="4" xfId="0" applyBorder="1" applyProtection="1">
      <protection locked="0"/>
    </xf>
    <xf numFmtId="0" fontId="68" fillId="7" borderId="0" xfId="0" applyFont="1" applyFill="1" applyAlignment="1">
      <alignment horizontal="center" indent="1"/>
    </xf>
    <xf numFmtId="0" fontId="0" fillId="7" borderId="0" xfId="0" applyFill="1" applyAlignment="1" applyProtection="1">
      <alignment horizontal="center" vertical="center" indent="1"/>
      <protection locked="0"/>
    </xf>
    <xf numFmtId="0" fontId="69" fillId="7" borderId="0" xfId="0" applyFont="1" applyFill="1"/>
    <xf numFmtId="0" fontId="67" fillId="7" borderId="0" xfId="0" applyFont="1" applyFill="1" applyAlignment="1">
      <alignment horizontal="center"/>
    </xf>
    <xf numFmtId="0" fontId="15" fillId="15" borderId="0" xfId="0" applyFont="1" applyFill="1" applyAlignment="1" applyProtection="1">
      <alignment horizontal="center"/>
      <protection locked="0"/>
    </xf>
    <xf numFmtId="0" fontId="15" fillId="0" borderId="1" xfId="0" applyFont="1" applyBorder="1" applyAlignment="1" applyProtection="1">
      <alignment horizontal="center"/>
      <protection locked="0"/>
    </xf>
    <xf numFmtId="167" fontId="0" fillId="0" borderId="0" xfId="1" applyNumberFormat="1" applyFont="1" applyProtection="1">
      <protection locked="0"/>
    </xf>
    <xf numFmtId="0" fontId="18" fillId="0" borderId="0" xfId="2" applyFont="1"/>
    <xf numFmtId="167" fontId="4" fillId="0" borderId="0" xfId="1" applyNumberFormat="1" applyFont="1" applyAlignment="1">
      <alignment horizontal="center"/>
    </xf>
    <xf numFmtId="0" fontId="0" fillId="0" borderId="0" xfId="0" applyAlignment="1" applyProtection="1">
      <alignment wrapText="1"/>
      <protection locked="0"/>
    </xf>
    <xf numFmtId="0" fontId="70" fillId="20" borderId="0" xfId="0" applyFont="1" applyFill="1" applyAlignment="1" applyProtection="1">
      <alignment horizontal="center" vertical="center"/>
      <protection locked="0"/>
    </xf>
    <xf numFmtId="0" fontId="71" fillId="20" borderId="0" xfId="0" applyFont="1" applyFill="1" applyAlignment="1" applyProtection="1">
      <alignment horizontal="center" vertical="center"/>
      <protection locked="0"/>
    </xf>
    <xf numFmtId="0" fontId="37" fillId="7" borderId="0" xfId="0" applyFont="1" applyFill="1" applyAlignment="1" applyProtection="1">
      <alignment horizontal="center" vertical="center"/>
      <protection locked="0"/>
    </xf>
    <xf numFmtId="0" fontId="0" fillId="7" borderId="0" xfId="0" quotePrefix="1" applyFill="1" applyAlignment="1" applyProtection="1">
      <alignment horizontal="center" vertical="center" wrapText="1"/>
      <protection locked="0"/>
    </xf>
    <xf numFmtId="0" fontId="69" fillId="7" borderId="0" xfId="0" applyFont="1" applyFill="1" applyAlignment="1">
      <alignment horizontal="center" vertical="center"/>
    </xf>
    <xf numFmtId="0" fontId="0" fillId="7" borderId="0" xfId="0" quotePrefix="1" applyFill="1" applyAlignment="1" applyProtection="1">
      <alignment horizontal="center" wrapText="1"/>
      <protection locked="0"/>
    </xf>
    <xf numFmtId="0" fontId="4" fillId="7" borderId="0" xfId="0" quotePrefix="1" applyFont="1" applyFill="1" applyAlignment="1" applyProtection="1">
      <alignment horizontal="center" vertical="center" wrapText="1"/>
      <protection locked="0"/>
    </xf>
    <xf numFmtId="170" fontId="3" fillId="7" borderId="0" xfId="0" applyNumberFormat="1" applyFont="1" applyFill="1" applyAlignment="1" applyProtection="1">
      <alignment horizontal="center"/>
      <protection locked="0"/>
    </xf>
    <xf numFmtId="0" fontId="69" fillId="7" borderId="0" xfId="0" applyFont="1" applyFill="1" applyAlignment="1">
      <alignment horizontal="center"/>
    </xf>
    <xf numFmtId="0" fontId="26" fillId="7" borderId="3" xfId="0" applyFont="1" applyFill="1" applyBorder="1" applyAlignment="1" applyProtection="1">
      <alignment horizontal="center" wrapText="1"/>
      <protection locked="0"/>
    </xf>
    <xf numFmtId="0" fontId="5" fillId="8" borderId="0" xfId="2" applyFill="1" applyAlignment="1" applyProtection="1">
      <alignment horizontal="center"/>
      <protection locked="0"/>
    </xf>
    <xf numFmtId="0" fontId="75" fillId="0" borderId="0" xfId="2" applyFont="1" applyFill="1"/>
    <xf numFmtId="0" fontId="0" fillId="8" borderId="1" xfId="0" applyFill="1" applyBorder="1" applyAlignment="1" applyProtection="1">
      <alignment horizontal="center"/>
      <protection locked="0"/>
    </xf>
    <xf numFmtId="170" fontId="0" fillId="7" borderId="0" xfId="0" applyNumberFormat="1" applyFill="1" applyAlignment="1" applyProtection="1">
      <alignment horizontal="left"/>
      <protection locked="0"/>
    </xf>
    <xf numFmtId="0" fontId="5" fillId="7" borderId="0" xfId="2" applyFill="1" applyProtection="1">
      <protection locked="0"/>
    </xf>
    <xf numFmtId="0" fontId="0" fillId="0" borderId="4" xfId="0" applyBorder="1"/>
    <xf numFmtId="167" fontId="0" fillId="0" borderId="0" xfId="1" applyNumberFormat="1" applyFont="1" applyAlignment="1">
      <alignment horizontal="center" wrapText="1"/>
    </xf>
    <xf numFmtId="0" fontId="5" fillId="7" borderId="0" xfId="2" quotePrefix="1" applyFill="1" applyAlignment="1" applyProtection="1">
      <alignment horizontal="center"/>
      <protection locked="0"/>
    </xf>
    <xf numFmtId="167" fontId="0" fillId="7" borderId="0" xfId="1" applyNumberFormat="1" applyFont="1" applyFill="1" applyAlignment="1">
      <alignment horizontal="center"/>
    </xf>
    <xf numFmtId="167" fontId="0" fillId="22" borderId="0" xfId="1" applyNumberFormat="1" applyFont="1" applyFill="1" applyAlignment="1">
      <alignment horizontal="center"/>
    </xf>
    <xf numFmtId="167" fontId="0" fillId="23" borderId="0" xfId="1" applyNumberFormat="1" applyFont="1" applyFill="1" applyAlignment="1">
      <alignment horizontal="center"/>
    </xf>
    <xf numFmtId="0" fontId="18" fillId="7" borderId="0" xfId="2" applyFont="1" applyFill="1" applyAlignment="1" applyProtection="1">
      <alignment horizontal="center"/>
      <protection locked="0"/>
    </xf>
    <xf numFmtId="0" fontId="4" fillId="7" borderId="0" xfId="0" applyFont="1" applyFill="1"/>
    <xf numFmtId="167" fontId="4" fillId="0" borderId="0" xfId="1" applyNumberFormat="1" applyFont="1" applyFill="1"/>
    <xf numFmtId="1" fontId="18" fillId="7" borderId="0" xfId="2" applyNumberFormat="1" applyFont="1" applyFill="1" applyAlignment="1">
      <alignment horizontal="center"/>
    </xf>
    <xf numFmtId="170" fontId="4" fillId="7" borderId="0" xfId="0" applyNumberFormat="1" applyFont="1" applyFill="1" applyAlignment="1" applyProtection="1">
      <alignment horizontal="center"/>
      <protection locked="0"/>
    </xf>
    <xf numFmtId="0" fontId="42" fillId="7" borderId="0" xfId="0" applyFont="1" applyFill="1" applyAlignment="1" applyProtection="1">
      <alignment horizontal="center" vertical="center" wrapText="1"/>
      <protection locked="0"/>
    </xf>
    <xf numFmtId="0" fontId="0" fillId="9" borderId="0" xfId="0" applyFill="1" applyAlignment="1">
      <alignment horizontal="center"/>
    </xf>
    <xf numFmtId="0" fontId="0" fillId="7" borderId="0" xfId="0" applyFill="1" applyProtection="1">
      <protection locked="0"/>
    </xf>
    <xf numFmtId="170" fontId="0" fillId="9" borderId="0" xfId="0" applyNumberFormat="1" applyFill="1" applyAlignment="1" applyProtection="1">
      <alignment horizontal="center"/>
      <protection locked="0"/>
    </xf>
    <xf numFmtId="0" fontId="16" fillId="7" borderId="3" xfId="0" applyFont="1" applyFill="1" applyBorder="1" applyProtection="1">
      <protection locked="0"/>
    </xf>
    <xf numFmtId="0" fontId="3" fillId="7" borderId="3" xfId="0" applyFont="1" applyFill="1" applyBorder="1" applyProtection="1">
      <protection locked="0"/>
    </xf>
    <xf numFmtId="168" fontId="4" fillId="0" borderId="0" xfId="0" applyNumberFormat="1" applyFont="1" applyAlignment="1" applyProtection="1">
      <alignment horizontal="right"/>
      <protection locked="0"/>
    </xf>
    <xf numFmtId="167" fontId="0" fillId="16" borderId="0" xfId="1" applyNumberFormat="1" applyFont="1" applyFill="1" applyAlignment="1">
      <alignment horizontal="center"/>
    </xf>
    <xf numFmtId="0" fontId="23" fillId="20" borderId="0" xfId="0" applyFont="1" applyFill="1" applyAlignment="1" applyProtection="1">
      <alignment horizontal="center" vertical="center" wrapText="1"/>
      <protection locked="0"/>
    </xf>
    <xf numFmtId="0" fontId="23" fillId="20" borderId="0" xfId="0" applyFont="1" applyFill="1" applyAlignment="1" applyProtection="1">
      <alignment horizontal="center" vertical="center"/>
      <protection locked="0"/>
    </xf>
    <xf numFmtId="0" fontId="18" fillId="0" borderId="0" xfId="2" applyFont="1" applyFill="1"/>
    <xf numFmtId="167" fontId="4" fillId="0" borderId="0" xfId="1" applyNumberFormat="1" applyFont="1" applyFill="1" applyAlignment="1">
      <alignment horizontal="center"/>
    </xf>
    <xf numFmtId="0" fontId="76" fillId="0" borderId="0" xfId="0" applyFont="1" applyProtection="1">
      <protection locked="0"/>
    </xf>
    <xf numFmtId="0" fontId="76" fillId="0" borderId="4" xfId="0" applyFont="1" applyBorder="1" applyProtection="1">
      <protection locked="0"/>
    </xf>
    <xf numFmtId="0" fontId="76" fillId="11" borderId="4" xfId="0" applyFont="1" applyFill="1" applyBorder="1" applyProtection="1"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0" fontId="17" fillId="0" borderId="0" xfId="0" applyFont="1" applyProtection="1">
      <protection locked="0"/>
    </xf>
    <xf numFmtId="0" fontId="4" fillId="0" borderId="4" xfId="0" applyFont="1" applyBorder="1" applyProtection="1">
      <protection locked="0"/>
    </xf>
    <xf numFmtId="0" fontId="5" fillId="0" borderId="0" xfId="2" applyFill="1" applyBorder="1" applyAlignment="1" applyProtection="1">
      <alignment horizontal="center"/>
      <protection locked="0"/>
    </xf>
    <xf numFmtId="0" fontId="0" fillId="15" borderId="1" xfId="0" quotePrefix="1" applyFill="1" applyBorder="1" applyAlignment="1">
      <alignment horizontal="center"/>
    </xf>
    <xf numFmtId="167" fontId="5" fillId="7" borderId="0" xfId="2" applyNumberFormat="1" applyFill="1"/>
    <xf numFmtId="0" fontId="57" fillId="7" borderId="0" xfId="0" applyFont="1" applyFill="1" applyAlignment="1" applyProtection="1">
      <alignment horizontal="center" vertical="center" wrapText="1"/>
      <protection locked="0"/>
    </xf>
    <xf numFmtId="0" fontId="77" fillId="20" borderId="0" xfId="0" applyFont="1" applyFill="1" applyAlignment="1" applyProtection="1">
      <alignment horizontal="center" vertical="center"/>
      <protection locked="0"/>
    </xf>
    <xf numFmtId="0" fontId="78" fillId="20" borderId="0" xfId="0" applyFont="1" applyFill="1" applyAlignment="1" applyProtection="1">
      <alignment horizontal="center" vertical="center"/>
      <protection locked="0"/>
    </xf>
    <xf numFmtId="0" fontId="68" fillId="0" borderId="0" xfId="0" applyFont="1"/>
    <xf numFmtId="0" fontId="16" fillId="0" borderId="0" xfId="0" applyFont="1" applyProtection="1">
      <protection locked="0"/>
    </xf>
    <xf numFmtId="0" fontId="46" fillId="0" borderId="4" xfId="0" applyFont="1" applyBorder="1"/>
    <xf numFmtId="0" fontId="3" fillId="7" borderId="0" xfId="0" applyFont="1" applyFill="1" applyProtection="1">
      <protection locked="0"/>
    </xf>
    <xf numFmtId="0" fontId="3" fillId="8" borderId="0" xfId="0" applyFont="1" applyFill="1" applyProtection="1">
      <protection locked="0"/>
    </xf>
    <xf numFmtId="0" fontId="25" fillId="0" borderId="0" xfId="0" applyFont="1" applyProtection="1">
      <protection locked="0"/>
    </xf>
    <xf numFmtId="0" fontId="76" fillId="11" borderId="0" xfId="0" applyFont="1" applyFill="1" applyProtection="1">
      <protection locked="0"/>
    </xf>
    <xf numFmtId="0" fontId="46" fillId="21" borderId="4" xfId="0" applyFont="1" applyFill="1" applyBorder="1"/>
    <xf numFmtId="167" fontId="0" fillId="0" borderId="0" xfId="0" applyNumberFormat="1" applyAlignment="1" applyProtection="1">
      <alignment horizontal="center"/>
      <protection locked="0"/>
    </xf>
    <xf numFmtId="0" fontId="3" fillId="17" borderId="2" xfId="0" applyFont="1" applyFill="1" applyBorder="1" applyProtection="1">
      <protection locked="0"/>
    </xf>
    <xf numFmtId="167" fontId="0" fillId="17" borderId="0" xfId="1" applyNumberFormat="1" applyFont="1" applyFill="1" applyAlignment="1" applyProtection="1">
      <protection locked="0"/>
    </xf>
    <xf numFmtId="167" fontId="0" fillId="17" borderId="0" xfId="1" applyNumberFormat="1" applyFont="1" applyFill="1"/>
    <xf numFmtId="0" fontId="22" fillId="0" borderId="0" xfId="0" applyFont="1"/>
    <xf numFmtId="0" fontId="0" fillId="7" borderId="5" xfId="0" applyFill="1" applyBorder="1" applyAlignment="1" applyProtection="1">
      <alignment horizontal="center" vertical="center" wrapText="1"/>
      <protection locked="0"/>
    </xf>
    <xf numFmtId="0" fontId="26" fillId="7" borderId="3" xfId="0" applyFont="1" applyFill="1" applyBorder="1" applyAlignment="1" applyProtection="1">
      <alignment horizontal="center" vertical="center"/>
      <protection locked="0"/>
    </xf>
    <xf numFmtId="0" fontId="42" fillId="7" borderId="3" xfId="0" applyFont="1" applyFill="1" applyBorder="1" applyAlignment="1" applyProtection="1">
      <alignment horizontal="center" vertical="center"/>
      <protection locked="0"/>
    </xf>
    <xf numFmtId="0" fontId="74" fillId="7" borderId="0" xfId="0" applyFont="1" applyFill="1" applyAlignment="1" applyProtection="1">
      <alignment horizontal="center" vertical="center"/>
      <protection locked="0"/>
    </xf>
    <xf numFmtId="0" fontId="5" fillId="0" borderId="1" xfId="2" applyFill="1" applyBorder="1" applyAlignment="1" applyProtection="1">
      <alignment horizontal="center"/>
      <protection locked="0"/>
    </xf>
    <xf numFmtId="0" fontId="0" fillId="24" borderId="0" xfId="0" applyFill="1"/>
    <xf numFmtId="0" fontId="79" fillId="24" borderId="0" xfId="0" applyFont="1" applyFill="1"/>
    <xf numFmtId="0" fontId="79" fillId="0" borderId="0" xfId="0" applyFont="1"/>
    <xf numFmtId="0" fontId="0" fillId="2" borderId="0" xfId="0" applyFill="1"/>
    <xf numFmtId="171" fontId="0" fillId="24" borderId="0" xfId="0" applyNumberFormat="1" applyFill="1"/>
    <xf numFmtId="171" fontId="0" fillId="0" borderId="0" xfId="0" applyNumberFormat="1"/>
    <xf numFmtId="0" fontId="80" fillId="25" borderId="0" xfId="0" applyFont="1" applyFill="1"/>
    <xf numFmtId="171" fontId="80" fillId="25" borderId="0" xfId="0" applyNumberFormat="1" applyFont="1" applyFill="1"/>
    <xf numFmtId="0" fontId="82" fillId="25" borderId="0" xfId="0" applyFont="1" applyFill="1" applyAlignment="1">
      <alignment vertical="center"/>
    </xf>
    <xf numFmtId="0" fontId="82" fillId="25" borderId="0" xfId="0" applyFont="1" applyFill="1"/>
    <xf numFmtId="0" fontId="83" fillId="24" borderId="6" xfId="0" applyFont="1" applyFill="1" applyBorder="1" applyAlignment="1">
      <alignment horizontal="center"/>
    </xf>
    <xf numFmtId="0" fontId="81" fillId="26" borderId="0" xfId="0" applyFont="1" applyFill="1"/>
    <xf numFmtId="0" fontId="81" fillId="26" borderId="0" xfId="0" applyFont="1" applyFill="1" applyAlignment="1">
      <alignment horizontal="center"/>
    </xf>
    <xf numFmtId="171" fontId="84" fillId="27" borderId="7" xfId="0" applyNumberFormat="1" applyFont="1" applyFill="1" applyBorder="1"/>
    <xf numFmtId="171" fontId="85" fillId="25" borderId="8" xfId="0" applyNumberFormat="1" applyFont="1" applyFill="1" applyBorder="1"/>
    <xf numFmtId="0" fontId="84" fillId="27" borderId="7" xfId="0" applyFont="1" applyFill="1" applyBorder="1"/>
    <xf numFmtId="0" fontId="85" fillId="25" borderId="8" xfId="0" applyFont="1" applyFill="1" applyBorder="1"/>
    <xf numFmtId="171" fontId="86" fillId="27" borderId="0" xfId="0" applyNumberFormat="1" applyFont="1" applyFill="1"/>
    <xf numFmtId="0" fontId="87" fillId="25" borderId="0" xfId="0" applyFont="1" applyFill="1"/>
    <xf numFmtId="172" fontId="80" fillId="27" borderId="7" xfId="0" applyNumberFormat="1" applyFont="1" applyFill="1" applyBorder="1" applyAlignment="1">
      <alignment horizontal="center"/>
    </xf>
    <xf numFmtId="172" fontId="85" fillId="25" borderId="8" xfId="0" applyNumberFormat="1" applyFont="1" applyFill="1" applyBorder="1" applyAlignment="1">
      <alignment horizontal="center"/>
    </xf>
    <xf numFmtId="172" fontId="86" fillId="27" borderId="0" xfId="0" applyNumberFormat="1" applyFont="1" applyFill="1" applyAlignment="1">
      <alignment horizontal="center"/>
    </xf>
    <xf numFmtId="173" fontId="80" fillId="27" borderId="7" xfId="0" applyNumberFormat="1" applyFont="1" applyFill="1" applyBorder="1" applyAlignment="1">
      <alignment horizontal="center"/>
    </xf>
    <xf numFmtId="173" fontId="85" fillId="25" borderId="8" xfId="0" applyNumberFormat="1" applyFont="1" applyFill="1" applyBorder="1" applyAlignment="1">
      <alignment horizontal="center"/>
    </xf>
    <xf numFmtId="171" fontId="84" fillId="27" borderId="0" xfId="0" applyNumberFormat="1" applyFont="1" applyFill="1"/>
    <xf numFmtId="172" fontId="80" fillId="27" borderId="0" xfId="0" applyNumberFormat="1" applyFont="1" applyFill="1" applyAlignment="1">
      <alignment horizontal="center"/>
    </xf>
    <xf numFmtId="171" fontId="84" fillId="28" borderId="0" xfId="0" applyNumberFormat="1" applyFont="1" applyFill="1"/>
    <xf numFmtId="172" fontId="80" fillId="28" borderId="0" xfId="0" applyNumberFormat="1" applyFont="1" applyFill="1" applyAlignment="1">
      <alignment horizontal="center"/>
    </xf>
    <xf numFmtId="0" fontId="84" fillId="27" borderId="0" xfId="0" applyFont="1" applyFill="1"/>
    <xf numFmtId="173" fontId="80" fillId="27" borderId="0" xfId="0" applyNumberFormat="1" applyFont="1" applyFill="1" applyAlignment="1">
      <alignment horizontal="center"/>
    </xf>
    <xf numFmtId="0" fontId="84" fillId="28" borderId="0" xfId="0" applyFont="1" applyFill="1"/>
    <xf numFmtId="173" fontId="80" fillId="28" borderId="0" xfId="0" applyNumberFormat="1" applyFont="1" applyFill="1" applyAlignment="1">
      <alignment horizontal="center"/>
    </xf>
    <xf numFmtId="172" fontId="81" fillId="27" borderId="0" xfId="0" applyNumberFormat="1" applyFont="1" applyFill="1" applyAlignment="1">
      <alignment horizontal="center"/>
    </xf>
    <xf numFmtId="173" fontId="81" fillId="28" borderId="0" xfId="0" applyNumberFormat="1" applyFont="1" applyFill="1" applyAlignment="1">
      <alignment horizontal="center"/>
    </xf>
    <xf numFmtId="0" fontId="42" fillId="0" borderId="0" xfId="0" applyFont="1" applyAlignment="1" applyProtection="1">
      <alignment horizontal="center" vertical="center"/>
      <protection locked="0"/>
    </xf>
    <xf numFmtId="0" fontId="26" fillId="0" borderId="3" xfId="0" applyFont="1" applyBorder="1" applyAlignment="1" applyProtection="1">
      <alignment horizontal="center" vertical="center"/>
      <protection locked="0"/>
    </xf>
    <xf numFmtId="0" fontId="42" fillId="0" borderId="3" xfId="0" applyFont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32" fillId="3" borderId="0" xfId="0" applyFont="1" applyFill="1" applyAlignment="1">
      <alignment horizontal="center" vertical="center" wrapText="1"/>
    </xf>
    <xf numFmtId="0" fontId="32" fillId="3" borderId="2" xfId="0" applyFont="1" applyFill="1" applyBorder="1" applyAlignment="1">
      <alignment horizontal="center" vertical="center" wrapText="1"/>
    </xf>
    <xf numFmtId="0" fontId="81" fillId="26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2" fillId="3" borderId="4" xfId="0" applyFont="1" applyFill="1" applyBorder="1" applyAlignment="1">
      <alignment horizontal="center" vertical="center" wrapText="1"/>
    </xf>
    <xf numFmtId="0" fontId="32" fillId="3" borderId="2" xfId="0" applyFont="1" applyFill="1" applyBorder="1" applyAlignment="1">
      <alignment horizontal="center" vertical="center"/>
    </xf>
    <xf numFmtId="0" fontId="3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81" fillId="26" borderId="0" xfId="0" applyFont="1" applyFill="1" applyAlignment="1"/>
  </cellXfs>
  <cellStyles count="3">
    <cellStyle name="Currency" xfId="1" builtinId="4"/>
    <cellStyle name="Hyperlink" xfId="2" xr:uid="{00000000-000B-0000-0000-000008000000}"/>
    <cellStyle name="Normal" xfId="0" builtinId="0"/>
  </cellStyles>
  <dxfs count="27">
    <dxf>
      <alignment horizontal="center"/>
    </dxf>
    <dxf>
      <alignment horizontal="center"/>
    </dxf>
    <dxf>
      <numFmt numFmtId="166" formatCode="#,##0\ &quot;€&quot;"/>
    </dxf>
    <dxf>
      <alignment horizontal="center"/>
    </dxf>
    <dxf>
      <alignment horizontal="center"/>
    </dxf>
    <dxf>
      <numFmt numFmtId="166" formatCode="#,##0\ &quot;€&quot;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alignment horizontal="center"/>
    </dxf>
    <dxf>
      <alignment horizontal="center"/>
    </dxf>
    <dxf>
      <numFmt numFmtId="166" formatCode="#,##0\ &quot;€&quot;"/>
    </dxf>
    <dxf>
      <numFmt numFmtId="166" formatCode="#,##0\ &quot;€&quot;"/>
    </dxf>
    <dxf>
      <numFmt numFmtId="166" formatCode="#,##0\ &quot;€&quot;"/>
    </dxf>
    <dxf>
      <numFmt numFmtId="166" formatCode="#,##0\ &quot;€&quot;"/>
    </dxf>
    <dxf>
      <numFmt numFmtId="166" formatCode="#,##0\ &quot;€&quot;"/>
    </dxf>
    <dxf>
      <numFmt numFmtId="166" formatCode="#,##0\ &quot;€&quot;"/>
    </dxf>
    <dxf>
      <numFmt numFmtId="166" formatCode="#,##0\ &quot;€&quot;"/>
    </dxf>
    <dxf>
      <numFmt numFmtId="166" formatCode="#,##0\ &quot;€&quot;"/>
    </dxf>
    <dxf>
      <numFmt numFmtId="166" formatCode="#,##0\ &quot;€&quot;"/>
    </dxf>
    <dxf>
      <numFmt numFmtId="166" formatCode="#,##0\ &quot;€&quot;"/>
    </dxf>
    <dxf>
      <numFmt numFmtId="166" formatCode="#,##0\ &quot;€&quot;"/>
    </dxf>
    <dxf>
      <numFmt numFmtId="166" formatCode="#,##0\ &quot;€&quot;"/>
    </dxf>
    <dxf>
      <numFmt numFmtId="166" formatCode="#,##0\ &quot;€&quot;"/>
    </dxf>
  </dxfs>
  <tableStyles count="0" defaultTableStyle="TableStyleMedium2" defaultPivotStyle="PivotStyleLight16"/>
  <colors>
    <mruColors>
      <color rgb="FFFFC7C7"/>
      <color rgb="FFDDC9F2"/>
      <color rgb="FFFFFAEB"/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7E8CAFE-E881-42D8-92EB-5E2FA0CEBA06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C82FD6D-4187-42DE-87D6-BDAE1078106D}">
    <nsvFilter filterId="{EF6D707C-BDD5-416B-AAF3-2924671B11B3}" ref="A5:BA145" tableId="0">
      <columnFilter colId="6">
        <filter colId="6">
          <x:filters>
            <x:filter val="HAV"/>
            <x:filter val="TV"/>
          </x:filters>
        </filter>
      </columnFilter>
    </nsvFilter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9002F1D-6304-45DE-9C3F-ADAFD0596AA7}">
    <nsvFilter filterId="{EF6D707C-BDD5-416B-AAF3-2924671B11B3}" ref="A3:BI3" tableId="0">
      <columnFilter colId="6">
        <filter colId="6">
          <x:filters>
            <x:filter val="HAV"/>
            <x:filter val="TV"/>
          </x:filters>
        </filter>
      </columnFilter>
    </nsvFilter>
  </namedSheetView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8412653-CD9F-463E-8AD7-4590E5A0F1A6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Emmanuel Gomez" id="{A15F51FF-C289-4131-A99F-107FFE3C5C95}" userId="S::team@sarani.studio::2318d34d-fd51-41ed-913f-8ced216862ff" providerId="AD"/>
  <person displayName="Alice Devulder" id="{16E1EF1D-2D7F-40BA-B6AD-F9731AA429C9}" userId="S::alice@sarani.studio::af36e512-afec-4932-80b4-29f92e4bc3d5" providerId="AD"/>
  <person displayName="Guest User" id="{FC769506-2E34-453A-ACDA-4D17A5B886EE}" userId="S::urn:spo:tenantanon#3703d1cb-138e-4914-bb7c-124585f64959::" providerId="AD"/>
  <person displayName="Utilisateur invité" id="{AD2C1C08-DFEB-43B3-8586-B78C42D16921}" userId="S::urn:spo:anon#13c4cd0a6d10b8b87835d35742d93a3d7f06385e998c2931f5780b1aa032fe90::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548.6110162037" createdVersion="8" refreshedVersion="8" minRefreshableVersion="3" recordCount="508" xr:uid="{39A46A84-0F69-4D05-9101-BE9EDA2116D8}">
  <cacheSource type="worksheet">
    <worksheetSource ref="A3:U1048576" sheet="Sony France"/>
  </cacheSource>
  <cacheFields count="21">
    <cacheField name="Customer" numFmtId="0">
      <sharedItems containsBlank="1"/>
    </cacheField>
    <cacheField name="Division" numFmtId="0">
      <sharedItems containsBlank="1"/>
    </cacheField>
    <cacheField name="FY" numFmtId="0">
      <sharedItems containsBlank="1" count="4">
        <s v="FY22"/>
        <s v="FY23"/>
        <m/>
        <s v="FY24"/>
      </sharedItems>
    </cacheField>
    <cacheField name="Quarter" numFmtId="0">
      <sharedItems containsBlank="1" count="7">
        <s v="Q3"/>
        <s v="Q4"/>
        <s v="Q1"/>
        <s v="Q2"/>
        <m/>
        <s v="" u="1"/>
        <e v="#REF!" u="1"/>
      </sharedItems>
    </cacheField>
    <cacheField name="Month" numFmtId="0">
      <sharedItems containsBlank="1" count="28">
        <s v="08-NOV"/>
        <s v="09-DEC"/>
        <s v="10-JAN"/>
        <s v="11-FEB"/>
        <s v="12-MAR"/>
        <s v="01-APR"/>
        <s v="02-MAY"/>
        <s v="03-JUN"/>
        <s v="05-AUG"/>
        <s v="07-OCT"/>
        <s v="06-SEP"/>
        <s v="04-JUL"/>
        <m/>
        <s v="" u="1"/>
        <e v="#REF!" u="1"/>
        <s v="06-G7SEP" u="1"/>
        <s v="NOV" u="1"/>
        <s v="DEC" u="1"/>
        <s v="JAN" u="1"/>
        <s v="FEB" u="1"/>
        <s v="MAR" u="1"/>
        <s v="APR" u="1"/>
        <s v="MAY" u="1"/>
        <s v="JUN" u="1"/>
        <s v="JUL" u="1"/>
        <s v="AUG" u="1"/>
        <s v="SEP" u="1"/>
        <s v="OCT" u="1"/>
      </sharedItems>
    </cacheField>
    <cacheField name="Date" numFmtId="168">
      <sharedItems containsNonDate="0" containsDate="1" containsString="0" containsBlank="1" minDate="2022-11-15T00:00:00" maxDate="2024-09-13T00:00:00"/>
    </cacheField>
    <cacheField name="Project" numFmtId="0">
      <sharedItems containsBlank="1" count="505">
        <s v="MDR MEG TW FNAC"/>
        <s v="MDR TW Stop Rayon Bluetooth Multipoint"/>
        <s v="Xmas - Creative Assets"/>
        <s v="Bulles Boulanger 2"/>
        <s v="Infographies PSK FR"/>
        <s v="1000XM5 Award"/>
        <s v="A95K-A83K Topper"/>
        <s v="Labo Fnac"/>
        <s v="HAV PLV MEG BDS LEAFLET TV"/>
        <s v="LinkBuds S avec SZA"/>
        <s v="Sony Values Poster (5 A4 assets)"/>
        <s v="Infographies Xperia 5M4"/>
        <s v="Newsletter PRT Décembre"/>
        <s v="OP FAITES VOTRE CINEMA"/>
        <s v="VITRO A7RV"/>
        <s v="PANNEAU PHOTO HAUT VITRINE"/>
        <s v="Winter Sales Banners adaptations DI"/>
        <s v="Micromania Boites Factices Update"/>
        <s v="Invitation Dealers Days"/>
        <s v="Banners Inzone soldes"/>
        <s v="OP FX3 Assets"/>
        <s v="OP Trade In Janvier"/>
        <s v="Infographies NW-A306"/>
        <s v="HAV Brief créa ILV A4 accessoires"/>
        <s v="CREA SOLDES - XB300"/>
        <s v="Update - Plan merch DI"/>
        <s v="Additional DI assets"/>
        <s v="PSK - Refresh Inlay display PSK HYPERS"/>
        <s v="Newsletter PRT Janvier"/>
        <s v="Lenses 3D Virtual Showroom"/>
        <s v="Bannières New VX8030"/>
        <s v="HAS - podium High Power Leclerc"/>
        <s v="Dealer Days 2023 DI"/>
        <s v="HAV ILV4 et Awards"/>
        <s v="Glorifier Boulanger ZV 1F"/>
        <s v="LANCEMENT CH720 / CH520"/>
        <s v="Fiche produit WHCH720-520N"/>
        <s v="Adaptation WE LIVE FOR THE MUSIC backdrop LOCAL"/>
        <s v="OP Tryptique"/>
        <s v="Inlay CH720"/>
        <s v="OP Trade In Février"/>
        <s v="OP REMISE IMMEDIATE DI"/>
        <s v="Newsletter PRT Février"/>
        <s v="Amazon Les jours Sony"/>
        <s v="MDR - FNAC NEW WALL A4"/>
        <s v="Brief Sony Bannières Bravia Core Boulanger"/>
        <s v="MDR - Offline POS CH720N CH520"/>
        <s v="Synchro HAV lancements TV FY23"/>
        <s v="HAV Cashback"/>
        <s v="Welcome to VLOG"/>
        <s v="Web banner WF-C700 WH-1000XM5"/>
        <s v="Bannières awards"/>
        <s v="Adaptation Landing Page FY23"/>
        <s v="Landing page Partenaires"/>
        <s v="Lancement TV 2023 Assets"/>
        <s v="Web Pop Crunchyroll"/>
        <s v="Fiche Produit WF-C700"/>
        <s v="FY23 BRAVIA Launch extra assets"/>
        <s v="MDR - Assets OFFLINE WF-C700N"/>
        <s v="ZV-E1 Launch assets"/>
        <s v="HAV - offre caisson SW3 offert"/>
        <s v="Sony offre salariés - Visuel Promo"/>
        <s v="Offre Sony D2C"/>
        <s v="PLV A80L Awards"/>
        <s v="Brief créa cashback TV x HAV"/>
        <s v="HAV Cashback extra format"/>
        <s v="MACROM TV Black friday - Créa offre spéciale"/>
        <s v="3 créas Meuble TV 4K "/>
        <s v="MARCOM TV | Nouvelles dimensions - créa chevalet A4"/>
        <s v=" TV | Sticker Boulanger 65X90L"/>
        <s v="Flash visual adaptation"/>
        <s v=" TV | Toile tendue DARTY ST EGREVE"/>
        <s v="TV | Webpop awards A95L"/>
        <s v="French Days Assets"/>
        <s v="Lancement Xperia 5 V "/>
        <s v="OP BTS DI"/>
        <s v="Assets world cup rugby adaptations"/>
        <s v="Assets Offline RUGBY"/>
        <s v="Lancement TV A95L"/>
        <s v="TV - Screenfill A95L"/>
        <s v="Brief Screenfills TV 2021/2022"/>
        <s v="Créa photobooth PGW 2023"/>
        <s v="HAV POS Darwin"/>
        <s v="INZONE new banners"/>
        <s v="Adaptations A7C"/>
        <s v="OP Back to School"/>
        <s v="Créa sticker SRS-XB100"/>
        <s v="Crea AN1000"/>
        <s v="Newsletter PRT Q3 &amp; Sep 2023"/>
        <s v="Landing page Audio FY23 "/>
        <s v="Adaptation Bannières XG300"/>
        <s v="A95L Megastar"/>
        <s v="BOULANGER Homepage A95L"/>
        <s v="3 créas Meuble TV 4K"/>
        <s v="Soldes d'été - adaptation"/>
        <s v="Bannières de lancement - HT-A7X "/>
        <s v="Bannières teasing E5 Boulanger"/>
        <s v="Adaptation bannières Boulanger "/>
        <s v="FNAC DARTY WF1000XM5"/>
        <s v="Bannières Boulanger Try&amp;Buy WF-1000XM5"/>
        <s v="Boulanger | Social Ads - WF1000XM5"/>
        <s v="Opération Optiques GM garantie"/>
        <s v="Op Optiques"/>
        <s v="Je fais mon kit - 2023"/>
        <s v="BOULANGER | -10% sur les A80L"/>
        <s v="Screenfill A95L D2C adaptation"/>
        <s v="RETARGETING | Formats display et natives"/>
        <s v="A95L | Vidéo de 25 secondes"/>
        <s v="Display et Habillage TV A95L DARTY"/>
        <s v="OFFRE ILV 65X90BF BOULANGER "/>
        <s v="BOULANGER | Modification des dimensions"/>
        <s v="BOULANGER | Bannière HT-A9"/>
        <s v="CREAL OFFLINE XV800 ET XB100"/>
        <s v="Sous Titrage WF1000XM5"/>
        <s v="INZONE PGW - MEG Headset "/>
        <s v="A4 Bundle barre de son &amp; caisson-BLACK FRIDAY ACTIVATION"/>
        <s v="Bundles D2C-BLACK FRIDAY ACTIVATION"/>
        <s v="BANNIERE XB100 BALCK FRIDAY-BLACK FRIDAY ACTIVATION"/>
        <s v="Bundles banners adaptationsBLACK FRIDAY ACTIVATION"/>
        <s v="INZONE INLAY"/>
        <s v="Bannières 98X90L"/>
        <s v="TV A80L + X75WL banners"/>
        <s v="Création Assets - Régie Mégastar"/>
        <s v="Format Impulse Barre de son Fnac Darty"/>
        <s v="Awards A95L Screenfill"/>
        <s v="Floating EPOP - OP "/>
        <s v="Nouveau screenfill A95L D2C"/>
        <s v="Créa chevalet Awards A95L"/>
        <s v="Webpop crunchyroll update"/>
        <s v="Bannière black Friday TV"/>
        <s v="DI - Parution Magazine Photo "/>
        <s v="DI | PRINT ALWAYS ON - DEC"/>
        <s v="New Microphones launch"/>
        <s v="New Launch - FE 300mm F2.8 GM OSS"/>
        <s v="Nouveaute FE300F28GM_PROMO"/>
        <s v="PGW 2023 Assets"/>
        <s v="OP XMAS 1"/>
        <s v="OP XMAS 2"/>
        <s v="JPO Fnac Visual "/>
        <s v="Xmas banner adaptations"/>
        <s v="Adaptation bannières OP 800 PRT "/>
        <s v="FY23 SFR DI Always on online assets"/>
        <s v="DI - Créa always on digital"/>
        <s v="OP EXTENSION DE GARANTIE"/>
        <s v="Lancement CX64800 Online"/>
        <s v="A6700_POSTER A4 et A3"/>
        <s v="New August DI banners"/>
        <s v="Xperia offline adaptations"/>
        <s v="BRIEF CREA PANNEAUX salon de la PHOTO"/>
        <s v="Vlog leaflet Translations"/>
        <s v="Assets FR A95L"/>
        <s v="Assets world cup rugby"/>
        <s v="Sony Rugby T-shirt"/>
        <s v="OP PRT - Juillet"/>
        <s v="OP TRADE IN - A7RV "/>
        <s v="D2C sony.fr banners"/>
        <s v="HAV - Cashback TV / BDS Automne23"/>
        <s v="Cross Visuel - Document de formation"/>
        <s v="Adaptations C700 / CH520 / XG300"/>
        <s v="Affichages dynamiques - BOULANGER"/>
        <s v="OP Photo Fnac"/>
        <s v="OP Photo Fnac adaptations"/>
        <s v="Déclinaisons Packs VLOG / FF"/>
        <s v="ZV-E1 - vidéo format court"/>
        <s v="SFR OP ZV 1II"/>
        <s v="Adaptation A3 ZV 1II"/>
        <s v="CROSS Produits + X80L + A80L​"/>
        <s v="Nouveautés DI et promos"/>
        <s v="Newsletter PRT Juillet"/>
        <s v="Soldes d'été 2023"/>
        <s v="Social shopping TV banner"/>
        <s v="Banner Japan Expo - Crunchyroll"/>
        <s v="New C700 Video - Short Video Editing "/>
        <s v="Fiche Produit XB100"/>
        <s v="Lancement XPERIA 1 V "/>
        <s v="TA-AN1000 fiche produit V2 "/>
        <s v="MDR - MEG C500 C700 E5"/>
        <s v="POS S2000"/>
        <s v="Habillages C700N CH520 CH720N"/>
        <s v="Fiche Produit nouveauté E5"/>
        <s v="Newsletter PRT Juin"/>
        <s v="Xperia 1 &amp; 10 V - Infographics"/>
        <s v="Campagne TV launch FNAC DARTY"/>
        <s v="Mockup Newsletter Micromania"/>
        <s v="Spiderman Micromania banners"/>
        <s v="HAV bundle - Réseaux sociaux"/>
        <s v="Jeu Concours PS5 - Banners Boulanger"/>
        <s v="Lancement TA-AN1000 - Banners Boulanger"/>
        <s v="OP FX30 - Photo Univers"/>
        <s v="CX64800 - Photo Univers"/>
        <s v="Promo Xperia 10 V"/>
        <s v="Xperia 10V Fiche produit"/>
        <s v="Xperia Infographics Lavender"/>
        <s v="OP PRT - A6400"/>
        <s v="OP PRT - TELECONVERTISSEUR Optique"/>
        <s v="OP PRT - A7M3"/>
        <s v="OP FX30 PRT"/>
        <s v="SFR Glorifier ZVE1 "/>
        <s v="Sony INZONE Micromania"/>
        <s v="HAV Cashback - Déclinaisons Online"/>
        <s v="WSK - XV800 Web banner"/>
        <s v="WSK - XV800 POS"/>
        <s v="HAV POS TA-AN1000"/>
        <s v="LANCEMENT XV800 Fiches produit"/>
        <s v="Bannières Boulanger promo barres de son"/>
        <s v="Bannières de lancement A80L + ZV-E1"/>
        <s v="Adaptation Megastar Cashback TV HAV"/>
        <s v="OP summer - Déclinaisons Photo Univers"/>
        <s v="Adaptation Offres MEGASTAR"/>
        <s v="Habillages de site Lancement TV FY23"/>
        <s v="OP FX30"/>
        <s v="Newsletter PRT Mai"/>
        <s v="ZV-E1 Offline assets"/>
        <s v="OP SUMMER"/>
        <s v="Panneaux Photo Haut de meuble"/>
        <s v="Déclinaisons TV / DI"/>
        <s v="Webpop TV FY23"/>
        <s v="Cashback TV HAV - Adaptation Impulse"/>
        <s v="BRIEF / FRENCH DAYS"/>
        <s v="Winter Sales Banners adaptations"/>
        <s v="Bannière black Friday Cross"/>
        <s v="CROSS | online assets NOEL"/>
        <s v="CROSS | Brief soldes d'hiver"/>
        <s v="Social Video Alpha Universe"/>
        <s v="MEDIA DI | Bannières 10 ans Alpha"/>
        <s v="Leaflet adaptation"/>
        <s v="A80L KV Spiderman Les Numériques"/>
        <s v="SONY sticker nouveauté "/>
        <s v="15% TV XXL"/>
        <s v="BRAVIA CORE video"/>
        <s v="TV | New Créa X85L"/>
        <s v="Visuel TV Soldes"/>
        <s v="Reel WH-1000XM5 family"/>
        <s v="Bannière offre noël PRT // A7M3"/>
        <s v="OP LANCEMENT A9III extra asset"/>
        <s v="New TV Visuels Hero - Micromania"/>
        <s v="BOULANGER | Adaptations des créas Photo Soldes"/>
        <s v="BOULANGER | Bannière &quot;Choisir sa TV&quot;"/>
        <s v="OP XPERIA Orange"/>
        <s v="Fnac Airport - Créa Challenge"/>
        <s v="POS WSK JANVIER"/>
        <s v="What HI-FI Xperia"/>
        <s v="Update battery claim"/>
        <s v="Le printemps Sony / Amazon"/>
        <s v="Back-to-School Sony Crea - AMAZON"/>
        <s v="Soldes Réseaux Sociaux"/>
        <s v="BOULANGER | Bannière Exclus 2 en 1 "/>
        <s v="Boulanger Alisage"/>
        <s v="BLACK FRIDAY | Bannières Boulanger"/>
        <s v="Assets Créa SOLDES - Boulanger"/>
        <s v="Créa Impulse 65A95L"/>
        <s v="HAV caisson offert - adaptations"/>
        <s v="Infographies XB100"/>
        <s v="Web banners XB100 Adaptations"/>
        <s v="MICROMANIA - Boite adaptation"/>
        <s v="CREA TA-AN1000"/>
        <s v="VITRO SPECIFIQUES Top Store A9M3"/>
        <s v="VITRO A9III"/>
        <s v="Signature Email - A9III"/>
        <s v="V&amp;S | Vidéo HT-A7000"/>
        <s v="Bannière WHM5 Family"/>
        <s v="Post HT-A7000"/>
        <s v="Décli D2C FE300F28GM"/>
        <s v="Assets A9III"/>
        <s v="OP LANCEMENT A9III"/>
        <s v="Crea SPES TV Garantie 5 Ans offerte"/>
        <s v="Assets Brand Week - Amazon"/>
        <s v="Compilation vidéo FNAC"/>
        <s v="Cross banner adaptation"/>
        <s v="Boulanger formats - OP Photo"/>
        <s v="OP TRADE IN_ Prolongation"/>
        <s v="OP WBW A6700"/>
        <s v="OP_ZV E1 + Micro"/>
        <s v="TV | T&amp;C Crunchyroll"/>
        <s v="Screenfills without 2023"/>
        <s v="DI | Print POLKA janvier 2024"/>
        <s v="DI | Always on print - Février"/>
        <s v="LOCALISATION  Brochure ILX-LR1 et Leaflet Micro"/>
        <s v="Vidéo Magasin Boulanger - Coupe du Monde de Rugby"/>
        <s v="Affichages dynamiques - RELAY"/>
        <s v="Intégration inscreen sur visuels TV"/>
        <s v="Bannières Braderie Boulanger"/>
        <s v="Patacos nouveautés MDR"/>
        <s v="OP Les belles ouvertures 2"/>
        <s v="OP A7M3"/>
        <s v="DI AUGUST PROMO Extension"/>
        <s v="OP Black Friday"/>
        <s v="Banner nouveautes OPTIQUE"/>
        <s v="Alpha range leaflet - Format A3"/>
        <s v="PACK A6400 FNAC DARTY"/>
        <s v="OP Winter banners"/>
        <s v="OP IP&amp;S MARS"/>
        <s v="PROLONGATION TRADE IN"/>
        <s v="Crea Camara Brive"/>
        <s v="SONY - Créa Fiche produit XV500"/>
        <s v="SONY PATACO RELAY"/>
        <s v="SONY - Banniere XV500 BOULANGER"/>
        <s v="SRS-XV500 | Bannières de lancement"/>
        <s v="Plan Merch Update"/>
        <s v="Assets OP Hiver - Spé TV"/>
        <s v="Banner D2C - 65X95L + S40R"/>
        <s v="POS ADAPTATION "/>
        <s v="DI Always On - Habillage 1800x1000"/>
        <s v="Le Mag Photo Adaptation"/>
        <s v="FY23 SFR DI French days assets "/>
        <s v="Invitation Dealer 2024"/>
        <s v="HAV - Cashback TV / BDS Automne23 "/>
        <s v="MICROMANIA - Boites factices nouveautés 2023"/>
        <s v="French Days - Adaptations Boulanger"/>
        <s v="TV - Displays Les Numériques"/>
        <s v="RUGBY WORLDCUP FNAC DARTY "/>
        <s v="BOULANGER | Une PS5 à gagner pour l'achat d'un XPERIA"/>
        <s v="BANNIERE ONLINE LANCEMENT INZONE 10/10"/>
        <s v="BF TV Banner RS"/>
        <s v="Adaptation bannières BF TV"/>
        <s v="Bundles RS déclinaisons"/>
        <s v="BOULANGER | Bannières WF-1000XM5"/>
        <s v="Assets PRT Soldes Janvier 2024 extra sizes"/>
        <s v="SOLDES - Boulanger adaptations"/>
        <s v="Je fais mon Kit 2024"/>
        <s v="Banniere Offre Speciale / Platine + Cross Noël"/>
        <s v="FY23 SFR DI Q4 FPPLI banners"/>
        <s v="FY23 SFR Q4 DI Always On digital_x000d_"/>
        <s v="Mise à jour formats homepage 75X75WL"/>
        <s v=" Adaptations réseaux sociaux WF-1000XM5"/>
        <s v="OP Winter"/>
        <s v="OP Trade-In et Hiver"/>
        <s v="OP PORTRAIT"/>
        <s v="OP WBW AVRIL"/>
        <s v="Bannière Micromania TV/Crunchyroll"/>
        <s v="BOULANGER | HTS400 offerte pour l'achat d'une 75X75WL"/>
        <s v="BOULANGER | Bannières Infinity"/>
        <s v="BOULANGER | BUNDLE A3000+SW3"/>
        <s v="BOULANGER | ILV Magasins"/>
        <s v="BOULANGER | Homepage sur l'Audio Coloré"/>
        <s v="Audio Coloré adaptation Newsletter"/>
        <s v="BOULANGER | Offre XM4"/>
        <s v="BOULANGER | Offres sur la 1000X Family"/>
        <s v="Brief Créa ULT - Megastar/Impulse Fnac Darty"/>
        <s v="Q3 Newsletter"/>
        <s v="A95L Hero VIsual"/>
        <s v="Newsletter PRT Mars"/>
        <s v="French Days - TV HAV réseaux sociaux"/>
        <s v="AN1000 Award"/>
        <s v="BRIEF CREA_Magnet ZV 1II"/>
        <s v="Comparaison Table Xperia 5 V"/>
        <s v="FICHES PRODUITS LANCEMENT INZONE "/>
        <s v="D2C - Paris Games Week"/>
        <s v="Newsletter PRT - Janvier 2024"/>
        <s v="Stickers vitrines - Dealer Days 2024"/>
        <s v="TV x HAV - EuroCup &amp; JO 2024"/>
        <s v="TV SONY format demi-page"/>
        <s v="BOULANGER OP AVRIL"/>
        <s v="OP SUMMER FY24"/>
        <s v="HABILLAGE BOULANGER GENNEVILLIERS"/>
        <s v="Media Cross | Assets French Days 2024"/>
        <s v="BRIEF INLAYS ULT"/>
        <s v="HE | Cashback lancement HE 2024"/>
        <s v="HE | Adaptation POS Gamme 2024"/>
        <s v="XV500 Subtitles"/>
        <s v="POS ULT"/>
        <s v="HE | POLO promoteurs Eurocup"/>
        <s v="Adaptation bannière A95L "/>
        <s v="FICHES PRODUITS ULT FAMILY"/>
        <s v="ULT | Bannières"/>
        <s v="HE | Bannières &amp; modalités SPC"/>
        <s v="Visuel ZV E10-format FNAC"/>
        <s v="OP 500€ de remise_ KIT A7M4 ou A7M3"/>
        <s v="ULT - CHALLENGE POS"/>
        <s v="Affiche A9M_ Decli Vitrine IP CHOLET"/>
        <s v="MEDIA DI | Créa phox été"/>
        <s v="Lancement nouvel Objectif_BANNERS"/>
        <s v="ULT WEAR - AMS bannières statiques"/>
        <s v="ULT WEAR - REC AMAZON"/>
        <s v="Assets Vidéos - Campagne Social Ads Fnac Darty"/>
        <s v="HE | Traduction fiches produit HAV"/>
        <s v="OP LANDSCAPE_banners"/>
        <s v="Visuels page produits S40R"/>
        <s v="MARCOM HE | Screenfills BVB A80L &amp; A95L"/>
        <s v="FRENCH DAYS | Adaptation des créas"/>
        <s v="Lancement adaptation bannières BOULANGER"/>
        <s v="BOULANGER | Nouveautés TV"/>
        <s v="BOULANGER | Offre CB Mai"/>
        <s v="Créa Box magasin"/>
        <s v="Lancement nouveauté Xperia"/>
        <s v="Infographics - New Xperia"/>
        <s v="Sticker Xperia"/>
        <s v="SIMUL MERCH FNAC"/>
        <s v="BOULANGER | Offre 75X75WL"/>
        <s v="Nouveau Xperia_Product Sheet and Sticker"/>
        <s v="BOULANGER  | Showcase Criteo"/>
        <s v="Matrice de Choix de TV/ Usages /Techno"/>
        <s v="Fnac Darty - Brief Habillage &amp; Bannières OP Photo"/>
        <s v="BOULANGER | Vidéo Magasin - Un été sportif avec Bravia"/>
        <s v="Lancement nouveau XPERIA 10"/>
        <s v="Mise au format visuel JPO FNAC Audio"/>
        <s v="NOUVEAU XPERIA 10 VI_Assets Online et Offline"/>
        <s v="Nouveau format Megastar ULT"/>
        <s v="BOULANGER | Video SocialAds GAMME ULT"/>
        <s v="Etiquette inlay "/>
        <s v="HE | screenfill X75WL"/>
        <s v="BOULANGER | Offres Audio EURO"/>
        <s v="Adaptation POS leaflet/upcale/TV guide"/>
        <s v="Modification Assets Cashback TV &amp; BDS"/>
        <s v="BOULANGER | Adaptation bulles WFXM5"/>
        <s v="Reformatage Asset ULT - Challenge Fnac Airport"/>
        <s v="PROLONGATION OP XPERIA 1 VI"/>
        <s v="HE | Vidéo BVB pour Social boost"/>
        <s v="ULT bannières"/>
        <s v="BOULANGER | ILV Magasins  - CH720N"/>
        <s v="BOULANGER | Vidéo Magasin - 2e vidéo TV"/>
        <s v="Bannière Always DI (710€)"/>
        <s v="Vidéos HE lancement 2024"/>
        <s v="URGENCE OP_WBW A7CII A7CR "/>
        <s v="BOULANGER | Vidéo magasins ULT"/>
        <s v="BOULANGER | Trigger TV BDS"/>
        <s v="DI | Brief 21x21 OPENEYE"/>
        <s v="BOULANGER | Offre limitée sur les A80L"/>
        <s v="BOULANGER | Mise à jour landing page TV"/>
        <s v="OP BOOST A7M3 A7M4"/>
        <s v="T&amp;C Crunchyroll - update 2024"/>
        <s v="BRAVIA 8 BVB screenfill "/>
        <s v="STUDENT CASHBACK France"/>
        <s v="Print always on DI - Juin"/>
        <s v="Adaptations Header web"/>
        <s v="BOULANGER | Synergie TV &amp; BDS"/>
        <s v="CROSS | Assets Soldes d'été 2024"/>
        <s v="HE | Brief PDF T&amp;C Molotov"/>
        <s v="BOULANGER | Newsletter 65BRAVIA7 + QUAD"/>
        <s v="OP A7RV"/>
        <s v="OPTIQUES GM_A6"/>
        <s v="DI | FY24 Always ON DI - Flight 1"/>
        <s v="HE | Magnet A4"/>
        <s v="MARCOM HE | T&amp;C PS Premium promo"/>
        <s v="TRES URGENT_DIRECTE CB DI"/>
        <s v="MARCOM HE | Webpop Offres HE"/>
        <s v="Affichages dynamiques - RELAY V1"/>
        <s v="BOULANGER | Habillage rayon casques TV"/>
        <s v="Decli CREA SUDENTS_ROLL UP"/>
        <s v="Student CB Boulanger formats"/>
        <s v="OP WELCOME TO ALPHA"/>
        <s v="PROLONGATION OP A7CII et A7CR"/>
        <s v="TRADE IN A7RV"/>
        <s v=" MARCOM HE | ILV A4 BAR 8 - Mural BDS"/>
        <s v="PROLONGATION OP A6700"/>
        <s v="Simluation rayon casques TV"/>
        <s v="NOUVEAUTE ZV"/>
        <s v="Facture Complémentaire PO 4200663610"/>
        <s v="BOULANGER | Offres braderie"/>
        <s v="Visuel 800 x 418 - Lancement ZVE10M2B"/>
        <s v="Insertion pub"/>
        <s v="BOULANGER | Opération de reprise Gaming"/>
        <s v="CREA DSP WH1000XM5"/>
        <s v="HE | ILV Theatre U"/>
        <s v="DI | Print Image et Nature Août"/>
        <s v="Inlay Darty Custom "/>
        <s v="Affichages dynamiques - RELAY V2"/>
        <s v="Crea OFFLINE ZV E10 II"/>
        <s v="PLV ULT FIELD 7"/>
        <s v="OP IP&amp;S AOUT_Focales Fixes et TRADE IN "/>
        <s v="BOULANGER | 15% sur le 65A95L"/>
        <s v="DI | Catalogue Camara "/>
        <s v="BOULANGER | Offre de reprise A7M4"/>
        <s v="SIMUL Merch FNAC update"/>
        <s v="HE | Webpop Offres HE"/>
        <s v="BOULANGER | Bannières Back To School"/>
        <s v="MARCOM HE | Screenfills W800"/>
        <s v="MARCOM HAV | Hang tag T-U"/>
        <s v="MARCOM HE / PE | RAYON CASQUES TV - A4 MEG"/>
        <s v="Brief gondole high power Boulanger"/>
        <s v="BANNIERES D2C CTL PRODUCT"/>
        <s v="POS OFFLINE WF-510"/>
        <s v="Vectorisation image canapé 6 place"/>
        <s v="A4 couverture magasine Seminaire"/>
        <s v="INLAY INZONE UPDATE"/>
        <s v="Panneau - Visuel pour un événement interne Sony"/>
        <s v="Gondole rayon casque TV Boulanger"/>
        <s v="MARCOM DI | Print Chasseur d'images septembre"/>
        <s v="BOULANGER | 65B7 / bundle Bravia U offert "/>
        <s v="Nouveau VX8040_banners URGENTES"/>
        <s v="URGENT : Visuel pour stand Fnac"/>
        <s v="MARCOM HAV | Chevalet A4 Synergie BRAVIA"/>
        <s v="BOULANGER / ULT WEAR / BRAVIA "/>
        <s v="Hangtag WH-CH520"/>
        <s v="MARCOM HE | Créa Muraux Boulanger"/>
        <s v="MARCOM HAV | A4 prix gamme HAV"/>
        <s v="CUBE POS WF-510"/>
        <s v="OP LENSES BACK TO SCHOOL"/>
        <s v="SDLP - LEAFLET MICROS"/>
        <s v="SFR - Brief chevalet WF-1000XM5 New affordable"/>
        <m/>
        <s v="MEDIA DI | Print septembre"/>
        <s v="SDLP - Leaflet Vlogging"/>
        <s v="Visualisation Rendu Rayon Casques TV"/>
        <s v="Fiche Produit LINKBUDS SPEAKER"/>
        <s v="MARCOM HAV | Inserts Refresh"/>
        <s v="MARCOM HE | Adaptation Inscreen stickers pour Muraux Boulanger"/>
        <s v="Visualisation plan merch Boulanger"/>
        <s v="BOULANGER | Visuels WH1000XM4 avec awards"/>
        <s v="BOULANGER [ Offres Spéciales Barre de Son"/>
        <s v="S2000 Web banners adaptations" u="1"/>
        <s v="POS ADAPTATION (POCKET)" u="1"/>
        <s v="FY23 SFR DI French days assets (POCKET)" u="1"/>
        <s v="POS ULT &amp; A4 A5 FNAC DARTY" u="1"/>
        <s v="SUMMER FY24" u="1"/>
      </sharedItems>
    </cacheField>
    <cacheField name="Contact" numFmtId="0">
      <sharedItems containsBlank="1" count="33">
        <s v="Laura Vivient"/>
        <s v="Maxime Fenech"/>
        <s v="Léa Novio"/>
        <s v="Françoise Burgarella"/>
        <s v="Astrid Jean-Baptiste"/>
        <s v="Alice Mucke"/>
        <s v="Héloïse Leroy"/>
        <s v="Joelle Mechache"/>
        <s v="Maureen Masson"/>
        <s v="Kenza Touili"/>
        <s v="Ivet Rico"/>
        <s v="Anissa Azediou"/>
        <m/>
        <s v="Mylène Pellet"/>
        <s v="Xanthi Ountzoudi"/>
        <s v="Lucia Alvaro"/>
        <s v="Caroline Dindault"/>
        <s v="Pascale Saint-Jean"/>
        <s v="Joseph Batellier"/>
        <s v="Fatima-Zohra Ichi"/>
        <s v="Sébastien Minaux"/>
        <s v="Kenza Touilli"/>
        <s v="Antoine Cuvillier"/>
        <s v="Valentin Gibaud"/>
        <s v="Orianne Hochweiker"/>
        <s v="Lisa Peron"/>
        <s v="Justine RODRIGUES"/>
        <s v="Astrid " u="1"/>
        <s v="Kenza " u="1"/>
        <s v="Eva Desmarest" u="1"/>
        <s v="Lea Novio" u="1"/>
        <s v="Heloise Leroy" u="1"/>
        <s v="Joëlle Mechache" u="1"/>
      </sharedItems>
    </cacheField>
    <cacheField name="Status" numFmtId="0">
      <sharedItems containsBlank="1"/>
    </cacheField>
    <cacheField name="Category" numFmtId="0">
      <sharedItems containsBlank="1" count="23">
        <s v="MDR"/>
        <s v="Cross"/>
        <s v="PAG"/>
        <s v="TV"/>
        <s v="HAV"/>
        <s v="DI"/>
        <m/>
        <s v="MARCOM TV"/>
        <s v="MEDIA DI"/>
        <s v="MARCOM HAV"/>
        <s v="MEDIA TV"/>
        <s v="Xperia"/>
        <s v="PSK"/>
        <s v="GAM"/>
        <s v="INZONE" u="1"/>
        <s v="TV " u="1"/>
        <s v="V&amp;S" u="1"/>
        <s v="Other" u="1"/>
        <s v="MEDIA Cross" u="1"/>
        <s v="S&amp;V" u="1"/>
        <s v="MEDIA V&amp;S" u="1"/>
        <s v="WSK" u="1"/>
        <s v="Micromania" u="1"/>
      </sharedItems>
    </cacheField>
    <cacheField name="Team" numFmtId="0">
      <sharedItems containsBlank="1" count="5">
        <s v="BA"/>
        <s v="CM"/>
        <m/>
        <s v="" u="1"/>
        <s v="-" u="1"/>
      </sharedItems>
    </cacheField>
    <cacheField name="Link" numFmtId="0">
      <sharedItems containsBlank="1"/>
    </cacheField>
    <cacheField name="Assets" numFmtId="0">
      <sharedItems containsBlank="1" containsMixedTypes="1" containsNumber="1" minValue="0.5" maxValue="134"/>
    </cacheField>
    <cacheField name="Total Value" numFmtId="167">
      <sharedItems containsBlank="1" containsMixedTypes="1" containsNumber="1" minValue="20" maxValue="6010"/>
    </cacheField>
    <cacheField name="Quote" numFmtId="0">
      <sharedItems containsDate="1" containsBlank="1" containsMixedTypes="1" minDate="2022-08-12T00:00:00" maxDate="2023-06-21T00:00:00"/>
    </cacheField>
    <cacheField name="PO Status" numFmtId="0">
      <sharedItems containsBlank="1" containsMixedTypes="1" containsNumber="1" containsInteger="1" minValue="1001329016" maxValue="4200656596" count="9">
        <s v=""/>
        <m/>
        <s v="PO en attente"/>
        <s v="PO DI A PASSER"/>
        <s v="ok"/>
        <s v="FREE"/>
        <s v="-"/>
        <n v="1001329016"/>
        <n v="4200656596" u="1"/>
      </sharedItems>
    </cacheField>
    <cacheField name="PO" numFmtId="0">
      <sharedItems containsBlank="1" containsMixedTypes="1" containsNumber="1" containsInteger="1" minValue="4200631419" maxValue="4270028665" count="237">
        <s v="4200630823"/>
        <s v="4200630799"/>
        <s v="4200632493"/>
        <s v="4200630798"/>
        <s v="4200630825"/>
        <s v="4270024443"/>
        <s v="4200631414"/>
        <s v="4200631417"/>
        <s v="4200630829"/>
        <s v="4200630821"/>
        <n v="4200631419"/>
        <s v="4200631343"/>
        <n v="4200639267"/>
        <n v="4200633114"/>
        <n v="4200633341"/>
        <n v="4200633116"/>
        <n v="4200632799"/>
        <n v="4200635815"/>
        <n v="4200634748"/>
        <n v="4200633093"/>
        <n v="4200632673"/>
        <n v="4200632670"/>
        <n v="4200634882"/>
        <n v="4200635620"/>
        <n v="4200633321"/>
        <n v="4200639269"/>
        <n v="4200639281"/>
        <n v="4270024966"/>
        <n v="4200639268"/>
        <n v="4200639270"/>
        <n v="4200633858"/>
        <n v="4200634883"/>
        <n v="4200635109"/>
        <n v="4200638979"/>
        <n v="4200636045"/>
        <n v="4200637328"/>
        <n v="4200637327"/>
        <n v="4200637329"/>
        <n v="4200639098"/>
        <n v="4200639013"/>
        <n v="4200636098"/>
        <n v="4200636262"/>
        <n v="4200639291"/>
        <n v="4200638974"/>
        <n v="4200639008"/>
        <n v="4200639014"/>
        <n v="4200639227"/>
        <n v="4200639226"/>
        <n v="4200640853"/>
        <n v="4200640930"/>
        <n v="4200639051"/>
        <n v="4200639006"/>
        <n v="4200639353"/>
        <n v="4200639031"/>
        <s v="Covered"/>
        <n v="4200640929"/>
        <n v="4200639284"/>
        <n v="4200640938"/>
        <n v="4200639687"/>
        <n v="4200640937"/>
        <s v="A déduire de 4200639284 "/>
        <s v="-"/>
        <n v="4200652038"/>
        <n v="4200651960"/>
        <n v="4200651981"/>
        <n v="4200654041"/>
        <n v="4200653933"/>
        <n v="4200653894"/>
        <n v="4200653899"/>
        <n v="4270026854"/>
        <n v="4200654054"/>
        <n v="4200653974"/>
        <n v="4200653949"/>
        <n v="4200652895"/>
        <n v="4200638728"/>
        <n v="4200647984"/>
        <n v="4200648002"/>
        <n v="4200653900"/>
        <n v="4200647987"/>
        <n v="4200653885"/>
        <n v="4200654186"/>
        <n v="4200654197"/>
        <n v="4200655224"/>
        <n v="4270027042"/>
        <n v="4200655349"/>
        <n v="4200655370"/>
        <n v="4200657838"/>
        <s v="PO4200655370"/>
        <n v="4270027058"/>
        <n v="4200653906"/>
        <n v="4200655672"/>
        <n v="4200655673"/>
        <n v="4200655508"/>
        <n v="4200655684"/>
        <s v="4200655508_x000a_4200657347"/>
        <n v="4200655571"/>
        <n v="4270026671"/>
        <n v="4200655681"/>
        <n v="4200655525"/>
        <n v="4200651986"/>
        <n v="4200651991"/>
        <n v="4200651983"/>
        <n v="4200651982"/>
        <n v="4200650337"/>
        <n v="4200650334"/>
        <n v="4200650333"/>
        <n v="4200650327"/>
        <n v="4200648695"/>
        <n v="4200648470"/>
        <n v="4200648411"/>
        <n v="4200648422"/>
        <n v="4200648442"/>
        <n v="4200648499"/>
        <n v="4200641950"/>
        <n v="4200646848"/>
        <n v="4200646347"/>
        <n v="4200646652"/>
        <n v="4200646852"/>
        <n v="4200646668"/>
        <n v="4200646678"/>
        <n v="4200646679"/>
        <n v="4200646594"/>
        <n v="4200646326"/>
        <n v="4200641929"/>
        <n v="4200641951"/>
        <n v="4200646327"/>
        <n v="4200646074"/>
        <s v="4200646111 "/>
        <n v="4200646100"/>
        <n v="4200645628"/>
        <n v="4200645636"/>
        <n v="4200645676"/>
        <n v="4200645678"/>
        <n v="4200645677"/>
        <n v="4200645668"/>
        <n v="4200641959"/>
        <n v="4200644333"/>
        <n v="4200644208"/>
        <n v="4200644224"/>
        <n v="4200644207"/>
        <n v="4200642825"/>
        <n v="4200641787"/>
        <n v="4200641797"/>
        <n v="4200657327"/>
        <n v="4200657385"/>
        <n v="4200657361"/>
        <n v="4200657357"/>
        <n v="4200657347"/>
        <n v="4200657843"/>
        <n v="4200657852"/>
        <n v="4200658481"/>
        <n v="4200658466"/>
        <n v="4200658460"/>
        <n v="4270027413"/>
        <n v="4200657837"/>
        <n v="4200659416"/>
        <n v="4200659622"/>
        <n v="4200659852"/>
        <n v="4200659650"/>
        <n v="4200657839"/>
        <n v="4200659667"/>
        <n v="4200659864"/>
        <n v="4200659863"/>
        <s v="4200657160 ( 875)"/>
        <n v="4200661507"/>
        <n v="4200661512"/>
        <n v="4200661515"/>
        <s v="4200661515"/>
        <n v="4200662212"/>
        <s v="4200662156"/>
        <s v="4200662196"/>
        <s v="4200662004 "/>
        <s v="4200661839"/>
        <s v="4200661838"/>
        <s v="4200661819"/>
        <s v="4200661818"/>
        <n v="4200661132"/>
        <n v="4200662194"/>
        <s v="4200661829"/>
        <s v="4200661817"/>
        <s v="4200657852"/>
        <n v="4200656596"/>
        <s v="4200662923"/>
        <n v="4200663716"/>
        <s v="4200663716"/>
        <s v="4200663610"/>
        <n v="4200663610"/>
        <m/>
        <n v="4200669114"/>
        <n v="4200664132"/>
        <n v="4200665906"/>
        <s v="4200665873"/>
        <s v="4200663622"/>
        <s v="4200665859"/>
        <s v="4200664137"/>
        <s v="4200665082"/>
        <s v="4200666286"/>
        <s v="4200664144"/>
        <s v="4200664145"/>
        <n v="4200665873"/>
        <n v="4200666278"/>
        <n v="4200665083"/>
        <n v="4200665081"/>
        <n v="4200665908"/>
        <n v="4200665859"/>
        <n v="4200665074"/>
        <n v="4200665900"/>
        <n v="4200663623"/>
        <n v="4200663723"/>
        <n v="4200663622"/>
        <n v="4200667763"/>
        <n v="4200665080"/>
        <n v="4200665913"/>
        <n v="4200667000"/>
        <n v="4200667862"/>
        <n v="4270028664"/>
        <n v="4200670851"/>
        <n v="4200667460"/>
        <n v="4200669103"/>
        <n v="4200667754"/>
        <n v="4200667871"/>
        <n v="4200667507"/>
        <n v="4200667764"/>
        <n v="4200669104"/>
        <n v="4200667761"/>
        <n v="4200669152"/>
        <n v="4200667872"/>
        <n v="4200668827"/>
        <n v="4200668817"/>
        <n v="4200668815"/>
        <n v="4200668816"/>
        <n v="4200668826"/>
        <n v="4200668080"/>
        <n v="4270028665"/>
        <n v="4200670787"/>
        <n v="4200670036"/>
        <n v="4200652021" u="1"/>
      </sharedItems>
    </cacheField>
    <cacheField name="Mois de paiement" numFmtId="0">
      <sharedItems containsDate="1" containsBlank="1" containsMixedTypes="1" minDate="2024-09-01T00:00:00" maxDate="2024-09-02T00:00:00"/>
    </cacheField>
    <cacheField name="Invoice" numFmtId="0">
      <sharedItems containsBlank="1"/>
    </cacheField>
    <cacheField name="N° Invoice" numFmtId="0">
      <sharedItems containsBlank="1"/>
    </cacheField>
    <cacheField name="Status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8">
  <r>
    <s v="Sony"/>
    <s v="SFR"/>
    <x v="0"/>
    <x v="0"/>
    <x v="0"/>
    <d v="2022-11-15T00:00:00"/>
    <x v="0"/>
    <x v="0"/>
    <s v="Delivered"/>
    <x v="0"/>
    <x v="0"/>
    <s v="https://saranistudio-my.sharepoint.com/:f:/g/personal/team_sarani_studio/Etevju8IZKpEjFi3N14QmoUBp7wUTsms6pxhOWBv6e2jlQ?e=pPaido2y"/>
    <n v="3"/>
    <n v="405"/>
    <s v="29/11/2022"/>
    <x v="0"/>
    <x v="0"/>
    <m/>
    <s v="Sent"/>
    <s v="-"/>
    <s v="Paid"/>
  </r>
  <r>
    <s v="Sony"/>
    <s v="SFR"/>
    <x v="0"/>
    <x v="0"/>
    <x v="0"/>
    <d v="2022-11-15T00:00:00"/>
    <x v="1"/>
    <x v="0"/>
    <s v="Delivered"/>
    <x v="0"/>
    <x v="0"/>
    <s v="https://saranistudio-my.sharepoint.com/:f:/g/personal/team_sarani_studio/EiWYden95S1PhgR70pI8qxEBwY-0nfvYhECdhw2ZQdFqdw?e=PaidMO8n"/>
    <n v="1"/>
    <n v="135"/>
    <s v="29/11/2022"/>
    <x v="0"/>
    <x v="1"/>
    <m/>
    <s v="Sent"/>
    <s v="-"/>
    <s v="Paid"/>
  </r>
  <r>
    <s v="Sony"/>
    <s v="SFR"/>
    <x v="0"/>
    <x v="0"/>
    <x v="0"/>
    <d v="2022-11-17T00:00:00"/>
    <x v="2"/>
    <x v="1"/>
    <s v="Delivered"/>
    <x v="1"/>
    <x v="0"/>
    <s v="https://saranistudio-my.sharepoint.com/:f:/g/personal/team_sarani_studio/EiXLGF1XZ1VNkmFgudaLWcQB0AP6n1T0jNDvvhweNqqJwg?e=vKq0Pw"/>
    <n v="19"/>
    <n v="665"/>
    <s v="22/11/2022"/>
    <x v="0"/>
    <x v="2"/>
    <m/>
    <s v="Sent"/>
    <s v="-"/>
    <s v="Paid"/>
  </r>
  <r>
    <s v="Sony"/>
    <s v="SFR"/>
    <x v="0"/>
    <x v="0"/>
    <x v="0"/>
    <d v="2022-11-18T00:00:00"/>
    <x v="3"/>
    <x v="0"/>
    <s v="Delivered"/>
    <x v="0"/>
    <x v="0"/>
    <s v="https://saranistudio-my.sharepoint.com/:f:/g/personal/team_sarani_studio/EvZFoSgMoTlGiWeuK20ZrcwBr1BCtYNuR2DptwGgJMpg-A?e=ucRI2s"/>
    <n v="1"/>
    <n v="120"/>
    <s v="29/11/2022"/>
    <x v="0"/>
    <x v="3"/>
    <m/>
    <s v="Sent"/>
    <s v="-"/>
    <s v="Paid"/>
  </r>
  <r>
    <s v="Sony"/>
    <s v="SFR"/>
    <x v="0"/>
    <x v="0"/>
    <x v="0"/>
    <d v="2022-11-18T00:00:00"/>
    <x v="4"/>
    <x v="0"/>
    <s v="Delivered"/>
    <x v="2"/>
    <x v="0"/>
    <s v="https://saranistudio-my.sharepoint.com/:f:/g/personal/team_sarani_studio/Evtfs8z--DpCs3Qy9Cvq1Y4BMFsqWlLop36Ti2xykheKBA?e=DSnQzV"/>
    <n v="16"/>
    <n v="560"/>
    <s v="29/11/2022"/>
    <x v="0"/>
    <x v="4"/>
    <m/>
    <s v="Sent"/>
    <s v="-"/>
    <s v="Paid"/>
  </r>
  <r>
    <s v="Sony"/>
    <s v="SFR"/>
    <x v="0"/>
    <x v="0"/>
    <x v="0"/>
    <d v="2022-11-18T00:00:00"/>
    <x v="5"/>
    <x v="0"/>
    <s v="Delivered"/>
    <x v="0"/>
    <x v="0"/>
    <s v="https://saranistudio-my.sharepoint.com/:f:/g/personal/team_sarani_studio/Eiu73Y88xwJPqQdXyeju6gcBPx5Nk46QboMvzke5SksCEw?e=lK8Qjn"/>
    <n v="2"/>
    <n v="70"/>
    <s v="29/11/2022"/>
    <x v="0"/>
    <x v="5"/>
    <m/>
    <s v="Sent"/>
    <s v="-"/>
    <s v="Paid"/>
  </r>
  <r>
    <s v="Sony"/>
    <s v="SFR"/>
    <x v="0"/>
    <x v="0"/>
    <x v="0"/>
    <d v="2022-11-23T00:00:00"/>
    <x v="6"/>
    <x v="2"/>
    <s v="Delivered"/>
    <x v="3"/>
    <x v="0"/>
    <s v="https://saranistudio-my.sharepoint.com/:f:/g/personal/team_sarani_studio/Enb5T0uGjd5It7r-yOl8Hw4BRcePMvNEVtlCj65ShnZ1eA?e=oRN2hs"/>
    <n v="2"/>
    <n v="175"/>
    <d v="2022-08-12T00:00:00"/>
    <x v="0"/>
    <x v="6"/>
    <m/>
    <s v="Sent"/>
    <s v="-"/>
    <s v="Paid"/>
  </r>
  <r>
    <s v="Sony"/>
    <s v="SFR"/>
    <x v="0"/>
    <x v="0"/>
    <x v="0"/>
    <d v="2022-11-23T00:00:00"/>
    <x v="7"/>
    <x v="2"/>
    <s v="Delivered"/>
    <x v="3"/>
    <x v="0"/>
    <s v="https://saranistudio-my.sharepoint.com/:f:/g/personal/team_sarani_studio/EmBOVYV-QulImoZen16_XSMBt4gcYjkuDidXF__Uf1-VHw?e=ibhnwE"/>
    <n v="5"/>
    <n v="175"/>
    <s v="29/11/2022"/>
    <x v="0"/>
    <x v="7"/>
    <m/>
    <s v="Sent"/>
    <s v="-"/>
    <s v="Paid"/>
  </r>
  <r>
    <s v="Sony"/>
    <s v="SFR"/>
    <x v="0"/>
    <x v="0"/>
    <x v="0"/>
    <d v="2022-11-23T00:00:00"/>
    <x v="8"/>
    <x v="0"/>
    <s v="Delivered"/>
    <x v="4"/>
    <x v="0"/>
    <s v="https://saranistudio-my.sharepoint.com/:f:/g/personal/team_sarani_studio/EsKN0KK2wo5EuWcP_12lMhIBc3AUZVWjUaf03MKgHmGTeQ?e=4x7Av8"/>
    <n v="2"/>
    <n v="175"/>
    <s v="30/11/2022"/>
    <x v="0"/>
    <x v="8"/>
    <m/>
    <s v="Sent"/>
    <s v="-"/>
    <s v="Paid"/>
  </r>
  <r>
    <s v="Sony"/>
    <s v="SFR"/>
    <x v="0"/>
    <x v="0"/>
    <x v="1"/>
    <d v="2022-12-01T00:00:00"/>
    <x v="9"/>
    <x v="0"/>
    <s v="Delivered"/>
    <x v="0"/>
    <x v="0"/>
    <s v="https://saranistudio-my.sharepoint.com/:f:/g/personal/team_sarani_studio/Ev2DdJ24TI9DnMYkKwzIkq0BHlTI4PJMje_IlrhSeabtxw?e=g9BnfI"/>
    <n v="5"/>
    <n v="175"/>
    <d v="2022-08-12T00:00:00"/>
    <x v="0"/>
    <x v="9"/>
    <m/>
    <s v="Sent"/>
    <s v="-"/>
    <s v="Paid"/>
  </r>
  <r>
    <s v="Sony"/>
    <s v="SFR"/>
    <x v="0"/>
    <x v="0"/>
    <x v="1"/>
    <d v="2022-12-01T00:00:00"/>
    <x v="10"/>
    <x v="3"/>
    <s v="Delivered"/>
    <x v="1"/>
    <x v="0"/>
    <s v="https://saranistudio-my.sharepoint.com/:f:/g/personal/team_sarani_studio/Em0VBaXS7r5GiCtkcsyiCosBToqjoeJ6S1SQLfPqkfkGsQ?e=fEshRi"/>
    <n v="4"/>
    <n v="350"/>
    <s v="14/12/2022"/>
    <x v="0"/>
    <x v="10"/>
    <m/>
    <s v="Sent"/>
    <s v="-"/>
    <s v="Paid"/>
  </r>
  <r>
    <s v="Sony"/>
    <s v="SFR"/>
    <x v="0"/>
    <x v="0"/>
    <x v="1"/>
    <d v="2022-12-02T00:00:00"/>
    <x v="11"/>
    <x v="4"/>
    <s v="Delivered"/>
    <x v="5"/>
    <x v="0"/>
    <s v="https://saranistudio-my.sharepoint.com/:f:/g/personal/team_sarani_studio/Eu6UoQJssNdAvleXAzibZ1MBJ1RpI-TWGcduRRM37c84hw?e=4VncEj"/>
    <n v="8"/>
    <n v="280"/>
    <s v="14/12/2022"/>
    <x v="0"/>
    <x v="11"/>
    <m/>
    <s v="Sent"/>
    <s v="-"/>
    <s v="Paid"/>
  </r>
  <r>
    <s v="Sony"/>
    <s v="SFR"/>
    <x v="0"/>
    <x v="0"/>
    <x v="1"/>
    <d v="2022-12-14T00:00:00"/>
    <x v="12"/>
    <x v="5"/>
    <s v="Delivered"/>
    <x v="5"/>
    <x v="0"/>
    <s v="-"/>
    <n v="1"/>
    <n v="600"/>
    <s v="15/12/2022"/>
    <x v="0"/>
    <x v="12"/>
    <m/>
    <s v="Sent"/>
    <s v="-"/>
    <s v="Paid"/>
  </r>
  <r>
    <s v="Sony"/>
    <s v="SFR"/>
    <x v="0"/>
    <x v="0"/>
    <x v="1"/>
    <d v="2022-12-19T00:00:00"/>
    <x v="13"/>
    <x v="4"/>
    <s v="Delivered"/>
    <x v="5"/>
    <x v="0"/>
    <s v="https://saranistudio-my.sharepoint.com/:f:/g/personal/team_sarani_studio/EuGwoElxdVxAqUlHd5jwPl0Bd9dIrtw0j4nHaTHU_C0F4Q?e=k1zDEI"/>
    <n v="7"/>
    <n v="330"/>
    <d v="2023-01-05T00:00:00"/>
    <x v="0"/>
    <x v="13"/>
    <m/>
    <s v="Sent"/>
    <s v="-"/>
    <s v="Paid"/>
  </r>
  <r>
    <s v="Sony"/>
    <s v="SFR"/>
    <x v="0"/>
    <x v="0"/>
    <x v="1"/>
    <d v="2022-12-19T00:00:00"/>
    <x v="14"/>
    <x v="4"/>
    <s v="Delivered"/>
    <x v="5"/>
    <x v="0"/>
    <s v="https://saranistudio-my.sharepoint.com/:f:/g/personal/team_sarani_studio/El0REgOxzW1Eiu8AI5a8WPQBuRgA-xuGK77IgcuOUuwGhw?e=jWWT4e"/>
    <n v="20"/>
    <n v="895"/>
    <d v="2023-01-17T00:00:00"/>
    <x v="0"/>
    <x v="14"/>
    <m/>
    <s v="Sent"/>
    <s v="-"/>
    <s v="Paid"/>
  </r>
  <r>
    <s v="Sony"/>
    <s v="SFR"/>
    <x v="0"/>
    <x v="0"/>
    <x v="1"/>
    <d v="2022-12-19T00:00:00"/>
    <x v="15"/>
    <x v="4"/>
    <s v="Delivered"/>
    <x v="5"/>
    <x v="0"/>
    <s v="https://saranistudio-my.sharepoint.com/:f:/g/personal/team_sarani_studio/En0xaWGTYWZOtWFNrWlERJYBEkKsluD4U7oLp_2fMTfyPA?e=3dNfLG"/>
    <n v="11"/>
    <n v="535"/>
    <d v="2023-01-05T00:00:00"/>
    <x v="0"/>
    <x v="15"/>
    <m/>
    <s v="Sent"/>
    <s v="-"/>
    <s v="Paid"/>
  </r>
  <r>
    <s v="Sony"/>
    <s v="SFR"/>
    <x v="0"/>
    <x v="0"/>
    <x v="1"/>
    <d v="2022-12-21T00:00:00"/>
    <x v="16"/>
    <x v="4"/>
    <s v="Delivered"/>
    <x v="5"/>
    <x v="0"/>
    <s v="https://saranistudio-my.sharepoint.com/:f:/g/personal/team_sarani_studio/EitZRBZy2n1Kkw5kaWztE5sBgYKU_BFeDcX25iDrx1Ct5w?e=j19Nkg"/>
    <n v="9"/>
    <n v="315"/>
    <d v="2023-01-05T00:00:00"/>
    <x v="0"/>
    <x v="16"/>
    <m/>
    <s v="Sent"/>
    <s v="-"/>
    <s v="Paid"/>
  </r>
  <r>
    <s v="Sony"/>
    <s v="SFR"/>
    <x v="0"/>
    <x v="0"/>
    <x v="1"/>
    <d v="2022-12-22T00:00:00"/>
    <x v="17"/>
    <x v="5"/>
    <s v="Delivered"/>
    <x v="0"/>
    <x v="1"/>
    <s v="https://saranistudio-my.sharepoint.com/:f:/g/personal/team_sarani_studio/Ehi8kv4332BOmhmF0GTdxqcBXMS0bXPqJJq-QzgW5N5jlg?e=BJOqXJ"/>
    <n v="5"/>
    <n v="360"/>
    <d v="2023-01-05T00:00:00"/>
    <x v="0"/>
    <x v="17"/>
    <m/>
    <s v="Sent"/>
    <s v="-"/>
    <s v="Paid"/>
  </r>
  <r>
    <s v="Sony"/>
    <s v="SFR"/>
    <x v="0"/>
    <x v="0"/>
    <x v="1"/>
    <d v="2022-12-28T00:00:00"/>
    <x v="18"/>
    <x v="6"/>
    <s v="Delivered"/>
    <x v="1"/>
    <x v="0"/>
    <s v="https://saranistudio-my.sharepoint.com/:f:/g/personal/team_sarani_studio/EqmJWhjv9h9NosYk49rtluQBxvyRtTDdxMXLJdwMK-1B6g?e=mNiTFd"/>
    <n v="0.5"/>
    <n v="300"/>
    <d v="2023-01-05T00:00:00"/>
    <x v="0"/>
    <x v="18"/>
    <m/>
    <s v="Sent"/>
    <s v="-"/>
    <s v="Paid"/>
  </r>
  <r>
    <s v="Sony"/>
    <s v="SFR"/>
    <x v="0"/>
    <x v="1"/>
    <x v="2"/>
    <d v="2023-01-02T00:00:00"/>
    <x v="19"/>
    <x v="2"/>
    <s v="Delivered"/>
    <x v="0"/>
    <x v="0"/>
    <s v="https://saranistudio-my.sharepoint.com/:f:/g/personal/team_sarani_studio/EuGDS2OAMPpGu_ldGvZT0DMBpcZ-xeMJpp8v2XzS9CAt0g?e=xhsdm9"/>
    <n v="6"/>
    <n v="380"/>
    <d v="2023-01-05T00:00:00"/>
    <x v="0"/>
    <x v="19"/>
    <m/>
    <s v="Sent"/>
    <s v="-"/>
    <s v="Paid"/>
  </r>
  <r>
    <s v="Sony"/>
    <s v="SFR"/>
    <x v="0"/>
    <x v="1"/>
    <x v="2"/>
    <d v="2023-01-02T00:00:00"/>
    <x v="20"/>
    <x v="4"/>
    <s v="Delivered"/>
    <x v="5"/>
    <x v="0"/>
    <s v="https://saranistudio-my.sharepoint.com/:f:/g/personal/team_sarani_studio/EitCbbZcUbZAkfWL7WBLee8BGH7SK4bXE2Dt7jdZHoYz1g?e=PygYN7"/>
    <n v="6"/>
    <n v="295"/>
    <d v="2023-01-05T00:00:00"/>
    <x v="0"/>
    <x v="20"/>
    <m/>
    <s v="Sent"/>
    <s v="-"/>
    <s v="Paid"/>
  </r>
  <r>
    <s v="Sony"/>
    <s v="SFR"/>
    <x v="0"/>
    <x v="1"/>
    <x v="2"/>
    <d v="2023-01-02T00:00:00"/>
    <x v="21"/>
    <x v="4"/>
    <s v="Delivered"/>
    <x v="5"/>
    <x v="0"/>
    <s v="https://saranistudio-my.sharepoint.com/:f:/g/personal/team_sarani_studio/EoitW15aeoVAtVoerfyyJgAB8NtwzeqQjRMP7QJz7L-yow?e=jCYZtF"/>
    <n v="6"/>
    <n v="295"/>
    <d v="2023-01-05T00:00:00"/>
    <x v="0"/>
    <x v="21"/>
    <m/>
    <s v="Sent"/>
    <s v="-"/>
    <s v="Paid"/>
  </r>
  <r>
    <s v="Sony"/>
    <s v="SFR"/>
    <x v="0"/>
    <x v="1"/>
    <x v="2"/>
    <d v="2023-01-04T00:00:00"/>
    <x v="22"/>
    <x v="0"/>
    <s v="Delivered"/>
    <x v="0"/>
    <x v="0"/>
    <s v="https://saranistudio-my.sharepoint.com/:f:/g/personal/team_sarani_studio/Ev8VV5oNGQpDt88C9YGvPJ0BeWvCOnfN80JI8f52rlCkDA?e=svUNka"/>
    <n v="9"/>
    <n v="315"/>
    <d v="2023-01-17T00:00:00"/>
    <x v="0"/>
    <x v="22"/>
    <m/>
    <s v="Sent"/>
    <s v="-"/>
    <s v="Paid"/>
  </r>
  <r>
    <s v="Sony"/>
    <s v="SFR"/>
    <x v="0"/>
    <x v="1"/>
    <x v="2"/>
    <d v="2023-01-04T00:00:00"/>
    <x v="23"/>
    <x v="2"/>
    <s v="Delivered"/>
    <x v="3"/>
    <x v="0"/>
    <s v="https://saranistudio-my.sharepoint.com/:f:/g/personal/team_sarani_studio/ErATZuFVVhFNvJLA8_C_5_kBPisr2V-sQmmcvuADdnOrlg?e=Jt6Yhl"/>
    <n v="4"/>
    <n v="300"/>
    <d v="2023-01-15T00:00:00"/>
    <x v="0"/>
    <x v="23"/>
    <m/>
    <s v="Sent"/>
    <s v="-"/>
    <s v="Paid"/>
  </r>
  <r>
    <s v="Sony"/>
    <s v="SFR"/>
    <x v="0"/>
    <x v="1"/>
    <x v="2"/>
    <d v="2023-01-05T00:00:00"/>
    <x v="24"/>
    <x v="3"/>
    <s v="Delivered"/>
    <x v="2"/>
    <x v="0"/>
    <s v="https://saranistudio-my.sharepoint.com/:f:/g/personal/team_sarani_studio/EqOyYJkBr71FjjKi8T4TbU8BmZDWzGHq4lIzmPemScoNIg?e=gSGgM9"/>
    <n v="4"/>
    <n v="140"/>
    <d v="2023-01-16T00:00:00"/>
    <x v="0"/>
    <x v="24"/>
    <m/>
    <s v="Sent"/>
    <s v="-"/>
    <s v="Paid"/>
  </r>
  <r>
    <s v="Sony"/>
    <s v="SFR"/>
    <x v="0"/>
    <x v="1"/>
    <x v="2"/>
    <d v="2023-01-10T00:00:00"/>
    <x v="25"/>
    <x v="5"/>
    <s v="Delivered"/>
    <x v="5"/>
    <x v="1"/>
    <s v="https://saranistudio-my.sharepoint.com/:f:/g/personal/team_sarani_studio/EgL726Ww1tBPiY3JLeGkgKABHLa4iBWeCZvZMffXcTD0Ow?e=Ev0d8h"/>
    <n v="2"/>
    <n v="500"/>
    <d v="2023-03-21T00:00:00"/>
    <x v="0"/>
    <x v="25"/>
    <m/>
    <s v="Sent"/>
    <s v="-"/>
    <s v="Paid"/>
  </r>
  <r>
    <s v="Sony"/>
    <s v="SFR"/>
    <x v="0"/>
    <x v="1"/>
    <x v="2"/>
    <d v="2023-01-12T00:00:00"/>
    <x v="26"/>
    <x v="5"/>
    <s v="Delivered"/>
    <x v="5"/>
    <x v="1"/>
    <s v="https://saranistudio-my.sharepoint.com/:f:/g/personal/team_sarani_studio/EitZRBZy2n1Kkw5kaWztE5sBgYKU_BFeDcX25iDrx1Ct5w?e=j19Nkg"/>
    <n v="4"/>
    <n v="145"/>
    <d v="2023-01-15T00:00:00"/>
    <x v="0"/>
    <x v="26"/>
    <m/>
    <s v="Sent"/>
    <s v="-"/>
    <s v="Paid"/>
  </r>
  <r>
    <s v="Sony"/>
    <s v="SFR"/>
    <x v="0"/>
    <x v="1"/>
    <x v="2"/>
    <d v="2023-01-12T00:00:00"/>
    <x v="27"/>
    <x v="0"/>
    <s v="Delivered"/>
    <x v="2"/>
    <x v="0"/>
    <s v="https://saranistudio-my.sharepoint.com/:f:/g/personal/team_sarani_studio/EtI6MF01VhJDu73LzSQ3CuMBaxqkBPUNcHfWG9NmZXKZGA?e=cAjunF"/>
    <n v="2"/>
    <n v="80"/>
    <d v="2023-01-15T00:00:00"/>
    <x v="0"/>
    <x v="27"/>
    <m/>
    <s v="Sent"/>
    <s v="-"/>
    <s v="Paid"/>
  </r>
  <r>
    <s v="Sony"/>
    <s v="SFR"/>
    <x v="0"/>
    <x v="1"/>
    <x v="2"/>
    <d v="2023-01-16T00:00:00"/>
    <x v="28"/>
    <x v="5"/>
    <s v="Delivered"/>
    <x v="5"/>
    <x v="0"/>
    <s v="-"/>
    <n v="1"/>
    <n v="600"/>
    <d v="2023-01-24T00:00:00"/>
    <x v="0"/>
    <x v="28"/>
    <m/>
    <s v="Sent"/>
    <s v="-"/>
    <s v="Paid"/>
  </r>
  <r>
    <s v="Sony"/>
    <s v="SFR"/>
    <x v="0"/>
    <x v="1"/>
    <x v="2"/>
    <d v="2023-01-17T00:00:00"/>
    <x v="29"/>
    <x v="5"/>
    <s v="Delivered"/>
    <x v="5"/>
    <x v="1"/>
    <s v="-"/>
    <n v="1.2"/>
    <n v="3000"/>
    <d v="2023-01-24T00:00:00"/>
    <x v="0"/>
    <x v="29"/>
    <m/>
    <s v="Sent"/>
    <s v="-"/>
    <s v="Paid"/>
  </r>
  <r>
    <s v="Sony"/>
    <s v="SFR"/>
    <x v="0"/>
    <x v="1"/>
    <x v="2"/>
    <d v="2023-01-17T00:00:00"/>
    <x v="30"/>
    <x v="4"/>
    <s v="Delivered"/>
    <x v="5"/>
    <x v="0"/>
    <s v="https://saranistudio-my.sharepoint.com/:f:/g/personal/team_sarani_studio/EksBlAWoBtxAkG5l32B3Di0BbzDMWHG22vO5j0H6ctS9zw?e=RqK3BS"/>
    <n v="4"/>
    <n v="140"/>
    <d v="2023-01-24T00:00:00"/>
    <x v="0"/>
    <x v="30"/>
    <m/>
    <s v="Sent"/>
    <s v="-"/>
    <s v="Paid"/>
  </r>
  <r>
    <s v="Sony"/>
    <s v="SFR"/>
    <x v="0"/>
    <x v="1"/>
    <x v="2"/>
    <d v="2023-01-18T00:00:00"/>
    <x v="31"/>
    <x v="0"/>
    <s v="Delivered"/>
    <x v="2"/>
    <x v="0"/>
    <s v="https://saranistudio-my.sharepoint.com/:f:/g/personal/team_sarani_studio/Euz7AgxtBlxIhnwZ-lXXmF4BeflqaS0GTyKxYGbCz-vMlw?e=IjE9RV"/>
    <n v="5"/>
    <n v="485"/>
    <d v="2023-02-06T00:00:00"/>
    <x v="0"/>
    <x v="31"/>
    <m/>
    <s v="Sent"/>
    <s v="-"/>
    <s v="Paid"/>
  </r>
  <r>
    <s v="Sony"/>
    <s v="SFR"/>
    <x v="0"/>
    <x v="1"/>
    <x v="2"/>
    <d v="2023-01-25T00:00:00"/>
    <x v="32"/>
    <x v="6"/>
    <s v="Delivered"/>
    <x v="5"/>
    <x v="0"/>
    <s v="https://saranistudio-my.sharepoint.com/:f:/g/personal/team_sarani_studio/EmLaqFBj_51MjXZHYWWXnkoBLAa6nzoR1xsPq4BDMu7-cw?e=t3K8Ml"/>
    <n v="3"/>
    <n v="310"/>
    <d v="2023-02-06T00:00:00"/>
    <x v="0"/>
    <x v="32"/>
    <m/>
    <s v="Sent"/>
    <s v="-"/>
    <s v="Paid"/>
  </r>
  <r>
    <s v="Sony"/>
    <s v="SFR"/>
    <x v="0"/>
    <x v="1"/>
    <x v="2"/>
    <d v="2023-01-25T00:00:00"/>
    <x v="33"/>
    <x v="2"/>
    <s v="Delivered"/>
    <x v="3"/>
    <x v="0"/>
    <s v="https://saranistudio-my.sharepoint.com/:f:/g/personal/team_sarani_studio/EiFOxcsYWW5HrKMAqEXG268BJdUb73tPaidZ2aUpOjrqGbMw?e=ZjeN6x"/>
    <n v="2"/>
    <n v="215"/>
    <d v="2023-02-06T00:00:00"/>
    <x v="0"/>
    <x v="33"/>
    <m/>
    <s v="Sent"/>
    <s v="-"/>
    <s v="Paid"/>
  </r>
  <r>
    <s v="Sony"/>
    <s v="SFR"/>
    <x v="0"/>
    <x v="1"/>
    <x v="2"/>
    <d v="2023-01-30T00:00:00"/>
    <x v="34"/>
    <x v="4"/>
    <s v="Delivered"/>
    <x v="5"/>
    <x v="0"/>
    <s v="https://saranistudio-my.sharepoint.com/:f:/g/personal/team_sarani_studio/Et8JT6N3J55Khs36INxlBgQBUbyHbYyC93L5UVW3Wg41vA?e=Q1dlBF"/>
    <n v="2"/>
    <n v="270"/>
    <d v="2023-02-06T00:00:00"/>
    <x v="0"/>
    <x v="34"/>
    <m/>
    <s v="Sent"/>
    <s v="-"/>
    <s v="Paid"/>
  </r>
  <r>
    <s v="Sony"/>
    <s v="SFR"/>
    <x v="0"/>
    <x v="1"/>
    <x v="2"/>
    <d v="2023-01-30T00:00:00"/>
    <x v="35"/>
    <x v="0"/>
    <s v="Delivered"/>
    <x v="0"/>
    <x v="0"/>
    <s v="https://saranistudio-my.sharepoint.com/:f:/g/personal/team_sarani_studio/EqrCH40AdxVPsCGpjT8TB8wB_B709B2_yzvFX8TAKmXMlg?e=JQ9afM"/>
    <n v="27"/>
    <n v="945"/>
    <d v="2023-02-06T00:00:00"/>
    <x v="0"/>
    <x v="35"/>
    <m/>
    <s v="Sent"/>
    <s v="-"/>
    <s v="Paid"/>
  </r>
  <r>
    <s v="Sony"/>
    <s v="SFR"/>
    <x v="0"/>
    <x v="1"/>
    <x v="3"/>
    <d v="2023-02-07T00:00:00"/>
    <x v="36"/>
    <x v="0"/>
    <s v="Delivered"/>
    <x v="0"/>
    <x v="0"/>
    <s v="https://saranistudio-my.sharepoint.com/:f:/g/personal/team_sarani_studio/EjWeixWwgG9KtdKsd3nfu10B4P2-8KWwWAHTtBQASfQ6Rg?e=c0kl8T"/>
    <n v="2"/>
    <n v="500"/>
    <d v="2023-02-21T00:00:00"/>
    <x v="0"/>
    <x v="36"/>
    <m/>
    <s v="Sent"/>
    <s v="-"/>
    <s v="Paid"/>
  </r>
  <r>
    <s v="Sony"/>
    <s v="SFR"/>
    <x v="0"/>
    <x v="1"/>
    <x v="3"/>
    <d v="2023-02-07T00:00:00"/>
    <x v="37"/>
    <x v="0"/>
    <s v="Delivered"/>
    <x v="0"/>
    <x v="0"/>
    <s v="https://saranistudio-my.sharepoint.com/:f:/g/personal/team_sarani_studio/EhV2y_XPV35GlXBIYHQS6jABX0y5PDDKSwC4di7PXUrm9w?e=g9nzP1"/>
    <n v="5"/>
    <n v="200"/>
    <d v="2023-02-21T00:00:00"/>
    <x v="0"/>
    <x v="37"/>
    <m/>
    <s v="Sent"/>
    <s v="-"/>
    <s v="Paid"/>
  </r>
  <r>
    <s v="Sony"/>
    <s v="SFR"/>
    <x v="0"/>
    <x v="1"/>
    <x v="3"/>
    <d v="2023-02-08T00:00:00"/>
    <x v="38"/>
    <x v="4"/>
    <s v="Delivered"/>
    <x v="5"/>
    <x v="0"/>
    <s v="https://saranistudio-my.sharepoint.com/:f:/g/personal/team_sarani_studio/Evv4GLCeCfpNtcFppwmuF4gBs0wDfkYfUCp2XZgOusP4jA?e=VUWW5q"/>
    <n v="6"/>
    <n v="210"/>
    <d v="2023-02-21T00:00:00"/>
    <x v="0"/>
    <x v="38"/>
    <m/>
    <s v="Sent"/>
    <s v="-"/>
    <s v="Paid"/>
  </r>
  <r>
    <s v="Sony"/>
    <s v="SFR"/>
    <x v="0"/>
    <x v="1"/>
    <x v="3"/>
    <d v="2023-02-13T00:00:00"/>
    <x v="39"/>
    <x v="0"/>
    <s v="Delivered"/>
    <x v="0"/>
    <x v="0"/>
    <s v="https://saranistudio-my.sharepoint.com/:f:/g/personal/team_sarani_studio/EvdB_pa-nYlJjcn2m_-V6CIBlwvd0lovLbZhSbor2xacAQ?e=54JYDm"/>
    <n v="4"/>
    <n v="350"/>
    <d v="2023-02-21T00:00:00"/>
    <x v="0"/>
    <x v="39"/>
    <m/>
    <s v="Sent"/>
    <s v="-"/>
    <s v="Paid"/>
  </r>
  <r>
    <s v="Sony"/>
    <s v="SFR"/>
    <x v="0"/>
    <x v="1"/>
    <x v="3"/>
    <d v="2023-02-13T00:00:00"/>
    <x v="40"/>
    <x v="4"/>
    <s v="Delivered"/>
    <x v="5"/>
    <x v="0"/>
    <s v="https://saranistudio-my.sharepoint.com/:f:/g/personal/team_sarani_studio/Eslmo5VnmeBOls9PXeiKfcsB6Y_V2-ku-io7Yd_KczQicQ?e=vV1ZSQ"/>
    <n v="11"/>
    <n v="495"/>
    <d v="2023-02-21T00:00:00"/>
    <x v="0"/>
    <x v="40"/>
    <m/>
    <s v="Sent"/>
    <s v="-"/>
    <s v="Paid"/>
  </r>
  <r>
    <s v="Sony"/>
    <s v="SFR"/>
    <x v="0"/>
    <x v="1"/>
    <x v="3"/>
    <d v="2023-02-14T00:00:00"/>
    <x v="41"/>
    <x v="4"/>
    <s v="Delivered"/>
    <x v="5"/>
    <x v="0"/>
    <s v="https://saranistudio-my.sharepoint.com/:f:/g/personal/team_sarani_studio/Emm2wYCHbftLi5SQSqzjQ6wB8eW0AeAyCmSo_d-F4O4-gw?e=aIQngs"/>
    <n v="13"/>
    <n v="660"/>
    <d v="2023-02-21T00:00:00"/>
    <x v="0"/>
    <x v="38"/>
    <m/>
    <s v="Sent"/>
    <s v="-"/>
    <s v="Paid"/>
  </r>
  <r>
    <s v="Sony"/>
    <s v="SFR"/>
    <x v="0"/>
    <x v="1"/>
    <x v="3"/>
    <d v="2023-02-16T00:00:00"/>
    <x v="42"/>
    <x v="5"/>
    <s v="Delivered"/>
    <x v="5"/>
    <x v="0"/>
    <s v="-"/>
    <n v="1"/>
    <n v="600"/>
    <d v="2023-02-16T00:00:00"/>
    <x v="0"/>
    <x v="41"/>
    <m/>
    <s v="Sent"/>
    <s v="-"/>
    <s v="Paid"/>
  </r>
  <r>
    <s v="Sony"/>
    <s v="SFR"/>
    <x v="0"/>
    <x v="1"/>
    <x v="3"/>
    <d v="2023-02-17T00:00:00"/>
    <x v="43"/>
    <x v="7"/>
    <s v="Delivered"/>
    <x v="1"/>
    <x v="1"/>
    <s v="https://saranistudio-my.sharepoint.com/:f:/g/personal/team_sarani_studio/Evzfu13U4IpLp3GoN-MrbKcB6voUMWbQ-KWviKSEWfxHyA?e=u1uaJh"/>
    <n v="2"/>
    <n v="240"/>
    <d v="2023-02-24T00:00:00"/>
    <x v="0"/>
    <x v="42"/>
    <m/>
    <s v="Sent"/>
    <s v="-"/>
    <s v="Paid"/>
  </r>
  <r>
    <s v="Sony"/>
    <s v="SFR"/>
    <x v="0"/>
    <x v="1"/>
    <x v="3"/>
    <d v="2023-02-20T00:00:00"/>
    <x v="44"/>
    <x v="0"/>
    <s v="Delivered"/>
    <x v="0"/>
    <x v="0"/>
    <s v="https://saranistudio-my.sharepoint.com/:f:/g/personal/team_sarani_studio/EplbkOAQ_RVKlimX_vm_Yz4BYsRWiropgEjSV64xwAiFlQ?e=QjcDN1"/>
    <n v="1"/>
    <n v="135"/>
    <d v="2023-02-21T00:00:00"/>
    <x v="0"/>
    <x v="43"/>
    <m/>
    <s v="Sent"/>
    <s v="-"/>
    <s v="Paid"/>
  </r>
  <r>
    <s v="Sony"/>
    <s v="SFR"/>
    <x v="0"/>
    <x v="1"/>
    <x v="3"/>
    <d v="2023-02-20T00:00:00"/>
    <x v="45"/>
    <x v="8"/>
    <s v="Delivered"/>
    <x v="3"/>
    <x v="1"/>
    <s v="https://saranistudio-my.sharepoint.com/:f:/g/personal/team_sarani_studio/Eqe3rBnlph1BiwQsMsq2QLkBMf2xPp5Wnzudz7Z8Kwje7Q?e=SJbPDi"/>
    <n v="1"/>
    <n v="120"/>
    <d v="2023-02-24T00:00:00"/>
    <x v="0"/>
    <x v="44"/>
    <m/>
    <s v="Sent"/>
    <s v="-"/>
    <s v="Paid"/>
  </r>
  <r>
    <s v="Sony"/>
    <s v="SFR"/>
    <x v="0"/>
    <x v="1"/>
    <x v="3"/>
    <d v="2023-02-22T00:00:00"/>
    <x v="46"/>
    <x v="0"/>
    <s v="Delivered"/>
    <x v="0"/>
    <x v="0"/>
    <s v="https://saranistudio-my.sharepoint.com/:f:/g/personal/team_sarani_studio/EvQORSWeLIhCmtRAW0oiAUwBTsJV6BOljIGWmUFQwsMZaw?e=d5u6bG"/>
    <n v="10"/>
    <n v="780"/>
    <d v="2023-02-24T00:00:00"/>
    <x v="0"/>
    <x v="45"/>
    <m/>
    <s v="Sent"/>
    <s v="-"/>
    <s v="Paid"/>
  </r>
  <r>
    <s v="Sony"/>
    <s v="SFR"/>
    <x v="0"/>
    <x v="1"/>
    <x v="4"/>
    <d v="2023-03-01T00:00:00"/>
    <x v="47"/>
    <x v="0"/>
    <s v="Delivered"/>
    <x v="4"/>
    <x v="0"/>
    <s v="https://saranistudio-my.sharepoint.com/:f:/g/personal/team_sarani_studio/ElN1J_IN9NhPr2CeLrCnszQBKTAJ_nOdr-HrnPgQqoGmgA?e=2DZGUU"/>
    <n v="4"/>
    <n v="540"/>
    <d v="2023-02-24T00:00:00"/>
    <x v="0"/>
    <x v="46"/>
    <m/>
    <s v="Sent"/>
    <s v="-"/>
    <s v="Paid"/>
  </r>
  <r>
    <s v="Sony"/>
    <s v="SFR"/>
    <x v="0"/>
    <x v="1"/>
    <x v="4"/>
    <d v="2023-03-01T00:00:00"/>
    <x v="48"/>
    <x v="0"/>
    <s v="Delivered"/>
    <x v="4"/>
    <x v="0"/>
    <s v="https://saranistudio-my.sharepoint.com/:f:/g/personal/team_sarani_studio/EsMnikTmJL1KpvYorntrkkABl8AjzYKd5G85aBnUnFq9Iw?e=TuaAG2"/>
    <n v="11"/>
    <n v="470"/>
    <d v="2023-02-24T00:00:00"/>
    <x v="0"/>
    <x v="47"/>
    <m/>
    <s v="Sent"/>
    <s v="-"/>
    <s v="Paid"/>
  </r>
  <r>
    <s v="Sony"/>
    <s v="SFR"/>
    <x v="0"/>
    <x v="1"/>
    <x v="4"/>
    <d v="2023-03-09T00:00:00"/>
    <x v="49"/>
    <x v="4"/>
    <s v="Delivered"/>
    <x v="5"/>
    <x v="0"/>
    <s v="https://saranistudio-my.sharepoint.com/:f:/g/personal/team_sarani_studio/Evv8Y4u5CcpBkA6LoIczitQBWRTN97zK7m4SmXnl8monYA?e=FXqhEq"/>
    <n v="10"/>
    <n v="445"/>
    <d v="2023-03-21T00:00:00"/>
    <x v="0"/>
    <x v="48"/>
    <m/>
    <s v="Sent"/>
    <s v="-"/>
    <s v="Paid"/>
  </r>
  <r>
    <s v="Sony"/>
    <s v="SFR"/>
    <x v="0"/>
    <x v="1"/>
    <x v="4"/>
    <d v="2023-03-16T00:00:00"/>
    <x v="50"/>
    <x v="0"/>
    <s v="Delivered"/>
    <x v="0"/>
    <x v="0"/>
    <s v="https://saranistudio-my.sharepoint.com/:f:/g/personal/team_sarani_studio/Eo2562j1PBhFsm0D9eCdORoBS6przlDgwVkoQg0sOXiM3A?e=yrz1uS"/>
    <n v="9"/>
    <n v="570"/>
    <d v="2023-02-24T00:00:00"/>
    <x v="0"/>
    <x v="49"/>
    <m/>
    <s v="Sent"/>
    <s v="-"/>
    <s v="Paid"/>
  </r>
  <r>
    <s v="Sony"/>
    <s v="SFR"/>
    <x v="0"/>
    <x v="1"/>
    <x v="4"/>
    <d v="2023-03-20T00:00:00"/>
    <x v="51"/>
    <x v="8"/>
    <s v="Delivered"/>
    <x v="0"/>
    <x v="1"/>
    <s v="https://saranistudio-my.sharepoint.com/:f:/g/personal/team_sarani_studio/EsAgXdGVXc1Bqb3hwi8zpSEBcRj8U2XkFGSGV62rqumcjw?e=mIcDe6"/>
    <n v="2"/>
    <n v="240"/>
    <d v="2023-03-20T00:00:00"/>
    <x v="0"/>
    <x v="50"/>
    <m/>
    <s v="Sent"/>
    <s v="-"/>
    <s v="Paid"/>
  </r>
  <r>
    <s v="Sony"/>
    <s v="SFR"/>
    <x v="0"/>
    <x v="1"/>
    <x v="4"/>
    <d v="2023-03-20T00:00:00"/>
    <x v="52"/>
    <x v="8"/>
    <s v="-"/>
    <x v="3"/>
    <x v="1"/>
    <s v="-"/>
    <n v="0.83333333333333337"/>
    <n v="1000"/>
    <d v="2023-03-20T00:00:00"/>
    <x v="0"/>
    <x v="51"/>
    <m/>
    <s v="Sent"/>
    <s v="-"/>
    <s v="Paid"/>
  </r>
  <r>
    <s v="Sony"/>
    <s v="SFR"/>
    <x v="0"/>
    <x v="1"/>
    <x v="4"/>
    <d v="2023-03-21T00:00:00"/>
    <x v="53"/>
    <x v="5"/>
    <s v="-"/>
    <x v="5"/>
    <x v="1"/>
    <s v="-"/>
    <n v="0.83333333333333337"/>
    <n v="1000"/>
    <d v="2023-03-21T00:00:00"/>
    <x v="0"/>
    <x v="52"/>
    <m/>
    <s v="Sent"/>
    <s v="-"/>
    <s v="Paid"/>
  </r>
  <r>
    <s v="Sony"/>
    <s v="SFR"/>
    <x v="0"/>
    <x v="1"/>
    <x v="4"/>
    <d v="2023-03-21T00:00:00"/>
    <x v="54"/>
    <x v="2"/>
    <s v="Delivered"/>
    <x v="3"/>
    <x v="0"/>
    <s v="https://saranistudio-my.sharepoint.com/:f:/g/personal/team_sarani_studio/EpbAZG5lEmVIiR_on7fzuLEB9DbDwGiQ8g3E-EP6ZMPlBw?e=WDYhbk"/>
    <n v="134"/>
    <n v="6010"/>
    <d v="2023-03-21T00:00:00"/>
    <x v="0"/>
    <x v="53"/>
    <m/>
    <s v="Sent"/>
    <s v="-"/>
    <s v="Paid"/>
  </r>
  <r>
    <s v="Sony"/>
    <s v="SFR"/>
    <x v="0"/>
    <x v="1"/>
    <x v="4"/>
    <d v="2023-03-21T00:00:00"/>
    <x v="55"/>
    <x v="2"/>
    <s v="Delivered"/>
    <x v="3"/>
    <x v="0"/>
    <s v="https://saranistudio-my.sharepoint.com/:f:/g/personal/team_sarani_studio/Eqpu9-LPvfZElOAGt1viRf8Bhsdxnu1Eu10IOtnxqhR8Iw?e=2Uijzq"/>
    <n v="1"/>
    <n v="120"/>
    <s v="-"/>
    <x v="1"/>
    <x v="54"/>
    <m/>
    <s v="Sent"/>
    <s v="-"/>
    <s v="Paid"/>
  </r>
  <r>
    <s v="Sony"/>
    <s v="SFR"/>
    <x v="0"/>
    <x v="1"/>
    <x v="4"/>
    <d v="2023-03-23T00:00:00"/>
    <x v="56"/>
    <x v="0"/>
    <s v="Delivered"/>
    <x v="0"/>
    <x v="0"/>
    <s v="https://saranistudio-my.sharepoint.com/:f:/g/personal/team_sarani_studio/EsV2_KLDqwdOi0nyINCRhnABKsqCgrqSPww-zwD5kRW76g?e=55qEkF"/>
    <n v="1"/>
    <n v="250"/>
    <d v="2023-04-07T00:00:00"/>
    <x v="0"/>
    <x v="55"/>
    <m/>
    <s v="Sent"/>
    <s v="-"/>
    <s v="Paid"/>
  </r>
  <r>
    <s v="Sony"/>
    <s v="SFR"/>
    <x v="0"/>
    <x v="1"/>
    <x v="4"/>
    <d v="2023-03-23T00:00:00"/>
    <x v="57"/>
    <x v="2"/>
    <s v="Delivered"/>
    <x v="3"/>
    <x v="0"/>
    <s v="https://saranistudio-my.sharepoint.com/:f:/g/personal/team_sarani_studio/EjXst-lsglZAi0Q2IrrJuM4BaunLX6dQ9jdJrU_j-AJ-iA?e=ZonV9A"/>
    <s v="-"/>
    <s v="-"/>
    <d v="2023-03-23T00:00:00"/>
    <x v="0"/>
    <x v="56"/>
    <m/>
    <s v="Sent"/>
    <s v="-"/>
    <s v="Paid"/>
  </r>
  <r>
    <s v="Sony"/>
    <s v="SFR"/>
    <x v="0"/>
    <x v="1"/>
    <x v="4"/>
    <d v="2023-03-23T00:00:00"/>
    <x v="58"/>
    <x v="0"/>
    <s v="Delivered"/>
    <x v="0"/>
    <x v="0"/>
    <s v="https://saranistudio-my.sharepoint.com/:f:/g/personal/team_sarani_studio/Eh-XtLfnCf1LnsVtx5DtbCEBjY0SGdeSjDPwHzDnQHgN9w?e=2LU41r"/>
    <n v="21"/>
    <n v="1695"/>
    <d v="2023-04-07T00:00:00"/>
    <x v="0"/>
    <x v="57"/>
    <m/>
    <s v="Sent"/>
    <s v="-"/>
    <s v="Paid"/>
  </r>
  <r>
    <s v="Sony"/>
    <s v="SFR"/>
    <x v="0"/>
    <x v="1"/>
    <x v="4"/>
    <d v="2023-03-27T00:00:00"/>
    <x v="59"/>
    <x v="4"/>
    <s v="Delivered"/>
    <x v="5"/>
    <x v="0"/>
    <s v="https://saranistudio-my.sharepoint.com/:f:/g/personal/team_sarani_studio/EvN6F1tLUb1HpsDsbcqLJpgBS_xatQW1Mdo30DXnEk4Umw?e=ZwLhqb"/>
    <n v="15"/>
    <n v="550"/>
    <d v="2023-03-23T00:00:00"/>
    <x v="0"/>
    <x v="58"/>
    <m/>
    <s v="Sent"/>
    <s v="-"/>
    <s v="Paid"/>
  </r>
  <r>
    <s v="Sony"/>
    <s v="SFR"/>
    <x v="1"/>
    <x v="2"/>
    <x v="5"/>
    <d v="2023-04-06T00:00:00"/>
    <x v="60"/>
    <x v="0"/>
    <s v="Delivered"/>
    <x v="4"/>
    <x v="0"/>
    <s v="https://saranistudio-my.sharepoint.com/:f:/g/personal/team_sarani_studio/EkZE4Y3oDmxOgPwByulkRGQBO22GCn4XXiv8vxBWXU3BOQ?e=QYcm2Z"/>
    <n v="3"/>
    <n v="405"/>
    <d v="2023-04-19T00:00:00"/>
    <x v="0"/>
    <x v="59"/>
    <m/>
    <s v="Sent"/>
    <s v="-"/>
    <s v="Paid"/>
  </r>
  <r>
    <s v="Sony"/>
    <s v="SFR"/>
    <x v="1"/>
    <x v="2"/>
    <x v="6"/>
    <d v="2023-05-15T00:00:00"/>
    <x v="61"/>
    <x v="2"/>
    <s v="Delivered"/>
    <x v="1"/>
    <x v="0"/>
    <s v="https://saranistudio-my.sharepoint.com/:f:/g/personal/team_sarani_studio/EtK7hTypFuBHpDOePw_7ccgBRDwmVFet1fcnWhxQ1F1Cew?e=RoAcRf"/>
    <n v="1"/>
    <n v="120"/>
    <d v="2023-06-07T00:00:00"/>
    <x v="0"/>
    <x v="60"/>
    <m/>
    <s v="Sent"/>
    <s v="A ne pas facturer"/>
    <m/>
  </r>
  <r>
    <s v="Sony "/>
    <s v="SFR"/>
    <x v="1"/>
    <x v="2"/>
    <x v="6"/>
    <d v="2023-05-31T00:00:00"/>
    <x v="62"/>
    <x v="2"/>
    <s v="Delivered"/>
    <x v="1"/>
    <x v="0"/>
    <s v="https://saranistudio-my.sharepoint.com/:f:/g/personal/team_sarani_studio/EiRrfmVomIlIjiBB0V8ChO0BdJ6J5DJ0fGN84RaL52WxfQ?e=5VEp81"/>
    <n v="4"/>
    <n v="225"/>
    <d v="2023-06-07T00:00:00"/>
    <x v="0"/>
    <x v="60"/>
    <m/>
    <s v="Sent"/>
    <s v="A ne pas facturer"/>
    <s v="-"/>
  </r>
  <r>
    <s v="Sony "/>
    <s v="SFR"/>
    <x v="1"/>
    <x v="2"/>
    <x v="7"/>
    <d v="2023-06-29T00:00:00"/>
    <x v="63"/>
    <x v="9"/>
    <s v="Delivered"/>
    <x v="3"/>
    <x v="0"/>
    <s v="https://saranistudio.sharepoint.com/:f:/s/SaraniAssets/EsMHhSdNvINElyx3JEst28ABbEZ2UyxACzwOgbo7r8uNhQ?e=GMg6XF"/>
    <n v="3"/>
    <n v="215"/>
    <s v="https://saranistudio-my.sharepoint.com/:b:/g/personal/team_sarani_studio/Ed1vPGHqbmFNs7Nnwr-8wVYB_-OJvm6ZR5rYOVkAvupcug?e=uvKXZp"/>
    <x v="0"/>
    <x v="56"/>
    <s v="A déduire de ce po"/>
    <s v="Sent"/>
    <s v="A ne pas facturer"/>
    <s v="-"/>
  </r>
  <r>
    <s v="Sony "/>
    <s v="SFR"/>
    <x v="1"/>
    <x v="3"/>
    <x v="8"/>
    <d v="2023-08-08T00:00:00"/>
    <x v="64"/>
    <x v="9"/>
    <s v="Delivered"/>
    <x v="4"/>
    <x v="0"/>
    <s v="https://saranistudio.sharepoint.com/:f:/s/SaraniAssets/ElTa0JXiSFFGjfAVBnnVTK8BJonfzHVj6-25QaDXsBZNHA?e=tcu9y9"/>
    <n v="11"/>
    <n v="690"/>
    <s v="https://saranistudio-my.sharepoint.com/:b:/g/personal/team_sarani_studio/ET24GpU1_VNBieU98p25518BureXOdtLbgAKZXKKqI_8yw?e=vekEA6"/>
    <x v="0"/>
    <x v="56"/>
    <s v="A déduire de 4200639284 "/>
    <s v="Sent"/>
    <s v="A ne pas facturer"/>
    <s v="-"/>
  </r>
  <r>
    <s v="Sony "/>
    <s v="SFR"/>
    <x v="1"/>
    <x v="3"/>
    <x v="8"/>
    <d v="2023-08-24T00:00:00"/>
    <x v="65"/>
    <x v="9"/>
    <s v="Delivered"/>
    <x v="4"/>
    <x v="0"/>
    <s v="-"/>
    <n v="1"/>
    <n v="35"/>
    <s v="https://saranistudio-my.sharepoint.com/:b:/g/personal/team_sarani_studio/ESPthCNjpEhMgnhygkWLu9IBQKUX6xiI-AicOgWl8ec73g?e=aaTAxK"/>
    <x v="0"/>
    <x v="56"/>
    <s v="A déduire de 4200639284 "/>
    <s v="Sent"/>
    <s v="A ne pas facturer"/>
    <s v="-"/>
  </r>
  <r>
    <s v="Sony "/>
    <s v="SFR"/>
    <x v="1"/>
    <x v="0"/>
    <x v="9"/>
    <d v="2023-10-10T00:00:00"/>
    <x v="66"/>
    <x v="9"/>
    <s v="Delivered"/>
    <x v="3"/>
    <x v="0"/>
    <s v="https://saranistudio.sharepoint.com/:f:/s/SaraniAssets/EnOPpSZDpMNCs_MB0Ynw414BA6mrn65nq5WEHdDDGxjF0w?e=4XaPPD"/>
    <n v="2"/>
    <n v="80"/>
    <s v="https://saranistudio-my.sharepoint.com/:b:/g/personal/team_sarani_studio/EXNXP2GmQo1EqAXGf0Y4yN8Be7_NE6k_0bsyQd-QdJw_RQ?e=K8VwFy"/>
    <x v="0"/>
    <x v="60"/>
    <m/>
    <s v="Sent"/>
    <s v="A ne pas facturer"/>
    <m/>
  </r>
  <r>
    <s v="Sony"/>
    <s v="SFR"/>
    <x v="1"/>
    <x v="0"/>
    <x v="9"/>
    <d v="2023-10-24T00:00:00"/>
    <x v="67"/>
    <x v="9"/>
    <s v="Delivered"/>
    <x v="3"/>
    <x v="0"/>
    <s v="https://saranistudio.sharepoint.com/:f:/s/SaraniAssets/EoZB1B3l379Er-dU-2tGrtkBVXo0iuml8uO1d_hG59ArRw?e=8yTk5N"/>
    <n v="3"/>
    <n v="120"/>
    <s v="https://saranistudio-my.sharepoint.com/:b:/g/personal/team_sarani_studio/EXO2zt5Ku7pEs8uPz16HjagB2M635QAA9dackpaGx6rUiw?e=tQDIFd"/>
    <x v="0"/>
    <x v="60"/>
    <m/>
    <s v="Sent"/>
    <s v="A ne pas facturer"/>
    <m/>
  </r>
  <r>
    <s v="Sony"/>
    <s v="SFR"/>
    <x v="1"/>
    <x v="0"/>
    <x v="9"/>
    <d v="2023-10-25T00:00:00"/>
    <x v="68"/>
    <x v="9"/>
    <s v="Delivered"/>
    <x v="3"/>
    <x v="0"/>
    <s v="https://saranistudio.sharepoint.com/:f:/s/SaraniAssets/EtiyCT7mNLdHqxDasw9eLzcBAVrCWUC2RQrcvnXZaZ6_fw?e=gGhnnL"/>
    <n v="1"/>
    <n v="40"/>
    <s v="https://saranistudio-my.sharepoint.com/:b:/g/personal/team_sarani_studio/EVjwSH6NtUhIhIaeNhju4C0B57_rhdL35DnyoiKTYSunoQ?e=i4jhgV"/>
    <x v="0"/>
    <x v="60"/>
    <m/>
    <s v="Sent"/>
    <s v="A ne pas facturer"/>
    <m/>
  </r>
  <r>
    <s v="Sony "/>
    <s v="SFR"/>
    <x v="1"/>
    <x v="0"/>
    <x v="9"/>
    <d v="2023-10-31T00:00:00"/>
    <x v="69"/>
    <x v="9"/>
    <s v="Delivered"/>
    <x v="3"/>
    <x v="0"/>
    <s v="https://saranistudio.sharepoint.com/:f:/s/SaraniAssets/Emj3lo3qwdBGpoI6Fhs_-i8Bp5ctL7etXZ0ws1ViWvjRCw?e=BRNp14"/>
    <n v="1"/>
    <n v="120"/>
    <s v="https://saranistudio-my.sharepoint.com/:b:/g/personal/team_sarani_studio/EQwdTsW3akxEgYnzHAoAJ3AB9RBmPgUz_Y8e7SxkBMn16g?e=akTYrW"/>
    <x v="0"/>
    <x v="60"/>
    <m/>
    <s v="Sent"/>
    <s v="A ne pas facturer"/>
    <m/>
  </r>
  <r>
    <s v="Sony "/>
    <s v="SFR"/>
    <x v="1"/>
    <x v="0"/>
    <x v="0"/>
    <d v="2023-11-15T00:00:00"/>
    <x v="70"/>
    <x v="9"/>
    <s v="Delivered"/>
    <x v="3"/>
    <x v="0"/>
    <m/>
    <n v="2"/>
    <n v="255"/>
    <s v="https://saranistudio.sharepoint.com/:b:/s/SaraniAssets/EX12yRxzfzxAo7gXxHru470B7UESnCu7F3wDzr5WqEZXfg?e=KPTkT8"/>
    <x v="0"/>
    <x v="61"/>
    <m/>
    <s v="Sent"/>
    <s v="A ne pas facturer"/>
    <s v="-"/>
  </r>
  <r>
    <s v="Sony "/>
    <s v="SFR"/>
    <x v="1"/>
    <x v="0"/>
    <x v="0"/>
    <d v="2023-11-16T00:00:00"/>
    <x v="71"/>
    <x v="9"/>
    <s v="Delivered"/>
    <x v="3"/>
    <x v="0"/>
    <s v="https://saranistudio.sharepoint.com/:f:/s/SaraniAssets/EuVjuW78QlZIr2AwL770ycgBtu-7kJHdMWZn5etR7DSQPg?e=s99CPP"/>
    <n v="2"/>
    <n v="80"/>
    <s v="https://saranistudio.sharepoint.com/:b:/s/SaraniAssets/EYB4GuQUUCBIl3rPnOgk8-sB3kQ93sfRrmZVYQxzQb3LPg?e=ZlobtX"/>
    <x v="0"/>
    <x v="61"/>
    <m/>
    <s v="Sent"/>
    <s v="A ne pas facturer"/>
    <s v="-"/>
  </r>
  <r>
    <s v="Sony "/>
    <s v="SFR"/>
    <x v="1"/>
    <x v="0"/>
    <x v="0"/>
    <d v="2023-11-30T00:00:00"/>
    <x v="72"/>
    <x v="9"/>
    <s v="Delivered"/>
    <x v="3"/>
    <x v="0"/>
    <s v="https://saranistudio.sharepoint.com/:f:/s/SaraniAssets/EvLqFCTPT-JBgWX0-O3P3HMBaUHT_hM3HZiMgfHLnAM-Zg?e=dKnCe7"/>
    <n v="3"/>
    <n v="190"/>
    <s v="https://saranistudio-my.sharepoint.com/:b:/g/personal/team_sarani_studio/EfqFqdvqAVJPqr8x4ngpH2YB5JbufIXQoMe0Ap-sLDxAOw?e=q0IO9I"/>
    <x v="0"/>
    <x v="60"/>
    <m/>
    <s v="Sent"/>
    <s v="A ne pas facturer"/>
    <s v="-"/>
  </r>
  <r>
    <s v="Sony "/>
    <s v="SFR"/>
    <x v="1"/>
    <x v="3"/>
    <x v="10"/>
    <d v="2023-09-13T00:00:00"/>
    <x v="73"/>
    <x v="9"/>
    <s v="Delivered"/>
    <x v="1"/>
    <x v="0"/>
    <s v="https://saranistudio.sharepoint.com/:f:/s/SaraniAssets/EiAE12Do1MZMg0W-9T7tF1QBr4ZBLd42z3ye7bo1XdXYpg?e=xfeLUO"/>
    <n v="11"/>
    <n v="470"/>
    <s v="https://saranistudio-my.sharepoint.com/:b:/g/personal/team_sarani_studio/ETcMeN84ZjZGnpPa8MzZEXcBi51BuWWSYsDBmvGZCbzI5Q?e=tfMEJ4"/>
    <x v="0"/>
    <x v="62"/>
    <m/>
    <s v="Sent"/>
    <s v="F-(2023)222"/>
    <s v="Paid 28/11/2023"/>
  </r>
  <r>
    <s v="Sony "/>
    <s v="SFR"/>
    <x v="1"/>
    <x v="3"/>
    <x v="10"/>
    <d v="2023-09-06T00:00:00"/>
    <x v="74"/>
    <x v="10"/>
    <s v="Delivered"/>
    <x v="5"/>
    <x v="0"/>
    <s v="https://saranistudio.sharepoint.com/:f:/s/SaraniAssets/EpaVO7YRjRRKhnmYbKc3cVwB12wLQr2nbSc29Xfb7OCgmA?e=7alCrE"/>
    <n v="28"/>
    <n v="1275"/>
    <s v="https://saranistudio-my.sharepoint.com/:b:/g/personal/team_sarani_studio/EQpISRj0UgxHqXSqjEC62GkB_q8FMna7bW-UXf3NH1xSZw?e=yzYU1L"/>
    <x v="0"/>
    <x v="63"/>
    <m/>
    <s v="Sent"/>
    <s v="F-(2023)-223"/>
    <s v="Paid 28/11/2023"/>
  </r>
  <r>
    <s v="Sony "/>
    <s v="SFR"/>
    <x v="1"/>
    <x v="3"/>
    <x v="11"/>
    <d v="2023-07-31T00:00:00"/>
    <x v="75"/>
    <x v="4"/>
    <s v="Delivered"/>
    <x v="5"/>
    <x v="0"/>
    <s v="https://saranistudio.sharepoint.com/:f:/s/SaraniAssets/Epr_dftlsahOqnBaqYpQ1IwBdjuBZBSNRjYGvWqZFWvfdQ?e=K77OzC"/>
    <n v="22"/>
    <n v="1005"/>
    <s v="https://saranistudio-my.sharepoint.com/:b:/g/personal/team_sarani_studio/EXD6YiKrBANPkq8-Hsf5MjABUwU26BCb4uGgcw6H8Era9w?e=4QiNEb"/>
    <x v="0"/>
    <x v="64"/>
    <m/>
    <s v="Sent"/>
    <s v="F-(2023)-224"/>
    <s v="Paid 28/11/2023"/>
  </r>
  <r>
    <s v="Sony "/>
    <s v="SFR"/>
    <x v="1"/>
    <x v="3"/>
    <x v="11"/>
    <d v="2023-07-27T00:00:00"/>
    <x v="76"/>
    <x v="9"/>
    <s v="Delivered"/>
    <x v="3"/>
    <x v="0"/>
    <s v="https://saranistudio.sharepoint.com/:f:/s/SaraniAssets/EmbgGkCAJl5KniAwcW-yi4gBS89mkOFy73-Lxx4pgUOlJw?e=32YWjh"/>
    <n v="11"/>
    <n v="470"/>
    <s v="https://saranistudio-my.sharepoint.com/:b:/g/personal/team_sarani_studio/EYfPjnYGS8FGsZ0gdHWW64IBAoVToD60cZQCJSYu5LeJdw?e=Z2CL8X"/>
    <x v="0"/>
    <x v="65"/>
    <m/>
    <s v="Sent"/>
    <s v="F2023-0245"/>
    <s v="Paid"/>
  </r>
  <r>
    <s v="Sony "/>
    <s v="SFR"/>
    <x v="1"/>
    <x v="3"/>
    <x v="8"/>
    <d v="2023-08-07T00:00:00"/>
    <x v="77"/>
    <x v="9"/>
    <s v="Delivered"/>
    <x v="3"/>
    <x v="0"/>
    <s v="https://saranistudio.sharepoint.com/:f:/s/SaraniAssets/Epw4h05_vL5CnVw4f-KDh-UB89uqfY6Sdd5s-k7Bcsy2Iw?e=8ENPlX"/>
    <n v="7"/>
    <n v="565"/>
    <s v="https://saranistudio-my.sharepoint.com/:b:/g/personal/team_sarani_studio/EaeBiR_2KilLpZTBK49Fcz8B-brFbqzVP-8J5CEH_B5OdA?e=ojl7Ba"/>
    <x v="0"/>
    <x v="65"/>
    <m/>
    <s v="Sent"/>
    <s v="F2023-0245"/>
    <s v="Paid"/>
  </r>
  <r>
    <s v="Sony "/>
    <s v="SFR"/>
    <x v="1"/>
    <x v="3"/>
    <x v="8"/>
    <d v="2023-08-24T00:00:00"/>
    <x v="78"/>
    <x v="9"/>
    <s v="Delivered"/>
    <x v="3"/>
    <x v="0"/>
    <s v="https://saranistudio.sharepoint.com/:f:/s/SaraniAssets/EvEpbJJidBJIphpL9bLaQiQB6nSdlpuoabFsbLUwdA3CCQ?e=ccfrKI"/>
    <n v="1"/>
    <n v="120"/>
    <s v="https://saranistudio-my.sharepoint.com/:b:/g/personal/team_sarani_studio/ES7N79UhyBNArwSJtJeQQ6gBUvMU_SmAPI1bAXg3JC8E1w?e=lsbAtD"/>
    <x v="0"/>
    <x v="65"/>
    <m/>
    <s v="Sent"/>
    <s v="F2023-0245"/>
    <s v="Paid"/>
  </r>
  <r>
    <s v="Sony "/>
    <s v="SFR"/>
    <x v="1"/>
    <x v="3"/>
    <x v="10"/>
    <d v="2023-09-04T00:00:00"/>
    <x v="79"/>
    <x v="9"/>
    <s v="Delivered"/>
    <x v="3"/>
    <x v="0"/>
    <s v="https://saranistudio.sharepoint.com/:f:/s/SaraniAssets/Eqe3gbbCcnFBsfM-Z-NzrskBCYTF77L7fe_M4kSNgHkPqQ?e=dUemvu"/>
    <n v="4"/>
    <n v="140"/>
    <s v="https://saranistudio-my.sharepoint.com/:b:/g/personal/team_sarani_studio/EflpC_-5ZvVAvjkEgumvs5MBML3w4D_HG5FTDFaIQU12Yg?e=VV3Zfg"/>
    <x v="0"/>
    <x v="65"/>
    <m/>
    <s v="Sent"/>
    <s v="F2023-0245"/>
    <s v="Paid"/>
  </r>
  <r>
    <s v="Sony "/>
    <s v="SFR"/>
    <x v="1"/>
    <x v="3"/>
    <x v="10"/>
    <d v="2023-09-20T00:00:00"/>
    <x v="80"/>
    <x v="9"/>
    <s v="Delivered"/>
    <x v="3"/>
    <x v="0"/>
    <s v="https://saranistudio.sharepoint.com/:f:/s/SaraniAssets/Em-zhxoSE1dPu5mZXjRKowIB9S3tWCFm8NW6chvKpkE_GA?e=WeHAlM"/>
    <n v="3"/>
    <n v="105"/>
    <s v="https://saranistudio-my.sharepoint.com/:b:/g/personal/team_sarani_studio/ESTdhvAHB2VDpGZvjKGcT80BEBmxhZJ0Wcbs8rXVwZrkbw?e=oVdzce"/>
    <x v="0"/>
    <x v="65"/>
    <m/>
    <s v="Sent"/>
    <s v="F2023-0245"/>
    <s v="Paid"/>
  </r>
  <r>
    <s v="Sony"/>
    <s v="SFR"/>
    <x v="1"/>
    <x v="0"/>
    <x v="9"/>
    <d v="2023-10-25T00:00:00"/>
    <x v="81"/>
    <x v="6"/>
    <s v="Delivered"/>
    <x v="0"/>
    <x v="0"/>
    <s v="https://saranistudio.sharepoint.com/:f:/s/SaraniAssets/Es10BwBnj4BLhUyLluH6ex0BE4bVUY4ltMNws6mvczb7nA?e=eEctHw"/>
    <n v="3"/>
    <n v="480"/>
    <s v="https://saranistudio-my.sharepoint.com/:b:/g/personal/team_sarani_studio/Eal89tqTA6pAvcl9GArXLAAB_MtVbfBx1PscgWveTtUMEg?e=AD7PIq"/>
    <x v="0"/>
    <x v="66"/>
    <m/>
    <s v="Sent"/>
    <s v="F2023-0246"/>
    <s v="Paid"/>
  </r>
  <r>
    <s v="Sony "/>
    <s v="SFR"/>
    <x v="1"/>
    <x v="3"/>
    <x v="10"/>
    <d v="2023-09-13T00:00:00"/>
    <x v="82"/>
    <x v="11"/>
    <s v="Delivered"/>
    <x v="4"/>
    <x v="0"/>
    <s v="https://saranistudio.sharepoint.com/:f:/s/SaraniAssets/EpGzfMaM4etKnuUhx3z1v6oBj4nWjwn117upCao5G7aLAg?e=rsWGfZ"/>
    <n v="2"/>
    <n v="270"/>
    <s v="https://saranistudio-my.sharepoint.com/:b:/g/personal/team_sarani_studio/ETWMNhpNsrRCrZ5CaIqNJikBsG2QXbxCGke8l7AHozCIxg?e=et0XbI"/>
    <x v="0"/>
    <x v="67"/>
    <m/>
    <s v="Sent"/>
    <s v="F2023-0249"/>
    <s v="Paid"/>
  </r>
  <r>
    <s v="Sony"/>
    <s v="SFR"/>
    <x v="1"/>
    <x v="3"/>
    <x v="10"/>
    <d v="2023-09-01T00:00:00"/>
    <x v="83"/>
    <x v="11"/>
    <s v="Delivered"/>
    <x v="0"/>
    <x v="0"/>
    <s v="https://saranistudio.sharepoint.com/:f:/s/SaraniAssets/EgSlBkWINZBKgVGmCp6NzfMBevXK6wtmU5crT8987XNsuA?e=WhQ0PI"/>
    <n v="19"/>
    <n v="910"/>
    <s v="https://saranistudio-my.sharepoint.com/:b:/g/personal/team_sarani_studio/ER2atkNeQI5EiAjHEumDAP8B1I69p8nuFKFUWNZrPLaTNQ?e=MDDN03"/>
    <x v="0"/>
    <x v="68"/>
    <m/>
    <s v="Sent"/>
    <s v="F2023-0250"/>
    <s v="Paid"/>
  </r>
  <r>
    <s v="Sony "/>
    <s v="SFR"/>
    <x v="1"/>
    <x v="3"/>
    <x v="10"/>
    <d v="2023-09-15T00:00:00"/>
    <x v="84"/>
    <x v="9"/>
    <s v="Delivered"/>
    <x v="5"/>
    <x v="0"/>
    <s v="https://saranistudio.sharepoint.com/:f:/s/SaraniAssets/Eudaw4YslfdBhu0vnN490_4BJHnKa-UmasiU9FJEIAWJhQ?e=iE4aE0"/>
    <n v="2"/>
    <n v="70"/>
    <s v="https://saranistudio-my.sharepoint.com/:b:/g/personal/team_sarani_studio/ERdoI-L0XbVJs87g6xS4qnUBrZsmBnHyFItYQ5A35GkDNQ?e=FqpR3i"/>
    <x v="0"/>
    <x v="69"/>
    <m/>
    <s v="Sent"/>
    <s v="F2023-0251"/>
    <s v="Paid"/>
  </r>
  <r>
    <s v="Sony "/>
    <s v="SFR"/>
    <x v="1"/>
    <x v="3"/>
    <x v="8"/>
    <d v="2023-08-24T00:00:00"/>
    <x v="85"/>
    <x v="9"/>
    <s v="Delivered"/>
    <x v="1"/>
    <x v="0"/>
    <s v="https://saranistudio.sharepoint.com/:f:/s/SaraniAssets/En7FKk0utLxBgDFZPlo1_nsByb06GLKqiXDojjLdmHkuGw?e=nRecsF"/>
    <n v="9"/>
    <n v="400"/>
    <s v="https://saranistudio-my.sharepoint.com/:b:/g/personal/team_sarani_studio/EZZz9wSeXS5Mlto9IICvCOQBaLjJoxTmM9xE_Go5-u-7Zg?e=vZ9QF0"/>
    <x v="0"/>
    <x v="70"/>
    <m/>
    <s v="Sent"/>
    <s v="F2023-0252"/>
    <s v="Paid"/>
  </r>
  <r>
    <s v="Sony "/>
    <s v="SFR"/>
    <x v="1"/>
    <x v="3"/>
    <x v="10"/>
    <d v="2023-09-25T00:00:00"/>
    <x v="86"/>
    <x v="11"/>
    <s v="Delivered"/>
    <x v="2"/>
    <x v="0"/>
    <s v="https://saranistudio.sharepoint.com/:f:/s/SaraniAssets/Ej9OFxjwwBFIoj56QKVj-d4BVZdYKvocXasWAXiz_sqqDg?e=mnFKxP"/>
    <n v="2"/>
    <n v="155"/>
    <s v="https://saranistudio-my.sharepoint.com/:b:/g/personal/team_sarani_studio/EebtS8Xsn9ZCjcbknRDjg7QBdlqTyfd-l4Qrg_z7dvatXw?e=dB61oc"/>
    <x v="0"/>
    <x v="71"/>
    <m/>
    <s v="Sent"/>
    <s v="F2023-0254"/>
    <s v="Paid"/>
  </r>
  <r>
    <s v="Sony "/>
    <s v="SFR"/>
    <x v="1"/>
    <x v="3"/>
    <x v="10"/>
    <d v="2023-09-26T00:00:00"/>
    <x v="87"/>
    <x v="11"/>
    <s v="Delivered"/>
    <x v="4"/>
    <x v="0"/>
    <s v="https://saranistudio.sharepoint.com/:f:/s/SaraniAssets/EmNZUpYuUJVBlPsZ5mpcLwsBDIhpr6GOmZlNGa9BS72IYg?e=ZS0gUM"/>
    <n v="1"/>
    <n v="180"/>
    <s v="https://saranistudio-my.sharepoint.com/:b:/g/personal/team_sarani_studio/Ed7tDI3v6LZGk1bKdthyEp0BJEKTNkLD_g_JjFViRSl_xw?e=w8wx6R"/>
    <x v="0"/>
    <x v="72"/>
    <m/>
    <s v="Sent"/>
    <s v="F2023-0258"/>
    <s v="Paid"/>
  </r>
  <r>
    <m/>
    <m/>
    <x v="2"/>
    <x v="4"/>
    <x v="12"/>
    <d v="2024-05-02T00:00:00"/>
    <x v="88"/>
    <x v="12"/>
    <m/>
    <x v="6"/>
    <x v="2"/>
    <m/>
    <m/>
    <n v="600"/>
    <m/>
    <x v="1"/>
    <x v="73"/>
    <m/>
    <s v="Sent"/>
    <s v="F2023-0416"/>
    <s v="Paid 18/01/2024"/>
  </r>
  <r>
    <s v="Sony"/>
    <s v="SFR"/>
    <x v="0"/>
    <x v="1"/>
    <x v="4"/>
    <d v="2023-03-20T00:00:00"/>
    <x v="89"/>
    <x v="8"/>
    <s v="-"/>
    <x v="0"/>
    <x v="1"/>
    <s v="-"/>
    <n v="0.6"/>
    <n v="720"/>
    <d v="2023-03-20T00:00:00"/>
    <x v="0"/>
    <x v="74"/>
    <m/>
    <s v="Sent"/>
    <s v="F2023-0419"/>
    <s v="Paid"/>
  </r>
  <r>
    <s v="Sony "/>
    <s v="SFR"/>
    <x v="1"/>
    <x v="2"/>
    <x v="7"/>
    <d v="2023-06-01T00:00:00"/>
    <x v="90"/>
    <x v="5"/>
    <s v="Delivered"/>
    <x v="0"/>
    <x v="1"/>
    <s v="https://saranistudio-my.sharepoint.com/:f:/g/personal/team_sarani_studio/Ev6IqmHMJZBCphm3dxGsXhYBeFhBvti6G9s1vJiBrYBRdA?e=gI4oeQ"/>
    <n v="4"/>
    <n v="140"/>
    <d v="2023-06-05T00:00:00"/>
    <x v="0"/>
    <x v="75"/>
    <s v="Juillet"/>
    <s v="Sent"/>
    <s v="F2024-0098"/>
    <s v="Paid 14/05/2024"/>
  </r>
  <r>
    <s v="Sony "/>
    <s v="SFR"/>
    <x v="1"/>
    <x v="3"/>
    <x v="10"/>
    <d v="2023-09-01T00:00:00"/>
    <x v="91"/>
    <x v="13"/>
    <s v="Delivered"/>
    <x v="3"/>
    <x v="1"/>
    <s v="https://saranistudio.sharepoint.com/:f:/s/SaraniAssets/EnKMlvMUmgtHl33KogLSSL4BT4by5o36kDO9QCfgduKfRg?e=h0mc84"/>
    <n v="1"/>
    <n v="35"/>
    <m/>
    <x v="0"/>
    <x v="76"/>
    <s v="Septembre"/>
    <s v="Sent"/>
    <s v="F2023-0421"/>
    <s v="Paid 19/01/2024"/>
  </r>
  <r>
    <s v="Sony "/>
    <s v="SFR"/>
    <x v="1"/>
    <x v="3"/>
    <x v="10"/>
    <d v="2023-09-07T00:00:00"/>
    <x v="92"/>
    <x v="5"/>
    <s v="Delivered"/>
    <x v="3"/>
    <x v="1"/>
    <s v="https://saranistudio.sharepoint.com/:f:/s/SaraniAssets/El4Zg-mjvdVNsHXBYyw_hr8BeakFEMytWf-TaaZWoMSIZQ?e=ro3lEN"/>
    <n v="2"/>
    <n v="70"/>
    <m/>
    <x v="0"/>
    <x v="76"/>
    <s v="Octobre"/>
    <s v="Sent"/>
    <s v="F2023-0421"/>
    <s v="Paid 19/01/2024"/>
  </r>
  <r>
    <s v="Sony "/>
    <s v="SFR"/>
    <x v="1"/>
    <x v="3"/>
    <x v="10"/>
    <d v="2023-09-19T00:00:00"/>
    <x v="93"/>
    <x v="9"/>
    <s v="Delivered"/>
    <x v="3"/>
    <x v="0"/>
    <s v="https://saranistudio.sharepoint.com/:f:/s/SaraniAssets/EtfUCFAtvM1ClAWzs5V8ly4Bl5_BtcfUzG-ocfaZiYi-UA?e=620qVs"/>
    <n v="3"/>
    <n v="540"/>
    <s v="https://saranistudio-my.sharepoint.com/:b:/g/personal/team_sarani_studio/EYIsqaLikcxFsPOg39Xgf5wBUN38FMlTSiuK4Z8TL4F2ig?e=aIXyQu"/>
    <x v="0"/>
    <x v="76"/>
    <s v=" done  by Xanthi"/>
    <s v="Sent"/>
    <s v="F2023-0421"/>
    <s v="Paid 19/01/2024"/>
  </r>
  <r>
    <s v="Sony "/>
    <s v="SFR"/>
    <x v="1"/>
    <x v="3"/>
    <x v="10"/>
    <d v="2023-09-19T00:00:00"/>
    <x v="93"/>
    <x v="14"/>
    <s v="Delivered"/>
    <x v="3"/>
    <x v="1"/>
    <s v="https://saranistudio.sharepoint.com/:f:/s/SaraniAssets/EtfUCFAtvM1ClAWzs5V8ly4Bl5_BtcfUzG-ocfaZiYi-UA?e=mfemRc"/>
    <n v="3"/>
    <n v="540"/>
    <m/>
    <x v="0"/>
    <x v="76"/>
    <s v="Octobre"/>
    <s v="Sent"/>
    <s v="F2023-0421"/>
    <s v="Paid 19/01/2024"/>
  </r>
  <r>
    <s v="Sony "/>
    <s v="SFR"/>
    <x v="1"/>
    <x v="2"/>
    <x v="7"/>
    <d v="2023-06-27T00:00:00"/>
    <x v="94"/>
    <x v="5"/>
    <s v="Delivered"/>
    <x v="0"/>
    <x v="1"/>
    <s v="https://saranistudio-my.sharepoint.com/:f:/g/personal/team_sarani_studio/EshfpkcRdslJlWo_wRSFdPaidBKfbGaymAkkISj5Hs0t-4Gg?e=rxI0Dg"/>
    <n v="1"/>
    <n v="35"/>
    <m/>
    <x v="0"/>
    <x v="75"/>
    <s v="Aout"/>
    <s v="Sent"/>
    <s v="F2023-0422"/>
    <s v="Paid 19/01/2024"/>
  </r>
  <r>
    <s v="Sony "/>
    <s v="SFR"/>
    <x v="1"/>
    <x v="3"/>
    <x v="11"/>
    <d v="2023-07-20T00:00:00"/>
    <x v="95"/>
    <x v="5"/>
    <s v="Delivered"/>
    <x v="4"/>
    <x v="1"/>
    <s v="https://saranistudio.sharepoint.com/:f:/s/SaraniAssets/Eo4fs8B0yVxOnYJDdESxq3IBMQTRyrJaLmIY-WuqR8BCHw?e=CXm0xp"/>
    <n v="6"/>
    <n v="295"/>
    <m/>
    <x v="0"/>
    <x v="77"/>
    <s v="Aout"/>
    <s v="Sent"/>
    <s v="F2023-0422"/>
    <s v="Paid 19/01/2024"/>
  </r>
  <r>
    <s v="Sony "/>
    <s v="SFR"/>
    <x v="1"/>
    <x v="3"/>
    <x v="11"/>
    <d v="2023-07-20T00:00:00"/>
    <x v="96"/>
    <x v="8"/>
    <s v="Delivered"/>
    <x v="0"/>
    <x v="1"/>
    <s v="https://saranistudio.sharepoint.com/:f:/s/SaraniAssets/Et5dFqZmczRMgczFiFOa0GsBBMgBPGHSfouO-Ayz_KXs-g?e=etIRaC"/>
    <n v="2"/>
    <n v="70"/>
    <m/>
    <x v="0"/>
    <x v="75"/>
    <s v="Aout"/>
    <s v="Sent"/>
    <s v="F2023-0422"/>
    <s v="Paid 19/01/2024"/>
  </r>
  <r>
    <s v="Sony "/>
    <s v="SFR"/>
    <x v="1"/>
    <x v="3"/>
    <x v="11"/>
    <d v="2023-07-24T00:00:00"/>
    <x v="97"/>
    <x v="8"/>
    <s v="Delivered"/>
    <x v="0"/>
    <x v="1"/>
    <s v="https://saranistudio.sharepoint.com/:f:/s/SaraniAssets/Ep_e6bGp1cJGnZiPUIoGnmMBOeKbF9oZdsw2Vnw67-ugPA?e=9SpT7N"/>
    <n v="4"/>
    <n v="140"/>
    <m/>
    <x v="0"/>
    <x v="75"/>
    <s v="Aout"/>
    <s v="Sent"/>
    <s v="F2023-0422"/>
    <s v="Paid 19/01/2024"/>
  </r>
  <r>
    <s v="Sony "/>
    <s v="SFR"/>
    <x v="1"/>
    <x v="3"/>
    <x v="11"/>
    <d v="2023-07-27T00:00:00"/>
    <x v="98"/>
    <x v="13"/>
    <s v="Delivered"/>
    <x v="0"/>
    <x v="1"/>
    <s v="https://saranistudio.sharepoint.com/:f:/s/SaraniAssets/EiknNepsLsBCrpdYsClDYf4BJ3FbQd_CWM1gJFTvYGUW-Q?e=Rq1u9R"/>
    <n v="4"/>
    <n v="225"/>
    <m/>
    <x v="0"/>
    <x v="75"/>
    <s v="Aout"/>
    <s v="Sent"/>
    <s v="F2023-0422"/>
    <s v="Paid 19/01/2024"/>
  </r>
  <r>
    <s v="Sony "/>
    <s v="SFR"/>
    <x v="1"/>
    <x v="3"/>
    <x v="11"/>
    <d v="2023-07-27T00:00:00"/>
    <x v="99"/>
    <x v="8"/>
    <s v="Delivered"/>
    <x v="0"/>
    <x v="1"/>
    <s v="https://saranistudio.sharepoint.com/:f:/s/SaraniAssets/EooaxtefwdJHkHIXb1uHNp0Bo4oLLxMQXbDoZSqdCMOmdA?e=0dKqff"/>
    <n v="2"/>
    <n v="155"/>
    <m/>
    <x v="0"/>
    <x v="75"/>
    <s v="Aout"/>
    <s v="Sent"/>
    <s v="F2023-0422"/>
    <s v="Paid 19/01/2024"/>
  </r>
  <r>
    <s v="Sony "/>
    <s v="SFR"/>
    <x v="1"/>
    <x v="3"/>
    <x v="8"/>
    <d v="2023-08-21T00:00:00"/>
    <x v="100"/>
    <x v="5"/>
    <s v="Delivered"/>
    <x v="0"/>
    <x v="1"/>
    <s v="https://saranistudio.sharepoint.com/:f:/s/SaraniAssets/EtFcNiBU0NdFlh47hWv2DIcB350g2zzLb2TcsdaZ7gu2IA?e=VVwlcH"/>
    <n v="2"/>
    <n v="440"/>
    <m/>
    <x v="0"/>
    <x v="75"/>
    <s v="Septembre"/>
    <s v="Sent"/>
    <s v="F2023-0422"/>
    <s v="Paid 19/01/2024"/>
  </r>
  <r>
    <s v="Sony "/>
    <s v="SFR"/>
    <x v="1"/>
    <x v="2"/>
    <x v="7"/>
    <d v="2023-06-26T00:00:00"/>
    <x v="101"/>
    <x v="5"/>
    <s v="Delivered"/>
    <x v="5"/>
    <x v="1"/>
    <s v="https://saranistudio-my.sharepoint.com/:f:/g/personal/team_sarani_studio/EjjU1nsll0ZLpfwcqkqDz1ABqwYNoyuQuP2Jpd3qOaYqaw?e=tAAr5m"/>
    <n v="2"/>
    <n v="155"/>
    <m/>
    <x v="0"/>
    <x v="78"/>
    <s v="Aout"/>
    <s v="Sent"/>
    <s v="F2023-0423"/>
    <s v="Paid 19/01/2024"/>
  </r>
  <r>
    <s v="Sony "/>
    <s v="SFR"/>
    <x v="1"/>
    <x v="3"/>
    <x v="11"/>
    <d v="2023-07-03T00:00:00"/>
    <x v="102"/>
    <x v="5"/>
    <s v="Delivered"/>
    <x v="5"/>
    <x v="1"/>
    <s v="https://saranistudio.sharepoint.com/:f:/s/SaraniAssets/EsYuFhHQcFRDtLfSjO_6uGMB0GNO5CLhpB3N6Q9GmyqNJQ?e=Y20eDi"/>
    <n v="2"/>
    <n v="155"/>
    <m/>
    <x v="0"/>
    <x v="78"/>
    <s v="Aout"/>
    <s v="Sent"/>
    <s v="F2023-0423"/>
    <s v="Paid 19/01/2024"/>
  </r>
  <r>
    <s v="Sony "/>
    <s v="SFR"/>
    <x v="1"/>
    <x v="3"/>
    <x v="11"/>
    <d v="2023-07-04T00:00:00"/>
    <x v="103"/>
    <x v="5"/>
    <s v="Delivered"/>
    <x v="5"/>
    <x v="1"/>
    <s v="https://saranistudio.sharepoint.com/:f:/s/SaraniAssets/EkWffmfdAPhJqYBPKmTZI68BPTppr0WVR3suOlBsij0oiQ?e=fU70oR"/>
    <n v="2"/>
    <n v="155"/>
    <m/>
    <x v="0"/>
    <x v="78"/>
    <s v="Aout"/>
    <s v="Sent"/>
    <s v="F2023-0423"/>
    <s v="Paid 19/01/2024"/>
  </r>
  <r>
    <s v="Sony "/>
    <s v="SFR"/>
    <x v="1"/>
    <x v="0"/>
    <x v="9"/>
    <d v="2023-10-11T00:00:00"/>
    <x v="104"/>
    <x v="5"/>
    <s v="Delivered"/>
    <x v="3"/>
    <x v="1"/>
    <s v="https://saranistudio.sharepoint.com/:f:/s/SaraniAssets/Eo2gCErVUSNJhhWrswEkgr0BuKZlajnhYGCJdyMEFeChjw?e=t0AxyP"/>
    <n v="2"/>
    <n v="70"/>
    <m/>
    <x v="0"/>
    <x v="79"/>
    <s v="Novembre"/>
    <s v="Sent"/>
    <s v="F2023-0424"/>
    <s v="Paid 19/01/2024"/>
  </r>
  <r>
    <s v="Sony "/>
    <s v="SFR"/>
    <x v="1"/>
    <x v="0"/>
    <x v="9"/>
    <d v="2023-10-19T00:00:00"/>
    <x v="105"/>
    <x v="13"/>
    <s v="Delivered"/>
    <x v="3"/>
    <x v="1"/>
    <s v="https://saranistudio.sharepoint.com/:f:/s/SaraniAssets/EuQyocrz7aFDuO819yz0ww0BMrZ7LmNdTJ5E1BsfIs5bxw?e=A74Tv9"/>
    <n v="1"/>
    <n v="35"/>
    <m/>
    <x v="0"/>
    <x v="79"/>
    <s v="Novembre"/>
    <s v="Sent"/>
    <s v="F2023-0424"/>
    <s v="Paid 19/01/2024"/>
  </r>
  <r>
    <s v="Sony "/>
    <s v="SFR"/>
    <x v="1"/>
    <x v="0"/>
    <x v="9"/>
    <d v="2023-10-31T00:00:00"/>
    <x v="106"/>
    <x v="5"/>
    <s v="Delivered"/>
    <x v="3"/>
    <x v="1"/>
    <s v="https://saranistudio.sharepoint.com/:f:/s/SaraniAssets/EjJ8FapyEDlGhNbQtDSCKMEBmzrKpIOPaidm6DzVfxKrqvfQ?e=xeCvE8"/>
    <n v="4"/>
    <n v="300"/>
    <m/>
    <x v="0"/>
    <x v="79"/>
    <s v="Décembre"/>
    <s v="Sent"/>
    <s v="F2023-0424"/>
    <s v="Paid 19/01/2024"/>
  </r>
  <r>
    <s v="Sony "/>
    <s v="SFR"/>
    <x v="1"/>
    <x v="0"/>
    <x v="0"/>
    <d v="2023-11-02T00:00:00"/>
    <x v="107"/>
    <x v="5"/>
    <s v="Delivered"/>
    <x v="3"/>
    <x v="1"/>
    <s v="https://saranistudio.sharepoint.com/:f:/s/SaraniAssets/EpVLTD8AcVFOoq7WqfTgzHYBaoFcP9nMoLJncoN9hs7E7w?e=kvyV0y"/>
    <n v="1"/>
    <n v="80"/>
    <m/>
    <x v="0"/>
    <x v="79"/>
    <s v="Décembre"/>
    <s v="Sent"/>
    <s v="F2023-0424"/>
    <s v="Paid 19/01/2024"/>
  </r>
  <r>
    <s v="Sony "/>
    <s v="SFR"/>
    <x v="1"/>
    <x v="0"/>
    <x v="0"/>
    <d v="2023-11-10T00:00:00"/>
    <x v="108"/>
    <x v="13"/>
    <s v="Delivered"/>
    <x v="3"/>
    <x v="1"/>
    <s v="https://saranistudio.sharepoint.com/:f:/s/SaraniAssets/EjFSqeQ09NFHvpMTxDxk31QBAlTBXEylsg91OVIxKT6fPQ?e=flMF03"/>
    <n v="2"/>
    <n v="240"/>
    <m/>
    <x v="0"/>
    <x v="79"/>
    <s v="Décembre"/>
    <s v="Sent"/>
    <s v="F2023-0424"/>
    <s v="Paid 19/01/2024"/>
  </r>
  <r>
    <s v="Sony "/>
    <s v="SFR"/>
    <x v="1"/>
    <x v="0"/>
    <x v="0"/>
    <d v="2023-11-13T00:00:00"/>
    <x v="109"/>
    <x v="5"/>
    <s v="Delivered"/>
    <x v="3"/>
    <x v="1"/>
    <s v="https://saranistudio.sharepoint.com/:f:/s/SaraniAssets/EhaXdK045ktJg8QiQguTvs8B2qCauga7MsVE7QwYTqF63w?e=6ZHC8E"/>
    <n v="1"/>
    <n v="135"/>
    <m/>
    <x v="0"/>
    <x v="79"/>
    <s v="Décembre"/>
    <s v="Sent"/>
    <s v="F2023-0424"/>
    <s v="Paid 19/01/2024"/>
  </r>
  <r>
    <s v="Sony "/>
    <s v="SFR"/>
    <x v="1"/>
    <x v="0"/>
    <x v="0"/>
    <d v="2023-11-13T00:00:00"/>
    <x v="110"/>
    <x v="5"/>
    <s v="Delivered"/>
    <x v="5"/>
    <x v="1"/>
    <s v="https://saranistudio.sharepoint.com/:f:/s/SaraniAssets/Esb88uDM9kZPvZ5uB5ZOp7IBdO3An7CZXDJUWtFeBMIAsw?e=NB7Jei"/>
    <n v="7"/>
    <n v="245"/>
    <m/>
    <x v="0"/>
    <x v="80"/>
    <s v="Décembre"/>
    <s v="Sent"/>
    <s v="F2023-0425"/>
    <s v="Paid 19/01/2024"/>
  </r>
  <r>
    <s v="Sony "/>
    <s v="SFR"/>
    <x v="1"/>
    <x v="0"/>
    <x v="9"/>
    <d v="2023-10-10T00:00:00"/>
    <x v="111"/>
    <x v="5"/>
    <s v="Delivered"/>
    <x v="4"/>
    <x v="1"/>
    <s v="https://saranistudio.sharepoint.com/:f:/s/SaraniAssets/Eu2RanequfNGsQqUWNobPq0BHu4nG3ip_jSh-z5ivF-SNg?e=Z9FmxR"/>
    <n v="5"/>
    <n v="275"/>
    <m/>
    <x v="0"/>
    <x v="81"/>
    <s v="Novembre"/>
    <s v="Sent"/>
    <s v="F2023-0426"/>
    <s v="Paid 19/01/2024"/>
  </r>
  <r>
    <s v="Sony"/>
    <s v="SFR"/>
    <x v="1"/>
    <x v="0"/>
    <x v="9"/>
    <d v="2023-10-09T00:00:00"/>
    <x v="112"/>
    <x v="11"/>
    <s v="Delivered"/>
    <x v="2"/>
    <x v="0"/>
    <s v="https://saranistudio.sharepoint.com/:f:/s/SaraniAssets/EhkVnyJH94hKmot5OrrllS4BUJVOD1kD0zyMSBrD9ymi8Q?e=wtQe48"/>
    <n v="3"/>
    <n v="355"/>
    <s v="https://saranistudio-my.sharepoint.com/:b:/g/personal/team_sarani_studio/Ee7AjtL2ZSBNsBiGOqR4LRUBaiKg_4ouz5GBdFwTTy6H2Q?e=0lEP6b"/>
    <x v="0"/>
    <x v="82"/>
    <m/>
    <s v="Sent"/>
    <s v="F2023-0433"/>
    <s v="Paid 23/01/2024"/>
  </r>
  <r>
    <s v="Sony "/>
    <s v="SFR"/>
    <x v="1"/>
    <x v="0"/>
    <x v="9"/>
    <d v="2023-10-27T00:00:00"/>
    <x v="113"/>
    <x v="11"/>
    <s v="Delivered"/>
    <x v="0"/>
    <x v="0"/>
    <s v="https://saranistudio.sharepoint.com/:f:/s/SaraniAssets/EtWdHJrF9hVKrIKcT7S2lTMBSXuI0TbH9VrL4SYS3lXe_w?e=23uhUv"/>
    <n v="1"/>
    <n v="80"/>
    <s v="https://saranistudio-my.sharepoint.com/:b:/g/personal/team_sarani_studio/EcP79JqJyO1KuACaCWwAsM0By9Y56qw25VCvkEANIKn29w?e=otW0Ru"/>
    <x v="0"/>
    <x v="83"/>
    <m/>
    <s v="Sent"/>
    <s v="F2023-0434"/>
    <s v="Paid 23/01/2024"/>
  </r>
  <r>
    <s v="Sony"/>
    <s v="SFR"/>
    <x v="1"/>
    <x v="0"/>
    <x v="9"/>
    <d v="2023-10-23T00:00:00"/>
    <x v="114"/>
    <x v="11"/>
    <s v="Delivered"/>
    <x v="0"/>
    <x v="0"/>
    <s v="https://saranistudio.sharepoint.com/:f:/s/SaraniAssets/EjIIsWrWIkZBsqrOXS7l2F8BF_TFSnTVgtkbju4QU9EUAg?e=h2BqHl"/>
    <n v="1"/>
    <n v="135"/>
    <s v="https://saranistudio-my.sharepoint.com/:b:/g/personal/team_sarani_studio/EZvICIqE9sNGkQ0goRtft_gBQPyLrz0fw8raQhGhRMKZ8g?e=RN7a4v"/>
    <x v="0"/>
    <x v="84"/>
    <m/>
    <s v="Sent"/>
    <s v="F2023-0435"/>
    <s v="Paid 23/01/2024"/>
  </r>
  <r>
    <s v="Sony "/>
    <s v="SFR"/>
    <x v="1"/>
    <x v="0"/>
    <x v="0"/>
    <d v="2023-11-08T00:00:00"/>
    <x v="115"/>
    <x v="11"/>
    <s v="Delivered"/>
    <x v="3"/>
    <x v="0"/>
    <s v="https://saranistudio.sharepoint.com/:f:/s/SaraniAssets/Eodd6cfk8mdCu1Q9slmbozMBVaEbNlFrea2iijCXO3p6fA?e=bZrnJb"/>
    <n v="4"/>
    <n v="720"/>
    <s v="https://saranistudio-my.sharepoint.com/:b:/g/personal/team_sarani_studio/EZWhW9hYN09FmjnDf0_SqL4BrUffJEv-Baj4R7_6Uzr7JA?e=Svnzt2"/>
    <x v="0"/>
    <x v="85"/>
    <m/>
    <s v="Sent"/>
    <s v="F2023-0436"/>
    <s v="Paid 23/01/2024"/>
  </r>
  <r>
    <s v="Sony "/>
    <s v="SFR"/>
    <x v="1"/>
    <x v="0"/>
    <x v="0"/>
    <d v="2023-11-10T00:00:00"/>
    <x v="116"/>
    <x v="11"/>
    <s v="Delivered"/>
    <x v="3"/>
    <x v="0"/>
    <s v="https://saranistudio.sharepoint.com/:f:/s/SaraniAssets/Eodd6cfk8mdCu1Q9slmbozMBVaEbNlFrea2iijCXO3p6fA?e=9cWXcH"/>
    <n v="4"/>
    <n v="225"/>
    <m/>
    <x v="0"/>
    <x v="86"/>
    <m/>
    <s v="Sent"/>
    <s v="F2023-0436"/>
    <s v="Paid 23/01/2024"/>
  </r>
  <r>
    <s v="Sony "/>
    <s v="SFR"/>
    <x v="1"/>
    <x v="0"/>
    <x v="0"/>
    <d v="2023-11-13T00:00:00"/>
    <x v="117"/>
    <x v="11"/>
    <s v="Delivered"/>
    <x v="2"/>
    <x v="0"/>
    <s v="https://saranistudio.sharepoint.com/:f:/s/SaraniAssets/EovRry9I1YNLl3Bs6R8iMREBr7g1_iWsS9N1z90BE7DcYg?e=P9sxZM"/>
    <n v="6"/>
    <n v="295"/>
    <s v="_"/>
    <x v="0"/>
    <x v="87"/>
    <m/>
    <s v="Sent"/>
    <s v="F2023-0436"/>
    <s v="Paid 23/01/2024"/>
  </r>
  <r>
    <s v="Sony "/>
    <s v="SFR"/>
    <x v="1"/>
    <x v="0"/>
    <x v="0"/>
    <d v="2023-11-15T00:00:00"/>
    <x v="118"/>
    <x v="11"/>
    <s v="Delivered"/>
    <x v="3"/>
    <x v="0"/>
    <s v="https://saranistudio.sharepoint.com/:f:/s/SaraniAssets/EovRry9I1YNLl3Bs6R8iMREBr7g1_iWsS9N1z90BE7DcYg?e=6Yusw1"/>
    <n v="18"/>
    <n v="630"/>
    <s v="_"/>
    <x v="0"/>
    <x v="87"/>
    <m/>
    <s v="Sent"/>
    <s v="F2023-0436"/>
    <s v="Paid 23/01/2024"/>
  </r>
  <r>
    <s v="Sony"/>
    <s v="SFR"/>
    <x v="1"/>
    <x v="0"/>
    <x v="9"/>
    <d v="2023-10-16T00:00:00"/>
    <x v="119"/>
    <x v="11"/>
    <s v="Delivered"/>
    <x v="0"/>
    <x v="0"/>
    <s v="https://saranistudio.sharepoint.com/:f:/s/SaraniAssets/EpEBYf5GWK9DPaidU8_Yd9V50BoIhlLLzOcq6RIxsIik3LEw?e=TKRh3j"/>
    <n v="1"/>
    <n v="40"/>
    <s v="https://saranistudio-my.sharepoint.com/:b:/g/personal/team_sarani_studio/EYhsQn8I6rlOjpEbFRVb784BF5JzkASIiip86bCCEG6V7g?e=Q20Pnr"/>
    <x v="0"/>
    <x v="88"/>
    <m/>
    <s v="Sent"/>
    <s v="F2023-0437"/>
    <s v="Paid 23/01/2024"/>
  </r>
  <r>
    <s v="Sony "/>
    <s v="SFR"/>
    <x v="1"/>
    <x v="0"/>
    <x v="0"/>
    <d v="2023-11-21T00:00:00"/>
    <x v="120"/>
    <x v="5"/>
    <s v="Delivered"/>
    <x v="3"/>
    <x v="1"/>
    <s v="https://saranistudio.sharepoint.com/:f:/s/SaraniAssets/ErPLt4I4ugdKvV8jBHbwSlgBXz4Vz3JbCCpnY0t6_1bBKg?e=BTiFOm"/>
    <n v="2"/>
    <n v="155"/>
    <m/>
    <x v="0"/>
    <x v="79"/>
    <s v="Janvier"/>
    <s v="Sent"/>
    <s v="F2023-0438"/>
    <s v="Paid 23/01/2024"/>
  </r>
  <r>
    <s v="Sony "/>
    <s v="SFR"/>
    <x v="1"/>
    <x v="0"/>
    <x v="0"/>
    <d v="2023-11-21T00:00:00"/>
    <x v="121"/>
    <x v="5"/>
    <s v="Delivered"/>
    <x v="3"/>
    <x v="1"/>
    <s v="https://saranistudio.sharepoint.com/:f:/s/SaraniAssets/EgSBMO7G8CtPiA2qeVp_ODkBbAHHc8LP-rPTkwH6_xHmdg?e=efaM1O"/>
    <n v="2"/>
    <n v="70"/>
    <m/>
    <x v="0"/>
    <x v="79"/>
    <s v="Janvier"/>
    <s v="Sent"/>
    <s v="F2023-0438"/>
    <s v="Paid 23/01/2024"/>
  </r>
  <r>
    <s v="Sony "/>
    <s v="SFR"/>
    <x v="1"/>
    <x v="0"/>
    <x v="9"/>
    <d v="2023-10-31T00:00:00"/>
    <x v="122"/>
    <x v="15"/>
    <s v="Delivered"/>
    <x v="0"/>
    <x v="1"/>
    <s v="https://saranistudio.sharepoint.com/:f:/s/SaraniAssets/Eh6KVl3bFE5LhnPwJatp_ZAB-BRSqFvxMpNBm7iwT-IQ2Q?e=HY0ocq"/>
    <n v="2"/>
    <n v="155"/>
    <m/>
    <x v="0"/>
    <x v="89"/>
    <s v="Janvier"/>
    <s v="Sent"/>
    <s v="F2023-0439"/>
    <s v="Paid 23/01/2024"/>
  </r>
  <r>
    <s v="Sony "/>
    <s v="SFR"/>
    <x v="1"/>
    <x v="0"/>
    <x v="0"/>
    <d v="2023-11-08T00:00:00"/>
    <x v="123"/>
    <x v="13"/>
    <s v="Delivered"/>
    <x v="0"/>
    <x v="1"/>
    <s v="https://saranistudio.sharepoint.com/:f:/s/SaraniAssets/EsS0n7-mcOhAizFqMCHg0M0BcG125BDooC6feMnZVwvCow?e=HC8MzD"/>
    <n v="2"/>
    <n v="155"/>
    <m/>
    <x v="0"/>
    <x v="89"/>
    <s v="Janvier"/>
    <s v="Sent"/>
    <s v="F2023-0439"/>
    <s v="Paid 23/01/2024"/>
  </r>
  <r>
    <s v="Sony "/>
    <s v="SFR"/>
    <x v="1"/>
    <x v="3"/>
    <x v="10"/>
    <d v="2023-09-29T00:00:00"/>
    <x v="124"/>
    <x v="9"/>
    <s v="Delivered"/>
    <x v="3"/>
    <x v="0"/>
    <s v="https://saranistudio.sharepoint.com/:f:/s/SaraniAssets/EuQyocrz7aFDuO819yz0ww0BMrZ7LmNdTJ5E1BsfIs5bxw?e=YQHKS3"/>
    <n v="1"/>
    <n v="120"/>
    <s v="https://saranistudio-my.sharepoint.com/:b:/g/personal/team_sarani_studio/EZ7UhPlEtMJPvHb_iYYmp24B-rX3om96VNF4F0bZAt61gQ?e=Kp3lwi"/>
    <x v="0"/>
    <x v="90"/>
    <m/>
    <s v="Sent"/>
    <s v="F2023-0441"/>
    <s v="Paid 26.01.2024"/>
  </r>
  <r>
    <s v="Sony"/>
    <s v="SFR"/>
    <x v="1"/>
    <x v="3"/>
    <x v="10"/>
    <d v="2023-09-29T00:00:00"/>
    <x v="125"/>
    <x v="9"/>
    <s v="Delivered"/>
    <x v="3"/>
    <x v="0"/>
    <s v="https://saranistudio.sharepoint.com/:f:/s/SaraniAssets/EiUV8vEk15ZIixLeLqfTjrwBWDb9EeJiCNly26p2idnXTw?e=qSse1D"/>
    <n v="6"/>
    <n v="410"/>
    <s v="https://saranistudio-my.sharepoint.com/:b:/g/personal/team_sarani_studio/EVDbEEyekklAvnboueTocroBMRj1nfk-FPDv2jGy40Z5Zw?e=aoCu4r"/>
    <x v="0"/>
    <x v="90"/>
    <m/>
    <s v="Sent"/>
    <s v="F2023-0441"/>
    <s v="Paid 26.01.2024"/>
  </r>
  <r>
    <s v="Sony"/>
    <s v="SFR"/>
    <x v="1"/>
    <x v="0"/>
    <x v="9"/>
    <d v="2023-10-17T00:00:00"/>
    <x v="126"/>
    <x v="9"/>
    <s v="Delivered"/>
    <x v="3"/>
    <x v="0"/>
    <s v="https://saranistudio.sharepoint.com/:f:/s/SaraniAssets/EgTar_V48PBDpAOoe7_M2q0Bt6Lflm8qblY-7nejS9_7Tw?e=dzeRJc"/>
    <n v="2"/>
    <n v="155"/>
    <s v="https://saranistudio-my.sharepoint.com/:b:/g/personal/team_sarani_studio/EX7EXGd6FlZNm1XngjQkjfwBT8HnldXrw_JwFJUBYigR_Q?e=CoSLsV"/>
    <x v="0"/>
    <x v="90"/>
    <m/>
    <s v="Sent"/>
    <s v="F2023-0441"/>
    <s v="Paid 26.01.2024"/>
  </r>
  <r>
    <s v="Sony"/>
    <s v="SFR"/>
    <x v="1"/>
    <x v="0"/>
    <x v="9"/>
    <d v="2023-10-24T00:00:00"/>
    <x v="127"/>
    <x v="9"/>
    <s v="Delivered"/>
    <x v="3"/>
    <x v="0"/>
    <s v="https://saranistudio.sharepoint.com/:f:/s/SaraniAssets/EuDargvsjaJHm6KMYUjW1jkBhC2C0AUlOATLqNdWnjfKsQ?e=MBLIoI"/>
    <n v="1"/>
    <n v="135"/>
    <s v="https://saranistudio-my.sharepoint.com/:b:/g/personal/team_sarani_studio/EYWGVMM7uglFiTVIWi_5vJ8Bq6JIWdRv83Bi6j9YEKl1QQ?e=R3PjHE"/>
    <x v="0"/>
    <x v="90"/>
    <m/>
    <s v="Sent"/>
    <s v="F2023-0441"/>
    <s v="Paid 26.01.2024"/>
  </r>
  <r>
    <s v="Sony "/>
    <s v="SFR"/>
    <x v="1"/>
    <x v="0"/>
    <x v="9"/>
    <d v="2023-10-31T00:00:00"/>
    <x v="128"/>
    <x v="9"/>
    <s v="Delivered"/>
    <x v="3"/>
    <x v="0"/>
    <s v="https://saranistudio.sharepoint.com/:f:/s/SaraniAssets/EiMrvdzFUKBKnLHN7ZsP-TkB45Sh1osY8jkrY614bUEVQA?e=Cmk0f5"/>
    <n v="1"/>
    <n v="120"/>
    <s v="https://saranistudio-my.sharepoint.com/:b:/g/personal/team_sarani_studio/EcOO71X0ZUxIo-hufoC5qmUB-ay2RwHT-3DIdmTwS9yytA?e=YS3mXZ"/>
    <x v="0"/>
    <x v="90"/>
    <m/>
    <s v="Sent"/>
    <s v="F2023-0441"/>
    <s v="Paid 26.01.2024"/>
  </r>
  <r>
    <s v="Sony "/>
    <s v="SFR"/>
    <x v="1"/>
    <x v="0"/>
    <x v="9"/>
    <d v="2023-10-30T00:00:00"/>
    <x v="129"/>
    <x v="9"/>
    <s v="Delivered"/>
    <x v="3"/>
    <x v="0"/>
    <s v="https://saranistudio.sharepoint.com/:f:/s/SaraniAssets/ErSgv-hqFRpOuvmAVjD_t1gBaECQLYpE-t9VB7eIFXWUGQ?e=l0ti5F"/>
    <n v="1"/>
    <n v="120"/>
    <s v="https://saranistudio-my.sharepoint.com/:b:/g/personal/team_sarani_studio/EfLZu5jwbb9MpqwJcMDzVyUBRuUglA6JbbnmnMKCJKxUiA?e=OxV7kf"/>
    <x v="0"/>
    <x v="91"/>
    <m/>
    <s v="Sent"/>
    <s v="F2023-0442"/>
    <s v="Paid 26.01.2024"/>
  </r>
  <r>
    <s v="Sony "/>
    <s v="SFR"/>
    <x v="1"/>
    <x v="0"/>
    <x v="9"/>
    <d v="2023-10-12T00:00:00"/>
    <x v="130"/>
    <x v="9"/>
    <s v="Delivered"/>
    <x v="5"/>
    <x v="0"/>
    <s v="https://saranistudio.sharepoint.com/:f:/s/SaraniAssets/En6M1gE4gRFMsxWNh2FEAgwBbUM5rm7OtWR9MxNEfcUwQA?e=dh9KSP"/>
    <n v="4"/>
    <n v="255"/>
    <s v="https://saranistudio-my.sharepoint.com/:b:/g/personal/team_sarani_studio/EfWXFgChM0pIvne8GtciDicBSv_RgXWPHS29oXKrxZQDeQ?e=3KsHae"/>
    <x v="0"/>
    <x v="92"/>
    <m/>
    <s v="Sent"/>
    <s v="F2023-0445"/>
    <s v="Paid 29/01/2024"/>
  </r>
  <r>
    <s v="Sony "/>
    <s v="SFR"/>
    <x v="1"/>
    <x v="0"/>
    <x v="0"/>
    <d v="2023-11-16T00:00:00"/>
    <x v="131"/>
    <x v="9"/>
    <s v="Delivered"/>
    <x v="5"/>
    <x v="0"/>
    <s v="https://saranistudio.sharepoint.com/:f:/s/SaraniAssets/EhSKdIbKiXBOp7CdN7EABowB7Fa6SqA4P1_Bfp4D41Uc2A?e=oRPYXG"/>
    <n v="1"/>
    <n v="135"/>
    <s v="https://saranistudio.sharepoint.com/:b:/s/SaraniAssets/EaGA5-YxOy5LrfrpmX-ZBjcBt2WkDMbK4g_HX-9hWSiHqA?e=RyhJL8"/>
    <x v="0"/>
    <x v="92"/>
    <m/>
    <s v="Sent"/>
    <s v="F2023-0445"/>
    <s v="Paid 29/01/2024"/>
  </r>
  <r>
    <s v="Sony "/>
    <s v="SFR"/>
    <x v="1"/>
    <x v="3"/>
    <x v="10"/>
    <d v="2023-09-26T00:00:00"/>
    <x v="132"/>
    <x v="4"/>
    <s v="Delivered"/>
    <x v="5"/>
    <x v="0"/>
    <s v="https://saranistudio.sharepoint.com/:f:/s/SaraniAssets/Er9pInJc7SlPlb-H9tAnvvUBVGJ3H5DxZwDvHG7WJWU-yw?e=9IaSUZ"/>
    <n v="22"/>
    <n v="770"/>
    <s v="https://saranistudio-my.sharepoint.com/:b:/g/personal/team_sarani_studio/EcKgbKdU6mZPiMSAoC96NG4BC-zObw42WjSJzmMQdmZYhQ?e=87vEKf"/>
    <x v="0"/>
    <x v="93"/>
    <m/>
    <s v="Sent"/>
    <s v="F2023-0449"/>
    <s v="Paid 29/01/2024"/>
  </r>
  <r>
    <s v="Sony "/>
    <s v="SFR"/>
    <x v="1"/>
    <x v="0"/>
    <x v="0"/>
    <d v="2023-11-08T00:00:00"/>
    <x v="133"/>
    <x v="4"/>
    <s v="Delivered"/>
    <x v="5"/>
    <x v="0"/>
    <s v="https://saranistudio.sharepoint.com/:f:/s/SaraniAssets/EhDO8dvFKWJGqTFoP_xOULEBHzHN2pZyBynicE-3iFvHKg?e=SQC793"/>
    <n v="5"/>
    <n v="260"/>
    <s v="https://saranistudio-my.sharepoint.com/:b:/g/personal/team_sarani_studio/ERKsAjSgYG5LlexbDjdcRxMBkVxrKDPRRC9sUP4wAd6Fxg?e=qSvSTV"/>
    <x v="0"/>
    <x v="93"/>
    <m/>
    <s v="Sent"/>
    <s v="F2023-0449"/>
    <s v="Paid 29/01/2024"/>
  </r>
  <r>
    <s v="Sony "/>
    <s v="SFR"/>
    <x v="1"/>
    <x v="0"/>
    <x v="0"/>
    <d v="2023-11-17T00:00:00"/>
    <x v="134"/>
    <x v="4"/>
    <s v="Delivered"/>
    <x v="5"/>
    <x v="0"/>
    <s v="https://saranistudio.sharepoint.com/:f:/s/SaraniAssets/EtY9hpKd1PlIhHe2wixiXsMBSDqRMLLEeq1QqO4tJfzyUw?e=UhMRMw"/>
    <n v="6"/>
    <n v="295"/>
    <s v="https://saranistudio-my.sharepoint.com/:b:/g/personal/team_sarani_studio/EV03LyVoqJRGoo_L4CUjmQgBpakEaO7HKB7shbkLtsDFIQ?e=kDBipF"/>
    <x v="0"/>
    <x v="93"/>
    <m/>
    <s v="Sent"/>
    <s v="F2023-0449"/>
    <s v="Paid 29/01/2024"/>
  </r>
  <r>
    <s v="Sony "/>
    <s v="SFR"/>
    <x v="1"/>
    <x v="0"/>
    <x v="9"/>
    <d v="2023-10-13T00:00:00"/>
    <x v="135"/>
    <x v="9"/>
    <s v="Delivered"/>
    <x v="0"/>
    <x v="0"/>
    <s v="https://saranistudio.sharepoint.com/:f:/s/SaraniAssets/El7rq3jNFQdDo91RrmenfzQBgvdmDeHXKaa4yD0fsD1L8w?e=cAePaidQ"/>
    <n v="2"/>
    <n v="480"/>
    <s v="https://saranistudio-my.sharepoint.com/:b:/g/personal/team_sarani_studio/EahYvQzsfYlIkoszpFaZOoMBsZURjumMORm0GSEdIn0-3Q?e=yI0Cej"/>
    <x v="0"/>
    <x v="94"/>
    <m/>
    <s v="Sent"/>
    <s v="F2023-0454_x000a_F2024-0012"/>
    <s v="Paid_x000a_Paid"/>
  </r>
  <r>
    <s v="Sony"/>
    <s v="SFR"/>
    <x v="1"/>
    <x v="0"/>
    <x v="9"/>
    <d v="2023-10-02T00:00:00"/>
    <x v="136"/>
    <x v="4"/>
    <s v="Delivered"/>
    <x v="5"/>
    <x v="0"/>
    <s v="https://saranistudio.sharepoint.com/:f:/s/SaraniAssets/EosNDDBskm9BjknVqVaTUUIBFbs2cKTF3yYLg-eQh4eaFw?e=EgB9v5"/>
    <n v="14"/>
    <n v="685"/>
    <s v="https://saranistudio-my.sharepoint.com/:b:/g/personal/team_sarani_studio/EdSj0tw5I89CphUXa5VDuO4Bw3SJyPQsDm8HB9PaidLpiuDQ?e=hhbdeT"/>
    <x v="0"/>
    <x v="95"/>
    <m/>
    <s v="Sent"/>
    <s v="F2023-0477"/>
    <s v="Paid 20/02/2024"/>
  </r>
  <r>
    <s v="Sony "/>
    <s v="SFR"/>
    <x v="1"/>
    <x v="0"/>
    <x v="9"/>
    <d v="2023-10-05T00:00:00"/>
    <x v="137"/>
    <x v="4"/>
    <s v="Delivered"/>
    <x v="5"/>
    <x v="0"/>
    <s v="https://saranistudio.sharepoint.com/:f:/s/SaraniAssets/EsZE1mf1761OmkcL89GTnkYBNFxkNZXRaQLXbIrhI6TSmA?e=UgnWWN"/>
    <n v="35"/>
    <n v="1355"/>
    <s v="https://saranistudio-my.sharepoint.com/:b:/g/personal/team_sarani_studio/ES2hMQcThZhBkH4vuhbAVDQBPw2t9df2m1581HZXUcLztA?e=NzNzjM"/>
    <x v="0"/>
    <x v="95"/>
    <m/>
    <s v="Sent"/>
    <s v="F2023-0477"/>
    <s v="Paid 20/02/2024"/>
  </r>
  <r>
    <s v="Sony "/>
    <s v="SFR"/>
    <x v="1"/>
    <x v="3"/>
    <x v="10"/>
    <d v="2023-09-22T00:00:00"/>
    <x v="138"/>
    <x v="6"/>
    <s v="Delivered"/>
    <x v="0"/>
    <x v="0"/>
    <s v="https://saranistudio.sharepoint.com/:f:/s/SaraniAssets/EnnFIK011BRPu4_4wDbgM54B3hUmsum-1aBStFQCPhfjOA?e=sEVJlL"/>
    <n v="1"/>
    <n v="40"/>
    <s v="https://saranistudio-my.sharepoint.com/:b:/g/personal/team_sarani_studio/EZq8osiLjkhPmcKT8E1ihwYBFA4-3JDKMCAPsSQ13wCRvQ?e=PaidbS5c"/>
    <x v="0"/>
    <x v="96"/>
    <m/>
    <s v="Sent"/>
    <s v="F2023-0478"/>
    <s v="Paid 20/02/2024"/>
  </r>
  <r>
    <s v="Sony "/>
    <s v="SFR"/>
    <x v="1"/>
    <x v="0"/>
    <x v="9"/>
    <d v="2023-10-30T00:00:00"/>
    <x v="139"/>
    <x v="14"/>
    <s v="Delivered"/>
    <x v="5"/>
    <x v="1"/>
    <s v="https://saranistudio.sharepoint.com/:f:/s/SaraniAssets/Ei0hBdEi0LdAph64pXwjhs4B-v2QPUjMUy8zwDh1TxcIdQ?e=KM7Hj1"/>
    <n v="12"/>
    <n v="420"/>
    <s v="https://saranistudio-my.sharepoint.com/:b:/g/personal/team_sarani_studio/ERHEmUH7_D9HifO6AIqjs9EBrx79IRPlRLHpsw1-uVPcoQ?e=7OhB5g"/>
    <x v="0"/>
    <x v="97"/>
    <m/>
    <s v="Sent"/>
    <s v="F2023-0480"/>
    <s v="Paid 22/03/2024"/>
  </r>
  <r>
    <s v="Sony "/>
    <s v="SFR"/>
    <x v="1"/>
    <x v="0"/>
    <x v="0"/>
    <d v="2023-11-07T00:00:00"/>
    <x v="140"/>
    <x v="14"/>
    <s v="Delivered"/>
    <x v="5"/>
    <x v="1"/>
    <s v="https://saranistudio.sharepoint.com/:f:/s/SaraniAssets/EseZG1JSwf1Cseiw44aDO5oBtTh2_e4dw_xPmpa6dVifIQ?e=UcYmQn"/>
    <n v="12"/>
    <n v="420"/>
    <s v="https://saranistudio-my.sharepoint.com/:b:/g/personal/team_sarani_studio/EacYcAvM6c1NnVYFi5WKm1ABE58avpJZsxRdRJl7CAP6Yw?e=ha9jef"/>
    <x v="0"/>
    <x v="97"/>
    <m/>
    <s v="Sent"/>
    <s v="F2023-0480"/>
    <s v="Paid 22/03/2024"/>
  </r>
  <r>
    <s v="Sony "/>
    <s v="SFR"/>
    <x v="1"/>
    <x v="0"/>
    <x v="0"/>
    <d v="2023-11-28T00:00:00"/>
    <x v="141"/>
    <x v="9"/>
    <s v="Open PO"/>
    <x v="5"/>
    <x v="0"/>
    <m/>
    <s v="-"/>
    <s v="-"/>
    <m/>
    <x v="0"/>
    <x v="98"/>
    <m/>
    <s v="Sent"/>
    <s v="F2023-0481"/>
    <s v="Paid 26/02/2024"/>
  </r>
  <r>
    <s v="Sony "/>
    <s v="SFR"/>
    <x v="1"/>
    <x v="0"/>
    <x v="1"/>
    <d v="2023-12-29T00:00:00"/>
    <x v="142"/>
    <x v="9"/>
    <s v="Delivered"/>
    <x v="5"/>
    <x v="0"/>
    <s v="https://saranistudio.sharepoint.com/:f:/s/SaraniAssets/Elot0d9wGCVOorZl-8CHHl0BmTsYZy44UOlj5PqoR-nnLQ?e=HmvmpU"/>
    <n v="10"/>
    <n v="605"/>
    <m/>
    <x v="0"/>
    <x v="98"/>
    <m/>
    <s v="Sent"/>
    <s v="F2023-0481"/>
    <s v="Paid 26/02/2024"/>
  </r>
  <r>
    <m/>
    <m/>
    <x v="2"/>
    <x v="4"/>
    <x v="12"/>
    <d v="2024-05-02T00:00:00"/>
    <x v="88"/>
    <x v="12"/>
    <m/>
    <x v="6"/>
    <x v="2"/>
    <m/>
    <m/>
    <n v="1200"/>
    <m/>
    <x v="1"/>
    <x v="73"/>
    <m/>
    <s v="Sent"/>
    <s v="F2023-0557"/>
    <s v="Paid 13/12/2023"/>
  </r>
  <r>
    <s v="Sony "/>
    <s v="SFR"/>
    <x v="1"/>
    <x v="3"/>
    <x v="10"/>
    <d v="2023-09-14T00:00:00"/>
    <x v="143"/>
    <x v="4"/>
    <s v="Delivered"/>
    <x v="5"/>
    <x v="0"/>
    <s v="https://saranistudio.sharepoint.com/:f:/s/SaraniAssets/EvoGkMIDaxNNn_D4yYhjN4YBXzeH_waUwudgSgJoQgPVJw?e=uzDWRD"/>
    <n v="9"/>
    <n v="410"/>
    <s v="https://saranistudio-my.sharepoint.com/:b:/g/personal/team_sarani_studio/Ec8oiCI_A_VMqO6IpEd3GVIBX5rjzOcpzsaHAkGERCpbZg?e=QEbRh7"/>
    <x v="0"/>
    <x v="99"/>
    <m/>
    <s v="Sent"/>
    <s v="F2023-0558"/>
    <s v="Paid 28/11/2023"/>
  </r>
  <r>
    <s v="Sony"/>
    <s v="SFR"/>
    <x v="1"/>
    <x v="2"/>
    <x v="6"/>
    <d v="2023-05-17T00:00:00"/>
    <x v="144"/>
    <x v="4"/>
    <s v="Delivered"/>
    <x v="5"/>
    <x v="0"/>
    <s v="https://saranistudio-my.sharepoint.com/:f:/g/personal/team_sarani_studio/EtoGrfab8TBPqqqH2nHVI1gBmONIk1QrS4vWxTVcfPum0w?e=RQg19w"/>
    <n v="9"/>
    <n v="510"/>
    <s v="https://saranistudio-my.sharepoint.com/:b:/g/personal/team_sarani_studio/EWpE3hXotlpGqUUf3-d076oBYc9ifdfAUM4r3WVYiVXhkw?e=WnxmrE"/>
    <x v="0"/>
    <x v="100"/>
    <m/>
    <s v="Sent"/>
    <s v="F2023-0559"/>
    <s v="Paid 28/11/2023"/>
  </r>
  <r>
    <s v="Sony "/>
    <s v="SFR"/>
    <x v="1"/>
    <x v="3"/>
    <x v="8"/>
    <d v="2023-08-04T00:00:00"/>
    <x v="145"/>
    <x v="4"/>
    <s v="Delivered"/>
    <x v="5"/>
    <x v="0"/>
    <s v="https://saranistudio.sharepoint.com/:f:/s/SaraniAssets/EjmX0yufN1tOqaFCw7M8mOoBeCJ-8gVyiGVAxQB_3dKtaA?e=LWQbbn"/>
    <n v="2"/>
    <n v="175"/>
    <s v="Quote Proposal SFR - A6700_POSTER A4 et A3.pdf"/>
    <x v="0"/>
    <x v="100"/>
    <m/>
    <s v="Sent"/>
    <s v="F2023-0559"/>
    <s v="Paid 28/11/2023"/>
  </r>
  <r>
    <s v="Sony "/>
    <s v="SFR"/>
    <x v="1"/>
    <x v="3"/>
    <x v="8"/>
    <d v="2023-08-24T00:00:00"/>
    <x v="146"/>
    <x v="4"/>
    <s v="Delivered"/>
    <x v="5"/>
    <x v="0"/>
    <s v="https://saranistudio.sharepoint.com/:f:/s/SaraniAssets/EsDHlKjDmc1NnjHAIvG09IIB4GCZPT25Avl1J7-s7co-1w?e=LM2h4P"/>
    <n v="47"/>
    <n v="1730"/>
    <s v="https://saranistudio-my.sharepoint.com/:b:/g/personal/team_sarani_studio/Ee-r9UVvMG5Hj3_7HINyOEMBnhCNC0eGD_9xfpYOwkOBGQ?e=g038XB"/>
    <x v="0"/>
    <x v="100"/>
    <m/>
    <s v="Sent"/>
    <s v="F2023-0559"/>
    <s v="Paid 28/11/2023"/>
  </r>
  <r>
    <s v="Sony "/>
    <s v="SFR"/>
    <x v="1"/>
    <x v="2"/>
    <x v="7"/>
    <d v="2023-06-12T00:00:00"/>
    <x v="147"/>
    <x v="4"/>
    <s v="Delivered"/>
    <x v="5"/>
    <x v="0"/>
    <s v="https://saranistudio-my.sharepoint.com/:f:/g/personal/team_sarani_studio/EpMtJW_jv0NEt3IV09rF06YBYDZsH3E7iCs2ItByKPvvsw?e=YoPLx5"/>
    <n v="3"/>
    <n v="120"/>
    <s v="https://saranistudio-my.sharepoint.com/:b:/g/personal/team_sarani_studio/EXN5uEEWwWNJlBBhqbF6ht4BAufUsYIeBCVYL2iM05vRgA?e=NhvxRC"/>
    <x v="0"/>
    <x v="101"/>
    <m/>
    <s v="Sent"/>
    <s v="F2023-0560"/>
    <s v="Paid 28/11/2023"/>
  </r>
  <r>
    <s v="Sony "/>
    <s v="SFR"/>
    <x v="1"/>
    <x v="3"/>
    <x v="10"/>
    <d v="2023-09-14T00:00:00"/>
    <x v="148"/>
    <x v="4"/>
    <s v="Delivered"/>
    <x v="5"/>
    <x v="0"/>
    <s v="https://saranistudio.sharepoint.com/:f:/s/SaraniAssets/EubiP4v5xjdNvP4nhtG04H8BeVph2gPgBhnIJPo6sgeOEA?e=8ky5RC"/>
    <n v="2"/>
    <n v="360"/>
    <s v="https://saranistudio-my.sharepoint.com/:b:/g/personal/team_sarani_studio/EcQ2bFA71DxKit4aFhtCavsBXCxBKjD2Jt9SYzLZ3VkeUA?e=0V6KoA"/>
    <x v="0"/>
    <x v="102"/>
    <m/>
    <s v="Sent"/>
    <s v="F2023-0561"/>
    <s v="Paid 28/11/2023"/>
  </r>
  <r>
    <s v="Sony "/>
    <s v="SFR"/>
    <x v="1"/>
    <x v="3"/>
    <x v="10"/>
    <d v="2023-09-15T00:00:00"/>
    <x v="149"/>
    <x v="4"/>
    <s v="Delivered"/>
    <x v="5"/>
    <x v="0"/>
    <s v="https://saranistudio.sharepoint.com/:f:/s/SaraniAssets/EoJoy7UW0lpFqdCZ2erboVkB1cV5JIQm6EWzwqjzOYrh6g?e=XEoEbY"/>
    <n v="1"/>
    <n v="180"/>
    <s v="https://saranistudio-my.sharepoint.com/:b:/g/personal/team_sarani_studio/EexMQHd2cc1ImRI6Z1c0GuYBZVLxgeGirRdWWJ3_Jd6qaQ?e=brg44k"/>
    <x v="0"/>
    <x v="102"/>
    <m/>
    <s v="Sent"/>
    <s v="F2023-0561"/>
    <s v="Paid 28/11/2023"/>
  </r>
  <r>
    <s v="Sony "/>
    <s v="SFR"/>
    <x v="1"/>
    <x v="3"/>
    <x v="11"/>
    <d v="2023-07-11T00:00:00"/>
    <x v="150"/>
    <x v="9"/>
    <s v="Delivered"/>
    <x v="3"/>
    <x v="0"/>
    <s v="https://saranistudio.sharepoint.com/:f:/s/SaraniAssets/EtPwKzkXSJBPhvy3z6vmVH8BQM9lGtquGJFflIK4WIM36g?e=bQbusC"/>
    <n v="10"/>
    <n v="355"/>
    <s v="https://saranistudio-my.sharepoint.com/:b:/g/personal/team_sarani_studio/EWGp38GY6q1KuMXYXz9FOQMBA7ZQTdYcdqtBRu6518Vuiw?e=PuZDyk"/>
    <x v="0"/>
    <x v="103"/>
    <m/>
    <s v="Sent"/>
    <s v="F2023-0565"/>
    <s v="Paid 28/11/2023"/>
  </r>
  <r>
    <s v="Sony "/>
    <s v="SFR"/>
    <x v="1"/>
    <x v="3"/>
    <x v="11"/>
    <d v="2023-07-11T00:00:00"/>
    <x v="151"/>
    <x v="9"/>
    <s v="Delivered"/>
    <x v="3"/>
    <x v="0"/>
    <s v="https://saranistudio.sharepoint.com/:f:/s/SaraniAssets/EmbgGkCAJl5KniAwcW-yi4gBS89mkOFy73-Lxx4pgUOlJw?e=32YWjh"/>
    <n v="2"/>
    <n v="175"/>
    <s v="https://saranistudio-my.sharepoint.com/:b:/g/personal/team_sarani_studio/EdEsi0jQWIhCmGtVIbG65wUBODq9lBfEQqAJH7bY7NKYUQ?e=zdALnm"/>
    <x v="0"/>
    <x v="103"/>
    <m/>
    <s v="Sent"/>
    <s v="F2023-0565"/>
    <s v="Paid 28/11/2023"/>
  </r>
  <r>
    <s v="Sony "/>
    <s v="SFR"/>
    <x v="1"/>
    <x v="3"/>
    <x v="8"/>
    <d v="2023-08-07T00:00:00"/>
    <x v="152"/>
    <x v="9"/>
    <s v="Delivered"/>
    <x v="3"/>
    <x v="0"/>
    <s v="https://saranistudio.sharepoint.com/:f:/s/SaraniAssets/EPaidSGK51uHBEnY1ZxChc8dUBgoMgtGMxAYGBdrNOH35tlw?e=mhd6dJ"/>
    <n v="2"/>
    <n v="270"/>
    <s v="https://saranistudio-my.sharepoint.com/:b:/g/personal/team_sarani_studio/EY5ZwooHEn1Ap9p-sANWqnIBeUNizdDrVhUyTeBs8GtTag?e=lj6Jkd"/>
    <x v="0"/>
    <x v="103"/>
    <m/>
    <s v="Sent"/>
    <s v="F2023-0565"/>
    <s v="Paid 28/11/2023"/>
  </r>
  <r>
    <s v="Sony "/>
    <s v="SFR"/>
    <x v="1"/>
    <x v="2"/>
    <x v="7"/>
    <d v="2023-06-29T00:00:00"/>
    <x v="153"/>
    <x v="4"/>
    <s v="Delivered"/>
    <x v="5"/>
    <x v="0"/>
    <s v="https://saranistudio-my.sharepoint.com/:f:/g/personal/team_sarani_studio/EvQN4pTLbGlGtvszZNOwt0QB3geNAHjthS4yBFQDknbV5Q?e=U5iNrI"/>
    <n v="15"/>
    <n v="610"/>
    <s v="https://saranistudio-my.sharepoint.com/:b:/g/personal/team_sarani_studio/ERDCkML_0fROtlF57jNElvwBzacEfRKpUUd2uuvMSWDlzA?e=YEo90H"/>
    <x v="0"/>
    <x v="104"/>
    <m/>
    <s v="Sent"/>
    <s v="F2023-0566"/>
    <s v="Paid 20/11/2023"/>
  </r>
  <r>
    <s v="Sony"/>
    <s v="SFR"/>
    <x v="1"/>
    <x v="2"/>
    <x v="7"/>
    <d v="2023-06-29T00:00:00"/>
    <x v="154"/>
    <x v="4"/>
    <s v="Delivered"/>
    <x v="5"/>
    <x v="0"/>
    <s v="https://saranistudio-my.sharepoint.com/:f:/g/personal/team_sarani_studio/EheXA2fe-4RAnQ2VBrjV7bUBCH7z_0bNmW1LEX3dWP3Xbg?e=z39khh"/>
    <n v="6"/>
    <n v="400"/>
    <s v="https://saranistudio-my.sharepoint.com/:b:/g/personal/team_sarani_studio/EasI3NzmUiNBsxQbJyupZ0YB3EJpW77PbqhDJyVB0m7eNw?e=SaMo42"/>
    <x v="0"/>
    <x v="104"/>
    <m/>
    <s v="Sent"/>
    <s v="F2023-0566"/>
    <s v="Paid 20/11/2023"/>
  </r>
  <r>
    <s v="Sony "/>
    <s v="SFR"/>
    <x v="1"/>
    <x v="3"/>
    <x v="11"/>
    <d v="2023-07-11T00:00:00"/>
    <x v="155"/>
    <x v="4"/>
    <s v="Delivered"/>
    <x v="5"/>
    <x v="0"/>
    <s v="https://saranistudio.sharepoint.com/:f:/s/SaraniAssets/Eu4HYzd9NQRJnfvY9PaidXwKAB32ifwohQSl3OWelvCRxaTA?e=lj7MMr"/>
    <n v="16"/>
    <n v="560"/>
    <s v="https://saranistudio-my.sharepoint.com/:b:/g/personal/team_sarani_studio/EYvkssAWQDBOhaylZ-v94csBva-466LhIu1pWKdrltZVrQ?e=31xfi7"/>
    <x v="0"/>
    <x v="105"/>
    <m/>
    <s v="Sent"/>
    <s v="F2023-0567"/>
    <s v="Paid 07/11/2023"/>
  </r>
  <r>
    <s v="Sony "/>
    <s v="SFR"/>
    <x v="1"/>
    <x v="3"/>
    <x v="11"/>
    <d v="2023-07-03T00:00:00"/>
    <x v="156"/>
    <x v="0"/>
    <s v="Delivered"/>
    <x v="4"/>
    <x v="0"/>
    <s v="https://saranistudio.sharepoint.com/:f:/s/SaraniAssets/EnLENnmWU4FBhXBFfLq0YnYBr8dbOibVptSN7QelSupl6g?e=a4pTg8"/>
    <n v="10"/>
    <n v="755"/>
    <s v="https://saranistudio-my.sharepoint.com/:b:/g/personal/team_sarani_studio/EWZDebpX_3NLnB2kPm4prroBkIIgVsMjvlgdRG2KL6oTyA?e=ENTdXo"/>
    <x v="0"/>
    <x v="106"/>
    <m/>
    <s v="Sent"/>
    <s v="F2023-0568"/>
    <s v="Paid 03/11/2023"/>
  </r>
  <r>
    <s v="Sony "/>
    <s v="SFR"/>
    <x v="1"/>
    <x v="2"/>
    <x v="7"/>
    <d v="2023-06-07T00:00:00"/>
    <x v="157"/>
    <x v="5"/>
    <s v="Delivered"/>
    <x v="0"/>
    <x v="1"/>
    <s v="https://saranistudio-my.sharepoint.com/:f:/g/personal/team_sarani_studio/EmZPb6upSoFLpsVrD7mVPrQBWIvIxUkXO5KuEznQtZpHRA?e=gonNYb"/>
    <n v="1"/>
    <n v="180"/>
    <m/>
    <x v="0"/>
    <x v="75"/>
    <s v="Juillet"/>
    <s v="Sent"/>
    <s v="F2024-0098"/>
    <s v="Paid 14/05/2024"/>
  </r>
  <r>
    <s v="Sony "/>
    <s v="SFR"/>
    <x v="1"/>
    <x v="2"/>
    <x v="7"/>
    <d v="2023-06-12T00:00:00"/>
    <x v="158"/>
    <x v="5"/>
    <s v="Delivered"/>
    <x v="0"/>
    <x v="1"/>
    <s v="https://saranistudio-my.sharepoint.com/:f:/g/personal/team_sarani_studio/EnY_cb3_b3FBkuyHMMgrIqABI3LhFTYtdKHZJVa7a7n45w?e=c3qr6G"/>
    <n v="6"/>
    <n v="210"/>
    <m/>
    <x v="0"/>
    <x v="75"/>
    <s v="Juillet"/>
    <s v="Sent"/>
    <s v="F2024-0098"/>
    <s v="Paid 14/05/2024"/>
  </r>
  <r>
    <s v="Sony "/>
    <s v="SFR"/>
    <x v="1"/>
    <x v="2"/>
    <x v="7"/>
    <d v="2023-06-14T00:00:00"/>
    <x v="159"/>
    <x v="5"/>
    <s v="Delivered"/>
    <x v="0"/>
    <x v="1"/>
    <s v="https://saranistudio-my.sharepoint.com/:f:/g/personal/team_sarani_studio/Enx5U2mYTNFMnJc-xIoaRV0B1eOVGObhT3Vm8PYvRQBmQQ?e=buAC3K"/>
    <n v="1"/>
    <n v="360"/>
    <m/>
    <x v="0"/>
    <x v="75"/>
    <s v="Juillet"/>
    <s v="Sent"/>
    <s v="F2024-0098"/>
    <s v="Paid 14/05/2024"/>
  </r>
  <r>
    <s v="Sony "/>
    <s v="SFR"/>
    <x v="1"/>
    <x v="2"/>
    <x v="7"/>
    <d v="2023-06-01T00:00:00"/>
    <x v="160"/>
    <x v="13"/>
    <s v="Delivered"/>
    <x v="5"/>
    <x v="1"/>
    <s v="https://saranistudio-my.sharepoint.com/:f:/g/personal/team_sarani_studio/EmcPifH5zRNCuYQ6gTYnx6sBDvIuTZFuDZPI2FJvUxiAxw?e=XWt4Db"/>
    <n v="6"/>
    <n v="465"/>
    <d v="2023-06-05T00:00:00"/>
    <x v="0"/>
    <x v="78"/>
    <s v="Juillet"/>
    <s v="Sent"/>
    <s v="F2023-0569"/>
    <s v="Paid 26/09/2023"/>
  </r>
  <r>
    <s v="Sony "/>
    <s v="SFR"/>
    <x v="1"/>
    <x v="2"/>
    <x v="7"/>
    <d v="2023-06-06T00:00:00"/>
    <x v="161"/>
    <x v="13"/>
    <s v="Delivered"/>
    <x v="5"/>
    <x v="1"/>
    <s v="https://saranistudio-my.sharepoint.com/:f:/g/personal/team_sarani_studio/EtIVwt5h1mBGvOR3ExJTZ1gBzwxRkAB45F-wXqyU66HBZg?e=Ck53W4"/>
    <n v="2"/>
    <n v="70"/>
    <m/>
    <x v="0"/>
    <x v="78"/>
    <s v="Juillet"/>
    <s v="Sent"/>
    <s v="F2023-0569"/>
    <s v="Paid 26/09/2023"/>
  </r>
  <r>
    <s v="Sony "/>
    <s v="SFR"/>
    <x v="1"/>
    <x v="2"/>
    <x v="7"/>
    <d v="2023-06-12T00:00:00"/>
    <x v="162"/>
    <x v="5"/>
    <s v="Delivered"/>
    <x v="5"/>
    <x v="1"/>
    <s v="https://saranistudio-my.sharepoint.com/:f:/g/personal/team_sarani_studio/EnsODutXGZlJka_h6isAGR0BOCwDvdDheBpIbUVmfdjGWQ?e=loMFxG"/>
    <n v="21"/>
    <n v="820"/>
    <m/>
    <x v="0"/>
    <x v="78"/>
    <s v="Juillet"/>
    <s v="Sent"/>
    <s v="F2023-0569"/>
    <s v="Paid 26/09/2023"/>
  </r>
  <r>
    <s v="Sony "/>
    <s v="SFR"/>
    <x v="1"/>
    <x v="2"/>
    <x v="7"/>
    <d v="2023-06-22T00:00:00"/>
    <x v="163"/>
    <x v="13"/>
    <s v="Delivered"/>
    <x v="5"/>
    <x v="1"/>
    <s v="https://saranistudio-my.sharepoint.com/:f:/g/personal/team_sarani_studio/Eq9dY38BCXlJpcBriotIXLwBSlmTZTPUeCHR-CXQ-1YX2g?e=07oE5T"/>
    <n v="1"/>
    <n v="260"/>
    <m/>
    <x v="0"/>
    <x v="78"/>
    <s v="Juillet"/>
    <s v="Sent"/>
    <s v="F2023-0569"/>
    <s v="Paid 26/09/2023"/>
  </r>
  <r>
    <s v="Sony"/>
    <s v="SFR"/>
    <x v="1"/>
    <x v="2"/>
    <x v="6"/>
    <d v="2023-05-26T00:00:00"/>
    <x v="164"/>
    <x v="4"/>
    <s v="Delivered"/>
    <x v="5"/>
    <x v="0"/>
    <s v="https://saranistudio-my.sharepoint.com/:f:/g/personal/team_sarani_studio/EqlLsDa0-OdHiGWvUGclPS8Baj-tDmZI7GrEMryNAItQJw?e=PzaIKU"/>
    <n v="15"/>
    <n v="555"/>
    <s v="https://saranistudio-my.sharepoint.com/:b:/g/personal/team_sarani_studio/EYwVhDmTALVMlSXR13Fk7S8BZddeA1BxVAGjdwPHyJK3yQ?e=6xSWPv"/>
    <x v="0"/>
    <x v="107"/>
    <m/>
    <s v="Sent"/>
    <s v="F2023-0571"/>
    <s v="Paid"/>
  </r>
  <r>
    <s v="Sony "/>
    <s v="SFR"/>
    <x v="1"/>
    <x v="2"/>
    <x v="7"/>
    <d v="2023-06-01T00:00:00"/>
    <x v="165"/>
    <x v="4"/>
    <s v="Delivered"/>
    <x v="5"/>
    <x v="0"/>
    <s v="https://saranistudio-my.sharepoint.com/:f:/g/personal/team_sarani_studio/EkgtywBt5tdKteLfsQw1yR8BZX4JZdVzUGhDfp-ICfQa7Q?e=gjyoIc"/>
    <n v="1"/>
    <n v="40"/>
    <s v="https://saranistudio-my.sharepoint.com/:b:/g/personal/team_sarani_studio/ER6hJRVc1glPnzJ7Z9u4ickBFz2NCRqCbnQrgkq1Wd1Gdw?e=cuVWMa"/>
    <x v="0"/>
    <x v="107"/>
    <m/>
    <s v="Sent"/>
    <s v="F2023-0571"/>
    <s v="Paid"/>
  </r>
  <r>
    <s v="Sony"/>
    <s v="SFR"/>
    <x v="0"/>
    <x v="1"/>
    <x v="4"/>
    <d v="2023-03-28T00:00:00"/>
    <x v="166"/>
    <x v="2"/>
    <s v="Delivered"/>
    <x v="3"/>
    <x v="0"/>
    <s v="https://saranistudio-my.sharepoint.com/:f:/g/personal/team_sarani_studio/EmtLIsoaTzxJnuMVqwFkEXEBRLxiJIn6Dx3sdurRJBv18Q?e=jb6qLr"/>
    <n v="7"/>
    <n v="330"/>
    <d v="2023-06-07T00:00:00"/>
    <x v="0"/>
    <x v="108"/>
    <m/>
    <s v="Sent"/>
    <s v="F2023-0572"/>
    <s v="Paid 24/09/2023"/>
  </r>
  <r>
    <s v="Sony "/>
    <s v="SFR"/>
    <x v="1"/>
    <x v="3"/>
    <x v="11"/>
    <d v="2023-07-11T00:00:00"/>
    <x v="167"/>
    <x v="4"/>
    <s v="Delivered"/>
    <x v="5"/>
    <x v="0"/>
    <s v="https://saranistudio.sharepoint.com/:f:/s/SaraniAssets/EmpZqDYoERtKuhOOIHkw9_gBrteRG4ajzx_u89Z4wZw4zQ?e=X4yJ7B"/>
    <n v="46"/>
    <n v="1610"/>
    <s v="https://saranistudio-my.sharepoint.com/:b:/g/personal/team_sarani_studio/EbMu1HYXhFpLtgxnigk-TjcB6fev3kyohzD-8laqQpYdng?e=lbUxXL"/>
    <x v="0"/>
    <x v="109"/>
    <m/>
    <s v="Sent"/>
    <s v="F2023-0573"/>
    <s v="Paid"/>
  </r>
  <r>
    <s v="Sony "/>
    <s v="SFR"/>
    <x v="1"/>
    <x v="3"/>
    <x v="11"/>
    <d v="2023-07-11T00:00:00"/>
    <x v="168"/>
    <x v="5"/>
    <s v="-"/>
    <x v="5"/>
    <x v="0"/>
    <s v="-"/>
    <n v="1"/>
    <n v="600"/>
    <s v="https://saranistudio-my.sharepoint.com/:b:/g/personal/team_sarani_studio/EaAm0jo7YspMmLcsxcmfHPIBBXT0ddMFG9EJoUECtwNNQg?e=CnUbUH"/>
    <x v="0"/>
    <x v="110"/>
    <m/>
    <s v="Sent"/>
    <s v="F2023-0574"/>
    <s v="Paid"/>
  </r>
  <r>
    <s v="Sony"/>
    <s v="SFR"/>
    <x v="1"/>
    <x v="2"/>
    <x v="7"/>
    <d v="2023-06-05T00:00:00"/>
    <x v="169"/>
    <x v="9"/>
    <s v="Delivered"/>
    <x v="1"/>
    <x v="0"/>
    <s v="https://saranistudio-my.sharepoint.com/:f:/g/personal/team_sarani_studio/Eg39IZWIqplBqs70KQ07ic0BYjZ2B5MN4UUbGN81zVMNog?e=4bjvuH"/>
    <n v="21"/>
    <n v="820"/>
    <s v="https://saranistudio-my.sharepoint.com/:b:/g/personal/team_sarani_studio/EfzPLtbTTzhKhB0LXEqvdCUBiqZVbJXGPDHC-vA9agM0Sg?e=QEvz6v"/>
    <x v="0"/>
    <x v="111"/>
    <m/>
    <s v="Sent"/>
    <s v="F2023-0575"/>
    <s v="Paid 20/09/2023"/>
  </r>
  <r>
    <s v="Sony "/>
    <s v="SFR"/>
    <x v="1"/>
    <x v="2"/>
    <x v="7"/>
    <d v="2023-06-12T00:00:00"/>
    <x v="170"/>
    <x v="9"/>
    <s v="Delivered"/>
    <x v="3"/>
    <x v="0"/>
    <s v="https://saranistudio-my.sharepoint.com/:f:/g/personal/team_sarani_studio/EnvPaidZLY5a5DqK7FCLYyhy0BELnJjT4h_XAIhziY3fDhBA?e=3TM4cJ"/>
    <n v="1"/>
    <n v="35"/>
    <s v="https://saranistudio-my.sharepoint.com/:b:/g/personal/team_sarani_studio/EcOazcJa9a1AiG8LW6zPip8BxDE-cfed4KK9cxbJLQ0rBg?e=c9934o"/>
    <x v="0"/>
    <x v="111"/>
    <m/>
    <s v="Sent"/>
    <s v="F2023-0575"/>
    <s v="Paid 20/09/2023"/>
  </r>
  <r>
    <s v="Sony "/>
    <s v="SFR"/>
    <x v="1"/>
    <x v="3"/>
    <x v="11"/>
    <d v="2023-07-11T00:00:00"/>
    <x v="171"/>
    <x v="16"/>
    <s v="Delivered"/>
    <x v="3"/>
    <x v="0"/>
    <s v="https://saranistudio.sharepoint.com/:f:/s/SaraniAssets/Et_OuIyMgu9FqMczpXXXQO0BYZHuDowfoC-0qggLgHG-1w?e=X52FgQ"/>
    <n v="6"/>
    <n v="530"/>
    <s v="https://saranistudio-my.sharepoint.com/:b:/g/personal/team_sarani_studio/EXCRcqoF15JCk5vCkqNXQnwBFClE1WMJsbcopn9YwR9JLg?e=j2aPCB"/>
    <x v="0"/>
    <x v="112"/>
    <m/>
    <s v="Sent"/>
    <s v="F2023-0576"/>
    <s v="Paid"/>
  </r>
  <r>
    <s v="Sony "/>
    <s v="SFR"/>
    <x v="1"/>
    <x v="2"/>
    <x v="5"/>
    <d v="2023-04-03T00:00:00"/>
    <x v="172"/>
    <x v="7"/>
    <s v="Delivered"/>
    <x v="0"/>
    <x v="1"/>
    <s v="https://saranistudio-my.sharepoint.com/:f:/g/personal/team_sarani_studio/EkiROo65MdxOl4foCK_JnkMB7b1GqAM5JaGtE7NM2E563A?e=zgcdCi"/>
    <n v="1"/>
    <n v="360"/>
    <d v="2023-04-07T00:00:00"/>
    <x v="0"/>
    <x v="113"/>
    <s v="Mai"/>
    <s v="Sent"/>
    <s v="F2023-0577"/>
    <s v="Paid"/>
  </r>
  <r>
    <s v="Sony "/>
    <s v="SFR"/>
    <x v="1"/>
    <x v="2"/>
    <x v="7"/>
    <d v="2023-06-29T00:00:00"/>
    <x v="173"/>
    <x v="0"/>
    <s v="Delivered"/>
    <x v="2"/>
    <x v="0"/>
    <m/>
    <s v="-"/>
    <n v="250"/>
    <s v="https://saranistudio-my.sharepoint.com/:b:/g/personal/team_sarani_studio/EepN62Np7N9MseVxKTtjK_oBFAFljE_tUVkIlvItykaeeg?e=zsWnuM"/>
    <x v="0"/>
    <x v="114"/>
    <m/>
    <s v="Sent"/>
    <s v="F2023-0579"/>
    <s v="Paid"/>
  </r>
  <r>
    <s v="Sony"/>
    <s v="SFR"/>
    <x v="1"/>
    <x v="2"/>
    <x v="6"/>
    <d v="2023-05-16T00:00:00"/>
    <x v="174"/>
    <x v="4"/>
    <s v="Delivered"/>
    <x v="5"/>
    <x v="0"/>
    <s v="https://saranistudio-my.sharepoint.com/:f:/g/personal/team_sarani_studio/Ejwkr_FCr89Nk4tFrjd8trMBGbqwHGBZWd-1CJbhqlgyGQ?e=K9fyxE"/>
    <n v="8"/>
    <n v="710"/>
    <d v="2023-05-24T00:00:00"/>
    <x v="0"/>
    <x v="115"/>
    <m/>
    <s v="Sent"/>
    <s v="F2023-0580"/>
    <s v="Paid"/>
  </r>
  <r>
    <s v="Sony"/>
    <s v="SFR"/>
    <x v="1"/>
    <x v="2"/>
    <x v="7"/>
    <d v="2023-06-27T00:00:00"/>
    <x v="175"/>
    <x v="0"/>
    <s v="Delivered"/>
    <x v="4"/>
    <x v="0"/>
    <m/>
    <s v="-"/>
    <s v="-"/>
    <m/>
    <x v="0"/>
    <x v="116"/>
    <m/>
    <s v="Sent"/>
    <s v="F2023-0581"/>
    <s v="Paid"/>
  </r>
  <r>
    <s v="Sony"/>
    <s v="SFR"/>
    <x v="1"/>
    <x v="2"/>
    <x v="7"/>
    <d v="2023-06-27T00:00:00"/>
    <x v="176"/>
    <x v="0"/>
    <s v="Delivered"/>
    <x v="0"/>
    <x v="0"/>
    <s v="https://saranistudio-my.sharepoint.com/:f:/g/personal/team_sarani_studio/EkK1iuwnypdEiOwsJ-j_akABDP_rpvm30Dyyp6q_ND7oog?e=N4GdaC"/>
    <n v="1"/>
    <n v="180"/>
    <m/>
    <x v="0"/>
    <x v="117"/>
    <m/>
    <s v="Sent"/>
    <s v="F2023-0581"/>
    <m/>
  </r>
  <r>
    <s v="Sony"/>
    <s v="SFR"/>
    <x v="1"/>
    <x v="2"/>
    <x v="7"/>
    <d v="2023-06-13T00:00:00"/>
    <x v="177"/>
    <x v="0"/>
    <s v="Delivered"/>
    <x v="4"/>
    <x v="0"/>
    <s v="https://saranistudio-my.sharepoint.com/:f:/g/personal/team_sarani_studio/Et0Rv2C2C3VGiSp-XPCO_uYB_zLrGB6sYLG5KaSPwRRAsQ?e=Y6vNdA"/>
    <n v="3"/>
    <n v="215"/>
    <d v="2023-06-20T00:00:00"/>
    <x v="0"/>
    <x v="118"/>
    <m/>
    <s v="Sent"/>
    <s v="F2023-0582"/>
    <s v="Paid 01/09/2023"/>
  </r>
  <r>
    <s v="Sony"/>
    <s v="SFR"/>
    <x v="1"/>
    <x v="2"/>
    <x v="7"/>
    <d v="2023-06-21T00:00:00"/>
    <x v="178"/>
    <x v="0"/>
    <s v="Delivered"/>
    <x v="0"/>
    <x v="0"/>
    <s v="https://saranistudio-my.sharepoint.com/:f:/g/personal/team_sarani_studio/EjENbY_XPsxEtHzZE697MlsBTEZBXqAwDCx_PRurS6rpDw?e=KVEHke"/>
    <n v="3"/>
    <n v="120"/>
    <m/>
    <x v="0"/>
    <x v="119"/>
    <m/>
    <s v="Sent"/>
    <s v="F2023-0583"/>
    <s v="Paid"/>
  </r>
  <r>
    <s v="Sony "/>
    <s v="SFR"/>
    <x v="1"/>
    <x v="2"/>
    <x v="7"/>
    <d v="2023-06-16T00:00:00"/>
    <x v="179"/>
    <x v="0"/>
    <s v="Delivered"/>
    <x v="0"/>
    <x v="0"/>
    <s v="https://saranistudio-my.sharepoint.com/:f:/g/personal/team_sarani_studio/ErxdVNQySkRJtAGooPQ5wE8BuQR8HnH7e3K6pfksWKaDUg?e=r0IqkT"/>
    <n v="1"/>
    <n v="250"/>
    <d v="2023-06-20T00:00:00"/>
    <x v="0"/>
    <x v="120"/>
    <m/>
    <s v="Sent"/>
    <s v="F2023-0584"/>
    <s v="Paid 04/09/2023"/>
  </r>
  <r>
    <s v="Sony"/>
    <s v="SFR"/>
    <x v="1"/>
    <x v="2"/>
    <x v="7"/>
    <d v="2023-06-26T00:00:00"/>
    <x v="180"/>
    <x v="5"/>
    <s v="-"/>
    <x v="5"/>
    <x v="0"/>
    <s v="-"/>
    <n v="1"/>
    <n v="600"/>
    <d v="2023-06-20T00:00:00"/>
    <x v="0"/>
    <x v="121"/>
    <m/>
    <s v="Sent"/>
    <s v="F2023-0585"/>
    <s v="Paid "/>
  </r>
  <r>
    <s v="Sony"/>
    <s v="SFR"/>
    <x v="1"/>
    <x v="2"/>
    <x v="6"/>
    <d v="2023-05-18T00:00:00"/>
    <x v="181"/>
    <x v="4"/>
    <s v="Delivered"/>
    <x v="5"/>
    <x v="0"/>
    <s v="https://saranistudio-my.sharepoint.com/:f:/g/personal/team_sarani_studio/EslvmHj5SR1MhY8R-sw1arABPE3oMfscF8vtjzp50abaDw?e=r8aHPD"/>
    <n v="17"/>
    <n v="595"/>
    <d v="2023-05-24T00:00:00"/>
    <x v="0"/>
    <x v="122"/>
    <m/>
    <s v="Sent"/>
    <s v="F2023-0586"/>
    <s v="Paid"/>
  </r>
  <r>
    <s v="Sony "/>
    <s v="SFR"/>
    <x v="1"/>
    <x v="2"/>
    <x v="5"/>
    <d v="2023-04-26T00:00:00"/>
    <x v="182"/>
    <x v="13"/>
    <s v="Delivered"/>
    <x v="3"/>
    <x v="1"/>
    <s v="https://saranistudio-my.sharepoint.com/:f:/g/personal/team_sarani_studio/Eq7SJAAGtLFPt3_PaidqT-cAUBgqmFSKdaWA6Q3fjNYYyZLw?e=Kf8H76"/>
    <n v="7"/>
    <n v="245"/>
    <d v="2023-05-01T00:00:00"/>
    <x v="0"/>
    <x v="123"/>
    <s v="Mai"/>
    <s v="Sent"/>
    <s v="F2023-0587"/>
    <s v="Paid"/>
  </r>
  <r>
    <s v="Sony "/>
    <s v="SFR"/>
    <x v="1"/>
    <x v="2"/>
    <x v="6"/>
    <d v="2023-05-08T00:00:00"/>
    <x v="183"/>
    <x v="5"/>
    <s v="Delivered"/>
    <x v="3"/>
    <x v="1"/>
    <s v="https://saranistudio-my.sharepoint.com/:f:/g/personal/team_sarani_studio/EhXJcziQF1VOliqxaNrnlb0BfZuNE9G1FoVfA52_LbSH2A?e=KNakVW"/>
    <s v="-"/>
    <s v="-"/>
    <d v="2023-05-18T00:00:00"/>
    <x v="0"/>
    <x v="123"/>
    <s v="Juin"/>
    <s v="Sent"/>
    <s v="F2023-0587"/>
    <s v="Paid"/>
  </r>
  <r>
    <s v="Sony "/>
    <s v="SFR"/>
    <x v="1"/>
    <x v="2"/>
    <x v="6"/>
    <d v="2023-05-11T00:00:00"/>
    <x v="184"/>
    <x v="5"/>
    <s v="Delivered"/>
    <x v="3"/>
    <x v="1"/>
    <s v="https://saranistudio-my.sharepoint.com/:f:/g/personal/team_sarani_studio/Ej9SOLBtCcBHld_gbUxWxU4Bj5ZI1lZOhveurJhxJ-lshA?e=zgWyyk"/>
    <n v="7"/>
    <n v="330"/>
    <d v="2023-05-18T00:00:00"/>
    <x v="0"/>
    <x v="123"/>
    <s v="Juin"/>
    <s v="Sent"/>
    <s v="F2023-0587"/>
    <s v="Paid"/>
  </r>
  <r>
    <s v="Sony "/>
    <s v="SFR"/>
    <x v="1"/>
    <x v="2"/>
    <x v="6"/>
    <d v="2023-05-17T00:00:00"/>
    <x v="185"/>
    <x v="5"/>
    <s v="Delivered"/>
    <x v="3"/>
    <x v="1"/>
    <s v="https://saranistudio-my.sharepoint.com/:f:/g/personal/team_sarani_studio/Eno1hTwc6CZOpOaDyfuFXzEBK3IEmmBUsIThhxjU7-HINg?e=eUPBG7"/>
    <n v="6"/>
    <n v="380"/>
    <d v="2023-05-18T00:00:00"/>
    <x v="0"/>
    <x v="123"/>
    <s v="Juin"/>
    <s v="Sent"/>
    <s v="F2023-0587"/>
    <s v="Paid"/>
  </r>
  <r>
    <s v="Sony "/>
    <s v="SFR"/>
    <x v="1"/>
    <x v="2"/>
    <x v="6"/>
    <d v="2023-05-30T00:00:00"/>
    <x v="186"/>
    <x v="8"/>
    <s v="Delivered"/>
    <x v="3"/>
    <x v="1"/>
    <s v="https://saranistudio-my.sharepoint.com/:f:/g/personal/team_sarani_studio/Et4JEQ0pJl5Kp_gFcv6IrzAB9iSZfuy0HfDvSRmUsm9szw?e=pEDdUu"/>
    <n v="2"/>
    <n v="155"/>
    <d v="2023-05-01T00:00:00"/>
    <x v="0"/>
    <x v="123"/>
    <s v="Juin"/>
    <s v="Sent"/>
    <s v="F2023-0587"/>
    <s v="Paid"/>
  </r>
  <r>
    <s v="Sony "/>
    <s v="SFR"/>
    <x v="1"/>
    <x v="2"/>
    <x v="6"/>
    <d v="2023-05-30T00:00:00"/>
    <x v="187"/>
    <x v="8"/>
    <s v="Delivered"/>
    <x v="4"/>
    <x v="1"/>
    <s v="https://saranistudio-my.sharepoint.com/:f:/g/personal/team_sarani_studio/Ei_NmotrYflMp_lWmHZy990BpLoLZi4cDnXnEJa6yjOecw?e=dGyo9B"/>
    <n v="2"/>
    <n v="155"/>
    <d v="2023-05-01T00:00:00"/>
    <x v="0"/>
    <x v="123"/>
    <s v="Juin"/>
    <s v="Sent"/>
    <s v="F2023-0587"/>
    <s v="Paid"/>
  </r>
  <r>
    <s v="Sony "/>
    <s v="SFR"/>
    <x v="1"/>
    <x v="2"/>
    <x v="6"/>
    <d v="2023-05-02T00:00:00"/>
    <x v="188"/>
    <x v="5"/>
    <s v="Delivered"/>
    <x v="5"/>
    <x v="1"/>
    <s v="https://saranistudio-my.sharepoint.com/:f:/g/personal/team_sarani_studio/EmGsdIsbJgRJsHn18mqoDSQB5FuBnBna9S_58xG7MtztpQ?e=qp39eM"/>
    <n v="4"/>
    <n v="140"/>
    <d v="2023-05-01T00:00:00"/>
    <x v="0"/>
    <x v="124"/>
    <s v="Juin"/>
    <s v="Sent"/>
    <s v="F2023-0588"/>
    <s v="Paid"/>
  </r>
  <r>
    <s v="Sony "/>
    <s v="SFR"/>
    <x v="1"/>
    <x v="2"/>
    <x v="6"/>
    <d v="2023-05-23T00:00:00"/>
    <x v="189"/>
    <x v="5"/>
    <s v="Delivered"/>
    <x v="5"/>
    <x v="1"/>
    <s v="https://saranistudio-my.sharepoint.com/:f:/g/personal/team_sarani_studio/En4adQAwLLdMpS_-kswH4HYBlTRV8MD-w8jBUwACO_7rVA?e=59Phkd"/>
    <n v="4"/>
    <n v="140"/>
    <d v="2023-06-05T00:00:00"/>
    <x v="0"/>
    <x v="124"/>
    <s v="Juin"/>
    <s v="Sent"/>
    <s v="F2023-0588"/>
    <s v="Paid"/>
  </r>
  <r>
    <s v="Sony"/>
    <s v="SFR"/>
    <x v="1"/>
    <x v="2"/>
    <x v="6"/>
    <d v="2023-05-29T00:00:00"/>
    <x v="190"/>
    <x v="4"/>
    <s v="Delivered"/>
    <x v="5"/>
    <x v="0"/>
    <s v="https://saranistudio-my.sharepoint.com/:f:/g/personal/team_sarani_studio/Et0n6qSoe-xPtkYYFwnsqcEBg2KPEz4sE8xNY_4Aoysh8w?e=WrXRn9"/>
    <n v="9"/>
    <n v="850"/>
    <d v="2023-06-07T00:00:00"/>
    <x v="0"/>
    <x v="125"/>
    <m/>
    <s v="Sent"/>
    <s v="F2023-0589"/>
    <s v="Paid"/>
  </r>
  <r>
    <s v="Sony "/>
    <s v="SFR"/>
    <x v="1"/>
    <x v="2"/>
    <x v="7"/>
    <d v="2023-06-05T00:00:00"/>
    <x v="191"/>
    <x v="4"/>
    <s v="Delivered"/>
    <x v="5"/>
    <x v="0"/>
    <s v="https://saranistudio-my.sharepoint.com/:f:/g/personal/team_sarani_studio/EpE5Y-bLf4BJj9OOdJ0kRS0BWcnDOy6_qDeSk0B6N2_35g?e=F3dVIw"/>
    <n v="1"/>
    <n v="40"/>
    <d v="2023-06-07T00:00:00"/>
    <x v="0"/>
    <x v="125"/>
    <m/>
    <s v="Sent"/>
    <s v="F2023-0589"/>
    <s v="Paid"/>
  </r>
  <r>
    <s v="Sony "/>
    <s v="SFR"/>
    <x v="1"/>
    <x v="2"/>
    <x v="7"/>
    <d v="2023-06-05T00:00:00"/>
    <x v="192"/>
    <x v="4"/>
    <s v="Delivered"/>
    <x v="5"/>
    <x v="0"/>
    <s v="https://saranistudio-my.sharepoint.com/:f:/g/personal/team_sarani_studio/ErBIh8Q7RcxKtpZSkOTPKuUB4hqTOQ1qXwlxHVwbTHUBjw?e=ZrA0BB"/>
    <n v="1"/>
    <n v="35"/>
    <d v="2023-06-05T00:00:00"/>
    <x v="0"/>
    <x v="125"/>
    <m/>
    <s v="Sent"/>
    <s v="F2023-0589"/>
    <s v="Paid"/>
  </r>
  <r>
    <s v="Sony "/>
    <s v="SFR"/>
    <x v="1"/>
    <x v="2"/>
    <x v="6"/>
    <d v="2023-05-31T00:00:00"/>
    <x v="193"/>
    <x v="4"/>
    <s v="Delivered"/>
    <x v="5"/>
    <x v="0"/>
    <s v="https://saranistudio-my.sharepoint.com/:f:/g/personal/team_sarani_studio/EuIZ9Boj4kxIow1TYIbGLOMBIxF7VJMX-RRS8lGtYjWOZw?e=JHqjig"/>
    <n v="5"/>
    <n v="260"/>
    <d v="2023-06-07T00:00:00"/>
    <x v="0"/>
    <x v="126"/>
    <m/>
    <s v="Sent"/>
    <s v="F2023-0590"/>
    <s v="Paid"/>
  </r>
  <r>
    <s v="Sony"/>
    <s v="SFR"/>
    <x v="1"/>
    <x v="2"/>
    <x v="6"/>
    <d v="2023-05-31T00:00:00"/>
    <x v="194"/>
    <x v="4"/>
    <s v="Delivered"/>
    <x v="5"/>
    <x v="0"/>
    <s v="https://saranistudio-my.sharepoint.com/:f:/g/personal/team_sarani_studio/EiyrmxYKzJ9OuT_ADJ886ZoBaIG-IWWrvAjUmM56P0qa-Q?e=EzQjR6"/>
    <n v="5"/>
    <n v="175"/>
    <d v="2023-06-07T00:00:00"/>
    <x v="0"/>
    <x v="126"/>
    <m/>
    <s v="Sent"/>
    <s v="F2023-0590"/>
    <s v="Paid"/>
  </r>
  <r>
    <s v="Sony"/>
    <s v="SFR"/>
    <x v="1"/>
    <x v="2"/>
    <x v="7"/>
    <d v="2023-06-05T00:00:00"/>
    <x v="195"/>
    <x v="4"/>
    <s v="Delivered"/>
    <x v="5"/>
    <x v="0"/>
    <s v="https://saranistudio-my.sharepoint.com/:f:/g/personal/team_sarani_studio/EqsD2Sbc36JAhwHWMJZqsrMBAMxIJxi3jYCUiMmWccKI4A?e=yubVDN"/>
    <n v="5"/>
    <n v="260"/>
    <d v="2023-06-07T00:00:00"/>
    <x v="0"/>
    <x v="126"/>
    <m/>
    <s v="Sent"/>
    <s v="F2023-0590"/>
    <s v="Paid"/>
  </r>
  <r>
    <s v="Sony "/>
    <s v="SFR"/>
    <x v="1"/>
    <x v="0"/>
    <x v="9"/>
    <d v="2023-10-06T00:00:00"/>
    <x v="196"/>
    <x v="4"/>
    <s v="Delivered"/>
    <x v="5"/>
    <x v="0"/>
    <s v="https://saranistudio.sharepoint.com/:f:/s/SaraniAssets/EopPAL2uRh5Bsqupw0B08EUBQN8MPRNFSzMpMKGC2N2RLg?e=whBxMW"/>
    <n v="7"/>
    <n v="438"/>
    <s v="https://saranistudio-my.sharepoint.com/:b:/g/personal/team_sarani_studio/EXLGrF4HwZVJvLpNHpSkeqEBqPaidJgbz4KB5cU6BPBDcwog?e=x7801J"/>
    <x v="0"/>
    <x v="127"/>
    <m/>
    <s v="Sent"/>
    <s v="F2023-0591"/>
    <s v="Paid 01/09/2023"/>
  </r>
  <r>
    <s v="Sony "/>
    <s v="SFR"/>
    <x v="1"/>
    <x v="2"/>
    <x v="6"/>
    <d v="2023-05-26T00:00:00"/>
    <x v="197"/>
    <x v="4"/>
    <s v="Delivered"/>
    <x v="5"/>
    <x v="0"/>
    <s v="https://saranistudio-my.sharepoint.com/:f:/g/personal/team_sarani_studio/EohPa1Xy819BhgL0n4Y_wGgBCMYtqni5puedJYtVolpFmw?e=R0uwwn"/>
    <n v="1"/>
    <n v="135"/>
    <d v="2023-06-07T00:00:00"/>
    <x v="0"/>
    <x v="128"/>
    <m/>
    <s v="Sent"/>
    <s v="F2023-0592"/>
    <s v="Paid"/>
  </r>
  <r>
    <s v="Sony"/>
    <s v="SFR"/>
    <x v="1"/>
    <x v="2"/>
    <x v="6"/>
    <d v="2023-05-09T00:00:00"/>
    <x v="198"/>
    <x v="0"/>
    <s v="Delivered"/>
    <x v="0"/>
    <x v="0"/>
    <s v="https://saranistudio-my.sharepoint.com/:f:/g/personal/team_sarani_studio/Er1KKzEqwjxItH20UH-sjJMB6Q2eGPk-wVC73X09tW3j7w?e=yPEG2L"/>
    <n v="10"/>
    <n v="365"/>
    <d v="2023-06-07T00:00:00"/>
    <x v="0"/>
    <x v="129"/>
    <m/>
    <s v="Sent"/>
    <s v="F2023-0593"/>
    <s v="Paid"/>
  </r>
  <r>
    <s v="Sony"/>
    <s v="SFR"/>
    <x v="1"/>
    <x v="2"/>
    <x v="5"/>
    <d v="2023-04-26T00:00:00"/>
    <x v="199"/>
    <x v="0"/>
    <s v="Delivered"/>
    <x v="4"/>
    <x v="0"/>
    <s v="https://saranistudio-my.sharepoint.com/:f:/g/personal/team_sarani_studio/ErdSLaG4JVpLopEZ8cxzFtUBxHbje724J8NKcPC9cI4CxQ?e=TTH44r"/>
    <n v="6"/>
    <n v="210"/>
    <d v="2023-06-07T00:00:00"/>
    <x v="0"/>
    <x v="130"/>
    <m/>
    <s v="Sent"/>
    <s v="F2023-0594"/>
    <s v="Paid"/>
  </r>
  <r>
    <s v="Sony"/>
    <s v="SFR"/>
    <x v="1"/>
    <x v="2"/>
    <x v="6"/>
    <d v="2023-05-10T00:00:00"/>
    <x v="200"/>
    <x v="0"/>
    <s v="Delivered"/>
    <x v="2"/>
    <x v="0"/>
    <s v="https://saranistudio-my.sharepoint.com/:f:/g/personal/team_sarani_studio/Espt-U8X33FIn_OoCNAzUcYBPpS87vnP4camNLiVvGkeQA?e=kUXhS1"/>
    <n v="3"/>
    <n v="105"/>
    <d v="2023-06-07T00:00:00"/>
    <x v="0"/>
    <x v="131"/>
    <m/>
    <s v="Sent"/>
    <s v="F2023-0595"/>
    <s v="Paid"/>
  </r>
  <r>
    <s v="Sony"/>
    <s v="SFR"/>
    <x v="1"/>
    <x v="2"/>
    <x v="6"/>
    <d v="2023-05-15T00:00:00"/>
    <x v="201"/>
    <x v="0"/>
    <s v="Delivered"/>
    <x v="2"/>
    <x v="0"/>
    <s v="https://saranistudio-my.sharepoint.com/:f:/g/personal/team_sarani_studio/ElQaod7CY55KqoiGgYDoyv8B9dN5xE9O39YkvDCzlz6FLQ?e=5WSxf7"/>
    <n v="2"/>
    <n v="270"/>
    <d v="2023-06-07T00:00:00"/>
    <x v="0"/>
    <x v="132"/>
    <m/>
    <s v="Sent"/>
    <s v="F2023-0596"/>
    <s v="Paid"/>
  </r>
  <r>
    <s v="Sony"/>
    <s v="SFR"/>
    <x v="1"/>
    <x v="2"/>
    <x v="7"/>
    <d v="2023-06-09T00:00:00"/>
    <x v="202"/>
    <x v="0"/>
    <s v="Delivered"/>
    <x v="4"/>
    <x v="0"/>
    <s v="https://saranistudio-my.sharepoint.com/:f:/g/personal/team_sarani_studio/EqlFGHWqcuFIgXulyu1u7-cBimiPb-0LGSqvgCUVCR7Tmw?e=jlB2eB"/>
    <n v="1"/>
    <n v="204.17"/>
    <s v="https://saranistudio-my.sharepoint.com/:w:/g/personal/team_sarani_studio/EUqjjO63JJtAgt-emos8IuYBxmvnWmTi1b6qEPakVQi2Cg?e=DcLPhR"/>
    <x v="0"/>
    <x v="133"/>
    <m/>
    <s v="Sent"/>
    <s v="F2023-0597"/>
    <s v="Pais 01/09/2023"/>
  </r>
  <r>
    <s v="Sony"/>
    <s v="SFR"/>
    <x v="1"/>
    <x v="2"/>
    <x v="6"/>
    <d v="2023-05-03T00:00:00"/>
    <x v="203"/>
    <x v="4"/>
    <s v="Delivered"/>
    <x v="2"/>
    <x v="0"/>
    <s v="https://saranistudio-my.sharepoint.com/:f:/g/personal/team_sarani_studio/EkLgT7b2GW1FiXyXqMeqvNoBaTEkUZ9CqiBTTtiXfQFnqw?e=bI4r6i"/>
    <n v="1"/>
    <n v="250"/>
    <d v="2023-06-07T00:00:00"/>
    <x v="0"/>
    <x v="134"/>
    <m/>
    <s v="Sent"/>
    <s v="F2023-0598"/>
    <s v="Paid"/>
  </r>
  <r>
    <s v="Sony "/>
    <s v="SFR"/>
    <x v="1"/>
    <x v="2"/>
    <x v="5"/>
    <d v="2023-04-17T00:00:00"/>
    <x v="204"/>
    <x v="8"/>
    <s v="Delivered"/>
    <x v="4"/>
    <x v="1"/>
    <s v="https://saranistudio-my.sharepoint.com/:f:/g/personal/team_sarani_studio/EkZE4Y3oDmxOgPwByulkRGQBO22GCn4XXiv8vxBWXU3BOQ?e=QYcm2Z"/>
    <n v="2"/>
    <n v="155"/>
    <d v="2023-04-20T00:00:00"/>
    <x v="0"/>
    <x v="135"/>
    <s v="Mai"/>
    <s v="Sent"/>
    <s v="F2023-0599"/>
    <s v="Paid"/>
  </r>
  <r>
    <s v="Sony "/>
    <s v="SFR"/>
    <x v="0"/>
    <x v="1"/>
    <x v="4"/>
    <d v="2023-03-28T00:00:00"/>
    <x v="205"/>
    <x v="5"/>
    <s v="Delivered"/>
    <x v="3"/>
    <x v="1"/>
    <s v="https://saranistudio-my.sharepoint.com/:f:/g/personal/team_sarani_studio/EmtLIsoaTzxJnuMVqwFkEXEBRLxiJIn6Dx3sdurRJBv18Q?e=SUZpe2"/>
    <n v="6"/>
    <n v="210"/>
    <d v="2023-04-07T00:00:00"/>
    <x v="0"/>
    <x v="123"/>
    <s v="Avril"/>
    <s v="Sent"/>
    <s v="F2023-0600"/>
    <s v="Paid"/>
  </r>
  <r>
    <s v="Sony "/>
    <s v="SFR"/>
    <x v="1"/>
    <x v="2"/>
    <x v="5"/>
    <d v="2023-04-26T00:00:00"/>
    <x v="206"/>
    <x v="13"/>
    <s v="Delivered"/>
    <x v="3"/>
    <x v="1"/>
    <s v="https://saranistudio-my.sharepoint.com/:f:/g/personal/team_sarani_studio/EryFOZSDujNAvnhAwzgHd6YBejy68T4VHXJZQ1QAcVGLmw?e=rKtkku"/>
    <n v="1"/>
    <n v="35"/>
    <d v="2023-05-01T00:00:00"/>
    <x v="0"/>
    <x v="123"/>
    <s v="Juin"/>
    <s v="Sent"/>
    <s v="F2023-0600"/>
    <s v="Paid"/>
  </r>
  <r>
    <s v="Sony "/>
    <s v="SFR"/>
    <x v="1"/>
    <x v="2"/>
    <x v="5"/>
    <d v="2023-04-26T00:00:00"/>
    <x v="207"/>
    <x v="5"/>
    <s v="Delivered"/>
    <x v="5"/>
    <x v="1"/>
    <s v="https://saranistudio-my.sharepoint.com/:f:/g/personal/team_sarani_studio/ElqnG-FXH_tIjM-5CjehobkBI3iwiykX2wZsbbcXjP2u5Q?e=cTcTX3"/>
    <n v="3"/>
    <n v="105"/>
    <d v="2023-04-27T00:00:00"/>
    <x v="0"/>
    <x v="124"/>
    <s v="Mai"/>
    <s v="Sent"/>
    <s v="F2023-0602"/>
    <s v="Paid"/>
  </r>
  <r>
    <s v="Sony "/>
    <s v="SFR"/>
    <x v="0"/>
    <x v="1"/>
    <x v="4"/>
    <d v="2023-03-23T00:00:00"/>
    <x v="208"/>
    <x v="13"/>
    <s v="Delivered"/>
    <x v="3"/>
    <x v="1"/>
    <s v="https://saranistudio-my.sharepoint.com/:f:/g/personal/team_sarani_studio/Em9OAsLQ3rVAsCjuhjlyf9ABulvOo8C6xbY6ZkPMG8hkFQ?e=cTZegr"/>
    <n v="3"/>
    <n v="105"/>
    <d v="2023-05-25T00:00:00"/>
    <x v="0"/>
    <x v="123"/>
    <s v="Avril"/>
    <s v="Sent"/>
    <s v="F2023-0603"/>
    <s v="Paid"/>
  </r>
  <r>
    <s v="Sony "/>
    <s v="SFR"/>
    <x v="1"/>
    <x v="2"/>
    <x v="5"/>
    <d v="2023-04-18T00:00:00"/>
    <x v="209"/>
    <x v="8"/>
    <s v="Delivered"/>
    <x v="3"/>
    <x v="1"/>
    <s v="https://saranistudio-my.sharepoint.com/:f:/g/personal/team_sarani_studio/ErYK9M-zOA5Hl_9y0WcmEwsBwd5R8qMMwATIAABc168MWQ?e=kSNAdo"/>
    <n v="3"/>
    <n v="190"/>
    <d v="2023-04-25T00:00:00"/>
    <x v="0"/>
    <x v="123"/>
    <s v="Mai"/>
    <s v="Sent"/>
    <s v="F2023-0603"/>
    <s v="Paid"/>
  </r>
  <r>
    <s v="Sony"/>
    <s v="SFR"/>
    <x v="1"/>
    <x v="2"/>
    <x v="5"/>
    <d v="2023-04-26T00:00:00"/>
    <x v="210"/>
    <x v="4"/>
    <s v="Delivered"/>
    <x v="5"/>
    <x v="0"/>
    <s v="https://saranistudio-my.sharepoint.com/:f:/g/personal/team_sarani_studio/Eo_WrjVzYsBLghSpIKuCgJ4BkWtZHQIu_zjYECvNipC1AQ?e=7Ka5FQ"/>
    <n v="5"/>
    <n v="365"/>
    <d v="2023-05-25T00:00:00"/>
    <x v="0"/>
    <x v="136"/>
    <m/>
    <s v="Sent"/>
    <s v="F2023-0604"/>
    <s v="Paid"/>
  </r>
  <r>
    <s v="Sony"/>
    <s v="SFR"/>
    <x v="1"/>
    <x v="2"/>
    <x v="6"/>
    <d v="2023-05-22T00:00:00"/>
    <x v="211"/>
    <x v="5"/>
    <s v="-"/>
    <x v="5"/>
    <x v="0"/>
    <s v="-"/>
    <n v="1"/>
    <n v="600"/>
    <d v="2023-05-24T00:00:00"/>
    <x v="0"/>
    <x v="137"/>
    <m/>
    <s v="Sent"/>
    <s v="F2023-0605"/>
    <s v="Paid"/>
  </r>
  <r>
    <s v="Sony"/>
    <s v="SFR"/>
    <x v="1"/>
    <x v="2"/>
    <x v="5"/>
    <d v="2023-04-18T00:00:00"/>
    <x v="212"/>
    <x v="4"/>
    <s v="Delivered"/>
    <x v="5"/>
    <x v="0"/>
    <s v="https://saranistudio-my.sharepoint.com/:f:/g/personal/team_sarani_studio/EvN6F1tLUb1HpsDsbcqLJpgBS_xatQW1Mdo30DXnEk4Umw?e=ZwLhqb"/>
    <n v="7"/>
    <n v="375"/>
    <d v="2023-04-19T00:00:00"/>
    <x v="0"/>
    <x v="138"/>
    <m/>
    <s v="Sent"/>
    <s v="F2023-0606"/>
    <s v="Paid"/>
  </r>
  <r>
    <s v="Sony"/>
    <s v="SFR"/>
    <x v="1"/>
    <x v="2"/>
    <x v="5"/>
    <d v="2023-04-06T00:00:00"/>
    <x v="213"/>
    <x v="4"/>
    <s v="Delivered"/>
    <x v="5"/>
    <x v="0"/>
    <s v="https://saranistudio-my.sharepoint.com/:f:/g/personal/team_sarani_studio/ErR6Cnz8koFJgGWWVv_vuxMB39tB1cZ0JkSx87G68Dab2A?e=ADHUf1"/>
    <n v="29"/>
    <n v="1330"/>
    <d v="2023-04-19T00:00:00"/>
    <x v="0"/>
    <x v="139"/>
    <m/>
    <s v="Sent"/>
    <s v="F2023-0607"/>
    <s v="Paid"/>
  </r>
  <r>
    <s v="Sony"/>
    <s v="SFR"/>
    <x v="1"/>
    <x v="2"/>
    <x v="5"/>
    <d v="2023-04-11T00:00:00"/>
    <x v="214"/>
    <x v="4"/>
    <s v="Delivered"/>
    <x v="5"/>
    <x v="0"/>
    <s v="https://saranistudio-my.sharepoint.com/:f:/g/personal/team_sarani_studio/Emr78pZYwmhKg7QstwR5YX8B_01h9nWSmEplb8WNjpatfQ?e=qLyHA4"/>
    <n v="13"/>
    <n v="805"/>
    <d v="2023-04-19T00:00:00"/>
    <x v="0"/>
    <x v="140"/>
    <m/>
    <s v="Sent"/>
    <s v="F2023-0608"/>
    <s v="Paid"/>
  </r>
  <r>
    <s v="Sony "/>
    <s v="SFR"/>
    <x v="1"/>
    <x v="1"/>
    <x v="4"/>
    <d v="2023-03-27T00:00:00"/>
    <x v="215"/>
    <x v="5"/>
    <s v="Delivered"/>
    <x v="5"/>
    <x v="1"/>
    <s v="https://saranistudio-my.sharepoint.com/:f:/g/personal/team_sarani_studio/EmtLIsoaTzxJnuMVqwFkEXEBRLxiJIn6Dx3sdurRJBv18Q?e=g8c6h9"/>
    <n v="6"/>
    <n v="210"/>
    <d v="2023-04-25T00:00:00"/>
    <x v="0"/>
    <x v="124"/>
    <s v="Avril"/>
    <s v="Sent"/>
    <s v="F2023-0609"/>
    <s v="Paid"/>
  </r>
  <r>
    <s v="Sony "/>
    <s v="SFR"/>
    <x v="1"/>
    <x v="2"/>
    <x v="5"/>
    <d v="2023-04-28T00:00:00"/>
    <x v="216"/>
    <x v="7"/>
    <s v="Delivered"/>
    <x v="3"/>
    <x v="1"/>
    <s v="https://saranistudio-my.sharepoint.com/:f:/g/personal/team_sarani_studio/EksaPdiWfxhMnbU7goZGW3wBNMdtyNVXPZFQGY1IHS_P8w?e=K0olFY"/>
    <n v="1"/>
    <n v="120"/>
    <d v="2023-05-15T00:00:00"/>
    <x v="0"/>
    <x v="123"/>
    <s v="Juin"/>
    <s v="Sent"/>
    <s v="F2023-0610"/>
    <s v="Paid"/>
  </r>
  <r>
    <s v="Sony "/>
    <s v="SFR"/>
    <x v="1"/>
    <x v="2"/>
    <x v="6"/>
    <d v="2023-05-10T00:00:00"/>
    <x v="217"/>
    <x v="13"/>
    <s v="Delivered"/>
    <x v="3"/>
    <x v="1"/>
    <s v="https://saranistudio-my.sharepoint.com/:f:/g/personal/team_sarani_studio/Ekai1uZu5I1DjFQDqtNMglUB-a9khXEpgHVGO6Ehmq4loA?e=O64h2s"/>
    <n v="4"/>
    <n v="140"/>
    <d v="2023-06-05T00:00:00"/>
    <x v="0"/>
    <x v="123"/>
    <s v="Juin"/>
    <s v="Sent"/>
    <s v="F2023-0610"/>
    <s v="Paid"/>
  </r>
  <r>
    <s v="Sony"/>
    <s v="SFR"/>
    <x v="1"/>
    <x v="2"/>
    <x v="5"/>
    <d v="2023-04-17T00:00:00"/>
    <x v="218"/>
    <x v="3"/>
    <s v="Delivered"/>
    <x v="1"/>
    <x v="0"/>
    <s v="https://saranistudio-my.sharepoint.com/:f:/g/personal/team_sarani_studio/EhrI14UZk7dKhgchM2ASROYBdoIrI_P1svtBiXsGLwNAfg?e=fEdvZa"/>
    <n v="18"/>
    <n v="715"/>
    <d v="2023-04-19T00:00:00"/>
    <x v="0"/>
    <x v="141"/>
    <m/>
    <s v="Sent"/>
    <s v="F2023-0611"/>
    <s v="Paid"/>
  </r>
  <r>
    <s v="Sony"/>
    <s v="SFR"/>
    <x v="0"/>
    <x v="0"/>
    <x v="1"/>
    <d v="2022-12-19T00:00:00"/>
    <x v="219"/>
    <x v="3"/>
    <s v="Delivered"/>
    <x v="1"/>
    <x v="0"/>
    <s v="https://saranistudio-my.sharepoint.com/:f:/g/personal/team_sarani_studio/EitZRBZy2n1Kkw5kaWztE5sBgYKU_BFeDcX25iDrx1Ct5w?e=j19Nkg"/>
    <n v="18"/>
    <n v="715"/>
    <s v="22/12/2022"/>
    <x v="0"/>
    <x v="142"/>
    <m/>
    <s v="Sent"/>
    <s v="F2023-0612"/>
    <s v="Paid"/>
  </r>
  <r>
    <s v="Sony "/>
    <s v="SFR"/>
    <x v="1"/>
    <x v="0"/>
    <x v="9"/>
    <d v="2023-10-30T00:00:00"/>
    <x v="220"/>
    <x v="9"/>
    <s v="Delivered"/>
    <x v="1"/>
    <x v="0"/>
    <s v="https://saranistudio.sharepoint.com/:f:/s/SaraniAssets/ErSgv-hqFRpOuvmAVjD_t1gBaECQLYpE-t9VB7eIFXWUGQ?e=IvSeqU"/>
    <n v="5"/>
    <n v="260"/>
    <s v="https://saranistudio-my.sharepoint.com/:b:/g/personal/team_sarani_studio/ER04FKUsxMdNpc9PLwzvJA4BjY-XQVjWZkxRvQ5wdZqZyg?e=fbfmHc"/>
    <x v="0"/>
    <x v="143"/>
    <m/>
    <s v="Sent"/>
    <s v="F2024-0008"/>
    <s v="Paid 05/03/2024"/>
  </r>
  <r>
    <s v="Sony "/>
    <s v="SFR"/>
    <x v="1"/>
    <x v="0"/>
    <x v="0"/>
    <d v="2023-11-20T00:00:00"/>
    <x v="221"/>
    <x v="9"/>
    <s v="Delivered"/>
    <x v="1"/>
    <x v="0"/>
    <s v="https://saranistudio.sharepoint.com/:f:/s/SaraniAssets/Etk7nPcUzU1GhgoWi9I3qvwBxHShviAn8roYqGG9BsU4IQ?e=chdydV"/>
    <n v="4"/>
    <n v="225"/>
    <s v="https://saranistudio.sharepoint.com/:b:/s/SaraniAssets/ERGcizIiVwNIg62Yz-6cEP4B1hDgS9p6byhOa7GTIg8sfw?e=jRXxZ2"/>
    <x v="0"/>
    <x v="143"/>
    <m/>
    <s v="Sent"/>
    <s v="F2024-0008"/>
    <s v="Paid 05/03/2024"/>
  </r>
  <r>
    <s v="Sony "/>
    <s v="SFR"/>
    <x v="1"/>
    <x v="0"/>
    <x v="1"/>
    <d v="2023-12-18T00:00:00"/>
    <x v="222"/>
    <x v="9"/>
    <s v="Delivered"/>
    <x v="1"/>
    <x v="0"/>
    <s v="https://saranistudio.sharepoint.com/:f:/s/SaraniAssets/ErT4J6QJlBBFvkm9Sh2P1qsBIg6YZRyWE4aefs1H35BBvQ?e=4pAu4a"/>
    <n v="8"/>
    <n v="365"/>
    <s v="https://saranistudio-my.sharepoint.com/:b:/g/personal/team_sarani_studio/EYEDMoQJJMxMgJ_66Eq6EVIBnRoBZBt97Yhch3hNjF2NRQ?e=FyJkSO"/>
    <x v="0"/>
    <x v="143"/>
    <m/>
    <s v="Sent"/>
    <s v="F2024-0008"/>
    <s v="Paid 05/03/2024"/>
  </r>
  <r>
    <s v="Sony "/>
    <s v="SFR"/>
    <x v="1"/>
    <x v="0"/>
    <x v="1"/>
    <d v="2023-12-26T00:00:00"/>
    <x v="223"/>
    <x v="9"/>
    <s v="Delivered"/>
    <x v="5"/>
    <x v="0"/>
    <s v="https://saranistudio.sharepoint.com/:f:/s/SaraniAssets/Eoy_6Ku94RRHm6VNocjMGqkB0DinGBXQrXxSUaNw99jChQ?e=UnkAhO"/>
    <n v="1"/>
    <n v="220"/>
    <s v="https://saranistudio-my.sharepoint.com/:b:/g/personal/team_sarani_studio/EdW2tFvbDXJBhz_m1P9guREBFQdSldlwnRSy4o1msmIEyw?e=EpBZ2S"/>
    <x v="0"/>
    <x v="143"/>
    <m/>
    <s v="Sent"/>
    <s v="F2024-0008"/>
    <s v="Paid 05/03/2024"/>
  </r>
  <r>
    <s v="Sony "/>
    <s v="SFR"/>
    <x v="1"/>
    <x v="0"/>
    <x v="0"/>
    <d v="2023-11-24T00:00:00"/>
    <x v="224"/>
    <x v="9"/>
    <s v="Delivered"/>
    <x v="5"/>
    <x v="0"/>
    <s v="https://saranistudio.sharepoint.com/:f:/s/SaraniAssets/EogVu9PGqENJlOaRkAxLbfYBs4fSofJOrkhOr7N8gIUyMg?e=CFyYSV"/>
    <n v="2"/>
    <n v="240"/>
    <s v="https://saranistudio-my.sharepoint.com/:b:/g/personal/team_sarani_studio/Edbt_2QSy4tFkmYFGtYTNuEBcC4sWXovquwfCy4zOTXylA?e=jblPwJ"/>
    <x v="0"/>
    <x v="144"/>
    <m/>
    <s v="Sent"/>
    <s v="F2024-0009"/>
    <s v="Paid 05/03/2024"/>
  </r>
  <r>
    <s v="Sony "/>
    <s v="SFR"/>
    <x v="1"/>
    <x v="2"/>
    <x v="7"/>
    <d v="2023-06-01T00:00:00"/>
    <x v="225"/>
    <x v="9"/>
    <s v="Delivered"/>
    <x v="3"/>
    <x v="0"/>
    <s v="https://saranistudio-my.sharepoint.com/:f:/g/personal/team_sarani_studio/El8laoyQDYZPnVc7Z2BMo6MB3gwAjuJ8oeoJ6OLmWphTUQ?e=8lV0Ww"/>
    <n v="1"/>
    <n v="40"/>
    <s v="https://saranistudio-my.sharepoint.com/:b:/g/personal/team_sarani_studio/Eci3BZ1l2wVLtUT0u5jWcG8BWkpWl7AaBl8MG2cOzb1C4A?e=NPEGsD"/>
    <x v="0"/>
    <x v="145"/>
    <m/>
    <s v="Sent"/>
    <s v="F2024-0010"/>
    <s v="Paid 05/03/2024"/>
  </r>
  <r>
    <s v="Sony"/>
    <s v="SFR"/>
    <x v="1"/>
    <x v="2"/>
    <x v="7"/>
    <d v="2023-06-29T00:00:00"/>
    <x v="226"/>
    <x v="9"/>
    <s v="Delivered"/>
    <x v="3"/>
    <x v="0"/>
    <s v="https://saranistudio-my.sharepoint.com/:f:/g/personal/team_sarani_studio/Eo1WM37R-eJAh5DDN3KO-6IBfCmnVD1lTAycgVSjrLzLHQ?e=nn4yec"/>
    <n v="1"/>
    <n v="35"/>
    <s v="https://saranistudio-my.sharepoint.com/:b:/g/personal/team_sarani_studio/EQb6QhTH_gRFhAa1OD9MRoYB9I_Qs6B3erjotY_ia4ignw?e=LQheQY"/>
    <x v="0"/>
    <x v="145"/>
    <m/>
    <s v="Sent"/>
    <s v="F2024-0010"/>
    <s v="Paid 05/03/2024"/>
  </r>
  <r>
    <s v="Sony "/>
    <s v="SFR"/>
    <x v="1"/>
    <x v="2"/>
    <x v="7"/>
    <d v="2023-06-29T00:00:00"/>
    <x v="227"/>
    <x v="9"/>
    <s v="Delivered"/>
    <x v="3"/>
    <x v="0"/>
    <s v="https://saranistudio-my.sharepoint.com/:f:/g/personal/team_sarani_studio/ElsRtseJsiNPoID54P7HWHIBAKyM_bSuNpMa2EkQFXNqHQ?e=zymZQO"/>
    <n v="1"/>
    <n v="40"/>
    <s v="https://saranistudio-my.sharepoint.com/:b:/g/personal/team_sarani_studio/ETt91MIECWVLs2WOr0bPVkQBRnQXGhU3TVafehwQNkDhaw?e=rkaMoE"/>
    <x v="0"/>
    <x v="145"/>
    <m/>
    <s v="Sent"/>
    <s v="F2024-0010"/>
    <s v="Paid 05/03/2024"/>
  </r>
  <r>
    <s v="Sony "/>
    <s v="SFR"/>
    <x v="1"/>
    <x v="0"/>
    <x v="0"/>
    <d v="2023-11-28T00:00:00"/>
    <x v="228"/>
    <x v="9"/>
    <s v="Delivered"/>
    <x v="3"/>
    <x v="0"/>
    <s v="https://saranistudio.sharepoint.com/:f:/s/SaraniAssets/EkdO0k0RwRlBn3CN75Qe-K0Bc27LV-0mYQtRRRHpKrhEpw?e=UaXdlf"/>
    <n v="14"/>
    <n v="695"/>
    <s v="https://saranistudio-my.sharepoint.com/:b:/g/personal/team_sarani_studio/Ef08ecDBfrxHoDQtiT02wrEBTAAQxP2v4rq-1idxO41QTQ?e=veCSoV"/>
    <x v="0"/>
    <x v="145"/>
    <m/>
    <s v="Sent"/>
    <s v="F2024-0010"/>
    <s v="Paid 05/03/2024"/>
  </r>
  <r>
    <s v="Sony "/>
    <s v="SFR"/>
    <x v="1"/>
    <x v="0"/>
    <x v="0"/>
    <d v="2023-11-30T00:00:00"/>
    <x v="229"/>
    <x v="9"/>
    <s v="Delivered"/>
    <x v="3"/>
    <x v="0"/>
    <s v="https://saranistudio.sharepoint.com/:f:/s/SaraniAssets/Eq_4r49gcC9Bj00v7q3gfvwBj7s5XYsbRYYc2g66E_K5QA?e=Kxe9nJ"/>
    <n v="2"/>
    <n v="115"/>
    <s v="https://saranistudio-my.sharepoint.com/:b:/g/personal/team_sarani_studio/EfhIRCGDI0FBmQyvfuH9Vl8B4AEayL5UZc9MNoj3mBFt3A?e=cAyEu9"/>
    <x v="0"/>
    <x v="146"/>
    <m/>
    <s v="Sent"/>
    <s v="F2024-0011"/>
    <s v="Paid 05/03/2024"/>
  </r>
  <r>
    <s v="Sony "/>
    <s v="SFR"/>
    <x v="1"/>
    <x v="0"/>
    <x v="1"/>
    <d v="2023-12-14T00:00:00"/>
    <x v="230"/>
    <x v="9"/>
    <s v="Delivered"/>
    <x v="3"/>
    <x v="0"/>
    <s v="https://saranistudio.sharepoint.com/:f:/s/SaraniAssets/EqVHj3QrpOBHuNq306Uwn8ABRuqjmgfSrZ-qlthSK8FlOg?e=h4sqe1"/>
    <n v="2"/>
    <n v="70"/>
    <s v="https://saranistudio-my.sharepoint.com/:b:/g/personal/team_sarani_studio/EWEz89Ry_nVCnED4RdpmrKwBLYQtJk23EAWBlWoHFuHF5w?e=jzCZaA"/>
    <x v="0"/>
    <x v="146"/>
    <m/>
    <s v="Sent"/>
    <s v="F2024-0011"/>
    <s v="Paid 05/03/2024"/>
  </r>
  <r>
    <s v="Sony "/>
    <s v="SFR"/>
    <x v="1"/>
    <x v="0"/>
    <x v="1"/>
    <d v="2023-12-20T00:00:00"/>
    <x v="231"/>
    <x v="9"/>
    <s v="Delivered"/>
    <x v="3"/>
    <x v="0"/>
    <s v="https://saranistudio.sharepoint.com/:f:/s/SaraniAssets/EicjkYBFJdFOsIJPGjTZYj4BZ1xU1-wmuN4QDnGvBW3EQQ?e=PlLNv4"/>
    <n v="1"/>
    <n v="35"/>
    <s v="https://saranistudio-my.sharepoint.com/:b:/g/personal/team_sarani_studio/ERbG334ExCBCqCb8zJ9vFREB4MicjMOCfu7R4AHgcTSnEA?e=rVMxz9"/>
    <x v="0"/>
    <x v="146"/>
    <m/>
    <s v="Sent"/>
    <s v="F2024-0011"/>
    <s v="Paid 05/03/2024"/>
  </r>
  <r>
    <s v="Sony "/>
    <s v="SFR"/>
    <x v="1"/>
    <x v="0"/>
    <x v="1"/>
    <d v="2023-12-20T00:00:00"/>
    <x v="232"/>
    <x v="9"/>
    <s v="Delivered"/>
    <x v="0"/>
    <x v="0"/>
    <s v="https://saranistudio.sharepoint.com/:f:/s/SaraniAssets/EjDgnSqnnktCqVt60aDhlIUB-PaidnKjfmjwbVaIQ1IoFZKw?e=9LXPXk"/>
    <n v="1"/>
    <n v="220"/>
    <s v="https://saranistudio-my.sharepoint.com/:b:/g/personal/team_sarani_studio/EShFBRoPLuNPraWp6S9oZ2oBYSXQUE_cQTA9mrCtMQ27BA?e=JiRWS1"/>
    <x v="0"/>
    <x v="147"/>
    <m/>
    <s v="Sent"/>
    <s v="F2024-0012"/>
    <s v="Paid 05/03/2024"/>
  </r>
  <r>
    <s v="Sony "/>
    <s v="SFR"/>
    <x v="1"/>
    <x v="0"/>
    <x v="1"/>
    <d v="2023-12-14T00:00:00"/>
    <x v="233"/>
    <x v="15"/>
    <s v="Delivered"/>
    <x v="5"/>
    <x v="1"/>
    <s v="https://saranistudio.sharepoint.com/:f:/s/SaraniAssets/ElaTCnH-UbBDhAwIQzcejYIBSEVMBrpOe96t7VFsvzzqFw?e=KtU3Cp"/>
    <n v="1"/>
    <n v="120"/>
    <m/>
    <x v="0"/>
    <x v="80"/>
    <s v="Janvier"/>
    <s v="Sent"/>
    <s v="F2024-0020"/>
    <s v="Paid 27/03/2024"/>
  </r>
  <r>
    <s v="Sony "/>
    <s v="SFR"/>
    <x v="1"/>
    <x v="1"/>
    <x v="2"/>
    <d v="2024-01-12T00:00:00"/>
    <x v="234"/>
    <x v="15"/>
    <s v="Delivered"/>
    <x v="5"/>
    <x v="1"/>
    <s v="https://saranistudio.sharepoint.com/:f:/s/SaraniAssets/EgRVJ7M8DotDrEnyTLJ5S80BXA2hLOZ6s3Itax5zhMPyxQ?e=zgCO0J"/>
    <n v="1"/>
    <n v="35"/>
    <m/>
    <x v="0"/>
    <x v="148"/>
    <s v="Février"/>
    <s v="Sent"/>
    <s v="F2024-0021"/>
    <s v="Paid 15/03/2024"/>
  </r>
  <r>
    <s v="Sony "/>
    <s v="SFR"/>
    <x v="1"/>
    <x v="1"/>
    <x v="2"/>
    <d v="2024-01-03T00:00:00"/>
    <x v="235"/>
    <x v="5"/>
    <s v="Delivered"/>
    <x v="3"/>
    <x v="1"/>
    <s v="https://saranistudio.sharepoint.com/:f:/s/SaraniAssets/Eh5uhux84DVPk0kPaid0veA4kBNcIs_Folxc65B8tNPAIiJw?e=eYXaB0"/>
    <n v="7"/>
    <n v="245"/>
    <m/>
    <x v="0"/>
    <x v="149"/>
    <s v="Février"/>
    <s v="Sent"/>
    <s v="F2024-0022"/>
    <s v="Paid 15/03/2024"/>
  </r>
  <r>
    <s v="Sony "/>
    <s v="SFR"/>
    <x v="1"/>
    <x v="1"/>
    <x v="2"/>
    <d v="2024-01-08T00:00:00"/>
    <x v="236"/>
    <x v="5"/>
    <s v="Delivered"/>
    <x v="5"/>
    <x v="1"/>
    <m/>
    <n v="4"/>
    <n v="140"/>
    <m/>
    <x v="0"/>
    <x v="148"/>
    <s v="Janvier"/>
    <s v="Sent"/>
    <s v="F2024-0022"/>
    <s v="Paid 15/03/2024"/>
  </r>
  <r>
    <s v="Sony "/>
    <s v="SFR"/>
    <x v="1"/>
    <x v="1"/>
    <x v="2"/>
    <d v="2024-01-10T00:00:00"/>
    <x v="237"/>
    <x v="5"/>
    <s v="Delivered"/>
    <x v="3"/>
    <x v="1"/>
    <s v="https://saranistudio.sharepoint.com/:f:/s/SaraniAssets/EpsNyvJ0-BpHqZgKY9OcGWUBVl17ZHoLs9KuFQ-VyT8yFA?e=ydkCEr"/>
    <n v="2"/>
    <n v="155"/>
    <m/>
    <x v="0"/>
    <x v="149"/>
    <s v="Février"/>
    <s v="Sent"/>
    <s v="F2024-0022"/>
    <s v="Paid 15/03/2024"/>
  </r>
  <r>
    <s v="Sony "/>
    <s v="SFR"/>
    <x v="1"/>
    <x v="0"/>
    <x v="0"/>
    <d v="2023-11-17T00:00:00"/>
    <x v="238"/>
    <x v="4"/>
    <s v="Delivered"/>
    <x v="5"/>
    <x v="0"/>
    <s v="https://saranistudio.sharepoint.com/:f:/s/SaraniAssets/Esedv7weB8dJhpQl1jrHyVsBNuiW1YPKAv-SDwz8gdjw-g?e=61sZ25"/>
    <n v="2"/>
    <n v="300"/>
    <s v="https://saranistudio-my.sharepoint.com/:b:/g/personal/team_sarani_studio/EYzJ3Jb7P4pBk7bzPT6LnxYBBRPaidQavMxx4uk5-507INZw?e=xQpcIj"/>
    <x v="0"/>
    <x v="150"/>
    <m/>
    <s v="Sent"/>
    <s v="F2024-0032"/>
    <s v="Paid 27/03/2024"/>
  </r>
  <r>
    <s v="Sony "/>
    <s v="SFR"/>
    <x v="1"/>
    <x v="0"/>
    <x v="9"/>
    <d v="2023-10-24T00:00:00"/>
    <x v="239"/>
    <x v="11"/>
    <s v="Delivered"/>
    <x v="0"/>
    <x v="0"/>
    <s v="https://saranistudio.sharepoint.com/:f:/s/SaraniAssets/EPaidzAjJfVbVNhvCRivdo9ZoBtTCqqsbRnxPCHmyopMrBAQ?e=eFf2r0"/>
    <n v="9"/>
    <n v="640"/>
    <s v="https://saranistudio-my.sharepoint.com/:b:/g/personal/team_sarani_studio/Ef7qEkyzMWBEvMzmfCXB0tcBegfhsnSFfaSlMMlPiVOBpA?e=EfztE5"/>
    <x v="0"/>
    <x v="151"/>
    <m/>
    <s v="Sent"/>
    <s v="F2024-0033"/>
    <s v="Paid 27/03/2024"/>
  </r>
  <r>
    <s v="Sony "/>
    <s v="SFR"/>
    <x v="1"/>
    <x v="0"/>
    <x v="1"/>
    <d v="2023-12-28T00:00:00"/>
    <x v="240"/>
    <x v="11"/>
    <s v="Delivered"/>
    <x v="2"/>
    <x v="0"/>
    <s v="https://saranistudio.sharepoint.com/:f:/s/SaraniAssets/EoiJsbpW73dChfZf0UF1Tr8BUBhPBV0tV-KQU6HbS7aIrg?e=zMN09d"/>
    <n v="4"/>
    <n v="160"/>
    <s v="https://saranistudio-my.sharepoint.com/:b:/g/personal/team_sarani_studio/EVKFGpKvCShMjtTbzKT-_JoBjkT48yW9cQN3DOAfiAZs3w?e=wRafoU"/>
    <x v="0"/>
    <x v="152"/>
    <m/>
    <s v="Sent"/>
    <s v="F2024-0034"/>
    <s v="Paid 27/03/2024"/>
  </r>
  <r>
    <s v="Sony "/>
    <s v="SFR"/>
    <x v="1"/>
    <x v="0"/>
    <x v="0"/>
    <d v="2023-11-28T00:00:00"/>
    <x v="241"/>
    <x v="10"/>
    <s v="Delivered"/>
    <x v="5"/>
    <x v="0"/>
    <s v="https://saranistudio.sharepoint.com/:f:/s/SaraniAssets/EtTQvQUqDLZDuW4X1KXxts0Bxa5o4QhPaidyfwZOQHfiOT4w?e=l5SlaL"/>
    <n v="1"/>
    <n v="35"/>
    <s v="https://saranistudio-my.sharepoint.com/:b:/g/personal/team_sarani_studio/EaE60WBZcuBHrxbljAvdwQwB5V-pRP7DtpMfIspF3xnJ9Q?e=38Wu9B"/>
    <x v="0"/>
    <x v="153"/>
    <m/>
    <s v="Sent"/>
    <s v="F2024-0035"/>
    <s v="Paid 27/03/2024"/>
  </r>
  <r>
    <s v="Sony "/>
    <s v="SFR"/>
    <x v="1"/>
    <x v="0"/>
    <x v="0"/>
    <d v="2023-11-29T00:00:00"/>
    <x v="242"/>
    <x v="4"/>
    <s v="Delivered"/>
    <x v="5"/>
    <x v="0"/>
    <s v="https://saranistudio.sharepoint.com/:f:/s/SaraniAssets/EsrLHInvcfpIkFHXKwypzk8BCr5D80WLMupRsNiZi0mi4A?e=GxKSMP"/>
    <n v="1"/>
    <n v="35"/>
    <s v="https://saranistudio-my.sharepoint.com/:b:/g/personal/team_sarani_studio/EWfdu_W2MxVPiqId8_itqAEBGJK-jiDSY_nGNLfoar9u4A?e=SFk3R6"/>
    <x v="0"/>
    <x v="153"/>
    <m/>
    <s v="Sent"/>
    <s v="F2024-0035"/>
    <s v="Paid 27/03/2024"/>
  </r>
  <r>
    <s v="Sony "/>
    <s v="SFR"/>
    <x v="1"/>
    <x v="2"/>
    <x v="5"/>
    <d v="2023-04-24T00:00:00"/>
    <x v="243"/>
    <x v="7"/>
    <s v="Delivered"/>
    <x v="0"/>
    <x v="1"/>
    <s v="https://saranistudio-my.sharepoint.com/:f:/g/personal/team_sarani_studio/EhsZRSxgxfVLrM85FfWaf4wBIG1duzSBgim6pUcZ5L-q-g?e=ImXkgA"/>
    <n v="3"/>
    <n v="190"/>
    <d v="2023-04-28T00:00:00"/>
    <x v="0"/>
    <x v="154"/>
    <s v="Mai"/>
    <s v="Sent"/>
    <s v="F2024-0041"/>
    <s v="Paid 27/03/2024"/>
  </r>
  <r>
    <s v="Sony "/>
    <s v="SFR"/>
    <x v="1"/>
    <x v="3"/>
    <x v="8"/>
    <d v="2023-08-29T00:00:00"/>
    <x v="244"/>
    <x v="7"/>
    <s v="Delivered"/>
    <x v="3"/>
    <x v="1"/>
    <s v="https://saranistudio.sharepoint.com/:f:/s/SaraniAssets/EkM4_4S2YUlChNsH90t7glEB0h_thC1ZAJOIh6EKmPcE9w?e=hxqLqh"/>
    <n v="2"/>
    <n v="155"/>
    <m/>
    <x v="0"/>
    <x v="154"/>
    <s v="Septembre"/>
    <s v="Sent"/>
    <s v="F2024-0041"/>
    <s v="Paid 27/03/2024"/>
  </r>
  <r>
    <s v="Sony"/>
    <s v="SFR"/>
    <x v="1"/>
    <x v="1"/>
    <x v="2"/>
    <d v="2024-01-03T00:00:00"/>
    <x v="245"/>
    <x v="15"/>
    <s v="Delivered"/>
    <x v="4"/>
    <x v="1"/>
    <s v="https://saranistudio.sharepoint.com/:f:/s/SaraniAssets/EnZBOAvlxFVIk_GqrB-F6AkBjY5YsvPSksmbu18M3nycBQ?e=qPZc5Q"/>
    <n v="4"/>
    <n v="140"/>
    <s v="https://saranistudio-my.sharepoint.com/:b:/g/personal/team_sarani_studio/EXaikXzQhPdDrK3iaH4alnQBZ0gkcplRx-dbJCVDzVALSA?e=tSD1Dz"/>
    <x v="0"/>
    <x v="154"/>
    <s v="Janvier"/>
    <s v="Sent"/>
    <s v="F2024-0041"/>
    <s v="Paid 27/03/2024"/>
  </r>
  <r>
    <s v="Sony "/>
    <s v="SFR"/>
    <x v="1"/>
    <x v="3"/>
    <x v="10"/>
    <d v="2023-09-07T00:00:00"/>
    <x v="246"/>
    <x v="5"/>
    <s v="Delivered"/>
    <x v="5"/>
    <x v="1"/>
    <s v="https://saranistudio.sharepoint.com/:f:/s/SaraniAssets/EqEFLDs290NFhFKnIKvHsREBm5-NMDYOyYi9fj6Lz-NCPw?e=lTl3ml"/>
    <n v="2"/>
    <n v="155"/>
    <m/>
    <x v="0"/>
    <x v="148"/>
    <s v="Février"/>
    <s v="Sent"/>
    <s v="F2024-0042"/>
    <s v="Paid 27/03/2024"/>
  </r>
  <r>
    <s v="Sony "/>
    <s v="SFR"/>
    <x v="1"/>
    <x v="0"/>
    <x v="9"/>
    <d v="2023-10-15T00:00:00"/>
    <x v="247"/>
    <x v="5"/>
    <s v="Delivered"/>
    <x v="5"/>
    <x v="1"/>
    <s v="https://saranistudio.sharepoint.com/:f:/s/SaraniAssets/Er1x1PPB_U5HtSXsmDKHazoBk6wVtgrwAriyWUNJ7GUixg?e=zvz3rS"/>
    <n v="2"/>
    <n v="430"/>
    <m/>
    <x v="0"/>
    <x v="148"/>
    <s v="Février"/>
    <s v="Sent"/>
    <s v="F2024-0042"/>
    <s v="Paid 27/03/2024"/>
  </r>
  <r>
    <s v="Sony "/>
    <s v="SFR"/>
    <x v="1"/>
    <x v="0"/>
    <x v="9"/>
    <d v="2023-10-31T00:00:00"/>
    <x v="248"/>
    <x v="5"/>
    <s v="Delivered"/>
    <x v="5"/>
    <x v="1"/>
    <s v="https://saranistudio.sharepoint.com/:f:/s/SaraniAssets/ErSgv-hqFRpOuvmAVjD_t1gBaECQLYpE-t9VB7eIFXWUGQ?e=qBNZQf"/>
    <n v="14"/>
    <n v="575"/>
    <m/>
    <x v="0"/>
    <x v="148"/>
    <s v="Février"/>
    <s v="Sent"/>
    <s v="F2024-0042"/>
    <s v="Paid 27/03/2024"/>
  </r>
  <r>
    <s v="Sony "/>
    <s v="SFR"/>
    <x v="1"/>
    <x v="0"/>
    <x v="0"/>
    <d v="2023-11-12T00:00:00"/>
    <x v="249"/>
    <x v="15"/>
    <s v="Delivered"/>
    <x v="5"/>
    <x v="1"/>
    <s v="https://saranistudio.sharepoint.com/:f:/s/SaraniAssets/Ej_ZtFDNGhhEoYEWR38NaYUBYId-dXbNQROQXHhEAmib1Q?e=3B1uH4"/>
    <n v="18"/>
    <n v="885"/>
    <m/>
    <x v="0"/>
    <x v="148"/>
    <s v="Février"/>
    <s v="Sent"/>
    <s v="F2024-0042"/>
    <s v="Paid 27/03/2024"/>
  </r>
  <r>
    <s v="Sony "/>
    <s v="SFR"/>
    <x v="1"/>
    <x v="0"/>
    <x v="0"/>
    <d v="2023-11-17T00:00:00"/>
    <x v="250"/>
    <x v="13"/>
    <s v="Delivered"/>
    <x v="5"/>
    <x v="1"/>
    <s v="https://saranistudio.sharepoint.com/:f:/s/SaraniAssets/ErbIaajS6sFLnYkxn-DbMdkBiP476TtQ2kiHvY381FmGjg?e=grtKaU"/>
    <n v="2"/>
    <n v="155"/>
    <m/>
    <x v="0"/>
    <x v="148"/>
    <s v="Février"/>
    <s v="Sent"/>
    <s v="F2024-0042"/>
    <s v="Paid 27/03/2024"/>
  </r>
  <r>
    <s v="Sony"/>
    <s v="SFR"/>
    <x v="1"/>
    <x v="2"/>
    <x v="6"/>
    <d v="2023-05-26T00:00:00"/>
    <x v="251"/>
    <x v="0"/>
    <s v="Delivered"/>
    <x v="4"/>
    <x v="0"/>
    <s v="https://saranistudio-my.sharepoint.com/:f:/g/personal/team_sarani_studio/Ehfxvz__gf1NvW8ydi3n7RYBCFT_MxJ_JosrOZuBHNHMog?e=WaY5JK"/>
    <n v="2"/>
    <n v="70"/>
    <s v="https://saranistudio-my.sharepoint.com/:b:/g/personal/team_sarani_studio/EcKNg6a2qLhBs1Ppgm8qprwB690_Nkgh3GY-tj911lU0tA?e=mLArCc"/>
    <x v="0"/>
    <x v="155"/>
    <s v="Avril"/>
    <s v="Sent"/>
    <s v="F2024-0062"/>
    <s v="Paid 18/04/2024"/>
  </r>
  <r>
    <s v="Sony "/>
    <s v="SFR"/>
    <x v="1"/>
    <x v="3"/>
    <x v="11"/>
    <d v="2023-07-25T00:00:00"/>
    <x v="252"/>
    <x v="17"/>
    <s v="Delivered"/>
    <x v="2"/>
    <x v="0"/>
    <s v="https://saranistudio.sharepoint.com/:f:/s/SaraniAssets/ErA000UoVLhDqslLZSyhjoABU1xbvgg3E8Ij-0qMkvDYQA?e=pL3NJr"/>
    <n v="9"/>
    <n v="315"/>
    <s v="https://saranistudio-my.sharepoint.com/:b:/g/personal/team_sarani_studio/Ee3F3z-Ic6ZFo5wGD56lVwYBbC7nmfyNq2WfFQ2DqZJaOQ?e=YRGbt6"/>
    <x v="0"/>
    <x v="155"/>
    <s v="Avril"/>
    <s v="Sent"/>
    <s v="F2024-0062"/>
    <s v="Paid 18/04/2024"/>
  </r>
  <r>
    <s v="Sony "/>
    <s v="SFR"/>
    <x v="1"/>
    <x v="3"/>
    <x v="8"/>
    <d v="2023-08-04T00:00:00"/>
    <x v="253"/>
    <x v="18"/>
    <s v="Delivered"/>
    <x v="2"/>
    <x v="0"/>
    <s v="https://saranistudio.sharepoint.com/:f:/s/SaraniAssets/Etu_da7dC-ZJt1b3jGIkTpkB2HKcNrt4v7mQPatbLXCQZg?e=zHQWkX"/>
    <n v="45"/>
    <n v="1575"/>
    <s v="https://saranistudio-my.sharepoint.com/:b:/g/personal/team_sarani_studio/EZ9VPz3tawJPrjr0NBBQa00BkGoBz_hRaVayzQMEDa8-aQ?e=k6fkeu"/>
    <x v="0"/>
    <x v="155"/>
    <s v="Avril"/>
    <s v="Sent"/>
    <s v="F2024-0062"/>
    <s v="Paid 18/04/2024"/>
  </r>
  <r>
    <s v="Sony "/>
    <s v="SFR"/>
    <x v="1"/>
    <x v="1"/>
    <x v="2"/>
    <d v="2024-01-15T00:00:00"/>
    <x v="254"/>
    <x v="11"/>
    <s v="Delivered"/>
    <x v="0"/>
    <x v="0"/>
    <s v="https://saranistudio.sharepoint.com/:f:/s/SaraniAssets/EkfqcsyPeeVHrBTexWbhyMQBHX1Dgzi-LouhHe8418G9NA?e=7FHPoe"/>
    <n v="1"/>
    <n v="40"/>
    <s v="https://saranistudio-my.sharepoint.com/:b:/g/personal/team_sarani_studio/EZWieqSx6GlEq2696zrIVgMBvk4hOE8V0_ap6hFUebWZxA?e=D6bF4G"/>
    <x v="0"/>
    <x v="155"/>
    <s v="Avril"/>
    <s v="Sent"/>
    <s v="F2024-0062"/>
    <s v="Paid 18/04/2024"/>
  </r>
  <r>
    <s v="Sony "/>
    <s v="SFR"/>
    <x v="1"/>
    <x v="1"/>
    <x v="2"/>
    <d v="2024-01-29T00:00:00"/>
    <x v="255"/>
    <x v="11"/>
    <s v="Delivered"/>
    <x v="0"/>
    <x v="0"/>
    <s v="https://saranistudio.sharepoint.com/:f:/s/SaraniAssets/EmNZUpYuUJVBlPsZ5mpcLwsBDIhpr6GOmZlNGa9BS72IYg?e=UGaDiN"/>
    <n v="2"/>
    <n v="70"/>
    <s v="https://saranistudio-my.sharepoint.com/:b:/g/personal/team_sarani_studio/EeQ-SQ6ymGpPp_9q064_UxABi6FBdA8GYVOvUTq74tgcGw?e=Sr9lyu"/>
    <x v="0"/>
    <x v="155"/>
    <s v="Avril"/>
    <s v="Sent"/>
    <s v="F2024-0062"/>
    <s v="Paid 18/04/2024"/>
  </r>
  <r>
    <s v="Sony"/>
    <s v="SFR"/>
    <x v="1"/>
    <x v="1"/>
    <x v="2"/>
    <d v="2024-01-23T00:00:00"/>
    <x v="256"/>
    <x v="4"/>
    <s v="Delivered"/>
    <x v="5"/>
    <x v="0"/>
    <s v="https://saranistudio.sharepoint.com/:f:/s/SaraniAssets/EhnNN8cI2w9ErzD3LxSZgN4B_BMVQ28-8nXl4X_Sd4ilSQ?e=3V1Wx5"/>
    <n v="3"/>
    <n v="215"/>
    <s v="https://saranistudio-my.sharepoint.com/:b:/g/personal/team_sarani_studio/EZ7Flf3xqXNIoZ9T3gHch7gBJmwMn_UwI6EtXMkYdAg1fQ?e=EXJF76"/>
    <x v="1"/>
    <x v="156"/>
    <m/>
    <s v="Sent"/>
    <s v="F2024-0063"/>
    <s v="Paid 18/04/2024"/>
  </r>
  <r>
    <s v="Sony "/>
    <s v="SFR"/>
    <x v="1"/>
    <x v="1"/>
    <x v="3"/>
    <d v="2024-02-04T00:00:00"/>
    <x v="257"/>
    <x v="4"/>
    <s v="Delivered"/>
    <x v="5"/>
    <x v="0"/>
    <m/>
    <n v="8"/>
    <n v="415"/>
    <m/>
    <x v="1"/>
    <x v="156"/>
    <m/>
    <s v="Sent"/>
    <s v="F2024-0063"/>
    <s v="Paid 18/04/2024"/>
  </r>
  <r>
    <s v="Sony "/>
    <s v="SFR"/>
    <x v="1"/>
    <x v="1"/>
    <x v="3"/>
    <d v="2024-02-08T00:00:00"/>
    <x v="258"/>
    <x v="4"/>
    <s v="Delivered"/>
    <x v="5"/>
    <x v="0"/>
    <s v="https://saranistudio.sharepoint.com/:f:/s/SaraniAssets/Erha6gi88whLuj_pvtxIpRcBXZVc8vTFR0xPQmbb9FSA2g?e=nvU2Sf"/>
    <n v="1"/>
    <n v="120"/>
    <s v="https://saranistudio-my.sharepoint.com/:b:/g/personal/team_sarani_studio/EQH_nxgooO9Ah4mFp09MdYoBLKHna8ndYgNrrzLfwtpCnw?e=esmwJW"/>
    <x v="1"/>
    <x v="156"/>
    <m/>
    <s v="Sent"/>
    <s v="F2024-0063"/>
    <s v="Paid 18/04/2024"/>
  </r>
  <r>
    <s v="Sony"/>
    <s v="SFR"/>
    <x v="1"/>
    <x v="1"/>
    <x v="2"/>
    <d v="2024-01-10T00:00:00"/>
    <x v="259"/>
    <x v="9"/>
    <s v="Delivered"/>
    <x v="4"/>
    <x v="0"/>
    <s v="https://saranistudio.sharepoint.com/:f:/s/SaraniAssets/EtutNhXCPKJCldhs6LqsqhYBPoDbD5nTEXYr4eYsZfatjA?e=1Lex1C"/>
    <n v="1"/>
    <n v="80"/>
    <s v="https://saranistudio-my.sharepoint.com/:b:/g/personal/team_sarani_studio/EdCDQbFdf6lDkNsaJY7V3cABz5_9-xeuy1TBRiD4sP_mPg?e=uZmfVb"/>
    <x v="0"/>
    <x v="157"/>
    <m/>
    <s v="Sent"/>
    <s v="F2024-0070"/>
    <s v="Paid 23/04/2024"/>
  </r>
  <r>
    <s v="Sony"/>
    <s v="SFR"/>
    <x v="1"/>
    <x v="1"/>
    <x v="2"/>
    <d v="2024-01-18T00:00:00"/>
    <x v="260"/>
    <x v="9"/>
    <s v="Delivered"/>
    <x v="0"/>
    <x v="0"/>
    <s v="https://saranistudio.sharepoint.com/:f:/s/SaraniAssets/EpV7IqKJPaidpBp30yaj9Lr8YBRAMDn4gShu3KO6WbD6eQrA?e=JLaWMF"/>
    <n v="1"/>
    <n v="35"/>
    <s v="https://saranistudio-my.sharepoint.com/:b:/g/personal/team_sarani_studio/EbjxyBzHVXJAsLL_TLov45wBkfjRbUcohJtDy1SAtsD4tA?e=WMQYMr"/>
    <x v="0"/>
    <x v="157"/>
    <m/>
    <s v="Sent"/>
    <s v="F2024-0070"/>
    <s v="Paid 23/04/2024"/>
  </r>
  <r>
    <s v="Sony"/>
    <s v="SFR"/>
    <x v="1"/>
    <x v="1"/>
    <x v="2"/>
    <d v="2024-01-24T00:00:00"/>
    <x v="261"/>
    <x v="9"/>
    <s v="Delivered"/>
    <x v="4"/>
    <x v="0"/>
    <s v="https://saranistudio.sharepoint.com/:f:/s/SaraniAssets/ErZ5jFn0L2BHmr7djpMSHzcBbcPO5eLs-sYL-77RZ9iIiQ?e=d4PVJG"/>
    <n v="1"/>
    <n v="120"/>
    <s v="https://saranistudio-my.sharepoint.com/:b:/g/personal/team_sarani_studio/EX87DKt-y25Dg1vKHaMyQm4BivtgvNn1jwpq90BxHhGWRg?e=DolkpH"/>
    <x v="0"/>
    <x v="157"/>
    <m/>
    <s v="Sent"/>
    <s v="F2024-0070"/>
    <s v="Paid 23/04/2024"/>
  </r>
  <r>
    <s v="Sony "/>
    <s v="SFR"/>
    <x v="1"/>
    <x v="0"/>
    <x v="0"/>
    <d v="2023-11-20T00:00:00"/>
    <x v="262"/>
    <x v="4"/>
    <s v="Delivered"/>
    <x v="5"/>
    <x v="0"/>
    <s v="https://saranistudio.sharepoint.com/:f:/s/SaraniAssets/EtY9hpKd1PlIhHe2wixiXsMBSDqRMLLEeq1QqO4tJfzyUw?e=UhMRMw"/>
    <n v="4"/>
    <n v="140"/>
    <s v="https://saranistudio.sharepoint.com/:b:/s/SaraniAssets/EYhTk4vogA9NjMuidPFnXwsBV7n7ZOheWcqSwkuKNwjnXA?e=sxESJQ"/>
    <x v="0"/>
    <x v="158"/>
    <m/>
    <s v="Sent"/>
    <s v="F2024-0071"/>
    <s v="Paid 23/04/2024"/>
  </r>
  <r>
    <s v="Sony "/>
    <s v="SFR"/>
    <x v="1"/>
    <x v="0"/>
    <x v="1"/>
    <d v="2023-12-20T00:00:00"/>
    <x v="263"/>
    <x v="4"/>
    <s v="Delivered"/>
    <x v="5"/>
    <x v="0"/>
    <s v="https://saranistudio.sharepoint.com/:f:/s/SaraniAssets/Ek27zj4qBm1OpALPmdV8m38BfsLo2q6fO1PkRunoBVhSsw?e=RJLXDM"/>
    <n v="11"/>
    <n v="880"/>
    <s v="https://saranistudio-my.sharepoint.com/:b:/g/personal/team_sarani_studio/ETzSIRCRJW1Bqc32G7ia2gQBEf6EOS8HPei035mZFe3YgA?e=WfX3CW"/>
    <x v="0"/>
    <x v="158"/>
    <m/>
    <s v="Sent"/>
    <s v="F2024-0071"/>
    <s v="Paid 23/04/2024"/>
  </r>
  <r>
    <s v="Sony"/>
    <s v="SFR"/>
    <x v="1"/>
    <x v="1"/>
    <x v="2"/>
    <d v="2024-01-05T00:00:00"/>
    <x v="264"/>
    <x v="4"/>
    <s v="Delivered"/>
    <x v="5"/>
    <x v="0"/>
    <s v="https://saranistudio.sharepoint.com/:f:/s/SaraniAssets/EgRVJ7M8DotDrEnyTLJ5S80BXA2hLOZ6s3Itax5zhMPyxQ?e=zgCO0J"/>
    <n v="7"/>
    <n v="475"/>
    <s v="https://saranistudio-my.sharepoint.com/:b:/g/personal/team_sarani_studio/ERes_rMDhzRAsn3xxoeeTOsBne02ZAkta6EEDt4MkFwX_A?e=0UyfLe"/>
    <x v="0"/>
    <x v="158"/>
    <m/>
    <s v="Sent"/>
    <s v="F2024-0071"/>
    <s v="Paid 23/04/2024"/>
  </r>
  <r>
    <s v="Sony"/>
    <s v="SFR"/>
    <x v="1"/>
    <x v="3"/>
    <x v="10"/>
    <d v="2023-09-20T00:00:00"/>
    <x v="265"/>
    <x v="14"/>
    <s v="Delivered"/>
    <x v="3"/>
    <x v="1"/>
    <s v="https://saranistudio.sharepoint.com/:f:/s/SaraniAssets/El0tdjxRYl1PiNJ3B0pRzoYBn0SSC79WMKmOImstNA0BgQ?e=4oAbIs"/>
    <n v="3"/>
    <n v="195"/>
    <s v="https://saranistudio-my.sharepoint.com/:b:/g/personal/team_sarani_studio/ETDM6t_HJ_1HsXNYmIZd5kIBMcuspqcflWKLRySWxbVi6Q?e=9ApFzX"/>
    <x v="0"/>
    <x v="79"/>
    <s v="Octobre"/>
    <s v="Sent"/>
    <s v="F2024-0072"/>
    <s v="Paid 23/04/2024"/>
  </r>
  <r>
    <s v="Sony "/>
    <s v="SFR"/>
    <x v="1"/>
    <x v="1"/>
    <x v="2"/>
    <d v="2024-01-15T00:00:00"/>
    <x v="266"/>
    <x v="15"/>
    <s v="Delivered"/>
    <x v="2"/>
    <x v="1"/>
    <s v="https://saranistudio.sharepoint.com/:f:/s/SaraniAssets/Eq-G0OXt7vlHmHi81zgLafwBcYQj-fDcP68S1bRRJECbdQ?e=jCQYCn"/>
    <n v="14"/>
    <n v="915"/>
    <m/>
    <x v="0"/>
    <x v="159"/>
    <s v="Mars"/>
    <s v="Sent"/>
    <s v="F2024-0074"/>
    <s v="Paid 23/04/2024"/>
  </r>
  <r>
    <s v="Sony "/>
    <s v="SFR"/>
    <x v="1"/>
    <x v="1"/>
    <x v="3"/>
    <d v="2024-02-09T00:00:00"/>
    <x v="267"/>
    <x v="15"/>
    <s v="Delivered"/>
    <x v="2"/>
    <x v="1"/>
    <s v="https://saranistudio.sharepoint.com/:f:/s/SaraniAssets/EtUnX_f3m65Pl1ZbIR2LtFcBdyH_pFE4j6bsj_lvVjHrzQ?e=6ao9MM"/>
    <n v="1"/>
    <n v="80"/>
    <m/>
    <x v="0"/>
    <x v="159"/>
    <s v="Mars"/>
    <s v="Sent"/>
    <s v="F2024-0074"/>
    <s v="Paid 23/04/2024"/>
  </r>
  <r>
    <s v="Sony "/>
    <s v="SFR"/>
    <x v="1"/>
    <x v="0"/>
    <x v="0"/>
    <d v="2023-11-09T00:00:00"/>
    <x v="268"/>
    <x v="14"/>
    <s v="Delivered"/>
    <x v="5"/>
    <x v="1"/>
    <s v="https://saranistudio.sharepoint.com/:f:/s/SaraniAssets/EgbQPIwF3-5Pi58HT8VqEbkBfP1ST72E3-9Hyt873aiHqQ?e=uM3Ihz"/>
    <n v="3"/>
    <n v="105"/>
    <s v="https://saranistudio-my.sharepoint.com/:b:/g/personal/team_sarani_studio/EQjg1lHmlxhHs0kHjFiCVe8BDUXL4V2QcCQj4DTqo9g6gw?e=2WE5Cy"/>
    <x v="0"/>
    <x v="148"/>
    <s v="Mars"/>
    <s v="Sent"/>
    <s v="F2024-0075"/>
    <s v="Paid 23/04/2024"/>
  </r>
  <r>
    <s v="Sony"/>
    <s v="SFR"/>
    <x v="1"/>
    <x v="1"/>
    <x v="2"/>
    <d v="2024-01-10T00:00:00"/>
    <x v="269"/>
    <x v="4"/>
    <s v="Delivered"/>
    <x v="5"/>
    <x v="0"/>
    <s v="https://saranistudio.sharepoint.com/:f:/s/SaraniAssets/Eh9zdDtWGndKrlPGFS3NGgwBUsDHATT-cV1iOIGosz1mKg?e=ejvqoO"/>
    <n v="2"/>
    <n v="155"/>
    <s v="https://saranistudio-my.sharepoint.com/:b:/g/personal/team_sarani_studio/Ef8aTcR_ghpFnQocEBadxRABqQxNJOWQYJOMmcfU7VEEdA?e=q8KVfx"/>
    <x v="0"/>
    <x v="160"/>
    <m/>
    <s v="Sent"/>
    <s v="F2024-0076"/>
    <s v="Paid 23/04/2024"/>
  </r>
  <r>
    <s v="Sony "/>
    <s v="SFR"/>
    <x v="1"/>
    <x v="1"/>
    <x v="2"/>
    <d v="2024-01-26T00:00:00"/>
    <x v="270"/>
    <x v="4"/>
    <s v="Delivered"/>
    <x v="5"/>
    <x v="0"/>
    <s v="https://saranistudio.sharepoint.com/:f:/s/SaraniAssets/EkODzffymf9Kt6B5DtEBckcBM8ydTJ3TRvQBCSNNMQt7Cw?e=pe1Ggi"/>
    <n v="8"/>
    <n v="375"/>
    <s v="https://saranistudio-my.sharepoint.com/:b:/g/personal/team_sarani_studio/EbU41EfhIntDjWhxgBwHD_QBCPDVQzHVuG_03S-4u_pTYQ?e=eX6W0e"/>
    <x v="0"/>
    <x v="160"/>
    <m/>
    <s v="Sent"/>
    <s v="F2024-0076"/>
    <s v="Paid 23/04/2024"/>
  </r>
  <r>
    <s v="Sony "/>
    <s v="SFR"/>
    <x v="1"/>
    <x v="1"/>
    <x v="2"/>
    <d v="2024-01-29T00:00:00"/>
    <x v="271"/>
    <x v="4"/>
    <s v="Delivered"/>
    <x v="5"/>
    <x v="0"/>
    <s v="https://saranistudio.sharepoint.com/:f:/s/SaraniAssets/Eq7JgiFincpCoJ-EemhtEpcBeXJqw_XkqE5yCW0mCe1CCQ?e=e4uqMY"/>
    <n v="6"/>
    <n v="210"/>
    <s v="https://saranistudio-my.sharepoint.com/:b:/g/personal/team_sarani_studio/ETqL8Buv7MBNnb2mKaHtYr8BDSsqjZRB17eVtEDGZTuUDQ?e=b9FMIm"/>
    <x v="0"/>
    <x v="160"/>
    <m/>
    <s v="Sent"/>
    <s v="F2024-0076"/>
    <s v="Paid 23/04/2024"/>
  </r>
  <r>
    <s v="Sony "/>
    <s v="SFR"/>
    <x v="1"/>
    <x v="1"/>
    <x v="2"/>
    <d v="2024-01-30T00:00:00"/>
    <x v="272"/>
    <x v="4"/>
    <s v="Delivered"/>
    <x v="5"/>
    <x v="0"/>
    <s v="https://saranistudio.sharepoint.com/:f:/s/SaraniAssets/ErZe77Ka1O1Erlh-LHqZRTMBUJA02CgCwIwj3UL2N5zu8g?e=OFWYeZ"/>
    <n v="11"/>
    <n v="470"/>
    <s v="https://saranistudio-my.sharepoint.com/:b:/g/personal/team_sarani_studio/Ec-0ZXlnKttCkbZZIkpP-_0BAz5nyFkld9AQE1vOjDwLQQ?e=yzPY9e"/>
    <x v="0"/>
    <x v="160"/>
    <m/>
    <s v="Sent"/>
    <s v="F2024-0076"/>
    <s v="Paid 23/04/2024"/>
  </r>
  <r>
    <s v="Sony"/>
    <s v="SFR"/>
    <x v="1"/>
    <x v="1"/>
    <x v="2"/>
    <d v="2024-01-05T00:00:00"/>
    <x v="273"/>
    <x v="9"/>
    <s v="Delivered"/>
    <x v="3"/>
    <x v="0"/>
    <s v="https://saranistudio.sharepoint.com/:f:/s/SaraniAssets/EiJQZuPEG3tMs2HSdv2Vbh4BW79bFpZJqQuoF6y5iyOzeA?e=CypeEo"/>
    <n v="1"/>
    <n v="180"/>
    <s v="https://saranistudio-my.sharepoint.com/:b:/g/personal/team_sarani_studio/EdN9NfHNNXRFvbUlkJYua6sBUuHIbe__K89JlsVdMeeW-Q?e=cS03Pa"/>
    <x v="0"/>
    <x v="161"/>
    <m/>
    <s v="Sent"/>
    <s v="F2024-0086"/>
    <s v="Paid 10/05/2024"/>
  </r>
  <r>
    <s v="Sony"/>
    <s v="SFR"/>
    <x v="1"/>
    <x v="1"/>
    <x v="2"/>
    <d v="2024-01-11T00:00:00"/>
    <x v="274"/>
    <x v="9"/>
    <s v="Delivered"/>
    <x v="3"/>
    <x v="0"/>
    <s v="https://saranistudio.sharepoint.com/:f:/s/SaraniAssets/EsxR39dmC3xAri8Ild6PjHYBidATZgf2xKXted8VIZFjoQ?e=G1pNPi"/>
    <n v="7"/>
    <n v="245"/>
    <s v="https://saranistudio-my.sharepoint.com/:b:/g/personal/team_sarani_studio/EV4GOVKCzhFKqyuwLWbYLFIBnjyNOAfnKriH7e5IRAbUTQ?e=XgIM2G"/>
    <x v="0"/>
    <x v="161"/>
    <m/>
    <s v="Sent"/>
    <s v="F2024-0086"/>
    <s v="Paid 10/05/2024"/>
  </r>
  <r>
    <s v="Sony "/>
    <s v="SFR"/>
    <x v="1"/>
    <x v="1"/>
    <x v="2"/>
    <d v="2024-01-05T00:00:00"/>
    <x v="275"/>
    <x v="9"/>
    <s v="Delivered"/>
    <x v="5"/>
    <x v="0"/>
    <s v="https://saranistudio.sharepoint.com/:f:/s/SaraniAssets/El6JUgriq5VLpbkwd8HuxeMB6f8siWKlbXTB7a8AoLGadg?e=41lFTW"/>
    <n v="1"/>
    <n v="135"/>
    <s v="https://saranistudio-my.sharepoint.com/:b:/g/personal/team_sarani_studio/ETBQj9rlqzpMqL8bRaQKAFABgPEAZi3rCpz7OYtrV_XYwQ?e=ohRi3A"/>
    <x v="0"/>
    <x v="162"/>
    <m/>
    <s v="Sent"/>
    <s v="F2024-0087"/>
    <s v="Paid 10/05/2024"/>
  </r>
  <r>
    <s v="Sony"/>
    <s v="SFR"/>
    <x v="1"/>
    <x v="1"/>
    <x v="2"/>
    <d v="2024-01-22T00:00:00"/>
    <x v="276"/>
    <x v="9"/>
    <s v="Delivered"/>
    <x v="5"/>
    <x v="0"/>
    <s v="https://saranistudio.sharepoint.com/:f:/s/SaraniAssets/EkLuQ-hiEUNHu3h5MKnRM3QBfEiuqVHaU1qH0Z2Uw3Erqw?e=LkWNbD"/>
    <n v="3"/>
    <n v="405"/>
    <s v="https://saranistudio-my.sharepoint.com/:b:/g/personal/team_sarani_studio/EZdP5CS08g9DrUQ2dnAhV6MBPYXvjglxKEJ4MRtgbIcRTA?e=ifTDux"/>
    <x v="0"/>
    <x v="162"/>
    <m/>
    <s v="Sent"/>
    <s v="F2024-0087"/>
    <s v="Paid 10/05/2024"/>
  </r>
  <r>
    <s v="Sony "/>
    <s v="SFR"/>
    <x v="1"/>
    <x v="1"/>
    <x v="2"/>
    <d v="2024-01-10T00:00:00"/>
    <x v="277"/>
    <x v="4"/>
    <s v="Delivered"/>
    <x v="5"/>
    <x v="0"/>
    <s v="https://saranistudio.sharepoint.com/:f:/s/SaraniAssets/Etf8n6cNrqJAkRVRDvtnTg8BFO3Dc6eXorX24klkXyYQKA?e=DAbVAB"/>
    <n v="2"/>
    <n v="500"/>
    <s v="https://saranistudio-my.sharepoint.com/:b:/g/personal/team_sarani_studio/EfCMrxGfBGNAg-bCsn5ZthEBBIhRYzfMITPZuebg7JEdWg?e=M7pOzh"/>
    <x v="1"/>
    <x v="163"/>
    <m/>
    <s v="Sent"/>
    <s v="F2024-0088"/>
    <s v="Paid 10/05/2024"/>
  </r>
  <r>
    <s v="Sony "/>
    <s v="SFR"/>
    <x v="1"/>
    <x v="3"/>
    <x v="8"/>
    <d v="2023-08-13T00:00:00"/>
    <x v="278"/>
    <x v="5"/>
    <s v="Delivered"/>
    <x v="3"/>
    <x v="1"/>
    <s v="https://saranistudio.sharepoint.com/:f:/s/SaraniAssets/EsSvNf2CmCpLoLYMmLs749cBUiV0hVkSNGQXJeSn24BJww?e=mJoRlc"/>
    <n v="1"/>
    <n v="360"/>
    <m/>
    <x v="0"/>
    <x v="76"/>
    <s v="Juillet"/>
    <s v="Sent"/>
    <s v="F2023-0421"/>
    <s v="Paid 19/01/2024"/>
  </r>
  <r>
    <s v="Sony "/>
    <s v="SFR"/>
    <x v="1"/>
    <x v="2"/>
    <x v="7"/>
    <d v="2023-06-14T00:00:00"/>
    <x v="279"/>
    <x v="5"/>
    <s v="Delivered"/>
    <x v="3"/>
    <x v="1"/>
    <s v="https://saranistudio-my.sharepoint.com/:f:/g/personal/team_sarani_studio/Egj4cX4pxGtJhLcuZRe4SgIB1aofCP5Wp59nYn874HRKqw?e=QamI4u"/>
    <n v="1"/>
    <n v="360"/>
    <m/>
    <x v="0"/>
    <x v="76"/>
    <s v="Juillet"/>
    <s v="Sent"/>
    <s v="F2023-0570"/>
    <s v="Paid 26/09/2023"/>
  </r>
  <r>
    <s v="Sony "/>
    <s v="SFR"/>
    <x v="1"/>
    <x v="3"/>
    <x v="11"/>
    <d v="2023-07-03T00:00:00"/>
    <x v="280"/>
    <x v="5"/>
    <s v="Delivered"/>
    <x v="3"/>
    <x v="1"/>
    <s v="https://saranistudio.sharepoint.com/:f:/s/SaraniAssets/EoZ04PuGIvlHkkrh7M2jUFkBNolII5PschT6ClRo9ay4iw?e=Aty2Lv"/>
    <n v="5"/>
    <n v="260"/>
    <m/>
    <x v="0"/>
    <x v="76"/>
    <s v="Juillet"/>
    <s v="Sent"/>
    <s v="F2023-0570"/>
    <s v="Paid 26/09/2023"/>
  </r>
  <r>
    <s v="Sony "/>
    <s v="SFR"/>
    <x v="1"/>
    <x v="3"/>
    <x v="11"/>
    <d v="2023-07-10T00:00:00"/>
    <x v="281"/>
    <x v="8"/>
    <s v="Delivered"/>
    <x v="3"/>
    <x v="1"/>
    <s v="https://saranistudio.sharepoint.com/:f:/s/SaraniAssets/EnGdKGI3RDlNkYa-Rt8thvMB-hjoMEf_kapNSCKqGMYx9A?e=yuE1BI"/>
    <n v="9"/>
    <n v="315"/>
    <m/>
    <x v="0"/>
    <x v="76"/>
    <s v="Juillet"/>
    <s v="Sent"/>
    <s v="F2023-0570"/>
    <s v="Paid 26/09/2023"/>
  </r>
  <r>
    <s v="Sony "/>
    <s v="SFR"/>
    <x v="1"/>
    <x v="2"/>
    <x v="7"/>
    <d v="2023-06-26T00:00:00"/>
    <x v="282"/>
    <x v="5"/>
    <s v="Delivered"/>
    <x v="0"/>
    <x v="1"/>
    <s v="https://saranistudio-my.sharepoint.com/:f:/g/personal/team_sarani_studio/EhWQhvikpjJAs9fRKuPWGgEBkfzxAmfMaaWw3wA91WzwdQ?e=0urtbw"/>
    <n v="3"/>
    <n v="120"/>
    <m/>
    <x v="0"/>
    <x v="75"/>
    <s v="Aout"/>
    <s v="Sent"/>
    <s v="F2024-0098"/>
    <s v="Paid 14/05/2024"/>
  </r>
  <r>
    <s v="Sony"/>
    <s v="SFR"/>
    <x v="0"/>
    <x v="1"/>
    <x v="3"/>
    <d v="2023-02-01T00:00:00"/>
    <x v="283"/>
    <x v="4"/>
    <s v="Delivered"/>
    <x v="5"/>
    <x v="0"/>
    <s v="https://saranistudio-my.sharepoint.com/:f:/g/personal/team_sarani_studio/EoXM_bPXFQtOqtOuolOqWAQBFcKOS1eXgcsuycPvj9witg?e=ACLkrl"/>
    <n v="6"/>
    <n v="295"/>
    <s v="https://saranistudio-my.sharepoint.com/:b:/g/personal/team_sarani_studio/EWLP_vMxED9FmUZQ_nPaidkJwBjJNjECiaaIw3yVFqt7yTpQ?e=R7ciE8"/>
    <x v="0"/>
    <x v="164"/>
    <m/>
    <s v="Sent"/>
    <s v="F2024-0100"/>
    <s v="Paid 16/05/2024"/>
  </r>
  <r>
    <s v="Sony"/>
    <s v="SFR"/>
    <x v="0"/>
    <x v="1"/>
    <x v="3"/>
    <d v="2023-02-01T00:00:00"/>
    <x v="143"/>
    <x v="4"/>
    <s v="Delivered"/>
    <x v="5"/>
    <x v="0"/>
    <s v="https://saranistudio-my.sharepoint.com/:f:/g/personal/team_sarani_studio/EhmXSE3SqJlLttJIjP3d1EwBO-MeT52KYDPXcUnZ4UeiYQ?e=EPq6RY"/>
    <n v="6"/>
    <n v="295"/>
    <s v="https://saranistudio-my.sharepoint.com/:b:/g/personal/team_sarani_studio/EeqqQcvt8QpJhIrMKvXrqeMBVFpg9cjIOvDd7UQb-ahIQg?e=Va6RIJ"/>
    <x v="0"/>
    <x v="164"/>
    <m/>
    <s v="Sent"/>
    <s v="F2024-0100"/>
    <s v="Paid 16/05/2024"/>
  </r>
  <r>
    <s v="Sony "/>
    <s v="SFR"/>
    <x v="1"/>
    <x v="3"/>
    <x v="11"/>
    <d v="2023-07-31T00:00:00"/>
    <x v="284"/>
    <x v="4"/>
    <s v="Delivered"/>
    <x v="5"/>
    <x v="0"/>
    <s v="https://saranistudio.sharepoint.com/:f:/s/SaraniAssets/Eh9pJydNgoBIiQg1xt4_hMkBIQFJfTzxzyOy2aB0HQLWbw?e=VYbLCf"/>
    <n v="5"/>
    <n v="175"/>
    <s v="https://saranistudio-my.sharepoint.com/:b:/g/personal/team_sarani_studio/EQtAEpb8-uNGq9VExKsBI9YBaNSVllvUgb21pGrriQEX5Q?e=FUjEx9"/>
    <x v="0"/>
    <x v="164"/>
    <m/>
    <s v="Sent"/>
    <s v="F2024-0100"/>
    <s v="Paid 16/05/2024"/>
  </r>
  <r>
    <s v="Sony"/>
    <s v="SFR"/>
    <x v="1"/>
    <x v="0"/>
    <x v="9"/>
    <d v="2023-10-04T00:00:00"/>
    <x v="285"/>
    <x v="4"/>
    <s v="Delivered"/>
    <x v="5"/>
    <x v="0"/>
    <s v="https://saranistudio.sharepoint.com/:f:/s/SaraniAssets/Ek4-C4S8VUhKrpgqfdB8kpsBCxBsDIcaltFTXJ6sYcDJYw?e=OiIPZw"/>
    <n v="12"/>
    <n v="450"/>
    <s v="https://saranistudio-my.sharepoint.com/:b:/g/personal/team_sarani_studio/EX44UzSazw1Gu17DKPZjbZUBtBZio3VSA1SZ-8cFZTzQDA?e=7syrWZ"/>
    <x v="0"/>
    <x v="164"/>
    <m/>
    <s v="Sent"/>
    <s v="F2024-0100"/>
    <s v="Paid 16/05/2024"/>
  </r>
  <r>
    <s v="Sony"/>
    <s v="SFR"/>
    <x v="1"/>
    <x v="0"/>
    <x v="9"/>
    <d v="2023-10-24T00:00:00"/>
    <x v="286"/>
    <x v="4"/>
    <s v="Delivered"/>
    <x v="3"/>
    <x v="0"/>
    <s v="https://saranistudio.sharepoint.com/:f:/s/SaraniAssets/EvHB7IEJC-9PrFrCASV1LP4BfkiadPCQNOE1ln0j822RvQ?e=3Wy3MQ"/>
    <n v="23"/>
    <n v="885"/>
    <s v="https://saranistudio-my.sharepoint.com/:b:/g/personal/team_sarani_studio/EV01VyI3Y7dAhLWfBjESBrEBhqKkubDYw3wWXtmonbUYiQ?e=dHJTVf"/>
    <x v="1"/>
    <x v="165"/>
    <m/>
    <s v="Sent"/>
    <s v="F2024-0101"/>
    <s v="Paid 16/05/2024"/>
  </r>
  <r>
    <s v="Sony "/>
    <s v="SFR"/>
    <x v="1"/>
    <x v="1"/>
    <x v="3"/>
    <d v="2024-02-19T00:00:00"/>
    <x v="287"/>
    <x v="4"/>
    <s v="Delivered"/>
    <x v="5"/>
    <x v="0"/>
    <s v="https://saranistudio.sharepoint.com/:f:/s/SaraniAssets/EhPjY6uekQdMmzdqL3TF_NsBhQe4Z6nlnR1_oHtKq8_I3g?e=beo9lV"/>
    <n v="9"/>
    <n v="400"/>
    <s v="https://saranistudio-my.sharepoint.com/:b:/g/personal/team_sarani_studio/EaZpPhsz-khIi9Q2h9awtQAByjEO80pn0mk7VTsrVl3wLA?e=vlgBPp"/>
    <x v="0"/>
    <x v="165"/>
    <m/>
    <s v="Sent"/>
    <s v="F2024-0101"/>
    <s v="Paid 16/05/2024"/>
  </r>
  <r>
    <s v="Sony "/>
    <s v="SFR"/>
    <x v="1"/>
    <x v="1"/>
    <x v="4"/>
    <d v="2024-03-12T00:00:00"/>
    <x v="288"/>
    <x v="4"/>
    <s v="Delivered"/>
    <x v="5"/>
    <x v="0"/>
    <s v="https://saranistudio.sharepoint.com/:f:/s/SaraniAssets/Ete30fvPW0lKo6d9Na2lVH0Bh2D62ZvlFWnGKof51TXJIw?e=d9OY4u"/>
    <n v="1"/>
    <n v="135"/>
    <s v="https://saranistudio-my.sharepoint.com/:b:/g/personal/team_sarani_studio/EVnbW8U-c6pPr-6HpUYfwdABIxKYBlDYM6siO5zqd0ySVg?e=jQGbbt"/>
    <x v="0"/>
    <x v="165"/>
    <m/>
    <s v="Sent"/>
    <s v="F2024-0101"/>
    <s v="Paid 16/05/2024"/>
  </r>
  <r>
    <s v="Sony "/>
    <s v="SFR"/>
    <x v="1"/>
    <x v="1"/>
    <x v="4"/>
    <d v="2024-03-12T00:00:00"/>
    <x v="289"/>
    <x v="4"/>
    <s v="Delivered"/>
    <x v="5"/>
    <x v="0"/>
    <s v="https://saranistudio.sharepoint.com/:f:/s/SaraniAssets/EidD6EOJ6o1AiYh94C70apUBWp_CZkPmXNeI4B_g72yjHA?e=4fANOm"/>
    <n v="3"/>
    <n v="205"/>
    <s v="https://saranistudio-my.sharepoint.com/:b:/g/personal/team_sarani_studio/EYh2nlxA0jRIvkzZKwaLVBkBwC2WgiCufNsOJreFpeCBDw?e=TGtBHx"/>
    <x v="0"/>
    <x v="165"/>
    <m/>
    <s v="Sent"/>
    <s v="F2024-0101"/>
    <s v="Paid 16/05/2024"/>
  </r>
  <r>
    <s v="Sony "/>
    <s v="SFR"/>
    <x v="1"/>
    <x v="0"/>
    <x v="0"/>
    <d v="2023-11-07T00:00:00"/>
    <x v="290"/>
    <x v="4"/>
    <s v="Delivered"/>
    <x v="5"/>
    <x v="0"/>
    <s v="https://saranistudio.sharepoint.com/:f:/s/SaraniAssets/Ep6BTvJIpBdMicDZzIPZcQ4BXiNwHP2JKzUuVj6rtc0Ndw?e=4BGCzX"/>
    <n v="6"/>
    <n v="315"/>
    <m/>
    <x v="1"/>
    <x v="166"/>
    <m/>
    <s v="Sent"/>
    <s v="F2024-0102"/>
    <s v="Paid 16/05/2024"/>
  </r>
  <r>
    <s v="Sony "/>
    <s v="SFR"/>
    <x v="1"/>
    <x v="1"/>
    <x v="3"/>
    <d v="2024-02-26T00:00:00"/>
    <x v="291"/>
    <x v="4"/>
    <s v="Delivered"/>
    <x v="5"/>
    <x v="0"/>
    <s v="https://saranistudio.sharepoint.com/:f:/s/SaraniAssets/EtD9d435buZPqGStzUlhn4gB7mw6quD1f2mrOG2st2Y4UA?e=Sfpy0W"/>
    <n v="11"/>
    <n v="480"/>
    <s v="https://saranistudio-my.sharepoint.com/:w:/g/personal/team_sarani_studio/EViYUu2CsrZHtqedL405SNEBnqjK6iAkEbRC41bxUM80xQ?e=K4bGXt"/>
    <x v="0"/>
    <x v="167"/>
    <m/>
    <s v="Sent"/>
    <s v="F2024-0102"/>
    <s v="Paid 16/05/2024"/>
  </r>
  <r>
    <s v="Sony "/>
    <s v="SFR"/>
    <x v="1"/>
    <x v="1"/>
    <x v="3"/>
    <d v="2024-02-26T00:00:00"/>
    <x v="292"/>
    <x v="4"/>
    <s v="Delivered"/>
    <x v="5"/>
    <x v="0"/>
    <s v="https://saranistudio.sharepoint.com/:f:/s/SaraniAssets/El66Cihq-dVMvH2jOrsC7KIBApsPxMZxyR61yOSqzh4fmw?e=JFcjmR"/>
    <n v="7"/>
    <n v="340"/>
    <s v="https://saranistudio-my.sharepoint.com/:b:/g/personal/team_sarani_studio/EZcje6JzYbZMrR1JIMmO1zkBc_wKurN3OrJnEyU7m-rvjg?e=I5W9Tf"/>
    <x v="0"/>
    <x v="167"/>
    <m/>
    <s v="Sent"/>
    <s v="F2024-0102"/>
    <s v="Paid 16/05/2024"/>
  </r>
  <r>
    <s v="Sony"/>
    <s v="SFR"/>
    <x v="1"/>
    <x v="1"/>
    <x v="2"/>
    <d v="2024-01-09T00:00:00"/>
    <x v="293"/>
    <x v="4"/>
    <s v="Delivered"/>
    <x v="5"/>
    <x v="0"/>
    <s v="https://saranistudio.sharepoint.com/:f:/s/SaraniAssets/EhzYRDTfOztNjGqwX4LMf-kBoxj19aYGsZ5YEszS40tdpg?e=nTPaidAY"/>
    <n v="1"/>
    <n v="135"/>
    <s v="https://saranistudio-my.sharepoint.com/:b:/g/personal/team_sarani_studio/Ee3WzsdaYQhOjprjyS1UmTkBw2RuYGeD26DQ1LQzXJhjaA?e=ULrNrz"/>
    <x v="0"/>
    <x v="168"/>
    <m/>
    <s v="Sent"/>
    <s v="F2024-0122"/>
    <s v="Paid 23/05/2024"/>
  </r>
  <r>
    <s v="Sony "/>
    <s v="SFR"/>
    <x v="1"/>
    <x v="1"/>
    <x v="4"/>
    <d v="2024-03-08T00:00:00"/>
    <x v="294"/>
    <x v="11"/>
    <s v="Delivered"/>
    <x v="0"/>
    <x v="0"/>
    <s v="https://saranistudio.sharepoint.com/:f:/s/SaraniAssets/Ej3zITewMqRBr0DVoUTNgnABjXGMqVQzediGQTrB1IrqYA?e=QQu6am"/>
    <n v="1"/>
    <n v="180"/>
    <s v="https://saranistudio-my.sharepoint.com/:b:/g/personal/team_sarani_studio/EbFeck4rv9pMs0N-AtdSEzQBmlZutNt_pV45jhyp1dNTDg?e=yhgoNl"/>
    <x v="0"/>
    <x v="169"/>
    <m/>
    <s v="Sent"/>
    <s v="F2024-0123"/>
    <s v="Paid 23/05/2024"/>
  </r>
  <r>
    <s v="Sony "/>
    <s v="SFR"/>
    <x v="1"/>
    <x v="1"/>
    <x v="3"/>
    <d v="2024-02-27T00:00:00"/>
    <x v="295"/>
    <x v="11"/>
    <s v="Delivered"/>
    <x v="0"/>
    <x v="0"/>
    <s v="https://saranistudio.sharepoint.com/:f:/s/SaraniAssets/Em_b86CsQbZMrDe8YW9DG1kB7dn3_27o3JuEq73puUrOIA?e=tXn1t3"/>
    <n v="8"/>
    <n v="415"/>
    <s v="https://saranistudio-my.sharepoint.com/:b:/g/personal/team_sarani_studio/EZn5vd-mAt5NhuSlYS_fGmoBVKGtGlMmtlSdlzWEFRUh5Q?e=kPBaVh"/>
    <x v="0"/>
    <x v="170"/>
    <m/>
    <s v="Sent"/>
    <s v="F2024-0124"/>
    <s v="Paid 23/05/2024"/>
  </r>
  <r>
    <s v="Sony "/>
    <s v="SFR"/>
    <x v="1"/>
    <x v="1"/>
    <x v="4"/>
    <d v="2024-03-12T00:00:00"/>
    <x v="296"/>
    <x v="11"/>
    <s v="Delivered"/>
    <x v="0"/>
    <x v="0"/>
    <s v="https://saranistudio.sharepoint.com/:f:/s/SaraniAssets/EgUsfYtYyfFKtmHNTqQ6qgcBPtljUeIjoRBuPm5metAtJQ?e=EPRhR3"/>
    <n v="1"/>
    <n v="35"/>
    <s v="https://saranistudio-my.sharepoint.com/:b:/g/personal/team_sarani_studio/EZn5vd-mAt5NhuSlYS_fGmoBVKGtGlMmtlSdlzWEFRUh5Q?e=kPBaVh"/>
    <x v="0"/>
    <x v="170"/>
    <m/>
    <s v="Sent"/>
    <s v="F2024-0124"/>
    <s v="Paid 23/05/2024"/>
  </r>
  <r>
    <s v="Sony "/>
    <s v="SFR"/>
    <x v="1"/>
    <x v="1"/>
    <x v="4"/>
    <d v="2024-03-15T00:00:00"/>
    <x v="297"/>
    <x v="11"/>
    <s v="Delivered"/>
    <x v="5"/>
    <x v="0"/>
    <s v="https://saranistudio.sharepoint.com/:f:/s/SaraniAssets/EoDg3a131HlKu8H6WP3W-iwBpbogjRLy1k9WglAruq6aPA?e=SERajM"/>
    <n v="4"/>
    <n v="225"/>
    <s v="https://saranistudio-my.sharepoint.com/:b:/g/personal/team_sarani_studio/EZn5vd-mAt5NhuSlYS_fGmoBVKGtGlMmtlSdlzWEFRUh5Q?e=kPBaVh"/>
    <x v="0"/>
    <x v="170"/>
    <m/>
    <s v="Sent"/>
    <s v="F2024-0124"/>
    <s v="Paid 23/05/2024"/>
  </r>
  <r>
    <s v="Sony "/>
    <s v="SFR"/>
    <x v="1"/>
    <x v="0"/>
    <x v="0"/>
    <d v="2023-11-30T00:00:00"/>
    <x v="298"/>
    <x v="14"/>
    <s v="Delivered"/>
    <x v="5"/>
    <x v="1"/>
    <s v="https://saranistudio.sharepoint.com/:f:/s/SaraniAssets/EntdyUUrZ1tKp6dOiDNihfEB2ewws39CBid-QD8UiFHLdQ?e=ldUB63"/>
    <n v="1"/>
    <n v="250"/>
    <s v="https://saranistudio-my.sharepoint.com/:b:/g/personal/team_sarani_studio/EdYpitgAILVBpBaXr51kDCoB3zNGJZColWY9XIfXI3QzFQ?e=03IVjP"/>
    <x v="0"/>
    <x v="171"/>
    <m/>
    <s v="Sent"/>
    <s v="F2024-0126"/>
    <s v="Paid 23/05/2024"/>
  </r>
  <r>
    <s v="Sony "/>
    <s v="SFR"/>
    <x v="1"/>
    <x v="1"/>
    <x v="3"/>
    <d v="2024-02-19T00:00:00"/>
    <x v="299"/>
    <x v="9"/>
    <s v="Delivered"/>
    <x v="3"/>
    <x v="0"/>
    <s v="https://saranistudio.sharepoint.com/:f:/s/SaraniAssets/Ej_ZtFDNGhhEoYEWR38NaYUBYId-dXbNQROQXHhEAmib1Q?e=POiJoj"/>
    <s v="-"/>
    <n v="200"/>
    <m/>
    <x v="0"/>
    <x v="172"/>
    <m/>
    <s v="Sent"/>
    <s v="F2024-0127"/>
    <s v="Paid 23/05/2024"/>
  </r>
  <r>
    <s v="Sony "/>
    <s v="SFR"/>
    <x v="1"/>
    <x v="1"/>
    <x v="4"/>
    <d v="2024-03-12T00:00:00"/>
    <x v="300"/>
    <x v="9"/>
    <s v="Delivered"/>
    <x v="3"/>
    <x v="0"/>
    <s v="https://saranistudio.sharepoint.com/:f:/s/SaraniAssets/EvefX4xmGyNLgvpbCQZnHeoBDXe84CtjAdzzR-CW5iumig?e=si8IbE"/>
    <n v="5"/>
    <n v="175"/>
    <s v="https://saranistudio-my.sharepoint.com/:b:/g/personal/team_sarani_studio/ERv8HGyfiOZLoW2Gkd3GhwABB06TRZqLwv4Mo0jiBN4jAg?e=pJATec"/>
    <x v="0"/>
    <x v="172"/>
    <m/>
    <s v="Sent"/>
    <s v="F2024-0127"/>
    <s v="Paid 23/05/2024"/>
  </r>
  <r>
    <s v="Sony "/>
    <s v="SFR"/>
    <x v="1"/>
    <x v="1"/>
    <x v="4"/>
    <d v="2024-03-27T00:00:00"/>
    <x v="301"/>
    <x v="9"/>
    <s v="Delivered"/>
    <x v="7"/>
    <x v="0"/>
    <s v="-"/>
    <n v="2"/>
    <n v="258"/>
    <m/>
    <x v="0"/>
    <x v="173"/>
    <m/>
    <s v="Sent"/>
    <s v="F2024-0128"/>
    <s v="Paid 23/05/2024"/>
  </r>
  <r>
    <s v="Sony "/>
    <s v="SFR"/>
    <x v="1"/>
    <x v="1"/>
    <x v="3"/>
    <d v="2024-02-13T00:00:00"/>
    <x v="302"/>
    <x v="9"/>
    <s v="Delivered"/>
    <x v="5"/>
    <x v="0"/>
    <m/>
    <n v="1"/>
    <n v="120"/>
    <s v="https://saranistudio-my.sharepoint.com/:b:/g/personal/team_sarani_studio/Efem-xIJdXlMgAaV87jggl4B6C1sQiE4-wHBXte0YDwjJA?e=l3um4H"/>
    <x v="0"/>
    <x v="174"/>
    <m/>
    <s v="Sent"/>
    <s v="F2024-0129"/>
    <s v="Paid 23/05/2024"/>
  </r>
  <r>
    <s v="Sony "/>
    <s v="SFR"/>
    <x v="1"/>
    <x v="1"/>
    <x v="4"/>
    <d v="2024-03-12T00:00:00"/>
    <x v="303"/>
    <x v="9"/>
    <s v="Delivered"/>
    <x v="5"/>
    <x v="0"/>
    <m/>
    <n v="1"/>
    <n v="40"/>
    <m/>
    <x v="0"/>
    <x v="174"/>
    <m/>
    <s v="Sent"/>
    <s v="F2024-0129"/>
    <s v="Paid 23/05/2024"/>
  </r>
  <r>
    <s v="Sony "/>
    <s v="SFR"/>
    <x v="1"/>
    <x v="1"/>
    <x v="4"/>
    <d v="2024-03-27T00:00:00"/>
    <x v="304"/>
    <x v="9"/>
    <s v="Delivered"/>
    <x v="8"/>
    <x v="0"/>
    <s v="-"/>
    <n v="2"/>
    <n v="340"/>
    <m/>
    <x v="0"/>
    <x v="175"/>
    <m/>
    <s v="Sent"/>
    <s v="F2024-0130"/>
    <s v="Paid 23/05/2024"/>
  </r>
  <r>
    <s v="Sony "/>
    <s v="SFR"/>
    <x v="1"/>
    <x v="1"/>
    <x v="3"/>
    <d v="2024-02-04T00:00:00"/>
    <x v="305"/>
    <x v="6"/>
    <s v="Delivered"/>
    <x v="1"/>
    <x v="0"/>
    <m/>
    <n v="1"/>
    <n v="180"/>
    <s v="https://saranistudio-my.sharepoint.com/:b:/g/personal/team_sarani_studio/EV008j8FmwVPovsgdHIIwBEB__DTWxzb64HlCkBdSlT_NA?e=EPevmH"/>
    <x v="0"/>
    <x v="176"/>
    <m/>
    <s v="Sent"/>
    <s v="F2024-0131"/>
    <s v="Paid 23/05/2024"/>
  </r>
  <r>
    <s v="Sony "/>
    <s v="SFR"/>
    <x v="1"/>
    <x v="2"/>
    <x v="7"/>
    <d v="2023-06-28T00:00:00"/>
    <x v="306"/>
    <x v="0"/>
    <s v="Delivered"/>
    <x v="4"/>
    <x v="0"/>
    <s v="https://saranistudio-my.sharepoint.com/:f:/g/personal/team_sarani_studio/EhoNdMxI6BZBm6WwyBTGhHoBufBpJY10m8zRrqgzkG54yw?e=FLrgLB"/>
    <n v="10"/>
    <n v="660"/>
    <s v="https://saranistudio-my.sharepoint.com/:b:/g/personal/team_sarani_studio/EWZDebpX_3NLnB2kPm4prroBkIIgVsMjvlgdRG2KL6oTyA?e=k6vJEN"/>
    <x v="0"/>
    <x v="177"/>
    <m/>
    <s v="Sent"/>
    <s v="F2024-0138"/>
    <s v="Paid 29/05/2024"/>
  </r>
  <r>
    <s v="Sony "/>
    <s v="SFR"/>
    <x v="1"/>
    <x v="3"/>
    <x v="11"/>
    <d v="2023-07-12T00:00:00"/>
    <x v="307"/>
    <x v="11"/>
    <s v="Delivered"/>
    <x v="0"/>
    <x v="0"/>
    <s v="https://saranistudio.sharepoint.com/:f:/s/SaraniAssets/EuPLdBmkrSBBjYGA9yTfmOsB8gm0yfdSaY35ycXI4CHu3Q?e=ofOhdX"/>
    <n v="2"/>
    <n v="240"/>
    <s v="https://saranistudio-my.sharepoint.com/:b:/g/personal/team_sarani_studio/EUeKjGC8h31KsgrUB3dY0vYB95gQ-1NlB553h9S1x7LIgg?e=5ZOISE"/>
    <x v="0"/>
    <x v="177"/>
    <m/>
    <s v="Sent"/>
    <s v="F2024-0138"/>
    <s v="Paid 29/05/2024"/>
  </r>
  <r>
    <s v="Sony "/>
    <s v="SFR"/>
    <x v="1"/>
    <x v="2"/>
    <x v="5"/>
    <d v="2023-04-26T00:00:00"/>
    <x v="308"/>
    <x v="8"/>
    <s v="Delivered"/>
    <x v="0"/>
    <x v="1"/>
    <s v="https://saranistudio-my.sharepoint.com/:f:/g/personal/team_sarani_studio/El9e7jWbxXdMjpwPrqrY1MwBS4are5bsKjLjkvs3GxUcVA?e=WhH1kd"/>
    <n v="4"/>
    <n v="140"/>
    <d v="2023-04-27T00:00:00"/>
    <x v="0"/>
    <x v="113"/>
    <s v="Mai"/>
    <s v="Sent"/>
    <s v="F2024-0139"/>
    <s v="Waiting for payment- 28/05/2024"/>
  </r>
  <r>
    <s v="Sony "/>
    <s v="SFR"/>
    <x v="1"/>
    <x v="0"/>
    <x v="0"/>
    <d v="2022-11-17T00:00:00"/>
    <x v="309"/>
    <x v="19"/>
    <s v="Delivered"/>
    <x v="5"/>
    <x v="1"/>
    <s v="https://saranistudio-my.sharepoint.com/:f:/g/personal/team_sarani_studio/EhGvAIAk9nhJjmewxCW5higB28ZJKSWD-dA33c2u3yxD1w?e=RZ63bm"/>
    <n v="4"/>
    <n v="140"/>
    <d v="2022-12-08T00:00:00"/>
    <x v="0"/>
    <x v="86"/>
    <s v="Février"/>
    <s v="Sent"/>
    <s v="F2024-0140"/>
    <s v="Waiting for payment- 28/04/2024_x000a_Partially paid"/>
  </r>
  <r>
    <s v="Sony "/>
    <s v="SFR"/>
    <x v="1"/>
    <x v="3"/>
    <x v="11"/>
    <d v="2023-07-27T00:00:00"/>
    <x v="310"/>
    <x v="13"/>
    <s v="Delivered"/>
    <x v="5"/>
    <x v="1"/>
    <s v="https://saranistudio.sharepoint.com/:f:/s/SaraniAssets/EiknNepsLsBCrpdYsClDYf4BJ3FbQd_CWM1gJFTvYGUW-Q?e=gKgtg0"/>
    <n v="7"/>
    <n v="245"/>
    <m/>
    <x v="0"/>
    <x v="86"/>
    <s v="Février"/>
    <s v="Sent"/>
    <s v="F2024-0140"/>
    <s v="Waiting for payment- 28/04/2024_x000a_Partially paid"/>
  </r>
  <r>
    <s v="Sony "/>
    <s v="SFR"/>
    <x v="1"/>
    <x v="0"/>
    <x v="9"/>
    <d v="2023-10-31T00:00:00"/>
    <x v="311"/>
    <x v="5"/>
    <s v="Delivered"/>
    <x v="5"/>
    <x v="1"/>
    <s v="https://saranistudio.sharepoint.com/:f:/s/SaraniAssets/Epz1Uwo7qKRHsoXZRMrZaGUBic3akKIBcVEYe2sM45EsUQ?e=NhNinE"/>
    <n v="2"/>
    <n v="155"/>
    <m/>
    <x v="0"/>
    <x v="86"/>
    <s v="Février"/>
    <s v="Sent"/>
    <s v="F2024-0140"/>
    <s v="Waiting for payment- 28/04/2024_x000a_Partially paid"/>
  </r>
  <r>
    <s v="Sony "/>
    <s v="SFR"/>
    <x v="1"/>
    <x v="0"/>
    <x v="9"/>
    <d v="2023-10-06T00:00:00"/>
    <x v="312"/>
    <x v="5"/>
    <s v="Delivered"/>
    <x v="0"/>
    <x v="1"/>
    <s v="https://saranistudio.sharepoint.com/:f:/s/SaraniAssets/Eg17VuhV_ldOgMxMKJA4eQgBKKq_TkGuLdj02znvJEAwwg?e=N4C3dX"/>
    <n v="16"/>
    <n v="645"/>
    <s v="https://saranistudio-my.sharepoint.com/:b:/g/personal/team_sarani_studio/EZQlHu_e6gFBqhnPVeyWRbIBOg1X0ZDZF6p5Vm9ArPczPw?e=t4CLm9"/>
    <x v="0"/>
    <x v="86"/>
    <m/>
    <s v="Sent"/>
    <s v="F2024-0140"/>
    <s v="Waiting for payment- 28/04/2024_x000a_Partially paid"/>
  </r>
  <r>
    <s v="Sony "/>
    <s v="SFR"/>
    <x v="1"/>
    <x v="0"/>
    <x v="0"/>
    <d v="2023-11-10T00:00:00"/>
    <x v="313"/>
    <x v="14"/>
    <s v="Delivered"/>
    <x v="0"/>
    <x v="1"/>
    <s v="https://saranistudio.sharepoint.com/:f:/s/SaraniAssets/Ehlx1QHa5nVFk9jOx6_X-4wB-kQF0cgJOpv_7bM_nYb8vA?e=1ZskZ6"/>
    <n v="2"/>
    <n v="155"/>
    <s v="https://saranistudio-my.sharepoint.com/:b:/g/personal/team_sarani_studio/EWQMC3KXQUlPpa21m72--xcBYouLgypp8DYh3kMI2wZjqQ?e=0F2Fp6"/>
    <x v="0"/>
    <x v="86"/>
    <s v="Mars"/>
    <s v="Sent"/>
    <s v="F2024-0140"/>
    <s v="Waiting for payment- 28/04/2024_x000a_Partially paid"/>
  </r>
  <r>
    <s v="Sony "/>
    <s v="SFR"/>
    <x v="1"/>
    <x v="0"/>
    <x v="0"/>
    <d v="2023-11-13T00:00:00"/>
    <x v="314"/>
    <x v="14"/>
    <s v="Delivered"/>
    <x v="0"/>
    <x v="1"/>
    <s v="https://saranistudio.sharepoint.com/:f:/s/SaraniAssets/Ehlx1QHa5nVFk9jOx6_X-4wB-kQF0cgJOpv_7bM_nYb8vA?e=1ZskZ6"/>
    <n v="3"/>
    <n v="105"/>
    <s v="https://saranistudio-my.sharepoint.com/:b:/g/personal/team_sarani_studio/EUy0XoUzTxJPqpFSVMoAyTABerH6TQC_SFVKBp_qdiluWw?e=MkAH9P"/>
    <x v="0"/>
    <x v="86"/>
    <s v="Mars"/>
    <s v="Sent"/>
    <s v="F2024-0140"/>
    <s v="Waiting for payment- 28/04/2024_x000a_Partially paid"/>
  </r>
  <r>
    <s v="Sony "/>
    <s v="SFR"/>
    <x v="1"/>
    <x v="0"/>
    <x v="0"/>
    <d v="2023-11-16T00:00:00"/>
    <x v="315"/>
    <x v="14"/>
    <s v="Delivered"/>
    <x v="0"/>
    <x v="1"/>
    <m/>
    <n v="9"/>
    <n v="315"/>
    <s v="https://saranistudio-my.sharepoint.com/:b:/g/personal/team_sarani_studio/ER3sr30lpVxJh2FBCCoJ_AIBXu7YHLzSx6K-CL6YOJJyrg?e=z4k7dU"/>
    <x v="0"/>
    <x v="86"/>
    <s v="Mars"/>
    <s v="Sent"/>
    <s v="F2024-0140"/>
    <s v="Waiting for payment- 28/04/2024_x000a_Partially paid"/>
  </r>
  <r>
    <s v="Sony "/>
    <s v="SFR"/>
    <x v="1"/>
    <x v="0"/>
    <x v="1"/>
    <d v="2023-12-31T00:00:00"/>
    <x v="316"/>
    <x v="5"/>
    <s v="Delivered"/>
    <x v="0"/>
    <x v="1"/>
    <s v="https://saranistudio.sharepoint.com/:f:/s/SaraniAssets/EgPyDxfLaM5NtZ_Kfe9TRQ4Bkvs6LnolxNbRXg41QgrwyA?e=bwzV8E"/>
    <n v="2"/>
    <n v="155"/>
    <m/>
    <x v="0"/>
    <x v="86"/>
    <s v="Mars"/>
    <s v="Sent"/>
    <s v="F2024-0140"/>
    <s v="Waiting for payment- 28/04/2024_x000a_Partially paid"/>
  </r>
  <r>
    <s v="Sony"/>
    <s v="SFR"/>
    <x v="1"/>
    <x v="1"/>
    <x v="2"/>
    <d v="2024-01-03T00:00:00"/>
    <x v="317"/>
    <x v="15"/>
    <s v="Delivered"/>
    <x v="0"/>
    <x v="1"/>
    <s v="https://saranistudio.sharepoint.com/:f:/s/SaraniAssets/Eh3RpKQXfyVCvqdtfiu9dD0BLzbG-2HelOsfJzr8BWzm4w?e=2lkyhd"/>
    <n v="4"/>
    <n v="140"/>
    <s v="https://saranistudio-my.sharepoint.com/:b:/g/personal/team_sarani_studio/EW1nhZgi7ndFkHiCMESXxM4Bj4tQdqxeHmu0XUn71EwGvg?e=LOJgPA"/>
    <x v="0"/>
    <x v="86"/>
    <s v="Mars"/>
    <s v="Sent"/>
    <s v="F2024-0140"/>
    <s v="Waiting for payment- 28/04/2024_x000a_Partially paid"/>
  </r>
  <r>
    <s v="Sony "/>
    <s v="SFR"/>
    <x v="1"/>
    <x v="1"/>
    <x v="2"/>
    <d v="2024-01-18T00:00:00"/>
    <x v="318"/>
    <x v="5"/>
    <s v="Delivered"/>
    <x v="0"/>
    <x v="1"/>
    <m/>
    <n v="8"/>
    <n v="280"/>
    <m/>
    <x v="0"/>
    <x v="86"/>
    <s v="Mars"/>
    <s v="Sent"/>
    <s v="F2024-0140"/>
    <s v="Waiting for payment- 28/04/2024_x000a_Partially paid"/>
  </r>
  <r>
    <s v="Sony"/>
    <s v="SFR"/>
    <x v="1"/>
    <x v="1"/>
    <x v="2"/>
    <d v="2024-01-19T00:00:00"/>
    <x v="319"/>
    <x v="15"/>
    <s v="Delivered"/>
    <x v="0"/>
    <x v="1"/>
    <s v="https://saranistudio.sharepoint.com/:f:/s/SaraniAssets/Eu_VtA94-DNKsBWZapZiQ8MBA24HCtS1PCc4Y6Ny-bf79A?e=zi3fLa"/>
    <n v="1"/>
    <n v="40"/>
    <s v="https://saranistudio-my.sharepoint.com/:b:/g/personal/team_sarani_studio/EW_tTYaI-ThIp8Ip3HxpOLsBNOp_LGAlHHo6Hn8Gq2vArA?e=W0i8Mr"/>
    <x v="0"/>
    <x v="86"/>
    <s v="Mars"/>
    <s v="Sent"/>
    <s v="F2024-0140"/>
    <s v="Waiting for payment- 28/04/2024_x000a_Partially paid"/>
  </r>
  <r>
    <s v="Sony "/>
    <s v="SFR"/>
    <x v="1"/>
    <x v="1"/>
    <x v="2"/>
    <d v="2024-01-22T00:00:00"/>
    <x v="249"/>
    <x v="15"/>
    <s v="Delivered"/>
    <x v="0"/>
    <x v="1"/>
    <s v="https://saranistudio.sharepoint.com/:f:/s/SaraniAssets/Eq-G0OXt7vlHmHi81zgLafwBcYQj-fDcP68S1bRRJECbdQ?e=jCQYCn"/>
    <n v="2"/>
    <n v="155"/>
    <m/>
    <x v="0"/>
    <x v="86"/>
    <s v="Mars"/>
    <s v="Sent"/>
    <s v="F2024-0140"/>
    <s v="Waiting for payment- 28/04/2024_x000a_Partially paid"/>
  </r>
  <r>
    <s v="Sony "/>
    <s v="SFR"/>
    <x v="1"/>
    <x v="0"/>
    <x v="0"/>
    <d v="2023-11-24T00:00:00"/>
    <x v="320"/>
    <x v="5"/>
    <s v="Delivered"/>
    <x v="0"/>
    <x v="1"/>
    <s v="https://saranistudio.sharepoint.com/:f:/s/SaraniAssets/Ejr-QoovUvhFlKdqynue9OgBmRMS9myizreXW47oGc6XSA?e=0nFbmm"/>
    <n v="18"/>
    <n v="885"/>
    <m/>
    <x v="0"/>
    <x v="86"/>
    <s v="Février"/>
    <s v="Sent"/>
    <s v="F2024-0140"/>
    <s v="Waiting for payment- 28/04/2024_x000a_Partially paid"/>
  </r>
  <r>
    <s v="Sony "/>
    <s v="SFR"/>
    <x v="1"/>
    <x v="1"/>
    <x v="4"/>
    <d v="2024-03-27T00:00:00"/>
    <x v="321"/>
    <x v="9"/>
    <s v="Delivered"/>
    <x v="8"/>
    <x v="0"/>
    <s v="-"/>
    <n v="2"/>
    <n v="300"/>
    <m/>
    <x v="0"/>
    <x v="178"/>
    <m/>
    <s v="Sent"/>
    <s v="F2024-0144"/>
    <s v="Paid 03/06/2024"/>
  </r>
  <r>
    <s v="Sony "/>
    <s v="SFR"/>
    <x v="1"/>
    <x v="1"/>
    <x v="4"/>
    <d v="2024-03-27T00:00:00"/>
    <x v="322"/>
    <x v="9"/>
    <s v="Delivered"/>
    <x v="8"/>
    <x v="0"/>
    <s v="-"/>
    <s v="-"/>
    <n v="800"/>
    <m/>
    <x v="0"/>
    <x v="179"/>
    <m/>
    <s v="Sent"/>
    <s v="F2024-0145"/>
    <s v="Paid 03/06/2024"/>
  </r>
  <r>
    <s v="Sony "/>
    <s v="SFR"/>
    <x v="1"/>
    <x v="1"/>
    <x v="4"/>
    <d v="2024-03-12T00:00:00"/>
    <x v="323"/>
    <x v="5"/>
    <s v="Delivered"/>
    <x v="5"/>
    <x v="1"/>
    <s v="https://saranistudio.sharepoint.com/:f:/s/SaraniAssets/EnGJM3eYNIxLv_mnxjzdFOUBcX_Pv9vt4ZPvNxu-tMcMiA?e=rcAj2L"/>
    <n v="2"/>
    <n v="70"/>
    <m/>
    <x v="0"/>
    <x v="148"/>
    <s v="Mars"/>
    <s v="Sent"/>
    <s v="F2024-0146"/>
    <s v="Paid 03/06/2024"/>
  </r>
  <r>
    <s v="Sony "/>
    <s v="SFR"/>
    <x v="1"/>
    <x v="1"/>
    <x v="4"/>
    <d v="2024-03-18T00:00:00"/>
    <x v="324"/>
    <x v="5"/>
    <s v="Delivered"/>
    <x v="0"/>
    <x v="1"/>
    <s v="https://saranistudio.sharepoint.com/:f:/s/SaraniAssets/EgPyDxfLaM5NtZ_Kfe9TRQ4Bkvs6LnolxNbRXg41QgrwyA?e=bwzV8E"/>
    <n v="2"/>
    <n v="70"/>
    <m/>
    <x v="0"/>
    <x v="180"/>
    <s v="Mars"/>
    <s v="Sent"/>
    <s v="F2024-0147"/>
    <s v="Paid 03/06/2024"/>
  </r>
  <r>
    <s v="Sony "/>
    <s v="SFR"/>
    <x v="1"/>
    <x v="0"/>
    <x v="9"/>
    <d v="2023-10-30T00:00:00"/>
    <x v="325"/>
    <x v="4"/>
    <s v="Delivered"/>
    <x v="5"/>
    <x v="0"/>
    <s v="https://saranistudio.sharepoint.com/:f:/s/SaraniAssets/ElDA9gHAyABLsFiMfzvMUMUBObva9HRnR40ejDIIdDiDSw?e=DnPrDa"/>
    <n v="2"/>
    <n v="175"/>
    <m/>
    <x v="0"/>
    <x v="181"/>
    <m/>
    <s v="Sent"/>
    <s v="F2024-0148"/>
    <s v="Paid 06/06/2024"/>
  </r>
  <r>
    <s v="Sony "/>
    <s v="SFR"/>
    <x v="1"/>
    <x v="0"/>
    <x v="1"/>
    <d v="2023-12-15T00:00:00"/>
    <x v="326"/>
    <x v="4"/>
    <s v="Delivered"/>
    <x v="5"/>
    <x v="0"/>
    <s v="https://saranistudio.sharepoint.com/:f:/s/SaraniAssets/Eh3RpKQXfyVCvqdtfiu9dD0BLzbG-2HelOsfJzr8BWzm4w?e=eJP2zN"/>
    <n v="28"/>
    <n v="1535"/>
    <s v="https://saranistudio-my.sharepoint.com/:b:/g/personal/team_sarani_studio/EYIbdklDZiFJtBu9I2w79SwBkJDL3uomwnTOTsK145AbCw?e=CMgovQ"/>
    <x v="0"/>
    <x v="181"/>
    <m/>
    <s v="Sent"/>
    <s v="F2024-0148"/>
    <s v="Paid 06/06/2024"/>
  </r>
  <r>
    <s v="Sony "/>
    <s v="SFR"/>
    <x v="1"/>
    <x v="1"/>
    <x v="4"/>
    <d v="2024-03-27T00:00:00"/>
    <x v="327"/>
    <x v="4"/>
    <s v="Delivered"/>
    <x v="5"/>
    <x v="0"/>
    <s v="https://saranistudio.sharepoint.com/:f:/s/SaraniAssets/ErD3pM9DzypHgZeWLQwPE9gB31DgBp_kFyJR3kn-xoPuew?e=mRc6q7"/>
    <n v="12"/>
    <n v="510"/>
    <s v="Quote Proposal SFR - OP PORTRAIT (1).pdf"/>
    <x v="0"/>
    <x v="182"/>
    <m/>
    <s v="Sent"/>
    <s v="F2024-0164"/>
    <s v="Paid 11/06/2024"/>
  </r>
  <r>
    <s v="Sony "/>
    <s v="SFR"/>
    <x v="1"/>
    <x v="1"/>
    <x v="4"/>
    <d v="2024-03-27T00:00:00"/>
    <x v="328"/>
    <x v="4"/>
    <s v="Delivered"/>
    <x v="5"/>
    <x v="0"/>
    <s v="https://saranistudio.sharepoint.com/:f:/s/SaraniAssets/EpTa-4xmK2tMn34BravF36UBzCg7X-7JkfWV1Tli0nQtPA?e=Wx4iha"/>
    <n v="18"/>
    <n v="735"/>
    <s v="https://saranistudio-my.sharepoint.com/:b:/g/personal/team_sarani_studio/EXtQYFq5SBpHm1UXIIPt2uUBPypkdFBbb4s7j4ChI7Wqqw?e=ee5jWa"/>
    <x v="0"/>
    <x v="182"/>
    <m/>
    <s v="Sent"/>
    <s v="F2024-0164"/>
    <s v="Paid 11/06/2024"/>
  </r>
  <r>
    <s v="Sony "/>
    <s v="SFR"/>
    <x v="1"/>
    <x v="1"/>
    <x v="2"/>
    <d v="2024-01-03T00:00:00"/>
    <x v="329"/>
    <x v="15"/>
    <s v="Delivered"/>
    <x v="3"/>
    <x v="1"/>
    <s v="https://saranistudio.sharepoint.com/:f:/s/SaraniAssets/Eh5uhux84DVPk0kPaid0veA4kBNcIs_Folxc65B8tNPAIiJw?e=gbqtc5"/>
    <n v="2"/>
    <n v="155"/>
    <s v="https://saranistudio-my.sharepoint.com/:b:/g/personal/team_sarani_studio/EUnPTu7lngJDrk-Bha-IdWoB_k_4R1vM8Cf1PxvpYZPcSA?e=0oHPG6"/>
    <x v="0"/>
    <x v="183"/>
    <s v="Avril"/>
    <s v="Sent"/>
    <s v="F2024-0173"/>
    <s v="Paid 20/06/2024"/>
  </r>
  <r>
    <s v="Sony "/>
    <s v="SFR"/>
    <x v="1"/>
    <x v="1"/>
    <x v="3"/>
    <d v="2024-02-12T00:00:00"/>
    <x v="330"/>
    <x v="5"/>
    <s v="Delivered"/>
    <x v="3"/>
    <x v="1"/>
    <s v="https://saranistudio.sharepoint.com/:f:/s/SaraniAssets/EiD1r8hyOmVHqcBftZ43yPaidBQPOqC5P4SWGgKQ1TXKqYeQ?e=EVwLhY"/>
    <n v="3"/>
    <n v="190"/>
    <m/>
    <x v="0"/>
    <x v="183"/>
    <s v="Avril"/>
    <s v="Sent"/>
    <s v="F2024-0173"/>
    <s v="Paid 20/06/2024"/>
  </r>
  <r>
    <s v="Sony "/>
    <s v="SFR"/>
    <x v="1"/>
    <x v="1"/>
    <x v="4"/>
    <d v="2024-03-29T00:00:00"/>
    <x v="331"/>
    <x v="5"/>
    <s v="Delivered"/>
    <x v="3"/>
    <x v="1"/>
    <s v="https://saranistudio.sharepoint.com/:f:/s/SaraniAssets/Ej64duHJi2JPpUFCwe07IKQBPqwO7XUkKtNjpK1qL2nvnQ?e=eg7lkB"/>
    <n v="2"/>
    <n v="155"/>
    <m/>
    <x v="0"/>
    <x v="184"/>
    <s v="Avril"/>
    <s v="Sent"/>
    <s v="F2024-0173"/>
    <s v="Paid 20/06/2024"/>
  </r>
  <r>
    <s v="Sony "/>
    <s v="SFR"/>
    <x v="3"/>
    <x v="2"/>
    <x v="5"/>
    <d v="2024-04-05T00:00:00"/>
    <x v="332"/>
    <x v="5"/>
    <s v="Delivered"/>
    <x v="3"/>
    <x v="1"/>
    <s v="https://saranistudio.sharepoint.com/:f:/s/SaraniAssets/EuidLJOHgO5MmFGstSjETtQBtba8qYdtW3Lwhbon-9wT3A?e=8DK76G"/>
    <n v="2"/>
    <n v="155"/>
    <m/>
    <x v="0"/>
    <x v="183"/>
    <s v="Mai"/>
    <s v="Sent"/>
    <s v="F2024-0173"/>
    <s v="Paid 20/06/2024"/>
  </r>
  <r>
    <s v="Sony "/>
    <s v="SFR"/>
    <x v="3"/>
    <x v="1"/>
    <x v="3"/>
    <d v="2024-02-26T00:00:00"/>
    <x v="333"/>
    <x v="5"/>
    <s v="Delivered"/>
    <x v="0"/>
    <x v="1"/>
    <s v="https://saranistudio.sharepoint.com/:f:/s/SaraniAssets/EroKN3PzdltJneKt2o_XSUUB4sltXzgD2ObSFiLmGdrv1A?e=HAI7jz"/>
    <n v="2"/>
    <n v="270"/>
    <m/>
    <x v="0"/>
    <x v="185"/>
    <s v="Avril"/>
    <s v="Sent"/>
    <s v="F2024-0174"/>
    <s v="Paid 20/06/2024"/>
  </r>
  <r>
    <s v="Sony "/>
    <s v="SFR"/>
    <x v="3"/>
    <x v="1"/>
    <x v="4"/>
    <d v="2024-03-07T00:00:00"/>
    <x v="334"/>
    <x v="5"/>
    <s v="Delivered"/>
    <x v="0"/>
    <x v="1"/>
    <s v="https://saranistudio.sharepoint.com/:f:/s/SaraniAssets/EkOxO22ZnMZKvUsGA-88ASYBTLnP7ui5B_q6jwpaKNsDkw?e=BxlGvb"/>
    <n v="3"/>
    <n v="190"/>
    <m/>
    <x v="0"/>
    <x v="185"/>
    <s v="Avril"/>
    <s v="Sent"/>
    <s v="F2024-0174"/>
    <s v="Paid 20/06/2024"/>
  </r>
  <r>
    <s v="Sony "/>
    <s v="SFR"/>
    <x v="3"/>
    <x v="1"/>
    <x v="4"/>
    <d v="2024-03-25T00:00:00"/>
    <x v="335"/>
    <x v="5"/>
    <s v="Delivered"/>
    <x v="0"/>
    <x v="1"/>
    <s v="https://saranistudio.sharepoint.com/:f:/s/SaraniAssets/EkOxO22ZnMZKvUsGA-88ASYBTLnP7ui5B_q6jwpaKNsDkw?e=BxlGvb"/>
    <n v="1"/>
    <n v="35"/>
    <m/>
    <x v="0"/>
    <x v="185"/>
    <s v="Avril"/>
    <s v="Sent"/>
    <s v="F2024-0174"/>
    <s v="Paid 20/06/2024"/>
  </r>
  <r>
    <s v="Sony "/>
    <s v="SFR"/>
    <x v="3"/>
    <x v="2"/>
    <x v="5"/>
    <d v="2024-04-04T00:00:00"/>
    <x v="336"/>
    <x v="5"/>
    <s v="Delivered"/>
    <x v="0"/>
    <x v="1"/>
    <s v="https://saranistudio.sharepoint.com/:f:/s/SaraniAssets/Ev9lchSMAvhHrBi8Py5aR7YBSh0OOiH8L5qF_L7y9UdQNw?e=5ZC3Jk"/>
    <n v="2"/>
    <n v="155"/>
    <m/>
    <x v="0"/>
    <x v="186"/>
    <s v="Mai"/>
    <s v="Sent"/>
    <s v="F2024-0174"/>
    <s v="Paid 20/06/2024"/>
  </r>
  <r>
    <s v="Sony "/>
    <s v="SFR"/>
    <x v="3"/>
    <x v="2"/>
    <x v="5"/>
    <d v="2024-04-10T00:00:00"/>
    <x v="337"/>
    <x v="5"/>
    <s v="Delivered"/>
    <x v="0"/>
    <x v="1"/>
    <s v="https://saranistudio.sharepoint.com/:f:/s/SaraniAssets/EnfJ5zwlGdpCugUcAwsCwgUB2X2tuD11D7wDm8yS3J94HA?e=SXhVhe"/>
    <n v="2"/>
    <n v="155"/>
    <m/>
    <x v="0"/>
    <x v="186"/>
    <s v="Mai"/>
    <s v="Sent"/>
    <s v="F2024-0174"/>
    <s v="Paid 20/06/2024"/>
  </r>
  <r>
    <s v="Sony "/>
    <s v="SFR"/>
    <x v="3"/>
    <x v="2"/>
    <x v="5"/>
    <d v="2024-04-16T00:00:00"/>
    <x v="338"/>
    <x v="15"/>
    <s v="Delivered"/>
    <x v="0"/>
    <x v="1"/>
    <s v="https://saranistudio.sharepoint.com/:f:/s/SaraniAssets/EuUYFnqbnpxPnAaX6F-_tLIBhMLkbIZL_y2SWZ9rYTCJaA?e=NVNVDT"/>
    <n v="3"/>
    <n v="275"/>
    <m/>
    <x v="0"/>
    <x v="186"/>
    <s v="Mai"/>
    <s v="Sent"/>
    <s v="F2024-0174"/>
    <s v="Paid 20/06/2024"/>
  </r>
  <r>
    <s v="Sony "/>
    <s v="SFR"/>
    <x v="3"/>
    <x v="0"/>
    <x v="9"/>
    <d v="2023-10-02T00:00:00"/>
    <x v="339"/>
    <x v="14"/>
    <s v="Delivered"/>
    <x v="5"/>
    <x v="1"/>
    <s v="-"/>
    <s v="-"/>
    <n v="775"/>
    <s v="https://saranistudio-my.sharepoint.com/:b:/g/personal/team_sarani_studio/ER40hT-2KSBCom2GEXH7HBsB7LsVMyyIyLO3ec2XghTHMg?e=YVLZpp"/>
    <x v="2"/>
    <x v="187"/>
    <m/>
    <m/>
    <m/>
    <m/>
  </r>
  <r>
    <s v="Sony "/>
    <s v="SFR"/>
    <x v="3"/>
    <x v="0"/>
    <x v="0"/>
    <d v="2023-11-10T00:00:00"/>
    <x v="340"/>
    <x v="20"/>
    <s v="Delivered"/>
    <x v="3"/>
    <x v="0"/>
    <s v="SFR_A95L_blk_dark_sil_edge2edge_front-wo-camera"/>
    <n v="3"/>
    <n v="105"/>
    <s v="https://saranistudio.sharepoint.com/:b:/s/SaraniAssets/ERVofbQeMXVFh8plR4siuxIBM3bqJlSrIULEqZxY5zp79g?e=EBboNd"/>
    <x v="2"/>
    <x v="187"/>
    <m/>
    <m/>
    <m/>
    <m/>
  </r>
  <r>
    <s v="Sony "/>
    <s v="SFR"/>
    <x v="3"/>
    <x v="1"/>
    <x v="4"/>
    <d v="2023-03-21T00:00:00"/>
    <x v="341"/>
    <x v="5"/>
    <s v="Delivered"/>
    <x v="5"/>
    <x v="1"/>
    <s v="-"/>
    <n v="1"/>
    <n v="600"/>
    <d v="2023-03-21T00:00:00"/>
    <x v="2"/>
    <x v="187"/>
    <m/>
    <m/>
    <m/>
    <m/>
  </r>
  <r>
    <s v="Sony "/>
    <s v="SFR"/>
    <x v="3"/>
    <x v="2"/>
    <x v="5"/>
    <d v="2023-04-28T00:00:00"/>
    <x v="342"/>
    <x v="3"/>
    <s v="Delivered"/>
    <x v="3"/>
    <x v="0"/>
    <s v="https://saranistudio-my.sharepoint.com/:f:/g/personal/team_sarani_studio/Ess1vC7t3GRDlkrH39chUyABGRfHdGSAU5PEixcxFc0JLA?e=s28LEw"/>
    <n v="2"/>
    <n v="70"/>
    <s v="https://saranistudio-my.sharepoint.com/:b:/g/personal/team_sarani_studio/Ecb_Wvnzn41Jms0Ozi5wOg0BgmWnsfYuKClAV_v1-WEylg?e=UjRbbG"/>
    <x v="2"/>
    <x v="187"/>
    <m/>
    <m/>
    <m/>
    <m/>
  </r>
  <r>
    <s v="Sony "/>
    <s v="SFR"/>
    <x v="3"/>
    <x v="2"/>
    <x v="6"/>
    <d v="2023-05-25T00:00:00"/>
    <x v="343"/>
    <x v="21"/>
    <s v="Delivered"/>
    <x v="9"/>
    <x v="0"/>
    <s v="https://saranistudio-my.sharepoint.com/:f:/g/personal/team_sarani_studio/Euz2mPwjXO9ApleKiM0w1HIBWLN328saVLkmxOcKGWyUoA?e=ymSIjj"/>
    <n v="2"/>
    <n v="70"/>
    <s v="https://saranistudio-my.sharepoint.com/:b:/g/personal/team_sarani_studio/ERGLPn5MN0xFtdPl043Yr88BObvQ3p3mkyDeHLpkEmIPkA?e=iDhphm"/>
    <x v="0"/>
    <x v="188"/>
    <m/>
    <s v="Sent"/>
    <s v="F2024-0358"/>
    <s v="Waiting for payment 01/10/2024"/>
  </r>
  <r>
    <s v="Sony "/>
    <s v="SFR"/>
    <x v="3"/>
    <x v="3"/>
    <x v="10"/>
    <d v="2023-09-14T00:00:00"/>
    <x v="344"/>
    <x v="10"/>
    <s v="Delivered"/>
    <x v="5"/>
    <x v="0"/>
    <s v="https://saranistudio.sharepoint.com/:f:/s/SaraniAssets/EoDd5iSaHp1BmhGEHbw4yxQBQ4qnO6mrhQAweiEthTCCHQ?e=fIHbbK"/>
    <n v="1"/>
    <n v="180"/>
    <s v="https://saranistudio-my.sharepoint.com/:b:/g/personal/team_sarani_studio/EcPU1zDJq_5Dj5RURg-3P14BBbx6ZIb_sGUP63gWzDcIEw?e=6UUo1L"/>
    <x v="2"/>
    <x v="187"/>
    <m/>
    <m/>
    <m/>
    <m/>
  </r>
  <r>
    <s v="Sony "/>
    <s v="SFR"/>
    <x v="3"/>
    <x v="3"/>
    <x v="10"/>
    <d v="2023-09-21T00:00:00"/>
    <x v="345"/>
    <x v="10"/>
    <s v="Delivered"/>
    <x v="5"/>
    <x v="0"/>
    <s v="https://saranistudio.sharepoint.com/:f:/s/SaraniAssets/EqWakb816FJJtNEYqGsUM8wBcz_yDOHPD7-owXm-1XIyYA?e=mNfifv"/>
    <n v="1"/>
    <n v="135"/>
    <s v="https://saranistudio-my.sharepoint.com/:b:/g/personal/team_sarani_studio/EVBYG2u1lmxAjHiHP80tfoMBXMPLaRNOwUEusn0mQRpo7w?e=TXcMmn"/>
    <x v="2"/>
    <x v="187"/>
    <m/>
    <m/>
    <m/>
    <m/>
  </r>
  <r>
    <s v="Sony "/>
    <s v="SFR"/>
    <x v="3"/>
    <x v="0"/>
    <x v="9"/>
    <d v="2023-10-04T00:00:00"/>
    <x v="346"/>
    <x v="11"/>
    <s v="Delivered"/>
    <x v="0"/>
    <x v="0"/>
    <s v="https://saranistudio.sharepoint.com/:f:/s/SaraniAssets/EnvjXDVRAaRNhzW_TjYr0oUBUlaunpRrsyCD_hK7W_5EjA?e=bbhN4N"/>
    <n v="3"/>
    <n v="540"/>
    <s v="https://saranistudio-my.sharepoint.com/:b:/g/personal/team_sarani_studio/EU-YkmXnr7VLtMk8Dfl2QJEBHpvMwAiqL1lcMWbZp62jxg?e=nQeAR2"/>
    <x v="1"/>
    <x v="189"/>
    <m/>
    <s v="Sent"/>
    <s v="F2024-0193"/>
    <s v="Paid 25/06/2024"/>
  </r>
  <r>
    <s v="Sony "/>
    <s v="SFR"/>
    <x v="3"/>
    <x v="0"/>
    <x v="9"/>
    <d v="2023-10-05T00:00:00"/>
    <x v="347"/>
    <x v="2"/>
    <s v="Delivered"/>
    <x v="5"/>
    <x v="0"/>
    <s v="https://saranistudio.sharepoint.com/:f:/s/SaraniAssets/EqS68Cj1mPZPlirOsctem94Bc-DHT1369DGaGUUHq8BuTQ?e=3PVG8S"/>
    <n v="3"/>
    <n v="465"/>
    <s v="https://saranistudio-my.sharepoint.com/:b:/g/personal/team_sarani_studio/ETKC76CSHshFnZCpLK3mTPaidByoWGbBT-S5xsjxmPdosVPw?e=QRa261"/>
    <x v="2"/>
    <x v="187"/>
    <m/>
    <m/>
    <m/>
    <m/>
  </r>
  <r>
    <s v="Sony "/>
    <s v="SFR"/>
    <x v="3"/>
    <x v="1"/>
    <x v="2"/>
    <d v="2024-01-11T00:00:00"/>
    <x v="348"/>
    <x v="15"/>
    <s v="Delivered"/>
    <x v="5"/>
    <x v="1"/>
    <s v="-"/>
    <n v="1"/>
    <n v="600"/>
    <s v="https://saranistudio-my.sharepoint.com/:b:/g/personal/team_sarani_studio/Ee_ooEDaB_RIkac2trISsL4BG9aXj3lAyjJjbAh-3b0_yw?e=3tCHn6"/>
    <x v="0"/>
    <x v="190"/>
    <m/>
    <s v="Sent"/>
    <s v="F2024-0242"/>
    <s v="Paid 25/07/2024"/>
  </r>
  <r>
    <s v="Sony "/>
    <s v="SFR"/>
    <x v="3"/>
    <x v="1"/>
    <x v="3"/>
    <d v="2024-02-19T00:00:00"/>
    <x v="349"/>
    <x v="6"/>
    <s v="Delivered"/>
    <x v="5"/>
    <x v="0"/>
    <s v="https://saranistudio.sharepoint.com/:f:/s/SaraniAssets/EtzysycQ4ElEoNBaSZzHP78Baz7U9-q1UmnrfNCmzZMBdA?e=a98GFr"/>
    <n v="2"/>
    <n v="175"/>
    <s v="https://saranistudio-my.sharepoint.com/:b:/g/personal/team_sarani_studio/ER_gzF7UJI1Ml3mVa7HZYhsBSDrt21ZJ_kw70iUvGqBKYg?e=kd0paC"/>
    <x v="2"/>
    <x v="187"/>
    <m/>
    <m/>
    <m/>
    <m/>
  </r>
  <r>
    <s v="Sony "/>
    <s v="SFR"/>
    <x v="3"/>
    <x v="1"/>
    <x v="4"/>
    <d v="2024-03-20T00:00:00"/>
    <x v="350"/>
    <x v="9"/>
    <s v="Delivered"/>
    <x v="7"/>
    <x v="0"/>
    <s v="https://saranistudio.sharepoint.com/:f:/s/SaraniAssets/EiPTo3VGgbZCr0vKNwLlJfYBiYadxjrKfVky87psbmoJYg?e=fPhMwe"/>
    <n v="15"/>
    <n v="915"/>
    <s v="https://saranistudio-my.sharepoint.com/:b:/g/personal/team_sarani_studio/EWqr-ubejwJEqVb-KmpBUt0BmLMGHUcbD6pk8InxE7bsrg?e=gDqRdY"/>
    <x v="0"/>
    <x v="191"/>
    <m/>
    <s v="Sent"/>
    <s v="F2024-0245"/>
    <s v="Paid 25/07/2024"/>
  </r>
  <r>
    <s v="Sony "/>
    <s v="SFR"/>
    <x v="3"/>
    <x v="1"/>
    <x v="4"/>
    <d v="2024-03-27T00:00:00"/>
    <x v="351"/>
    <x v="21"/>
    <s v="Delivered"/>
    <x v="10"/>
    <x v="0"/>
    <s v="https://saranistudio.sharepoint.com/:f:/s/SaraniAssets/EsF2yLFxol9HrOUjIA3buBoB1JW9KOPVkoTEFmx1UznSMg?e=86ztCi"/>
    <n v="1"/>
    <n v="135"/>
    <s v="https://saranistudio-my.sharepoint.com/:b:/g/personal/team_sarani_studio/EczO1otJpg9PvQ4M-uHZQ4UBse8EV0x_D94_J9agF4J-RA?e=aHRUzJ"/>
    <x v="2"/>
    <x v="187"/>
    <m/>
    <m/>
    <m/>
    <m/>
  </r>
  <r>
    <s v="Sony "/>
    <s v="SFR"/>
    <x v="3"/>
    <x v="2"/>
    <x v="5"/>
    <d v="2024-04-03T00:00:00"/>
    <x v="352"/>
    <x v="5"/>
    <s v="Delivered"/>
    <x v="5"/>
    <x v="1"/>
    <s v="https://saranistudio.sharepoint.com/:f:/s/SaraniAssets/EtZJKV3QQ1dFihGdGGlypzYBa2fM9OTDQjsX_Rt3tdBHwA?e=gmFcxS"/>
    <n v="2"/>
    <n v="70"/>
    <m/>
    <x v="0"/>
    <x v="192"/>
    <s v="Mai"/>
    <s v="Sent"/>
    <s v="F2024-0194"/>
    <s v="Paid 25/06/2024"/>
  </r>
  <r>
    <s v="Sony "/>
    <s v="SFR"/>
    <x v="3"/>
    <x v="1"/>
    <x v="4"/>
    <d v="2024-03-28T00:00:00"/>
    <x v="353"/>
    <x v="4"/>
    <s v="Delivered"/>
    <x v="5"/>
    <x v="0"/>
    <s v="https://saranistudio.sharepoint.com/:f:/s/SaraniAssets/EjPYi239xCVElSfC8e_a1hgBWTV1fenDMap0fMgCDoVO4Q?e=8Hivxx"/>
    <n v="36"/>
    <n v="1960"/>
    <s v="https://saranistudio-my.sharepoint.com/:b:/g/personal/team_sarani_studio/ER2HIz_jA4pLsBsC7bbQLv0BB0C1lpGGGL08mcZiHYPEUA?e=UWx2kv"/>
    <x v="0"/>
    <x v="193"/>
    <m/>
    <s v="Sent"/>
    <s v="F2024-0246"/>
    <s v="Paid 25/07/2024"/>
  </r>
  <r>
    <s v="Sony "/>
    <s v="SFR"/>
    <x v="3"/>
    <x v="2"/>
    <x v="5"/>
    <d v="2024-04-02T00:00:00"/>
    <x v="354"/>
    <x v="11"/>
    <s v="Delivered"/>
    <x v="3"/>
    <x v="0"/>
    <s v="https://saranistudio.sharepoint.com/:f:/s/SaraniAssets/EgTJGvwB-w5GoVYe_Vc43QMBkxbEU7jSpo70QXgNcHfW4w?e=LPrkdp"/>
    <n v="1"/>
    <n v="135"/>
    <s v="https://saranistudio-my.sharepoint.com/:b:/g/personal/team_sarani_studio/ERTYPxQ-i5hLlHk58FqffiwByQrbJuglizmRgboW81i5SA?e=VU0oPO"/>
    <x v="0"/>
    <x v="194"/>
    <m/>
    <s v="Sent"/>
    <s v="F2024-0192"/>
    <s v="Paid 25/06/2024"/>
  </r>
  <r>
    <s v="Sony "/>
    <s v="SFR"/>
    <x v="3"/>
    <x v="2"/>
    <x v="5"/>
    <d v="2024-04-02T00:00:00"/>
    <x v="355"/>
    <x v="9"/>
    <s v="Delivered"/>
    <x v="8"/>
    <x v="0"/>
    <s v="https://saranistudio.sharepoint.com/:f:/s/SaraniAssets/EkEo9YAM-k9JpDcOOMsj0N4BqQdCqnwFRq5dHhyaS8vZ_Q?e=mphunD"/>
    <n v="10"/>
    <n v="435"/>
    <s v="https://saranistudio-my.sharepoint.com/:b:/g/personal/team_sarani_studio/EcNg0PVBgclJnIPNkfFfjf4BscH7A2QCOLIzzB-BKDKq6Q?e=Wza2p6"/>
    <x v="2"/>
    <x v="187"/>
    <m/>
    <m/>
    <m/>
    <m/>
  </r>
  <r>
    <s v="Sony "/>
    <s v="SFR"/>
    <x v="3"/>
    <x v="2"/>
    <x v="5"/>
    <d v="2024-04-02T00:00:00"/>
    <x v="356"/>
    <x v="11"/>
    <s v="Delivered"/>
    <x v="0"/>
    <x v="0"/>
    <s v="https://saranistudio.sharepoint.com/:f:/s/SaraniAssets/EqaBBpqgAtBBrNMsexISB40BBiVSOjhWsdoJj16cwPESyw?e=RxOJ4e"/>
    <n v="3"/>
    <n v="215"/>
    <s v="https://saranistudio-my.sharepoint.com/:b:/g/personal/team_sarani_studio/ESniVIKuekhAsCfV_bE05bgBPtC-hmdUWyc8nHq98mv-9Q?e=YhOCas"/>
    <x v="0"/>
    <x v="195"/>
    <m/>
    <s v="Sent"/>
    <s v="F2024-0227"/>
    <s v="Paid 22/07/2024"/>
  </r>
  <r>
    <s v="Sony "/>
    <s v="SFR"/>
    <x v="3"/>
    <x v="2"/>
    <x v="5"/>
    <d v="2024-04-02T00:00:00"/>
    <x v="357"/>
    <x v="9"/>
    <s v="Delivered"/>
    <x v="7"/>
    <x v="0"/>
    <s v="https://saranistudio.sharepoint.com/:f:/s/SaraniAssets/EpI4LuUcEvdChCCBrbH1XssBpxyzTJ27kIt1ZaA8q9RVmQ?e=NejfAw"/>
    <n v="15"/>
    <n v="730"/>
    <s v="https://saranistudio-my.sharepoint.com/:b:/g/personal/team_sarani_studio/EeHMOyBi1ShItBC6U5Ga9BgBC2Z2vWUuDrmUCx881IHxoQ?e=q2xPl3"/>
    <x v="0"/>
    <x v="188"/>
    <m/>
    <s v="Sent"/>
    <s v="F2024-0358"/>
    <s v="Waiting for payment 01/10/2024"/>
  </r>
  <r>
    <s v="Sony "/>
    <s v="SFR"/>
    <x v="3"/>
    <x v="2"/>
    <x v="5"/>
    <d v="2024-04-02T00:00:00"/>
    <x v="358"/>
    <x v="9"/>
    <s v="Delivered"/>
    <x v="7"/>
    <x v="0"/>
    <s v="https://saranistudio.sharepoint.com/:f:/s/SaraniAssets/EvuMeO0kwwZAljOqQ0epLuEBFkZmVVXbvIRZ8wXd6QI9Ew?e=qea1BK"/>
    <n v="105"/>
    <n v="3800"/>
    <m/>
    <x v="0"/>
    <x v="196"/>
    <m/>
    <s v="Sent"/>
    <s v="F2024-0273"/>
    <s v="Paid  06/08/2024"/>
  </r>
  <r>
    <s v="Sony "/>
    <s v="SFR"/>
    <x v="3"/>
    <x v="1"/>
    <x v="4"/>
    <d v="2024-03-29T00:00:00"/>
    <x v="359"/>
    <x v="11"/>
    <s v="Delivered"/>
    <x v="5"/>
    <x v="0"/>
    <s v="https://saranistudio.sharepoint.com/:f:/s/SaraniAssets/Er2_Ky9NC99Lr6MRmq2vET8B_HcuLHvumKeWQtwBHvrXvA?e=tJ7dXA"/>
    <n v="3"/>
    <n v="240"/>
    <s v="https://saranistudio-my.sharepoint.com/:b:/g/personal/team_sarani_studio/EY8Pj_CKLTlNhA9j7C08MrEBr1DM6HIDuph7tqC4ySDNkA?e=5Pr93v"/>
    <x v="0"/>
    <x v="197"/>
    <m/>
    <s v="Sent"/>
    <s v="F2024-0191"/>
    <s v="Paid 25/06/2024"/>
  </r>
  <r>
    <s v="Sony "/>
    <s v="SFR"/>
    <x v="3"/>
    <x v="1"/>
    <x v="4"/>
    <d v="2024-03-27T00:00:00"/>
    <x v="360"/>
    <x v="11"/>
    <s v="Delivered"/>
    <x v="0"/>
    <x v="0"/>
    <s v="https://saranistudio.sharepoint.com/:f:/s/SaraniAssets/EqihqzuXCWdMk7ZkEKZCEHkBQZmNBjqgExq2Oq1oempz6g?e=n1wMti"/>
    <n v="4"/>
    <n v="255"/>
    <s v="https://saranistudio-my.sharepoint.com/:b:/g/personal/team_sarani_studio/ERq-7c8FuVpOv_SxtzOIaiUBVnuCxOacqjfVWDSMn6beJA?e=hhnoAX"/>
    <x v="0"/>
    <x v="198"/>
    <m/>
    <s v="Sent"/>
    <s v="F2024-0190"/>
    <s v="Paid 25/06/2024"/>
  </r>
  <r>
    <s v="Sony "/>
    <s v="SFR"/>
    <x v="3"/>
    <x v="2"/>
    <x v="5"/>
    <d v="2024-04-04T00:00:00"/>
    <x v="361"/>
    <x v="9"/>
    <s v="Delivered"/>
    <x v="7"/>
    <x v="0"/>
    <s v="https://saranistudio.sharepoint.com/:f:/s/SaraniAssets/EmSEmaLzzZ9No0benJZjBGIBnxOlbpl1CcNy1p5Oip8PeA?e=H4b13G"/>
    <n v="2"/>
    <n v="175"/>
    <s v="https://saranistudio-my.sharepoint.com/:b:/g/personal/team_sarani_studio/EUmowgVpIZRIllct1yJVE8cBkxVQAIuIo4sLITmtGPqy9g?e=qwxlkV"/>
    <x v="0"/>
    <x v="199"/>
    <m/>
    <s v="Sent"/>
    <s v="F2024-0245"/>
    <s v="Paid 25/07/2024"/>
  </r>
  <r>
    <s v="Sony "/>
    <s v="SFR"/>
    <x v="3"/>
    <x v="2"/>
    <x v="5"/>
    <d v="2024-04-05T00:00:00"/>
    <x v="362"/>
    <x v="9"/>
    <s v="Delivered"/>
    <x v="7"/>
    <x v="0"/>
    <s v="https://saranistudio.sharepoint.com/:f:/s/SaraniAssets/EvPKShJOq9xHmm0J5jUOaLwBlMrSmWP6v_y3an7nrIknMA?e=TnL1Wi"/>
    <n v="5"/>
    <n v="175"/>
    <s v="https://saranistudio-my.sharepoint.com/:b:/g/personal/team_sarani_studio/EcmGaqomQMxHiUdFN1voEpkBnJQZhKoLOdB3yhx8_tj5Hw?e=4YCEYM"/>
    <x v="0"/>
    <x v="200"/>
    <m/>
    <s v="Sent"/>
    <s v="F2024-0272"/>
    <s v="Paid  06/08/2024"/>
  </r>
  <r>
    <s v="Sony "/>
    <s v="SFR"/>
    <x v="3"/>
    <x v="2"/>
    <x v="5"/>
    <d v="2024-04-06T00:00:00"/>
    <x v="363"/>
    <x v="11"/>
    <s v="Delivered"/>
    <x v="0"/>
    <x v="0"/>
    <s v="https://saranistudio.sharepoint.com/:f:/s/SaraniAssets/EtsV8PoN70NFl0M7kPyWV6kBtKJmEaon9gelwAx4plPWng?e=Sd6NYJ"/>
    <n v="4"/>
    <n v="1000"/>
    <s v="https://saranistudio-my.sharepoint.com/:b:/g/personal/team_sarani_studio/EUZO-qDz_0VChKZtzPqVJqwBAPK1MGZNM08vHAvRsWrrdw?e=PpaKcR"/>
    <x v="0"/>
    <x v="201"/>
    <m/>
    <s v="Sent"/>
    <s v="F2024-0223"/>
    <s v="Paid 22/07/2024"/>
  </r>
  <r>
    <s v="Sony "/>
    <s v="SFR"/>
    <x v="3"/>
    <x v="2"/>
    <x v="5"/>
    <d v="2024-04-11T00:00:00"/>
    <x v="364"/>
    <x v="11"/>
    <s v="Delivered"/>
    <x v="0"/>
    <x v="0"/>
    <s v="https://saranistudio.sharepoint.com/:f:/s/SaraniAssets/EgNwwxmfRAZNuwSYI9uqy1gBePbcdPUY2EbSYUPNpHFu-Q?e=uzUIny"/>
    <n v="12"/>
    <n v="510"/>
    <s v="https://saranistudio-my.sharepoint.com/:b:/g/personal/team_sarani_studio/ET7rnwjZqRRFt4x6vAlcgT0BNATx7bOE0k63FKOLrgHnpA?e=zTF3LY"/>
    <x v="0"/>
    <x v="202"/>
    <m/>
    <s v="Sent"/>
    <s v="F2024-0225"/>
    <s v="Paid 22/07/2024"/>
  </r>
  <r>
    <s v="Sony "/>
    <s v="SFR"/>
    <x v="3"/>
    <x v="2"/>
    <x v="5"/>
    <d v="2024-04-12T00:00:00"/>
    <x v="365"/>
    <x v="9"/>
    <s v="Delivered"/>
    <x v="7"/>
    <x v="0"/>
    <s v="https://saranistudio.sharepoint.com/:f:/s/SaraniAssets/EqTx-n82px9LrFfhqbsvbCIBpEmjZILUVQ4dB6SveYD_Pg?e=fGqG8X"/>
    <n v="2"/>
    <n v="285"/>
    <s v="https://saranistudio-my.sharepoint.com/:b:/g/personal/team_sarani_studio/EaH36wJeO1BNohmyw-zJiEcBkhduW_PSAitlKxPMIawqfA?e=13RS0d"/>
    <x v="0"/>
    <x v="199"/>
    <m/>
    <s v="Sent"/>
    <s v="F2024-0245"/>
    <s v="Paid 25/07/2024"/>
  </r>
  <r>
    <s v="Sony "/>
    <s v="SFR"/>
    <x v="3"/>
    <x v="2"/>
    <x v="5"/>
    <d v="2024-04-12T00:00:00"/>
    <x v="366"/>
    <x v="4"/>
    <s v="Delivered"/>
    <x v="5"/>
    <x v="0"/>
    <s v="https://saranistudio.sharepoint.com/:f:/s/SaraniAssets/Eq2nV7zd6vZBuEg8VhhXqzgBySu0gm3uDaMz9IECfvBceQ?e=5pjsxI"/>
    <n v="1"/>
    <n v="40"/>
    <s v="https://saranistudio-my.sharepoint.com/:b:/g/personal/team_sarani_studio/EeS8D9Vk9WJPj98y7PoMarwB8BHvpM5AiJKSkfi_ZyxQUw?e=kff4mZ"/>
    <x v="0"/>
    <x v="203"/>
    <m/>
    <s v="Sent"/>
    <s v="F2024-0243"/>
    <s v="Paid 25/07/2024"/>
  </r>
  <r>
    <s v="Sony "/>
    <s v="SFR"/>
    <x v="3"/>
    <x v="2"/>
    <x v="5"/>
    <d v="2024-04-15T00:00:00"/>
    <x v="367"/>
    <x v="4"/>
    <s v="Delivered"/>
    <x v="5"/>
    <x v="0"/>
    <s v="https://saranistudio.sharepoint.com/:f:/s/SaraniAssets/Ejp6z1h9AbVMm-uBwMVMqF8BWWReMA_R5wd4nw7LQKzOIw?e=JSFe5m"/>
    <n v="4"/>
    <n v="235"/>
    <s v="https://saranistudio-my.sharepoint.com/:b:/g/personal/team_sarani_studio/EWTycKpZSIVOpr9YgSaNPlgBI0Na7NkNDt7IarNXBuRXnA?e=yDC9El"/>
    <x v="0"/>
    <x v="204"/>
    <m/>
    <s v="Sent"/>
    <s v="F2024-0246"/>
    <s v="Paid 25/07/2024"/>
  </r>
  <r>
    <s v="Sony "/>
    <s v="SFR"/>
    <x v="3"/>
    <x v="2"/>
    <x v="5"/>
    <d v="2024-04-16T00:00:00"/>
    <x v="368"/>
    <x v="11"/>
    <s v="Delivered"/>
    <x v="0"/>
    <x v="0"/>
    <s v="https://saranistudio.sharepoint.com/:f:/s/SaraniAssets/Er-PEg6DqARKs3tSJB8nyHgBy4GqS7ph3PCYLd4MuLJnvA?e=GFJHWz"/>
    <n v="6"/>
    <n v="810"/>
    <s v="https://saranistudio-my.sharepoint.com/:b:/g/personal/team_sarani_studio/Ee2DL-38SlZJlyFFN3yuzvMBwe6mTejQAABjCRfMvV_HKg?e=l5Tw3V"/>
    <x v="0"/>
    <x v="205"/>
    <m/>
    <s v="Sent"/>
    <s v="F2024-0224"/>
    <s v="Paid 22/07/2024"/>
  </r>
  <r>
    <s v="Sony "/>
    <s v="SFR"/>
    <x v="3"/>
    <x v="2"/>
    <x v="5"/>
    <d v="2024-04-16T00:00:00"/>
    <x v="369"/>
    <x v="4"/>
    <s v="Delivered"/>
    <x v="5"/>
    <x v="0"/>
    <s v="https://saranistudio.sharepoint.com/:f:/s/SaraniAssets/ErMv8O5DtkZOgP8Sgy8VGL0BvuoCRZcoQYRIcFDYhpIjzQ?e=qT65fl"/>
    <n v="1"/>
    <n v="40"/>
    <s v="https://saranistudio-my.sharepoint.com/:b:/g/personal/team_sarani_studio/EW_LYwageBVCvFG6bAEgDe4BjavgXVJnQEXNzAa9I9X8dg?e=WaWfeB"/>
    <x v="0"/>
    <x v="203"/>
    <m/>
    <s v="Sent"/>
    <s v="F2024-0243"/>
    <s v="Paid 25/07/2024"/>
  </r>
  <r>
    <s v="Sony "/>
    <s v="SFR"/>
    <x v="3"/>
    <x v="2"/>
    <x v="5"/>
    <d v="2024-04-16T00:00:00"/>
    <x v="370"/>
    <x v="9"/>
    <s v="Delivered"/>
    <x v="8"/>
    <x v="0"/>
    <s v="https://saranistudio.sharepoint.com/:f:/s/SaraniAssets/EvBpMz5x6mVMqn8TNtLw8GQBpN8xTeuD1iJkRCjDTrSAhQ?e=KrtI0E"/>
    <n v="4"/>
    <n v="160"/>
    <s v="https://saranistudio-my.sharepoint.com/:b:/g/personal/team_sarani_studio/EWEkOX5Cs5hJjYKV_5JJbf4BIcXPAKYEBbw8jyRlkPziKw?e=LmifJO"/>
    <x v="2"/>
    <x v="187"/>
    <m/>
    <m/>
    <m/>
    <m/>
  </r>
  <r>
    <s v="Sony "/>
    <s v="SFR"/>
    <x v="3"/>
    <x v="2"/>
    <x v="5"/>
    <d v="2024-04-16T00:00:00"/>
    <x v="371"/>
    <x v="4"/>
    <s v="Delivered"/>
    <x v="5"/>
    <x v="0"/>
    <s v="https://saranistudio.sharepoint.com/:f:/s/SaraniAssets/Eo-AyhdPsMZAn-XYUnBaDtIBXFOEYR5RvbWi9ptFp-HiAw?e=ZtymDI"/>
    <n v="10"/>
    <n v="435"/>
    <s v="https://saranistudio-my.sharepoint.com/:b:/g/personal/team_sarani_studio/EUwhFC-dFPZJrA3VydFx-fYBZ-HLJvEs88lc0vTxj1zWLQ?e=Gj9N7L"/>
    <x v="0"/>
    <x v="203"/>
    <m/>
    <s v="Sent"/>
    <s v="F2024-0243"/>
    <s v="Paid 25/07/2024"/>
  </r>
  <r>
    <s v="Sony "/>
    <s v="SFR"/>
    <x v="3"/>
    <x v="2"/>
    <x v="5"/>
    <d v="2024-04-17T00:00:00"/>
    <x v="372"/>
    <x v="13"/>
    <s v="Delivered"/>
    <x v="0"/>
    <x v="1"/>
    <s v="https://saranistudio.sharepoint.com/:f:/s/SaraniAssets/EpeDbwZ95uZOsbwElQFZBFsBf1ajHGyBv0vilqtipM4Dng?e=LXVPFU"/>
    <n v="9"/>
    <n v="400"/>
    <m/>
    <x v="0"/>
    <x v="186"/>
    <s v="Mai"/>
    <s v="Sent"/>
    <s v="F2024-0232"/>
    <s v="Paid 23/07/2024"/>
  </r>
  <r>
    <s v="Sony "/>
    <s v="SFR"/>
    <x v="3"/>
    <x v="2"/>
    <x v="5"/>
    <d v="2024-04-18T00:00:00"/>
    <x v="373"/>
    <x v="13"/>
    <s v="Delivered"/>
    <x v="0"/>
    <x v="1"/>
    <m/>
    <m/>
    <n v="410"/>
    <m/>
    <x v="1"/>
    <x v="186"/>
    <s v="Mai"/>
    <s v="Sent"/>
    <s v="F2024-0231"/>
    <s v="Paid 02/0/2024"/>
  </r>
  <r>
    <s v="Sony "/>
    <s v="SFR"/>
    <x v="3"/>
    <x v="2"/>
    <x v="5"/>
    <d v="2024-04-22T00:00:00"/>
    <x v="374"/>
    <x v="15"/>
    <s v="Delivered"/>
    <x v="0"/>
    <x v="1"/>
    <s v="https://saranistudio.sharepoint.com/:f:/s/SaraniAssets/EvrjEbO7U8VLuh9JOLXUnPMBtaSBRRB0D0dt_yeLhLLBAQ?e=RE4Rmc"/>
    <n v="6"/>
    <n v="1020"/>
    <m/>
    <x v="0"/>
    <x v="206"/>
    <s v="Mai"/>
    <s v="Sent"/>
    <s v="F2024-0244"/>
    <s v="Paid 25/07/2024"/>
  </r>
  <r>
    <s v="Sony "/>
    <s v="SFR"/>
    <x v="3"/>
    <x v="2"/>
    <x v="5"/>
    <d v="2024-04-18T00:00:00"/>
    <x v="373"/>
    <x v="13"/>
    <s v="Delivered"/>
    <x v="2"/>
    <x v="1"/>
    <m/>
    <m/>
    <n v="600"/>
    <m/>
    <x v="1"/>
    <x v="207"/>
    <s v="Mai"/>
    <s v="Sent"/>
    <s v="F2024-0202"/>
    <s v="Paid 02/07/2024"/>
  </r>
  <r>
    <s v="Sony "/>
    <s v="SFR"/>
    <x v="3"/>
    <x v="2"/>
    <x v="5"/>
    <d v="2024-04-24T00:00:00"/>
    <x v="375"/>
    <x v="9"/>
    <s v="Delivered"/>
    <x v="9"/>
    <x v="0"/>
    <s v="https://saranistudio.sharepoint.com/:f:/s/SaraniAssets/Et0hUCo5dGxNsdkyKhZJFkgBpCYS4IM_RykmowQq5dUpyw?e=bLchob"/>
    <n v="4"/>
    <n v="300"/>
    <s v="https://saranistudio-my.sharepoint.com/:b:/g/personal/team_sarani_studio/EQwB_wSsR4JNpBP6oP79UzMBUZyOLEBqDywxs5xm1qWlHQ?e=GWYmO9"/>
    <x v="0"/>
    <x v="188"/>
    <m/>
    <s v="Sent"/>
    <s v="F2024-0358"/>
    <s v="Waiting for payment 01/10/2024"/>
  </r>
  <r>
    <s v="Sony "/>
    <s v="SFR"/>
    <x v="3"/>
    <x v="2"/>
    <x v="5"/>
    <d v="2024-04-24T00:00:00"/>
    <x v="376"/>
    <x v="4"/>
    <s v="Delivered"/>
    <x v="5"/>
    <x v="0"/>
    <s v="https://saranistudio.sharepoint.com/:f:/s/SaraniAssets/ErfiFDAAzOtNvLJdzYYAOOoBDx-l94ZG_zRdyuC-btUpJA?e=8PL9LS"/>
    <n v="13"/>
    <n v="540"/>
    <m/>
    <x v="0"/>
    <x v="203"/>
    <m/>
    <s v="Sent"/>
    <s v="F2024-0243"/>
    <s v="Paid 25/07/2024"/>
  </r>
  <r>
    <s v="Sony "/>
    <s v="SFR"/>
    <x v="3"/>
    <x v="2"/>
    <x v="5"/>
    <d v="2024-04-25T00:00:00"/>
    <x v="377"/>
    <x v="22"/>
    <s v="Delivered"/>
    <x v="4"/>
    <x v="0"/>
    <s v="https://saranistudio.sharepoint.com/:f:/s/SaraniAssets/EpuF0GvidPpCoKTPb7RUo2MBYN0-r0EJc_Uj_cpiNSo5jQ?e=0Lj0rd"/>
    <n v="9"/>
    <n v="315"/>
    <m/>
    <x v="0"/>
    <x v="208"/>
    <s v="Mai"/>
    <s v="Sent"/>
    <s v="F2024-0204"/>
    <s v="Paid 02/07/2024"/>
  </r>
  <r>
    <s v="Sony "/>
    <s v="SFR"/>
    <x v="3"/>
    <x v="2"/>
    <x v="5"/>
    <d v="2024-04-26T00:00:00"/>
    <x v="378"/>
    <x v="9"/>
    <s v="Delivered"/>
    <x v="7"/>
    <x v="0"/>
    <s v="https://saranistudio.sharepoint.com/:f:/s/SaraniAssets/Ep2jZWRNsEZBkU5YJN-86TYBDnYtvmF-fueR0QxGnhmihw?e=tVvhWU"/>
    <n v="8"/>
    <n v="280"/>
    <s v="https://saranistudio-my.sharepoint.com/:b:/g/personal/team_sarani_studio/ESEoRrTg-uVCoHR_9OPrVr4B62kM-VgfzQ9usdaqhbuojQ?e=YONTVz"/>
    <x v="0"/>
    <x v="199"/>
    <m/>
    <s v="Sent"/>
    <s v="F2024-0245"/>
    <s v="Paid 25/07/2024"/>
  </r>
  <r>
    <s v="Sony "/>
    <s v="SFR"/>
    <x v="3"/>
    <x v="2"/>
    <x v="5"/>
    <d v="2024-04-27T00:00:00"/>
    <x v="379"/>
    <x v="5"/>
    <s v="Delivered"/>
    <x v="5"/>
    <x v="1"/>
    <s v="https://saranistudio.sharepoint.com/:f:/s/SaraniAssets/EqD5fuq8njtGqEDmU3V28BYB0UHFOZuYOy_8n8cVVJyXNQ?e=k6B7Dm"/>
    <n v="2"/>
    <n v="70"/>
    <m/>
    <x v="1"/>
    <x v="209"/>
    <s v="Mai"/>
    <s v="Sent"/>
    <s v="F2024-0205"/>
    <s v="Paid 02/07/2024"/>
  </r>
  <r>
    <s v="Sony "/>
    <s v="SFR"/>
    <x v="3"/>
    <x v="2"/>
    <x v="5"/>
    <d v="2024-04-29T00:00:00"/>
    <x v="380"/>
    <x v="9"/>
    <s v="Delivered"/>
    <x v="7"/>
    <x v="0"/>
    <s v="https://saranistudio.sharepoint.com/:f:/s/SaraniAssets/EpI4LuUcEvdChCCBrbH1XssBpxyzTJ27kIt1ZaA8q9RVmQ?e=lUwq63"/>
    <n v="2"/>
    <n v="70"/>
    <s v="https://saranistudio-my.sharepoint.com/:b:/g/personal/team_sarani_studio/ERFb5RUowoJLr4garr6oXbIBgwoDjeIgbAedcWkiH5KyRQ?e=cGPLp6"/>
    <x v="0"/>
    <x v="200"/>
    <m/>
    <s v="Sent"/>
    <s v="F2024-0272"/>
    <s v="Paid  06/08/2024"/>
  </r>
  <r>
    <s v="Sony "/>
    <s v="SFR"/>
    <x v="3"/>
    <x v="2"/>
    <x v="5"/>
    <d v="2024-04-29T00:00:00"/>
    <x v="381"/>
    <x v="9"/>
    <s v="Delivered"/>
    <x v="7"/>
    <x v="0"/>
    <s v="https://saranistudio.sharepoint.com/:f:/s/SaraniAssets/Eq1taI9Ie_FAnNM8CRpg5_cBirxVa-nMBMiEfvyeH3-Kbw?e=0ueiru"/>
    <n v="3"/>
    <n v="105"/>
    <s v="https://saranistudio-my.sharepoint.com/:b:/g/personal/team_sarani_studio/EZVOrbqimPJGhFeM54GD_EoBVFu4iscLo93pnJnFRhIu_w?e=h7kuch"/>
    <x v="0"/>
    <x v="200"/>
    <m/>
    <s v="Sent"/>
    <s v="F2024-0272"/>
    <s v="Paid  06/08/2024"/>
  </r>
  <r>
    <s v="Sony "/>
    <s v="SFR"/>
    <x v="3"/>
    <x v="2"/>
    <x v="5"/>
    <d v="2024-04-29T00:00:00"/>
    <x v="382"/>
    <x v="4"/>
    <s v="Delivered"/>
    <x v="5"/>
    <x v="0"/>
    <s v="https://saranistudio.sharepoint.com/:f:/s/SaraniAssets/EugIaT5Y-4FFk_ekcHc6vA4Bujn6xzHDqayUn0zLrwq0XQ?e=cQwanN"/>
    <n v="3"/>
    <n v="250"/>
    <s v="PO 2"/>
    <x v="3"/>
    <x v="210"/>
    <m/>
    <s v="Sent"/>
    <s v="F2024-0299"/>
    <s v="Waiting payment for 30/08/2024"/>
  </r>
  <r>
    <s v="Sony "/>
    <s v="SFR"/>
    <x v="3"/>
    <x v="2"/>
    <x v="5"/>
    <d v="2024-04-30T00:00:00"/>
    <x v="383"/>
    <x v="11"/>
    <s v="Delivered"/>
    <x v="0"/>
    <x v="0"/>
    <s v="https://saranistudio.sharepoint.com/:f:/s/SaraniAssets/EsktGZLVyKVLs7Cy-qa66Y4BIKZDB-NQkkC6XTThDZCTsQ?e=Ba07wz"/>
    <n v="4"/>
    <n v="350"/>
    <m/>
    <x v="0"/>
    <x v="211"/>
    <m/>
    <s v="Sent"/>
    <s v="F2024-0222"/>
    <s v="Paid 23/07/2024"/>
  </r>
  <r>
    <s v="Sony "/>
    <s v="SFR"/>
    <x v="3"/>
    <x v="2"/>
    <x v="5"/>
    <d v="2024-04-30T00:00:00"/>
    <x v="384"/>
    <x v="4"/>
    <s v="Delivered"/>
    <x v="11"/>
    <x v="0"/>
    <s v="https://saranistudio.sharepoint.com/:f:/s/SaraniAssets/EtLEiKL7gslAumc6yYgdz5IBjMcHMB2WaPTtsaHWRoBrNQ?e=gvkCqW"/>
    <n v="5"/>
    <n v="320"/>
    <m/>
    <x v="4"/>
    <x v="212"/>
    <m/>
    <s v="Sent"/>
    <s v="F2024-0241"/>
    <s v="Paid 25/07/2024"/>
  </r>
  <r>
    <s v="Sony "/>
    <s v="SFR"/>
    <x v="3"/>
    <x v="2"/>
    <x v="6"/>
    <d v="2024-05-02T00:00:00"/>
    <x v="385"/>
    <x v="4"/>
    <s v="Delivered"/>
    <x v="11"/>
    <x v="0"/>
    <s v="https://saranistudio.sharepoint.com/:f:/s/SaraniAssets/Eqmm1iP9McFJk5_q4XHIdC8BEoDN7L83ULmv7at8YPd8jA?e=wiKxDY"/>
    <n v="7"/>
    <n v="245"/>
    <m/>
    <x v="4"/>
    <x v="212"/>
    <m/>
    <s v="Sent"/>
    <s v="F2024-0241"/>
    <s v="Paid 25/07/2024"/>
  </r>
  <r>
    <s v="Sony "/>
    <s v="SFR"/>
    <x v="3"/>
    <x v="2"/>
    <x v="6"/>
    <d v="2024-05-02T00:00:00"/>
    <x v="386"/>
    <x v="4"/>
    <s v="Delivered"/>
    <x v="11"/>
    <x v="0"/>
    <s v="https://saranistudio.sharepoint.com/:f:/s/SaraniAssets/EozSxbw1PLpIi7ps5MaPEzEBg8x5eZOcaMVSkbQpSNgx6A?e=YDz7Hg"/>
    <n v="1"/>
    <n v="40"/>
    <m/>
    <x v="4"/>
    <x v="212"/>
    <m/>
    <s v="Sent"/>
    <s v="F2024-0241"/>
    <s v="Paid 25/07/2024"/>
  </r>
  <r>
    <s v="Sony "/>
    <s v="SFR"/>
    <x v="3"/>
    <x v="2"/>
    <x v="6"/>
    <d v="2024-05-02T00:00:00"/>
    <x v="387"/>
    <x v="4"/>
    <s v="Delivered"/>
    <x v="5"/>
    <x v="0"/>
    <s v="https://saranistudio.sharepoint.com/:f:/s/SaraniAssets/EjFSjDYzorNLgbn7yPkR_ssB1ksnxWQioy4SwdjyScB89A?e=sgwMNR"/>
    <n v="4"/>
    <n v="310"/>
    <s v="PO 2"/>
    <x v="3"/>
    <x v="210"/>
    <m/>
    <s v="Sent"/>
    <s v="F2024-0299"/>
    <s v="Waiting payment for 30/08/2024"/>
  </r>
  <r>
    <s v="Sony "/>
    <s v="SFR"/>
    <x v="3"/>
    <x v="2"/>
    <x v="6"/>
    <d v="2024-05-03T00:00:00"/>
    <x v="388"/>
    <x v="5"/>
    <s v="Delivered"/>
    <x v="3"/>
    <x v="1"/>
    <s v="https://saranistudio.sharepoint.com/:f:/s/SaraniAssets/EsYbLAN-xf1CjzM66DHjhPkBWE2t4w7sWYGuou11AYgBag?e=2CgBmW"/>
    <n v="2"/>
    <n v="155"/>
    <m/>
    <x v="0"/>
    <x v="183"/>
    <s v="Juin"/>
    <s v="Sent"/>
    <s v="F2024-0228"/>
    <s v="Paid 22/07/2024"/>
  </r>
  <r>
    <s v="Sony "/>
    <s v="SFR"/>
    <x v="3"/>
    <x v="2"/>
    <x v="6"/>
    <d v="2024-05-03T00:00:00"/>
    <x v="389"/>
    <x v="4"/>
    <s v="Delivered"/>
    <x v="11"/>
    <x v="0"/>
    <s v="https://saranistudio.sharepoint.com/:f:/s/SaraniAssets/Euv2yNLJnftBpUEvrmsAB6MBzD1B8_AINXYOKWYngc6ngw?e=X9YHng"/>
    <n v="2"/>
    <n v="290"/>
    <m/>
    <x v="4"/>
    <x v="213"/>
    <m/>
    <s v="Sent"/>
    <s v="F2024-0280"/>
    <s v="Paid 19/08/2024"/>
  </r>
  <r>
    <s v="Sony "/>
    <s v="SFR"/>
    <x v="3"/>
    <x v="2"/>
    <x v="6"/>
    <d v="2024-05-03T00:00:00"/>
    <x v="390"/>
    <x v="5"/>
    <s v="Delivered"/>
    <x v="3"/>
    <x v="1"/>
    <s v="https://saranistudio.sharepoint.com/:f:/s/SaraniAssets/EmsHaDp_oehBmBVbSYBHlkYBim4LNK3YffGFnU0OaiwfBg?e=tgJQoT"/>
    <n v="3"/>
    <n v="190"/>
    <m/>
    <x v="0"/>
    <x v="183"/>
    <s v="Juin"/>
    <s v="Sent"/>
    <s v="F2024-0248"/>
    <s v="Paid 25/07/2024"/>
  </r>
  <r>
    <s v="Sony "/>
    <s v="SFR"/>
    <x v="3"/>
    <x v="2"/>
    <x v="6"/>
    <d v="2024-05-03T00:00:00"/>
    <x v="391"/>
    <x v="20"/>
    <s v="Delivered"/>
    <x v="3"/>
    <x v="0"/>
    <s v="https://saranistudio.sharepoint.com/:f:/s/SaraniAssets/EmLewSVzoptNn5ZuPISMdM4BUzvV8u_WgugTdBZYxzROEQ?e=j6cbt5"/>
    <n v="1"/>
    <n v="180"/>
    <s v="https://saranistudio-my.sharepoint.com/:b:/g/personal/team_sarani_studio/EcFOzxN24aFDtt2h1Pq8q5wB5N0OELdbBeHpQVVPCd7UrQ?e=AkdHXi"/>
    <x v="2"/>
    <x v="187"/>
    <m/>
    <m/>
    <m/>
    <m/>
  </r>
  <r>
    <s v="Sony "/>
    <s v="SFR"/>
    <x v="3"/>
    <x v="2"/>
    <x v="6"/>
    <d v="2024-05-07T00:00:00"/>
    <x v="392"/>
    <x v="15"/>
    <s v="Delivered"/>
    <x v="5"/>
    <x v="1"/>
    <s v="https://saranistudio.sharepoint.com/:f:/s/SaraniAssets/EtayZByJoNdFg-3jCdGXYCcBq6P4QU0FAzLzwdUEp2nU7g?e=b2nLNn"/>
    <n v="7"/>
    <n v="500"/>
    <m/>
    <x v="2"/>
    <x v="209"/>
    <s v="Juin"/>
    <m/>
    <s v="F2024-0230"/>
    <s v="Paid 22/07/2024"/>
  </r>
  <r>
    <s v="Sony "/>
    <s v="SFR"/>
    <x v="3"/>
    <x v="2"/>
    <x v="6"/>
    <d v="2024-05-13T00:00:00"/>
    <x v="393"/>
    <x v="5"/>
    <s v="Delivered"/>
    <x v="3"/>
    <x v="1"/>
    <s v="https://saranistudio.sharepoint.com/:f:/s/SaraniAssets/EouMIdRhPcVDsdIUWvbbkB4Blsi550HM2ChPSeJp7Z0roA?e=GeOeJo"/>
    <n v="1"/>
    <n v="260"/>
    <m/>
    <x v="0"/>
    <x v="183"/>
    <s v="Juin"/>
    <s v="Sent"/>
    <s v="F2024-0248"/>
    <s v="Paid 25/07/2024"/>
  </r>
  <r>
    <s v="Sony "/>
    <s v="SFR"/>
    <x v="3"/>
    <x v="2"/>
    <x v="6"/>
    <d v="2024-05-14T00:00:00"/>
    <x v="394"/>
    <x v="4"/>
    <s v="Delivered"/>
    <x v="11"/>
    <x v="0"/>
    <s v="https://saranistudio.sharepoint.com/:f:/s/SaraniAssets/Etwl93LNOF5Eht7C1BDfsa4B95GM4qwgItmGbFhb1hdFFQ?e=nj3fhJ"/>
    <n v="6"/>
    <n v="360"/>
    <m/>
    <x v="4"/>
    <x v="213"/>
    <m/>
    <s v="Sent"/>
    <s v="F2024-0280"/>
    <s v="Paid 19/08/2024"/>
  </r>
  <r>
    <s v="Sony "/>
    <s v="SFR"/>
    <x v="3"/>
    <x v="2"/>
    <x v="6"/>
    <d v="2024-05-15T00:00:00"/>
    <x v="395"/>
    <x v="6"/>
    <s v="Delivered"/>
    <x v="0"/>
    <x v="0"/>
    <s v="https://saranistudio.sharepoint.com/:f:/s/SaraniAssets/ElsTsTVSbihBmSsE_sy4JtoBrkgTiKYgXxMCMrCsZpnraw?e=Xl80xz"/>
    <n v="1"/>
    <n v="40"/>
    <m/>
    <x v="5"/>
    <x v="61"/>
    <s v="-"/>
    <s v="-"/>
    <s v="-"/>
    <s v="-"/>
  </r>
  <r>
    <s v="Sony "/>
    <s v="SFR"/>
    <x v="3"/>
    <x v="2"/>
    <x v="6"/>
    <d v="2024-05-17T00:00:00"/>
    <x v="396"/>
    <x v="4"/>
    <s v="Delivered"/>
    <x v="11"/>
    <x v="0"/>
    <s v="https://saranistudio.sharepoint.com/:f:/s/SaraniAssets/EmthEZcMCoxNuvL9Yb_GG0AB3x94POgrSYnCgHAJG1j0ww?e=7wgDwX"/>
    <n v="12"/>
    <n v="795"/>
    <m/>
    <x v="4"/>
    <x v="213"/>
    <m/>
    <s v="Sent"/>
    <s v="F2024-0280"/>
    <s v="Paid 19/08/2024"/>
  </r>
  <r>
    <s v="Sony "/>
    <s v="SFR"/>
    <x v="3"/>
    <x v="2"/>
    <x v="6"/>
    <d v="2024-05-17T00:00:00"/>
    <x v="397"/>
    <x v="15"/>
    <s v="Delivered"/>
    <x v="0"/>
    <x v="1"/>
    <s v="https://saranistudio.sharepoint.com/:f:/s/SaraniAssets/EvwzYNiI5UhHgdamXcxgvCkB_DMY7BzE3G-qtLJmcl9ztA?e=4PX0op"/>
    <n v="1"/>
    <n v="35"/>
    <m/>
    <x v="0"/>
    <x v="186"/>
    <s v="Juin"/>
    <s v="Sent"/>
    <s v="F2024-0249"/>
    <s v="Paid 25/07/2024"/>
  </r>
  <r>
    <s v="Sony "/>
    <s v="SFR"/>
    <x v="3"/>
    <x v="2"/>
    <x v="6"/>
    <d v="2024-05-21T00:00:00"/>
    <x v="398"/>
    <x v="5"/>
    <s v="Delivered"/>
    <x v="0"/>
    <x v="1"/>
    <s v="https://saranistudio.sharepoint.com/:f:/s/SaraniAssets/Ekg7Tg3hT8xJl0ubrYGOQVcB7RL4s97y92TIeEJ6RziGBA?e=bja3dV"/>
    <n v="1"/>
    <n v="260"/>
    <m/>
    <x v="0"/>
    <x v="214"/>
    <s v="Juillet"/>
    <s v="Sent"/>
    <s v="F2024-0339"/>
    <s v="Waiting for payment  24/09/2024"/>
  </r>
  <r>
    <s v="Sony "/>
    <s v="SFR"/>
    <x v="3"/>
    <x v="2"/>
    <x v="6"/>
    <d v="2024-05-21T00:00:00"/>
    <x v="399"/>
    <x v="11"/>
    <s v="Delivered"/>
    <x v="0"/>
    <x v="0"/>
    <s v="https://saranistudio.sharepoint.com/:f:/s/SaraniAssets/EgBeeewikS9AgBkhZ_yBst4BCj6A7DhLmVunHlpYiYwbRw?e=t9OqtD"/>
    <n v="1"/>
    <n v="35"/>
    <s v="https://saranistudio-my.sharepoint.com/:b:/g/personal/team_sarani_studio/EQ7GXYd1FJBKnLoGY-heX_EB3EjC_aWTqSPYMfHjXoNykA?e=hKLm9e"/>
    <x v="0"/>
    <x v="215"/>
    <m/>
    <s v="Sent"/>
    <s v="F2024-0429"/>
    <s v="Waiting payment for 09/11/2024"/>
  </r>
  <r>
    <s v="Sony "/>
    <s v="SFR"/>
    <x v="3"/>
    <x v="2"/>
    <x v="6"/>
    <d v="2024-05-22T00:00:00"/>
    <x v="400"/>
    <x v="9"/>
    <s v="Delivered"/>
    <x v="7"/>
    <x v="0"/>
    <s v="https://saranistudio.sharepoint.com/:f:/s/SaraniAssets/Ei3ANav5PvpHndaR3BFDZ5kBArHb4Zz92nDrVcl2i6mejw?e=t9Retc"/>
    <n v="1"/>
    <n v="35"/>
    <m/>
    <x v="0"/>
    <x v="200"/>
    <m/>
    <s v="Sent"/>
    <s v="F2024-0272"/>
    <s v="Paid 06/08/2024"/>
  </r>
  <r>
    <s v="Sony "/>
    <s v="SFR"/>
    <x v="3"/>
    <x v="2"/>
    <x v="6"/>
    <d v="2024-05-22T00:00:00"/>
    <x v="401"/>
    <x v="5"/>
    <s v="Delivered"/>
    <x v="0"/>
    <x v="1"/>
    <s v="https://saranistudio.sharepoint.com/:f:/s/SaraniAssets/EgGilnohRfROnc6J4znyRPABtZUKO0lgq9Fybh7c6TPsOw?e=dcgWuJ"/>
    <n v="2"/>
    <n v="155"/>
    <m/>
    <x v="0"/>
    <x v="214"/>
    <s v="Juillet"/>
    <s v="Sent"/>
    <s v="F2024-0339"/>
    <s v="Waiting for payment  24/09/2024"/>
  </r>
  <r>
    <s v="Sony "/>
    <s v="SFR"/>
    <x v="3"/>
    <x v="2"/>
    <x v="6"/>
    <d v="2024-05-23T00:00:00"/>
    <x v="402"/>
    <x v="9"/>
    <s v="Delivered"/>
    <x v="7"/>
    <x v="0"/>
    <s v="https://saranistudio.sharepoint.com/:f:/s/SaraniAssets/EvuMeO0kwwZAljOqQ0epLuEBFkZmVVXbvIRZ8wXd6QI9Ew?e=qea1BK"/>
    <n v="3"/>
    <n v="355"/>
    <m/>
    <x v="0"/>
    <x v="200"/>
    <m/>
    <s v="Sent"/>
    <s v="F2024-0272"/>
    <s v="Paid 06/08/2024"/>
  </r>
  <r>
    <s v="Sony "/>
    <s v="SFR"/>
    <x v="3"/>
    <x v="2"/>
    <x v="6"/>
    <d v="2024-05-23T00:00:00"/>
    <x v="403"/>
    <x v="15"/>
    <s v="Delivered"/>
    <x v="3"/>
    <x v="1"/>
    <s v="https://saranistudio.sharepoint.com/:f:/s/SaraniAssets/EgegWP7zOfNDg24oVYVI_7QB0lq0ucv8uDs_2e3Iho3YBg?e=B4Zs7Z"/>
    <n v="8"/>
    <n v="20"/>
    <m/>
    <x v="0"/>
    <x v="183"/>
    <s v="Juin"/>
    <s v="Sent"/>
    <s v="F2024-0248"/>
    <s v="Paid 25/07/2024"/>
  </r>
  <r>
    <s v="Sony "/>
    <s v="SFR"/>
    <x v="3"/>
    <x v="2"/>
    <x v="6"/>
    <d v="2024-05-27T00:00:00"/>
    <x v="404"/>
    <x v="11"/>
    <s v="Delivered"/>
    <x v="0"/>
    <x v="0"/>
    <s v="https://saranistudio.sharepoint.com/:f:/s/SaraniAssets/EmlF2Giz0-BBuyDs2pgrDHkB1jTEvQdNa0BMW-dWIEkmZg?e=eVLTPi"/>
    <n v="3"/>
    <n v="405"/>
    <s v="https://saranistudio-my.sharepoint.com/:b:/g/personal/team_sarani_studio/Eaq0BE-MnRNKvLKran9Za9kBXKsycoGg2ZfxBKpA6TPk_Q?e=uVc2GS"/>
    <x v="0"/>
    <x v="216"/>
    <m/>
    <s v="Sent"/>
    <s v="F2024-0431"/>
    <s v="Waiting payment for 09/11/2024"/>
  </r>
  <r>
    <s v="Sony "/>
    <s v="SFR"/>
    <x v="3"/>
    <x v="2"/>
    <x v="6"/>
    <d v="2024-05-28T00:00:00"/>
    <x v="405"/>
    <x v="15"/>
    <s v="Delivered"/>
    <x v="0"/>
    <x v="1"/>
    <s v="https://saranistudio.sharepoint.com/:f:/s/SaraniAssets/ElAFfdmhCgxFoaRaY-RdbhIBl9hWt_eVuZV0Kmy2Z0wKaQ?e=inCEty"/>
    <n v="13"/>
    <n v="615"/>
    <m/>
    <x v="0"/>
    <x v="214"/>
    <s v="Juillet"/>
    <s v="Sent"/>
    <s v="F2024-0339"/>
    <s v="Waiting for payment  24/09/2024"/>
  </r>
  <r>
    <s v="Sony "/>
    <s v="SFR"/>
    <x v="3"/>
    <x v="2"/>
    <x v="6"/>
    <d v="2024-05-28T00:00:00"/>
    <x v="406"/>
    <x v="4"/>
    <s v="Delivered"/>
    <x v="11"/>
    <x v="0"/>
    <s v="https://saranistudio.sharepoint.com/:f:/s/SaraniAssets/Emf-0urCpUJGopWX6J7pFi4Bx10cuLewUQ2qXNt1WaevVg?e=XNZtj8"/>
    <n v="6"/>
    <n v="210"/>
    <m/>
    <x v="4"/>
    <x v="213"/>
    <m/>
    <s v="Sent"/>
    <s v="F2024-0280"/>
    <s v="Paid 19/08/2024"/>
  </r>
  <r>
    <s v="Sony "/>
    <s v="SFR"/>
    <x v="3"/>
    <x v="2"/>
    <x v="6"/>
    <d v="2024-05-28T00:00:00"/>
    <x v="407"/>
    <x v="9"/>
    <s v="Delivered"/>
    <x v="10"/>
    <x v="0"/>
    <s v="https://saranistudio.sharepoint.com/:f:/s/SaraniAssets/Ep9JMmRBZoZAtrerYFkxz94BCxJ5jVd6VvgvRPq1FNxXJQ?e=7B8PiH"/>
    <n v="1"/>
    <n v="220"/>
    <m/>
    <x v="0"/>
    <x v="217"/>
    <m/>
    <s v="Sent"/>
    <s v="F2024-0307"/>
    <s v="Waiting for payment 02/09/2024"/>
  </r>
  <r>
    <s v="Sony "/>
    <s v="SFR"/>
    <x v="3"/>
    <x v="2"/>
    <x v="7"/>
    <d v="2024-06-01T00:00:00"/>
    <x v="408"/>
    <x v="5"/>
    <s v="Delivered"/>
    <x v="0"/>
    <x v="1"/>
    <s v="https://saranistudio.sharepoint.com/:f:/s/SaraniAssets/EnYHUuIBAuhEu9XVZv8IzLMB8Odd2FFREj4I7CC7JCdt_Q?e=joIJsD"/>
    <n v="2"/>
    <n v="155"/>
    <m/>
    <x v="1"/>
    <x v="214"/>
    <s v="Juillet"/>
    <s v="Sent"/>
    <s v="F2024-0339"/>
    <s v="Waiting for payment  24/09/2024"/>
  </r>
  <r>
    <s v="Sony "/>
    <s v="SFR"/>
    <x v="3"/>
    <x v="2"/>
    <x v="7"/>
    <d v="2024-06-13T00:00:00"/>
    <x v="409"/>
    <x v="5"/>
    <s v="Delivered"/>
    <x v="0"/>
    <x v="1"/>
    <s v="https://saranistudio.sharepoint.com/:f:/s/SaraniAssets/EroKN3PzdltJneKt2o_XSUUB4sltXzgD2ObSFiLmGdrv1A?e=4ldb0s"/>
    <n v="1"/>
    <n v="35"/>
    <m/>
    <x v="1"/>
    <x v="214"/>
    <s v="Juillet"/>
    <s v="Sent"/>
    <s v="F2024-0339"/>
    <s v="Waiting for payment  24/09/2024"/>
  </r>
  <r>
    <s v="Sony "/>
    <s v="SFR"/>
    <x v="3"/>
    <x v="2"/>
    <x v="6"/>
    <d v="2024-05-13T00:00:00"/>
    <x v="410"/>
    <x v="5"/>
    <s v="Delivered"/>
    <x v="3"/>
    <x v="1"/>
    <s v="https://saranistudio.sharepoint.com/:f:/s/SaraniAssets/EouMIdRhPcVDsdIUWvbbkB4Blsi550HM2ChPSeJp7Z0roA?e=GeOeJo"/>
    <n v="1"/>
    <n v="260"/>
    <m/>
    <x v="0"/>
    <x v="183"/>
    <s v="Juin"/>
    <s v="Sent"/>
    <s v="F2024-0248"/>
    <s v="Paid 25/07/2024"/>
  </r>
  <r>
    <s v="Sony "/>
    <s v="SFR"/>
    <x v="3"/>
    <x v="2"/>
    <x v="6"/>
    <d v="2024-05-13T00:00:00"/>
    <x v="411"/>
    <x v="4"/>
    <s v="In progress"/>
    <x v="5"/>
    <x v="0"/>
    <m/>
    <s v="-"/>
    <s v="-"/>
    <m/>
    <x v="1"/>
    <x v="187"/>
    <m/>
    <m/>
    <m/>
    <m/>
  </r>
  <r>
    <s v="Sony "/>
    <s v="SFR"/>
    <x v="3"/>
    <x v="2"/>
    <x v="6"/>
    <d v="2024-05-31T00:00:00"/>
    <x v="412"/>
    <x v="9"/>
    <s v="Delivered"/>
    <x v="10"/>
    <x v="0"/>
    <s v="https://saranistudio.sharepoint.com/:f:/s/SaraniAssets/Ekq-c-EH7xJNpeFdFAZsFCcBRs91prkMQIZbDM6Ao654mA?e=GVe7R8"/>
    <n v="8"/>
    <n v="920"/>
    <s v="https://saranistudio-my.sharepoint.com/:b:/g/personal/team_sarani_studio/EeWB78suXEVAgcONbSH4tXMBoPXqDpjKcTgwRunEeuv_qA?e=bcjyMP"/>
    <x v="6"/>
    <x v="218"/>
    <m/>
    <s v="Sent"/>
    <s v="F2024-0356"/>
    <s v="Waiting for payment 01/10/2024"/>
  </r>
  <r>
    <s v="Sony "/>
    <s v="SFR"/>
    <x v="3"/>
    <x v="2"/>
    <x v="6"/>
    <d v="2024-05-31T00:00:00"/>
    <x v="413"/>
    <x v="4"/>
    <s v="Delivered"/>
    <x v="5"/>
    <x v="0"/>
    <s v="https://saranistudio.sharepoint.com/:f:/s/SaraniAssets/En_qrLBjiMBCjodGl2s7B78BbOckj-ePZ0O1feATW7q2AA?e=SgdfDg"/>
    <n v="12"/>
    <n v="515"/>
    <s v="PO 3"/>
    <x v="3"/>
    <x v="219"/>
    <m/>
    <s v="Sent"/>
    <s v="F2024-0298"/>
    <s v="Waiting payment for 30/08/2024"/>
  </r>
  <r>
    <s v="Sony "/>
    <s v="SFR"/>
    <x v="3"/>
    <x v="2"/>
    <x v="7"/>
    <d v="2024-06-13T00:00:00"/>
    <x v="414"/>
    <x v="5"/>
    <s v="Delivered"/>
    <x v="0"/>
    <x v="1"/>
    <s v="https://saranistudio.sharepoint.com/:f:/s/SaraniAssets/EgI-eeDc1opNnJFAh7DH0JgByKg3Q6rJ6n4P1eQe2lA6OA?e=8DQWBW"/>
    <n v="1"/>
    <n v="260"/>
    <m/>
    <x v="1"/>
    <x v="214"/>
    <s v="Juillet"/>
    <s v="Sent"/>
    <s v="F2024-0339"/>
    <s v="Waiting for payment  24/09/2024"/>
  </r>
  <r>
    <s v="Sony "/>
    <s v="SFR"/>
    <x v="3"/>
    <x v="2"/>
    <x v="6"/>
    <d v="2024-05-29T00:00:00"/>
    <x v="415"/>
    <x v="5"/>
    <s v="Delivered"/>
    <x v="3"/>
    <x v="1"/>
    <s v="https://saranistudio.sharepoint.com/:f:/s/SaraniAssets/Evn5QFIj681CiBYBSAR-s4sBb7cKx2Ae40dmsCgDq_e9zg?e=Qe5MEJ"/>
    <n v="2"/>
    <n v="720"/>
    <m/>
    <x v="0"/>
    <x v="220"/>
    <s v="Juillet"/>
    <s v="Sent"/>
    <s v="F2024-0340"/>
    <s v="Waiting for payment  24/09/2024"/>
  </r>
  <r>
    <s v="Sony "/>
    <s v="SFR"/>
    <x v="3"/>
    <x v="2"/>
    <x v="7"/>
    <d v="2024-06-07T00:00:00"/>
    <x v="416"/>
    <x v="9"/>
    <s v="Delivered"/>
    <x v="5"/>
    <x v="0"/>
    <s v="https://saranistudio.sharepoint.com/:f:/s/SaraniAssets/EhXRjx-cXYZDuQKo9LVK3tYBmzis0I32EN6jEZkfgK4-3A?e=bGYyZk"/>
    <n v="1"/>
    <n v="120"/>
    <m/>
    <x v="1"/>
    <x v="221"/>
    <m/>
    <s v="Sent"/>
    <s v="F2024-0309"/>
    <s v="Waiting payment for 03/09/2024"/>
  </r>
  <r>
    <s v="Sony "/>
    <s v="SFR"/>
    <x v="3"/>
    <x v="2"/>
    <x v="7"/>
    <d v="2024-06-07T00:00:00"/>
    <x v="417"/>
    <x v="5"/>
    <s v="Delivered"/>
    <x v="3"/>
    <x v="1"/>
    <s v="https://saranistudio.sharepoint.com/:f:/s/SaraniAssets/ElcfvqkToXxCqKNhw4EjVqoBhpjVr9RCYH22P9hcSTVP0g?e=5sku3a"/>
    <n v="2"/>
    <n v="155"/>
    <m/>
    <x v="1"/>
    <x v="220"/>
    <s v="Juillet"/>
    <s v="Sent"/>
    <s v="F2024-0340"/>
    <s v="Waiting for payment  24/09/2024"/>
  </r>
  <r>
    <s v="Sony "/>
    <s v="SFR"/>
    <x v="3"/>
    <x v="2"/>
    <x v="7"/>
    <d v="2024-06-10T00:00:00"/>
    <x v="418"/>
    <x v="5"/>
    <s v="Delivered"/>
    <x v="3"/>
    <x v="1"/>
    <s v="boulanger.studio.sarani"/>
    <n v="1"/>
    <n v="120"/>
    <m/>
    <x v="1"/>
    <x v="220"/>
    <s v="Juillet"/>
    <s v="Sent"/>
    <s v="F2024-0340"/>
    <s v="Waiting for payment  24/09/2024"/>
  </r>
  <r>
    <s v="Sony "/>
    <s v="SFR"/>
    <x v="3"/>
    <x v="2"/>
    <x v="7"/>
    <d v="2024-06-11T00:00:00"/>
    <x v="419"/>
    <x v="4"/>
    <s v="Delivered"/>
    <x v="5"/>
    <x v="0"/>
    <s v="https://saranistudio.sharepoint.com/:f:/s/SaraniAssets/EhBq60ktHbRCsIuUr6gKcG8B1o0vMi-zVILdUnmd7Iqf4w?e=uo46kE"/>
    <n v="24"/>
    <n v="935"/>
    <m/>
    <x v="7"/>
    <x v="222"/>
    <m/>
    <s v="Sent"/>
    <s v="F2024-0297"/>
    <s v="Waiting payment for 30/08/2024"/>
  </r>
  <r>
    <s v="Sony "/>
    <s v="SFR"/>
    <x v="3"/>
    <x v="2"/>
    <x v="7"/>
    <d v="2024-06-11T00:00:00"/>
    <x v="420"/>
    <x v="9"/>
    <s v="Delivered"/>
    <x v="3"/>
    <x v="0"/>
    <s v="https://saranistudio.sharepoint.com/:f:/s/SaraniAssets/EhO-5w6ttZxOmYPWkQAcIrgBvlmNpSBODyUQHjmVkm6KUg?e=5CV25P"/>
    <n v="1"/>
    <n v="40"/>
    <m/>
    <x v="1"/>
    <x v="223"/>
    <m/>
    <s v="Sent"/>
    <s v="F2024-0357"/>
    <s v="Waiting for payment 01/10/2024"/>
  </r>
  <r>
    <s v="Sony "/>
    <s v="SFR"/>
    <x v="3"/>
    <x v="2"/>
    <x v="7"/>
    <d v="2024-06-10T00:00:00"/>
    <x v="421"/>
    <x v="23"/>
    <s v="Delivered"/>
    <x v="3"/>
    <x v="0"/>
    <s v="https://saranistudio.sharepoint.com/:f:/s/SaraniAssets/Eo-ef3FBOY5IhexFYiiHH6sBTe-6RyBZA1e_otPJwodP8g?e=eg9qC1"/>
    <n v="1"/>
    <n v="35"/>
    <s v="https://saranistudio-my.sharepoint.com/:b:/g/personal/team_sarani_studio/EfBDJd2Ydl5Kjw47GQ0t7pQBKrqp_Xi6PmhY-DJa8kPqTg?e=IDRO1W"/>
    <x v="6"/>
    <x v="220"/>
    <s v="Juillet"/>
    <s v="Sent"/>
    <s v="F2024-0340"/>
    <s v="Waiting for payment  24/09/2024"/>
  </r>
  <r>
    <s v="Sony "/>
    <s v="SFR"/>
    <x v="3"/>
    <x v="2"/>
    <x v="7"/>
    <d v="2024-06-12T00:00:00"/>
    <x v="422"/>
    <x v="4"/>
    <s v="Delivered"/>
    <x v="5"/>
    <x v="0"/>
    <s v="https://saranistudio.sharepoint.com/:f:/s/SaraniAssets/EmeHGyR9bVREsH0LVtMvhN0BQW9Dnu2iY9856vBl9LJ9-Q?e=qKSchl"/>
    <n v="14"/>
    <n v="670"/>
    <s v="PO 3"/>
    <x v="1"/>
    <x v="224"/>
    <m/>
    <s v="Sent"/>
    <s v="F2024-0300"/>
    <s v="Waiting payment for 30/08/2024"/>
  </r>
  <r>
    <s v="Sony "/>
    <s v="SFR"/>
    <x v="3"/>
    <x v="2"/>
    <x v="7"/>
    <d v="2024-06-13T00:00:00"/>
    <x v="423"/>
    <x v="9"/>
    <s v="Delivered"/>
    <x v="5"/>
    <x v="0"/>
    <s v="https://saranistudio.sharepoint.com/:f:/s/SaraniAssets/EtOGp_-LwGdMmJPGqc_UIJABUy9fIGChXSISZRULXt_qXg?e=1cse1L"/>
    <n v="3"/>
    <n v="120"/>
    <m/>
    <x v="1"/>
    <x v="221"/>
    <m/>
    <s v="Sent"/>
    <s v="F2024-0309"/>
    <s v="Waiting payment for 03/09/2024"/>
  </r>
  <r>
    <s v="Sony "/>
    <s v="SFR"/>
    <x v="3"/>
    <x v="2"/>
    <x v="7"/>
    <d v="2024-06-11T00:00:00"/>
    <x v="424"/>
    <x v="23"/>
    <s v="Delivered"/>
    <x v="3"/>
    <x v="0"/>
    <s v="https://saranistudio.sharepoint.com/:f:/s/SaraniAssets/EmuJNJfdmj5Pop4J2dxN2ZAB9Qmr5BCdomS3__5EHXWBhA?e=cxeMda"/>
    <n v="3"/>
    <n v="105"/>
    <m/>
    <x v="1"/>
    <x v="220"/>
    <s v="Juillet"/>
    <s v="Sent"/>
    <s v="F2024-0340"/>
    <s v="Waiting for payment  24/09/2024"/>
  </r>
  <r>
    <s v="Sony "/>
    <s v="SFR"/>
    <x v="3"/>
    <x v="2"/>
    <x v="7"/>
    <d v="2024-06-14T00:00:00"/>
    <x v="425"/>
    <x v="5"/>
    <s v="Delivered"/>
    <x v="3"/>
    <x v="1"/>
    <s v="https://saranistudio.sharepoint.com/:f:/s/SaraniAssets/EjM4Q3tyhF9LnUsicVyzcnsBBeMynolw6fnEywyFvJsVng?e=3bv5V1"/>
    <n v="1"/>
    <n v="120"/>
    <m/>
    <x v="1"/>
    <x v="220"/>
    <s v="Juillet"/>
    <s v="Sent"/>
    <s v="F2024-0340"/>
    <s v="Waiting for payment  24/09/2024"/>
  </r>
  <r>
    <s v="Sony "/>
    <s v="SFR"/>
    <x v="3"/>
    <x v="2"/>
    <x v="7"/>
    <d v="2024-06-13T00:00:00"/>
    <x v="426"/>
    <x v="9"/>
    <s v="Delivered"/>
    <x v="1"/>
    <x v="0"/>
    <s v="https://saranistudio.sharepoint.com/:f:/s/SaraniAssets/Es6eU4KuJSRGqkp8BPNpnpsBn-Ef9QhFrXvoFMwhF88GdQ?e=gvfyXG"/>
    <n v="11"/>
    <n v="470"/>
    <s v="https://saranistudio-my.sharepoint.com/:b:/g/personal/team_sarani_studio/Ea_SAlRLISRDvxs1fMHccw4BJrOOXZ-El_j7UgS6PDn3ug?e=icp0zg"/>
    <x v="6"/>
    <x v="225"/>
    <m/>
    <s v="Sent"/>
    <s v="F2024-0359"/>
    <s v="Waiting for payment 01/10/2024"/>
  </r>
  <r>
    <s v="Sony "/>
    <s v="SFR"/>
    <x v="3"/>
    <x v="2"/>
    <x v="7"/>
    <d v="2024-06-13T00:00:00"/>
    <x v="427"/>
    <x v="9"/>
    <s v="Delivered"/>
    <x v="3"/>
    <x v="0"/>
    <s v="https://saranistudio.sharepoint.com/:f:/s/SaraniAssets/Ek4ezwAaTBBBmSwdwT3JSdkBODgrk7MwkN-3c3tGY5kR9Q?e=PInU3p"/>
    <n v="1"/>
    <n v="180"/>
    <s v="https://saranistudio-my.sharepoint.com/:b:/g/personal/team_sarani_studio/EZKErqLRYzRAvNEh1Z01ObMBTzEI61Z1CJ0kFMEST0bS3g?e=n2hVdT"/>
    <x v="6"/>
    <x v="223"/>
    <m/>
    <s v="Sent"/>
    <s v="F2024-0357"/>
    <s v="Waiting for payment 01/10/2024"/>
  </r>
  <r>
    <s v="Sony "/>
    <s v="SFR"/>
    <x v="3"/>
    <x v="2"/>
    <x v="6"/>
    <d v="2024-05-29T00:00:00"/>
    <x v="428"/>
    <x v="5"/>
    <s v="Delivered"/>
    <x v="4"/>
    <x v="1"/>
    <s v="https://saranistudio.sharepoint.com/:f:/s/SaraniAssets/ElGPCVgps-5JpgHxtKUSM-MBYEXhBbe2pD-PSii3KaLUUg?e=FAExJ6"/>
    <n v="1"/>
    <n v="120"/>
    <m/>
    <x v="0"/>
    <x v="226"/>
    <s v="Juillet"/>
    <s v="Sent"/>
    <s v="F2024-341"/>
    <s v="Waiting for payment  24/09/2024"/>
  </r>
  <r>
    <s v="Sony "/>
    <s v="SFR"/>
    <x v="3"/>
    <x v="2"/>
    <x v="7"/>
    <d v="2024-06-18T00:00:00"/>
    <x v="429"/>
    <x v="4"/>
    <s v="Delivered"/>
    <x v="5"/>
    <x v="0"/>
    <s v="https://saranistudio.sharepoint.com/:f:/s/SaraniAssets/ErmayX47zihJp_53bV8cmqIBUM8PsFONdeCBGnZXLa25pw?e=ZbOZz9"/>
    <n v="2"/>
    <n v="175"/>
    <m/>
    <x v="7"/>
    <x v="222"/>
    <m/>
    <s v="Sent"/>
    <s v="F2024-0297"/>
    <s v="Waiting payment for 30/08/2024"/>
  </r>
  <r>
    <s v="Sony "/>
    <s v="SFR"/>
    <x v="3"/>
    <x v="2"/>
    <x v="7"/>
    <d v="2024-06-18T00:00:00"/>
    <x v="430"/>
    <x v="4"/>
    <s v="Delivered"/>
    <x v="5"/>
    <x v="0"/>
    <s v="https://saranistudio.sharepoint.com/:f:/s/SaraniAssets/EvYFJ4v0DXxKv8QMdttHaasBiWIQk6La2tTExiZ85-Pc_A?e=ZZ85AK"/>
    <n v="2"/>
    <n v="175"/>
    <m/>
    <x v="7"/>
    <x v="222"/>
    <m/>
    <s v="Sent"/>
    <s v="F2024-0297"/>
    <s v="Waiting payment for 30/08/2024"/>
  </r>
  <r>
    <s v="Sony "/>
    <s v="SFR"/>
    <x v="3"/>
    <x v="2"/>
    <x v="7"/>
    <d v="2024-06-19T00:00:00"/>
    <x v="431"/>
    <x v="9"/>
    <s v="Delivered"/>
    <x v="5"/>
    <x v="0"/>
    <s v="https://saranistudio.sharepoint.com/:f:/s/SaraniAssets/EjkN5MJKxstNnYuYg4wExZsBKcvbXqKGIuCqsZRL0MPa7w?e=IffpqF"/>
    <n v="10"/>
    <n v="400"/>
    <m/>
    <x v="1"/>
    <x v="221"/>
    <m/>
    <s v="Sent"/>
    <s v="F2024-0309"/>
    <s v="Waiting payment for 03/09/2024"/>
  </r>
  <r>
    <s v="Sony "/>
    <s v="SFR"/>
    <x v="3"/>
    <x v="2"/>
    <x v="7"/>
    <d v="2024-06-19T00:00:00"/>
    <x v="432"/>
    <x v="9"/>
    <s v="Delivered"/>
    <x v="3"/>
    <x v="0"/>
    <s v="https://saranistudio.sharepoint.com/:f:/s/SaraniAssets/Evvp5syt8NlKu3x6h_651tIB-xSmhJi0-kGGbrySc9gK2g?e=eanFli"/>
    <n v="1"/>
    <n v="135"/>
    <s v="https://saranistudio-my.sharepoint.com/:b:/g/personal/team_sarani_studio/EQi3l5ZPK7ZAvDYVcqQPSa0BLjgLdqrVAzIX2FxMQX_sCA?e=9gaHFF"/>
    <x v="6"/>
    <x v="223"/>
    <m/>
    <s v="Sent"/>
    <s v="F2024-0357"/>
    <s v="Waiting for payment 01/10/2024"/>
  </r>
  <r>
    <s v="Sony "/>
    <s v="SFR"/>
    <x v="3"/>
    <x v="2"/>
    <x v="7"/>
    <d v="2024-06-20T00:00:00"/>
    <x v="433"/>
    <x v="9"/>
    <s v="Delivered"/>
    <x v="3"/>
    <x v="0"/>
    <s v="https://saranistudio.sharepoint.com/:f:/s/SaraniAssets/EpHwwxgqhI5Oljt17Lf697IBtYjB1btFjmXzue9fCkPNHw?e=CCkE6Y"/>
    <n v="1"/>
    <n v="135"/>
    <s v="https://saranistudio-my.sharepoint.com/:b:/g/personal/team_sarani_studio/EfG20n0-ZpdJv7g8OvwqCvEBpJApmtVumFpqpiAyJ2EJOA?e=Okk0mn"/>
    <x v="6"/>
    <x v="223"/>
    <m/>
    <s v="Sent"/>
    <s v="F2024-0357"/>
    <s v="Waiting for payment 01/10/2024"/>
  </r>
  <r>
    <s v="Sony "/>
    <s v="SFR"/>
    <x v="3"/>
    <x v="2"/>
    <x v="7"/>
    <d v="2024-06-20T00:00:00"/>
    <x v="434"/>
    <x v="4"/>
    <s v="Delivered"/>
    <x v="5"/>
    <x v="0"/>
    <s v="https://saranistudio.sharepoint.com/:f:/s/SaraniAssets/EgZajInehrxFifPoaPJ4-5gBmKU4v2d4wGVxQkaIM8RXzw?e=BfbSqu"/>
    <n v="1"/>
    <n v="135"/>
    <m/>
    <x v="7"/>
    <x v="222"/>
    <m/>
    <s v="Sent"/>
    <s v="F2024-0297"/>
    <s v="Waiting payment for 30/08/2024"/>
  </r>
  <r>
    <s v="Sony "/>
    <s v="SFR"/>
    <x v="3"/>
    <x v="2"/>
    <x v="7"/>
    <d v="2024-06-20T00:00:00"/>
    <x v="435"/>
    <x v="9"/>
    <s v="Delivered"/>
    <x v="3"/>
    <x v="0"/>
    <s v="https://saranistudio.sharepoint.com/:f:/s/SaraniAssets/EhbO9XzfOCpEj8BayD-357EBr7rP_AXRMU_UkxK6_rmjxg?e=Wx7LoI"/>
    <n v="1"/>
    <n v="120"/>
    <s v="https://saranistudio-my.sharepoint.com/:b:/g/personal/team_sarani_studio/ES-xqsS-U7dOluwLpPqvmrABbdaSHCABG-5p8eaf_d_1RA?e=IyR6Ad"/>
    <x v="6"/>
    <x v="223"/>
    <m/>
    <s v="Sent"/>
    <s v="F2024-0357"/>
    <s v="Waiting for payment 01/10/2024"/>
  </r>
  <r>
    <s v="Sony "/>
    <s v="SFR"/>
    <x v="3"/>
    <x v="2"/>
    <x v="7"/>
    <d v="2024-06-20T00:00:00"/>
    <x v="436"/>
    <x v="5"/>
    <s v="Delivered"/>
    <x v="3"/>
    <x v="1"/>
    <s v="https://saranistudio-my.sharepoint.com/:f:/g/personal/team_sarani_studio/Egj4cX4pxGtJhLcuZRe4SgIB1aofCP5Wp59nYn874HRKqw?e=QamI4u"/>
    <n v="1"/>
    <n v="80"/>
    <m/>
    <x v="0"/>
    <x v="220"/>
    <s v="Juillet"/>
    <s v="Sent"/>
    <s v="F2024-0355"/>
    <s v="Waiting for payment 01/10/2024"/>
  </r>
  <r>
    <s v="Sony "/>
    <s v="SFR"/>
    <x v="3"/>
    <x v="2"/>
    <x v="7"/>
    <d v="2024-06-20T00:00:00"/>
    <x v="437"/>
    <x v="5"/>
    <s v="Delivered"/>
    <x v="3"/>
    <x v="1"/>
    <s v="https://saranistudio.sharepoint.com/:f:/s/SaraniAssets/Eq5c6z0PoPRPhMz9b_uScU8BaXV5C-LsqKeQN9vcX139hA?e=uRJ9ga"/>
    <n v="1"/>
    <n v="135"/>
    <m/>
    <x v="1"/>
    <x v="220"/>
    <s v="Juillet"/>
    <s v="Sent"/>
    <s v="F2024-0355"/>
    <s v="Waiting for payment 01/10/2024"/>
  </r>
  <r>
    <s v="Sony "/>
    <s v="SFR"/>
    <x v="3"/>
    <x v="2"/>
    <x v="7"/>
    <d v="2024-06-28T00:00:00"/>
    <x v="438"/>
    <x v="4"/>
    <s v="Delivered"/>
    <x v="5"/>
    <x v="0"/>
    <s v="https://saranistudio.sharepoint.com/:f:/s/SaraniAssets/EpVspBwu9T5Dnu62V0u8-UUB3RNwbh9SCdYryKyrQFEe1Q?e=5f04xQ"/>
    <n v="1"/>
    <n v="180"/>
    <s v="https://saranistudio-my.sharepoint.com/:b:/g/personal/team_sarani_studio/EZb6XLaWbcVIhvt3p_3Zi2oBzqdHs8hxQRV652nw5gkE6Q?e=wIXarR"/>
    <x v="6"/>
    <x v="227"/>
    <m/>
    <s v="Sent"/>
    <s v="F2024-0333"/>
    <s v="Waiting paiment for 20/09/2024"/>
  </r>
  <r>
    <s v="Sony "/>
    <s v="SFR"/>
    <x v="3"/>
    <x v="3"/>
    <x v="11"/>
    <d v="2024-07-01T00:00:00"/>
    <x v="439"/>
    <x v="4"/>
    <s v="Delivered"/>
    <x v="5"/>
    <x v="0"/>
    <s v="https://saranistudio.sharepoint.com/:f:/s/SaraniAssets/EkJvrKlxTgFIh7hLhLwT5D4BALVUOMlVKTX5rUvsIhOT4g?e=wXyAPi"/>
    <n v="2"/>
    <n v="70"/>
    <s v="https://saranistudio-my.sharepoint.com/:b:/g/personal/team_sarani_studio/EeLRdWvkq-pHgw9beHz28w0ByuGopZZ74B5-pOtRH3zGYg?e=bH2ymU"/>
    <x v="6"/>
    <x v="227"/>
    <m/>
    <s v="Sent"/>
    <s v="F2024-0333"/>
    <s v="Waiting paiment for 20/09/2024"/>
  </r>
  <r>
    <s v="Sony "/>
    <s v="SFR"/>
    <x v="3"/>
    <x v="3"/>
    <x v="11"/>
    <d v="2024-07-01T00:00:00"/>
    <x v="440"/>
    <x v="4"/>
    <s v="Delivered"/>
    <x v="5"/>
    <x v="0"/>
    <s v="https://saranistudio.sharepoint.com/:f:/s/SaraniAssets/EuAK_QR69m9Ngyh_AIqX7yABWO9Zm-ysRoxPBof0dr1mfQ?e=UQG1AE"/>
    <n v="20"/>
    <n v="865"/>
    <s v="https://saranistudio-my.sharepoint.com/:b:/g/personal/team_sarani_studio/ESUr14er0ctCuqjXS5pKcFwBZQMUv24UoqJ089QsXxOx8Q?e=etBxNM"/>
    <x v="6"/>
    <x v="228"/>
    <d v="2024-09-01T00:00:00"/>
    <s v="Sent"/>
    <s v="F2024-0336"/>
    <s v="Waiting payment for 20/09/2024"/>
  </r>
  <r>
    <s v="Sony "/>
    <s v="SFR"/>
    <x v="3"/>
    <x v="3"/>
    <x v="11"/>
    <d v="2024-07-01T00:00:00"/>
    <x v="441"/>
    <x v="4"/>
    <s v="Delivered"/>
    <x v="5"/>
    <x v="0"/>
    <s v="https://saranistudio.sharepoint.com/:f:/s/SaraniAssets/EpBgsamiTbFLk-peY6eAUgUB8YCr8jZOec1vUh_6gql4UA?e=bBUtF2"/>
    <n v="12"/>
    <n v="430"/>
    <s v="https://saranistudio-my.sharepoint.com/:b:/g/personal/team_sarani_studio/ESf7AlpGyshBi8q2UN7qFFQBBY8ZjhlLo1hqROdcyONh6Q?e=xwVbip"/>
    <x v="6"/>
    <x v="229"/>
    <d v="2024-09-01T00:00:00"/>
    <s v="Sent"/>
    <s v="F2024-0337"/>
    <s v="Waiting payment for 20/09/2024"/>
  </r>
  <r>
    <s v="Sony "/>
    <s v="SFR"/>
    <x v="3"/>
    <x v="3"/>
    <x v="11"/>
    <d v="2024-07-01T00:00:00"/>
    <x v="442"/>
    <x v="4"/>
    <s v="Delivered"/>
    <x v="5"/>
    <x v="0"/>
    <s v="https://saranistudio.sharepoint.com/:f:/s/SaraniAssets/EolyJiuXLQxBt73lhfEQbVQBIKj04CfpxHdGYUgnz6ITag?e=DTCo16"/>
    <n v="11"/>
    <n v="470"/>
    <s v="https://saranistudio-my.sharepoint.com/:b:/g/personal/team_sarani_studio/EXh4CRIobZ1EqSXZ37LH8H8B47hT7vT-s39bGU34THKxeg?e=fXAdvR"/>
    <x v="6"/>
    <x v="230"/>
    <d v="2024-09-01T00:00:00"/>
    <s v="Sent"/>
    <s v="F2024-0335"/>
    <s v="Waiting payment for 20/09/2024"/>
  </r>
  <r>
    <s v="Sony "/>
    <s v="SFR"/>
    <x v="3"/>
    <x v="3"/>
    <x v="11"/>
    <d v="2024-07-01T00:00:00"/>
    <x v="443"/>
    <x v="9"/>
    <s v="Delivered"/>
    <x v="9"/>
    <x v="0"/>
    <s v="https://saranistudio.sharepoint.com/:f:/s/SaraniAssets/EiRpfY_yquBNog0NBAVobvIBn3V9qrJAy-Lvp6b5P_XP_Q?e=J1Jmaj"/>
    <n v="1"/>
    <n v="135"/>
    <s v="https://saranistudio-my.sharepoint.com/:b:/g/personal/team_sarani_studio/EbeybU3vCIRBjVksjjdrm5UBLkUZkQcWkpdpN61_UkEgBw?e=BDfZKX"/>
    <x v="6"/>
    <x v="188"/>
    <m/>
    <s v="Sent"/>
    <s v="F2024-0358"/>
    <s v="Waiting for payment 01/10/2024"/>
  </r>
  <r>
    <s v="Sony "/>
    <s v="SFR"/>
    <x v="3"/>
    <x v="3"/>
    <x v="11"/>
    <d v="2024-07-02T00:00:00"/>
    <x v="444"/>
    <x v="4"/>
    <s v="Delivered"/>
    <x v="5"/>
    <x v="0"/>
    <s v="https://saranistudio.sharepoint.com/:f:/s/SaraniAssets/EpbpHP8AG-ZBkDqink_15fMB8jqc7IHw1dev2t__mqdaKQ?e=FBJ8UF"/>
    <n v="7"/>
    <n v="245"/>
    <s v="https://saranistudio-my.sharepoint.com/:b:/g/personal/team_sarani_studio/EXgQfY4jEmpNlj81H0UGQ4cBrw0hqmidKspYF51ezcVSgw?e=XQ44gZ"/>
    <x v="6"/>
    <x v="229"/>
    <d v="2024-09-01T00:00:00"/>
    <s v="Sent"/>
    <s v="F2024-0337"/>
    <s v="Waiting payment for 20/09/2024"/>
  </r>
  <r>
    <s v="Sony "/>
    <s v="SFR"/>
    <x v="3"/>
    <x v="3"/>
    <x v="11"/>
    <d v="2024-07-03T00:00:00"/>
    <x v="445"/>
    <x v="5"/>
    <s v="Delivered"/>
    <x v="0"/>
    <x v="1"/>
    <s v="https://saranistudio.sharepoint.com/:f:/s/SaraniAssets/EtqHfimpfxhGppOD-ZaLOvYBk-hY54gXjNLgP7htjM0n3A?e=RRXAiA"/>
    <n v="1"/>
    <n v="120"/>
    <m/>
    <x v="1"/>
    <x v="214"/>
    <s v="Aout"/>
    <s v="Sent"/>
    <s v="F2024-0370"/>
    <s v="Waiting payment for 26/10/2024"/>
  </r>
  <r>
    <s v="Sony "/>
    <s v="SFR"/>
    <x v="3"/>
    <x v="3"/>
    <x v="11"/>
    <d v="2024-07-04T00:00:00"/>
    <x v="446"/>
    <x v="4"/>
    <s v="Delivered"/>
    <x v="5"/>
    <x v="0"/>
    <s v="https://saranistudio.sharepoint.com/:f:/s/SaraniAssets/Ev9vsoKXkx1IuTFU5dO7qPwBFBqvMMYdOk9qbsAls2q4QA?e=93Gh9n"/>
    <n v="31"/>
    <n v="1170"/>
    <s v="https://saranistudio-my.sharepoint.com/:b:/g/personal/team_sarani_studio/EV2YjuOuYO5FlGOq-alAfjQB_mWQAzauCgmG4xmaIMIA9A?e=bAXt3F"/>
    <x v="6"/>
    <x v="231"/>
    <d v="2024-09-01T00:00:00"/>
    <s v="Sent"/>
    <s v="F2024-0334"/>
    <s v="Waiting payment for 20/09/2024"/>
  </r>
  <r>
    <s v="Sony "/>
    <s v="SFR"/>
    <x v="3"/>
    <x v="3"/>
    <x v="11"/>
    <d v="2024-07-08T00:00:00"/>
    <x v="447"/>
    <x v="5"/>
    <s v="Delivered"/>
    <x v="0"/>
    <x v="1"/>
    <m/>
    <m/>
    <n v="120"/>
    <m/>
    <x v="1"/>
    <x v="186"/>
    <s v="Juin"/>
    <s v="Sent"/>
    <s v="F2024-0313"/>
    <s v="Waiting payment  for 03/09/2024"/>
  </r>
  <r>
    <s v="Sony "/>
    <s v="SFR"/>
    <x v="3"/>
    <x v="3"/>
    <x v="11"/>
    <d v="2024-07-08T00:00:00"/>
    <x v="448"/>
    <x v="5"/>
    <s v="Delivered"/>
    <x v="5"/>
    <x v="1"/>
    <s v="https://saranistudio.sharepoint.com/:f:/s/SaraniAssets/EoXaxbPJpHVLp15kcjeVvngBduoPc8biQSRCNO4CQOLPzQ?e=cap6Fg"/>
    <n v="8"/>
    <n v="535"/>
    <m/>
    <x v="1"/>
    <x v="232"/>
    <s v="Aout"/>
    <s v="Sent"/>
    <s v="F2024-0371"/>
    <s v="Waiting payment for 26/10/2024"/>
  </r>
  <r>
    <s v="Sony "/>
    <s v="SFR"/>
    <x v="3"/>
    <x v="3"/>
    <x v="11"/>
    <d v="2024-07-08T00:00:00"/>
    <x v="449"/>
    <x v="24"/>
    <s v="Delivered"/>
    <x v="5"/>
    <x v="0"/>
    <s v="https://saranistudio.sharepoint.com/:f:/s/SaraniAssets/Ehw1jfO_jvZKt_Z30_gShkYBxoCZzKDb3CLVsmsr2aQrGg?e=xtWtHR"/>
    <n v="2"/>
    <n v="70"/>
    <s v="https://saranistudio-my.sharepoint.com/:b:/g/personal/team_sarani_studio/EX-NIXOQLjZDue0jxyrxdcgBp72NBICObQhicC5pCYDaMw?e=p5l8hF"/>
    <x v="6"/>
    <x v="61"/>
    <m/>
    <m/>
    <m/>
    <m/>
  </r>
  <r>
    <s v="Sony "/>
    <s v="SFR"/>
    <x v="3"/>
    <x v="3"/>
    <x v="11"/>
    <d v="2024-07-10T00:00:00"/>
    <x v="450"/>
    <x v="6"/>
    <s v="Delivered"/>
    <x v="5"/>
    <x v="0"/>
    <s v="https://saranistudio.sharepoint.com/:f:/s/SaraniAssets/EkHdbaOf_mtHmlvprjN-kFkBEty88UphCbmtw3vE9bh1uQ?e=nu7lfZ"/>
    <n v="1"/>
    <n v="135"/>
    <s v="https://saranistudio-my.sharepoint.com/:b:/g/personal/team_sarani_studio/EU5haV2IanlHj8Ck_XLe4k8B7ijwc9YXNUbEt2pPRmHJ0A?e=crFont"/>
    <x v="6"/>
    <x v="61"/>
    <m/>
    <m/>
    <m/>
    <m/>
  </r>
  <r>
    <s v="Sony "/>
    <s v="SFR"/>
    <x v="3"/>
    <x v="3"/>
    <x v="11"/>
    <d v="2024-07-11T00:00:00"/>
    <x v="451"/>
    <x v="5"/>
    <s v="Delivered"/>
    <x v="5"/>
    <x v="1"/>
    <s v="https://saranistudio.sharepoint.com/:f:/s/SaraniAssets/Ei-Vlc8DKbtEqeHCv12wBhEBHr4hwqDfMhy4qgQiFi5o7A?e=B6uQn1"/>
    <n v="3"/>
    <n v="195"/>
    <m/>
    <x v="1"/>
    <x v="232"/>
    <s v="Aout"/>
    <s v="Sent"/>
    <s v="F2024-0372"/>
    <s v="Waiting payment for 26/10/2024"/>
  </r>
  <r>
    <s v="Sony "/>
    <s v="SFR"/>
    <x v="3"/>
    <x v="3"/>
    <x v="11"/>
    <d v="2024-07-15T00:00:00"/>
    <x v="452"/>
    <x v="13"/>
    <s v="Delivered"/>
    <x v="0"/>
    <x v="1"/>
    <s v="https://saranistudio.sharepoint.com/:f:/s/SaraniAssets/EnDGwhOIgKpKmvhf95Wcy5IBbYZioYn5VfY1L6G8SIbKrQ?e=I0DCKj"/>
    <n v="16"/>
    <n v="645"/>
    <m/>
    <x v="1"/>
    <x v="214"/>
    <s v="Aout"/>
    <s v="Sent"/>
    <s v="F2024-0373"/>
    <s v="Waiting payment for 26/10/2024"/>
  </r>
  <r>
    <s v="Sony "/>
    <s v="SFR"/>
    <x v="3"/>
    <x v="3"/>
    <x v="11"/>
    <d v="2024-07-16T00:00:00"/>
    <x v="453"/>
    <x v="9"/>
    <s v="Delivered"/>
    <x v="9"/>
    <x v="0"/>
    <s v="https://saranistudio.sharepoint.com/:f:/s/SaraniAssets/El-xdUxsSoRLkS_yGY722hQB_ol9-FafSLAm4YRKbMZDOw?e=cTPv99"/>
    <n v="1"/>
    <n v="135"/>
    <m/>
    <x v="1"/>
    <x v="187"/>
    <m/>
    <m/>
    <m/>
    <m/>
  </r>
  <r>
    <s v="Sony "/>
    <s v="SFR"/>
    <x v="3"/>
    <x v="3"/>
    <x v="11"/>
    <d v="2024-07-18T00:00:00"/>
    <x v="454"/>
    <x v="9"/>
    <s v="Delivered"/>
    <x v="5"/>
    <x v="0"/>
    <s v="https://saranistudio.sharepoint.com/:f:/s/SaraniAssets/EsZamTc6Ug1Agjjy8-wlKaQBsss-8Ktl8g26mLyNwp_Jmw?e=6lczzk"/>
    <n v="1"/>
    <n v="40"/>
    <m/>
    <x v="6"/>
    <x v="221"/>
    <m/>
    <s v="Sent"/>
    <s v="F2024-0354"/>
    <s v="Waiting for payment 01/10/2024"/>
  </r>
  <r>
    <s v="Sony "/>
    <s v="SFR"/>
    <x v="3"/>
    <x v="3"/>
    <x v="11"/>
    <d v="2024-07-19T00:00:00"/>
    <x v="455"/>
    <x v="11"/>
    <s v="Delivered"/>
    <x v="0"/>
    <x v="0"/>
    <s v="https://saranistudio.sharepoint.com/:f:/s/SaraniAssets/EsVUeEMY1-pHmuV_uTBInBcBxIaFln7K81JfhoYxxrkQHg?e=Vmwsl6"/>
    <n v="1"/>
    <n v="40"/>
    <s v="https://saranistudio-my.sharepoint.com/:b:/g/personal/team_sarani_studio/EREAGX4HaJ9LlO6tP-c7a1EBG7GEDiuKCCDrUgK4yc3_1A?e=iw52tY"/>
    <x v="6"/>
    <x v="233"/>
    <m/>
    <s v="Sent"/>
    <s v="F2024-0430"/>
    <s v="Waiting payment for 09/11/2024"/>
  </r>
  <r>
    <s v="Sony "/>
    <s v="SFR"/>
    <x v="3"/>
    <x v="2"/>
    <x v="7"/>
    <d v="2024-06-20T00:00:00"/>
    <x v="456"/>
    <x v="5"/>
    <s v="Delivered"/>
    <x v="3"/>
    <x v="1"/>
    <s v="https://saranistudio-my.sharepoint.com/:f:/g/personal/team_sarani_studio/Egj4cX4pxGtJhLcuZRe4SgIB1aofCP5Wp59nYn874HRKqw?e=QamI4u"/>
    <n v="1"/>
    <n v="150"/>
    <m/>
    <x v="1"/>
    <x v="220"/>
    <s v="Aout"/>
    <s v="Sent "/>
    <s v="F2024-0374"/>
    <s v="Waiting payment for 26/10/2024"/>
  </r>
  <r>
    <s v="Sony "/>
    <s v="SFR"/>
    <x v="3"/>
    <x v="3"/>
    <x v="11"/>
    <d v="2024-07-24T00:00:00"/>
    <x v="457"/>
    <x v="4"/>
    <s v="Delivered"/>
    <x v="5"/>
    <x v="0"/>
    <s v="https://saranistudio.sharepoint.com/:f:/s/SaraniAssets/Es3F2UBug-dNnBJo23Q-QeMBR7tDh3g1U8hVNfX1-3KkeA?e=d6QiDw"/>
    <n v="7"/>
    <n v="280"/>
    <s v="https://saranistudio-my.sharepoint.com/:b:/g/personal/team_sarani_studio/ET8tBzkYkBRKjRFuoqNRv1ABsUUPbhOcmnGmwcv9rJG61w?e=ESIRId"/>
    <x v="6"/>
    <x v="187"/>
    <m/>
    <m/>
    <m/>
    <m/>
  </r>
  <r>
    <s v="Sony "/>
    <s v="SFR"/>
    <x v="3"/>
    <x v="3"/>
    <x v="11"/>
    <d v="2024-07-29T00:00:00"/>
    <x v="458"/>
    <x v="11"/>
    <s v="Delivered"/>
    <x v="12"/>
    <x v="0"/>
    <s v="20240729_ULT FIELD 7_3 PLV"/>
    <n v="3"/>
    <n v="120"/>
    <s v="https://saranistudio-my.sharepoint.com/:b:/g/personal/team_sarani_studio/Ee6BRtDNh_9DvK32aI06QvwBlo8ed0CoAIMO8Jo2XM7VZw?e=VzE19h"/>
    <x v="6"/>
    <x v="187"/>
    <m/>
    <m/>
    <m/>
    <m/>
  </r>
  <r>
    <s v="Sony "/>
    <s v="SFR"/>
    <x v="3"/>
    <x v="3"/>
    <x v="11"/>
    <d v="2024-07-29T00:00:00"/>
    <x v="459"/>
    <x v="4"/>
    <s v="Delivered"/>
    <x v="5"/>
    <x v="0"/>
    <s v="https://saranistudio.sharepoint.com/:f:/s/SaraniAssets/Et3iXbm3KSxPmJBToc1U0p8Bsfg_pcL5p4IzC5Eg2Z4ecw?e=TnRBQT"/>
    <n v="39"/>
    <n v="1650"/>
    <m/>
    <x v="6"/>
    <x v="234"/>
    <m/>
    <s v="Sent"/>
    <s v="F2024-0432"/>
    <s v="Waiting payment for 09/11/2024"/>
  </r>
  <r>
    <s v="Sony "/>
    <s v="SFR"/>
    <x v="3"/>
    <x v="3"/>
    <x v="11"/>
    <d v="2024-07-30T00:00:00"/>
    <x v="460"/>
    <x v="5"/>
    <s v="Delivered"/>
    <x v="3"/>
    <x v="1"/>
    <s v="https://saranistudio.sharepoint.com/:f:/s/SaraniAssets/EmLovRNhETxAmk2doaBZE2oB7IAQr6aroTqtZs1dZNEoCg?e=I1dhYA"/>
    <n v="1"/>
    <n v="120"/>
    <m/>
    <x v="1"/>
    <x v="187"/>
    <s v="Septembre"/>
    <m/>
    <m/>
    <m/>
  </r>
  <r>
    <s v="Sony "/>
    <s v="SFR"/>
    <x v="3"/>
    <x v="3"/>
    <x v="11"/>
    <d v="2024-07-30T00:00:00"/>
    <x v="461"/>
    <x v="9"/>
    <s v="Delivered"/>
    <x v="8"/>
    <x v="0"/>
    <s v="https://saranistudio.sharepoint.com/:f:/s/SaraniAssets/Ehh_kaWTCf9IoLAp_rtpc8ABSnWOEC0tTPhpXphTtWIuJw?e=sBdDuU"/>
    <n v="2"/>
    <n v="290"/>
    <m/>
    <x v="1"/>
    <x v="187"/>
    <m/>
    <m/>
    <m/>
    <m/>
  </r>
  <r>
    <s v="Sony "/>
    <s v="SFR"/>
    <x v="3"/>
    <x v="3"/>
    <x v="11"/>
    <d v="2024-07-31T00:00:00"/>
    <x v="462"/>
    <x v="5"/>
    <s v="Delivered"/>
    <x v="5"/>
    <x v="1"/>
    <s v="https://saranistudio.sharepoint.com/:f:/s/SaraniAssets/Enu7Fy8gbalChU1-KQ0eK88Bu0jqy09lBNy0duUZLw_0fg?e=cn2aOk"/>
    <n v="2"/>
    <n v="155"/>
    <m/>
    <x v="1"/>
    <x v="187"/>
    <s v="Septembre"/>
    <m/>
    <m/>
    <m/>
  </r>
  <r>
    <s v="Sony "/>
    <s v="SFR"/>
    <x v="3"/>
    <x v="3"/>
    <x v="11"/>
    <d v="2024-07-31T00:00:00"/>
    <x v="463"/>
    <x v="4"/>
    <s v="Delivered"/>
    <x v="5"/>
    <x v="0"/>
    <s v="https://saranistudio.sharepoint.com/:f:/s/SaraniAssets/EjFSjDYzorNLgbn7yPkR_ssB1ksnxWQioy4SwdjyScB89A?e=ZnxX8e"/>
    <n v="4"/>
    <n v="310"/>
    <m/>
    <x v="1"/>
    <x v="187"/>
    <m/>
    <m/>
    <m/>
    <m/>
  </r>
  <r>
    <s v="Sony "/>
    <s v="SFR"/>
    <x v="3"/>
    <x v="3"/>
    <x v="11"/>
    <d v="2024-07-31T00:00:00"/>
    <x v="464"/>
    <x v="9"/>
    <s v="Delivered"/>
    <x v="7"/>
    <x v="0"/>
    <s v="https://saranistudio.sharepoint.com/:f:/s/SaraniAssets/EhbO9XzfOCpEj8BayD-357EBr7rP_AXRMU_UkxK6_rmjxg?e=rNibsF"/>
    <n v="1"/>
    <n v="35"/>
    <m/>
    <x v="6"/>
    <x v="187"/>
    <m/>
    <m/>
    <m/>
    <m/>
  </r>
  <r>
    <s v="Sony "/>
    <s v="SFR"/>
    <x v="3"/>
    <x v="3"/>
    <x v="8"/>
    <d v="2024-08-05T00:00:00"/>
    <x v="465"/>
    <x v="5"/>
    <s v="Delivered"/>
    <x v="3"/>
    <x v="1"/>
    <s v="20240805_Boulanger_Bannières Back To School"/>
    <n v="10"/>
    <n v="775"/>
    <m/>
    <x v="1"/>
    <x v="187"/>
    <s v="Septembre"/>
    <m/>
    <m/>
    <m/>
  </r>
  <r>
    <s v="Sony "/>
    <s v="SFR"/>
    <x v="3"/>
    <x v="3"/>
    <x v="8"/>
    <d v="2024-08-06T00:00:00"/>
    <x v="466"/>
    <x v="9"/>
    <s v="Delivered"/>
    <x v="7"/>
    <x v="0"/>
    <s v="20240806_MARCOM HE Screenfills W800"/>
    <n v="2"/>
    <n v="70"/>
    <m/>
    <x v="6"/>
    <x v="187"/>
    <m/>
    <m/>
    <m/>
    <m/>
  </r>
  <r>
    <s v="Sony "/>
    <s v="SFR"/>
    <x v="3"/>
    <x v="3"/>
    <x v="8"/>
    <d v="2024-08-06T00:00:00"/>
    <x v="467"/>
    <x v="9"/>
    <s v="Delivered"/>
    <x v="9"/>
    <x v="0"/>
    <s v="https://saranistudio.sharepoint.com/:f:/s/SaraniAssets/EhgOVNUvyeZJuwCGlcsSD3QBOZRmvFZpnnrKl_oHOhnROg?e=OH7dsH"/>
    <n v="1"/>
    <n v="135"/>
    <m/>
    <x v="1"/>
    <x v="187"/>
    <m/>
    <m/>
    <m/>
    <m/>
  </r>
  <r>
    <s v="Sony "/>
    <s v="SFR"/>
    <x v="3"/>
    <x v="3"/>
    <x v="8"/>
    <d v="2024-08-08T00:00:00"/>
    <x v="468"/>
    <x v="9"/>
    <s v="Delivered"/>
    <x v="0"/>
    <x v="0"/>
    <s v="20240808_MARCOM HE PE _A4 MEG"/>
    <n v="1"/>
    <n v="180"/>
    <m/>
    <x v="1"/>
    <x v="187"/>
    <m/>
    <m/>
    <m/>
    <m/>
  </r>
  <r>
    <s v="Sony "/>
    <s v="SFR"/>
    <x v="3"/>
    <x v="3"/>
    <x v="8"/>
    <d v="2024-08-08T00:00:00"/>
    <x v="469"/>
    <x v="11"/>
    <s v="In progress"/>
    <x v="12"/>
    <x v="0"/>
    <s v="20240808_Brief gondole high power Boulanger"/>
    <n v="6"/>
    <n v="665"/>
    <m/>
    <x v="1"/>
    <x v="187"/>
    <m/>
    <m/>
    <m/>
    <m/>
  </r>
  <r>
    <s v="Sony "/>
    <s v="SFR"/>
    <x v="3"/>
    <x v="3"/>
    <x v="8"/>
    <d v="2024-08-08T00:00:00"/>
    <x v="470"/>
    <x v="11"/>
    <s v="Delivered"/>
    <x v="0"/>
    <x v="0"/>
    <s v="20240808_BANNIERES D2C CTL PRODUCT"/>
    <n v="8"/>
    <n v="280"/>
    <m/>
    <x v="1"/>
    <x v="187"/>
    <m/>
    <m/>
    <m/>
    <m/>
  </r>
  <r>
    <s v="Sony "/>
    <s v="SFR"/>
    <x v="3"/>
    <x v="3"/>
    <x v="8"/>
    <d v="2024-08-08T00:00:00"/>
    <x v="471"/>
    <x v="11"/>
    <s v="Delivered"/>
    <x v="0"/>
    <x v="0"/>
    <s v="https://saranistudio.sharepoint.com/:f:/s/SaraniAssets/EldybPEP3DpJum6hkhNYDq0BgzMZ4YB8EhK4dDHZL253Mg?e=fx2IyE"/>
    <n v="7"/>
    <n v="775"/>
    <m/>
    <x v="1"/>
    <x v="187"/>
    <m/>
    <m/>
    <m/>
    <m/>
  </r>
  <r>
    <s v="Sony "/>
    <s v="SFR"/>
    <x v="3"/>
    <x v="3"/>
    <x v="8"/>
    <d v="2024-08-09T00:00:00"/>
    <x v="472"/>
    <x v="11"/>
    <s v="Delivered"/>
    <x v="0"/>
    <x v="0"/>
    <s v="https://saranistudio.sharepoint.com/:f:/s/SaraniAssets/EqNRQXPIGLFMnEtYxw55MrgB6tiP3sItFi9I5Xj8teqxgg?e=a4gk1G"/>
    <n v="1"/>
    <n v="120"/>
    <m/>
    <x v="1"/>
    <x v="187"/>
    <m/>
    <m/>
    <m/>
    <m/>
  </r>
  <r>
    <s v="Sony "/>
    <s v="SFR"/>
    <x v="3"/>
    <x v="3"/>
    <x v="8"/>
    <d v="2024-08-09T00:00:00"/>
    <x v="473"/>
    <x v="11"/>
    <s v="Delivered"/>
    <x v="0"/>
    <x v="0"/>
    <s v="https://saranistudio.sharepoint.com/:f:/s/SaraniAssets/EjbsC7Mh3_ZLuJnQgIYtsdMBQoquw2O3m9mvLmVhLNZTug?e=eLNVyr"/>
    <n v="4"/>
    <n v="255"/>
    <m/>
    <x v="1"/>
    <x v="187"/>
    <m/>
    <m/>
    <m/>
    <m/>
  </r>
  <r>
    <s v="Sony "/>
    <s v="SFR"/>
    <x v="3"/>
    <x v="3"/>
    <x v="8"/>
    <d v="2024-08-09T00:00:00"/>
    <x v="474"/>
    <x v="11"/>
    <s v="Delivered"/>
    <x v="13"/>
    <x v="0"/>
    <s v="https://saranistudio.sharepoint.com/:f:/s/SaraniAssets/Ei0Vkdw8IxtEvUoz4RNKaQIBOeXZD-vHoc1HZKp2544PVQ?e=gCIelM"/>
    <n v="5"/>
    <n v="200"/>
    <m/>
    <x v="1"/>
    <x v="187"/>
    <m/>
    <m/>
    <m/>
    <m/>
  </r>
  <r>
    <s v="Sony "/>
    <s v="SFR"/>
    <x v="3"/>
    <x v="3"/>
    <x v="8"/>
    <d v="2024-08-13T00:00:00"/>
    <x v="475"/>
    <x v="25"/>
    <s v="Delivered"/>
    <x v="1"/>
    <x v="0"/>
    <s v="20240813_Panneau_Événement interne Sony"/>
    <n v="1"/>
    <n v="180"/>
    <m/>
    <x v="1"/>
    <x v="235"/>
    <m/>
    <s v="Sent"/>
    <s v="F2024-0364"/>
    <s v="Waiting for payment 26/10/2024"/>
  </r>
  <r>
    <s v="Sony "/>
    <s v="SFR"/>
    <x v="3"/>
    <x v="3"/>
    <x v="8"/>
    <d v="2024-08-20T00:00:00"/>
    <x v="476"/>
    <x v="11"/>
    <s v="Delivered"/>
    <x v="0"/>
    <x v="0"/>
    <s v="20240820_Gondole rayon casque TV Boulanger"/>
    <n v="2"/>
    <n v="155"/>
    <m/>
    <x v="6"/>
    <x v="187"/>
    <m/>
    <m/>
    <m/>
    <m/>
  </r>
  <r>
    <s v="Sony "/>
    <s v="SFR"/>
    <x v="3"/>
    <x v="3"/>
    <x v="8"/>
    <d v="2024-08-22T00:00:00"/>
    <x v="477"/>
    <x v="9"/>
    <s v="Delivered"/>
    <x v="8"/>
    <x v="0"/>
    <s v="https://saranistudio.sharepoint.com/:f:/s/SaraniAssets/EvmV9NOmpE1Gp73t6q6TKjsByUPz29qyu6IwEKEftD8Caw?e=fm3Imy"/>
    <n v="1"/>
    <n v="40"/>
    <s v="Quote Proposal SFR - MARCOM DI Print Chasseur d'images.pdf"/>
    <x v="6"/>
    <x v="187"/>
    <m/>
    <m/>
    <m/>
    <m/>
  </r>
  <r>
    <s v="Sony "/>
    <s v="SFR"/>
    <x v="3"/>
    <x v="3"/>
    <x v="8"/>
    <d v="2024-08-23T00:00:00"/>
    <x v="478"/>
    <x v="5"/>
    <s v="Delivered"/>
    <x v="3"/>
    <x v="1"/>
    <s v="https://saranistudio.sharepoint.com/:f:/s/SaraniAssets/EtT4NUZpbSZMmx7tPUeLB84BZ8gHWzq5cD8naTWFMi-KDA?e=M1gw9I"/>
    <n v="1"/>
    <n v="120"/>
    <m/>
    <x v="6"/>
    <x v="187"/>
    <m/>
    <m/>
    <m/>
    <m/>
  </r>
  <r>
    <s v="Sony "/>
    <s v="SFR"/>
    <x v="3"/>
    <x v="3"/>
    <x v="8"/>
    <d v="2024-08-26T00:00:00"/>
    <x v="479"/>
    <x v="4"/>
    <s v="Delivered"/>
    <x v="5"/>
    <x v="0"/>
    <s v="https://saranistudio.sharepoint.com/:f:/s/SaraniAssets/EjYhLXuA4fZIv1hplPTjm4wBK-OSZZazMtcy_pyV6Yq1pQ?e=pdaLri"/>
    <n v="13"/>
    <n v="540"/>
    <s v="Quote Proposal SFR - Nouveau VX8040_banners URGENTES.pdf"/>
    <x v="6"/>
    <x v="187"/>
    <m/>
    <m/>
    <m/>
    <m/>
  </r>
  <r>
    <s v="Sony "/>
    <s v="SFR"/>
    <x v="3"/>
    <x v="3"/>
    <x v="8"/>
    <d v="2024-08-28T00:00:00"/>
    <x v="480"/>
    <x v="6"/>
    <s v="Delivered"/>
    <x v="0"/>
    <x v="0"/>
    <s v="20240828_Visuel pour stand Fnac"/>
    <n v="1"/>
    <n v="40"/>
    <s v="Quote Proposal SFR - Visuel pour stand Fnac.pdf"/>
    <x v="6"/>
    <x v="187"/>
    <m/>
    <m/>
    <m/>
    <m/>
  </r>
  <r>
    <s v="Sony "/>
    <s v="SFR"/>
    <x v="3"/>
    <x v="3"/>
    <x v="8"/>
    <d v="2024-08-30T00:00:00"/>
    <x v="481"/>
    <x v="9"/>
    <s v="In progress"/>
    <x v="9"/>
    <x v="0"/>
    <s v="20240830_MARCOM HAV Chevalet A4 Synergie BRAVIA"/>
    <n v="1"/>
    <n v="40"/>
    <s v="Quote Proposal SFR - MARCOM HAV Chevalet A4 Synergie BRAVIA.pdf"/>
    <x v="6"/>
    <x v="187"/>
    <m/>
    <m/>
    <m/>
    <m/>
  </r>
  <r>
    <s v="Sony "/>
    <s v="SFR"/>
    <x v="3"/>
    <x v="3"/>
    <x v="10"/>
    <d v="2024-09-02T00:00:00"/>
    <x v="482"/>
    <x v="5"/>
    <s v="Delivered"/>
    <x v="4"/>
    <x v="1"/>
    <s v="20240902_BOULANGER_ULT WEAR_BRAVIA"/>
    <n v="2"/>
    <n v="70"/>
    <m/>
    <x v="6"/>
    <x v="187"/>
    <m/>
    <m/>
    <m/>
    <m/>
  </r>
  <r>
    <s v="Sony "/>
    <s v="SFR"/>
    <x v="3"/>
    <x v="3"/>
    <x v="10"/>
    <d v="2024-09-02T00:00:00"/>
    <x v="483"/>
    <x v="11"/>
    <s v="Delivered"/>
    <x v="0"/>
    <x v="0"/>
    <s v="20240902_2 Hangtags WH-CH520"/>
    <n v="1"/>
    <n v="135"/>
    <s v="Quote Proposal SFR - Hangtag WH-CH520.pdf"/>
    <x v="6"/>
    <x v="187"/>
    <m/>
    <m/>
    <m/>
    <m/>
  </r>
  <r>
    <s v="Sony "/>
    <s v="SFR"/>
    <x v="3"/>
    <x v="3"/>
    <x v="10"/>
    <d v="2024-09-02T00:00:00"/>
    <x v="484"/>
    <x v="9"/>
    <s v="Delivered"/>
    <x v="7"/>
    <x v="0"/>
    <s v="https://saranistudio.sharepoint.com/:f:/s/SaraniAssets/Ejd4EdnGdndEsE7uQDtJnCkBU_l8bxZiTow4LsziqyG6aQ?e=JS1kr3"/>
    <n v="1"/>
    <n v="180"/>
    <s v="Quote Proposal SFR - MARCOM HE Créa Muraux Boulanger.pdf"/>
    <x v="6"/>
    <x v="187"/>
    <m/>
    <m/>
    <m/>
    <m/>
  </r>
  <r>
    <s v="Sony "/>
    <s v="SFR"/>
    <x v="3"/>
    <x v="3"/>
    <x v="10"/>
    <d v="2024-09-04T00:00:00"/>
    <x v="485"/>
    <x v="9"/>
    <s v="Delivered"/>
    <x v="9"/>
    <x v="0"/>
    <s v="https://saranistudio.sharepoint.com/:f:/s/SaraniAssets/Ej8owhzrSclNvjHSokPxMiwBSZ_-j_e2xbEcekama5o4qw?e=jL125F"/>
    <n v="1"/>
    <n v="135"/>
    <s v="Quote Proposal SFR - MARCOM HAV A4 prix gamme HAV.pdf"/>
    <x v="6"/>
    <x v="187"/>
    <m/>
    <m/>
    <m/>
    <m/>
  </r>
  <r>
    <s v="Sony "/>
    <s v="SFR"/>
    <x v="3"/>
    <x v="3"/>
    <x v="10"/>
    <d v="2024-09-04T00:00:00"/>
    <x v="486"/>
    <x v="11"/>
    <s v="Delivered"/>
    <x v="0"/>
    <x v="0"/>
    <s v="Batch 06"/>
    <n v="1"/>
    <n v="135"/>
    <s v="Quote Proposal SFR - CUBE POS WF-510.pdf"/>
    <x v="6"/>
    <x v="187"/>
    <m/>
    <m/>
    <m/>
    <m/>
  </r>
  <r>
    <s v="Sony "/>
    <s v="SFR"/>
    <x v="3"/>
    <x v="3"/>
    <x v="10"/>
    <d v="2024-09-06T00:00:00"/>
    <x v="487"/>
    <x v="26"/>
    <s v="In progress"/>
    <x v="5"/>
    <x v="0"/>
    <s v="20240906_OP LENSES BACK TO SCHOOL"/>
    <n v="1"/>
    <n v="120"/>
    <s v="Quote Proposal SFR - OP LENSES BACK TO SCHOOL.pdf"/>
    <x v="6"/>
    <x v="187"/>
    <m/>
    <m/>
    <m/>
    <m/>
  </r>
  <r>
    <s v="Sony "/>
    <s v="SFR"/>
    <x v="3"/>
    <x v="3"/>
    <x v="10"/>
    <d v="2024-09-06T00:00:00"/>
    <x v="459"/>
    <x v="26"/>
    <s v="In progress"/>
    <x v="5"/>
    <x v="0"/>
    <s v="20240729_OP IP&amp;S AOUT_Focales Fixes et TRADE IN"/>
    <n v="1"/>
    <n v="720"/>
    <s v="Quote Proposal SFR - OP IP&amp;S AOUT_Focales Fixes et TRADE IN.pdf"/>
    <x v="6"/>
    <x v="187"/>
    <m/>
    <m/>
    <m/>
    <m/>
  </r>
  <r>
    <s v="Sony "/>
    <s v="SFR"/>
    <x v="3"/>
    <x v="3"/>
    <x v="10"/>
    <d v="2024-09-06T00:00:00"/>
    <x v="488"/>
    <x v="26"/>
    <s v="In progress"/>
    <x v="5"/>
    <x v="0"/>
    <s v="https://saranistudio.sharepoint.com/:f:/s/SaraniAssets/EmWjorTUBmVIqB8UmuCYIVABHDrPJsWq5-HSpU74LWrnqA?e=v27dme"/>
    <n v="1"/>
    <n v="250"/>
    <s v="Quote Proposal SFR - SDLP - LEAFLET MICROS.pdf"/>
    <x v="6"/>
    <x v="187"/>
    <m/>
    <m/>
    <m/>
    <m/>
  </r>
  <r>
    <s v="Sony "/>
    <s v="SFR"/>
    <x v="3"/>
    <x v="3"/>
    <x v="10"/>
    <d v="2024-09-09T00:00:00"/>
    <x v="489"/>
    <x v="11"/>
    <s v="Delivered"/>
    <x v="0"/>
    <x v="0"/>
    <s v="20240909_SFR - Brief chevalet WF-1000XM5 New affordable"/>
    <n v="1"/>
    <n v="135"/>
    <s v="Quote Proposal SFR - Brief chevalet WF-1000XM5 New affordable.pdf"/>
    <x v="6"/>
    <x v="187"/>
    <m/>
    <m/>
    <m/>
    <m/>
  </r>
  <r>
    <m/>
    <m/>
    <x v="2"/>
    <x v="4"/>
    <x v="12"/>
    <m/>
    <x v="490"/>
    <x v="12"/>
    <m/>
    <x v="6"/>
    <x v="2"/>
    <m/>
    <m/>
    <m/>
    <m/>
    <x v="6"/>
    <x v="187"/>
    <m/>
    <m/>
    <m/>
    <m/>
  </r>
  <r>
    <m/>
    <m/>
    <x v="2"/>
    <x v="4"/>
    <x v="12"/>
    <m/>
    <x v="490"/>
    <x v="12"/>
    <m/>
    <x v="6"/>
    <x v="2"/>
    <m/>
    <m/>
    <m/>
    <m/>
    <x v="6"/>
    <x v="187"/>
    <m/>
    <m/>
    <m/>
    <m/>
  </r>
  <r>
    <s v="Sony "/>
    <s v="SFR"/>
    <x v="3"/>
    <x v="3"/>
    <x v="10"/>
    <d v="2024-09-11T00:00:00"/>
    <x v="491"/>
    <x v="9"/>
    <s v="In progress"/>
    <x v="8"/>
    <x v="2"/>
    <s v="20240911_MEDIA DI Print septembre"/>
    <n v="3"/>
    <n v="215"/>
    <m/>
    <x v="1"/>
    <x v="187"/>
    <m/>
    <m/>
    <m/>
    <m/>
  </r>
  <r>
    <s v="Sony "/>
    <s v="SFR"/>
    <x v="3"/>
    <x v="3"/>
    <x v="10"/>
    <d v="2024-09-11T00:00:00"/>
    <x v="492"/>
    <x v="26"/>
    <s v="In progress"/>
    <x v="5"/>
    <x v="2"/>
    <s v="https://saranistudio.sharepoint.com/:f:/s/SaraniAssets/Eg_1gdvbg8xNh-v1HEaNdt8BOi0iRVVF2ySuu1eddPTpNw?e=9RCr6j"/>
    <n v="1"/>
    <n v="180"/>
    <m/>
    <x v="1"/>
    <x v="187"/>
    <m/>
    <m/>
    <m/>
    <m/>
  </r>
  <r>
    <s v="Sony "/>
    <s v="SFR"/>
    <x v="3"/>
    <x v="3"/>
    <x v="10"/>
    <d v="2024-09-11T00:00:00"/>
    <x v="493"/>
    <x v="5"/>
    <s v="In progress"/>
    <x v="0"/>
    <x v="2"/>
    <s v="https://saranistudio.sharepoint.com/:f:/s/SaraniAssets/EjJLW1cqL85KmBhb55cr4KQBQwhoRHrfphj6TKn8pzDJdQ?e=8K3P6S"/>
    <n v="1"/>
    <n v="120"/>
    <m/>
    <x v="1"/>
    <x v="187"/>
    <m/>
    <m/>
    <m/>
    <m/>
  </r>
  <r>
    <m/>
    <m/>
    <x v="2"/>
    <x v="4"/>
    <x v="12"/>
    <d v="2024-09-11T00:00:00"/>
    <x v="494"/>
    <x v="17"/>
    <s v="In progress"/>
    <x v="0"/>
    <x v="2"/>
    <s v="https://saranistudio.sharepoint.com/:f:/s/SaraniAssets/Ei8My_eLX_JNnjtvmKjZR8YBTQdrs8q0DOgqhSVsIMvYKQ?e=tnfVHs"/>
    <n v="1"/>
    <n v="250"/>
    <m/>
    <x v="1"/>
    <x v="187"/>
    <m/>
    <m/>
    <m/>
    <m/>
  </r>
  <r>
    <m/>
    <m/>
    <x v="2"/>
    <x v="4"/>
    <x v="12"/>
    <d v="2024-09-11T00:00:00"/>
    <x v="495"/>
    <x v="9"/>
    <s v="In progress"/>
    <x v="9"/>
    <x v="2"/>
    <s v="https://saranistudio.sharepoint.com/:f:/s/SaraniAssets/EjyaFolLqoRGntjEVPLPkzgB9JieYhVvm3yJFfJSg3OWHg?e=kp2smJ"/>
    <n v="3"/>
    <n v="120"/>
    <m/>
    <x v="1"/>
    <x v="187"/>
    <m/>
    <m/>
    <m/>
    <m/>
  </r>
  <r>
    <m/>
    <m/>
    <x v="2"/>
    <x v="4"/>
    <x v="12"/>
    <d v="2024-09-11T00:00:00"/>
    <x v="496"/>
    <x v="9"/>
    <s v="In progress"/>
    <x v="3"/>
    <x v="2"/>
    <s v="https://saranistudio.sharepoint.com/:f:/s/SaraniAssets/Eh2lwDQdc35DnA5Y6B9hKjoB084ACf9Ql6iUIvjUX0z8ig?e=7jwlfp"/>
    <n v="3"/>
    <n v="120"/>
    <m/>
    <x v="1"/>
    <x v="187"/>
    <m/>
    <m/>
    <m/>
    <m/>
  </r>
  <r>
    <m/>
    <m/>
    <x v="2"/>
    <x v="4"/>
    <x v="12"/>
    <d v="2024-09-12T00:00:00"/>
    <x v="497"/>
    <x v="5"/>
    <s v="In progress"/>
    <x v="0"/>
    <x v="2"/>
    <s v="20240912_Visualisation plan merch Boulanger"/>
    <n v="1"/>
    <n v="120"/>
    <m/>
    <x v="1"/>
    <x v="187"/>
    <m/>
    <m/>
    <m/>
    <m/>
  </r>
  <r>
    <m/>
    <m/>
    <x v="2"/>
    <x v="4"/>
    <x v="12"/>
    <d v="2024-09-12T00:00:00"/>
    <x v="498"/>
    <x v="5"/>
    <s v="In progress"/>
    <x v="0"/>
    <x v="2"/>
    <m/>
    <m/>
    <m/>
    <m/>
    <x v="1"/>
    <x v="187"/>
    <m/>
    <m/>
    <m/>
    <m/>
  </r>
  <r>
    <m/>
    <m/>
    <x v="2"/>
    <x v="4"/>
    <x v="12"/>
    <d v="2024-09-12T00:00:00"/>
    <x v="499"/>
    <x v="5"/>
    <s v="In progress"/>
    <x v="4"/>
    <x v="2"/>
    <s v="https://saranistudio.sharepoint.com/:f:/s/SaraniAssets/Emf5cUy6FzdCi19JvN-Q38gBNHhnGQ4JqisrLoDalQWRQA?e=N4mIUg"/>
    <n v="2"/>
    <n v="70"/>
    <m/>
    <x v="1"/>
    <x v="187"/>
    <m/>
    <m/>
    <m/>
    <m/>
  </r>
  <r>
    <m/>
    <m/>
    <x v="2"/>
    <x v="4"/>
    <x v="12"/>
    <m/>
    <x v="490"/>
    <x v="12"/>
    <m/>
    <x v="6"/>
    <x v="2"/>
    <m/>
    <m/>
    <m/>
    <m/>
    <x v="1"/>
    <x v="18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0CB37-98CC-41E2-9C2D-AFB662EC2DBE}" name="PivotTable2" cacheId="531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compact="0" compactData="0" multipleFieldFilters="0">
  <location ref="Q7:T9" firstHeaderRow="1" firstDataRow="2" firstDataCol="3" rowPageCount="2" colPageCount="1"/>
  <pivotFields count="21">
    <pivotField compact="0" outline="0" showAll="0" defaultSubtotal="0"/>
    <pivotField compact="0" outline="0" showAll="0" defaultSubtotal="0"/>
    <pivotField axis="axisPage" compact="0" outline="0" showAll="0" defaultSubtotal="0">
      <items count="4">
        <item h="1" x="0"/>
        <item x="1"/>
        <item h="1" x="2"/>
        <item h="1" x="3"/>
      </items>
    </pivotField>
    <pivotField compact="0" outline="0" showAll="0"/>
    <pivotField axis="axisCol" compact="0" outline="0" showAll="0" sortType="ascending" defaultSubtotal="0">
      <items count="28"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16"/>
        <item m="1" x="17"/>
        <item m="1" x="13"/>
        <item x="5"/>
        <item x="6"/>
        <item x="7"/>
        <item x="11"/>
        <item x="8"/>
        <item m="1" x="15"/>
        <item x="10"/>
        <item x="9"/>
        <item x="0"/>
        <item x="1"/>
        <item x="2"/>
        <item x="3"/>
        <item x="4"/>
        <item m="1" x="14"/>
        <item x="12"/>
      </items>
    </pivotField>
    <pivotField compact="0" outline="0" showAll="0" defaultSubtotal="0"/>
    <pivotField axis="axisRow" compact="0" outline="0" showAll="0" defaultSubtotal="0">
      <items count="505">
        <item x="69"/>
        <item x="71"/>
        <item x="5"/>
        <item x="228"/>
        <item x="93"/>
        <item x="67"/>
        <item x="115"/>
        <item x="145"/>
        <item x="226"/>
        <item x="6"/>
        <item x="107"/>
        <item x="340"/>
        <item x="91"/>
        <item x="165"/>
        <item x="314"/>
        <item x="97"/>
        <item x="140"/>
        <item x="90"/>
        <item x="52"/>
        <item x="206"/>
        <item x="208"/>
        <item x="37"/>
        <item x="84"/>
        <item x="158"/>
        <item x="26"/>
        <item x="159"/>
        <item x="279"/>
        <item x="43"/>
        <item x="343"/>
        <item x="263"/>
        <item x="266"/>
        <item x="249"/>
        <item x="150"/>
        <item x="77"/>
        <item x="317"/>
        <item x="151"/>
        <item x="76"/>
        <item x="124"/>
        <item x="244"/>
        <item x="171"/>
        <item x="19"/>
        <item x="220"/>
        <item x="129"/>
        <item x="329"/>
        <item x="233"/>
        <item x="320"/>
        <item x="312"/>
        <item x="260"/>
        <item x="117"/>
        <item x="120"/>
        <item x="51"/>
        <item x="204"/>
        <item x="99"/>
        <item x="281"/>
        <item x="95"/>
        <item x="205"/>
        <item x="30"/>
        <item x="96"/>
        <item x="313"/>
        <item x="248"/>
        <item x="104"/>
        <item x="236"/>
        <item x="237"/>
        <item x="246"/>
        <item x="111"/>
        <item x="316"/>
        <item x="330"/>
        <item x="110"/>
        <item x="100"/>
        <item x="311"/>
        <item x="247"/>
        <item x="269"/>
        <item x="92"/>
        <item x="229"/>
        <item x="218"/>
        <item x="64"/>
        <item x="148"/>
        <item x="344"/>
        <item x="80"/>
        <item x="45"/>
        <item x="3"/>
        <item x="118"/>
        <item x="116"/>
        <item x="315"/>
        <item x="182"/>
        <item x="217"/>
        <item x="345"/>
        <item x="267"/>
        <item x="87"/>
        <item x="293"/>
        <item x="127"/>
        <item x="250"/>
        <item x="81"/>
        <item x="24"/>
        <item x="265"/>
        <item x="86"/>
        <item x="255"/>
        <item x="112"/>
        <item x="122"/>
        <item x="222"/>
        <item x="221"/>
        <item x="268"/>
        <item x="166"/>
        <item x="157"/>
        <item x="189"/>
        <item x="347"/>
        <item x="155"/>
        <item x="32"/>
        <item x="262"/>
        <item x="162"/>
        <item x="215"/>
        <item x="142"/>
        <item x="130"/>
        <item x="276"/>
        <item x="131"/>
        <item x="275"/>
        <item x="285"/>
        <item x="108"/>
        <item x="179"/>
        <item x="56"/>
        <item x="36"/>
        <item x="173"/>
        <item x="346"/>
        <item x="70"/>
        <item x="125"/>
        <item x="239"/>
        <item x="98"/>
        <item x="123"/>
        <item x="308"/>
        <item x="342"/>
        <item x="73"/>
        <item x="57"/>
        <item x="141"/>
        <item x="34"/>
        <item x="178"/>
        <item x="209"/>
        <item x="31"/>
        <item x="156"/>
        <item x="306"/>
        <item x="60"/>
        <item x="23"/>
        <item x="185"/>
        <item x="251"/>
        <item x="48"/>
        <item x="199"/>
        <item x="65"/>
        <item x="33"/>
        <item x="8"/>
        <item x="82"/>
        <item x="202"/>
        <item x="22"/>
        <item x="4"/>
        <item x="252"/>
        <item x="11"/>
        <item x="39"/>
        <item x="280"/>
        <item x="305"/>
        <item x="18"/>
        <item x="119"/>
        <item x="83"/>
        <item x="114"/>
        <item x="103"/>
        <item x="319"/>
        <item x="186"/>
        <item x="138"/>
        <item x="7"/>
        <item x="35"/>
        <item x="144"/>
        <item x="187"/>
        <item x="54"/>
        <item x="78"/>
        <item x="174"/>
        <item x="74"/>
        <item x="203"/>
        <item x="89"/>
        <item x="53"/>
        <item x="243"/>
        <item x="225"/>
        <item x="29"/>
        <item x="9"/>
        <item x="277"/>
        <item x="66"/>
        <item x="68"/>
        <item x="58"/>
        <item x="44"/>
        <item x="176"/>
        <item x="46"/>
        <item x="0"/>
        <item x="1"/>
        <item x="224"/>
        <item x="254"/>
        <item x="307"/>
        <item x="17"/>
        <item x="183"/>
        <item x="146"/>
        <item x="172"/>
        <item x="133"/>
        <item x="132"/>
        <item x="235"/>
        <item x="348"/>
        <item x="12"/>
        <item x="42"/>
        <item x="28"/>
        <item x="168"/>
        <item x="180"/>
        <item x="211"/>
        <item x="341"/>
        <item x="126"/>
        <item x="134"/>
        <item x="167"/>
        <item x="109"/>
        <item x="62"/>
        <item x="284"/>
        <item x="85"/>
        <item x="286"/>
        <item x="75"/>
        <item x="143"/>
        <item x="13"/>
        <item x="20"/>
        <item x="210"/>
        <item x="188"/>
        <item x="196"/>
        <item x="264"/>
        <item x="234"/>
        <item x="283"/>
        <item x="102"/>
        <item x="160"/>
        <item x="161"/>
        <item x="193"/>
        <item x="195"/>
        <item x="153"/>
        <item x="194"/>
        <item x="41"/>
        <item x="213"/>
        <item x="207"/>
        <item x="154"/>
        <item x="40"/>
        <item x="21"/>
        <item x="270"/>
        <item x="326"/>
        <item x="38"/>
        <item x="271"/>
        <item x="325"/>
        <item x="290"/>
        <item x="136"/>
        <item x="137"/>
        <item x="238"/>
        <item x="272"/>
        <item x="101"/>
        <item x="15"/>
        <item x="214"/>
        <item x="282"/>
        <item x="135"/>
        <item x="298"/>
        <item x="63"/>
        <item x="177"/>
        <item x="240"/>
        <item x="261"/>
        <item x="190"/>
        <item x="27"/>
        <item x="339"/>
        <item x="232"/>
        <item x="106"/>
        <item x="310"/>
        <item m="1" x="500"/>
        <item x="105"/>
        <item x="274"/>
        <item x="197"/>
        <item x="164"/>
        <item x="258"/>
        <item x="170"/>
        <item x="223"/>
        <item x="318"/>
        <item x="94"/>
        <item x="169"/>
        <item x="245"/>
        <item x="198"/>
        <item x="61"/>
        <item x="152"/>
        <item x="227"/>
        <item x="10"/>
        <item x="113"/>
        <item x="184"/>
        <item x="47"/>
        <item x="175"/>
        <item x="309"/>
        <item x="79"/>
        <item x="230"/>
        <item x="273"/>
        <item x="72"/>
        <item x="121"/>
        <item x="25"/>
        <item x="242"/>
        <item x="259"/>
        <item x="278"/>
        <item x="231"/>
        <item x="14"/>
        <item x="257"/>
        <item x="256"/>
        <item x="149"/>
        <item x="50"/>
        <item x="253"/>
        <item x="55"/>
        <item x="128"/>
        <item x="216"/>
        <item x="49"/>
        <item x="241"/>
        <item x="219"/>
        <item x="16"/>
        <item x="201"/>
        <item x="200"/>
        <item x="2"/>
        <item x="139"/>
        <item x="181"/>
        <item x="191"/>
        <item x="192"/>
        <item x="147"/>
        <item x="163"/>
        <item x="59"/>
        <item x="212"/>
        <item x="490"/>
        <item x="302"/>
        <item x="287"/>
        <item x="349"/>
        <item x="299"/>
        <item x="291"/>
        <item x="292"/>
        <item x="333"/>
        <item x="295"/>
        <item x="334"/>
        <item x="294"/>
        <item x="303"/>
        <item x="323"/>
        <item x="300"/>
        <item x="296"/>
        <item x="288"/>
        <item x="289"/>
        <item x="297"/>
        <item x="324"/>
        <item x="350"/>
        <item x="335"/>
        <item x="351"/>
        <item x="327"/>
        <item x="328"/>
        <item m="1" x="503"/>
        <item m="1" x="501"/>
        <item m="1" x="502"/>
        <item x="321"/>
        <item x="322"/>
        <item x="353"/>
        <item x="359"/>
        <item x="331"/>
        <item x="355"/>
        <item x="356"/>
        <item x="357"/>
        <item x="358"/>
        <item x="354"/>
        <item x="352"/>
        <item x="336"/>
        <item m="1" x="504"/>
        <item x="361"/>
        <item x="362"/>
        <item x="88"/>
        <item x="301"/>
        <item x="304"/>
        <item x="332"/>
        <item x="337"/>
        <item x="338"/>
        <item x="360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1"/>
        <item x="492"/>
        <item x="493"/>
        <item x="494"/>
        <item x="495"/>
        <item x="496"/>
        <item x="497"/>
        <item x="498"/>
        <item x="499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23">
        <item sd="0" x="1"/>
        <item x="5"/>
        <item sd="0" x="4"/>
        <item sd="0" x="0"/>
        <item sd="0" m="1" x="18"/>
        <item sd="0" x="8"/>
        <item sd="0" x="10"/>
        <item sd="0" m="1" x="20"/>
        <item sd="0" m="1" x="22"/>
        <item sd="0" m="1" x="17"/>
        <item sd="0" x="2"/>
        <item sd="0" m="1" x="19"/>
        <item sd="0" x="3"/>
        <item sd="0" m="1" x="15"/>
        <item sd="0" m="1" x="16"/>
        <item sd="0" m="1" x="21"/>
        <item sd="0" x="11"/>
        <item sd="0" x="6"/>
        <item sd="0" m="1" x="14"/>
        <item x="7"/>
        <item x="9"/>
        <item x="12"/>
        <item x="13"/>
      </items>
    </pivotField>
    <pivotField axis="axisRow" compact="0" outline="0" showAll="0" sortType="descending" defaultSubtotal="0">
      <items count="5">
        <item x="2"/>
        <item x="1"/>
        <item x="0"/>
        <item m="1" x="4"/>
        <item m="1" x="3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Page" compact="0" outline="0" showAll="0" defaultSubtotal="0">
      <items count="9">
        <item h="1" x="0"/>
        <item x="2"/>
        <item h="1" x="1"/>
        <item h="1" m="1" x="8"/>
        <item h="1" x="3"/>
        <item h="1" x="4"/>
        <item h="1" x="5"/>
        <item h="1" x="6"/>
        <item h="1"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0"/>
    <field x="9"/>
    <field x="6"/>
  </rowFields>
  <rowItems count="1">
    <i t="grand">
      <x/>
    </i>
  </rowItems>
  <colFields count="1">
    <field x="4"/>
  </colFields>
  <colItems count="1">
    <i t="grand">
      <x/>
    </i>
  </colItems>
  <pageFields count="2">
    <pageField fld="2" item="1" hier="-1"/>
    <pageField fld="15" item="1" hier="-1"/>
  </pageFields>
  <dataFields count="1">
    <dataField name="Sum of Total Value" fld="13" baseField="0" baseItem="0" numFmtId="166"/>
  </dataFields>
  <formats count="15">
    <format dxfId="12">
      <pivotArea outline="0" collapsedLevelsAreSubtotals="1" fieldPosition="0"/>
    </format>
    <format dxfId="13">
      <pivotArea dataOnly="0" labelOnly="1" grandCol="1" outline="0" fieldPosition="0"/>
    </format>
    <format dxfId="14">
      <pivotArea outline="0" collapsedLevelsAreSubtotals="1" fieldPosition="0"/>
    </format>
    <format dxfId="15">
      <pivotArea dataOnly="0" labelOnly="1" grandRow="1" outline="0" fieldPosition="0"/>
    </format>
    <format dxfId="16">
      <pivotArea dataOnly="0" labelOnly="1" outline="0" fieldPosition="0">
        <references count="2">
          <reference field="9" count="1">
            <x v="0"/>
          </reference>
          <reference field="10" count="1" selected="0">
            <x v="1"/>
          </reference>
        </references>
      </pivotArea>
    </format>
    <format dxfId="17">
      <pivotArea dataOnly="0" labelOnly="1" outline="0" fieldPosition="0">
        <references count="2">
          <reference field="9" count="1">
            <x v="1"/>
          </reference>
          <reference field="10" count="1" selected="0">
            <x v="1"/>
          </reference>
        </references>
      </pivotArea>
    </format>
    <format dxfId="18">
      <pivotArea dataOnly="0" labelOnly="1" outline="0" fieldPosition="0">
        <references count="2">
          <reference field="9" count="1">
            <x v="3"/>
          </reference>
          <reference field="10" count="1" selected="0">
            <x v="1"/>
          </reference>
        </references>
      </pivotArea>
    </format>
    <format dxfId="19">
      <pivotArea dataOnly="0" labelOnly="1" outline="0" fieldPosition="0">
        <references count="2">
          <reference field="9" count="1">
            <x v="10"/>
          </reference>
          <reference field="10" count="1" selected="0">
            <x v="1"/>
          </reference>
        </references>
      </pivotArea>
    </format>
    <format dxfId="20">
      <pivotArea dataOnly="0" labelOnly="1" outline="0" fieldPosition="0">
        <references count="2">
          <reference field="9" count="1">
            <x v="12"/>
          </reference>
          <reference field="10" count="1" selected="0">
            <x v="1"/>
          </reference>
        </references>
      </pivotArea>
    </format>
    <format dxfId="21">
      <pivotArea dataOnly="0" labelOnly="1" outline="0" fieldPosition="0">
        <references count="2">
          <reference field="9" count="1">
            <x v="0"/>
          </reference>
          <reference field="10" count="1" selected="0">
            <x v="2"/>
          </reference>
        </references>
      </pivotArea>
    </format>
    <format dxfId="22">
      <pivotArea dataOnly="0" labelOnly="1" outline="0" fieldPosition="0">
        <references count="2">
          <reference field="9" count="1">
            <x v="1"/>
          </reference>
          <reference field="10" count="1" selected="0">
            <x v="2"/>
          </reference>
        </references>
      </pivotArea>
    </format>
    <format dxfId="23">
      <pivotArea dataOnly="0" labelOnly="1" outline="0" fieldPosition="0">
        <references count="2">
          <reference field="9" count="1">
            <x v="2"/>
          </reference>
          <reference field="10" count="1" selected="0">
            <x v="2"/>
          </reference>
        </references>
      </pivotArea>
    </format>
    <format dxfId="24">
      <pivotArea dataOnly="0" labelOnly="1" outline="0" fieldPosition="0">
        <references count="2">
          <reference field="9" count="1">
            <x v="3"/>
          </reference>
          <reference field="10" count="1" selected="0">
            <x v="2"/>
          </reference>
        </references>
      </pivotArea>
    </format>
    <format dxfId="25">
      <pivotArea dataOnly="0" labelOnly="1" outline="0" fieldPosition="0">
        <references count="2">
          <reference field="9" count="1">
            <x v="10"/>
          </reference>
          <reference field="10" count="1" selected="0">
            <x v="2"/>
          </reference>
        </references>
      </pivotArea>
    </format>
    <format dxfId="26">
      <pivotArea dataOnly="0" labelOnly="1" outline="0" fieldPosition="0">
        <references count="2">
          <reference field="9" count="1">
            <x v="12"/>
          </reference>
          <reference field="10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19AEC5-83F8-450A-9F67-A63305C3335D}" name="PivotTable1" cacheId="531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compact="0" compactData="0" multipleFieldFilters="0">
  <location ref="A7:O38" firstHeaderRow="1" firstDataRow="2" firstDataCol="3" rowPageCount="2" colPageCount="1"/>
  <pivotFields count="21">
    <pivotField compact="0" outline="0" showAll="0" defaultSubtotal="0"/>
    <pivotField compact="0" outline="0" showAll="0" defaultSubtotal="0"/>
    <pivotField axis="axisPage" compact="0" outline="0" showAll="0" defaultSubtotal="0">
      <items count="4">
        <item h="1" x="0"/>
        <item h="1" x="1"/>
        <item h="1" x="2"/>
        <item x="3"/>
      </items>
    </pivotField>
    <pivotField compact="0" outline="0" showAll="0"/>
    <pivotField axis="axisCol" compact="0" outline="0" showAll="0" sortType="ascending" defaultSubtotal="0">
      <items count="28"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16"/>
        <item m="1" x="17"/>
        <item m="1" x="13"/>
        <item x="5"/>
        <item x="6"/>
        <item x="7"/>
        <item x="11"/>
        <item x="8"/>
        <item m="1" x="15"/>
        <item x="10"/>
        <item x="9"/>
        <item x="0"/>
        <item x="1"/>
        <item x="2"/>
        <item x="3"/>
        <item x="4"/>
        <item m="1" x="14"/>
        <item x="12"/>
      </items>
    </pivotField>
    <pivotField compact="0" outline="0" showAll="0" defaultSubtotal="0"/>
    <pivotField axis="axisRow" compact="0" outline="0" showAll="0" defaultSubtotal="0">
      <items count="505">
        <item x="69"/>
        <item x="71"/>
        <item x="5"/>
        <item x="228"/>
        <item x="93"/>
        <item x="67"/>
        <item x="115"/>
        <item x="145"/>
        <item x="226"/>
        <item x="6"/>
        <item x="107"/>
        <item x="340"/>
        <item x="91"/>
        <item x="165"/>
        <item x="314"/>
        <item x="97"/>
        <item x="140"/>
        <item x="90"/>
        <item x="52"/>
        <item x="206"/>
        <item x="208"/>
        <item x="37"/>
        <item x="84"/>
        <item x="158"/>
        <item x="26"/>
        <item x="159"/>
        <item x="279"/>
        <item x="43"/>
        <item x="343"/>
        <item x="263"/>
        <item x="266"/>
        <item x="249"/>
        <item x="150"/>
        <item x="77"/>
        <item x="317"/>
        <item x="151"/>
        <item x="76"/>
        <item x="124"/>
        <item x="244"/>
        <item x="171"/>
        <item x="19"/>
        <item x="220"/>
        <item x="129"/>
        <item x="329"/>
        <item x="233"/>
        <item x="320"/>
        <item x="312"/>
        <item x="260"/>
        <item x="117"/>
        <item x="120"/>
        <item x="51"/>
        <item x="204"/>
        <item x="99"/>
        <item x="281"/>
        <item x="95"/>
        <item x="205"/>
        <item x="30"/>
        <item x="96"/>
        <item x="313"/>
        <item x="248"/>
        <item x="104"/>
        <item x="236"/>
        <item x="237"/>
        <item x="246"/>
        <item x="111"/>
        <item x="316"/>
        <item x="330"/>
        <item x="110"/>
        <item x="100"/>
        <item x="311"/>
        <item x="247"/>
        <item x="269"/>
        <item x="92"/>
        <item x="229"/>
        <item x="218"/>
        <item x="64"/>
        <item x="148"/>
        <item x="344"/>
        <item x="80"/>
        <item x="45"/>
        <item x="3"/>
        <item x="118"/>
        <item x="116"/>
        <item x="315"/>
        <item x="182"/>
        <item x="217"/>
        <item x="345"/>
        <item x="267"/>
        <item x="87"/>
        <item x="293"/>
        <item x="127"/>
        <item x="250"/>
        <item x="81"/>
        <item x="24"/>
        <item x="265"/>
        <item x="86"/>
        <item x="255"/>
        <item x="112"/>
        <item x="122"/>
        <item x="222"/>
        <item x="221"/>
        <item x="268"/>
        <item x="166"/>
        <item x="157"/>
        <item x="189"/>
        <item x="347"/>
        <item x="155"/>
        <item x="32"/>
        <item x="262"/>
        <item x="162"/>
        <item x="215"/>
        <item x="142"/>
        <item x="130"/>
        <item x="276"/>
        <item x="131"/>
        <item x="275"/>
        <item x="285"/>
        <item x="108"/>
        <item x="179"/>
        <item x="56"/>
        <item x="36"/>
        <item x="173"/>
        <item x="346"/>
        <item x="70"/>
        <item x="125"/>
        <item x="239"/>
        <item x="98"/>
        <item x="123"/>
        <item x="308"/>
        <item x="342"/>
        <item x="73"/>
        <item x="57"/>
        <item x="141"/>
        <item x="34"/>
        <item x="178"/>
        <item x="209"/>
        <item x="31"/>
        <item x="156"/>
        <item x="306"/>
        <item x="60"/>
        <item x="23"/>
        <item x="185"/>
        <item x="251"/>
        <item x="48"/>
        <item x="199"/>
        <item x="65"/>
        <item x="33"/>
        <item x="8"/>
        <item x="82"/>
        <item x="202"/>
        <item x="22"/>
        <item x="4"/>
        <item x="252"/>
        <item x="11"/>
        <item x="39"/>
        <item x="280"/>
        <item x="305"/>
        <item x="18"/>
        <item x="119"/>
        <item x="83"/>
        <item x="114"/>
        <item x="103"/>
        <item x="319"/>
        <item x="186"/>
        <item x="138"/>
        <item x="7"/>
        <item x="35"/>
        <item x="144"/>
        <item x="187"/>
        <item x="54"/>
        <item x="78"/>
        <item x="174"/>
        <item x="74"/>
        <item x="203"/>
        <item x="89"/>
        <item x="53"/>
        <item x="243"/>
        <item x="225"/>
        <item x="29"/>
        <item x="9"/>
        <item x="277"/>
        <item x="66"/>
        <item x="68"/>
        <item x="58"/>
        <item x="44"/>
        <item x="176"/>
        <item x="46"/>
        <item x="0"/>
        <item x="1"/>
        <item x="224"/>
        <item x="254"/>
        <item x="307"/>
        <item x="17"/>
        <item x="183"/>
        <item x="146"/>
        <item x="172"/>
        <item x="133"/>
        <item x="132"/>
        <item x="235"/>
        <item x="348"/>
        <item x="12"/>
        <item x="42"/>
        <item x="28"/>
        <item x="168"/>
        <item x="180"/>
        <item x="211"/>
        <item x="341"/>
        <item x="126"/>
        <item x="134"/>
        <item x="167"/>
        <item x="109"/>
        <item x="62"/>
        <item x="284"/>
        <item x="85"/>
        <item x="286"/>
        <item x="75"/>
        <item x="143"/>
        <item x="13"/>
        <item x="20"/>
        <item x="210"/>
        <item x="188"/>
        <item x="196"/>
        <item x="264"/>
        <item x="234"/>
        <item x="283"/>
        <item x="102"/>
        <item x="160"/>
        <item x="161"/>
        <item x="193"/>
        <item x="195"/>
        <item x="153"/>
        <item x="194"/>
        <item x="41"/>
        <item x="213"/>
        <item x="207"/>
        <item x="154"/>
        <item x="40"/>
        <item x="21"/>
        <item x="270"/>
        <item x="326"/>
        <item x="38"/>
        <item x="271"/>
        <item x="325"/>
        <item x="290"/>
        <item x="136"/>
        <item x="137"/>
        <item x="238"/>
        <item x="272"/>
        <item x="101"/>
        <item x="15"/>
        <item x="214"/>
        <item x="282"/>
        <item x="135"/>
        <item x="298"/>
        <item x="63"/>
        <item x="177"/>
        <item x="240"/>
        <item x="261"/>
        <item x="190"/>
        <item x="27"/>
        <item x="339"/>
        <item x="232"/>
        <item x="106"/>
        <item x="310"/>
        <item m="1" x="500"/>
        <item x="105"/>
        <item x="274"/>
        <item x="197"/>
        <item x="164"/>
        <item x="258"/>
        <item x="170"/>
        <item x="223"/>
        <item x="318"/>
        <item x="94"/>
        <item x="169"/>
        <item x="245"/>
        <item x="198"/>
        <item x="61"/>
        <item x="152"/>
        <item x="227"/>
        <item x="10"/>
        <item x="113"/>
        <item x="184"/>
        <item x="47"/>
        <item x="175"/>
        <item x="309"/>
        <item x="79"/>
        <item x="230"/>
        <item x="273"/>
        <item x="72"/>
        <item x="121"/>
        <item x="25"/>
        <item x="242"/>
        <item x="259"/>
        <item x="278"/>
        <item x="231"/>
        <item x="14"/>
        <item x="257"/>
        <item x="256"/>
        <item x="149"/>
        <item x="50"/>
        <item x="253"/>
        <item x="55"/>
        <item x="128"/>
        <item x="216"/>
        <item x="49"/>
        <item x="241"/>
        <item x="219"/>
        <item x="16"/>
        <item x="201"/>
        <item x="200"/>
        <item x="2"/>
        <item x="139"/>
        <item x="181"/>
        <item x="191"/>
        <item x="192"/>
        <item x="147"/>
        <item x="163"/>
        <item x="59"/>
        <item x="212"/>
        <item x="490"/>
        <item x="302"/>
        <item x="287"/>
        <item x="349"/>
        <item x="299"/>
        <item x="291"/>
        <item x="292"/>
        <item x="333"/>
        <item x="295"/>
        <item x="334"/>
        <item x="294"/>
        <item x="303"/>
        <item x="323"/>
        <item x="300"/>
        <item x="296"/>
        <item x="288"/>
        <item x="289"/>
        <item x="297"/>
        <item x="324"/>
        <item x="350"/>
        <item x="335"/>
        <item x="351"/>
        <item x="327"/>
        <item x="328"/>
        <item m="1" x="503"/>
        <item m="1" x="501"/>
        <item m="1" x="502"/>
        <item x="321"/>
        <item x="322"/>
        <item x="353"/>
        <item x="359"/>
        <item x="331"/>
        <item x="355"/>
        <item x="356"/>
        <item x="357"/>
        <item x="358"/>
        <item x="354"/>
        <item x="352"/>
        <item x="336"/>
        <item m="1" x="504"/>
        <item x="361"/>
        <item x="362"/>
        <item x="88"/>
        <item x="301"/>
        <item x="304"/>
        <item x="332"/>
        <item x="337"/>
        <item x="338"/>
        <item x="360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1"/>
        <item x="492"/>
        <item x="493"/>
        <item x="494"/>
        <item x="495"/>
        <item x="496"/>
        <item x="497"/>
        <item x="498"/>
        <item x="499"/>
      </items>
    </pivotField>
    <pivotField axis="axisRow" compact="0" outline="0" showAll="0" defaultSubtotal="0">
      <items count="33">
        <item sd="0" x="5"/>
        <item sd="0" x="11"/>
        <item sd="0" x="4"/>
        <item sd="0" x="16"/>
        <item sd="0" x="19"/>
        <item sd="0" x="3"/>
        <item sd="0" m="1" x="31"/>
        <item x="6"/>
        <item x="10"/>
        <item sd="0" x="7"/>
        <item sd="0" m="1" x="32"/>
        <item sd="0" x="18"/>
        <item sd="0" x="9"/>
        <item sd="0" x="0"/>
        <item sd="0" m="1" x="30"/>
        <item sd="0" x="2"/>
        <item sd="0" x="15"/>
        <item sd="0" x="8"/>
        <item sd="0" x="1"/>
        <item sd="0" x="13"/>
        <item sd="0" x="17"/>
        <item sd="0" x="20"/>
        <item sd="0" x="14"/>
        <item sd="0" x="12"/>
        <item m="1" x="29"/>
        <item x="21"/>
        <item m="1" x="27"/>
        <item m="1" x="28"/>
        <item x="22"/>
        <item x="23"/>
        <item x="24"/>
        <item x="25"/>
        <item x="26"/>
      </items>
    </pivotField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5">
        <item x="2"/>
        <item x="1"/>
        <item x="0"/>
        <item m="1" x="4"/>
        <item m="1" x="3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Page" compact="0" outline="0" multipleItemSelectionAllowed="1" showAll="0" defaultSubtotal="0">
      <items count="9">
        <item x="0"/>
        <item x="2"/>
        <item x="1"/>
        <item m="1" x="8"/>
        <item x="3"/>
        <item x="4"/>
        <item x="5"/>
        <item x="6"/>
        <item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0"/>
    <field x="7"/>
    <field x="6"/>
  </rowFields>
  <rowItems count="30">
    <i>
      <x/>
      <x/>
    </i>
    <i r="1">
      <x v="12"/>
    </i>
    <i r="1">
      <x v="32"/>
      <x v="497"/>
    </i>
    <i>
      <x v="1"/>
      <x/>
    </i>
    <i r="1">
      <x v="16"/>
    </i>
    <i r="1">
      <x v="19"/>
    </i>
    <i r="1">
      <x v="22"/>
    </i>
    <i>
      <x v="2"/>
      <x v="1"/>
    </i>
    <i r="1">
      <x v="2"/>
    </i>
    <i r="1">
      <x v="5"/>
    </i>
    <i r="1">
      <x v="7"/>
      <x v="323"/>
    </i>
    <i r="2">
      <x v="401"/>
    </i>
    <i r="2">
      <x v="456"/>
    </i>
    <i r="2">
      <x v="486"/>
    </i>
    <i r="1">
      <x v="8"/>
      <x v="77"/>
    </i>
    <i r="2">
      <x v="86"/>
    </i>
    <i r="1">
      <x v="12"/>
    </i>
    <i r="1">
      <x v="15"/>
    </i>
    <i r="1">
      <x v="21"/>
    </i>
    <i r="1">
      <x v="25"/>
      <x v="28"/>
    </i>
    <i r="2">
      <x v="341"/>
    </i>
    <i r="1">
      <x v="28"/>
      <x v="383"/>
    </i>
    <i r="1">
      <x v="29"/>
      <x v="427"/>
    </i>
    <i r="2">
      <x v="430"/>
    </i>
    <i r="1">
      <x v="30"/>
      <x v="455"/>
    </i>
    <i r="1">
      <x v="31"/>
      <x v="481"/>
    </i>
    <i r="1">
      <x v="32"/>
      <x v="465"/>
    </i>
    <i r="2">
      <x v="493"/>
    </i>
    <i r="2">
      <x v="494"/>
    </i>
    <i t="grand">
      <x/>
    </i>
  </rowItems>
  <colFields count="1">
    <field x="4"/>
  </colFields>
  <colItems count="12"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>
      <x v="23"/>
    </i>
    <i>
      <x v="24"/>
    </i>
    <i>
      <x v="25"/>
    </i>
    <i t="grand">
      <x/>
    </i>
  </colItems>
  <pageFields count="2">
    <pageField fld="2" item="3" hier="-1"/>
    <pageField fld="15" hier="-1"/>
  </pageFields>
  <dataFields count="1">
    <dataField name="Sum of Total Value" fld="13" baseField="0" baseItem="0" numFmtId="166"/>
  </dataFields>
  <formats count="9">
    <format dxfId="3">
      <pivotArea outline="0" collapsedLevelsAreSubtotals="1" fieldPosition="0"/>
    </format>
    <format dxfId="4">
      <pivotArea dataOnly="0" labelOnly="1" grandCol="1" outline="0" fieldPosition="0"/>
    </format>
    <format dxfId="5">
      <pivotArea outline="0" collapsedLevelsAreSubtotals="1" fieldPosition="0"/>
    </format>
    <format dxfId="6">
      <pivotArea outline="0" fieldPosition="0">
        <references count="2">
          <reference field="7" count="1" selected="0">
            <x v="2"/>
          </reference>
          <reference field="10" count="1" selected="0">
            <x v="2"/>
          </reference>
        </references>
      </pivotArea>
    </format>
    <format dxfId="7">
      <pivotArea dataOnly="0" labelOnly="1" outline="0" fieldPosition="0">
        <references count="2">
          <reference field="7" count="1">
            <x v="2"/>
          </reference>
          <reference field="10" count="1" selected="0">
            <x v="2"/>
          </reference>
        </references>
      </pivotArea>
    </format>
    <format dxfId="8">
      <pivotArea outline="0" fieldPosition="0">
        <references count="2">
          <reference field="7" count="1" selected="0">
            <x v="8"/>
          </reference>
          <reference field="10" count="1" selected="0">
            <x v="2"/>
          </reference>
        </references>
      </pivotArea>
    </format>
    <format dxfId="9">
      <pivotArea dataOnly="0" labelOnly="1" outline="0" fieldPosition="0">
        <references count="2">
          <reference field="7" count="1">
            <x v="8"/>
          </reference>
          <reference field="10" count="1" selected="0">
            <x v="2"/>
          </reference>
        </references>
      </pivotArea>
    </format>
    <format dxfId="10">
      <pivotArea outline="0" fieldPosition="0">
        <references count="2">
          <reference field="7" count="6" selected="0">
            <x v="2"/>
            <x v="5"/>
            <x v="7"/>
            <x v="8"/>
            <x v="11"/>
            <x v="12"/>
          </reference>
          <reference field="10" count="1" selected="0">
            <x v="2"/>
          </reference>
        </references>
      </pivotArea>
    </format>
    <format dxfId="11">
      <pivotArea dataOnly="0" labelOnly="1" outline="0" fieldPosition="0">
        <references count="2">
          <reference field="7" count="6">
            <x v="2"/>
            <x v="5"/>
            <x v="7"/>
            <x v="8"/>
            <x v="11"/>
            <x v="12"/>
          </reference>
          <reference field="10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3BF3B4-6142-41BD-B28C-04C6F2D4CABA}" name="PivotTable2" cacheId="531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compact="0" compactData="0" multipleFieldFilters="0">
  <location ref="A7:E99" firstHeaderRow="1" firstDataRow="1" firstDataCol="4" rowPageCount="3" colPageCount="1"/>
  <pivotFields count="21">
    <pivotField compact="0" outline="0" showAll="0" defaultSubtotal="0"/>
    <pivotField compact="0" outline="0" showAll="0" defaultSubtotal="0"/>
    <pivotField axis="axisPage" compact="0" outline="0" showAll="0" defaultSubtotal="0">
      <items count="4">
        <item h="1" x="0"/>
        <item h="1" x="1"/>
        <item h="1" x="2"/>
        <item x="3"/>
      </items>
    </pivotField>
    <pivotField axis="axisRow" compact="0" outline="0" showAll="0" defaultSubtotal="0">
      <items count="7">
        <item m="1" x="5"/>
        <item x="2"/>
        <item x="3"/>
        <item x="0"/>
        <item x="1"/>
        <item x="4"/>
        <item m="1" x="6"/>
      </items>
    </pivotField>
    <pivotField compact="0" outline="0" showAll="0" sortType="ascending" defaultSubtotal="0"/>
    <pivotField compact="0" outline="0" showAll="0" defaultSubtotal="0"/>
    <pivotField axis="axisRow" compact="0" outline="0" showAll="0" defaultSubtotal="0">
      <items count="505">
        <item x="69"/>
        <item x="71"/>
        <item x="5"/>
        <item x="228"/>
        <item x="93"/>
        <item x="67"/>
        <item x="115"/>
        <item x="145"/>
        <item x="226"/>
        <item x="6"/>
        <item x="107"/>
        <item x="340"/>
        <item x="91"/>
        <item x="165"/>
        <item x="314"/>
        <item x="97"/>
        <item x="140"/>
        <item x="90"/>
        <item x="52"/>
        <item x="206"/>
        <item x="208"/>
        <item x="37"/>
        <item x="84"/>
        <item x="158"/>
        <item x="26"/>
        <item x="159"/>
        <item x="279"/>
        <item x="43"/>
        <item x="343"/>
        <item x="263"/>
        <item x="266"/>
        <item x="249"/>
        <item x="150"/>
        <item x="77"/>
        <item x="317"/>
        <item x="151"/>
        <item x="76"/>
        <item x="124"/>
        <item x="244"/>
        <item x="171"/>
        <item x="19"/>
        <item x="220"/>
        <item x="129"/>
        <item x="329"/>
        <item x="233"/>
        <item x="320"/>
        <item x="312"/>
        <item x="260"/>
        <item x="117"/>
        <item x="120"/>
        <item x="51"/>
        <item x="204"/>
        <item x="99"/>
        <item x="281"/>
        <item x="95"/>
        <item x="205"/>
        <item x="30"/>
        <item x="96"/>
        <item x="313"/>
        <item x="248"/>
        <item x="104"/>
        <item x="236"/>
        <item x="237"/>
        <item x="246"/>
        <item x="111"/>
        <item x="316"/>
        <item x="330"/>
        <item x="110"/>
        <item x="100"/>
        <item x="311"/>
        <item x="247"/>
        <item x="269"/>
        <item x="92"/>
        <item x="229"/>
        <item x="218"/>
        <item x="64"/>
        <item x="148"/>
        <item x="344"/>
        <item x="80"/>
        <item x="45"/>
        <item x="3"/>
        <item x="118"/>
        <item x="116"/>
        <item x="315"/>
        <item x="182"/>
        <item x="217"/>
        <item x="345"/>
        <item x="267"/>
        <item x="87"/>
        <item x="293"/>
        <item x="127"/>
        <item x="250"/>
        <item x="81"/>
        <item x="24"/>
        <item x="265"/>
        <item x="86"/>
        <item x="255"/>
        <item x="112"/>
        <item x="122"/>
        <item x="222"/>
        <item x="221"/>
        <item x="268"/>
        <item x="166"/>
        <item x="157"/>
        <item x="189"/>
        <item x="347"/>
        <item x="155"/>
        <item x="32"/>
        <item x="262"/>
        <item x="162"/>
        <item x="215"/>
        <item x="142"/>
        <item x="130"/>
        <item x="276"/>
        <item x="131"/>
        <item x="275"/>
        <item x="285"/>
        <item x="108"/>
        <item x="179"/>
        <item x="56"/>
        <item x="36"/>
        <item x="173"/>
        <item x="346"/>
        <item x="70"/>
        <item x="125"/>
        <item x="239"/>
        <item x="98"/>
        <item x="123"/>
        <item x="308"/>
        <item x="342"/>
        <item x="73"/>
        <item x="57"/>
        <item x="141"/>
        <item x="34"/>
        <item x="178"/>
        <item x="209"/>
        <item x="31"/>
        <item x="156"/>
        <item x="306"/>
        <item x="60"/>
        <item x="23"/>
        <item x="185"/>
        <item x="251"/>
        <item x="48"/>
        <item x="199"/>
        <item x="65"/>
        <item x="33"/>
        <item x="8"/>
        <item x="82"/>
        <item x="202"/>
        <item x="22"/>
        <item x="4"/>
        <item x="252"/>
        <item x="11"/>
        <item x="39"/>
        <item x="280"/>
        <item x="305"/>
        <item x="18"/>
        <item x="119"/>
        <item x="83"/>
        <item x="114"/>
        <item x="103"/>
        <item x="319"/>
        <item x="186"/>
        <item x="138"/>
        <item x="7"/>
        <item x="35"/>
        <item x="144"/>
        <item x="187"/>
        <item x="54"/>
        <item x="78"/>
        <item x="174"/>
        <item x="74"/>
        <item x="203"/>
        <item x="89"/>
        <item x="53"/>
        <item x="243"/>
        <item x="225"/>
        <item x="29"/>
        <item x="9"/>
        <item x="277"/>
        <item x="66"/>
        <item x="68"/>
        <item x="58"/>
        <item x="44"/>
        <item x="176"/>
        <item x="46"/>
        <item x="0"/>
        <item x="1"/>
        <item x="224"/>
        <item x="254"/>
        <item x="307"/>
        <item x="17"/>
        <item x="183"/>
        <item x="146"/>
        <item x="172"/>
        <item x="133"/>
        <item x="132"/>
        <item x="235"/>
        <item x="348"/>
        <item x="12"/>
        <item x="42"/>
        <item x="28"/>
        <item x="168"/>
        <item x="180"/>
        <item x="211"/>
        <item x="341"/>
        <item x="126"/>
        <item x="134"/>
        <item x="167"/>
        <item x="109"/>
        <item x="62"/>
        <item x="284"/>
        <item x="85"/>
        <item x="286"/>
        <item x="75"/>
        <item x="143"/>
        <item x="13"/>
        <item x="20"/>
        <item x="210"/>
        <item x="188"/>
        <item x="196"/>
        <item x="264"/>
        <item x="234"/>
        <item x="283"/>
        <item x="102"/>
        <item x="160"/>
        <item x="161"/>
        <item x="193"/>
        <item x="195"/>
        <item x="153"/>
        <item x="194"/>
        <item x="41"/>
        <item x="213"/>
        <item x="207"/>
        <item x="154"/>
        <item x="40"/>
        <item x="21"/>
        <item x="270"/>
        <item x="326"/>
        <item x="38"/>
        <item x="271"/>
        <item x="325"/>
        <item x="290"/>
        <item x="136"/>
        <item x="137"/>
        <item x="238"/>
        <item x="272"/>
        <item x="101"/>
        <item x="15"/>
        <item x="214"/>
        <item x="282"/>
        <item x="135"/>
        <item x="298"/>
        <item x="63"/>
        <item x="177"/>
        <item x="240"/>
        <item x="261"/>
        <item x="190"/>
        <item x="27"/>
        <item x="339"/>
        <item x="232"/>
        <item x="106"/>
        <item x="310"/>
        <item m="1" x="500"/>
        <item x="105"/>
        <item x="274"/>
        <item x="197"/>
        <item x="164"/>
        <item x="258"/>
        <item x="170"/>
        <item x="223"/>
        <item x="318"/>
        <item x="94"/>
        <item x="169"/>
        <item x="245"/>
        <item x="198"/>
        <item x="61"/>
        <item x="152"/>
        <item x="227"/>
        <item x="10"/>
        <item x="113"/>
        <item x="184"/>
        <item x="47"/>
        <item x="175"/>
        <item x="309"/>
        <item x="79"/>
        <item x="230"/>
        <item x="273"/>
        <item x="72"/>
        <item x="121"/>
        <item x="25"/>
        <item x="242"/>
        <item x="259"/>
        <item x="278"/>
        <item x="231"/>
        <item x="14"/>
        <item x="257"/>
        <item x="256"/>
        <item x="149"/>
        <item x="50"/>
        <item x="253"/>
        <item x="55"/>
        <item x="128"/>
        <item x="216"/>
        <item x="49"/>
        <item x="241"/>
        <item x="219"/>
        <item x="16"/>
        <item x="201"/>
        <item x="200"/>
        <item x="2"/>
        <item x="139"/>
        <item x="181"/>
        <item x="191"/>
        <item x="192"/>
        <item x="147"/>
        <item x="163"/>
        <item x="59"/>
        <item x="212"/>
        <item x="490"/>
        <item x="302"/>
        <item x="287"/>
        <item x="349"/>
        <item x="299"/>
        <item x="291"/>
        <item x="292"/>
        <item x="333"/>
        <item x="295"/>
        <item x="334"/>
        <item x="294"/>
        <item x="303"/>
        <item x="323"/>
        <item x="300"/>
        <item x="296"/>
        <item x="288"/>
        <item x="289"/>
        <item x="297"/>
        <item x="324"/>
        <item x="350"/>
        <item x="335"/>
        <item x="351"/>
        <item x="327"/>
        <item x="328"/>
        <item m="1" x="503"/>
        <item m="1" x="501"/>
        <item m="1" x="502"/>
        <item x="321"/>
        <item x="322"/>
        <item x="353"/>
        <item x="359"/>
        <item x="331"/>
        <item x="355"/>
        <item x="356"/>
        <item x="357"/>
        <item x="358"/>
        <item x="354"/>
        <item x="352"/>
        <item x="336"/>
        <item m="1" x="504"/>
        <item x="361"/>
        <item x="362"/>
        <item x="88"/>
        <item x="301"/>
        <item x="304"/>
        <item x="332"/>
        <item x="337"/>
        <item x="338"/>
        <item x="360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1"/>
        <item x="492"/>
        <item x="493"/>
        <item x="494"/>
        <item x="495"/>
        <item x="496"/>
        <item x="497"/>
        <item x="498"/>
        <item x="499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23">
        <item x="1"/>
        <item x="5"/>
        <item x="4"/>
        <item x="0"/>
        <item sd="0" m="1" x="18"/>
        <item sd="0" x="8"/>
        <item sd="0" x="10"/>
        <item sd="0" m="1" x="20"/>
        <item sd="0" m="1" x="22"/>
        <item sd="0" m="1" x="17"/>
        <item x="2"/>
        <item sd="0" m="1" x="19"/>
        <item x="3"/>
        <item sd="0" m="1" x="15"/>
        <item sd="0" m="1" x="16"/>
        <item sd="0" m="1" x="21"/>
        <item sd="0" x="11"/>
        <item sd="0" x="6"/>
        <item sd="0" m="1" x="14"/>
        <item x="7"/>
        <item x="9"/>
        <item x="12"/>
        <item x="13"/>
      </items>
    </pivotField>
    <pivotField axis="axisPage" compact="0" outline="0" multipleItemSelectionAllowed="1" showAll="0" sortType="descending" defaultSubtotal="0">
      <items count="5">
        <item x="2"/>
        <item x="1"/>
        <item x="0"/>
        <item m="1" x="4"/>
        <item m="1" x="3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Page" compact="0" outline="0" multipleItemSelectionAllowed="1" showAll="0" defaultSubtotal="0">
      <items count="9">
        <item x="0"/>
        <item x="2"/>
        <item x="1"/>
        <item h="1" m="1" x="8"/>
        <item h="1" x="3"/>
        <item h="1" x="4"/>
        <item h="1" x="5"/>
        <item h="1" x="6"/>
        <item h="1" x="7"/>
      </items>
    </pivotField>
    <pivotField axis="axisRow" compact="0" outline="0" showAll="0" defaultSubtotal="0">
      <items count="237">
        <item x="10"/>
        <item x="21"/>
        <item x="20"/>
        <item x="16"/>
        <item x="19"/>
        <item x="13"/>
        <item x="15"/>
        <item x="24"/>
        <item x="14"/>
        <item x="30"/>
        <item x="18"/>
        <item x="22"/>
        <item x="31"/>
        <item x="32"/>
        <item x="23"/>
        <item x="17"/>
        <item x="34"/>
        <item x="40"/>
        <item x="41"/>
        <item x="36"/>
        <item x="35"/>
        <item x="37"/>
        <item x="74"/>
        <item x="43"/>
        <item x="33"/>
        <item x="51"/>
        <item x="44"/>
        <item x="39"/>
        <item x="45"/>
        <item x="53"/>
        <item x="50"/>
        <item x="38"/>
        <item x="47"/>
        <item x="46"/>
        <item x="12"/>
        <item x="28"/>
        <item x="25"/>
        <item x="29"/>
        <item x="26"/>
        <item x="56"/>
        <item x="42"/>
        <item x="52"/>
        <item x="58"/>
        <item x="48"/>
        <item x="55"/>
        <item x="49"/>
        <item x="59"/>
        <item x="57"/>
        <item x="141"/>
        <item x="142"/>
        <item sd="0" x="123"/>
        <item sd="0" x="113"/>
        <item sd="0" x="124"/>
        <item sd="0" x="135"/>
        <item x="140"/>
        <item x="139"/>
        <item sd="0" x="137"/>
        <item x="138"/>
        <item x="136"/>
        <item x="129"/>
        <item x="130"/>
        <item x="134"/>
        <item x="131"/>
        <item x="133"/>
        <item x="132"/>
        <item x="126"/>
        <item x="128"/>
        <item x="122"/>
        <item x="125"/>
        <item x="115"/>
        <item sd="0" x="121"/>
        <item x="116"/>
        <item x="118"/>
        <item x="119"/>
        <item x="120"/>
        <item x="114"/>
        <item x="117"/>
        <item sd="0" x="75"/>
        <item sd="0" x="78"/>
        <item sd="0" x="76"/>
        <item x="109"/>
        <item sd="0" x="110"/>
        <item x="111"/>
        <item x="108"/>
        <item x="112"/>
        <item x="107"/>
        <item x="106"/>
        <item x="105"/>
        <item x="104"/>
        <item x="103"/>
        <item x="63"/>
        <item x="64"/>
        <item x="102"/>
        <item x="101"/>
        <item x="99"/>
        <item x="100"/>
        <item sd="0" m="1" x="236"/>
        <item x="62"/>
        <item sd="0" x="73"/>
        <item sd="0" x="79"/>
        <item x="67"/>
        <item x="68"/>
        <item x="66"/>
        <item x="72"/>
        <item x="71"/>
        <item x="65"/>
        <item x="70"/>
        <item sd="0" x="80"/>
        <item sd="0" x="81"/>
        <item x="82"/>
        <item x="84"/>
        <item x="85"/>
        <item x="92"/>
        <item x="98"/>
        <item x="90"/>
        <item x="91"/>
        <item sd="0" x="97"/>
        <item x="93"/>
        <item x="143"/>
        <item x="147"/>
        <item x="146"/>
        <item x="145"/>
        <item x="144"/>
        <item sd="0" x="86"/>
        <item sd="0" x="159"/>
        <item sd="0" x="148"/>
        <item sd="0" x="149"/>
        <item x="152"/>
        <item x="151"/>
        <item x="150"/>
        <item x="27"/>
        <item x="96"/>
        <item x="69"/>
        <item x="83"/>
        <item x="88"/>
        <item x="153"/>
        <item x="3"/>
        <item x="1"/>
        <item x="9"/>
        <item x="0"/>
        <item x="4"/>
        <item x="8"/>
        <item x="11"/>
        <item x="6"/>
        <item x="7"/>
        <item x="2"/>
        <item x="127"/>
        <item x="94"/>
        <item x="5"/>
        <item x="60"/>
        <item x="54"/>
        <item sd="0" x="187"/>
        <item sd="0" x="154"/>
        <item x="163"/>
        <item sd="0" x="77"/>
        <item x="155"/>
        <item sd="0" x="89"/>
        <item x="158"/>
        <item x="160"/>
        <item x="157"/>
        <item x="156"/>
        <item x="181"/>
        <item x="161"/>
        <item x="162"/>
        <item x="164"/>
        <item x="165"/>
        <item x="167"/>
        <item sd="0" x="171"/>
        <item sd="0" x="180"/>
        <item x="168"/>
        <item x="176"/>
        <item x="174"/>
        <item x="172"/>
        <item x="170"/>
        <item x="169"/>
        <item x="173"/>
        <item x="175"/>
        <item x="177"/>
        <item x="178"/>
        <item x="179"/>
        <item x="61"/>
        <item x="87"/>
        <item x="95"/>
        <item x="166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4">
    <field x="9"/>
    <field x="3"/>
    <field x="16"/>
    <field x="6"/>
  </rowFields>
  <rowItems count="92">
    <i>
      <x/>
      <x v="2"/>
      <x v="236"/>
      <x v="481"/>
    </i>
    <i>
      <x v="1"/>
      <x v="1"/>
      <x v="151"/>
    </i>
    <i r="2">
      <x v="193"/>
      <x v="357"/>
    </i>
    <i r="2">
      <x v="204"/>
      <x v="372"/>
    </i>
    <i r="3">
      <x v="375"/>
    </i>
    <i r="3">
      <x v="377"/>
    </i>
    <i r="3">
      <x v="382"/>
    </i>
    <i r="2">
      <x v="205"/>
      <x v="373"/>
    </i>
    <i r="2">
      <x v="210"/>
      <x v="385"/>
    </i>
    <i r="3">
      <x v="398"/>
    </i>
    <i r="2">
      <x v="222"/>
      <x v="422"/>
    </i>
    <i r="3">
      <x v="429"/>
    </i>
    <i r="3">
      <x v="437"/>
    </i>
    <i r="2">
      <x v="225"/>
      <x v="428"/>
    </i>
    <i r="1">
      <x v="2"/>
      <x v="151"/>
    </i>
    <i r="2">
      <x v="233"/>
      <x v="454"/>
    </i>
    <i r="3">
      <x v="457"/>
    </i>
    <i r="1">
      <x v="3"/>
      <x v="151"/>
    </i>
    <i r="1">
      <x v="4"/>
      <x v="151"/>
    </i>
    <i r="2">
      <x v="191"/>
      <x v="199"/>
    </i>
    <i r="2">
      <x v="194"/>
      <x v="349"/>
    </i>
    <i r="2">
      <x v="198"/>
      <x v="350"/>
    </i>
    <i>
      <x v="2"/>
      <x v="1"/>
      <x v="209"/>
      <x v="383"/>
    </i>
    <i r="2">
      <x v="227"/>
      <x v="434"/>
    </i>
    <i>
      <x v="3"/>
      <x v="1"/>
      <x v="188"/>
      <x v="358"/>
    </i>
    <i r="3">
      <x v="366"/>
    </i>
    <i r="3">
      <x v="367"/>
    </i>
    <i r="3">
      <x v="378"/>
    </i>
    <i r="3">
      <x v="379"/>
    </i>
    <i r="3">
      <x v="403"/>
    </i>
    <i r="2">
      <x v="196"/>
      <x v="353"/>
    </i>
    <i r="2">
      <x v="202"/>
      <x v="369"/>
    </i>
    <i r="2">
      <x v="203"/>
      <x v="370"/>
    </i>
    <i r="2">
      <x v="206"/>
      <x v="374"/>
    </i>
    <i r="2">
      <x v="207"/>
      <x v="380"/>
    </i>
    <i r="2">
      <x v="212"/>
      <x v="389"/>
    </i>
    <i r="2">
      <x v="215"/>
      <x v="404"/>
    </i>
    <i r="3">
      <x v="407"/>
    </i>
    <i r="3">
      <x v="411"/>
    </i>
    <i r="3">
      <x v="414"/>
    </i>
    <i r="3">
      <x v="415"/>
    </i>
    <i r="3">
      <x v="420"/>
    </i>
    <i r="2">
      <x v="216"/>
      <x v="405"/>
    </i>
    <i r="2">
      <x v="217"/>
      <x v="410"/>
    </i>
    <i r="1">
      <x v="2"/>
      <x v="151"/>
    </i>
    <i r="2">
      <x v="188"/>
      <x v="453"/>
    </i>
    <i r="2">
      <x v="215"/>
      <x v="451"/>
    </i>
    <i r="3">
      <x v="458"/>
    </i>
    <i r="1">
      <x v="3"/>
      <x v="190"/>
      <x v="122"/>
    </i>
    <i r="1">
      <x v="4"/>
      <x v="187"/>
      <x v="327"/>
    </i>
    <i r="3">
      <x v="329"/>
    </i>
    <i r="3">
      <x v="340"/>
    </i>
    <i r="2">
      <x v="199"/>
      <x v="368"/>
    </i>
    <i>
      <x v="5"/>
    </i>
    <i>
      <x v="6"/>
    </i>
    <i>
      <x v="10"/>
      <x v="1"/>
      <x v="208"/>
      <x v="379"/>
    </i>
    <i>
      <x v="12"/>
      <x v="1"/>
      <x v="151"/>
    </i>
    <i r="2">
      <x v="185"/>
      <x v="365"/>
    </i>
    <i r="3">
      <x v="394"/>
    </i>
    <i r="3">
      <x v="396"/>
    </i>
    <i r="3">
      <x v="399"/>
    </i>
    <i r="3">
      <x v="409"/>
    </i>
    <i r="3">
      <x v="416"/>
    </i>
    <i r="2">
      <x v="195"/>
      <x v="356"/>
    </i>
    <i r="2">
      <x v="221"/>
      <x v="421"/>
    </i>
    <i r="3">
      <x v="423"/>
    </i>
    <i r="3">
      <x v="424"/>
    </i>
    <i r="3">
      <x v="430"/>
    </i>
    <i r="3">
      <x v="431"/>
    </i>
    <i r="3">
      <x v="442"/>
    </i>
    <i r="3">
      <x v="443"/>
    </i>
    <i r="3">
      <x v="462"/>
    </i>
    <i r="2">
      <x v="224"/>
      <x v="426"/>
    </i>
    <i r="1">
      <x v="2"/>
      <x v="151"/>
    </i>
    <i r="1">
      <x v="3"/>
      <x v="151"/>
    </i>
    <i>
      <x v="19"/>
      <x v="1"/>
      <x v="189"/>
      <x v="354"/>
    </i>
    <i r="2">
      <x v="197"/>
      <x v="355"/>
    </i>
    <i r="2">
      <x v="200"/>
      <x v="360"/>
    </i>
    <i r="3">
      <x v="371"/>
    </i>
    <i r="3">
      <x v="384"/>
    </i>
    <i r="2">
      <x v="201"/>
      <x v="361"/>
    </i>
    <i r="3">
      <x v="386"/>
    </i>
    <i r="3">
      <x v="387"/>
    </i>
    <i r="3">
      <x v="406"/>
    </i>
    <i r="3">
      <x v="408"/>
    </i>
    <i r="1">
      <x v="4"/>
      <x v="192"/>
      <x v="339"/>
    </i>
    <i>
      <x v="20"/>
      <x v="1"/>
      <x v="189"/>
      <x v="28"/>
    </i>
    <i r="3">
      <x v="381"/>
    </i>
    <i r="1">
      <x v="2"/>
      <x v="151"/>
    </i>
    <i>
      <x v="21"/>
      <x v="2"/>
      <x v="151"/>
    </i>
    <i>
      <x v="22"/>
      <x v="2"/>
      <x v="151"/>
    </i>
    <i t="grand">
      <x/>
    </i>
  </rowItems>
  <colItems count="1">
    <i/>
  </colItems>
  <pageFields count="3">
    <pageField fld="2" item="3" hier="-1"/>
    <pageField fld="10" hier="-1"/>
    <pageField fld="15" hier="-1"/>
  </pageFields>
  <dataFields count="1">
    <dataField name="Total" fld="13" baseField="0" baseItem="0" numFmtId="166"/>
  </dataFields>
  <formats count="3">
    <format dxfId="0">
      <pivotArea outline="0" collapsedLevelsAreSubtotals="1" fieldPosition="0"/>
    </format>
    <format dxfId="1">
      <pivotArea dataOnly="0" labelOnly="1" grandCol="1" outline="0" fieldPosition="0"/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82" dT="2023-03-28T13:06:37.37" personId="{A15F51FF-C289-4131-A99F-107FFE3C5C95}" id="{D34B1311-31CA-4951-B442-0905FBD08291}">
    <text>Invoice was for 1858 euros, not sure what row to associate it</text>
  </threadedComment>
  <threadedComment ref="L88" dT="2023-05-30T18:54:26.27" personId="{A15F51FF-C289-4131-A99F-107FFE3C5C95}" id="{1531D67D-B0AD-4920-8C32-E35E5CAA8EFB}">
    <text xml:space="preserve">PO was for 925, more than the figure here. </text>
  </threadedComment>
  <threadedComment ref="L98" dT="2023-06-28T08:19:28.76" personId="{A15F51FF-C289-4131-A99F-107FFE3C5C95}" id="{85589FD5-39EF-4C13-96BE-3DC412CAD514}">
    <text>PO was for 880 though</text>
  </threadedComment>
  <threadedComment ref="L116" dT="2023-06-20T07:04:40.70" personId="{A15F51FF-C289-4131-A99F-107FFE3C5C95}" id="{93FD6D33-0A47-4CD8-8B59-9EB658AD3DAF}">
    <text>Invoiced 204.17 excl VAT - 245 total</text>
  </threadedComment>
  <threadedComment ref="E189" dT="2024-02-07T15:48:14.98" personId="{AD2C1C08-DFEB-43B3-8586-B78C42D16921}" id="{54F5FA50-419B-4B75-9C6A-6572FDA703BB}">
    <text xml:space="preserve">Etes vous sure que c est pour moi? Je suis sur DI et MOBILE :)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63" dT="2023-03-28T13:06:37.37" personId="{A15F51FF-C289-4131-A99F-107FFE3C5C95}" id="{108EBF37-1BF3-41F6-9135-C67A681CF96E}">
    <text>Invoice was for 1858 euros, not sure what row to associate it</text>
  </threadedComment>
  <threadedComment ref="Q80" dT="2023-05-30T18:54:26.27" personId="{A15F51FF-C289-4131-A99F-107FFE3C5C95}" id="{A76E3D13-69C8-4B2D-9BB0-ECDED6CB1CE4}">
    <text xml:space="preserve">PO was for 925, more than the figure here. </text>
  </threadedComment>
  <threadedComment ref="Q81" dT="2024-02-20T18:18:11.02" personId="{16E1EF1D-2D7F-40BA-B6AD-F9731AA429C9}" id="{CE91AAC1-EA7C-4F41-8E84-C99E73A6F2B8}">
    <text>N° de PO changé APRES l'édition de la facture sur PO 4200641950</text>
  </threadedComment>
  <threadedComment ref="Q87" dT="2024-02-20T18:18:11.02" personId="{16E1EF1D-2D7F-40BA-B6AD-F9731AA429C9}" id="{CB96C8F9-4437-4C37-8F5E-EFF8DE8FF86A}">
    <text>N° de PO changé APRES l'édition de la facture sur PO 4200641950</text>
  </threadedComment>
  <threadedComment ref="Q99" dT="2023-06-28T08:19:28.76" personId="{A15F51FF-C289-4131-A99F-107FFE3C5C95}" id="{47278526-0BB2-4E79-8C28-C8EEEFBB7DB8}">
    <text>PO was for 880 though</text>
  </threadedComment>
  <threadedComment ref="N125" dT="2024-07-17T17:36:49.64" personId="{16E1EF1D-2D7F-40BA-B6AD-F9731AA429C9}" id="{EC94E78D-60DB-4044-B521-676CA91EA054}">
    <text>204.16€ Facturée</text>
  </threadedComment>
  <threadedComment ref="Q125" dT="2023-06-20T07:04:40.70" personId="{A15F51FF-C289-4131-A99F-107FFE3C5C95}" id="{77B5BDD2-C280-4EA2-B19B-BDC6DDDA2AD8}">
    <text>Invoiced 204.17 excl VAT - 245 total</text>
  </threadedComment>
  <threadedComment ref="Q249" dT="2024-02-20T19:13:36.43" personId="{16E1EF1D-2D7F-40BA-B6AD-F9731AA429C9}" id="{CEEE4BEE-DE8E-4112-B1D0-9AEF802BCE58}">
    <text>PO changé après édition par 4200657838</text>
  </threadedComment>
  <threadedComment ref="Q254" dT="2024-02-20T19:13:40.48" personId="{16E1EF1D-2D7F-40BA-B6AD-F9731AA429C9}" id="{45F7054C-9C4F-41DB-9766-687EDCC1C96A}">
    <text>PO changé après édition par 4200657838</text>
  </threadedComment>
  <threadedComment ref="Q268" dT="2024-02-20T19:18:00.23" personId="{16E1EF1D-2D7F-40BA-B6AD-F9731AA429C9}" id="{9034907A-57D7-4AAF-ABA1-CA2005FDAF43}">
    <text>PO changé APRES Edition de la facture pas n° 4200657852</text>
  </threadedComment>
  <threadedComment ref="Q269" dT="2024-02-20T19:18:45.93" personId="{16E1EF1D-2D7F-40BA-B6AD-F9731AA429C9}" id="{3A140D92-CE24-46B6-8354-314F7389AD6F}">
    <text>PO changé APRES Edition de la facture pas n° 4200657852</text>
  </threadedComment>
  <threadedComment ref="Q291" dT="2024-02-23T10:58:39.46" personId="{16E1EF1D-2D7F-40BA-B6AD-F9731AA429C9}" id="{48B9BFA4-76C0-49DF-BB67-0B814A804294}">
    <text xml:space="preserve">Devrais le passer sous: 4200641950 car celui mentionné est plein
</text>
  </threadedComment>
  <threadedComment ref="H300" dT="2024-02-07T15:48:14.98" personId="{AD2C1C08-DFEB-43B3-8586-B78C42D16921}" id="{15304852-0DFB-4A2B-B907-601929C1E18F}">
    <text xml:space="preserve">Etes vous sure que c est pour moi? Je suis sur DI et MOBILE :)
</text>
  </threadedComment>
  <threadedComment ref="N441" dT="2024-07-23T15:53:37.63" personId="{16E1EF1D-2D7F-40BA-B6AD-F9731AA429C9}" id="{89609473-EDF2-4529-AE7C-FB39DD4060A8}">
    <text xml:space="preserve">Dissocier 2 ligne 80€ en juillet 
le reste aout
</text>
  </threadedComment>
  <threadedComment ref="N442" dT="2024-07-23T15:52:44.42" personId="{16E1EF1D-2D7F-40BA-B6AD-F9731AA429C9}" id="{CA931B89-8E89-44D6-B3C7-E72F9AE2AC70}">
    <text xml:space="preserve">initialement 135€ à vérifier </text>
  </threadedComment>
  <threadedComment ref="N459" dT="2024-09-17T13:40:20.49" personId="{16E1EF1D-2D7F-40BA-B6AD-F9731AA429C9}" id="{0453745A-3DCF-455A-B8DF-649C97299437}">
    <text>40€ rajouté ensuite</text>
  </threadedComment>
  <threadedComment ref="Q606" dT="2025-09-19T09:15:47.09" personId="{16E1EF1D-2D7F-40BA-B6AD-F9731AA429C9}" id="{5EBEB2EE-6B50-4C40-B7C8-EB1A57773A18}">
    <text>Alice n'étais pas d'accord avec ces dépenses</text>
  </threadedComment>
  <threadedComment ref="T620" dT="2026-02-19T10:09:01.88" personId="{16E1EF1D-2D7F-40BA-B6AD-F9731AA429C9}" id="{27168AA2-8547-4846-A36E-B552B9F915CB}">
    <text xml:space="preserve"> Invalid PO New PO required (MOZART)</text>
  </threadedComment>
  <threadedComment ref="Q659" dT="2025-06-03T16:11:11.32" personId="{16E1EF1D-2D7F-40BA-B6AD-F9731AA429C9}" id="{AC2CF725-60C0-4FF4-83B1-6DC7A1D8B7AD}">
    <text>2217€ SC 1001360229</text>
  </threadedComment>
  <threadedComment ref="Q674" dT="2025-06-03T16:08:56.12" personId="{16E1EF1D-2D7F-40BA-B6AD-F9731AA429C9}" id="{5D06607A-423F-43F0-87BD-C2F242606D17}">
    <text>1665€ SC 1001360226</text>
  </threadedComment>
  <threadedComment ref="Q686" dT="2025-06-03T16:14:07.60" personId="{16E1EF1D-2D7F-40BA-B6AD-F9731AA429C9}" id="{1FE85D86-A4CC-4113-A57A-92EC4577D576}">
    <text>290€ SC 1001360239</text>
  </threadedComment>
  <threadedComment ref="T731" dT="2026-02-19T10:09:29.38" personId="{16E1EF1D-2D7F-40BA-B6AD-F9731AA429C9}" id="{962F934E-74B1-4A1F-B535-BC7A7AB37F8B}">
    <text xml:space="preserve"> Invalid PO New PO required (MOZART)</text>
  </threadedComment>
  <threadedComment ref="T740" dT="2026-02-19T10:10:15.52" personId="{16E1EF1D-2D7F-40BA-B6AD-F9731AA429C9}" id="{783D2AB5-7D4A-4752-AF81-ECA318E1C98A}" done="1">
    <text xml:space="preserve"> Invalid PO New PO required (MOZART)</text>
  </threadedComment>
  <threadedComment ref="U740" dT="2026-02-21T09:05:19.24" personId="{16E1EF1D-2D7F-40BA-B6AD-F9731AA429C9}" id="{889C1796-3D60-4843-8D8B-65A18B8CD128}">
    <text>21/02: Changement de PO en attente de paiement</text>
  </threadedComment>
  <threadedComment ref="U741" dT="2026-02-21T09:05:19.24" personId="{16E1EF1D-2D7F-40BA-B6AD-F9731AA429C9}" id="{4537A3FD-3C08-4D32-B61F-F5EFEB979E97}">
    <text>21/02: Changement de PO en attente de paiement</text>
  </threadedComment>
  <threadedComment ref="U742" dT="2026-02-21T09:05:19.24" personId="{16E1EF1D-2D7F-40BA-B6AD-F9731AA429C9}" id="{FA8A1FBD-0674-463D-863C-031386CC4C72}">
    <text>21/02: Changement de PO en attente de paiement</text>
  </threadedComment>
  <threadedComment ref="U743" dT="2026-02-21T09:05:19.24" personId="{16E1EF1D-2D7F-40BA-B6AD-F9731AA429C9}" id="{D8CAF25A-B614-4F88-BD1B-4A7D04551A00}">
    <text>21/02: Changement de PO en attente de paiement</text>
  </threadedComment>
  <threadedComment ref="U744" dT="2026-02-21T09:05:19.24" personId="{16E1EF1D-2D7F-40BA-B6AD-F9731AA429C9}" id="{5C449189-9AC1-4FC7-8099-06715A436DB1}">
    <text>21/02: Changement de PO en attente de paiement</text>
  </threadedComment>
  <threadedComment ref="U745" dT="2026-02-21T09:05:19.24" personId="{16E1EF1D-2D7F-40BA-B6AD-F9731AA429C9}" id="{85DDB8C0-0FD6-440B-B97D-84849BC9F16F}">
    <text>21/02: Changement de PO en attente de paiement</text>
  </threadedComment>
  <threadedComment ref="U746" dT="2026-02-21T09:05:19.24" personId="{16E1EF1D-2D7F-40BA-B6AD-F9731AA429C9}" id="{CD4B2C3C-772E-4731-ABD6-467846949C14}">
    <text>21/02: Changement de PO en attente de paiement</text>
  </threadedComment>
  <threadedComment ref="U747" dT="2026-02-21T09:05:19.24" personId="{16E1EF1D-2D7F-40BA-B6AD-F9731AA429C9}" id="{FB81A538-9085-4B9D-9C2F-39FD68AE3BE2}">
    <text>21/02: Changement de PO en attente de paiement</text>
  </threadedComment>
  <threadedComment ref="U748" dT="2026-02-21T09:05:19.24" personId="{16E1EF1D-2D7F-40BA-B6AD-F9731AA429C9}" id="{6A6C4EF5-644D-4018-BBFB-6C3205C6320A}">
    <text>21/02: Changement de PO en attente de paiement</text>
  </threadedComment>
  <threadedComment ref="U749" dT="2026-02-21T09:05:19.24" personId="{16E1EF1D-2D7F-40BA-B6AD-F9731AA429C9}" id="{E0775F12-D158-4360-8706-C9ED0B85A41A}">
    <text>21/02: Changement de PO en attente de paiement</text>
  </threadedComment>
  <threadedComment ref="U760" dT="2026-02-21T09:05:19.24" personId="{16E1EF1D-2D7F-40BA-B6AD-F9731AA429C9}" id="{BB469E07-98E5-4899-9DE9-195FD071C9D7}">
    <text>21/02: Changement de PO en attente de paiement</text>
  </threadedComment>
  <threadedComment ref="U761" dT="2026-02-21T09:05:19.24" personId="{16E1EF1D-2D7F-40BA-B6AD-F9731AA429C9}" id="{BAB34304-84CD-41DD-93D0-D70F58CB903F}">
    <text>21/02: Changement de PO en attente de paiement</text>
  </threadedComment>
  <threadedComment ref="Q765" dT="2026-03-11T13:14:16.38" personId="{FC769506-2E34-453A-ACDA-4D17A5B886EE}" id="{AD7901D7-80B7-407F-ADFB-08FF21F5CA5F}">
    <text>utiliser PO 4300153673 </text>
  </threadedComment>
  <threadedComment ref="T765" dT="2026-02-19T10:10:26.20" personId="{16E1EF1D-2D7F-40BA-B6AD-F9731AA429C9}" id="{BAF2A70D-8FBA-4BBD-B59B-8816334F2B8A}">
    <text xml:space="preserve"> Invalid PO New PO required (MOZART)</text>
  </threadedComment>
  <threadedComment ref="T766" dT="2026-02-19T10:09:40.87" personId="{16E1EF1D-2D7F-40BA-B6AD-F9731AA429C9}" id="{32139D4E-6D42-4589-AECB-79F59A58AC59}">
    <text xml:space="preserve"> Invalid PO New PO required (MOZART)</text>
  </threadedComment>
  <threadedComment ref="T775" dT="2026-02-19T10:10:41.77" personId="{16E1EF1D-2D7F-40BA-B6AD-F9731AA429C9}" id="{A369FC20-8430-4665-A5A8-8C9365726F7E}">
    <text xml:space="preserve"> Invalid PO New PO required (MOZART)</text>
  </threadedComment>
  <threadedComment ref="U775" dT="2026-03-23T09:55:10.43" personId="{16E1EF1D-2D7F-40BA-B6AD-F9731AA429C9}" id="{6F6DAB4B-53E1-451E-9EC9-11EADA73BC64}">
    <text xml:space="preserve">Facture envoyée le 23/03 avec nouveau PO
</text>
  </threadedComment>
  <threadedComment ref="U778" dT="2026-03-23T09:55:10.43" personId="{16E1EF1D-2D7F-40BA-B6AD-F9731AA429C9}" id="{58F2DCE3-A0C9-41EC-92B0-4E2A716C2156}">
    <text xml:space="preserve">Facture envoyée le 23/03 avec nouveau PO
</text>
  </threadedComment>
  <threadedComment ref="T783" dT="2026-02-19T10:10:33.01" personId="{16E1EF1D-2D7F-40BA-B6AD-F9731AA429C9}" id="{3367A42C-18F5-4DFB-8C32-819232C2A093}">
    <text xml:space="preserve"> Invalid PO New PO required (MOZART)</text>
  </threadedComment>
  <threadedComment ref="Q877" dT="2026-03-11T15:33:05.23" personId="{16E1EF1D-2D7F-40BA-B6AD-F9731AA429C9}" id="{87924A1E-F280-489B-A5BF-BA724446967D}" done="1">
    <text>Ce PO a été renseigné hors il est de 440€ et 185€ on déjà été facturé dessus- email envoyé le 11/03 en attente d'un retour de Xanthi et/ou Sébastien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P63" dT="2026-02-17T14:41:33.09" personId="{16E1EF1D-2D7F-40BA-B6AD-F9731AA429C9}" id="{98CD630F-03D5-4F5A-ABD1-2B46CAFE410E}" done="1">
    <text>Selon Ann-Kathrin nous devrions être payé en fin de mois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ECE564-C56B-4593-A684-F6673AEFF68F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saranistudio-my.sharepoint.com/:f:/g/personal/team_sarani_studio/EnY_cb3_b3FBkuyHMMgrIqABI3LhFTYtdKHZJVa7a7n45w?e=c3qr6G" TargetMode="External"/><Relationship Id="rId21" Type="http://schemas.openxmlformats.org/officeDocument/2006/relationships/hyperlink" Target="https://saranistudio-my.sharepoint.com/:f:/g/personal/team_sarani_studio/EksaPdiWfxhMnbU7goZGW3wBNMdtyNVXPZFQGY1IHS_P8w?e=K0olFY" TargetMode="External"/><Relationship Id="rId42" Type="http://schemas.openxmlformats.org/officeDocument/2006/relationships/hyperlink" Target="https://saranistudio.sharepoint.com/:f:/s/SaraniAssets/EiknNepsLsBCrpdYsClDYf4BJ3FbQd_CWM1gJFTvYGUW-Q?e=gKgtg0" TargetMode="External"/><Relationship Id="rId47" Type="http://schemas.openxmlformats.org/officeDocument/2006/relationships/hyperlink" Target="https://saranistudio.sharepoint.com/:f:/s/SaraniAssets/El4Zg-mjvdVNsHXBYyw_hr8BeakFEMytWf-TaaZWoMSIZQ?e=ro3lEN" TargetMode="External"/><Relationship Id="rId63" Type="http://schemas.openxmlformats.org/officeDocument/2006/relationships/hyperlink" Target="https://saranistudio.sharepoint.com/:f:/s/SaraniAssets/EhaXdK045ktJg8QiQguTvs8B2qCauga7MsVE7QwYTqF63w?e=6ZHC8E" TargetMode="External"/><Relationship Id="rId68" Type="http://schemas.openxmlformats.org/officeDocument/2006/relationships/hyperlink" Target="https://saranistudio.sharepoint.com/:f:/s/SaraniAssets/Ej_ZtFDNGhhEoYEWR38NaYUBYId-dXbNQROQXHhEAmib1Q?e=3B1uH4" TargetMode="External"/><Relationship Id="rId16" Type="http://schemas.openxmlformats.org/officeDocument/2006/relationships/hyperlink" Target="https://saranistudio-my.sharepoint.com/:f:/g/personal/team_sarani_studio/Et4JEQ0pJl5Kp_gFcv6IrzAB9iSZfuy0HfDvSRmUsm9szw?e=pEDdUu" TargetMode="External"/><Relationship Id="rId11" Type="http://schemas.openxmlformats.org/officeDocument/2006/relationships/hyperlink" Target="https://saranistudio-my.sharepoint.com/:f:/g/personal/team_sarani_studio/ErYK9M-zOA5Hl_9y0WcmEwsBwd5R8qMMwATIAABc168MWQ?e=kSNAdo" TargetMode="External"/><Relationship Id="rId24" Type="http://schemas.openxmlformats.org/officeDocument/2006/relationships/hyperlink" Target="https://saranistudio-my.sharepoint.com/:f:/g/personal/team_sarani_studio/EtIVwt5h1mBGvOR3ExJTZ1gBzwxRkAB45F-wXqyU66HBZg?e=Ck53W4" TargetMode="External"/><Relationship Id="rId32" Type="http://schemas.openxmlformats.org/officeDocument/2006/relationships/hyperlink" Target="https://saranistudio-my.sharepoint.com/:f:/g/personal/team_sarani_studio/EhWQhvikpjJAs9fRKuPWGgEBkfzxAmfMaaWw3wA91WzwdQ?e=0urtbw" TargetMode="External"/><Relationship Id="rId37" Type="http://schemas.openxmlformats.org/officeDocument/2006/relationships/hyperlink" Target="https://saranistudio.sharepoint.com/:f:/s/SaraniAssets/EnGdKGI3RDlNkYa-Rt8thvMB-hjoMEf_kapNSCKqGMYx9A?e=yuE1BI" TargetMode="External"/><Relationship Id="rId40" Type="http://schemas.openxmlformats.org/officeDocument/2006/relationships/hyperlink" Target="https://saranistudio.sharepoint.com/:f:/s/SaraniAssets/Ep_e6bGp1cJGnZiPUIoGnmMBOeKbF9oZdsw2Vnw67-ugPA?e=9SpT7N" TargetMode="External"/><Relationship Id="rId45" Type="http://schemas.openxmlformats.org/officeDocument/2006/relationships/hyperlink" Target="https://saranistudio.sharepoint.com/:f:/s/SaraniAssets/EkM4_4S2YUlChNsH90t7glEB0h_thC1ZAJOIh6EKmPcE9w?e=hxqLqh" TargetMode="External"/><Relationship Id="rId53" Type="http://schemas.openxmlformats.org/officeDocument/2006/relationships/hyperlink" Target="https://saranistudio.sharepoint.com/:f:/s/SaraniAssets/EuQyocrz7aFDuO819yz0ww0BMrZ7LmNdTJ5E1BsfIs5bxw?e=A74Tv9" TargetMode="External"/><Relationship Id="rId58" Type="http://schemas.openxmlformats.org/officeDocument/2006/relationships/hyperlink" Target="https://saranistudio.sharepoint.com/:f:/s/SaraniAssets/EjJ8FapyEDlGhNbQtDSCKMEBmzrKpIOokm6DzVfxKrqvfQ?e=xeCvE8" TargetMode="External"/><Relationship Id="rId66" Type="http://schemas.openxmlformats.org/officeDocument/2006/relationships/hyperlink" Target="https://saranistudio.sharepoint.com/:f:/s/SaraniAssets/ErbIaajS6sFLnYkxn-DbMdkBiP476TtQ2kiHvY381FmGjg?e=grtKaU" TargetMode="External"/><Relationship Id="rId74" Type="http://schemas.openxmlformats.org/officeDocument/2006/relationships/hyperlink" Target="https://saranistudio.sharepoint.com/:f:/s/SaraniAssets/Eq-G0OXt7vlHmHi81zgLafwBcYQj-fDcP68S1bRRJECbdQ?e=jCQYCn" TargetMode="External"/><Relationship Id="rId79" Type="http://schemas.openxmlformats.org/officeDocument/2006/relationships/hyperlink" Target="https://saranistudio.sharepoint.com/:f:/s/SaraniAssets/EiD1r8hyOmVHqcBftZ43yokBQPOqC5P4SWGgKQ1TXKqYeQ?e=EVwLhY" TargetMode="External"/><Relationship Id="rId5" Type="http://schemas.openxmlformats.org/officeDocument/2006/relationships/hyperlink" Target="https://saranistudio-my.sharepoint.com/:f:/g/personal/team_sarani_studio/Ekai1uZu5I1DjFQDqtNMglUB-a9khXEpgHVGO6Ehmq4loA?e=O64h2s" TargetMode="External"/><Relationship Id="rId61" Type="http://schemas.openxmlformats.org/officeDocument/2006/relationships/hyperlink" Target="https://saranistudio.sharepoint.com/:f:/s/SaraniAssets/EjFSqeQ09NFHvpMTxDxk31QBAlTBXEylsg91OVIxKT6fPQ?e=flMF03" TargetMode="External"/><Relationship Id="rId19" Type="http://schemas.openxmlformats.org/officeDocument/2006/relationships/hyperlink" Target="https://saranistudio-my.sharepoint.com/:f:/g/personal/team_sarani_studio/Em9OAsLQ3rVAsCjuhjlyf9ABulvOo8C6xbY6ZkPMG8hkFQ?e=cTZegr" TargetMode="External"/><Relationship Id="rId14" Type="http://schemas.openxmlformats.org/officeDocument/2006/relationships/hyperlink" Target="https://saranistudio-my.sharepoint.com/:f:/g/personal/team_sarani_studio/ElqnG-FXH_tIjM-5CjehobkBI3iwiykX2wZsbbcXjP2u5Q?e=cTcTX3" TargetMode="External"/><Relationship Id="rId22" Type="http://schemas.openxmlformats.org/officeDocument/2006/relationships/hyperlink" Target="https://saranistudio-my.sharepoint.com/:f:/g/personal/team_sarani_studio/Ev6IqmHMJZBCphm3dxGsXhYBeFhBvti6G9s1vJiBrYBRdA?e=gI4oeQ" TargetMode="External"/><Relationship Id="rId27" Type="http://schemas.openxmlformats.org/officeDocument/2006/relationships/hyperlink" Target="https://saranistudio-my.sharepoint.com/:f:/g/personal/team_sarani_studio/EnsODutXGZlJka_h6isAGR0BOCwDvdDheBpIbUVmfdjGWQ?e=loMFxG" TargetMode="External"/><Relationship Id="rId30" Type="http://schemas.openxmlformats.org/officeDocument/2006/relationships/hyperlink" Target="https://saranistudio-my.sharepoint.com/:f:/g/personal/team_sarani_studio/Eq9dY38BCXlJpcBriotIXLwBSlmTZTPUeCHR-CXQ-1YX2g?e=07oE5T" TargetMode="External"/><Relationship Id="rId35" Type="http://schemas.openxmlformats.org/officeDocument/2006/relationships/hyperlink" Target="https://saranistudio.sharepoint.com/:f:/s/SaraniAssets/EsYuFhHQcFRDtLfSjO_6uGMB0GNO5CLhpB3N6Q9GmyqNJQ?e=Y20eDi" TargetMode="External"/><Relationship Id="rId43" Type="http://schemas.openxmlformats.org/officeDocument/2006/relationships/hyperlink" Target="https://saranistudio.sharepoint.com/:f:/s/SaraniAssets/EooaxtefwdJHkHIXb1uHNp0Bo4oLLxMQXbDoZSqdCMOmdA?e=0dKqff" TargetMode="External"/><Relationship Id="rId48" Type="http://schemas.openxmlformats.org/officeDocument/2006/relationships/hyperlink" Target="https://saranistudio.sharepoint.com/:f:/s/SaraniAssets/EqEFLDs290NFhFKnIKvHsREBm5-NMDYOyYi9fj6Lz-NCPw?e=lTl3ml" TargetMode="External"/><Relationship Id="rId56" Type="http://schemas.openxmlformats.org/officeDocument/2006/relationships/hyperlink" Target="https://saranistudio.sharepoint.com/:f:/s/SaraniAssets/ErSgv-hqFRpOuvmAVjD_t1gBaECQLYpE-t9VB7eIFXWUGQ?e=qBNZQf" TargetMode="External"/><Relationship Id="rId64" Type="http://schemas.openxmlformats.org/officeDocument/2006/relationships/hyperlink" Target="https://saranistudio.sharepoint.com/:f:/s/SaraniAssets/ErPLt4I4ugdKvV8jBHbwSlgBXz4Vz3JbCCpnY0t6_1bBKg?e=BTiFOm" TargetMode="External"/><Relationship Id="rId69" Type="http://schemas.openxmlformats.org/officeDocument/2006/relationships/hyperlink" Target="https://saranistudio.sharepoint.com/:f:/s/SaraniAssets/ElaTCnH-UbBDhAwIQzcejYIBSEVMBrpOe96t7VFsvzzqFw?e=KtU3Cp" TargetMode="External"/><Relationship Id="rId77" Type="http://schemas.openxmlformats.org/officeDocument/2006/relationships/hyperlink" Target="https://saranistudio.sharepoint.com/:f:/s/SaraniAssets/EgPyDxfLaM5NtZ_Kfe9TRQ4Bkvs6LnolxNbRXg41QgrwyA?e=bwzV8E" TargetMode="External"/><Relationship Id="rId8" Type="http://schemas.openxmlformats.org/officeDocument/2006/relationships/hyperlink" Target="https://saranistudio-my.sharepoint.com/:f:/g/personal/team_sarani_studio/En4adQAwLLdMpS_-kswH4HYBlTRV8MD-w8jBUwACO_7rVA?e=59Phkd" TargetMode="External"/><Relationship Id="rId51" Type="http://schemas.openxmlformats.org/officeDocument/2006/relationships/hyperlink" Target="https://saranistudio.sharepoint.com/:f:/s/SaraniAssets/Eu2RanequfNGsQqUWNobPq0BHu4nG3ip_jSh-z5ivF-SNg?e=Z9FmxR" TargetMode="External"/><Relationship Id="rId72" Type="http://schemas.openxmlformats.org/officeDocument/2006/relationships/hyperlink" Target="https://saranistudio.sharepoint.com/:f:/s/SaraniAssets/EpsNyvJ0-BpHqZgKY9OcGWUBVl17ZHoLs9KuFQ-VyT8yFA?e=ydkCEr" TargetMode="External"/><Relationship Id="rId3" Type="http://schemas.openxmlformats.org/officeDocument/2006/relationships/hyperlink" Target="https://saranistudio-my.sharepoint.com/:f:/g/personal/team_sarani_studio/EmGsdIsbJgRJsHn18mqoDSQB5FuBnBna9S_58xG7MtztpQ?e=qp39eM" TargetMode="External"/><Relationship Id="rId12" Type="http://schemas.openxmlformats.org/officeDocument/2006/relationships/hyperlink" Target="https://saranistudio-my.sharepoint.com/:f:/g/personal/team_sarani_studio/EkZE4Y3oDmxOgPwByulkRGQBO22GCn4XXiv8vxBWXU3BOQ?e=QYcm2Z" TargetMode="External"/><Relationship Id="rId17" Type="http://schemas.openxmlformats.org/officeDocument/2006/relationships/hyperlink" Target="https://saranistudio-my.sharepoint.com/:f:/g/personal/team_sarani_studio/Ei_NmotrYflMp_lWmHZy990BpLoLZi4cDnXnEJa6yjOecw?e=dGyo9B" TargetMode="External"/><Relationship Id="rId25" Type="http://schemas.openxmlformats.org/officeDocument/2006/relationships/hyperlink" Target="https://saranistudio-my.sharepoint.com/:f:/g/personal/team_sarani_studio/EmZPb6upSoFLpsVrD7mVPrQBWIvIxUkXO5KuEznQtZpHRA?e=gonNYb" TargetMode="External"/><Relationship Id="rId33" Type="http://schemas.openxmlformats.org/officeDocument/2006/relationships/hyperlink" Target="https://saranistudio-my.sharepoint.com/:f:/g/personal/team_sarani_studio/EshfpkcRdslJlWo_wRSFdokBKfbGaymAkkISj5Hs0t-4Gg?e=rxI0Dg" TargetMode="External"/><Relationship Id="rId38" Type="http://schemas.openxmlformats.org/officeDocument/2006/relationships/hyperlink" Target="https://saranistudio.sharepoint.com/:f:/s/SaraniAssets/Eo4fs8B0yVxOnYJDdESxq3IBMQTRyrJaLmIY-WuqR8BCHw?e=CXm0xp" TargetMode="External"/><Relationship Id="rId46" Type="http://schemas.openxmlformats.org/officeDocument/2006/relationships/hyperlink" Target="https://saranistudio.sharepoint.com/:f:/s/SaraniAssets/EnKMlvMUmgtHl33KogLSSL4BT4by5o36kDO9QCfgduKfRg?e=h0mc84" TargetMode="External"/><Relationship Id="rId59" Type="http://schemas.openxmlformats.org/officeDocument/2006/relationships/hyperlink" Target="https://saranistudio.sharepoint.com/:f:/s/SaraniAssets/Eh6KVl3bFE5LhnPwJatp_ZAB-BRSqFvxMpNBm7iwT-IQ2Q?e=HY0ocq" TargetMode="External"/><Relationship Id="rId67" Type="http://schemas.openxmlformats.org/officeDocument/2006/relationships/hyperlink" Target="https://saranistudio.sharepoint.com/:f:/s/SaraniAssets/EuPLdBmkrSBBjYGA9yTfmOsB8gm0yfdSaY35ycXI4CHu3Q?e=ofOhdX" TargetMode="External"/><Relationship Id="rId20" Type="http://schemas.openxmlformats.org/officeDocument/2006/relationships/hyperlink" Target="https://saranistudio-my.sharepoint.com/:f:/g/personal/team_sarani_studio/EmtLIsoaTzxJnuMVqwFkEXEBRLxiJIn6Dx3sdurRJBv18Q?e=g8c6h9" TargetMode="External"/><Relationship Id="rId41" Type="http://schemas.openxmlformats.org/officeDocument/2006/relationships/hyperlink" Target="https://saranistudio.sharepoint.com/:f:/s/SaraniAssets/EiknNepsLsBCrpdYsClDYf4BJ3FbQd_CWM1gJFTvYGUW-Q?e=Rq1u9R" TargetMode="External"/><Relationship Id="rId54" Type="http://schemas.openxmlformats.org/officeDocument/2006/relationships/hyperlink" Target="https://saranistudio.sharepoint.com/:f:/s/SaraniAssets/Er1x1PPB_U5HtSXsmDKHazoBk6wVtgrwAriyWUNJ7GUixg?e=zvz3rS" TargetMode="External"/><Relationship Id="rId62" Type="http://schemas.openxmlformats.org/officeDocument/2006/relationships/hyperlink" Target="https://saranistudio.sharepoint.com/:f:/s/SaraniAssets/Esb88uDM9kZPvZ5uB5ZOp7IBdO3An7CZXDJUWtFeBMIAsw?e=NB7Jei" TargetMode="External"/><Relationship Id="rId70" Type="http://schemas.openxmlformats.org/officeDocument/2006/relationships/hyperlink" Target="https://saranistudio.sharepoint.com/:f:/s/SaraniAssets/Ejr-QoovUvhFlKdqynue9OgBmRMS9myizreXW47oGc6XSA?e=0nFbmm" TargetMode="External"/><Relationship Id="rId75" Type="http://schemas.openxmlformats.org/officeDocument/2006/relationships/hyperlink" Target="https://saranistudio.sharepoint.com/:f:/s/SaraniAssets/EkfqcsyPeeVHrBTexWbhyMQBHX1Dgzi-LouhHe8418G9NA?e=7FHPoe" TargetMode="External"/><Relationship Id="rId1" Type="http://schemas.openxmlformats.org/officeDocument/2006/relationships/hyperlink" Target="https://saranistudio-my.sharepoint.com/:f:/g/personal/team_sarani_studio/EryFOZSDujNAvnhAwzgHd6YBejy68T4VHXJZQ1QAcVGLmw?e=rKtkku" TargetMode="External"/><Relationship Id="rId6" Type="http://schemas.openxmlformats.org/officeDocument/2006/relationships/hyperlink" Target="https://saranistudio-my.sharepoint.com/:f:/g/personal/team_sarani_studio/Ej9SOLBtCcBHld_gbUxWxU4Bj5ZI1lZOhveurJhxJ-lshA?e=zgWyyk" TargetMode="External"/><Relationship Id="rId15" Type="http://schemas.openxmlformats.org/officeDocument/2006/relationships/hyperlink" Target="https://saranistudio-my.sharepoint.com/:f:/g/personal/team_sarani_studio/El9e7jWbxXdMjpwPrqrY1MwBS4are5bsKjLjkvs3GxUcVA?e=WhH1kd" TargetMode="External"/><Relationship Id="rId23" Type="http://schemas.openxmlformats.org/officeDocument/2006/relationships/hyperlink" Target="https://saranistudio-my.sharepoint.com/:f:/g/personal/team_sarani_studio/EmcPifH5zRNCuYQ6gTYnx6sBDvIuTZFuDZPI2FJvUxiAxw?e=XWt4Db" TargetMode="External"/><Relationship Id="rId28" Type="http://schemas.openxmlformats.org/officeDocument/2006/relationships/hyperlink" Target="https://saranistudio-my.sharepoint.com/:f:/g/personal/team_sarani_studio/Enx5U2mYTNFMnJc-xIoaRV0B1eOVGObhT3Vm8PYvRQBmQQ?e=buAC3K" TargetMode="External"/><Relationship Id="rId36" Type="http://schemas.openxmlformats.org/officeDocument/2006/relationships/hyperlink" Target="https://saranistudio.sharepoint.com/:f:/s/SaraniAssets/EkWffmfdAPhJqYBPKmTZI68BPTppr0WVR3suOlBsij0oiQ?e=fU70oR" TargetMode="External"/><Relationship Id="rId49" Type="http://schemas.openxmlformats.org/officeDocument/2006/relationships/hyperlink" Target="https://saranistudio.sharepoint.com/:f:/s/SaraniAssets/EtFcNiBU0NdFlh47hWv2DIcB350g2zzLb2TcsdaZ7gu2IA?e=VVwlcH" TargetMode="External"/><Relationship Id="rId57" Type="http://schemas.openxmlformats.org/officeDocument/2006/relationships/hyperlink" Target="https://saranistudio.sharepoint.com/:f:/s/SaraniAssets/Epz1Uwo7qKRHsoXZRMrZaGUBic3akKIBcVEYe2sM45EsUQ?e=NhNinE" TargetMode="External"/><Relationship Id="rId10" Type="http://schemas.openxmlformats.org/officeDocument/2006/relationships/hyperlink" Target="https://saranistudio-my.sharepoint.com/:f:/g/personal/team_sarani_studio/EkiROo65MdxOl4foCK_JnkMB7b1GqAM5JaGtE7NM2E563A?e=zgcdCi" TargetMode="External"/><Relationship Id="rId31" Type="http://schemas.openxmlformats.org/officeDocument/2006/relationships/hyperlink" Target="https://saranistudio-my.sharepoint.com/:f:/g/personal/team_sarani_studio/EjjU1nsll0ZLpfwcqkqDz1ABqwYNoyuQuP2Jpd3qOaYqaw?e=tAAr5m" TargetMode="External"/><Relationship Id="rId44" Type="http://schemas.openxmlformats.org/officeDocument/2006/relationships/hyperlink" Target="https://saranistudio.sharepoint.com/:f:/s/SaraniAssets/EsSvNf2CmCpLoLYMmLs749cBUiV0hVkSNGQXJeSn24BJww?e=mJoRlc" TargetMode="External"/><Relationship Id="rId52" Type="http://schemas.openxmlformats.org/officeDocument/2006/relationships/hyperlink" Target="https://saranistudio.sharepoint.com/:f:/s/SaraniAssets/Eo2gCErVUSNJhhWrswEkgr0BuKZlajnhYGCJdyMEFeChjw?e=t0AxyP" TargetMode="External"/><Relationship Id="rId60" Type="http://schemas.openxmlformats.org/officeDocument/2006/relationships/hyperlink" Target="https://saranistudio.sharepoint.com/:f:/s/SaraniAssets/EsS0n7-mcOhAizFqMCHg0M0BcG125BDooC6feMnZVwvCow?e=HC8MzD" TargetMode="External"/><Relationship Id="rId65" Type="http://schemas.openxmlformats.org/officeDocument/2006/relationships/hyperlink" Target="https://saranistudio.sharepoint.com/:f:/s/SaraniAssets/EgSBMO7G8CtPiA2qeVp_ODkBbAHHc8LP-rPTkwH6_xHmdg?e=efaM1O" TargetMode="External"/><Relationship Id="rId73" Type="http://schemas.openxmlformats.org/officeDocument/2006/relationships/hyperlink" Target="https://saranistudio.sharepoint.com/:f:/s/SaraniAssets/EgRVJ7M8DotDrEnyTLJ5S80BXA2hLOZ6s3Itax5zhMPyxQ?e=zgCO0J" TargetMode="External"/><Relationship Id="rId78" Type="http://schemas.openxmlformats.org/officeDocument/2006/relationships/hyperlink" Target="https://saranistudio.sharepoint.com/:f:/s/SaraniAssets/EtUnX_f3m65Pl1ZbIR2LtFcBdyH_pFE4j6bsj_lvVjHrzQ?e=6ao9MM" TargetMode="External"/><Relationship Id="rId4" Type="http://schemas.openxmlformats.org/officeDocument/2006/relationships/hyperlink" Target="https://saranistudio-my.sharepoint.com/:f:/g/personal/team_sarani_studio/EhXJcziQF1VOliqxaNrnlb0BfZuNE9G1FoVfA52_LbSH2A?e=KNakVW" TargetMode="External"/><Relationship Id="rId9" Type="http://schemas.openxmlformats.org/officeDocument/2006/relationships/hyperlink" Target="https://saranistudio-my.sharepoint.com/:f:/g/personal/team_sarani_studio/EmtLIsoaTzxJnuMVqwFkEXEBRLxiJIn6Dx3sdurRJBv18Q?e=SUZpe2" TargetMode="External"/><Relationship Id="rId13" Type="http://schemas.openxmlformats.org/officeDocument/2006/relationships/hyperlink" Target="https://saranistudio-my.sharepoint.com/:f:/g/personal/team_sarani_studio/EhsZRSxgxfVLrM85FfWaf4wBIG1duzSBgim6pUcZ5L-q-g?e=ImXkgA" TargetMode="External"/><Relationship Id="rId18" Type="http://schemas.openxmlformats.org/officeDocument/2006/relationships/hyperlink" Target="https://saranistudio-my.sharepoint.com/:f:/g/personal/team_sarani_studio/EhGvAIAk9nhJjmewxCW5higB28ZJKSWD-dA33c2u3yxD1w?e=RZ63bm" TargetMode="External"/><Relationship Id="rId39" Type="http://schemas.openxmlformats.org/officeDocument/2006/relationships/hyperlink" Target="https://saranistudio.sharepoint.com/:f:/s/SaraniAssets/Et5dFqZmczRMgczFiFOa0GsBBMgBPGHSfouO-Ayz_KXs-g?e=etIRaC" TargetMode="External"/><Relationship Id="rId34" Type="http://schemas.openxmlformats.org/officeDocument/2006/relationships/hyperlink" Target="https://saranistudio.sharepoint.com/:f:/s/SaraniAssets/EoZ04PuGIvlHkkrh7M2jUFkBNolII5PschT6ClRo9ay4iw?e=Aty2Lv" TargetMode="External"/><Relationship Id="rId50" Type="http://schemas.openxmlformats.org/officeDocument/2006/relationships/hyperlink" Target="https://saranistudio.sharepoint.com/:f:/s/SaraniAssets/EtfUCFAtvM1ClAWzs5V8ly4Bl5_BtcfUzG-ocfaZiYi-UA?e=mfemRc" TargetMode="External"/><Relationship Id="rId55" Type="http://schemas.openxmlformats.org/officeDocument/2006/relationships/hyperlink" Target="https://saranistudio.sharepoint.com/:f:/s/SaraniAssets/EpVLTD8AcVFOoq7WqfTgzHYBaoFcP9nMoLJncoN9hs7E7w?e=kvyV0y" TargetMode="External"/><Relationship Id="rId76" Type="http://schemas.openxmlformats.org/officeDocument/2006/relationships/hyperlink" Target="https://saranistudio.sharepoint.com/:f:/s/SaraniAssets/Eq-G0OXt7vlHmHi81zgLafwBcYQj-fDcP68S1bRRJECbdQ?e=jCQYCn" TargetMode="External"/><Relationship Id="rId7" Type="http://schemas.openxmlformats.org/officeDocument/2006/relationships/hyperlink" Target="https://saranistudio-my.sharepoint.com/:f:/g/personal/team_sarani_studio/Eno1hTwc6CZOpOaDyfuFXzEBK3IEmmBUsIThhxjU7-HINg?e=eUPBG7" TargetMode="External"/><Relationship Id="rId71" Type="http://schemas.openxmlformats.org/officeDocument/2006/relationships/hyperlink" Target="https://saranistudio.sharepoint.com/:f:/s/SaraniAssets/Eh5uhux84DVPk0koK0veA4kBNcIs_Folxc65B8tNPAIiJw?e=eYXaB0" TargetMode="External"/><Relationship Id="rId2" Type="http://schemas.openxmlformats.org/officeDocument/2006/relationships/hyperlink" Target="https://saranistudio-my.sharepoint.com/:f:/g/personal/team_sarani_studio/Eq7SJAAGtLFPt3_OkqT-cAUBgqmFSKdaWA6Q3fjNYYyZLw?e=Kf8H76" TargetMode="External"/><Relationship Id="rId29" Type="http://schemas.openxmlformats.org/officeDocument/2006/relationships/hyperlink" Target="https://saranistudio-my.sharepoint.com/:f:/g/personal/team_sarani_studio/Egj4cX4pxGtJhLcuZRe4SgIB1aofCP5Wp59nYn874HRKqw?e=QamI4u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ranistudio-my.sharepoint.com/:b:/g/personal/team_sarani_studio/EbMu1HYXhFpLtgxnigk-TjcB6fev3kyohzD-8laqQpYdng?e=lbUxXL" TargetMode="External"/><Relationship Id="rId299" Type="http://schemas.openxmlformats.org/officeDocument/2006/relationships/hyperlink" Target="https://saranistudio.sharepoint.com/:f:/s/SaraniAssets/EsrLHInvcfpIkFHXKwypzk8BCr5D80WLMupRsNiZi0mi4A?e=GxKSMP" TargetMode="External"/><Relationship Id="rId21" Type="http://schemas.openxmlformats.org/officeDocument/2006/relationships/hyperlink" Target="https://saranistudio-my.sharepoint.com/:f:/g/personal/team_sarani_studio/EitCbbZcUbZAkfWL7WBLee8BGH7SK4bXE2Dt7jdZHoYz1g?e=PygYN7" TargetMode="External"/><Relationship Id="rId63" Type="http://schemas.openxmlformats.org/officeDocument/2006/relationships/hyperlink" Target="https://saranistudio-my.sharepoint.com/:f:/g/personal/team_sarani_studio/EvN6F1tLUb1HpsDsbcqLJpgBS_xatQW1Mdo30DXnEk4Umw?e=ZwLhqb" TargetMode="External"/><Relationship Id="rId159" Type="http://schemas.openxmlformats.org/officeDocument/2006/relationships/hyperlink" Target="https://saranistudio.sharepoint.com/:f:/s/SaraniAssets/EsDHlKjDmc1NnjHAIvG09IIB4GCZPT25Avl1J7-s7co-1w?e=LM2h4P" TargetMode="External"/><Relationship Id="rId324" Type="http://schemas.openxmlformats.org/officeDocument/2006/relationships/hyperlink" Target="https://saranistudio.sharepoint.com/:f:/s/SaraniAssets/Eh3RpKQXfyVCvqdtfiu9dD0BLzbG-2HelOsfJzr8BWzm4w?e=2lkyhd" TargetMode="External"/><Relationship Id="rId366" Type="http://schemas.openxmlformats.org/officeDocument/2006/relationships/hyperlink" Target="https://saranistudio-my.sharepoint.com/:b:/g/personal/team_sarani_studio/EW_tTYaI-ThIp8Ip3HxpOLsBNOp_LGAlHHo6Hn8Gq2vArA?e=W0i8Mr" TargetMode="External"/><Relationship Id="rId170" Type="http://schemas.openxmlformats.org/officeDocument/2006/relationships/hyperlink" Target="https://saranistudio-my.sharepoint.com/:b:/g/personal/team_sarani_studio/EWZDebpX_3NLnB2kPm4prroBkIIgVsMjvlgdRG2KL6oTyA?e=ENTdXo" TargetMode="External"/><Relationship Id="rId226" Type="http://schemas.openxmlformats.org/officeDocument/2006/relationships/hyperlink" Target="https://saranistudio-my.sharepoint.com/:b:/g/personal/team_sarani_studio/EYhsQn8I6rlOjpEbFRVb784BF5JzkASIiip86bCCEG6V7g?e=Q20Pnr" TargetMode="External"/><Relationship Id="rId268" Type="http://schemas.openxmlformats.org/officeDocument/2006/relationships/hyperlink" Target="https://saranistudio-my.sharepoint.com/:b:/g/personal/team_sarani_studio/ETZ2NlpKgUJAi_61LhAAaMsBGZj-YgOe1iKvXFmEgTk9Pg?e=kvzNPP" TargetMode="External"/><Relationship Id="rId32" Type="http://schemas.openxmlformats.org/officeDocument/2006/relationships/hyperlink" Target="https://saranistudio-my.sharepoint.com/:f:/g/personal/team_sarani_studio/EoXM_bPXFQtOqtOuolOqWAQBFcKOS1eXgcsuycPvj9witg?e=ACLkrl" TargetMode="External"/><Relationship Id="rId74" Type="http://schemas.openxmlformats.org/officeDocument/2006/relationships/hyperlink" Target="https://saranistudio-my.sharepoint.com/:f:/g/personal/team_sarani_studio/EkLgT7b2GW1FiXyXqMeqvNoBaTEkUZ9CqiBTTtiXfQFnqw?e=bI4r6i" TargetMode="External"/><Relationship Id="rId128" Type="http://schemas.openxmlformats.org/officeDocument/2006/relationships/hyperlink" Target="https://saranistudio-my.sharepoint.com/:b:/g/personal/team_sarani_studio/EWpE3hXotlpGqUUf3-d076oBYc9ifdfAUM4r3WVYiVXhkw?e=WnxmrE" TargetMode="External"/><Relationship Id="rId335" Type="http://schemas.openxmlformats.org/officeDocument/2006/relationships/hyperlink" Target="https://saranistudio.sharepoint.com/:f:/s/SaraniAssets/EsxR39dmC3xAri8Ild6PjHYBidATZgf2xKXted8VIZFjoQ?e=G1pNPi" TargetMode="External"/><Relationship Id="rId5" Type="http://schemas.openxmlformats.org/officeDocument/2006/relationships/hyperlink" Target="https://saranistudio-my.sharepoint.com/:f:/g/personal/team_sarani_studio/EvZFoSgMoTlGiWeuK20ZrcwBr1BCtYNuR2DptwGgJMpg-A?e=ucRI2s" TargetMode="External"/><Relationship Id="rId181" Type="http://schemas.openxmlformats.org/officeDocument/2006/relationships/hyperlink" Target="https://saranistudio-my.sharepoint.com/:b:/g/personal/team_sarani_studio/ESTdhvAHB2VDpGZvjKGcT80BEBmxhZJ0Wcbs8rXVwZrkbw?e=oVdzce" TargetMode="External"/><Relationship Id="rId237" Type="http://schemas.openxmlformats.org/officeDocument/2006/relationships/hyperlink" Target="https://saranistudio.sharepoint.com/:f:/s/SaraniAssets/ErSgv-hqFRpOuvmAVjD_t1gBaECQLYpE-t9VB7eIFXWUGQ?e=IvSeqU" TargetMode="External"/><Relationship Id="rId279" Type="http://schemas.openxmlformats.org/officeDocument/2006/relationships/hyperlink" Target="https://saranistudio.sharepoint.com/:f:/s/SaraniAssets/EtY9hpKd1PlIhHe2wixiXsMBSDqRMLLEeq1QqO4tJfzyUw?e=UhMRMw" TargetMode="External"/><Relationship Id="rId43" Type="http://schemas.openxmlformats.org/officeDocument/2006/relationships/hyperlink" Target="https://saranistudio-my.sharepoint.com/:f:/g/personal/team_sarani_studio/EvdB_pa-nYlJjcn2m_-V6CIBlwvd0lovLbZhSbor2xacAQ?e=54JYDm" TargetMode="External"/><Relationship Id="rId139" Type="http://schemas.openxmlformats.org/officeDocument/2006/relationships/hyperlink" Target="https://saranistudio.sharepoint.com/:f:/s/SaraniAssets/ErA000UoVLhDqslLZSyhjoABU1xbvgg3E8Ij-0qMkvDYQA?e=pL3NJr" TargetMode="External"/><Relationship Id="rId290" Type="http://schemas.openxmlformats.org/officeDocument/2006/relationships/hyperlink" Target="https://saranistudio.sharepoint.com/:f:/s/SaraniAssets/EovRry9I1YNLl3Bs6R8iMREBr7g1_iWsS9N1z90BE7DcYg?e=6Yusw1" TargetMode="External"/><Relationship Id="rId304" Type="http://schemas.openxmlformats.org/officeDocument/2006/relationships/hyperlink" Target="https://saranistudio-my.sharepoint.com/:b:/g/personal/team_sarani_studio/Ef08ecDBfrxHoDQtiT02wrEBTAAQxP2v4rq-1idxO41QTQ?e=veCSoV" TargetMode="External"/><Relationship Id="rId346" Type="http://schemas.openxmlformats.org/officeDocument/2006/relationships/hyperlink" Target="https://saranistudio-my.sharepoint.com/:b:/g/personal/team_sarani_studio/EdCDQbFdf6lDkNsaJY7V3cABz5_9-xeuy1TBRiD4sP_mPg?e=uZmfVb" TargetMode="External"/><Relationship Id="rId85" Type="http://schemas.openxmlformats.org/officeDocument/2006/relationships/hyperlink" Target="https://saranistudio-my.sharepoint.com/:f:/g/personal/team_sarani_studio/EqlLsDa0-OdHiGWvUGclPS8Baj-tDmZI7GrEMryNAItQJw?e=PzaIKU" TargetMode="External"/><Relationship Id="rId150" Type="http://schemas.openxmlformats.org/officeDocument/2006/relationships/hyperlink" Target="https://saranistudio-my.sharepoint.com/:b:/g/personal/team_sarani_studio/Ed1vPGHqbmFNs7Nnwr-8wVYB_-OJvm6ZR5rYOVkAvupcug?e=uvKXZp" TargetMode="External"/><Relationship Id="rId192" Type="http://schemas.openxmlformats.org/officeDocument/2006/relationships/hyperlink" Target="https://saranistudio.sharepoint.com/:f:/s/SaraniAssets/Er9pInJc7SlPlb-H9tAnvvUBVGJ3H5DxZwDvHG7WJWU-yw?e=9IaSUZ" TargetMode="External"/><Relationship Id="rId206" Type="http://schemas.openxmlformats.org/officeDocument/2006/relationships/hyperlink" Target="https://saranistudio-my.sharepoint.com/:b:/g/personal/team_sarani_studio/ER40hT-2KSBCom2GEXH7HBsB7LsVMyyIyLO3ec2XghTHMg?e=YVLZpp" TargetMode="External"/><Relationship Id="rId248" Type="http://schemas.openxmlformats.org/officeDocument/2006/relationships/hyperlink" Target="https://saranistudio-my.sharepoint.com/:b:/g/personal/team_sarani_studio/EZvICIqE9sNGkQ0goRtft_gBQPyLrz0fw8raQhGhRMKZ8g?e=RN7a4v" TargetMode="External"/><Relationship Id="rId12" Type="http://schemas.openxmlformats.org/officeDocument/2006/relationships/hyperlink" Target="https://saranistudio-my.sharepoint.com/:f:/g/personal/team_sarani_studio/Em0VBaXS7r5GiCtkcsyiCosBToqjoeJ6S1SQLfPqkfkGsQ?e=fEshRi" TargetMode="External"/><Relationship Id="rId108" Type="http://schemas.openxmlformats.org/officeDocument/2006/relationships/hyperlink" Target="https://saranistudio-my.sharepoint.com/:f:/g/personal/team_sarani_studio/EvQN4pTLbGlGtvszZNOwt0QB3geNAHjthS4yBFQDknbV5Q?e=U5iNrI" TargetMode="External"/><Relationship Id="rId315" Type="http://schemas.openxmlformats.org/officeDocument/2006/relationships/hyperlink" Target="https://saranistudio.sharepoint.com/:f:/s/SaraniAssets/Ek27zj4qBm1OpALPmdV8m38BfsLo2q6fO1PkRunoBVhSsw?e=RJLXDM" TargetMode="External"/><Relationship Id="rId357" Type="http://schemas.openxmlformats.org/officeDocument/2006/relationships/hyperlink" Target="https://saranistudio.sharepoint.com/:f:/s/SaraniAssets/ErZe77Ka1O1Erlh-LHqZRTMBUJA02CgCwIwj3UL2N5zu8g?e=OFWYeZ" TargetMode="External"/><Relationship Id="rId54" Type="http://schemas.openxmlformats.org/officeDocument/2006/relationships/hyperlink" Target="https://saranistudio-my.sharepoint.com/:f:/g/personal/team_sarani_studio/Et8Mg5FeJk1NtO-LbUI6GWIBaKP7wdAFxBlojd6prDrs-A?e=2HZ6NX" TargetMode="External"/><Relationship Id="rId96" Type="http://schemas.openxmlformats.org/officeDocument/2006/relationships/hyperlink" Target="https://saranistudio-my.sharepoint.com/:f:/g/personal/team_sarani_studio/Eg39IZWIqplBqs70KQ07ic0BYjZ2B5MN4UUbGN81zVMNog?e=4bjvuH" TargetMode="External"/><Relationship Id="rId161" Type="http://schemas.openxmlformats.org/officeDocument/2006/relationships/hyperlink" Target="https://saranistudio.sharepoint.com/:f:/s/SaraniAssets/EgSlBkWINZBKgVGmCp6NzfMBevXK6wtmU5crT8987XNsuA?e=WhQ0PI" TargetMode="External"/><Relationship Id="rId217" Type="http://schemas.openxmlformats.org/officeDocument/2006/relationships/hyperlink" Target="https://saranistudio-my.sharepoint.com/:b:/g/personal/team_sarani_studio/ETKC76CSHshFnZCpLK3mTOkByoWGbBT-S5xsjxmPdosVPw?e=QRa261" TargetMode="External"/><Relationship Id="rId259" Type="http://schemas.openxmlformats.org/officeDocument/2006/relationships/hyperlink" Target="https://saranistudio.sharepoint.com/:f:/s/SaraniAssets/EgbQPIwF3-5Pi58HT8VqEbkBfP1ST72E3-9Hyt873aiHqQ?e=uM3Ihz" TargetMode="External"/><Relationship Id="rId23" Type="http://schemas.openxmlformats.org/officeDocument/2006/relationships/hyperlink" Target="https://saranistudio-my.sharepoint.com/:f:/g/personal/team_sarani_studio/Ev8VV5oNGQpDt88C9YGvPJ0BeWvCOnfN80JI8f52rlCkDA?e=svUNka" TargetMode="External"/><Relationship Id="rId119" Type="http://schemas.openxmlformats.org/officeDocument/2006/relationships/hyperlink" Target="https://saranistudio-my.sharepoint.com/:b:/g/personal/team_sarani_studio/EasI3NzmUiNBsxQbJyupZ0YB3EJpW77PbqhDJyVB0m7eNw?e=SaMo42" TargetMode="External"/><Relationship Id="rId270" Type="http://schemas.openxmlformats.org/officeDocument/2006/relationships/hyperlink" Target="https://saranistudio.sharepoint.com/:f:/s/SaraniAssets/EseZG1JSwf1Cseiw44aDO5oBtTh2_e4dw_xPmpa6dVifIQ?e=UcYmQn" TargetMode="External"/><Relationship Id="rId326" Type="http://schemas.openxmlformats.org/officeDocument/2006/relationships/hyperlink" Target="https://saranistudio.sharepoint.com/:f:/s/SaraniAssets/Eh5uhux84DVPk0koK0veA4kBNcIs_Folxc65B8tNPAIiJw?e=gbqtc5" TargetMode="External"/><Relationship Id="rId65" Type="http://schemas.openxmlformats.org/officeDocument/2006/relationships/hyperlink" Target="https://saranistudio-my.sharepoint.com/:f:/g/personal/team_sarani_studio/ErR6Cnz8koFJgGWWVv_vuxMB39tB1cZ0JkSx87G68Dab2A?e=ADHUf1" TargetMode="External"/><Relationship Id="rId130" Type="http://schemas.openxmlformats.org/officeDocument/2006/relationships/hyperlink" Target="https://saranistudio-my.sharepoint.com/:b:/g/personal/team_sarani_studio/EYwVhDmTALVMlSXR13Fk7S8BZddeA1BxVAGjdwPHyJK3yQ?e=6xSWPv" TargetMode="External"/><Relationship Id="rId368" Type="http://schemas.openxmlformats.org/officeDocument/2006/relationships/hyperlink" Target="https://saranistudio.sharepoint.com/:f:/s/SaraniAssets/Erha6gi88whLuj_pvtxIpRcBXZVc8vTFR0xPQmbb9FSA2g?e=nvU2Sf" TargetMode="External"/><Relationship Id="rId172" Type="http://schemas.openxmlformats.org/officeDocument/2006/relationships/hyperlink" Target="https://saranistudio.sharepoint.com/:f:/s/SaraniAssets/EubiP4v5xjdNvP4nhtG04H8BeVph2gPgBhnIJPo6sgeOEA?e=8ky5RC" TargetMode="External"/><Relationship Id="rId228" Type="http://schemas.openxmlformats.org/officeDocument/2006/relationships/hyperlink" Target="https://saranistudio.sharepoint.com/:f:/s/SaraniAssets/EsZE1mf1761OmkcL89GTnkYBNFxkNZXRaQLXbIrhI6TSmA?e=UgnWWN" TargetMode="External"/><Relationship Id="rId281" Type="http://schemas.openxmlformats.org/officeDocument/2006/relationships/hyperlink" Target="https://saranistudio-my.sharepoint.com/:b:/g/personal/team_sarani_studio/EZWhW9hYN09FmjnDf0_SqL4BrUffJEv-Baj4R7_6Uzr7JA?e=Svnzt2" TargetMode="External"/><Relationship Id="rId337" Type="http://schemas.openxmlformats.org/officeDocument/2006/relationships/hyperlink" Target="https://saranistudio-my.sharepoint.com/:b:/g/personal/team_sarani_studio/ERes_rMDhzRAsn3xxoeeTOsBne02ZAkta6EEDt4MkFwX_A?e=0UyfLe" TargetMode="External"/><Relationship Id="rId34" Type="http://schemas.openxmlformats.org/officeDocument/2006/relationships/hyperlink" Target="https://saranistudio-my.sharepoint.com/:f:/g/personal/team_sarani_studio/EhmXSE3SqJlLttJIjP3d1EwBO-MeT52KYDPXcUnZ4UeiYQ?e=EPq6RY" TargetMode="External"/><Relationship Id="rId76" Type="http://schemas.openxmlformats.org/officeDocument/2006/relationships/hyperlink" Target="https://saranistudio-my.sharepoint.com/:f:/g/personal/team_sarani_studio/Espt-U8X33FIn_OoCNAzUcYBPpS87vnP4camNLiVvGkeQA?e=kUXhS1" TargetMode="External"/><Relationship Id="rId141" Type="http://schemas.openxmlformats.org/officeDocument/2006/relationships/hyperlink" Target="https://saranistudio-my.sharepoint.com/:b:/g/personal/team_sarani_studio/Ee3F3z-Ic6ZFo5wGD56lVwYBbC7nmfyNq2WfFQ2DqZJaOQ?e=YRGbt6" TargetMode="External"/><Relationship Id="rId7" Type="http://schemas.openxmlformats.org/officeDocument/2006/relationships/hyperlink" Target="https://saranistudio-my.sharepoint.com/:f:/g/personal/team_sarani_studio/Enb5T0uGjd5It7r-yOl8Hw4BRcePMvNEVtlCj65ShnZ1eA?e=oRN2hs" TargetMode="External"/><Relationship Id="rId183" Type="http://schemas.openxmlformats.org/officeDocument/2006/relationships/hyperlink" Target="https://saranistudio-my.sharepoint.com/:b:/g/personal/team_sarani_studio/Ec8oiCI_A_VMqO6IpEd3GVIBX5rjzOcpzsaHAkGERCpbZg?e=QEbRh7" TargetMode="External"/><Relationship Id="rId239" Type="http://schemas.openxmlformats.org/officeDocument/2006/relationships/hyperlink" Target="https://saranistudio.sharepoint.com/:f:/s/SaraniAssets/EjIIsWrWIkZBsqrOXS7l2F8BF_TFSnTVgtkbju4QU9EUAg?e=h2BqHl" TargetMode="External"/><Relationship Id="rId250" Type="http://schemas.openxmlformats.org/officeDocument/2006/relationships/hyperlink" Target="https://saranistudio-my.sharepoint.com/:b:/g/personal/team_sarani_studio/EXO2zt5Ku7pEs8uPz16HjagB2M635QAA9dackpaGx6rUiw?e=tQDIFd" TargetMode="External"/><Relationship Id="rId292" Type="http://schemas.openxmlformats.org/officeDocument/2006/relationships/hyperlink" Target="https://saranistudio.sharepoint.com/:b:/s/SaraniAssets/EaGA5-YxOy5LrfrpmX-ZBjcBt2WkDMbK4g_HX-9hWSiHqA?e=RyhJL8" TargetMode="External"/><Relationship Id="rId306" Type="http://schemas.openxmlformats.org/officeDocument/2006/relationships/hyperlink" Target="https://saranistudio-my.sharepoint.com/:b:/g/personal/team_sarani_studio/EfhIRCGDI0FBmQyvfuH9Vl8B4AEayL5UZc9MNoj3mBFt3A?e=cAyEu9" TargetMode="External"/><Relationship Id="rId45" Type="http://schemas.openxmlformats.org/officeDocument/2006/relationships/hyperlink" Target="https://saranistudio-my.sharepoint.com/:f:/g/personal/team_sarani_studio/Evzfu13U4IpLp3GoN-MrbKcB6voUMWbQ-KWviKSEWfxHyA?e=u1uaJh" TargetMode="External"/><Relationship Id="rId87" Type="http://schemas.openxmlformats.org/officeDocument/2006/relationships/hyperlink" Target="https://saranistudio-my.sharepoint.com/:f:/g/personal/team_sarani_studio/Et0n6qSoe-xPtkYYFwnsqcEBg2KPEz4sE8xNY_4Aoysh8w?e=WrXRn9" TargetMode="External"/><Relationship Id="rId110" Type="http://schemas.openxmlformats.org/officeDocument/2006/relationships/hyperlink" Target="https://saranistudio.sharepoint.com/:f:/s/SaraniAssets/EsMHhSdNvINElyx3JEst28ABbEZ2UyxACzwOgbo7r8uNhQ?e=GMg6XF" TargetMode="External"/><Relationship Id="rId348" Type="http://schemas.openxmlformats.org/officeDocument/2006/relationships/hyperlink" Target="https://saranistudio-my.sharepoint.com/:w:/g/personal/team_sarani_studio/EUqjjO63JJtAgt-emos8IuYBxmvnWmTi1b6qEPakVQi2Cg?e=DcLPhR" TargetMode="External"/><Relationship Id="rId152" Type="http://schemas.openxmlformats.org/officeDocument/2006/relationships/hyperlink" Target="https://saranistudio-my.sharepoint.com/:b:/g/personal/team_sarani_studio/EQtAEpb8-uNGq9VExKsBI9YBaNSVllvUgb21pGrriQEX5Q?e=FUjEx9" TargetMode="External"/><Relationship Id="rId194" Type="http://schemas.openxmlformats.org/officeDocument/2006/relationships/hyperlink" Target="https://saranistudio-my.sharepoint.com/:b:/g/personal/team_sarani_studio/EVBYG2u1lmxAjHiHP80tfoMBXMPLaRNOwUEusn0mQRpo7w?e=TXcMmn" TargetMode="External"/><Relationship Id="rId208" Type="http://schemas.openxmlformats.org/officeDocument/2006/relationships/hyperlink" Target="https://saranistudio.sharepoint.com/:f:/s/SaraniAssets/EosNDDBskm9BjknVqVaTUUIBFbs2cKTF3yYLg-eQh4eaFw?e=EgB9v5" TargetMode="External"/><Relationship Id="rId261" Type="http://schemas.openxmlformats.org/officeDocument/2006/relationships/hyperlink" Target="https://saranistudio-my.sharepoint.com/:b:/g/personal/team_sarani_studio/ERKsAjSgYG5LlexbDjdcRxMBkVxrKDPRRC9sUP4wAd6Fxg?e=qSvSTV" TargetMode="External"/><Relationship Id="rId14" Type="http://schemas.openxmlformats.org/officeDocument/2006/relationships/hyperlink" Target="https://saranistudio-my.sharepoint.com/:f:/g/personal/team_sarani_studio/EuGwoElxdVxAqUlHd5jwPl0Bd9dIrtw0j4nHaTHU_C0F4Q?e=k1zDEI" TargetMode="External"/><Relationship Id="rId56" Type="http://schemas.openxmlformats.org/officeDocument/2006/relationships/hyperlink" Target="https://saranistudio-my.sharepoint.com/:f:/g/personal/team_sarani_studio/Ekw_x8Y39OdCmvbhTwiifiAB6YSU8f6NC-Wqd59I4hByhA?e=yq5q21" TargetMode="External"/><Relationship Id="rId317" Type="http://schemas.openxmlformats.org/officeDocument/2006/relationships/hyperlink" Target="https://saranistudio-my.sharepoint.com/:b:/g/personal/team_sarani_studio/EYEDMoQJJMxMgJ_66Eq6EVIBnRoBZBt97Yhch3hNjF2NRQ?e=FyJkSO" TargetMode="External"/><Relationship Id="rId359" Type="http://schemas.openxmlformats.org/officeDocument/2006/relationships/hyperlink" Target="https://saranistudio-my.sharepoint.com/:b:/g/personal/team_sarani_studio/EV4GOVKCzhFKqyuwLWbYLFIBnjyNOAfnKriH7e5IRAbUTQ?e=XgIM2G" TargetMode="External"/><Relationship Id="rId98" Type="http://schemas.openxmlformats.org/officeDocument/2006/relationships/hyperlink" Target="https://saranistudio-my.sharepoint.com/:f:/g/personal/team_sarani_studio/EpMtJW_jv0NEt3IV09rF06YBYDZsH3E7iCs2ItByKPvvsw?e=YoPLx5" TargetMode="External"/><Relationship Id="rId121" Type="http://schemas.openxmlformats.org/officeDocument/2006/relationships/hyperlink" Target="https://saranistudio-my.sharepoint.com/:b:/g/personal/team_sarani_studio/EepN62Np7N9MseVxKTtjK_oBFAFljE_tUVkIlvItykaeeg?e=zsWnuM" TargetMode="External"/><Relationship Id="rId163" Type="http://schemas.openxmlformats.org/officeDocument/2006/relationships/hyperlink" Target="https://saranistudio.sharepoint.com/:f:/s/SaraniAssets/EpaVO7YRjRRKhnmYbKc3cVwB12wLQr2nbSc29Xfb7OCgmA?e=7alCrE" TargetMode="External"/><Relationship Id="rId219" Type="http://schemas.openxmlformats.org/officeDocument/2006/relationships/hyperlink" Target="https://saranistudio-my.sharepoint.com/:b:/g/personal/team_sarani_studio/EZQlHu_e6gFBqhnPVeyWRbIBOg1X0ZDZF6p5Vm9ArPczPw?e=t4CLm9" TargetMode="External"/><Relationship Id="rId370" Type="http://schemas.openxmlformats.org/officeDocument/2006/relationships/printerSettings" Target="../printerSettings/printerSettings1.bin"/><Relationship Id="rId230" Type="http://schemas.openxmlformats.org/officeDocument/2006/relationships/hyperlink" Target="https://saranistudio.sharepoint.com/:f:/s/SaraniAssets/Eg17VuhV_ldOgMxMKJA4eQgBKKq_TkGuLdj02znvJEAwwg?e=N4C3dX" TargetMode="External"/><Relationship Id="rId25" Type="http://schemas.openxmlformats.org/officeDocument/2006/relationships/hyperlink" Target="https://saranistudio-my.sharepoint.com/:f:/g/personal/team_sarani_studio/EqOyYJkBr71FjjKi8T4TbU8BmZDWzGHq4lIzmPemScoNIg?e=gSGgM9" TargetMode="External"/><Relationship Id="rId67" Type="http://schemas.openxmlformats.org/officeDocument/2006/relationships/hyperlink" Target="https://saranistudio-my.sharepoint.com/:f:/g/personal/team_sarani_studio/Emr78pZYwmhKg7QstwR5YX8B_01h9nWSmEplb8WNjpatfQ?e=qLyHA4" TargetMode="External"/><Relationship Id="rId272" Type="http://schemas.openxmlformats.org/officeDocument/2006/relationships/hyperlink" Target="https://saranistudio.sharepoint.com/:f:/s/SaraniAssets/EovRry9I1YNLl3Bs6R8iMREBr7g1_iWsS9N1z90BE7DcYg?e=P9sxZM" TargetMode="External"/><Relationship Id="rId328" Type="http://schemas.openxmlformats.org/officeDocument/2006/relationships/hyperlink" Target="https://saranistudio.sharepoint.com/:f:/s/SaraniAssets/EiJQZuPEG3tMs2HSdv2Vbh4BW79bFpZJqQuoF6y5iyOzeA?e=CypeEo" TargetMode="External"/><Relationship Id="rId132" Type="http://schemas.openxmlformats.org/officeDocument/2006/relationships/hyperlink" Target="https://saranistudio-my.sharepoint.com/:b:/g/personal/team_sarani_studio/EXN5uEEWwWNJlBBhqbF6ht4BAufUsYIeBCVYL2iM05vRgA?e=NhvxRC" TargetMode="External"/><Relationship Id="rId174" Type="http://schemas.openxmlformats.org/officeDocument/2006/relationships/hyperlink" Target="https://saranistudio.sharepoint.com/:f:/s/SaraniAssets/EvoGkMIDaxNNn_D4yYhjN4YBXzeH_waUwudgSgJoQgPVJw?e=uzDWRD" TargetMode="External"/><Relationship Id="rId241" Type="http://schemas.openxmlformats.org/officeDocument/2006/relationships/hyperlink" Target="https://saranistudio.sharepoint.com/:f:/s/SaraniAssets/Es10BwBnj4BLhUyLluH6ex0BE4bVUY4ltMNws6mvczb7nA?e=eEctHw" TargetMode="External"/><Relationship Id="rId36" Type="http://schemas.openxmlformats.org/officeDocument/2006/relationships/hyperlink" Target="https://saranistudio-my.sharepoint.com/:f:/g/personal/team_sarani_studio/EqrCH40AdxVPsCGpjT8TB8wB_B709B2_yzvFX8TAKmXMlg?e=JQ9afM" TargetMode="External"/><Relationship Id="rId283" Type="http://schemas.openxmlformats.org/officeDocument/2006/relationships/hyperlink" Target="https://saranistudio-my.sharepoint.com/:b:/g/personal/team_sarani_studio/EUy0XoUzTxJPqpFSVMoAyTABerH6TQC_SFVKBp_qdiluWw?e=MkAH9P" TargetMode="External"/><Relationship Id="rId339" Type="http://schemas.openxmlformats.org/officeDocument/2006/relationships/hyperlink" Target="https://saranistudio-my.sharepoint.com/:b:/g/personal/team_sarani_studio/Ef8aTcR_ghpFnQocEBadxRABqQxNJOWQYJOMmcfU7VEEdA?e=q8KVfx" TargetMode="External"/><Relationship Id="rId78" Type="http://schemas.openxmlformats.org/officeDocument/2006/relationships/hyperlink" Target="https://saranistudio-my.sharepoint.com/:f:/g/personal/team_sarani_studio/EtK7hTypFuBHpDOePw_7ccgBRDwmVFet1fcnWhxQ1F1Cew?e=RoAcRf" TargetMode="External"/><Relationship Id="rId99" Type="http://schemas.openxmlformats.org/officeDocument/2006/relationships/hyperlink" Target="https://saranistudio-my.sharepoint.com/:f:/g/personal/team_sarani_studio/EnvOKZLY5a5DqK7FCLYyhy0BELnJjT4h_XAIhziY3fDhBA?e=3TM4cJ" TargetMode="External"/><Relationship Id="rId101" Type="http://schemas.openxmlformats.org/officeDocument/2006/relationships/hyperlink" Target="https://saranistudio-my.sharepoint.com/:f:/g/personal/team_sarani_studio/ErxdVNQySkRJtAGooPQ5wE8BuQR8HnH7e3K6pfksWKaDUg?e=r0IqkT" TargetMode="External"/><Relationship Id="rId122" Type="http://schemas.openxmlformats.org/officeDocument/2006/relationships/hyperlink" Target="https://saranistudio-my.sharepoint.com/:b:/g/personal/team_sarani_studio/EWZDebpX_3NLnB2kPm4prroBkIIgVsMjvlgdRG2KL6oTyA?e=k6vJEN" TargetMode="External"/><Relationship Id="rId143" Type="http://schemas.openxmlformats.org/officeDocument/2006/relationships/hyperlink" Target="https://saranistudio.sharepoint.com/:f:/s/SaraniAssets/Eh9pJydNgoBIiQg1xt4_hMkBIQFJfTzxzyOy2aB0HQLWbw?e=VYbLCf" TargetMode="External"/><Relationship Id="rId164" Type="http://schemas.openxmlformats.org/officeDocument/2006/relationships/hyperlink" Target="https://saranistudio-my.sharepoint.com/:b:/g/personal/team_sarani_studio/Ee-r9UVvMG5Hj3_7HINyOEMBnhCNC0eGD_9xfpYOwkOBGQ?e=g038XB" TargetMode="External"/><Relationship Id="rId185" Type="http://schemas.openxmlformats.org/officeDocument/2006/relationships/hyperlink" Target="https://saranistudio-my.sharepoint.com/:b:/g/personal/team_sarani_studio/EcPU1zDJq_5Dj5RURg-3P14BBbx6ZIb_sGUP63gWzDcIEw?e=6UUo1L" TargetMode="External"/><Relationship Id="rId350" Type="http://schemas.openxmlformats.org/officeDocument/2006/relationships/hyperlink" Target="https://saranistudio.sharepoint.com/:f:/s/SaraniAssets/EkLuQ-hiEUNHu3h5MKnRM3QBfEiuqVHaU1qH0Z2Uw3Erqw?e=LkWNbD" TargetMode="External"/><Relationship Id="rId371" Type="http://schemas.openxmlformats.org/officeDocument/2006/relationships/vmlDrawing" Target="../drawings/vmlDrawing1.vml"/><Relationship Id="rId9" Type="http://schemas.openxmlformats.org/officeDocument/2006/relationships/hyperlink" Target="https://saranistudio-my.sharepoint.com/:f:/g/personal/team_sarani_studio/EsKN0KK2wo5EuWcP_12lMhIBc3AUZVWjUaf03MKgHmGTeQ?e=4x7Av8" TargetMode="External"/><Relationship Id="rId210" Type="http://schemas.openxmlformats.org/officeDocument/2006/relationships/hyperlink" Target="https://saranistudio.sharepoint.com/:f:/s/SaraniAssets/EhkVnyJH94hKmot5OrrllS4BUJVOD1kD0zyMSBrD9ymi8Q?e=wtQe48" TargetMode="External"/><Relationship Id="rId26" Type="http://schemas.openxmlformats.org/officeDocument/2006/relationships/hyperlink" Target="https://saranistudio-my.sharepoint.com/:f:/g/personal/team_sarani_studio/EgL726Ww1tBPiY3JLeGkgKABHLa4iBWeCZvZMffXcTD0Ow?e=Ev0d8h" TargetMode="External"/><Relationship Id="rId231" Type="http://schemas.openxmlformats.org/officeDocument/2006/relationships/hyperlink" Target="https://saranistudio.sharepoint.com/:f:/s/SaraniAssets/EuQyocrz7aFDuO819yz0ww0BMrZ7LmNdTJ5E1BsfIs5bxw?e=YQHKS3" TargetMode="External"/><Relationship Id="rId252" Type="http://schemas.openxmlformats.org/officeDocument/2006/relationships/hyperlink" Target="https://saranistudio-my.sharepoint.com/:b:/g/personal/team_sarani_studio/EVjwSH6NtUhIhIaeNhju4C0B57_rhdL35DnyoiKTYSunoQ?e=i4jhgV" TargetMode="External"/><Relationship Id="rId273" Type="http://schemas.openxmlformats.org/officeDocument/2006/relationships/hyperlink" Target="https://saranistudio.sharepoint.com/:f:/s/SaraniAssets/Ehlx1QHa5nVFk9jOx6_X-4wB-kQF0cgJOpv_7bM_nYb8vA?e=1ZskZ6" TargetMode="External"/><Relationship Id="rId294" Type="http://schemas.openxmlformats.org/officeDocument/2006/relationships/hyperlink" Target="https://saranistudio.sharepoint.com/:b:/s/SaraniAssets/ERGcizIiVwNIg62Yz-6cEP4B1hDgS9p6byhOa7GTIg8sfw?e=jRXxZ2" TargetMode="External"/><Relationship Id="rId308" Type="http://schemas.openxmlformats.org/officeDocument/2006/relationships/hyperlink" Target="https://saranistudio.sharepoint.com/:f:/s/SaraniAssets/EqVHj3QrpOBHuNq306Uwn8ABRuqjmgfSrZ-qlthSK8FlOg?e=h4sqe1" TargetMode="External"/><Relationship Id="rId329" Type="http://schemas.openxmlformats.org/officeDocument/2006/relationships/hyperlink" Target="https://saranistudio.sharepoint.com/:f:/s/SaraniAssets/El6JUgriq5VLpbkwd8HuxeMB6f8siWKlbXTB7a8AoLGadg?e=41lFTW" TargetMode="External"/><Relationship Id="rId47" Type="http://schemas.openxmlformats.org/officeDocument/2006/relationships/hyperlink" Target="https://saranistudio-my.sharepoint.com/:f:/g/personal/team_sarani_studio/EplbkOAQ_RVKlimX_vm_Yz4BYsRWiropgEjSV64xwAiFlQ?e=QjcDN1" TargetMode="External"/><Relationship Id="rId68" Type="http://schemas.openxmlformats.org/officeDocument/2006/relationships/hyperlink" Target="https://saranistudio-my.sharepoint.com/:f:/g/personal/team_sarani_studio/EvN6F1tLUb1HpsDsbcqLJpgBS_xatQW1Mdo30DXnEk4Umw?e=ZwLhqb" TargetMode="External"/><Relationship Id="rId89" Type="http://schemas.openxmlformats.org/officeDocument/2006/relationships/hyperlink" Target="https://saranistudio-my.sharepoint.com/:f:/g/personal/team_sarani_studio/EuIZ9Boj4kxIow1TYIbGLOMBIxF7VJMX-RRS8lGtYjWOZw?e=JHqjig" TargetMode="External"/><Relationship Id="rId112" Type="http://schemas.openxmlformats.org/officeDocument/2006/relationships/hyperlink" Target="https://saranistudio.sharepoint.com/:f:/s/SaraniAssets/EtPwKzkXSJBPhvy3z6vmVH8BQM9lGtquGJFflIK4WIM36g?e=bQbusC" TargetMode="External"/><Relationship Id="rId133" Type="http://schemas.openxmlformats.org/officeDocument/2006/relationships/hyperlink" Target="https://saranistudio-my.sharepoint.com/:b:/g/personal/team_sarani_studio/EfzPLtbTTzhKhB0LXEqvdCUBiqZVbJXGPDHC-vA9agM0Sg?e=QEvz6v" TargetMode="External"/><Relationship Id="rId154" Type="http://schemas.openxmlformats.org/officeDocument/2006/relationships/hyperlink" Target="https://saranistudio-my.sharepoint.com/:b:/g/personal/team_sarani_studio/EY5ZwooHEn1Ap9p-sANWqnIBeUNizdDrVhUyTeBs8GtTag?e=lj6Jkd" TargetMode="External"/><Relationship Id="rId175" Type="http://schemas.openxmlformats.org/officeDocument/2006/relationships/hyperlink" Target="https://saranistudio.sharepoint.com/:f:/s/SaraniAssets/EpGzfMaM4etKnuUhx3z1v6oBj4nWjwn117upCao5G7aLAg?e=rsWGfZ" TargetMode="External"/><Relationship Id="rId340" Type="http://schemas.openxmlformats.org/officeDocument/2006/relationships/hyperlink" Target="https://saranistudio-my.sharepoint.com/:b:/g/personal/team_sarani_studio/EfCMrxGfBGNAg-bCsn5ZthEBBIhRYzfMITPZuebg7JEdWg?e=M7pOzh" TargetMode="External"/><Relationship Id="rId361" Type="http://schemas.openxmlformats.org/officeDocument/2006/relationships/hyperlink" Target="https://saranistudio-my.sharepoint.com/:b:/g/personal/team_sarani_studio/EX87DKt-y25Dg1vKHaMyQm4BivtgvNn1jwpq90BxHhGWRg?e=DolkpH" TargetMode="External"/><Relationship Id="rId196" Type="http://schemas.openxmlformats.org/officeDocument/2006/relationships/hyperlink" Target="https://saranistudio-my.sharepoint.com/:b:/g/personal/team_sarani_studio/Ed7tDI3v6LZGk1bKdthyEp0BJEKTNkLD_g_JjFViRSl_xw?e=w8wx6R" TargetMode="External"/><Relationship Id="rId200" Type="http://schemas.openxmlformats.org/officeDocument/2006/relationships/hyperlink" Target="https://saranistudio-my.sharepoint.com/:b:/g/personal/team_sarani_studio/EZq8osiLjkhPmcKT8E1ihwYBFA4-3JDKMCAPsSQ13wCRvQ?e=OkbS5c" TargetMode="External"/><Relationship Id="rId16" Type="http://schemas.openxmlformats.org/officeDocument/2006/relationships/hyperlink" Target="https://saranistudio-my.sharepoint.com/:f:/g/personal/team_sarani_studio/En0xaWGTYWZOtWFNrWlERJYBEkKsluD4U7oLp_2fMTfyPA?e=3dNfLG" TargetMode="External"/><Relationship Id="rId221" Type="http://schemas.openxmlformats.org/officeDocument/2006/relationships/hyperlink" Target="https://saranistudio-my.sharepoint.com/:b:/g/personal/team_sarani_studio/EXNXP2GmQo1EqAXGf0Y4yN8Be7_NE6k_0bsyQd-QdJw_RQ?e=K8VwFy" TargetMode="External"/><Relationship Id="rId242" Type="http://schemas.openxmlformats.org/officeDocument/2006/relationships/hyperlink" Target="https://saranistudio.sharepoint.com/:f:/s/SaraniAssets/EtiyCT7mNLdHqxDasw9eLzcBAVrCWUC2RQrcvnXZaZ6_fw?e=gGhnnL" TargetMode="External"/><Relationship Id="rId263" Type="http://schemas.openxmlformats.org/officeDocument/2006/relationships/hyperlink" Target="https://saranistudio-my.sharepoint.com/:b:/g/personal/team_sarani_studio/ER04FKUsxMdNpc9PLwzvJA4BjY-XQVjWZkxRvQ5wdZqZyg?e=fbfmHc" TargetMode="External"/><Relationship Id="rId284" Type="http://schemas.openxmlformats.org/officeDocument/2006/relationships/hyperlink" Target="https://saranistudio-my.sharepoint.com/:b:/g/personal/team_sarani_studio/ER3sr30lpVxJh2FBCCoJ_AIBXu7YHLzSx6K-CL6YOJJyrg?e=z4k7dU" TargetMode="External"/><Relationship Id="rId319" Type="http://schemas.openxmlformats.org/officeDocument/2006/relationships/hyperlink" Target="https://saranistudio-my.sharepoint.com/:b:/g/personal/team_sarani_studio/EShFBRoPLuNPraWp6S9oZ2oBYSXQUE_cQTA9mrCtMQ27BA?e=JiRWS1" TargetMode="External"/><Relationship Id="rId37" Type="http://schemas.openxmlformats.org/officeDocument/2006/relationships/hyperlink" Target="https://saranistudio-my.sharepoint.com/:f:/g/personal/team_sarani_studio/EmLaqFBj_51MjXZHYWWXnkoBLAa6nzoR1xsPq4BDMu7-cw?e=t3K8Ml" TargetMode="External"/><Relationship Id="rId58" Type="http://schemas.openxmlformats.org/officeDocument/2006/relationships/hyperlink" Target="https://saranistudio-my.sharepoint.com/:f:/g/personal/team_sarani_studio/Eo2562j1PBhFsm0D9eCdORoBS6przlDgwVkoQg0sOXiM3A?e=yrz1uS" TargetMode="External"/><Relationship Id="rId79" Type="http://schemas.openxmlformats.org/officeDocument/2006/relationships/hyperlink" Target="https://saranistudio-my.sharepoint.com/:f:/g/personal/team_sarani_studio/ElQaod7CY55KqoiGgYDoyv8B9dN5xE9O39YkvDCzlz6FLQ?e=5WSxf7" TargetMode="External"/><Relationship Id="rId102" Type="http://schemas.openxmlformats.org/officeDocument/2006/relationships/hyperlink" Target="https://saranistudio-my.sharepoint.com/:f:/g/personal/team_sarani_studio/EjENbY_XPsxEtHzZE697MlsBTEZBXqAwDCx_PRurS6rpDw?e=KVEHke" TargetMode="External"/><Relationship Id="rId123" Type="http://schemas.openxmlformats.org/officeDocument/2006/relationships/hyperlink" Target="https://saranistudio-my.sharepoint.com/:b:/g/personal/team_sarani_studio/ETt91MIECWVLs2WOr0bPVkQBRnQXGhU3TVafehwQNkDhaw?e=rkaMoE" TargetMode="External"/><Relationship Id="rId144" Type="http://schemas.openxmlformats.org/officeDocument/2006/relationships/hyperlink" Target="https://saranistudio-my.sharepoint.com/:b:/g/personal/team_sarani_studio/EXD6YiKrBANPkq8-Hsf5MjABUwU26BCb4uGgcw6H8Era9w?e=4QiNEb" TargetMode="External"/><Relationship Id="rId330" Type="http://schemas.openxmlformats.org/officeDocument/2006/relationships/hyperlink" Target="https://saranistudio.sharepoint.com/:f:/s/SaraniAssets/EgRVJ7M8DotDrEnyTLJ5S80BXA2hLOZ6s3Itax5zhMPyxQ?e=zgCO0J" TargetMode="External"/><Relationship Id="rId90" Type="http://schemas.openxmlformats.org/officeDocument/2006/relationships/hyperlink" Target="https://saranistudio-my.sharepoint.com/:f:/g/personal/team_sarani_studio/EiyrmxYKzJ9OuT_ADJ886ZoBaIG-IWWrvAjUmM56P0qa-Q?e=EzQjR6" TargetMode="External"/><Relationship Id="rId165" Type="http://schemas.openxmlformats.org/officeDocument/2006/relationships/hyperlink" Target="https://saranistudio-my.sharepoint.com/:b:/g/personal/team_sarani_studio/EQpISRj0UgxHqXSqjEC62GkB_q8FMna7bW-UXf3NH1xSZw?e=yzYU1L" TargetMode="External"/><Relationship Id="rId186" Type="http://schemas.openxmlformats.org/officeDocument/2006/relationships/hyperlink" Target="https://saranistudio-my.sharepoint.com/:b:/g/personal/team_sarani_studio/EWLP_vMxED9FmUZQ_nOkkJwBjJNjECiaaIw3yVFqt7yTpQ?e=R7ciE8" TargetMode="External"/><Relationship Id="rId351" Type="http://schemas.openxmlformats.org/officeDocument/2006/relationships/hyperlink" Target="https://saranistudio.sharepoint.com/:f:/s/SaraniAssets/Eu_VtA94-DNKsBWZapZiQ8MBA24HCtS1PCc4Y6Ny-bf79A?e=zi3fLa" TargetMode="External"/><Relationship Id="rId372" Type="http://schemas.openxmlformats.org/officeDocument/2006/relationships/comments" Target="../comments1.xml"/><Relationship Id="rId211" Type="http://schemas.openxmlformats.org/officeDocument/2006/relationships/hyperlink" Target="https://saranistudio.sharepoint.com/:f:/s/SaraniAssets/EnOPpSZDpMNCs_MB0Ynw414BA6mrn65nq5WEHdDDGxjF0w?e=4XaPPD" TargetMode="External"/><Relationship Id="rId232" Type="http://schemas.openxmlformats.org/officeDocument/2006/relationships/hyperlink" Target="https://saranistudio-my.sharepoint.com/:b:/g/personal/team_sarani_studio/EXLGrF4HwZVJvLpNHpSkeqEBqOkJgbz4KB5cU6BPBDcwog?e=x7801J" TargetMode="External"/><Relationship Id="rId253" Type="http://schemas.openxmlformats.org/officeDocument/2006/relationships/hyperlink" Target="https://saranistudio-my.sharepoint.com/:b:/g/personal/team_sarani_studio/EcP79JqJyO1KuACaCWwAsM0By9Y56qw25VCvkEANIKn29w?e=otW0Ru" TargetMode="External"/><Relationship Id="rId274" Type="http://schemas.openxmlformats.org/officeDocument/2006/relationships/hyperlink" Target="https://saranistudio.sharepoint.com/:f:/s/SaraniAssets/Eodd6cfk8mdCu1Q9slmbozMBVaEbNlFrea2iijCXO3p6fA?e=9cWXcH" TargetMode="External"/><Relationship Id="rId295" Type="http://schemas.openxmlformats.org/officeDocument/2006/relationships/hyperlink" Target="https://saranistudio.sharepoint.com/:b:/s/SaraniAssets/ERVofbQeMXVFh8plR4siuxIBM3bqJlSrIULEqZxY5zp79g?e=EBboNd" TargetMode="External"/><Relationship Id="rId309" Type="http://schemas.openxmlformats.org/officeDocument/2006/relationships/hyperlink" Target="https://saranistudio-my.sharepoint.com/:b:/g/personal/team_sarani_studio/EdYpitgAILVBpBaXr51kDCoB3zNGJZColWY9XIfXI3QzFQ?e=03IVjP" TargetMode="External"/><Relationship Id="rId27" Type="http://schemas.openxmlformats.org/officeDocument/2006/relationships/hyperlink" Target="https://saranistudio-my.sharepoint.com/:f:/g/personal/team_sarani_studio/EitZRBZy2n1Kkw5kaWztE5sBgYKU_BFeDcX25iDrx1Ct5w?e=j19Nkg" TargetMode="External"/><Relationship Id="rId48" Type="http://schemas.openxmlformats.org/officeDocument/2006/relationships/hyperlink" Target="https://saranistudio-my.sharepoint.com/:f:/g/personal/team_sarani_studio/EvQORSWeLIhCmtRAW0oiAUwBTsJV6BOljIGWmUFQwsMZaw?e=d5u6bG" TargetMode="External"/><Relationship Id="rId69" Type="http://schemas.openxmlformats.org/officeDocument/2006/relationships/hyperlink" Target="https://saranistudio-my.sharepoint.com/:f:/g/personal/team_sarani_studio/EkZE4Y3oDmxOgPwByulkRGQBO22GCn4XXiv8vxBWXU3BOQ?e=QYcm2Z" TargetMode="External"/><Relationship Id="rId113" Type="http://schemas.openxmlformats.org/officeDocument/2006/relationships/hyperlink" Target="https://saranistudio.sharepoint.com/:f:/s/SaraniAssets/EmpZqDYoERtKuhOOIHkw9_gBrteRG4ajzx_u89Z4wZw4zQ?e=X4yJ7B" TargetMode="External"/><Relationship Id="rId134" Type="http://schemas.openxmlformats.org/officeDocument/2006/relationships/hyperlink" Target="https://saranistudio-my.sharepoint.com/:b:/g/personal/team_sarani_studio/EcKNg6a2qLhBs1Ppgm8qprwB690_Nkgh3GY-tj911lU0tA?e=mLArCc" TargetMode="External"/><Relationship Id="rId320" Type="http://schemas.openxmlformats.org/officeDocument/2006/relationships/hyperlink" Target="https://saranistudio-my.sharepoint.com/:b:/g/personal/team_sarani_studio/EYIbdklDZiFJtBu9I2w79SwBkJDL3uomwnTOTsK145AbCw?e=CMgovQ" TargetMode="External"/><Relationship Id="rId80" Type="http://schemas.openxmlformats.org/officeDocument/2006/relationships/hyperlink" Target="https://saranistudio-my.sharepoint.com/:f:/g/personal/team_sarani_studio/Ejwkr_FCr89Nk4tFrjd8trMBGbqwHGBZWd-1CJbhqlgyGQ?e=K9fyxE" TargetMode="External"/><Relationship Id="rId155" Type="http://schemas.openxmlformats.org/officeDocument/2006/relationships/hyperlink" Target="https://saranistudio-my.sharepoint.com/:b:/g/personal/team_sarani_studio/EaeBiR_2KilLpZTBK49Fcz8B-brFbqzVP-8J5CEH_B5OdA?e=ojl7Ba" TargetMode="External"/><Relationship Id="rId176" Type="http://schemas.openxmlformats.org/officeDocument/2006/relationships/hyperlink" Target="https://saranistudio.sharepoint.com/:f:/s/SaraniAssets/Eudaw4YslfdBhu0vnN490_4BJHnKa-UmasiU9FJEIAWJhQ?e=iE4aE0" TargetMode="External"/><Relationship Id="rId197" Type="http://schemas.openxmlformats.org/officeDocument/2006/relationships/hyperlink" Target="https://saranistudio-my.sharepoint.com/:b:/g/personal/team_sarani_studio/EYIsqaLikcxFsPOg39Xgf5wBUN38FMlTSiuK4Z8TL4F2ig?e=aIXyQu" TargetMode="External"/><Relationship Id="rId341" Type="http://schemas.openxmlformats.org/officeDocument/2006/relationships/hyperlink" Target="https://saranistudio-my.sharepoint.com/:b:/g/personal/team_sarani_studio/EW1nhZgi7ndFkHiCMESXxM4Bj4tQdqxeHmu0XUn71EwGvg?e=LOJgPA" TargetMode="External"/><Relationship Id="rId362" Type="http://schemas.openxmlformats.org/officeDocument/2006/relationships/hyperlink" Target="https://saranistudio-my.sharepoint.com/:b:/g/personal/team_sarani_studio/EZ7Flf3xqXNIoZ9T3gHch7gBJmwMn_UwI6EtXMkYdAg1fQ?e=EXJF76" TargetMode="External"/><Relationship Id="rId201" Type="http://schemas.openxmlformats.org/officeDocument/2006/relationships/hyperlink" Target="https://saranistudio.sharepoint.com/:f:/s/SaraniAssets/El0tdjxRYl1PiNJ3B0pRzoYBn0SSC79WMKmOImstNA0BgQ?e=4oAbIs" TargetMode="External"/><Relationship Id="rId222" Type="http://schemas.openxmlformats.org/officeDocument/2006/relationships/hyperlink" Target="https://saranistudio.sharepoint.com/:f:/s/SaraniAssets/EpEBYf5GWK9DoKU8_Yd9V50BoIhlLLzOcq6RIxsIik3LEw?e=TKRh3j" TargetMode="External"/><Relationship Id="rId243" Type="http://schemas.openxmlformats.org/officeDocument/2006/relationships/hyperlink" Target="https://saranistudio.sharepoint.com/:f:/s/SaraniAssets/EvHB7IEJC-9PrFrCASV1LP4BfkiadPCQNOE1ln0j822RvQ?e=3Wy3MQ" TargetMode="External"/><Relationship Id="rId264" Type="http://schemas.openxmlformats.org/officeDocument/2006/relationships/hyperlink" Target="https://saranistudio-my.sharepoint.com/:b:/g/personal/team_sarani_studio/EcOO71X0ZUxIo-hufoC5qmUB-ay2RwHT-3DIdmTwS9yytA?e=YS3mXZ" TargetMode="External"/><Relationship Id="rId285" Type="http://schemas.openxmlformats.org/officeDocument/2006/relationships/hyperlink" Target="https://saranistudio.sharepoint.com/:f:/s/SaraniAssets/EtY9hpKd1PlIhHe2wixiXsMBSDqRMLLEeq1QqO4tJfzyUw?e=UhMRMw" TargetMode="External"/><Relationship Id="rId17" Type="http://schemas.openxmlformats.org/officeDocument/2006/relationships/hyperlink" Target="https://saranistudio-my.sharepoint.com/:f:/g/personal/team_sarani_studio/EitZRBZy2n1Kkw5kaWztE5sBgYKU_BFeDcX25iDrx1Ct5w?e=j19Nkg" TargetMode="External"/><Relationship Id="rId38" Type="http://schemas.openxmlformats.org/officeDocument/2006/relationships/hyperlink" Target="https://saranistudio-my.sharepoint.com/:f:/g/personal/team_sarani_studio/EjWeixWwgG9KtdKsd3nfu10B4P2-8KWwWAHTtBQASfQ6Rg?e=c0kl8T" TargetMode="External"/><Relationship Id="rId59" Type="http://schemas.openxmlformats.org/officeDocument/2006/relationships/hyperlink" Target="https://saranistudio-my.sharepoint.com/:f:/g/personal/team_sarani_studio/Eja1rtCkq_5Jg3Wq74-bzXoBTCkVjZhgoxD1dq0yy1dWJQ?e=7VGydF" TargetMode="External"/><Relationship Id="rId103" Type="http://schemas.openxmlformats.org/officeDocument/2006/relationships/hyperlink" Target="https://saranistudio-my.sharepoint.com/:f:/g/personal/team_sarani_studio/EkK1iuwnypdEiOwsJ-j_akABDP_rpvm30Dyyp6q_ND7oog?e=N4GdaC" TargetMode="External"/><Relationship Id="rId124" Type="http://schemas.openxmlformats.org/officeDocument/2006/relationships/hyperlink" Target="https://saranistudio-my.sharepoint.com/:b:/g/personal/team_sarani_studio/EQb6QhTH_gRFhAa1OD9MRoYB9I_Qs6B3erjotY_ia4ignw?e=LQheQY" TargetMode="External"/><Relationship Id="rId310" Type="http://schemas.openxmlformats.org/officeDocument/2006/relationships/hyperlink" Target="https://saranistudio.sharepoint.com/:f:/s/SaraniAssets/EntdyUUrZ1tKp6dOiDNihfEB2ewws39CBid-QD8UiFHLdQ?e=ldUB63" TargetMode="External"/><Relationship Id="rId70" Type="http://schemas.openxmlformats.org/officeDocument/2006/relationships/hyperlink" Target="https://saranistudio-my.sharepoint.com/:f:/g/personal/team_sarani_studio/EhrI14UZk7dKhgchM2ASROYBdoIrI_P1svtBiXsGLwNAfg?e=fEdvZa" TargetMode="External"/><Relationship Id="rId91" Type="http://schemas.openxmlformats.org/officeDocument/2006/relationships/hyperlink" Target="https://saranistudio-my.sharepoint.com/:f:/g/personal/team_sarani_studio/EkgtywBt5tdKteLfsQw1yR8BZX4JZdVzUGhDfp-ICfQa7Q?e=gjyoIc" TargetMode="External"/><Relationship Id="rId145" Type="http://schemas.openxmlformats.org/officeDocument/2006/relationships/hyperlink" Target="https://saranistudio.sharepoint.com/:f:/s/SaraniAssets/Etu_da7dC-ZJt1b3jGIkTpkB2HKcNrt4v7mQPatbLXCQZg?e=zHQWkX" TargetMode="External"/><Relationship Id="rId166" Type="http://schemas.openxmlformats.org/officeDocument/2006/relationships/hyperlink" Target="https://saranistudio-my.sharepoint.com/:b:/g/personal/team_sarani_studio/EflpC_-5ZvVAvjkEgumvs5MBML3w4D_HG5FTDFaIQU12Yg?e=VV3Zfg" TargetMode="External"/><Relationship Id="rId187" Type="http://schemas.openxmlformats.org/officeDocument/2006/relationships/hyperlink" Target="https://saranistudio-my.sharepoint.com/:b:/g/personal/team_sarani_studio/EeqqQcvt8QpJhIrMKvXrqeMBVFpg9cjIOvDd7UQb-ahIQg?e=Va6RIJ" TargetMode="External"/><Relationship Id="rId331" Type="http://schemas.openxmlformats.org/officeDocument/2006/relationships/hyperlink" Target="https://saranistudio.sharepoint.com/:f:/s/SaraniAssets/EhzYRDTfOztNjGqwX4LMf-kBoxj19aYGsZ5YEszS40tdpg?e=nTOKAY" TargetMode="External"/><Relationship Id="rId352" Type="http://schemas.openxmlformats.org/officeDocument/2006/relationships/hyperlink" Target="https://saranistudio.sharepoint.com/:f:/s/SaraniAssets/EhnNN8cI2w9ErzD3LxSZgN4B_BMVQ28-8nXl4X_Sd4ilSQ?e=3V1Wx5" TargetMode="External"/><Relationship Id="rId373" Type="http://schemas.microsoft.com/office/2017/10/relationships/threadedComment" Target="../threadedComments/threadedComment1.xml"/><Relationship Id="rId1" Type="http://schemas.openxmlformats.org/officeDocument/2006/relationships/hyperlink" Target="https://saranistudio-my.sharepoint.com/:f:/g/personal/team_sarani_studio/Etevju8IZKpEjFi3N14QmoUBp7wUTsms6pxhOWBv6e2jlQ?e=poko2y" TargetMode="External"/><Relationship Id="rId212" Type="http://schemas.openxmlformats.org/officeDocument/2006/relationships/hyperlink" Target="https://saranistudio.sharepoint.com/:f:/s/SaraniAssets/En6M1gE4gRFMsxWNh2FEAgwBbUM5rm7OtWR9MxNEfcUwQA?e=dh9KSP" TargetMode="External"/><Relationship Id="rId233" Type="http://schemas.openxmlformats.org/officeDocument/2006/relationships/hyperlink" Target="https://saranistudio-my.sharepoint.com/:b:/g/personal/team_sarani_studio/EX7EXGd6FlZNm1XngjQkjfwBT8HnldXrw_JwFJUBYigR_Q?e=CoSLsV" TargetMode="External"/><Relationship Id="rId254" Type="http://schemas.openxmlformats.org/officeDocument/2006/relationships/hyperlink" Target="https://saranistudio-my.sharepoint.com/:b:/g/personal/team_sarani_studio/Ef7qEkyzMWBEvMzmfCXB0tcBegfhsnSFfaSlMMlPiVOBpA?e=EfztE5" TargetMode="External"/><Relationship Id="rId28" Type="http://schemas.openxmlformats.org/officeDocument/2006/relationships/hyperlink" Target="https://saranistudio-my.sharepoint.com/:f:/g/personal/team_sarani_studio/EtI6MF01VhJDu73LzSQ3CuMBaxqkBPUNcHfWG9NmZXKZGA?e=cAjunF" TargetMode="External"/><Relationship Id="rId49" Type="http://schemas.openxmlformats.org/officeDocument/2006/relationships/hyperlink" Target="https://saranistudio-my.sharepoint.com/:f:/g/personal/team_sarani_studio/EpbAZG5lEmVIiR_on7fzuLEB9DbDwGiQ8g3E-EP6ZMPlBw?e=WDYhbk" TargetMode="External"/><Relationship Id="rId114" Type="http://schemas.openxmlformats.org/officeDocument/2006/relationships/hyperlink" Target="https://saranistudio.sharepoint.com/:f:/s/SaraniAssets/Eu4HYzd9NQRJnfvY9OKXwKAB32ifwohQSl3OWelvCRxaTA?e=lj7MMr" TargetMode="External"/><Relationship Id="rId275" Type="http://schemas.openxmlformats.org/officeDocument/2006/relationships/hyperlink" Target="https://saranistudio.sharepoint.com/:f:/s/SaraniAssets/Ehlx1QHa5nVFk9jOx6_X-4wB-kQF0cgJOpv_7bM_nYb8vA?e=1ZskZ6" TargetMode="External"/><Relationship Id="rId296" Type="http://schemas.openxmlformats.org/officeDocument/2006/relationships/hyperlink" Target="https://saranistudio.sharepoint.com/:b:/s/SaraniAssets/EYhTk4vogA9NjMuidPFnXwsBV7n7ZOheWcqSwkuKNwjnXA?e=sxESJQ" TargetMode="External"/><Relationship Id="rId300" Type="http://schemas.openxmlformats.org/officeDocument/2006/relationships/hyperlink" Target="https://saranistudio-my.sharepoint.com/:b:/g/personal/team_sarani_studio/Edbt_2QSy4tFkmYFGtYTNuEBcC4sWXovquwfCy4zOTXylA?e=jblPwJ" TargetMode="External"/><Relationship Id="rId60" Type="http://schemas.openxmlformats.org/officeDocument/2006/relationships/hyperlink" Target="https://saranistudio-my.sharepoint.com/:f:/g/personal/team_sarani_studio/Eh0qjz1spy9PjbzagdXeAMoBf6kwU9cCsgMSuxS8Uk36pw?e=dCHHiS" TargetMode="External"/><Relationship Id="rId81" Type="http://schemas.openxmlformats.org/officeDocument/2006/relationships/hyperlink" Target="https://saranistudio-my.sharepoint.com/:f:/g/personal/team_sarani_studio/EtoGrfab8TBPqqqH2nHVI1gBmONIk1QrS4vWxTVcfPum0w?e=RQg19w" TargetMode="External"/><Relationship Id="rId135" Type="http://schemas.openxmlformats.org/officeDocument/2006/relationships/hyperlink" Target="https://saranistudio-my.sharepoint.com/:b:/g/personal/team_sarani_studio/EcR_bOe9wg5Oo1F73iFL_ZYBnCY5Z41ptfvKQMY4s7yT7Q?e=Yicbvw" TargetMode="External"/><Relationship Id="rId156" Type="http://schemas.openxmlformats.org/officeDocument/2006/relationships/hyperlink" Target="https://saranistudio-my.sharepoint.com/:b:/g/personal/team_sarani_studio/ET24GpU1_VNBieU98p25518BureXOdtLbgAKZXKKqI_8yw?e=vekEA6" TargetMode="External"/><Relationship Id="rId177" Type="http://schemas.openxmlformats.org/officeDocument/2006/relationships/hyperlink" Target="https://saranistudio.sharepoint.com/:f:/s/SaraniAssets/EoJoy7UW0lpFqdCZ2erboVkB1cV5JIQm6EWzwqjzOYrh6g?e=XEoEbY" TargetMode="External"/><Relationship Id="rId198" Type="http://schemas.openxmlformats.org/officeDocument/2006/relationships/hyperlink" Target="https://saranistudio-my.sharepoint.com/:b:/g/personal/team_sarani_studio/EZ7UhPlEtMJPvHb_iYYmp24B-rX3om96VNF4F0bZAt61gQ?e=Kp3lwi" TargetMode="External"/><Relationship Id="rId321" Type="http://schemas.openxmlformats.org/officeDocument/2006/relationships/hyperlink" Target="https://saranistudio.sharepoint.com/:f:/s/SaraniAssets/Eoy_6Ku94RRHm6VNocjMGqkB0DinGBXQrXxSUaNw99jChQ?e=UnkAhO" TargetMode="External"/><Relationship Id="rId342" Type="http://schemas.openxmlformats.org/officeDocument/2006/relationships/hyperlink" Target="https://saranistudio-my.sharepoint.com/:b:/g/personal/team_sarani_studio/EUnPTu7lngJDrk-Bha-IdWoB_k_4R1vM8Cf1PxvpYZPcSA?e=0oHPG6" TargetMode="External"/><Relationship Id="rId363" Type="http://schemas.openxmlformats.org/officeDocument/2006/relationships/hyperlink" Target="https://saranistudio-my.sharepoint.com/:b:/g/personal/team_sarani_studio/EbU41EfhIntDjWhxgBwHD_QBCPDVQzHVuG_03S-4u_pTYQ?e=eX6W0e" TargetMode="External"/><Relationship Id="rId202" Type="http://schemas.openxmlformats.org/officeDocument/2006/relationships/hyperlink" Target="https://saranistudio.sharepoint.com/:f:/s/SaraniAssets/EiUV8vEk15ZIixLeLqfTjrwBWDb9EeJiCNly26p2idnXTw?e=qSse1D" TargetMode="External"/><Relationship Id="rId223" Type="http://schemas.openxmlformats.org/officeDocument/2006/relationships/hyperlink" Target="https://saranistudio.sharepoint.com/:f:/s/SaraniAssets/EgTar_V48PBDpAOoe7_M2q0Bt6Lflm8qblY-7nejS9_7Tw?e=dzeRJc" TargetMode="External"/><Relationship Id="rId244" Type="http://schemas.openxmlformats.org/officeDocument/2006/relationships/hyperlink" Target="https://saranistudio.sharepoint.com/:f:/s/SaraniAssets/EoKzAjJfVbVNhvCRivdo9ZoBtTCqqsbRnxPCHmyopMrBAQ?e=eFf2r0" TargetMode="External"/><Relationship Id="rId18" Type="http://schemas.openxmlformats.org/officeDocument/2006/relationships/hyperlink" Target="https://saranistudio-my.sharepoint.com/:f:/g/personal/team_sarani_studio/Ehi8kv4332BOmhmF0GTdxqcBXMS0bXPqJJq-QzgW5N5jlg?e=BJOqXJ" TargetMode="External"/><Relationship Id="rId39" Type="http://schemas.openxmlformats.org/officeDocument/2006/relationships/hyperlink" Target="https://saranistudio-my.sharepoint.com/:f:/g/personal/team_sarani_studio/EhV2y_XPV35GlXBIYHQS6jABX0y5PDDKSwC4di7PXUrm9w?e=g9nzP1" TargetMode="External"/><Relationship Id="rId265" Type="http://schemas.openxmlformats.org/officeDocument/2006/relationships/hyperlink" Target="https://saranistudio-my.sharepoint.com/:b:/g/personal/team_sarani_studio/EQwdTsW3akxEgYnzHAoAJ3AB9RBmPgUz_Y8e7SxkBMn16g?e=akTYrW" TargetMode="External"/><Relationship Id="rId286" Type="http://schemas.openxmlformats.org/officeDocument/2006/relationships/hyperlink" Target="https://saranistudio-my.sharepoint.com/:b:/g/personal/team_sarani_studio/EV03LyVoqJRGoo_L4CUjmQgBpakEaO7HKB7shbkLtsDFIQ?e=kDBipF" TargetMode="External"/><Relationship Id="rId50" Type="http://schemas.openxmlformats.org/officeDocument/2006/relationships/hyperlink" Target="https://saranistudio-my.sharepoint.com/:f:/g/personal/team_sarani_studio/Etv4q6mkEfNNic3xn8dvZO0BrqE8g3P8hL7SmR_Fp_I3wQ?e=9JittU" TargetMode="External"/><Relationship Id="rId104" Type="http://schemas.openxmlformats.org/officeDocument/2006/relationships/hyperlink" Target="https://saranistudio-my.sharepoint.com/:f:/g/personal/team_sarani_studio/EhoNdMxI6BZBm6WwyBTGhHoBufBpJY10m8zRrqgzkG54yw?e=FLrgLB" TargetMode="External"/><Relationship Id="rId125" Type="http://schemas.openxmlformats.org/officeDocument/2006/relationships/hyperlink" Target="https://saranistudio-my.sharepoint.com/:b:/g/personal/team_sarani_studio/EWGp38GY6q1KuMXYXz9FOQMBA7ZQTdYcdqtBRu6518Vuiw?e=PuZDyk" TargetMode="External"/><Relationship Id="rId146" Type="http://schemas.openxmlformats.org/officeDocument/2006/relationships/hyperlink" Target="https://saranistudio.sharepoint.com/:f:/s/SaraniAssets/EjmX0yufN1tOqaFCw7M8mOoBeCJ-8gVyiGVAxQB_3dKtaA?e=LWQbbn" TargetMode="External"/><Relationship Id="rId167" Type="http://schemas.openxmlformats.org/officeDocument/2006/relationships/hyperlink" Target="https://saranistudio-my.sharepoint.com/:b:/g/personal/team_sarani_studio/EZZz9wSeXS5Mlto9IICvCOQBaLjJoxTmM9xE_Go5-u-7Zg?e=vZ9QF0" TargetMode="External"/><Relationship Id="rId188" Type="http://schemas.openxmlformats.org/officeDocument/2006/relationships/hyperlink" Target="https://saranistudio.sharepoint.com/:f:/s/SaraniAssets/EnnFIK011BRPu4_4wDbgM54B3hUmsum-1aBStFQCPhfjOA?e=sEVJlL" TargetMode="External"/><Relationship Id="rId311" Type="http://schemas.openxmlformats.org/officeDocument/2006/relationships/hyperlink" Target="https://saranistudio.sharepoint.com/:f:/s/SaraniAssets/Eh3RpKQXfyVCvqdtfiu9dD0BLzbG-2HelOsfJzr8BWzm4w?e=eJP2zN" TargetMode="External"/><Relationship Id="rId332" Type="http://schemas.openxmlformats.org/officeDocument/2006/relationships/hyperlink" Target="https://saranistudio.sharepoint.com/:f:/s/SaraniAssets/Eh9zdDtWGndKrlPGFS3NGgwBUsDHATT-cV1iOIGosz1mKg?e=ejvqoO" TargetMode="External"/><Relationship Id="rId353" Type="http://schemas.openxmlformats.org/officeDocument/2006/relationships/hyperlink" Target="https://saranistudio.sharepoint.com/:f:/s/SaraniAssets/ErZ5jFn0L2BHmr7djpMSHzcBbcPO5eLs-sYL-77RZ9iIiQ?e=d4PVJG" TargetMode="External"/><Relationship Id="rId71" Type="http://schemas.openxmlformats.org/officeDocument/2006/relationships/hyperlink" Target="https://saranistudio-my.sharepoint.com/:f:/g/personal/team_sarani_studio/ErdSLaG4JVpLopEZ8cxzFtUBxHbje724J8NKcPC9cI4CxQ?e=TTH44r" TargetMode="External"/><Relationship Id="rId92" Type="http://schemas.openxmlformats.org/officeDocument/2006/relationships/hyperlink" Target="https://saranistudio-my.sharepoint.com/:f:/g/personal/team_sarani_studio/El8laoyQDYZPnVc7Z2BMo6MB3gwAjuJ8oeoJ6OLmWphTUQ?e=8lV0Ww" TargetMode="External"/><Relationship Id="rId213" Type="http://schemas.openxmlformats.org/officeDocument/2006/relationships/hyperlink" Target="https://saranistudio-my.sharepoint.com/:b:/g/personal/team_sarani_studio/EU-YkmXnr7VLtMk8Dfl2QJEBHpvMwAiqL1lcMWbZp62jxg?e=nQeAR2" TargetMode="External"/><Relationship Id="rId234" Type="http://schemas.openxmlformats.org/officeDocument/2006/relationships/hyperlink" Target="https://saranistudio.sharepoint.com/:f:/s/SaraniAssets/EtWdHJrF9hVKrIKcT7S2lTMBSXuI0TbH9VrL4SYS3lXe_w?e=23uhUv" TargetMode="External"/><Relationship Id="rId2" Type="http://schemas.openxmlformats.org/officeDocument/2006/relationships/hyperlink" Target="https://saranistudio-my.sharepoint.com/:f:/g/personal/team_sarani_studio/Evtfs8z--DpCs3Qy9Cvq1Y4BMFsqWlLop36Ti2xykheKBA?e=DSnQzV" TargetMode="External"/><Relationship Id="rId29" Type="http://schemas.openxmlformats.org/officeDocument/2006/relationships/hyperlink" Target="https://saranistudio-my.sharepoint.com/:f:/g/personal/team_sarani_studio/EksBlAWoBtxAkG5l32B3Di0BbzDMWHG22vO5j0H6ctS9zw?e=RqK3BS" TargetMode="External"/><Relationship Id="rId255" Type="http://schemas.openxmlformats.org/officeDocument/2006/relationships/hyperlink" Target="https://saranistudio-my.sharepoint.com/:b:/g/personal/team_sarani_studio/ERHEmUH7_D9HifO6AIqjs9EBrx79IRPlRLHpsw1-uVPcoQ?e=7OhB5g" TargetMode="External"/><Relationship Id="rId276" Type="http://schemas.openxmlformats.org/officeDocument/2006/relationships/hyperlink" Target="https://saranistudio.sharepoint.com/:f:/s/SaraniAssets/EhSKdIbKiXBOp7CdN7EABowB7Fa6SqA4P1_Bfp4D41Uc2A?e=oRPYXG" TargetMode="External"/><Relationship Id="rId297" Type="http://schemas.openxmlformats.org/officeDocument/2006/relationships/hyperlink" Target="https://saranistudio.sharepoint.com/:f:/s/SaraniAssets/EkdO0k0RwRlBn3CN75Qe-K0Bc27LV-0mYQtRRRHpKrhEpw?e=UaXdlf" TargetMode="External"/><Relationship Id="rId40" Type="http://schemas.openxmlformats.org/officeDocument/2006/relationships/hyperlink" Target="https://saranistudio-my.sharepoint.com/:f:/g/personal/team_sarani_studio/Evv4GLCeCfpNtcFppwmuF4gBs0wDfkYfUCp2XZgOusP4jA?e=VUWW5q" TargetMode="External"/><Relationship Id="rId115" Type="http://schemas.openxmlformats.org/officeDocument/2006/relationships/hyperlink" Target="https://saranistudio.sharepoint.com/:f:/s/SaraniAssets/EmbgGkCAJl5KniAwcW-yi4gBS89mkOFy73-Lxx4pgUOlJw?e=32YWjh" TargetMode="External"/><Relationship Id="rId136" Type="http://schemas.openxmlformats.org/officeDocument/2006/relationships/hyperlink" Target="https://saranistudio-my.sharepoint.com/:b:/g/personal/team_sarani_studio/Ecb_Wvnzn41Jms0Ozi5wOg0BgmWnsfYuKClAV_v1-WEylg?e=UjRbbG" TargetMode="External"/><Relationship Id="rId157" Type="http://schemas.openxmlformats.org/officeDocument/2006/relationships/hyperlink" Target="https://saranistudio-my.sharepoint.com/:b:/g/personal/team_sarani_studio/EZ9VPz3tawJPrjr0NBBQa00BkGoBz_hRaVayzQMEDa8-aQ?e=k6fkeu" TargetMode="External"/><Relationship Id="rId178" Type="http://schemas.openxmlformats.org/officeDocument/2006/relationships/hyperlink" Target="https://saranistudio.sharepoint.com/:f:/s/SaraniAssets/Em-zhxoSE1dPu5mZXjRKowIB9S3tWCFm8NW6chvKpkE_GA?e=WeHAlM" TargetMode="External"/><Relationship Id="rId301" Type="http://schemas.openxmlformats.org/officeDocument/2006/relationships/hyperlink" Target="https://saranistudio-my.sharepoint.com/:b:/g/personal/team_sarani_studio/EaE60WBZcuBHrxbljAvdwQwB5V-pRP7DtpMfIspF3xnJ9Q?e=38Wu9B" TargetMode="External"/><Relationship Id="rId322" Type="http://schemas.openxmlformats.org/officeDocument/2006/relationships/hyperlink" Target="https://saranistudio.sharepoint.com/:f:/s/SaraniAssets/EoiJsbpW73dChfZf0UF1Tr8BUBhPBV0tV-KQU6HbS7aIrg?e=zMN09d" TargetMode="External"/><Relationship Id="rId343" Type="http://schemas.openxmlformats.org/officeDocument/2006/relationships/hyperlink" Target="https://saranistudio-my.sharepoint.com/:b:/g/personal/team_sarani_studio/EXaikXzQhPdDrK3iaH4alnQBZ0gkcplRx-dbJCVDzVALSA?e=tSD1Dz" TargetMode="External"/><Relationship Id="rId364" Type="http://schemas.openxmlformats.org/officeDocument/2006/relationships/hyperlink" Target="https://saranistudio-my.sharepoint.com/:b:/g/personal/team_sarani_studio/ETqL8Buv7MBNnb2mKaHtYr8BDSsqjZRB17eVtEDGZTuUDQ?e=b9FMIm" TargetMode="External"/><Relationship Id="rId61" Type="http://schemas.openxmlformats.org/officeDocument/2006/relationships/hyperlink" Target="https://saranistudio-my.sharepoint.com/:f:/g/personal/team_sarani_studio/Eh-XtLfnCf1LnsVtx5DtbCEBjY0SGdeSjDPwHzDnQHgN9w?e=2LU41r" TargetMode="External"/><Relationship Id="rId82" Type="http://schemas.openxmlformats.org/officeDocument/2006/relationships/hyperlink" Target="https://saranistudio-my.sharepoint.com/:f:/g/personal/team_sarani_studio/EslvmHj5SR1MhY8R-sw1arABPE3oMfscF8vtjzp50abaDw?e=r8aHPD" TargetMode="External"/><Relationship Id="rId199" Type="http://schemas.openxmlformats.org/officeDocument/2006/relationships/hyperlink" Target="https://saranistudio-my.sharepoint.com/:b:/g/personal/team_sarani_studio/EcKgbKdU6mZPiMSAoC96NG4BC-zObw42WjSJzmMQdmZYhQ?e=87vEKf" TargetMode="External"/><Relationship Id="rId203" Type="http://schemas.openxmlformats.org/officeDocument/2006/relationships/hyperlink" Target="https://saranistudio-my.sharepoint.com/:b:/g/personal/team_sarani_studio/ETDM6t_HJ_1HsXNYmIZd5kIBMcuspqcflWKLRySWxbVi6Q?e=9ApFzX" TargetMode="External"/><Relationship Id="rId19" Type="http://schemas.openxmlformats.org/officeDocument/2006/relationships/hyperlink" Target="https://saranistudio-my.sharepoint.com/:f:/g/personal/team_sarani_studio/EqmJWhjv9h9NosYk49rtluQBxvyRtTDdxMXLJdwMK-1B6g?e=mNiTFd" TargetMode="External"/><Relationship Id="rId224" Type="http://schemas.openxmlformats.org/officeDocument/2006/relationships/hyperlink" Target="https://saranistudio.sharepoint.com/:f:/s/SaraniAssets/El7rq3jNFQdDo91RrmenfzQBgvdmDeHXKaa4yD0fsD1L8w?e=cAeOkQ" TargetMode="External"/><Relationship Id="rId245" Type="http://schemas.openxmlformats.org/officeDocument/2006/relationships/hyperlink" Target="https://saranistudio.sharepoint.com/:f:/s/SaraniAssets/EiMrvdzFUKBKnLHN7ZsP-TkB45Sh1osY8jkrY614bUEVQA?e=Cmk0f5" TargetMode="External"/><Relationship Id="rId266" Type="http://schemas.openxmlformats.org/officeDocument/2006/relationships/hyperlink" Target="https://saranistudio-my.sharepoint.com/:b:/g/personal/team_sarani_studio/EfLZu5jwbb9MpqwJcMDzVyUBRuUglA6JbbnmnMKCJKxUiA?e=OxV7kf" TargetMode="External"/><Relationship Id="rId287" Type="http://schemas.openxmlformats.org/officeDocument/2006/relationships/hyperlink" Target="https://saranistudio-my.sharepoint.com/:b:/g/personal/team_sarani_studio/EYzJ3Jb7P4pBk7bzPT6LnxYBBRoKQavMxx4uk5-507INZw?e=xQpcIj" TargetMode="External"/><Relationship Id="rId30" Type="http://schemas.openxmlformats.org/officeDocument/2006/relationships/hyperlink" Target="https://saranistudio-my.sharepoint.com/:f:/g/personal/team_sarani_studio/Euz7AgxtBlxIhnwZ-lXXmF4BeflqaS0GTyKxYGbCz-vMlw?e=IjE9RV" TargetMode="External"/><Relationship Id="rId105" Type="http://schemas.openxmlformats.org/officeDocument/2006/relationships/hyperlink" Target="https://saranistudio-my.sharepoint.com/:f:/g/personal/team_sarani_studio/Eo1WM37R-eJAh5DDN3KO-6IBfCmnVD1lTAycgVSjrLzLHQ?e=nn4yec" TargetMode="External"/><Relationship Id="rId126" Type="http://schemas.openxmlformats.org/officeDocument/2006/relationships/hyperlink" Target="https://saranistudio-my.sharepoint.com/:b:/g/personal/team_sarani_studio/EdEsi0jQWIhCmGtVIbG65wUBODq9lBfEQqAJH7bY7NKYUQ?e=zdALnm" TargetMode="External"/><Relationship Id="rId147" Type="http://schemas.openxmlformats.org/officeDocument/2006/relationships/hyperlink" Target="https://saranistudio.sharepoint.com/:f:/s/SaraniAssets/Epw4h05_vL5CnVw4f-KDh-UB89uqfY6Sdd5s-k7Bcsy2Iw?e=8ENPlX" TargetMode="External"/><Relationship Id="rId168" Type="http://schemas.openxmlformats.org/officeDocument/2006/relationships/hyperlink" Target="https://saranistudio-my.sharepoint.com/:b:/g/personal/team_sarani_studio/ES7N79UhyBNArwSJtJeQQ6gBUvMU_SmAPI1bAXg3JC8E1w?e=lsbAtD" TargetMode="External"/><Relationship Id="rId312" Type="http://schemas.openxmlformats.org/officeDocument/2006/relationships/hyperlink" Target="https://saranistudio.sharepoint.com/:f:/s/SaraniAssets/ErT4J6QJlBBFvkm9Sh2P1qsBIg6YZRyWE4aefs1H35BBvQ?e=4pAu4a" TargetMode="External"/><Relationship Id="rId333" Type="http://schemas.openxmlformats.org/officeDocument/2006/relationships/hyperlink" Target="https://saranistudio.sharepoint.com/:f:/s/SaraniAssets/EtutNhXCPKJCldhs6LqsqhYBPoDbD5nTEXYr4eYsZfatjA?e=1Lex1C" TargetMode="External"/><Relationship Id="rId354" Type="http://schemas.openxmlformats.org/officeDocument/2006/relationships/hyperlink" Target="https://saranistudio.sharepoint.com/:f:/s/SaraniAssets/EkODzffymf9Kt6B5DtEBckcBM8ydTJ3TRvQBCSNNMQt7Cw?e=pe1Ggi" TargetMode="External"/><Relationship Id="rId51" Type="http://schemas.openxmlformats.org/officeDocument/2006/relationships/hyperlink" Target="https://saranistudio-my.sharepoint.com/:f:/g/personal/team_sarani_studio/EsMnikTmJL1KpvYorntrkkABl8AjzYKd5G85aBnUnFq9Iw?e=TuaAG2" TargetMode="External"/><Relationship Id="rId72" Type="http://schemas.openxmlformats.org/officeDocument/2006/relationships/hyperlink" Target="https://saranistudio-my.sharepoint.com/:f:/g/personal/team_sarani_studio/Eo_WrjVzYsBLghSpIKuCgJ4BkWtZHQIu_zjYECvNipC1AQ?e=7Ka5FQ" TargetMode="External"/><Relationship Id="rId93" Type="http://schemas.openxmlformats.org/officeDocument/2006/relationships/hyperlink" Target="https://saranistudio-my.sharepoint.com/:f:/g/personal/team_sarani_studio/EpE5Y-bLf4BJj9OOdJ0kRS0BWcnDOy6_qDeSk0B6N2_35g?e=F3dVIw" TargetMode="External"/><Relationship Id="rId189" Type="http://schemas.openxmlformats.org/officeDocument/2006/relationships/hyperlink" Target="https://saranistudio.sharepoint.com/:f:/s/SaraniAssets/EtfUCFAtvM1ClAWzs5V8ly4Bl5_BtcfUzG-ocfaZiYi-UA?e=620qVs" TargetMode="External"/><Relationship Id="rId3" Type="http://schemas.openxmlformats.org/officeDocument/2006/relationships/hyperlink" Target="https://saranistudio-my.sharepoint.com/:f:/g/personal/team_sarani_studio/Eiu73Y88xwJPqQdXyeju6gcBPx5Nk46QboMvzke5SksCEw?e=lK8Qjn" TargetMode="External"/><Relationship Id="rId214" Type="http://schemas.openxmlformats.org/officeDocument/2006/relationships/hyperlink" Target="https://saranistudio-my.sharepoint.com/:b:/g/personal/team_sarani_studio/EdSj0tw5I89CphUXa5VDuO4Bw3SJyPQsDm8HB9OKLpiuDQ?e=hhbdeT" TargetMode="External"/><Relationship Id="rId235" Type="http://schemas.openxmlformats.org/officeDocument/2006/relationships/hyperlink" Target="https://saranistudio.sharepoint.com/:f:/s/SaraniAssets/Ei0hBdEi0LdAph64pXwjhs4B-v2QPUjMUy8zwDh1TxcIdQ?e=KM7Hj1" TargetMode="External"/><Relationship Id="rId256" Type="http://schemas.openxmlformats.org/officeDocument/2006/relationships/hyperlink" Target="https://saranistudio-my.sharepoint.com/:b:/g/personal/team_sarani_studio/EahYvQzsfYlIkoszpFaZOoMBsZURjumMORm0GSEdIn0-3Q?e=yI0Cej" TargetMode="External"/><Relationship Id="rId277" Type="http://schemas.openxmlformats.org/officeDocument/2006/relationships/hyperlink" Target="https://saranistudio-my.sharepoint.com/:b:/g/personal/team_sarani_studio/Eal89tqTA6pAvcl9GArXLAAB_MtVbfBx1PscgWveTtUMEg?e=AD7PIq" TargetMode="External"/><Relationship Id="rId298" Type="http://schemas.openxmlformats.org/officeDocument/2006/relationships/hyperlink" Target="https://saranistudio.sharepoint.com/:f:/s/SaraniAssets/EtTQvQUqDLZDuW4X1KXxts0Bxa5o4QhOKyfwZOQHfiOT4w?e=l5SlaL" TargetMode="External"/><Relationship Id="rId116" Type="http://schemas.openxmlformats.org/officeDocument/2006/relationships/hyperlink" Target="https://saranistudio-my.sharepoint.com/:b:/g/personal/team_sarani_studio/EYvkssAWQDBOhaylZ-v94csBva-466LhIu1pWKdrltZVrQ?e=31xfi7" TargetMode="External"/><Relationship Id="rId137" Type="http://schemas.openxmlformats.org/officeDocument/2006/relationships/hyperlink" Target="https://saranistudio-my.sharepoint.com/:b:/g/personal/team_sarani_studio/Eci3BZ1l2wVLtUT0u5jWcG8BWkpWl7AaBl8MG2cOzb1C4A?e=NPEGsD" TargetMode="External"/><Relationship Id="rId158" Type="http://schemas.openxmlformats.org/officeDocument/2006/relationships/hyperlink" Target="https://saranistudio.sharepoint.com/:f:/s/SaraniAssets/EvEpbJJidBJIphpL9bLaQiQB6nSdlpuoabFsbLUwdA3CCQ?e=ccfrKI" TargetMode="External"/><Relationship Id="rId302" Type="http://schemas.openxmlformats.org/officeDocument/2006/relationships/hyperlink" Target="https://saranistudio.sharepoint.com/:f:/s/SaraniAssets/EvLqFCTPT-JBgWX0-O3P3HMBaUHT_hM3HZiMgfHLnAM-Zg?e=dKnCe7" TargetMode="External"/><Relationship Id="rId323" Type="http://schemas.openxmlformats.org/officeDocument/2006/relationships/hyperlink" Target="https://saranistudio.sharepoint.com/:f:/s/SaraniAssets/Elot0d9wGCVOorZl-8CHHl0BmTsYZy44UOlj5PqoR-nnLQ?e=HmvmpU" TargetMode="External"/><Relationship Id="rId344" Type="http://schemas.openxmlformats.org/officeDocument/2006/relationships/hyperlink" Target="https://saranistudio-my.sharepoint.com/:b:/g/personal/team_sarani_studio/EdN9NfHNNXRFvbUlkJYua6sBUuHIbe__K89JlsVdMeeW-Q?e=cS03Pa" TargetMode="External"/><Relationship Id="rId20" Type="http://schemas.openxmlformats.org/officeDocument/2006/relationships/hyperlink" Target="https://saranistudio-my.sharepoint.com/:f:/g/personal/team_sarani_studio/EuGDS2OAMPpGu_ldGvZT0DMBpcZ-xeMJpp8v2XzS9CAt0g?e=xhsdm9" TargetMode="External"/><Relationship Id="rId41" Type="http://schemas.openxmlformats.org/officeDocument/2006/relationships/hyperlink" Target="https://saranistudio-my.sharepoint.com/:f:/g/personal/team_sarani_studio/EpbAZG5lEmVIiR_on7fzuLEB9DbDwGiQ8g3E-EP6ZMPlBw?e=WDYhbk" TargetMode="External"/><Relationship Id="rId62" Type="http://schemas.openxmlformats.org/officeDocument/2006/relationships/hyperlink" Target="https://saranistudio-my.sharepoint.com/:f:/g/personal/team_sarani_studio/EsV2_KLDqwdOi0nyINCRhnABKsqCgrqSPww-zwD5kRW76g?e=55qEkF" TargetMode="External"/><Relationship Id="rId83" Type="http://schemas.openxmlformats.org/officeDocument/2006/relationships/hyperlink" Target="https://saranistudio-my.sharepoint.com/:f:/g/personal/team_sarani_studio/Euz2mPwjXO9ApleKiM0w1HIBWLN328saVLkmxOcKGWyUoA?e=ymSIjj" TargetMode="External"/><Relationship Id="rId179" Type="http://schemas.openxmlformats.org/officeDocument/2006/relationships/hyperlink" Target="https://saranistudio-my.sharepoint.com/:b:/g/personal/team_sarani_studio/ETcMeN84ZjZGnpPa8MzZEXcBi51BuWWSYsDBmvGZCbzI5Q?e=tfMEJ4" TargetMode="External"/><Relationship Id="rId365" Type="http://schemas.openxmlformats.org/officeDocument/2006/relationships/hyperlink" Target="https://saranistudio-my.sharepoint.com/:b:/g/personal/team_sarani_studio/Ee_ooEDaB_RIkac2trISsL4BG9aXj3lAyjJjbAh-3b0_yw?e=3tCHn6" TargetMode="External"/><Relationship Id="rId190" Type="http://schemas.openxmlformats.org/officeDocument/2006/relationships/hyperlink" Target="https://saranistudio.sharepoint.com/:f:/s/SaraniAssets/EqWakb816FJJtNEYqGsUM8wBcz_yDOHPD7-owXm-1XIyYA?e=mNfifv" TargetMode="External"/><Relationship Id="rId204" Type="http://schemas.openxmlformats.org/officeDocument/2006/relationships/hyperlink" Target="https://saranistudio-my.sharepoint.com/:b:/g/personal/team_sarani_studio/ER2atkNeQI5EiAjHEumDAP8B1I69p8nuFKFUWNZrPLaTNQ?e=MDDN03" TargetMode="External"/><Relationship Id="rId225" Type="http://schemas.openxmlformats.org/officeDocument/2006/relationships/hyperlink" Target="https://saranistudio-my.sharepoint.com/:b:/g/personal/team_sarani_studio/EfWXFgChM0pIvne8GtciDicBSv_RgXWPHS29oXKrxZQDeQ?e=3KsHae" TargetMode="External"/><Relationship Id="rId246" Type="http://schemas.openxmlformats.org/officeDocument/2006/relationships/hyperlink" Target="https://saranistudio.sharepoint.com/:f:/s/SaraniAssets/ErSgv-hqFRpOuvmAVjD_t1gBaECQLYpE-t9VB7eIFXWUGQ?e=l0ti5F" TargetMode="External"/><Relationship Id="rId267" Type="http://schemas.openxmlformats.org/officeDocument/2006/relationships/hyperlink" Target="https://saranistudio-my.sharepoint.com/:b:/g/personal/team_sarani_studio/EQjg1lHmlxhHs0kHjFiCVe8BDUXL4V2QcCQj4DTqo9g6gw?e=2WE5Cy" TargetMode="External"/><Relationship Id="rId288" Type="http://schemas.openxmlformats.org/officeDocument/2006/relationships/hyperlink" Target="https://saranistudio.sharepoint.com/:f:/s/SaraniAssets/Etk7nPcUzU1GhgoWi9I3qvwBxHShviAn8roYqGG9BsU4IQ?e=chdydV" TargetMode="External"/><Relationship Id="rId106" Type="http://schemas.openxmlformats.org/officeDocument/2006/relationships/hyperlink" Target="https://saranistudio-my.sharepoint.com/:f:/g/personal/team_sarani_studio/ElsRtseJsiNPoID54P7HWHIBAKyM_bSuNpMa2EkQFXNqHQ?e=zymZQO" TargetMode="External"/><Relationship Id="rId127" Type="http://schemas.openxmlformats.org/officeDocument/2006/relationships/hyperlink" Target="https://saranistudio-my.sharepoint.com/:b:/g/personal/team_sarani_studio/EcOazcJa9a1AiG8LW6zPip8BxDE-cfed4KK9cxbJLQ0rBg?e=c9934o" TargetMode="External"/><Relationship Id="rId313" Type="http://schemas.openxmlformats.org/officeDocument/2006/relationships/hyperlink" Target="https://saranistudio.sharepoint.com/:f:/s/SaraniAssets/EicjkYBFJdFOsIJPGjTZYj4BZ1xU1-wmuN4QDnGvBW3EQQ?e=PlLNv4" TargetMode="External"/><Relationship Id="rId10" Type="http://schemas.openxmlformats.org/officeDocument/2006/relationships/hyperlink" Target="https://saranistudio-my.sharepoint.com/:f:/g/personal/team_sarani_studio/Ev2DdJ24TI9DnMYkKwzIkq0BHlTI4PJMje_IlrhSeabtxw?e=g9BnfI" TargetMode="External"/><Relationship Id="rId31" Type="http://schemas.openxmlformats.org/officeDocument/2006/relationships/hyperlink" Target="https://saranistudio-my.sharepoint.com/:f:/g/personal/team_sarani_studio/EiFOxcsYWW5HrKMAqEXG268BJdUb73tokZ2aUpOjrqGbMw?e=ZjeN6x" TargetMode="External"/><Relationship Id="rId52" Type="http://schemas.openxmlformats.org/officeDocument/2006/relationships/hyperlink" Target="https://saranistudio-my.sharepoint.com/:f:/g/personal/team_sarani_studio/EjXst-lsglZAi0Q2IrrJuM4BaunLX6dQ9jdJrU_j-AJ-iA?e=BB0ACA" TargetMode="External"/><Relationship Id="rId73" Type="http://schemas.openxmlformats.org/officeDocument/2006/relationships/hyperlink" Target="https://saranistudio-my.sharepoint.com/:f:/g/personal/team_sarani_studio/Ess1vC7t3GRDlkrH39chUyABGRfHdGSAU5PEixcxFc0JLA?e=s28LEw" TargetMode="External"/><Relationship Id="rId94" Type="http://schemas.openxmlformats.org/officeDocument/2006/relationships/hyperlink" Target="https://saranistudio-my.sharepoint.com/:f:/g/personal/team_sarani_studio/ErBIh8Q7RcxKtpZSkOTPKuUB4hqTOQ1qXwlxHVwbTHUBjw?e=ZrA0BB" TargetMode="External"/><Relationship Id="rId148" Type="http://schemas.openxmlformats.org/officeDocument/2006/relationships/hyperlink" Target="https://saranistudio.sharepoint.com/:f:/s/SaraniAssets/EoKSGK51uHBEnY1ZxChc8dUBgoMgtGMxAYGBdrNOH35tlw?e=mhd6dJ" TargetMode="External"/><Relationship Id="rId169" Type="http://schemas.openxmlformats.org/officeDocument/2006/relationships/hyperlink" Target="https://saranistudio-my.sharepoint.com/:b:/g/personal/team_sarani_studio/ESPthCNjpEhMgnhygkWLu9IBQKUX6xiI-AicOgWl8ec73g?e=aaTAxK" TargetMode="External"/><Relationship Id="rId334" Type="http://schemas.openxmlformats.org/officeDocument/2006/relationships/hyperlink" Target="https://saranistudio.sharepoint.com/:f:/s/SaraniAssets/Etf8n6cNrqJAkRVRDvtnTg8BFO3Dc6eXorX24klkXyYQKA?e=DAbVAB" TargetMode="External"/><Relationship Id="rId355" Type="http://schemas.openxmlformats.org/officeDocument/2006/relationships/hyperlink" Target="https://saranistudio.sharepoint.com/:f:/s/SaraniAssets/Eq7JgiFincpCoJ-EemhtEpcBeXJqw_XkqE5yCW0mCe1CCQ?e=e4uqMY" TargetMode="External"/><Relationship Id="rId4" Type="http://schemas.openxmlformats.org/officeDocument/2006/relationships/hyperlink" Target="https://saranistudio-my.sharepoint.com/:f:/g/personal/team_sarani_studio/EiWYden95S1PhgR70pI8qxEBwY-0nfvYhECdhw2ZQdFqdw?e=oKMO8n" TargetMode="External"/><Relationship Id="rId180" Type="http://schemas.openxmlformats.org/officeDocument/2006/relationships/hyperlink" Target="https://saranistudio-my.sharepoint.com/:b:/g/personal/team_sarani_studio/ERdoI-L0XbVJs87g6xS4qnUBrZsmBnHyFItYQ5A35GkDNQ?e=FqpR3i" TargetMode="External"/><Relationship Id="rId215" Type="http://schemas.openxmlformats.org/officeDocument/2006/relationships/hyperlink" Target="https://saranistudio-my.sharepoint.com/:b:/g/personal/team_sarani_studio/EX44UzSazw1Gu17DKPZjbZUBtBZio3VSA1SZ-8cFZTzQDA?e=7syrWZ" TargetMode="External"/><Relationship Id="rId236" Type="http://schemas.openxmlformats.org/officeDocument/2006/relationships/hyperlink" Target="https://saranistudio.sharepoint.com/:f:/s/SaraniAssets/ElDA9gHAyABLsFiMfzvMUMUBObva9HRnR40ejDIIdDiDSw?e=DnPrDa" TargetMode="External"/><Relationship Id="rId257" Type="http://schemas.openxmlformats.org/officeDocument/2006/relationships/hyperlink" Target="https://saranistudio.sharepoint.com/:f:/s/SaraniAssets/Eodd6cfk8mdCu1Q9slmbozMBVaEbNlFrea2iijCXO3p6fA?e=bZrnJb" TargetMode="External"/><Relationship Id="rId278" Type="http://schemas.openxmlformats.org/officeDocument/2006/relationships/hyperlink" Target="https://saranistudio.sharepoint.com/:f:/s/SaraniAssets/EuVjuW78QlZIr2AwL770ycgBtu-7kJHdMWZn5etR7DSQPg?e=s99CPP" TargetMode="External"/><Relationship Id="rId303" Type="http://schemas.openxmlformats.org/officeDocument/2006/relationships/hyperlink" Target="https://saranistudio.sharepoint.com/:f:/s/SaraniAssets/Eq_4r49gcC9Bj00v7q3gfvwBj7s5XYsbRYYc2g66E_K5QA?e=Kxe9nJ" TargetMode="External"/><Relationship Id="rId42" Type="http://schemas.openxmlformats.org/officeDocument/2006/relationships/hyperlink" Target="https://saranistudio-my.sharepoint.com/:f:/g/personal/team_sarani_studio/Eslmo5VnmeBOls9PXeiKfcsB6Y_V2-ku-io7Yd_KczQicQ?e=vV1ZSQ" TargetMode="External"/><Relationship Id="rId84" Type="http://schemas.openxmlformats.org/officeDocument/2006/relationships/hyperlink" Target="https://saranistudio-my.sharepoint.com/:f:/g/personal/team_sarani_studio/Ehfxvz__gf1NvW8ydi3n7RYBCFT_MxJ_JosrOZuBHNHMog?e=WaY5JK" TargetMode="External"/><Relationship Id="rId138" Type="http://schemas.openxmlformats.org/officeDocument/2006/relationships/hyperlink" Target="https://saranistudio-my.sharepoint.com/:b:/g/personal/team_sarani_studio/ER6hJRVc1glPnzJ7Z9u4ickBFz2NCRqCbnQrgkq1Wd1Gdw?e=cuVWMa" TargetMode="External"/><Relationship Id="rId345" Type="http://schemas.openxmlformats.org/officeDocument/2006/relationships/hyperlink" Target="https://saranistudio-my.sharepoint.com/:b:/g/personal/team_sarani_studio/ETBQj9rlqzpMqL8bRaQKAFABgPEAZi3rCpz7OYtrV_XYwQ?e=ohRi3A" TargetMode="External"/><Relationship Id="rId191" Type="http://schemas.openxmlformats.org/officeDocument/2006/relationships/hyperlink" Target="https://saranistudio.sharepoint.com/:f:/s/SaraniAssets/Ej9OFxjwwBFIoj56QKVj-d4BVZdYKvocXasWAXiz_sqqDg?e=mnFKxP" TargetMode="External"/><Relationship Id="rId205" Type="http://schemas.openxmlformats.org/officeDocument/2006/relationships/hyperlink" Target="https://saranistudio-my.sharepoint.com/:b:/g/personal/team_sarani_studio/ETWMNhpNsrRCrZ5CaIqNJikBsG2QXbxCGke8l7AHozCIxg?e=et0XbI" TargetMode="External"/><Relationship Id="rId247" Type="http://schemas.openxmlformats.org/officeDocument/2006/relationships/hyperlink" Target="https://saranistudio.sharepoint.com/:f:/s/SaraniAssets/Emj3lo3qwdBGpoI6Fhs_-i8Bp5ctL7etXZ0ws1ViWvjRCw?e=BRNp14" TargetMode="External"/><Relationship Id="rId107" Type="http://schemas.openxmlformats.org/officeDocument/2006/relationships/hyperlink" Target="https://saranistudio-my.sharepoint.com/:f:/g/personal/team_sarani_studio/EheXA2fe-4RAnQ2VBrjV7bUBCH7z_0bNmW1LEX3dWP3Xbg?e=z39khh" TargetMode="External"/><Relationship Id="rId289" Type="http://schemas.openxmlformats.org/officeDocument/2006/relationships/hyperlink" Target="https://saranistudio.sharepoint.com/:f:/s/SaraniAssets/EogVu9PGqENJlOaRkAxLbfYBs4fSofJOrkhOr7N8gIUyMg?e=CFyYSV" TargetMode="External"/><Relationship Id="rId11" Type="http://schemas.openxmlformats.org/officeDocument/2006/relationships/hyperlink" Target="https://saranistudio-my.sharepoint.com/:f:/g/personal/team_sarani_studio/Eu6UoQJssNdAvleXAzibZ1MBJ1RpI-TWGcduRRM37c84hw?e=4VncEj" TargetMode="External"/><Relationship Id="rId53" Type="http://schemas.openxmlformats.org/officeDocument/2006/relationships/hyperlink" Target="https://saranistudio-my.sharepoint.com/:f:/g/personal/team_sarani_studio/ElN1J_IN9NhPr2CeLrCnszQBKTAJ_nOdr-HrnPgQqoGmgA?e=2DZGUU" TargetMode="External"/><Relationship Id="rId149" Type="http://schemas.openxmlformats.org/officeDocument/2006/relationships/hyperlink" Target="https://saranistudio.sharepoint.com/:f:/s/SaraniAssets/ElTa0JXiSFFGjfAVBnnVTK8BJonfzHVj6-25QaDXsBZNHA?e=tcu9y9" TargetMode="External"/><Relationship Id="rId314" Type="http://schemas.openxmlformats.org/officeDocument/2006/relationships/hyperlink" Target="https://saranistudio.sharepoint.com/:f:/s/SaraniAssets/EjDgnSqnnktCqVt60aDhlIUB-OKnKjfmjwbVaIQ1IoFZKw?e=9LXPXk" TargetMode="External"/><Relationship Id="rId356" Type="http://schemas.openxmlformats.org/officeDocument/2006/relationships/hyperlink" Target="https://saranistudio.sharepoint.com/:f:/s/SaraniAssets/EmNZUpYuUJVBlPsZ5mpcLwsBDIhpr6GOmZlNGa9BS72IYg?e=UGaDiN" TargetMode="External"/><Relationship Id="rId95" Type="http://schemas.openxmlformats.org/officeDocument/2006/relationships/hyperlink" Target="https://saranistudio-my.sharepoint.com/:f:/g/personal/team_sarani_studio/EqsD2Sbc36JAhwHWMJZqsrMBAMxIJxi3jYCUiMmWccKI4A?e=yubVDN" TargetMode="External"/><Relationship Id="rId160" Type="http://schemas.openxmlformats.org/officeDocument/2006/relationships/hyperlink" Target="https://saranistudio.sharepoint.com/:f:/s/SaraniAssets/En7FKk0utLxBgDFZPlo1_nsByb06GLKqiXDojjLdmHkuGw?e=nRecsF" TargetMode="External"/><Relationship Id="rId216" Type="http://schemas.openxmlformats.org/officeDocument/2006/relationships/hyperlink" Target="https://saranistudio-my.sharepoint.com/:b:/g/personal/team_sarani_studio/EVDbEEyekklAvnboueTocroBMRj1nfk-FPDv2jGy40Z5Zw?e=aoCu4r" TargetMode="External"/><Relationship Id="rId258" Type="http://schemas.openxmlformats.org/officeDocument/2006/relationships/hyperlink" Target="https://saranistudio.sharepoint.com/:f:/s/SaraniAssets/EhDO8dvFKWJGqTFoP_xOULEBHzHN2pZyBynicE-3iFvHKg?e=SQC793" TargetMode="External"/><Relationship Id="rId22" Type="http://schemas.openxmlformats.org/officeDocument/2006/relationships/hyperlink" Target="https://saranistudio-my.sharepoint.com/:f:/g/personal/team_sarani_studio/EoitW15aeoVAtVoerfyyJgAB8NtwzeqQjRMP7QJz7L-yow?e=jCYZtF" TargetMode="External"/><Relationship Id="rId64" Type="http://schemas.openxmlformats.org/officeDocument/2006/relationships/hyperlink" Target="https://saranistudio-my.sharepoint.com/:f:/g/personal/team_sarani_studio/EmtLIsoaTzxJnuMVqwFkEXEBRLxiJIn6Dx3sdurRJBv18Q?e=jb6qLr" TargetMode="External"/><Relationship Id="rId118" Type="http://schemas.openxmlformats.org/officeDocument/2006/relationships/hyperlink" Target="https://saranistudio-my.sharepoint.com/:b:/g/personal/team_sarani_studio/ERDCkML_0fROtlF57jNElvwBzacEfRKpUUd2uuvMSWDlzA?e=YEo90H" TargetMode="External"/><Relationship Id="rId325" Type="http://schemas.openxmlformats.org/officeDocument/2006/relationships/hyperlink" Target="https://saranistudio-my.sharepoint.com/:b:/g/personal/team_sarani_studio/EdW2tFvbDXJBhz_m1P9guREBFQdSldlwnRSy4o1msmIEyw?e=EpBZ2S" TargetMode="External"/><Relationship Id="rId367" Type="http://schemas.openxmlformats.org/officeDocument/2006/relationships/hyperlink" Target="https://saranistudio-my.sharepoint.com/:b:/g/personal/team_sarani_studio/EeQ-SQ6ymGpPp_9q064_UxABi6FBdA8GYVOvUTq74tgcGw?e=Sr9lyu" TargetMode="External"/><Relationship Id="rId171" Type="http://schemas.openxmlformats.org/officeDocument/2006/relationships/hyperlink" Target="https://saranistudio.sharepoint.com/:f:/s/SaraniAssets/EoDd5iSaHp1BmhGEHbw4yxQBQ4qnO6mrhQAweiEthTCCHQ?e=fIHbbK" TargetMode="External"/><Relationship Id="rId227" Type="http://schemas.openxmlformats.org/officeDocument/2006/relationships/hyperlink" Target="https://saranistudio.sharepoint.com/:f:/s/SaraniAssets/Ek4-C4S8VUhKrpgqfdB8kpsBCxBsDIcaltFTXJ6sYcDJYw?e=OiIPZw" TargetMode="External"/><Relationship Id="rId269" Type="http://schemas.openxmlformats.org/officeDocument/2006/relationships/hyperlink" Target="https://saranistudio.sharepoint.com/:f:/s/SaraniAssets/Ep6BTvJIpBdMicDZzIPZcQ4BXiNwHP2JKzUuVj6rtc0Ndw?e=4BGCzX" TargetMode="External"/><Relationship Id="rId33" Type="http://schemas.openxmlformats.org/officeDocument/2006/relationships/hyperlink" Target="https://saranistudio-my.sharepoint.com/:f:/g/personal/team_sarani_studio/Et8JT6N3J55Khs36INxlBgQBUbyHbYyC93L5UVW3Wg41vA?e=Q1dlBF" TargetMode="External"/><Relationship Id="rId129" Type="http://schemas.openxmlformats.org/officeDocument/2006/relationships/hyperlink" Target="https://saranistudio-my.sharepoint.com/:b:/g/personal/team_sarani_studio/ERGLPn5MN0xFtdPl043Yr88BObvQ3p3mkyDeHLpkEmIPkA?e=iDhphm" TargetMode="External"/><Relationship Id="rId280" Type="http://schemas.openxmlformats.org/officeDocument/2006/relationships/hyperlink" Target="https://saranistudio.sharepoint.com/:f:/s/SaraniAssets/Esedv7weB8dJhpQl1jrHyVsBNuiW1YPKAv-SDwz8gdjw-g?e=61sZ25" TargetMode="External"/><Relationship Id="rId336" Type="http://schemas.openxmlformats.org/officeDocument/2006/relationships/hyperlink" Target="https://saranistudio-my.sharepoint.com/:b:/g/personal/team_sarani_studio/ETzSIRCRJW1Bqc32G7ia2gQBEf6EOS8HPei035mZFe3YgA?e=WfX3CW" TargetMode="External"/><Relationship Id="rId75" Type="http://schemas.openxmlformats.org/officeDocument/2006/relationships/hyperlink" Target="https://saranistudio-my.sharepoint.com/:f:/g/personal/team_sarani_studio/Er1KKzEqwjxItH20UH-sjJMB6Q2eGPk-wVC73X09tW3j7w?e=yPEG2L" TargetMode="External"/><Relationship Id="rId140" Type="http://schemas.openxmlformats.org/officeDocument/2006/relationships/hyperlink" Target="https://saranistudio.sharepoint.com/:f:/s/SaraniAssets/EmbgGkCAJl5KniAwcW-yi4gBS89mkOFy73-Lxx4pgUOlJw?e=32YWjh" TargetMode="External"/><Relationship Id="rId182" Type="http://schemas.openxmlformats.org/officeDocument/2006/relationships/hyperlink" Target="https://saranistudio-my.sharepoint.com/:b:/g/personal/team_sarani_studio/EcQ2bFA71DxKit4aFhtCavsBXCxBKjD2Jt9SYzLZ3VkeUA?e=0V6KoA" TargetMode="External"/><Relationship Id="rId6" Type="http://schemas.openxmlformats.org/officeDocument/2006/relationships/hyperlink" Target="https://saranistudio-my.sharepoint.com/:f:/g/personal/team_sarani_studio/EiXLGF1XZ1VNkmFgudaLWcQB0AP6n1T0jNDvvhweNqqJwg?e=vKq0Pw" TargetMode="External"/><Relationship Id="rId238" Type="http://schemas.openxmlformats.org/officeDocument/2006/relationships/hyperlink" Target="https://saranistudio.sharepoint.com/:f:/s/SaraniAssets/EuDargvsjaJHm6KMYUjW1jkBhC2C0AUlOATLqNdWnjfKsQ?e=MBLIoI" TargetMode="External"/><Relationship Id="rId291" Type="http://schemas.openxmlformats.org/officeDocument/2006/relationships/hyperlink" Target="https://saranistudio.sharepoint.com/:b:/s/SaraniAssets/EYB4GuQUUCBIl3rPnOgk8-sB3kQ93sfRrmZVYQxzQb3LPg?e=ZlobtX" TargetMode="External"/><Relationship Id="rId305" Type="http://schemas.openxmlformats.org/officeDocument/2006/relationships/hyperlink" Target="https://saranistudio-my.sharepoint.com/:b:/g/personal/team_sarani_studio/EWfdu_W2MxVPiqId8_itqAEBGJK-jiDSY_nGNLfoar9u4A?e=SFk3R6" TargetMode="External"/><Relationship Id="rId347" Type="http://schemas.openxmlformats.org/officeDocument/2006/relationships/hyperlink" Target="https://saranistudio-my.sharepoint.com/:b:/g/personal/team_sarani_studio/EVKFGpKvCShMjtTbzKT-_JoBjkT48yW9cQN3DOAfiAZs3w?e=wRafoU" TargetMode="External"/><Relationship Id="rId44" Type="http://schemas.openxmlformats.org/officeDocument/2006/relationships/hyperlink" Target="https://saranistudio-my.sharepoint.com/:f:/g/personal/team_sarani_studio/Emm2wYCHbftLi5SQSqzjQ6wB8eW0AeAyCmSo_d-F4O4-gw?e=aIQngs" TargetMode="External"/><Relationship Id="rId86" Type="http://schemas.openxmlformats.org/officeDocument/2006/relationships/hyperlink" Target="https://saranistudio-my.sharepoint.com/:f:/g/personal/team_sarani_studio/EohPa1Xy819BhgL0n4Y_wGgBCMYtqni5puedJYtVolpFmw?e=R0uwwn" TargetMode="External"/><Relationship Id="rId151" Type="http://schemas.openxmlformats.org/officeDocument/2006/relationships/hyperlink" Target="https://saranistudio-my.sharepoint.com/:b:/g/personal/team_sarani_studio/EYfPjnYGS8FGsZ0gdHWW64IBAoVToD60cZQCJSYu5LeJdw?e=Z2CL8X" TargetMode="External"/><Relationship Id="rId193" Type="http://schemas.openxmlformats.org/officeDocument/2006/relationships/hyperlink" Target="https://saranistudio.sharepoint.com/:f:/s/SaraniAssets/EmNZUpYuUJVBlPsZ5mpcLwsBDIhpr6GOmZlNGa9BS72IYg?e=ZS0gUM" TargetMode="External"/><Relationship Id="rId207" Type="http://schemas.openxmlformats.org/officeDocument/2006/relationships/hyperlink" Target="https://saranistudio.sharepoint.com/:f:/s/SaraniAssets/EnvjXDVRAaRNhzW_TjYr0oUBUlaunpRrsyCD_hK7W_5EjA?e=bbhN4N" TargetMode="External"/><Relationship Id="rId249" Type="http://schemas.openxmlformats.org/officeDocument/2006/relationships/hyperlink" Target="https://saranistudio-my.sharepoint.com/:b:/g/personal/team_sarani_studio/EYWGVMM7uglFiTVIWi_5vJ8Bq6JIWdRv83Bi6j9YEKl1QQ?e=R3PjHE" TargetMode="External"/><Relationship Id="rId13" Type="http://schemas.openxmlformats.org/officeDocument/2006/relationships/hyperlink" Target="https://saranistudio-my.sharepoint.com/:f:/g/personal/team_sarani_studio/EitZRBZy2n1Kkw5kaWztE5sBgYKU_BFeDcX25iDrx1Ct5w?e=j19Nkg" TargetMode="External"/><Relationship Id="rId109" Type="http://schemas.openxmlformats.org/officeDocument/2006/relationships/hyperlink" Target="https://saranistudio.sharepoint.com/:f:/s/SaraniAssets/EnLENnmWU4FBhXBFfLq0YnYBr8dbOibVptSN7QelSupl6g?e=a4pTg8" TargetMode="External"/><Relationship Id="rId260" Type="http://schemas.openxmlformats.org/officeDocument/2006/relationships/hyperlink" Target="https://saranistudio-my.sharepoint.com/:b:/g/personal/team_sarani_studio/EacYcAvM6c1NnVYFi5WKm1ABE58avpJZsxRdRJl7CAP6Yw?e=ha9jef" TargetMode="External"/><Relationship Id="rId316" Type="http://schemas.openxmlformats.org/officeDocument/2006/relationships/hyperlink" Target="https://saranistudio-my.sharepoint.com/:b:/g/personal/team_sarani_studio/EWEz89Ry_nVCnED4RdpmrKwBLYQtJk23EAWBlWoHFuHF5w?e=jzCZaA" TargetMode="External"/><Relationship Id="rId55" Type="http://schemas.openxmlformats.org/officeDocument/2006/relationships/hyperlink" Target="https://saranistudio-my.sharepoint.com/:f:/g/personal/team_sarani_studio/Evv8Y4u5CcpBkA6LoIczitQBWRTN97zK7m4SmXnl8monYA?e=FXqhEq" TargetMode="External"/><Relationship Id="rId97" Type="http://schemas.openxmlformats.org/officeDocument/2006/relationships/hyperlink" Target="https://saranistudio-my.sharepoint.com/:f:/g/personal/team_sarani_studio/EqlFGHWqcuFIgXulyu1u7-cBimiPb-0LGSqvgCUVCR7Tmw?e=jlB2eB" TargetMode="External"/><Relationship Id="rId120" Type="http://schemas.openxmlformats.org/officeDocument/2006/relationships/hyperlink" Target="https://saranistudio-my.sharepoint.com/:b:/g/personal/team_sarani_studio/EXCRcqoF15JCk5vCkqNXQnwBFClE1WMJsbcopn9YwR9JLg?e=j2aPCB" TargetMode="External"/><Relationship Id="rId358" Type="http://schemas.openxmlformats.org/officeDocument/2006/relationships/hyperlink" Target="https://saranistudio-my.sharepoint.com/:b:/g/personal/team_sarani_studio/EbjxyBzHVXJAsLL_TLov45wBkfjRbUcohJtDy1SAtsD4tA?e=WMQYMr" TargetMode="External"/><Relationship Id="rId162" Type="http://schemas.openxmlformats.org/officeDocument/2006/relationships/hyperlink" Target="https://saranistudio.sharepoint.com/:f:/s/SaraniAssets/Eqe3gbbCcnFBsfM-Z-NzrskBCYTF77L7fe_M4kSNgHkPqQ?e=dUemvu" TargetMode="External"/><Relationship Id="rId218" Type="http://schemas.openxmlformats.org/officeDocument/2006/relationships/hyperlink" Target="https://saranistudio-my.sharepoint.com/:b:/g/personal/team_sarani_studio/ES2hMQcThZhBkH4vuhbAVDQBPw2t9df2m1581HZXUcLztA?e=NzNzjM" TargetMode="External"/><Relationship Id="rId271" Type="http://schemas.openxmlformats.org/officeDocument/2006/relationships/hyperlink" Target="https://saranistudio.sharepoint.com/:f:/s/SaraniAssets/EhidViipL6pBpe-icCp9PcwBB81F_78SSSNTX6LCKUqi1w?e=MMx2dJ" TargetMode="External"/><Relationship Id="rId24" Type="http://schemas.openxmlformats.org/officeDocument/2006/relationships/hyperlink" Target="https://saranistudio-my.sharepoint.com/:f:/g/personal/team_sarani_studio/ErATZuFVVhFNvJLA8_C_5_kBPisr2V-sQmmcvuADdnOrlg?e=Jt6Yhl" TargetMode="External"/><Relationship Id="rId66" Type="http://schemas.openxmlformats.org/officeDocument/2006/relationships/hyperlink" Target="https://saranistudio-my.sharepoint.com/:f:/g/personal/team_sarani_studio/EjXst-lsglZAi0Q2IrrJuM4BaunLX6dQ9jdJrU_j-AJ-iA?e=ZonV9A" TargetMode="External"/><Relationship Id="rId131" Type="http://schemas.openxmlformats.org/officeDocument/2006/relationships/hyperlink" Target="https://saranistudio-my.sharepoint.com/:b:/g/personal/team_sarani_studio/EaAm0jo7YspMmLcsxcmfHPIBBXT0ddMFG9EJoUECtwNNQg?e=CnUbUH" TargetMode="External"/><Relationship Id="rId327" Type="http://schemas.openxmlformats.org/officeDocument/2006/relationships/hyperlink" Target="https://saranistudio.sharepoint.com/:f:/s/SaraniAssets/EnZBOAvlxFVIk_GqrB-F6AkBjY5YsvPSksmbu18M3nycBQ?e=qPZc5Q" TargetMode="External"/><Relationship Id="rId369" Type="http://schemas.openxmlformats.org/officeDocument/2006/relationships/hyperlink" Target="https://saranistudio-my.sharepoint.com/:b:/g/personal/team_sarani_studio/EV008j8FmwVPovsgdHIIwBEB__DTWxzb64HlCkBdSlT_NA?e=EPevmH" TargetMode="External"/><Relationship Id="rId173" Type="http://schemas.openxmlformats.org/officeDocument/2006/relationships/hyperlink" Target="https://saranistudio.sharepoint.com/:f:/s/SaraniAssets/EiAE12Do1MZMg0W-9T7tF1QBr4ZBLd42z3ye7bo1XdXYpg?e=xfeLUO" TargetMode="External"/><Relationship Id="rId229" Type="http://schemas.openxmlformats.org/officeDocument/2006/relationships/hyperlink" Target="https://saranistudio.sharepoint.com/:f:/s/SaraniAssets/EopPAL2uRh5Bsqupw0B08EUBQN8MPRNFSzMpMKGC2N2RLg?e=whBxMW" TargetMode="External"/><Relationship Id="rId240" Type="http://schemas.openxmlformats.org/officeDocument/2006/relationships/hyperlink" Target="https://saranistudio.sharepoint.com/:f:/s/SaraniAssets/EoZB1B3l379Er-dU-2tGrtkBVXo0iuml8uO1d_hG59ArRw?e=8yTk5N" TargetMode="External"/><Relationship Id="rId35" Type="http://schemas.openxmlformats.org/officeDocument/2006/relationships/hyperlink" Target="https://saranistudio-my.sharepoint.com/:f:/g/personal/team_sarani_studio/Eqpu9-LPvfZElOAGt1viRf8Bhsdxnu1Eu10IOtnxqhR8Iw?e=2Uijzq" TargetMode="External"/><Relationship Id="rId77" Type="http://schemas.openxmlformats.org/officeDocument/2006/relationships/hyperlink" Target="https://saranistudio-my.sharepoint.com/:f:/g/personal/team_sarani_studio/Es4vZNBp-AxAtvj3-nml6O4B84X7Wlgc4f3a4IkoogbN5Q?e=8YHYEj" TargetMode="External"/><Relationship Id="rId100" Type="http://schemas.openxmlformats.org/officeDocument/2006/relationships/hyperlink" Target="https://saranistudio-my.sharepoint.com/:f:/g/personal/team_sarani_studio/Et0Rv2C2C3VGiSp-XPCO_uYB_zLrGB6sYLG5KaSPwRRAsQ?e=Y6vNdA" TargetMode="External"/><Relationship Id="rId282" Type="http://schemas.openxmlformats.org/officeDocument/2006/relationships/hyperlink" Target="https://saranistudio-my.sharepoint.com/:b:/g/personal/team_sarani_studio/EWQMC3KXQUlPpa21m72--xcBYouLgypp8DYh3kMI2wZjqQ?e=0F2Fp6" TargetMode="External"/><Relationship Id="rId338" Type="http://schemas.openxmlformats.org/officeDocument/2006/relationships/hyperlink" Target="https://saranistudio-my.sharepoint.com/:b:/g/personal/team_sarani_studio/Ee3WzsdaYQhOjprjyS1UmTkBw2RuYGeD26DQ1LQzXJhjaA?e=ULrNrz" TargetMode="External"/><Relationship Id="rId8" Type="http://schemas.openxmlformats.org/officeDocument/2006/relationships/hyperlink" Target="https://saranistudio-my.sharepoint.com/:f:/g/personal/team_sarani_studio/EmBOVYV-QulImoZen16_XSMBt4gcYjkuDidXF__Uf1-VHw?e=ibhnwE" TargetMode="External"/><Relationship Id="rId142" Type="http://schemas.openxmlformats.org/officeDocument/2006/relationships/hyperlink" Target="https://saranistudio.sharepoint.com/:f:/s/SaraniAssets/Epr_dftlsahOqnBaqYpQ1IwBdjuBZBSNRjYGvWqZFWvfdQ?e=K77OzC" TargetMode="External"/><Relationship Id="rId184" Type="http://schemas.openxmlformats.org/officeDocument/2006/relationships/hyperlink" Target="https://saranistudio-my.sharepoint.com/:b:/g/personal/team_sarani_studio/EexMQHd2cc1ImRI6Z1c0GuYBZVLxgeGirRdWWJ3_Jd6qaQ?e=brg44k" TargetMode="External"/><Relationship Id="rId251" Type="http://schemas.openxmlformats.org/officeDocument/2006/relationships/hyperlink" Target="https://saranistudio-my.sharepoint.com/:b:/g/personal/team_sarani_studio/EV01VyI3Y7dAhLWfBjESBrEBhqKkubDYw3wWXtmonbUYiQ?e=dHJTVf" TargetMode="External"/><Relationship Id="rId46" Type="http://schemas.openxmlformats.org/officeDocument/2006/relationships/hyperlink" Target="https://saranistudio-my.sharepoint.com/:f:/g/personal/team_sarani_studio/Eqe3rBnlph1BiwQsMsq2QLkBMf2xPp5Wnzudz7Z8Kwje7Q?e=SJbPDi" TargetMode="External"/><Relationship Id="rId293" Type="http://schemas.openxmlformats.org/officeDocument/2006/relationships/hyperlink" Target="https://saranistudio.sharepoint.com/:b:/s/SaraniAssets/EX12yRxzfzxAo7gXxHru470B7UESnCu7F3wDzr5WqEZXfg?e=KPTkT8" TargetMode="External"/><Relationship Id="rId307" Type="http://schemas.openxmlformats.org/officeDocument/2006/relationships/hyperlink" Target="https://saranistudio-my.sharepoint.com/:b:/g/personal/team_sarani_studio/EfqFqdvqAVJPqr8x4ngpH2YB5JbufIXQoMe0Ap-sLDxAOw?e=q0IO9I" TargetMode="External"/><Relationship Id="rId349" Type="http://schemas.openxmlformats.org/officeDocument/2006/relationships/hyperlink" Target="https://saranistudio.sharepoint.com/:f:/s/SaraniAssets/EpV7IqKJOkpBp30yaj9Lr8YBRAMDn4gShu3KO6WbD6eQrA?e=JLaWMF" TargetMode="External"/><Relationship Id="rId88" Type="http://schemas.openxmlformats.org/officeDocument/2006/relationships/hyperlink" Target="https://saranistudio-my.sharepoint.com/:f:/g/personal/team_sarani_studio/EiRrfmVomIlIjiBB0V8ChO0BdJ6J5DJ0fGN84RaL52WxfQ?e=5VEp81" TargetMode="External"/><Relationship Id="rId111" Type="http://schemas.openxmlformats.org/officeDocument/2006/relationships/hyperlink" Target="https://saranistudio.sharepoint.com/:f:/s/SaraniAssets/Et_OuIyMgu9FqMczpXXXQO0BYZHuDowfoC-0qggLgHG-1w?e=X52FgQ" TargetMode="External"/><Relationship Id="rId153" Type="http://schemas.openxmlformats.org/officeDocument/2006/relationships/hyperlink" Target="https://saranistudio-my.sharepoint.com/:b:/g/personal/team_sarani_studio/EUBRw_ZMPhdHixaIveKY0-ABwfgcxiPLqH5f9nhgqbXV1A?e=ScTRnX" TargetMode="External"/><Relationship Id="rId195" Type="http://schemas.openxmlformats.org/officeDocument/2006/relationships/hyperlink" Target="https://saranistudio-my.sharepoint.com/:b:/g/personal/team_sarani_studio/EebtS8Xsn9ZCjcbknRDjg7QBdlqTyfd-l4Qrg_z7dvatXw?e=dB61oc" TargetMode="External"/><Relationship Id="rId209" Type="http://schemas.openxmlformats.org/officeDocument/2006/relationships/hyperlink" Target="https://saranistudio.sharepoint.com/:f:/s/SaraniAssets/EqS68Cj1mPZPlirOsctem94Bc-DHT1369DGaGUUHq8BuTQ?e=3PVG8S" TargetMode="External"/><Relationship Id="rId360" Type="http://schemas.openxmlformats.org/officeDocument/2006/relationships/hyperlink" Target="https://saranistudio-my.sharepoint.com/:b:/g/personal/team_sarani_studio/EZdP5CS08g9DrUQ2dnAhV6MBPYXvjglxKEJ4MRtgbIcRTA?e=ifTDux" TargetMode="External"/><Relationship Id="rId220" Type="http://schemas.openxmlformats.org/officeDocument/2006/relationships/hyperlink" Target="https://saranistudio-my.sharepoint.com/:b:/g/personal/team_sarani_studio/Ee7AjtL2ZSBNsBiGOqR4LRUBaiKg_4ouz5GBdFwTTy6H2Q?e=0lEP6b" TargetMode="External"/><Relationship Id="rId15" Type="http://schemas.openxmlformats.org/officeDocument/2006/relationships/hyperlink" Target="https://saranistudio-my.sharepoint.com/:f:/g/personal/team_sarani_studio/El0REgOxzW1Eiu8AI5a8WPQBuRgA-xuGK77IgcuOUuwGhw?e=jWWT4e" TargetMode="External"/><Relationship Id="rId57" Type="http://schemas.openxmlformats.org/officeDocument/2006/relationships/hyperlink" Target="https://saranistudio-my.sharepoint.com/:f:/g/personal/team_sarani_studio/EsAgXdGVXc1Bqb3hwi8zpSEBcRj8U2XkFGSGV62rqumcjw?e=mIcDe6" TargetMode="External"/><Relationship Id="rId262" Type="http://schemas.openxmlformats.org/officeDocument/2006/relationships/hyperlink" Target="https://saranistudio-my.sharepoint.com/:b:/g/personal/team_sarani_studio/ETvYDfg1SEZNoeKYRZwU1pIBH6qrlTSkWmZaAnqKvA7H4w?e=SeFUF9" TargetMode="External"/><Relationship Id="rId318" Type="http://schemas.openxmlformats.org/officeDocument/2006/relationships/hyperlink" Target="https://saranistudio-my.sharepoint.com/:b:/g/personal/team_sarani_studio/ERbG334ExCBCqCb8zJ9vFREB4MicjMOCfu7R4AHgcTSnEA?e=rVMxz9" TargetMode="External"/></Relationships>
</file>

<file path=xl/worksheets/_rels/sheet6.xml.rels><?xml version="1.0" encoding="UTF-8" standalone="yes"?>
<Relationships xmlns="http://schemas.openxmlformats.org/package/2006/relationships"><Relationship Id="rId21" Type="http://schemas.openxmlformats.org/officeDocument/2006/relationships/hyperlink" Target="https://saranistudio-my.sharepoint.com/:f:/g/personal/team_sarani_studio/EitCbbZcUbZAkfWL7WBLee8BGH7SK4bXE2Dt7jdZHoYz1g?e=PygYN7" TargetMode="External"/><Relationship Id="rId170" Type="http://schemas.openxmlformats.org/officeDocument/2006/relationships/hyperlink" Target="https://saranistudio-my.sharepoint.com/:b:/g/personal/team_sarani_studio/ERdoI-L0XbVJs87g6xS4qnUBrZsmBnHyFItYQ5A35GkDNQ?e=FqpR3i" TargetMode="External"/><Relationship Id="rId268" Type="http://schemas.openxmlformats.org/officeDocument/2006/relationships/hyperlink" Target="https://saranistudio-my.sharepoint.com/:b:/g/personal/team_sarani_studio/EWQMC3KXQUlPpa21m72--xcBYouLgypp8DYh3kMI2wZjqQ?e=0F2Fp6" TargetMode="External"/><Relationship Id="rId475" Type="http://schemas.openxmlformats.org/officeDocument/2006/relationships/hyperlink" Target="https://saranistudio.sharepoint.com/:f:/s/SaraniAssets/EkEo9YAM-k9JpDcOOMsj0N4BqQdCqnwFRq5dHhyaS8vZ_Q?e=mphunD" TargetMode="External"/><Relationship Id="rId682" Type="http://schemas.openxmlformats.org/officeDocument/2006/relationships/hyperlink" Target="https://saranistudio-my.sharepoint.com/:b:/g/personal/team_sarani_studio/EQDA_sBx5XdDpg23QxjOsr0BxRlsE9Gtmc40_rWEbwNEdQ?e=2y0MCc" TargetMode="External"/><Relationship Id="rId128" Type="http://schemas.openxmlformats.org/officeDocument/2006/relationships/hyperlink" Target="https://saranistudio-my.sharepoint.com/:b:/g/personal/team_sarani_studio/ER6hJRVc1glPnzJ7Z9u4ickBFz2NCRqCbnQrgkq1Wd1Gdw?e=cuVWMa" TargetMode="External"/><Relationship Id="rId335" Type="http://schemas.openxmlformats.org/officeDocument/2006/relationships/hyperlink" Target="https://saranistudio.sharepoint.com/:f:/s/SaraniAssets/EpV7IqKJOkpBp30yaj9Lr8YBRAMDn4gShu3KO6WbD6eQrA?e=JLaWMF" TargetMode="External"/><Relationship Id="rId542" Type="http://schemas.openxmlformats.org/officeDocument/2006/relationships/hyperlink" Target="https://saranistudio-my.sharepoint.com/:b:/g/personal/team_sarani_studio/ERFb5RUowoJLr4garr6oXbIBgwoDjeIgbAedcWkiH5KyRQ?e=cGPLp6" TargetMode="External"/><Relationship Id="rId987" Type="http://schemas.openxmlformats.org/officeDocument/2006/relationships/hyperlink" Target="https://saranistudio.sharepoint.com/:f:/s/SaraniAssets/EjmhOhnqnwxHugz9c_oEpZAB_Rauno8lvSLYuB4HOuhUpg?e=54btZu" TargetMode="External"/><Relationship Id="rId1172" Type="http://schemas.openxmlformats.org/officeDocument/2006/relationships/hyperlink" Target="https://saranistudio.sharepoint.com/:f:/s/SaraniAssets/EngEydSPoN5Cnu2PfuQW0m4BSr-bmP70I6GnagHHzJTqwQ?e=3lGVfk" TargetMode="External"/><Relationship Id="rId402" Type="http://schemas.openxmlformats.org/officeDocument/2006/relationships/hyperlink" Target="https://saranistudio.sharepoint.com/:f:/s/SaraniAssets/El4Zg-mjvdVNsHXBYyw_hr8BeakFEMytWf-TaaZWoMSIZQ?e=ro3lEN" TargetMode="External"/><Relationship Id="rId847" Type="http://schemas.openxmlformats.org/officeDocument/2006/relationships/hyperlink" Target="https://saranistudio.sharepoint.com/:f:/s/SaraniAssets/EnOjbezjMEBGtjPEOQPumr4BUtOtpbyRZm3D9I8Nhko9PA?e=YC65v2" TargetMode="External"/><Relationship Id="rId1032" Type="http://schemas.openxmlformats.org/officeDocument/2006/relationships/hyperlink" Target="https://saranistudio-my.sharepoint.com/:b:/g/personal/team_sarani_studio/EeeLP9QsLDpOp90r9kwr_1oB7uiX1_r8-SHWaSUkw-iaeA?e=9pZPBt" TargetMode="External"/><Relationship Id="rId707" Type="http://schemas.openxmlformats.org/officeDocument/2006/relationships/hyperlink" Target="https://saranistudio.sharepoint.com/:f:/s/SaraniAssets/Eg1AqwLtsSxEtxC3D3tbze4BI7p-gWGwIWY5ZDoPdD6Ejw?e=nkl2ws" TargetMode="External"/><Relationship Id="rId914" Type="http://schemas.openxmlformats.org/officeDocument/2006/relationships/hyperlink" Target="https://saranistudio-my.sharepoint.com/:b:/g/personal/team_sarani_studio/EY1xb-_rHF5Av5bBTOtrWjsBN1puJ_XUxcsrCvPQlUkqvA?e=HvGLB9" TargetMode="External"/><Relationship Id="rId1337" Type="http://schemas.openxmlformats.org/officeDocument/2006/relationships/hyperlink" Target="https://saranistudio.sharepoint.com/:b:/s/SaraniAssets/IQDe_T2RAvWWRIzKdKq8EB-LAXkOkOaNiGSssBOjR7-xmTA?e=5RjJ5h" TargetMode="External"/><Relationship Id="rId43" Type="http://schemas.openxmlformats.org/officeDocument/2006/relationships/hyperlink" Target="https://saranistudio-my.sharepoint.com/:f:/g/personal/team_sarani_studio/Emm2wYCHbftLi5SQSqzjQ6wB8eW0AeAyCmSo_d-F4O4-gw?e=aIQngs" TargetMode="External"/><Relationship Id="rId1404" Type="http://schemas.openxmlformats.org/officeDocument/2006/relationships/hyperlink" Target="https://saranistudio.sharepoint.com/:f:/s/SaraniAssets/IgBsW-ZDevShTrQGH1HFxzcYAauf32pzxRHqd_ji9Tmf-l4?e=JB7T0v" TargetMode="External"/><Relationship Id="rId192" Type="http://schemas.openxmlformats.org/officeDocument/2006/relationships/hyperlink" Target="https://saranistudio.sharepoint.com/:f:/s/SaraniAssets/EiUV8vEk15ZIixLeLqfTjrwBWDb9EeJiCNly26p2idnXTw?e=qSse1D" TargetMode="External"/><Relationship Id="rId497" Type="http://schemas.openxmlformats.org/officeDocument/2006/relationships/hyperlink" Target="https://saranistudio.sharepoint.com/:f:/s/SaraniAssets/EnfJ5zwlGdpCugUcAwsCwgUB2X2tuD11D7wDm8yS3J94HA?e=SXhVhe" TargetMode="External"/><Relationship Id="rId357" Type="http://schemas.openxmlformats.org/officeDocument/2006/relationships/hyperlink" Target="https://saranistudio-my.sharepoint.com/:f:/g/personal/team_sarani_studio/Eq7SJAAGtLFPt3_OkqT-cAUBgqmFSKdaWA6Q3fjNYYyZLw?e=Kf8H76" TargetMode="External"/><Relationship Id="rId1194" Type="http://schemas.openxmlformats.org/officeDocument/2006/relationships/hyperlink" Target="https://saranistudio.sharepoint.com/:b:/s/SaraniAssets/EReSDRQ-SwJGkBOcdPVIzz4BPfOoDPUdDllfzoA1uwi3AA?e=U2yuMn" TargetMode="External"/><Relationship Id="rId217" Type="http://schemas.openxmlformats.org/officeDocument/2006/relationships/hyperlink" Target="https://saranistudio.sharepoint.com/:f:/s/SaraniAssets/EopPAL2uRh5Bsqupw0B08EUBQN8MPRNFSzMpMKGC2N2RLg?e=whBxMW" TargetMode="External"/><Relationship Id="rId564" Type="http://schemas.openxmlformats.org/officeDocument/2006/relationships/hyperlink" Target="https://saranistudio.sharepoint.com/:f:/s/SaraniAssets/EnYHUuIBAuhEu9XVZv8IzLMB8Odd2FFREj4I7CC7JCdt_Q?e=joIJsD" TargetMode="External"/><Relationship Id="rId771" Type="http://schemas.openxmlformats.org/officeDocument/2006/relationships/hyperlink" Target="https://saranistudio-my.sharepoint.com/:b:/g/personal/team_sarani_studio/EYoxcUy0ZpRAuKD21uniTeABq3YXbt3LU5vMKKSMmbvGdw?e=GYDSLi" TargetMode="External"/><Relationship Id="rId869" Type="http://schemas.openxmlformats.org/officeDocument/2006/relationships/hyperlink" Target="https://saranistudio-my.sharepoint.com/:b:/g/personal/team_sarani_studio/EbSJTAfnxc9Orq2WJiWuzL8BT-wKPmkgEw-rXEtpZKh2cw?e=j4OBaL" TargetMode="External"/><Relationship Id="rId424" Type="http://schemas.openxmlformats.org/officeDocument/2006/relationships/hyperlink" Target="https://saranistudio.sharepoint.com/:f:/s/SaraniAssets/ElaTCnH-UbBDhAwIQzcejYIBSEVMBrpOe96t7VFsvzzqFw?e=KtU3Cp" TargetMode="External"/><Relationship Id="rId631" Type="http://schemas.openxmlformats.org/officeDocument/2006/relationships/hyperlink" Target="https://saranistudio.sharepoint.com/:f:/s/SaraniAssets/EjFSjDYzorNLgbn7yPkR_ssB1ksnxWQioy4SwdjyScB89A?e=ZnxX8e" TargetMode="External"/><Relationship Id="rId729" Type="http://schemas.openxmlformats.org/officeDocument/2006/relationships/hyperlink" Target="https://saranistudio.sharepoint.com/:f:/s/SaraniAssets/Egokbj1gCBNCh1u9j5IexegBGPT4hYjen_f3sVbU8Y-WOw?e=hGQBaV" TargetMode="External"/><Relationship Id="rId1054" Type="http://schemas.openxmlformats.org/officeDocument/2006/relationships/hyperlink" Target="https://saranistudio.sharepoint.com/:f:/s/SaraniAssets/Eq7HoRzMA9ZNou-KCN7WkSoBqe-0iU8Sm1k_51uJ3Gnq3Q?e=fmZTMA" TargetMode="External"/><Relationship Id="rId1261" Type="http://schemas.openxmlformats.org/officeDocument/2006/relationships/hyperlink" Target="https://saranistudio.sharepoint.com/:f:/s/SaraniAssets/El4UzcdVGXBCh4T-xpM0yzABgeOh0mRaH0UtDLZSMk9VwQ?e=5uawXh" TargetMode="External"/><Relationship Id="rId1359" Type="http://schemas.openxmlformats.org/officeDocument/2006/relationships/hyperlink" Target="https://saranistudio.sharepoint.com/:b:/s/SaraniAssets/IQD8QvOKXvhVRpl9pvDNg51SAfE9sw6YPTKoIG616oqdDrY?e=gne1Jn" TargetMode="External"/><Relationship Id="rId936" Type="http://schemas.openxmlformats.org/officeDocument/2006/relationships/hyperlink" Target="https://saranistudio.sharepoint.com/:f:/s/SaraniAssets/EuVjuW78QlZIr2AwL770ycgBtu-7kJHdMWZn5etR7DSQPg?e=V4Lp2y" TargetMode="External"/><Relationship Id="rId1121" Type="http://schemas.openxmlformats.org/officeDocument/2006/relationships/hyperlink" Target="https://saranistudio.sharepoint.com/:f:/s/SaraniAssets/EvjeFJ2SIylNuO6GIdPudekBeNah41nzhjiW_srihuPS2Q?e=bHxEjG" TargetMode="External"/><Relationship Id="rId1219" Type="http://schemas.openxmlformats.org/officeDocument/2006/relationships/hyperlink" Target="https://saranistudio.sharepoint.com/:b:/s/SaraniAssets/Ed9C7mRSpq5HivuWFpThNKgBS6TPwh8CNYUs2V93GVXOiQ?e=NZvyUA" TargetMode="External"/><Relationship Id="rId65" Type="http://schemas.openxmlformats.org/officeDocument/2006/relationships/hyperlink" Target="https://saranistudio-my.sharepoint.com/:f:/g/personal/team_sarani_studio/Ess1vC7t3GRDlkrH39chUyABGRfHdGSAU5PEixcxFc0JLA?e=s28LEw" TargetMode="External"/><Relationship Id="rId281" Type="http://schemas.openxmlformats.org/officeDocument/2006/relationships/hyperlink" Target="https://saranistudio.sharepoint.com/:b:/s/SaraniAssets/ERVofbQeMXVFh8plR4siuxIBM3bqJlSrIULEqZxY5zp79g?e=EBboNd" TargetMode="External"/><Relationship Id="rId141" Type="http://schemas.openxmlformats.org/officeDocument/2006/relationships/hyperlink" Target="https://saranistudio-my.sharepoint.com/:b:/g/personal/team_sarani_studio/EYfPjnYGS8FGsZ0gdHWW64IBAoVToD60cZQCJSYu5LeJdw?e=Z2CL8X" TargetMode="External"/><Relationship Id="rId379" Type="http://schemas.openxmlformats.org/officeDocument/2006/relationships/hyperlink" Target="https://saranistudio-my.sharepoint.com/:f:/g/personal/team_sarani_studio/EtIVwt5h1mBGvOR3ExJTZ1gBzwxRkAB45F-wXqyU66HBZg?e=Ck53W4" TargetMode="External"/><Relationship Id="rId586" Type="http://schemas.openxmlformats.org/officeDocument/2006/relationships/hyperlink" Target="https://saranistudio.sharepoint.com/:f:/s/SaraniAssets/EkJvrKlxTgFIh7hLhLwT5D4BALVUOMlVKTX5rUvsIhOT4g?e=wXyAPi" TargetMode="External"/><Relationship Id="rId793" Type="http://schemas.openxmlformats.org/officeDocument/2006/relationships/hyperlink" Target="https://saranistudio-my.sharepoint.com/:b:/g/personal/team_sarani_studio/EbKdhh7-eMdOsE-5zScfTYgBrwOveKX0sIKAhYsQM1J7gw?e=COvVXq" TargetMode="External"/><Relationship Id="rId7" Type="http://schemas.openxmlformats.org/officeDocument/2006/relationships/hyperlink" Target="https://saranistudio-my.sharepoint.com/:f:/g/personal/team_sarani_studio/Enb5T0uGjd5It7r-yOl8Hw4BRcePMvNEVtlCj65ShnZ1eA?e=oRN2hs" TargetMode="External"/><Relationship Id="rId239" Type="http://schemas.openxmlformats.org/officeDocument/2006/relationships/hyperlink" Target="https://saranistudio-my.sharepoint.com/:b:/g/personal/team_sarani_studio/EV01VyI3Y7dAhLWfBjESBrEBhqKkubDYw3wWXtmonbUYiQ?e=dHJTVf" TargetMode="External"/><Relationship Id="rId446" Type="http://schemas.openxmlformats.org/officeDocument/2006/relationships/hyperlink" Target="https://saranistudio-my.sharepoint.com/:b:/g/personal/team_sarani_studio/EaZpPhsz-khIi9Q2h9awtQAByjEO80pn0mk7VTsrVl3wLA?e=vlgBPp" TargetMode="External"/><Relationship Id="rId653" Type="http://schemas.openxmlformats.org/officeDocument/2006/relationships/hyperlink" Target="https://saranistudio.sharepoint.com/:f:/s/SaraniAssets/Esk0foDiuotCp_YHJoBJfjABKGCatmrU0IJA-mqi0Ib0ng?e=zj3CF9" TargetMode="External"/><Relationship Id="rId1076" Type="http://schemas.openxmlformats.org/officeDocument/2006/relationships/hyperlink" Target="https://saranistudio.sharepoint.com/:f:/s/SaraniAssets/Elb74Ib65YRJuFIXLblRnQ4BuyfLoySwkj_TXF04oxpbzA?e=FEq6YM" TargetMode="External"/><Relationship Id="rId1283" Type="http://schemas.openxmlformats.org/officeDocument/2006/relationships/hyperlink" Target="https://saranistudio.sharepoint.com/:b:/s/SaraniAssets/IQBaSs4l4otgSZiSgzwKNYTOAT-zACekcQFFHpaTle6lYYo?e=tmY65h" TargetMode="External"/><Relationship Id="rId306" Type="http://schemas.openxmlformats.org/officeDocument/2006/relationships/hyperlink" Target="https://saranistudio-my.sharepoint.com/:b:/g/personal/team_sarani_studio/EYIbdklDZiFJtBu9I2w79SwBkJDL3uomwnTOTsK145AbCw?e=CMgovQ" TargetMode="External"/><Relationship Id="rId860" Type="http://schemas.openxmlformats.org/officeDocument/2006/relationships/hyperlink" Target="https://saranistudio-my.sharepoint.com/:b:/g/personal/team_sarani_studio/EYKeWXv6mtxBg2_tQLmHcg4BdslnjTmRsKXu5fT7J6YgIw?e=qtFbeR" TargetMode="External"/><Relationship Id="rId958" Type="http://schemas.openxmlformats.org/officeDocument/2006/relationships/hyperlink" Target="https://saranistudio.sharepoint.com/:f:/s/SaraniAssets/EuPtZ2zhPmxGoP_qkrgJoJ8BaMKOJOzH2n1kVJe1wAjLow?e=qKOZTf" TargetMode="External"/><Relationship Id="rId1143" Type="http://schemas.openxmlformats.org/officeDocument/2006/relationships/hyperlink" Target="https://saranistudio.sharepoint.com/:f:/s/SaraniAssets/EvZakaFVgTlMkr01CsUtGnAB-CdTtJjR416TIjjSr-RT1w?e=4DAXuG" TargetMode="External"/><Relationship Id="rId87" Type="http://schemas.openxmlformats.org/officeDocument/2006/relationships/hyperlink" Target="https://saranistudio-my.sharepoint.com/:f:/g/personal/team_sarani_studio/Eg39IZWIqplBqs70KQ07ic0BYjZ2B5MN4UUbGN81zVMNog?e=4bjvuH" TargetMode="External"/><Relationship Id="rId513" Type="http://schemas.openxmlformats.org/officeDocument/2006/relationships/hyperlink" Target="https://saranistudio-my.sharepoint.com/:b:/g/personal/team_sarani_studio/ET7rnwjZqRRFt4x6vAlcgT0BNATx7bOE0k63FKOLrgHnpA?e=zTF3LY" TargetMode="External"/><Relationship Id="rId720" Type="http://schemas.openxmlformats.org/officeDocument/2006/relationships/hyperlink" Target="https://saranistudio.sharepoint.com/:f:/s/SaraniAssets/Eqgnzk2Ia8VOvQs25pkByrsB3tFlEO7SQW6f8_TvCLwbpg?e=tGoanz" TargetMode="External"/><Relationship Id="rId818" Type="http://schemas.openxmlformats.org/officeDocument/2006/relationships/hyperlink" Target="https://saranistudio-my.sharepoint.com/:b:/g/personal/team_sarani_studio/Efm3XSM1im1FuFatxUH4fm8BXoq5c14Jh-D_0PrdKar5mA?e=7rxwYO" TargetMode="External"/><Relationship Id="rId1350" Type="http://schemas.openxmlformats.org/officeDocument/2006/relationships/hyperlink" Target="https://saranistudio.sharepoint.com/:b:/s/SaraniAssets/IQDCJPKSjL3KS4LcOcyq973pASGGD354GfCmxBjJa36SRqk?e=PEugJS" TargetMode="External"/><Relationship Id="rId1003" Type="http://schemas.openxmlformats.org/officeDocument/2006/relationships/hyperlink" Target="https://saranistudio.sharepoint.com/:f:/s/SaraniAssets/EoEMyniLhJxHlSFjelCHpxkBWCbu5XOub9nRk8Rlaqj3OA?e=J6LxM6" TargetMode="External"/><Relationship Id="rId1210" Type="http://schemas.openxmlformats.org/officeDocument/2006/relationships/hyperlink" Target="https://saranistudio.sharepoint.com/:b:/s/SaraniAssets/EZdLpqo-DdZOibOK_TA_nIgB6eTOWBGroSbkou7eys7BSg?e=F1iXp4" TargetMode="External"/><Relationship Id="rId1308" Type="http://schemas.openxmlformats.org/officeDocument/2006/relationships/hyperlink" Target="https://saranistudio.sharepoint.com/:f:/s/SaraniAssets/IgBQy5U2eTegTrgb-6vCYu2XATEa2E40r_JvwxBkNPfenSs?e=hLCDCN" TargetMode="External"/><Relationship Id="rId14" Type="http://schemas.openxmlformats.org/officeDocument/2006/relationships/hyperlink" Target="https://saranistudio-my.sharepoint.com/:f:/g/personal/team_sarani_studio/EuGwoElxdVxAqUlHd5jwPl0Bd9dIrtw0j4nHaTHU_C0F4Q?e=k1zDEI" TargetMode="External"/><Relationship Id="rId163" Type="http://schemas.openxmlformats.org/officeDocument/2006/relationships/hyperlink" Target="https://saranistudio.sharepoint.com/:f:/s/SaraniAssets/EiAE12Do1MZMg0W-9T7tF1QBr4ZBLd42z3ye7bo1XdXYpg?e=xfeLUO" TargetMode="External"/><Relationship Id="rId370" Type="http://schemas.openxmlformats.org/officeDocument/2006/relationships/hyperlink" Target="https://saranistudio-my.sharepoint.com/:f:/g/personal/team_sarani_studio/El9e7jWbxXdMjpwPrqrY1MwBS4are5bsKjLjkvs3GxUcVA?e=WhH1kd" TargetMode="External"/><Relationship Id="rId230" Type="http://schemas.openxmlformats.org/officeDocument/2006/relationships/hyperlink" Target="https://saranistudio.sharepoint.com/:f:/s/SaraniAssets/EtiyCT7mNLdHqxDasw9eLzcBAVrCWUC2RQrcvnXZaZ6_fw?e=gGhnnL" TargetMode="External"/><Relationship Id="rId468" Type="http://schemas.openxmlformats.org/officeDocument/2006/relationships/hyperlink" Target="https://saranistudio.sharepoint.com/:f:/s/SaraniAssets/EkOxO22ZnMZKvUsGA-88ASYBTLnP7ui5B_q6jwpaKNsDkw?e=BxlGvb" TargetMode="External"/><Relationship Id="rId675" Type="http://schemas.openxmlformats.org/officeDocument/2006/relationships/hyperlink" Target="https://saranistudio.sharepoint.com/:f:/s/SaraniAssets/EjyaFolLqoRGntjEVPLPkzgB9JieYhVvm3yJFfJSg3OWHg?e=kp2smJ" TargetMode="External"/><Relationship Id="rId882" Type="http://schemas.openxmlformats.org/officeDocument/2006/relationships/hyperlink" Target="https://saranistudio.sharepoint.com/:f:/s/SaraniAssets/EqUBDZr1Ti9HsDLyOBV2m2wBxiMDJbFodFxn1cibhPZ4Rw?e=ZrhmX3" TargetMode="External"/><Relationship Id="rId1098" Type="http://schemas.openxmlformats.org/officeDocument/2006/relationships/hyperlink" Target="https://saranistudio.sharepoint.com/:f:/s/SaraniAssets/EmAcek6pwr1OjnjvgEhR7X0BOJhvMwdcJJi2gHs4hi5XIg?e=T3t6Sx" TargetMode="External"/><Relationship Id="rId328" Type="http://schemas.openxmlformats.org/officeDocument/2006/relationships/hyperlink" Target="https://saranistudio-my.sharepoint.com/:b:/g/personal/team_sarani_studio/EUnPTu7lngJDrk-Bha-IdWoB_k_4R1vM8Cf1PxvpYZPcSA?e=0oHPG6" TargetMode="External"/><Relationship Id="rId535" Type="http://schemas.openxmlformats.org/officeDocument/2006/relationships/hyperlink" Target="https://saranistudio.sharepoint.com/:f:/s/SaraniAssets/EsYbLAN-xf1CjzM66DHjhPkBWE2t4w7sWYGuou11AYgBag?e=2CgBmW" TargetMode="External"/><Relationship Id="rId742" Type="http://schemas.openxmlformats.org/officeDocument/2006/relationships/hyperlink" Target="https://saranistudio-my.sharepoint.com/:b:/g/personal/team_sarani_studio/Ece9Xia0WoZHjbQmOt8RvtcB6GBCuYsjJj_BAjB7Tm_44g?e=a7t8Qx" TargetMode="External"/><Relationship Id="rId1165" Type="http://schemas.openxmlformats.org/officeDocument/2006/relationships/hyperlink" Target="https://saranistudio.sharepoint.com/:f:/s/SaraniAssets/EnOdVCpOMRBDvOXu0R1SS1cBuYetBUZMK1moazn7p0pgWQ?e=kZUCva" TargetMode="External"/><Relationship Id="rId1372" Type="http://schemas.openxmlformats.org/officeDocument/2006/relationships/hyperlink" Target="https://saranistudio.sharepoint.com/:f:/s/SaraniAssets/IgADIFP61c6tQp5HMmJ2U-CpAUdz_zD_ju8IjOABUxJs228?e=c8VD9Z" TargetMode="External"/><Relationship Id="rId602" Type="http://schemas.openxmlformats.org/officeDocument/2006/relationships/hyperlink" Target="https://saranistudio-my.sharepoint.com/:b:/g/personal/team_sarani_studio/EU5haV2IanlHj8Ck_XLe4k8B7ijwc9YXNUbEt2pPRmHJ0A?e=crFont" TargetMode="External"/><Relationship Id="rId1025" Type="http://schemas.openxmlformats.org/officeDocument/2006/relationships/hyperlink" Target="https://saranistudio-my.sharepoint.com/:b:/g/personal/team_sarani_studio/EanFcK8ZPeNOn5-lz2sUocABtAva4A6GXQ68Zk9mJGs6Nw?e=gpjAwD" TargetMode="External"/><Relationship Id="rId1232" Type="http://schemas.openxmlformats.org/officeDocument/2006/relationships/hyperlink" Target="https://saranistudio.sharepoint.com/:f:/s/SaraniAssets/EskWKfk53g1DgskQkw2t_vcBvvN0Zb-Peps4KZcTj8_zyQ?e=tpux3V" TargetMode="External"/><Relationship Id="rId907" Type="http://schemas.openxmlformats.org/officeDocument/2006/relationships/hyperlink" Target="https://saranistudio-my.sharepoint.com/:b:/g/personal/team_sarani_studio/EQiViBV0HUJGh633BzPCt0gBnnBqzm-EFwT8RygAQmhoNw?e=Wiad8m" TargetMode="External"/><Relationship Id="rId36" Type="http://schemas.openxmlformats.org/officeDocument/2006/relationships/hyperlink" Target="https://saranistudio-my.sharepoint.com/:f:/g/personal/team_sarani_studio/EqrCH40AdxVPsCGpjT8TB8wB_B709B2_yzvFX8TAKmXMlg?e=JQ9afM" TargetMode="External"/><Relationship Id="rId185" Type="http://schemas.openxmlformats.org/officeDocument/2006/relationships/hyperlink" Target="https://saranistudio-my.sharepoint.com/:b:/g/personal/team_sarani_studio/EebtS8Xsn9ZCjcbknRDjg7QBdlqTyfd-l4Qrg_z7dvatXw?e=dB61oc" TargetMode="External"/><Relationship Id="rId392" Type="http://schemas.openxmlformats.org/officeDocument/2006/relationships/hyperlink" Target="https://saranistudio.sharepoint.com/:f:/s/SaraniAssets/EnGdKGI3RDlNkYa-Rt8thvMB-hjoMEf_kapNSCKqGMYx9A?e=yuE1BI" TargetMode="External"/><Relationship Id="rId697" Type="http://schemas.openxmlformats.org/officeDocument/2006/relationships/hyperlink" Target="https://saranistudio.sharepoint.com/:f:/s/SaraniAssets/EhNDatv4LoBEkBWT-AiNdcABrowxhQ5GSXxX-DnYk3z87g?e=lKIdHX" TargetMode="External"/><Relationship Id="rId252" Type="http://schemas.openxmlformats.org/officeDocument/2006/relationships/hyperlink" Target="https://saranistudio-my.sharepoint.com/:b:/g/personal/team_sarani_studio/EQwdTsW3akxEgYnzHAoAJ3AB9RBmPgUz_Y8e7SxkBMn16g?e=akTYrW" TargetMode="External"/><Relationship Id="rId1187" Type="http://schemas.openxmlformats.org/officeDocument/2006/relationships/hyperlink" Target="https://saranistudio.sharepoint.com/:b:/s/SaraniAssets/EVZVcUPmi29OpdB469e6IbwBpawcVz81CVYF-PqKTsg_2g?e=eULFPD" TargetMode="External"/><Relationship Id="rId112" Type="http://schemas.openxmlformats.org/officeDocument/2006/relationships/hyperlink" Target="https://saranistudio-my.sharepoint.com/:b:/g/personal/team_sarani_studio/EepN62Np7N9MseVxKTtjK_oBFAFljE_tUVkIlvItykaeeg?e=zsWnuM" TargetMode="External"/><Relationship Id="rId557" Type="http://schemas.openxmlformats.org/officeDocument/2006/relationships/hyperlink" Target="https://saranistudio.sharepoint.com/:f:/s/SaraniAssets/Emf-0urCpUJGopWX6J7pFi4Bx10cuLewUQ2qXNt1WaevVg?e=XNZtj8" TargetMode="External"/><Relationship Id="rId764" Type="http://schemas.openxmlformats.org/officeDocument/2006/relationships/hyperlink" Target="https://saranistudio.sharepoint.com/:f:/s/SaraniAssets/ElYE32HIZgFKpCfvnV7Ki00B9Pae6cx9MBZr3fZBtex8qg?e=hpT9NH" TargetMode="External"/><Relationship Id="rId971" Type="http://schemas.openxmlformats.org/officeDocument/2006/relationships/hyperlink" Target="https://saranistudio-my.sharepoint.com/:b:/g/personal/team_sarani_studio/EWWneK7rMOFPoXhVuHoki5oBnM1KQnDnKkbnOrH4ykPJCA?e=cne3qN" TargetMode="External"/><Relationship Id="rId1394" Type="http://schemas.openxmlformats.org/officeDocument/2006/relationships/hyperlink" Target="https://saranistudio.sharepoint.com/:b:/s/SaraniAssets/IQA7iYPSTzprTb-EXDK2MkWJAV1GcXg6Y1f5R4KX47Yxosw?e=UdfoOj" TargetMode="External"/><Relationship Id="rId417" Type="http://schemas.openxmlformats.org/officeDocument/2006/relationships/hyperlink" Target="https://saranistudio.sharepoint.com/:f:/s/SaraniAssets/Esb88uDM9kZPvZ5uB5ZOp7IBdO3An7CZXDJUWtFeBMIAsw?e=NB7Jei" TargetMode="External"/><Relationship Id="rId624" Type="http://schemas.openxmlformats.org/officeDocument/2006/relationships/hyperlink" Target="https://saranistudio-my.sharepoint.com/:f:/g/personal/team_sarani_studio/Egj4cX4pxGtJhLcuZRe4SgIB1aofCP5Wp59nYn874HRKqw?e=QamI4u" TargetMode="External"/><Relationship Id="rId831" Type="http://schemas.openxmlformats.org/officeDocument/2006/relationships/hyperlink" Target="https://saranistudio-my.sharepoint.com/:b:/g/personal/team_sarani_studio/EdgvAri5fU9DhXIG7iMhcOEBMTO7pypIn-gqfPYin2Sz9w?e=SDUXsd" TargetMode="External"/><Relationship Id="rId1047" Type="http://schemas.openxmlformats.org/officeDocument/2006/relationships/hyperlink" Target="https://saranistudio-my.sharepoint.com/:b:/g/personal/team_sarani_studio/Ee5274ntfA1DmoDb9V6iQt8BIwBBMbqvcNRPeWESBgWrCg?e=U4IkkF" TargetMode="External"/><Relationship Id="rId1254" Type="http://schemas.openxmlformats.org/officeDocument/2006/relationships/hyperlink" Target="https://saranistudio.sharepoint.com/:f:/s/SaraniAssets/Emfr6u5fenlBs8wh4u3w4C0B6sLZDwpZBAbDBPiBW8nIMg?e=r31QNf" TargetMode="External"/><Relationship Id="rId929" Type="http://schemas.openxmlformats.org/officeDocument/2006/relationships/hyperlink" Target="https://saranistudio-my.sharepoint.com/:b:/g/personal/team_sarani_studio/EcJvwOZV0upJv2laOG2bSLQBP2us7JSZ3pOSqE0wICQB7w?e=wXg7YH" TargetMode="External"/><Relationship Id="rId1114" Type="http://schemas.openxmlformats.org/officeDocument/2006/relationships/hyperlink" Target="https://saranistudio.sharepoint.com/:b:/s/SaraniAssets/EdGP-X4bYGpPj6UfY97aeS8Bd97V3S-TWXbNsx_zo8r8iw?e=IPx8DA" TargetMode="External"/><Relationship Id="rId1321" Type="http://schemas.openxmlformats.org/officeDocument/2006/relationships/hyperlink" Target="https://saranistudio.sharepoint.com/:b:/s/SaraniAssets/IQAGRk-pzoBHRoxKFx2weDYoAXFTEUfbXShSpr_xxM3LiG4?e=gtn9S0" TargetMode="External"/><Relationship Id="rId58" Type="http://schemas.openxmlformats.org/officeDocument/2006/relationships/hyperlink" Target="https://saranistudio-my.sharepoint.com/:f:/g/personal/team_sarani_studio/EjXst-lsglZAi0Q2IrrJuM4BaunLX6dQ9jdJrU_j-AJ-iA?e=ZonV9A" TargetMode="External"/><Relationship Id="rId1419" Type="http://schemas.openxmlformats.org/officeDocument/2006/relationships/hyperlink" Target="https://saranistudio.sharepoint.com/:f:/s/SaraniAssets/IgCOIdB6OxZ7Q72zgBLDOtgJAUqyyL1NdYrtPlLYNh5jpkg?e=Zom8zV" TargetMode="External"/><Relationship Id="rId274" Type="http://schemas.openxmlformats.org/officeDocument/2006/relationships/hyperlink" Target="https://saranistudio.sharepoint.com/:f:/s/SaraniAssets/Etk7nPcUzU1GhgoWi9I3qvwBxHShviAn8roYqGG9BsU4IQ?e=chdydV" TargetMode="External"/><Relationship Id="rId481" Type="http://schemas.openxmlformats.org/officeDocument/2006/relationships/hyperlink" Target="https://saranistudio-my.sharepoint.com/:b:/g/personal/team_sarani_studio/ESniVIKuekhAsCfV_bE05bgBPtC-hmdUWyc8nHq98mv-9Q?e=YhOCas" TargetMode="External"/><Relationship Id="rId134" Type="http://schemas.openxmlformats.org/officeDocument/2006/relationships/hyperlink" Target="https://saranistudio-my.sharepoint.com/:b:/g/personal/team_sarani_studio/EXD6YiKrBANPkq8-Hsf5MjABUwU26BCb4uGgcw6H8Era9w?e=4QiNEb" TargetMode="External"/><Relationship Id="rId579" Type="http://schemas.openxmlformats.org/officeDocument/2006/relationships/hyperlink" Target="https://saranistudio.sharepoint.com/:f:/s/SaraniAssets/Evvp5syt8NlKu3x6h_651tIB-xSmhJi0-kGGbrySc9gK2g?e=eanFli" TargetMode="External"/><Relationship Id="rId786" Type="http://schemas.openxmlformats.org/officeDocument/2006/relationships/hyperlink" Target="https://saranistudio.sharepoint.com/:f:/s/SaraniAssets/ErqxEDAGy1xNuGPYIZgmxGwBZmiUj_EhCQQNKOdbMY2LPw?e=hRaqo4" TargetMode="External"/><Relationship Id="rId993" Type="http://schemas.openxmlformats.org/officeDocument/2006/relationships/hyperlink" Target="https://saranistudio-my.sharepoint.com/:b:/g/personal/team_sarani_studio/EU6OuUfXD6tOrRj1kkiJLFQBow_rgKflR_4rW58fThdWTA?e=0TJG54" TargetMode="External"/><Relationship Id="rId341" Type="http://schemas.openxmlformats.org/officeDocument/2006/relationships/hyperlink" Target="https://saranistudio.sharepoint.com/:f:/s/SaraniAssets/Eq7JgiFincpCoJ-EemhtEpcBeXJqw_XkqE5yCW0mCe1CCQ?e=e4uqMY" TargetMode="External"/><Relationship Id="rId439" Type="http://schemas.openxmlformats.org/officeDocument/2006/relationships/hyperlink" Target="https://saranistudio-my.sharepoint.com/:b:/g/personal/team_sarani_studio/EQH_nxgooO9Ah4mFp09MdYoBLKHna8ndYgNrrzLfwtpCnw?e=esmwJW" TargetMode="External"/><Relationship Id="rId646" Type="http://schemas.openxmlformats.org/officeDocument/2006/relationships/hyperlink" Target="https://saranistudio.sharepoint.com/:f:/r/sites/SaraniAssets/Shared%20Documents/03.%20Customers/02.%20Sony/03.%20Sony%20France/01.%20Cross/20240813_Panneau_%C3%89v%C3%A9nement%20interne%20Sony?csf=1&amp;web=1&amp;e=nNCNfL" TargetMode="External"/><Relationship Id="rId1069" Type="http://schemas.openxmlformats.org/officeDocument/2006/relationships/hyperlink" Target="https://saranistudio.sharepoint.com/:f:/s/SaraniAssets/Ek5aDU-rFEBPoR8emr4zTiMBNoO5qN0lyvNhNHWC99o-0g?e=uKFS1d" TargetMode="External"/><Relationship Id="rId1276" Type="http://schemas.openxmlformats.org/officeDocument/2006/relationships/hyperlink" Target="https://saranistudio.sharepoint.com/:b:/s/SaraniAssets/EYkAsIaQ31VGlS5hebE9Dy0BGivQFFlhqu636UVYP1YNEw?e=Woz4MZ" TargetMode="External"/><Relationship Id="rId201" Type="http://schemas.openxmlformats.org/officeDocument/2006/relationships/hyperlink" Target="https://saranistudio-my.sharepoint.com/:b:/g/personal/team_sarani_studio/EU-YkmXnr7VLtMk8Dfl2QJEBHpvMwAiqL1lcMWbZp62jxg?e=nQeAR2" TargetMode="External"/><Relationship Id="rId506" Type="http://schemas.openxmlformats.org/officeDocument/2006/relationships/hyperlink" Target="https://saranistudio-my.sharepoint.com/:b:/g/personal/team_sarani_studio/EUmowgVpIZRIllct1yJVE8cBkxVQAIuIo4sLITmtGPqy9g?e=qwxlkV" TargetMode="External"/><Relationship Id="rId853" Type="http://schemas.openxmlformats.org/officeDocument/2006/relationships/hyperlink" Target="https://saranistudio-my.sharepoint.com/:b:/g/personal/team_sarani_studio/Ee2O-_1UMrRIlEdrePlVZhAB43LRu-YjNiuUZWFLIVNxrw?e=g7X7SH" TargetMode="External"/><Relationship Id="rId1136" Type="http://schemas.openxmlformats.org/officeDocument/2006/relationships/hyperlink" Target="https://saranistudio.sharepoint.com/:b:/s/SaraniAssets/EcunVoRFoMVBggTPi-IYHusB2g3dwpxO6VFLOL5ZFYEY-g?e=5YCdlt" TargetMode="External"/><Relationship Id="rId713" Type="http://schemas.openxmlformats.org/officeDocument/2006/relationships/hyperlink" Target="https://saranistudio.sharepoint.com/:f:/s/SaraniAssets/Eo6U5QxEiRFIkYu8gZ9mm6wBkdJtjKVMGH2sT_dD1I3BKg?e=47HBS9" TargetMode="External"/><Relationship Id="rId920" Type="http://schemas.openxmlformats.org/officeDocument/2006/relationships/hyperlink" Target="https://saranistudio.sharepoint.com/:f:/s/SaraniAssets/EimaR-IDJOBApVXupsz-a00BkKfzaswOtArxdirGB8MYrA?e=eibZ76" TargetMode="External"/><Relationship Id="rId1343" Type="http://schemas.openxmlformats.org/officeDocument/2006/relationships/hyperlink" Target="https://saranistudio.sharepoint.com/:f:/s/SaraniAssets/IgAs4dcXFICWQaMqdsSxLPc4AXEilEZ0SKqlNQ4Jeo4JvSo?e=FCqLru" TargetMode="External"/><Relationship Id="rId1203" Type="http://schemas.openxmlformats.org/officeDocument/2006/relationships/hyperlink" Target="https://saranistudio.sharepoint.com/:f:/s/SaraniAssets/EovhzY5HoCRHpKaboeRTMeABCpPpctuEEVe6WqoR-V73pQ?e=hduBuO" TargetMode="External"/><Relationship Id="rId1410" Type="http://schemas.openxmlformats.org/officeDocument/2006/relationships/hyperlink" Target="https://saranistudio.sharepoint.com/:f:/s/SaraniAssets/IgAEeU9Nqh_VTKljCd87klncARqwgfulZvi2wZU6dxDuhC8?e=pdAdyI" TargetMode="External"/><Relationship Id="rId296" Type="http://schemas.openxmlformats.org/officeDocument/2006/relationships/hyperlink" Target="https://saranistudio.sharepoint.com/:f:/s/SaraniAssets/EntdyUUrZ1tKp6dOiDNihfEB2ewws39CBid-QD8UiFHLdQ?e=ldUB63" TargetMode="External"/><Relationship Id="rId156" Type="http://schemas.openxmlformats.org/officeDocument/2006/relationships/hyperlink" Target="https://saranistudio-my.sharepoint.com/:b:/g/personal/team_sarani_studio/EflpC_-5ZvVAvjkEgumvs5MBML3w4D_HG5FTDFaIQU12Yg?e=VV3Zfg" TargetMode="External"/><Relationship Id="rId363" Type="http://schemas.openxmlformats.org/officeDocument/2006/relationships/hyperlink" Target="https://saranistudio-my.sharepoint.com/:f:/g/personal/team_sarani_studio/En4adQAwLLdMpS_-kswH4HYBlTRV8MD-w8jBUwACO_7rVA?e=59Phkd" TargetMode="External"/><Relationship Id="rId570" Type="http://schemas.openxmlformats.org/officeDocument/2006/relationships/hyperlink" Target="https://saranistudio.sharepoint.com/:f:/s/SaraniAssets/EhO-5w6ttZxOmYPWkQAcIrgBvlmNpSBODyUQHjmVkm6KUg?e=5CV25P" TargetMode="External"/><Relationship Id="rId223" Type="http://schemas.openxmlformats.org/officeDocument/2006/relationships/hyperlink" Target="https://saranistudio.sharepoint.com/:f:/s/SaraniAssets/Ei0hBdEi0LdAph64pXwjhs4B-v2QPUjMUy8zwDh1TxcIdQ?e=KM7Hj1" TargetMode="External"/><Relationship Id="rId430" Type="http://schemas.openxmlformats.org/officeDocument/2006/relationships/hyperlink" Target="https://saranistudio.sharepoint.com/:f:/s/SaraniAssets/EkfqcsyPeeVHrBTexWbhyMQBHX1Dgzi-LouhHe8418G9NA?e=7FHPoe" TargetMode="External"/><Relationship Id="rId668" Type="http://schemas.openxmlformats.org/officeDocument/2006/relationships/hyperlink" Target="https://saranistudio-my.sharepoint.com/:b:/g/personal/team_sarani_studio/EfDC_2IM9BFGoHX1-eSKFqUBpCeZ_EErsWK97Pt3sIU8kw?e=kWIAUq" TargetMode="External"/><Relationship Id="rId875" Type="http://schemas.openxmlformats.org/officeDocument/2006/relationships/hyperlink" Target="https://saranistudio.sharepoint.com/:f:/s/SaraniAssets/EhjEx1ZzWOxDiLQrJXnjoFIB_nuR5Ogv-yNTgBBsboLTRg?e=nqcqjw" TargetMode="External"/><Relationship Id="rId1060" Type="http://schemas.openxmlformats.org/officeDocument/2006/relationships/hyperlink" Target="https://saranistudio-my.sharepoint.com/:b:/g/personal/team_sarani_studio/EZObMHrX8BNHjnHblkrttG8BECysIHj7uRqgYiyXpa1UWA?e=lUWOlH" TargetMode="External"/><Relationship Id="rId1298" Type="http://schemas.openxmlformats.org/officeDocument/2006/relationships/hyperlink" Target="https://saranistudio.sharepoint.com/:f:/s/SaraniAssets/EkrcDVztF0JOrhgk_KL-3nwBDu8FXRv_ftF8wSVqZ0phJA?e=vEowHV" TargetMode="External"/><Relationship Id="rId528" Type="http://schemas.openxmlformats.org/officeDocument/2006/relationships/hyperlink" Target="https://saranistudio.sharepoint.com/:f:/s/SaraniAssets/Eq1taI9Ie_FAnNM8CRpg5_cBirxVa-nMBMiEfvyeH3-Kbw?e=0ueiru" TargetMode="External"/><Relationship Id="rId735" Type="http://schemas.openxmlformats.org/officeDocument/2006/relationships/hyperlink" Target="https://saranistudio-my.sharepoint.com/:b:/g/personal/team_sarani_studio/EQ4A3YITRj9Bq0U6loP5HbABD-NQhL6CHt18jUHpv56pcQ?e=9V4nUF" TargetMode="External"/><Relationship Id="rId942" Type="http://schemas.openxmlformats.org/officeDocument/2006/relationships/hyperlink" Target="https://saranistudio-my.sharepoint.com/:b:/g/personal/team_sarani_studio/EbcSGYP_Z3NJiphVQkHsOKcBnRgE07wxIhdHoQx9wROWDQ?e=mRHDkw" TargetMode="External"/><Relationship Id="rId1158" Type="http://schemas.openxmlformats.org/officeDocument/2006/relationships/hyperlink" Target="https://saranistudio.sharepoint.com/:b:/s/SaraniAssets/EWUlYaAvk_xOj_-7zaUrI14BReHkJnrNk_x9Rji5VL7iuQ?e=NAUMsy" TargetMode="External"/><Relationship Id="rId1365" Type="http://schemas.openxmlformats.org/officeDocument/2006/relationships/hyperlink" Target="https://saranistudio.sharepoint.com/:f:/s/SaraniAssets/IgDJlNXDMwMrTJwX0Tz_b2C_AZpGRdNj2F3xwnK7xVP2oio?e=sGeCnd" TargetMode="External"/><Relationship Id="rId1018" Type="http://schemas.openxmlformats.org/officeDocument/2006/relationships/hyperlink" Target="https://saranistudio-my.sharepoint.com/:b:/g/personal/team_sarani_studio/EYBbVVu3MbhLlnHcq2-VBbsBnJrdFp4halBEpPj9FwD5IA?e=PpOXSF" TargetMode="External"/><Relationship Id="rId1225" Type="http://schemas.openxmlformats.org/officeDocument/2006/relationships/hyperlink" Target="https://saranistudio.sharepoint.com/:b:/s/SaraniAssets/EW3Mc2-_FxFMlEqr45jpkPAB1dBrjeCbqd0pajyNt47x9Q?e=bQHuym" TargetMode="External"/><Relationship Id="rId71" Type="http://schemas.openxmlformats.org/officeDocument/2006/relationships/hyperlink" Target="https://saranistudio-my.sharepoint.com/:f:/g/personal/team_sarani_studio/Ejwkr_FCr89Nk4tFrjd8trMBGbqwHGBZWd-1CJbhqlgyGQ?e=K9fyxE" TargetMode="External"/><Relationship Id="rId802" Type="http://schemas.openxmlformats.org/officeDocument/2006/relationships/hyperlink" Target="https://saranistudio-my.sharepoint.com/:b:/g/personal/team_sarani_studio/EbQoj507AI5LlYnB4camRloBavc4jgvHlDGjWVqDKxMo-A?e=PDDsUh" TargetMode="External"/><Relationship Id="rId29" Type="http://schemas.openxmlformats.org/officeDocument/2006/relationships/hyperlink" Target="https://saranistudio-my.sharepoint.com/:f:/g/personal/team_sarani_studio/EksBlAWoBtxAkG5l32B3Di0BbzDMWHG22vO5j0H6ctS9zw?e=RqK3BS" TargetMode="External"/><Relationship Id="rId178" Type="http://schemas.openxmlformats.org/officeDocument/2006/relationships/hyperlink" Target="https://saranistudio.sharepoint.com/:f:/s/SaraniAssets/EnnFIK011BRPu4_4wDbgM54B3hUmsum-1aBStFQCPhfjOA?e=sEVJlL" TargetMode="External"/><Relationship Id="rId385" Type="http://schemas.openxmlformats.org/officeDocument/2006/relationships/hyperlink" Target="https://saranistudio-my.sharepoint.com/:f:/g/personal/team_sarani_studio/Eq9dY38BCXlJpcBriotIXLwBSlmTZTPUeCHR-CXQ-1YX2g?e=07oE5T" TargetMode="External"/><Relationship Id="rId592" Type="http://schemas.openxmlformats.org/officeDocument/2006/relationships/hyperlink" Target="https://saranistudio.sharepoint.com/:f:/s/SaraniAssets/EpbpHP8AG-ZBkDqink_15fMB8jqc7IHw1dev2t__mqdaKQ?e=FBJ8UF" TargetMode="External"/><Relationship Id="rId245" Type="http://schemas.openxmlformats.org/officeDocument/2006/relationships/hyperlink" Target="https://saranistudio.sharepoint.com/:f:/s/SaraniAssets/Eodd6cfk8mdCu1Q9slmbozMBVaEbNlFrea2iijCXO3p6fA?e=bZrnJb" TargetMode="External"/><Relationship Id="rId452" Type="http://schemas.openxmlformats.org/officeDocument/2006/relationships/hyperlink" Target="https://saranistudio-my.sharepoint.com/:b:/g/personal/team_sarani_studio/ERv8HGyfiOZLoW2Gkd3GhwABB06TRZqLwv4Mo0jiBN4jAg?e=pJATec" TargetMode="External"/><Relationship Id="rId897" Type="http://schemas.openxmlformats.org/officeDocument/2006/relationships/hyperlink" Target="https://saranistudio-my.sharepoint.com/:b:/g/personal/team_sarani_studio/Ebx1knRGjc1Lv6tA46Yod_EBQWtSkPrMWCPrFrL5hVb04g?e=RJdpin" TargetMode="External"/><Relationship Id="rId1082" Type="http://schemas.openxmlformats.org/officeDocument/2006/relationships/hyperlink" Target="https://saranistudio.sharepoint.com/:f:/s/SaraniAssets/EsIEgzSHS7VAnfFY8Wsejm4BBQK6UqiJ6hlvUC1QSRnDMw?e=fR8Vtu" TargetMode="External"/><Relationship Id="rId105" Type="http://schemas.openxmlformats.org/officeDocument/2006/relationships/hyperlink" Target="https://saranistudio.sharepoint.com/:f:/s/SaraniAssets/Eu4HYzd9NQRJnfvY9OKXwKAB32ifwohQSl3OWelvCRxaTA?e=lj7MMr" TargetMode="External"/><Relationship Id="rId312" Type="http://schemas.openxmlformats.org/officeDocument/2006/relationships/hyperlink" Target="https://saranistudio.sharepoint.com/:f:/s/SaraniAssets/Eh5uhux84DVPk0koK0veA4kBNcIs_Folxc65B8tNPAIiJw?e=gbqtc5" TargetMode="External"/><Relationship Id="rId757" Type="http://schemas.openxmlformats.org/officeDocument/2006/relationships/hyperlink" Target="https://saranistudio.sharepoint.com/:f:/s/SaraniAssets/EnEgxrJEMldHre5XO4AJ4MgB2tHR1fVDnp3p2VTdRT5Opg?e=ImlbCW" TargetMode="External"/><Relationship Id="rId964" Type="http://schemas.openxmlformats.org/officeDocument/2006/relationships/hyperlink" Target="https://saranistudio.sharepoint.com/:f:/s/SaraniAssets/EiVXJP6208VPmVQpuCiQMbUByXdM_X-23AHXO7Xu_R_zug?e=URhLCS" TargetMode="External"/><Relationship Id="rId1387" Type="http://schemas.openxmlformats.org/officeDocument/2006/relationships/hyperlink" Target="https://saranistudio.sharepoint.com/:f:/s/SaraniAssets/IgDPaeL6EkZBR75--2SqtdkFAfRcQ49evo2HRwij1RbterQ?e=0NnRmf" TargetMode="External"/><Relationship Id="rId93" Type="http://schemas.openxmlformats.org/officeDocument/2006/relationships/hyperlink" Target="https://saranistudio-my.sharepoint.com/:f:/g/personal/team_sarani_studio/EjENbY_XPsxEtHzZE697MlsBTEZBXqAwDCx_PRurS6rpDw?e=KVEHke" TargetMode="External"/><Relationship Id="rId617" Type="http://schemas.openxmlformats.org/officeDocument/2006/relationships/hyperlink" Target="https://saranistudio-my.sharepoint.com/:b:/g/personal/team_sarani_studio/Eaq0BE-MnRNKvLKran9Za9kBXKsycoGg2ZfxBKpA6TPk_Q?e=uVc2GS" TargetMode="External"/><Relationship Id="rId824" Type="http://schemas.openxmlformats.org/officeDocument/2006/relationships/hyperlink" Target="https://saranistudio.sharepoint.com/:f:/s/SaraniAssets/EjClhCsHZpFOlXwIcGhutEoBCnj2Tqd3iM9qf_IvZZykcA?e=YQfxcf" TargetMode="External"/><Relationship Id="rId1247" Type="http://schemas.openxmlformats.org/officeDocument/2006/relationships/hyperlink" Target="https://saranistudio.sharepoint.com/:b:/s/SaraniAssets/ETJIVSyHRJhChyqJqoVsCw0BmEvUcOUuygfxqY04-VEYpQ?e=h6ezEp" TargetMode="External"/><Relationship Id="rId1107" Type="http://schemas.openxmlformats.org/officeDocument/2006/relationships/hyperlink" Target="https://saranistudio.sharepoint.com/:f:/s/SaraniAssets/ErkC6ab9E2lMlwicBuw_8B4BKm8j2sn71lNxxBXUoJmmVA?e=MNGpbc" TargetMode="External"/><Relationship Id="rId1314" Type="http://schemas.openxmlformats.org/officeDocument/2006/relationships/hyperlink" Target="https://saranistudio.sharepoint.com/:b:/s/SaraniAssets/IQDi7iwIGvvARZbn5_a6HLNYAfqolkpgYgVVQwlahDkaXwo?e=nfFs8D" TargetMode="External"/><Relationship Id="rId20" Type="http://schemas.openxmlformats.org/officeDocument/2006/relationships/hyperlink" Target="https://saranistudio-my.sharepoint.com/:f:/g/personal/team_sarani_studio/EuGDS2OAMPpGu_ldGvZT0DMBpcZ-xeMJpp8v2XzS9CAt0g?e=xhsdm9" TargetMode="External"/><Relationship Id="rId267" Type="http://schemas.openxmlformats.org/officeDocument/2006/relationships/hyperlink" Target="https://saranistudio-my.sharepoint.com/:b:/g/personal/team_sarani_studio/EZWhW9hYN09FmjnDf0_SqL4BrUffJEv-Baj4R7_6Uzr7JA?e=Svnzt2" TargetMode="External"/><Relationship Id="rId474" Type="http://schemas.openxmlformats.org/officeDocument/2006/relationships/hyperlink" Target="https://saranistudio.sharepoint.com/:f:/s/SaraniAssets/Ej64duHJi2JPpUFCwe07IKQBPqwO7XUkKtNjpK1qL2nvnQ?e=eg7lkB" TargetMode="External"/><Relationship Id="rId127" Type="http://schemas.openxmlformats.org/officeDocument/2006/relationships/hyperlink" Target="https://saranistudio-my.sharepoint.com/:b:/g/personal/team_sarani_studio/Eci3BZ1l2wVLtUT0u5jWcG8BWkpWl7AaBl8MG2cOzb1C4A?e=NPEGsD" TargetMode="External"/><Relationship Id="rId681" Type="http://schemas.openxmlformats.org/officeDocument/2006/relationships/hyperlink" Target="https://saranistudio.sharepoint.com/:f:/s/SaraniAssets/El6WACFBJVZDvRKJAcX3IjsBXvveBwXUwdzlOzFidY_DQA?e=VnIU6V" TargetMode="External"/><Relationship Id="rId779" Type="http://schemas.openxmlformats.org/officeDocument/2006/relationships/hyperlink" Target="https://saranistudio.sharepoint.com/:f:/r/sites/SaraniAssets/Shared%20Documents/03.%20Customers/02.%20Sony/03.%20Sony%20France/06.%20Boulanger/20241025_SONY%20l%20BOULANGER%20l%20BF%20Audio?csf=1&amp;web=1&amp;e=bZwlt4" TargetMode="External"/><Relationship Id="rId986" Type="http://schemas.openxmlformats.org/officeDocument/2006/relationships/hyperlink" Target="https://saranistudio.sharepoint.com/:f:/s/SaraniAssets/Eg1CCk7UA2VJmbcJTfcKob0BDvarEaHDoJS-Xvnxbsnw8g?e=VmQhPI" TargetMode="External"/><Relationship Id="rId334" Type="http://schemas.openxmlformats.org/officeDocument/2006/relationships/hyperlink" Target="https://saranistudio-my.sharepoint.com/:w:/g/personal/team_sarani_studio/EUqjjO63JJtAgt-emos8IuYBxmvnWmTi1b6qEPakVQi2Cg?e=DcLPhR" TargetMode="External"/><Relationship Id="rId541" Type="http://schemas.openxmlformats.org/officeDocument/2006/relationships/hyperlink" Target="https://saranistudio-my.sharepoint.com/:b:/g/personal/team_sarani_studio/ESEoRrTg-uVCoHR_9OPrVr4B62kM-VgfzQ9usdaqhbuojQ?e=YONTVz" TargetMode="External"/><Relationship Id="rId639" Type="http://schemas.openxmlformats.org/officeDocument/2006/relationships/hyperlink" Target="https://saranistudio.sharepoint.com/:f:/r/sites/SaraniAssets/Shared%20Documents/03.%20Customers/02.%20Sony/03.%20Sony%20France/03.%20V%26S%20(Audio)/20240808_MARCOM%20HE%20PE%20_A4%20MEG?csf=1&amp;web=1&amp;e=hVSIgY" TargetMode="External"/><Relationship Id="rId1171" Type="http://schemas.openxmlformats.org/officeDocument/2006/relationships/hyperlink" Target="https://saranistudio.sharepoint.com/:f:/s/SaraniAssets/EqfkR02PHCJAqqcJzn3d72IBoJijCCAlwU3ZClnCDBEHzw?e=UptfhZ" TargetMode="External"/><Relationship Id="rId1269" Type="http://schemas.openxmlformats.org/officeDocument/2006/relationships/hyperlink" Target="https://saranistudio.sharepoint.com/:b:/s/SaraniAssets/EdwWnYB2US9HqThPGzIARhcBUVA5lb-SZ6vBq90MN8oJ9g?e=Ln0Z42" TargetMode="External"/><Relationship Id="rId401" Type="http://schemas.openxmlformats.org/officeDocument/2006/relationships/hyperlink" Target="https://saranistudio.sharepoint.com/:f:/s/SaraniAssets/EnKMlvMUmgtHl33KogLSSL4BT4by5o36kDO9QCfgduKfRg?e=h0mc84" TargetMode="External"/><Relationship Id="rId846" Type="http://schemas.openxmlformats.org/officeDocument/2006/relationships/hyperlink" Target="https://saranistudio-my.sharepoint.com/:b:/g/personal/team_sarani_studio/EUpwczu24StIpSW6vz6KztsBo5YFH5CEMHgqqwfMR20DJg?e=jfIkZd" TargetMode="External"/><Relationship Id="rId1031" Type="http://schemas.openxmlformats.org/officeDocument/2006/relationships/hyperlink" Target="https://saranistudio.sharepoint.com/:f:/s/SaraniAssets/En9_KFEouJxBqyjiFn6x1PwBiq4sdw5Aw5k3jueg50yBtg?e=KspSgv" TargetMode="External"/><Relationship Id="rId1129" Type="http://schemas.openxmlformats.org/officeDocument/2006/relationships/hyperlink" Target="https://saranistudio.sharepoint.com/:f:/s/SaraniAssets/Ej8msInygM5HnzqcCkp4c7gBKgT33JbMI34OzN9S3pZJLA?e=1evz1C" TargetMode="External"/><Relationship Id="rId706" Type="http://schemas.openxmlformats.org/officeDocument/2006/relationships/hyperlink" Target="https://saranistudio-my.sharepoint.com/:b:/g/personal/team_sarani_studio/EXtcvoH3wupDu6pvStKvBZQBsCCf9cDHkIVg980boXBx-g?e=D6vEp5" TargetMode="External"/><Relationship Id="rId913" Type="http://schemas.openxmlformats.org/officeDocument/2006/relationships/hyperlink" Target="https://saranistudio-my.sharepoint.com/:b:/g/personal/team_sarani_studio/EXDr2or99FpHkUfSXXz19dcBhDa5OqwWE-Pau05wjdRHzw?e=aDog8D" TargetMode="External"/><Relationship Id="rId1336" Type="http://schemas.openxmlformats.org/officeDocument/2006/relationships/hyperlink" Target="https://saranistudio.sharepoint.com/:f:/s/SaraniAssets/IgBD1fGCyaMTSI7qBOlkdY1yAUTzAMdIvKd_4_5kp_BMsYY?e=cc4rJ4" TargetMode="External"/><Relationship Id="rId42" Type="http://schemas.openxmlformats.org/officeDocument/2006/relationships/hyperlink" Target="https://saranistudio-my.sharepoint.com/:f:/g/personal/team_sarani_studio/EvdB_pa-nYlJjcn2m_-V6CIBlwvd0lovLbZhSbor2xacAQ?e=54JYDm" TargetMode="External"/><Relationship Id="rId1403" Type="http://schemas.openxmlformats.org/officeDocument/2006/relationships/hyperlink" Target="https://saranistudio.sharepoint.com/:b:/s/SaraniAssets/IQD1tT8g-acnS5CWiFvU3XVSAZNZwnwcB4Dlu30SireUH3k?e=cnkHyO" TargetMode="External"/><Relationship Id="rId191" Type="http://schemas.openxmlformats.org/officeDocument/2006/relationships/hyperlink" Target="https://saranistudio.sharepoint.com/:f:/s/SaraniAssets/El0tdjxRYl1PiNJ3B0pRzoYBn0SSC79WMKmOImstNA0BgQ?e=4oAbIs" TargetMode="External"/><Relationship Id="rId289" Type="http://schemas.openxmlformats.org/officeDocument/2006/relationships/hyperlink" Target="https://saranistudio.sharepoint.com/:f:/s/SaraniAssets/Eq_4r49gcC9Bj00v7q3gfvwBj7s5XYsbRYYc2g66E_K5QA?e=Kxe9nJ" TargetMode="External"/><Relationship Id="rId496" Type="http://schemas.openxmlformats.org/officeDocument/2006/relationships/hyperlink" Target="https://saranistudio.sharepoint.com/:f:/s/SaraniAssets/Ev9lchSMAvhHrBi8Py5aR7YBSh0OOiH8L5qF_L7y9UdQNw?e=5ZC3Jk" TargetMode="External"/><Relationship Id="rId149" Type="http://schemas.openxmlformats.org/officeDocument/2006/relationships/hyperlink" Target="https://saranistudio.sharepoint.com/:f:/s/SaraniAssets/EsDHlKjDmc1NnjHAIvG09IIB4GCZPT25Avl1J7-s7co-1w?e=LM2h4P" TargetMode="External"/><Relationship Id="rId356" Type="http://schemas.openxmlformats.org/officeDocument/2006/relationships/hyperlink" Target="https://saranistudio-my.sharepoint.com/:f:/g/personal/team_sarani_studio/EryFOZSDujNAvnhAwzgHd6YBejy68T4VHXJZQ1QAcVGLmw?e=rKtkku" TargetMode="External"/><Relationship Id="rId563" Type="http://schemas.openxmlformats.org/officeDocument/2006/relationships/hyperlink" Target="https://saranistudio.sharepoint.com/:f:/s/SaraniAssets/En_qrLBjiMBCjodGl2s7B78BbOckj-ePZ0O1feATW7q2AA?e=SgdfDg" TargetMode="External"/><Relationship Id="rId770" Type="http://schemas.openxmlformats.org/officeDocument/2006/relationships/hyperlink" Target="https://saranistudio-my.sharepoint.com/:b:/g/personal/team_sarani_studio/EU-VKz1WMctKg-TeeYrrfYEBFyN8P4xoz1yLfHCAJrL0yw?e=PnNc0W" TargetMode="External"/><Relationship Id="rId1193" Type="http://schemas.openxmlformats.org/officeDocument/2006/relationships/hyperlink" Target="https://saranistudio.sharepoint.com/:f:/s/SaraniAssets/Eqnpqp80S3hOoOJqJLn2BLEBXlTOaWKEerxQXGMvv2uQmw?e=2Jh51c" TargetMode="External"/><Relationship Id="rId216" Type="http://schemas.openxmlformats.org/officeDocument/2006/relationships/hyperlink" Target="https://saranistudio.sharepoint.com/:f:/s/SaraniAssets/EsZE1mf1761OmkcL89GTnkYBNFxkNZXRaQLXbIrhI6TSmA?e=UgnWWN" TargetMode="External"/><Relationship Id="rId423" Type="http://schemas.openxmlformats.org/officeDocument/2006/relationships/hyperlink" Target="https://saranistudio.sharepoint.com/:f:/s/SaraniAssets/Ej_ZtFDNGhhEoYEWR38NaYUBYId-dXbNQROQXHhEAmib1Q?e=3B1uH4" TargetMode="External"/><Relationship Id="rId868" Type="http://schemas.openxmlformats.org/officeDocument/2006/relationships/hyperlink" Target="https://saranistudio-my.sharepoint.com/:b:/g/personal/team_sarani_studio/EUXwb2mbpSFNhju6xB4vSQUBbQqhHQOHQh7nS930RN16vw?e=NAiGzT" TargetMode="External"/><Relationship Id="rId1053" Type="http://schemas.openxmlformats.org/officeDocument/2006/relationships/hyperlink" Target="https://saranistudio.sharepoint.com/:f:/s/SaraniAssets/EiQ7xnZdQCVHoWbg1mVLBQAB-7etiGKfvTOVG2T9VHvhjQ?e=myLD8G" TargetMode="External"/><Relationship Id="rId1260" Type="http://schemas.openxmlformats.org/officeDocument/2006/relationships/hyperlink" Target="https://saranistudio.sharepoint.com/:f:/s/SaraniAssets/Es3-naq6sMFFpLPjmYKQsIABheK7K2PHLzEb_B74ZPo06w?e=Gd1sth" TargetMode="External"/><Relationship Id="rId630" Type="http://schemas.openxmlformats.org/officeDocument/2006/relationships/hyperlink" Target="https://saranistudio.sharepoint.com/:f:/s/SaraniAssets/Enu7Fy8gbalChU1-KQ0eK88Bu0jqy09lBNy0duUZLw_0fg?e=cn2aOk" TargetMode="External"/><Relationship Id="rId728" Type="http://schemas.openxmlformats.org/officeDocument/2006/relationships/hyperlink" Target="https://saranistudio.sharepoint.com/:f:/s/SaraniAssets/EsL6UpA-hw5NsHI1XbbqF9EBXr25Q8GmMIvC4jfs8uIzAg?e=u2V65h" TargetMode="External"/><Relationship Id="rId935" Type="http://schemas.openxmlformats.org/officeDocument/2006/relationships/hyperlink" Target="https://saranistudio.sharepoint.com/:f:/s/SaraniAssets/EijsJrq1ZYxChcWFuEDvyX8BcBGnYzml8elsuma1V9HYrg?e=8Bfk2H" TargetMode="External"/><Relationship Id="rId1358" Type="http://schemas.openxmlformats.org/officeDocument/2006/relationships/hyperlink" Target="https://saranistudio.sharepoint.com/:b:/s/SaraniAssets/IQD_cofMd8AiQbPrsj-aBdfKAXl3wkdmZGYsZ7z5icgbl5k?e=lyQk6s" TargetMode="External"/><Relationship Id="rId64" Type="http://schemas.openxmlformats.org/officeDocument/2006/relationships/hyperlink" Target="https://saranistudio-my.sharepoint.com/:f:/g/personal/team_sarani_studio/Eo_WrjVzYsBLghSpIKuCgJ4BkWtZHQIu_zjYECvNipC1AQ?e=7Ka5FQ" TargetMode="External"/><Relationship Id="rId1120" Type="http://schemas.openxmlformats.org/officeDocument/2006/relationships/hyperlink" Target="https://saranistudio.sharepoint.com/:f:/s/SaraniAssets/EldybPEP3DpJum6hkhNYDq0BgzMZ4YB8EhK4dDHZL253Mg?e=08Vnr4" TargetMode="External"/><Relationship Id="rId1218" Type="http://schemas.openxmlformats.org/officeDocument/2006/relationships/hyperlink" Target="https://saranistudio.sharepoint.com/:f:/s/SaraniAssets/Ej9RUuigN2pJrxkAAVvlLPYBGOdd2zXkLzOwVXK0N0JvSw?e=91q1e2" TargetMode="External"/><Relationship Id="rId280" Type="http://schemas.openxmlformats.org/officeDocument/2006/relationships/hyperlink" Target="https://saranistudio.sharepoint.com/:b:/s/SaraniAssets/ERGcizIiVwNIg62Yz-6cEP4B1hDgS9p6byhOa7GTIg8sfw?e=jRXxZ2" TargetMode="External"/><Relationship Id="rId140" Type="http://schemas.openxmlformats.org/officeDocument/2006/relationships/hyperlink" Target="https://saranistudio-my.sharepoint.com/:b:/g/personal/team_sarani_studio/Ed1vPGHqbmFNs7Nnwr-8wVYB_-OJvm6ZR5rYOVkAvupcug?e=uvKXZp" TargetMode="External"/><Relationship Id="rId378" Type="http://schemas.openxmlformats.org/officeDocument/2006/relationships/hyperlink" Target="https://saranistudio-my.sharepoint.com/:f:/g/personal/team_sarani_studio/EmcPifH5zRNCuYQ6gTYnx6sBDvIuTZFuDZPI2FJvUxiAxw?e=XWt4Db" TargetMode="External"/><Relationship Id="rId585" Type="http://schemas.openxmlformats.org/officeDocument/2006/relationships/hyperlink" Target="https://saranistudio.sharepoint.com/:f:/s/SaraniAssets/EpVspBwu9T5Dnu62V0u8-UUB3RNwbh9SCdYryKyrQFEe1Q?e=5f04xQ" TargetMode="External"/><Relationship Id="rId792" Type="http://schemas.openxmlformats.org/officeDocument/2006/relationships/hyperlink" Target="https://saranistudio-my.sharepoint.com/:b:/g/personal/team_sarani_studio/EdSx8Of88mpGpmBK4BR0qgkBZDDKH9hNJi5IUu2fq3qxYA?e=2xgtVn" TargetMode="External"/><Relationship Id="rId6" Type="http://schemas.openxmlformats.org/officeDocument/2006/relationships/hyperlink" Target="https://saranistudio-my.sharepoint.com/:f:/g/personal/team_sarani_studio/EiXLGF1XZ1VNkmFgudaLWcQB0AP6n1T0jNDvvhweNqqJwg?e=vKq0Pw" TargetMode="External"/><Relationship Id="rId238" Type="http://schemas.openxmlformats.org/officeDocument/2006/relationships/hyperlink" Target="https://saranistudio-my.sharepoint.com/:b:/g/personal/team_sarani_studio/EXO2zt5Ku7pEs8uPz16HjagB2M635QAA9dackpaGx6rUiw?e=tQDIFd" TargetMode="External"/><Relationship Id="rId445" Type="http://schemas.openxmlformats.org/officeDocument/2006/relationships/hyperlink" Target="https://saranistudio-my.sharepoint.com/:b:/g/personal/team_sarani_studio/Efem-xIJdXlMgAaV87jggl4B6C1sQiE4-wHBXte0YDwjJA?e=l3um4H" TargetMode="External"/><Relationship Id="rId652" Type="http://schemas.openxmlformats.org/officeDocument/2006/relationships/hyperlink" Target="https://saranistudio.sharepoint.com/:f:/s/SaraniAssets/EmGcJyMlDahCtsWhhnopuTABun1WMBpFPJt4FepVivvQmw?e=hnlcoo" TargetMode="External"/><Relationship Id="rId1075" Type="http://schemas.openxmlformats.org/officeDocument/2006/relationships/hyperlink" Target="https://saranistudio-my.sharepoint.com/:b:/g/personal/team_sarani_studio/EQcIFVV_X-NMoYv9yF5vmtsBm9HA6ikkwM-5-DAee5owpg?e=yZNcfa" TargetMode="External"/><Relationship Id="rId1282" Type="http://schemas.openxmlformats.org/officeDocument/2006/relationships/hyperlink" Target="https://saranistudio.sharepoint.com/:b:/s/SaraniAssets/IQAjfcNzhziCS65DhjJKwOPdAQnRrxXY9-pAT8fxi4Eu4Yw?e=QhQZHH" TargetMode="External"/><Relationship Id="rId305" Type="http://schemas.openxmlformats.org/officeDocument/2006/relationships/hyperlink" Target="https://saranistudio-my.sharepoint.com/:b:/g/personal/team_sarani_studio/EShFBRoPLuNPraWp6S9oZ2oBYSXQUE_cQTA9mrCtMQ27BA?e=JiRWS1" TargetMode="External"/><Relationship Id="rId512" Type="http://schemas.openxmlformats.org/officeDocument/2006/relationships/hyperlink" Target="https://saranistudio.sharepoint.com/:f:/s/SaraniAssets/EpeDbwZ95uZOsbwElQFZBFsBf1ajHGyBv0vilqtipM4Dng?e=LXVPFU" TargetMode="External"/><Relationship Id="rId957" Type="http://schemas.openxmlformats.org/officeDocument/2006/relationships/hyperlink" Target="https://saranistudio.sharepoint.com/:f:/s/SaraniAssets/EtW0UT9qhS1DsZWQSi2Mrj8BPBBJdBEZqVo0bKZGH2bIhg?e=O5fz98" TargetMode="External"/><Relationship Id="rId1142" Type="http://schemas.openxmlformats.org/officeDocument/2006/relationships/hyperlink" Target="https://saranistudio.sharepoint.com/:f:/s/SaraniAssets/EjcdKyr1gE5Fh6Bobm9Q3wEBnCnvIwkJtCx2JkH9Lr1xUw?e=jJ1V53" TargetMode="External"/><Relationship Id="rId86" Type="http://schemas.openxmlformats.org/officeDocument/2006/relationships/hyperlink" Target="https://saranistudio-my.sharepoint.com/:f:/g/personal/team_sarani_studio/EqsD2Sbc36JAhwHWMJZqsrMBAMxIJxi3jYCUiMmWccKI4A?e=yubVDN" TargetMode="External"/><Relationship Id="rId817" Type="http://schemas.openxmlformats.org/officeDocument/2006/relationships/hyperlink" Target="https://saranistudio-my.sharepoint.com/:b:/g/personal/team_sarani_studio/EWCAF003tb1CrgTSlAurTuAB-fY5W3kCCjju5POmNcycjQ?e=uXCEIk" TargetMode="External"/><Relationship Id="rId1002" Type="http://schemas.openxmlformats.org/officeDocument/2006/relationships/hyperlink" Target="https://saranistudio-my.sharepoint.com/:b:/g/personal/team_sarani_studio/EZH0c2UkaClHgyu_tdTwstMBlQDXSat9_5YblKC-4fXPUQ?e=FrqCq0" TargetMode="External"/><Relationship Id="rId1307" Type="http://schemas.openxmlformats.org/officeDocument/2006/relationships/hyperlink" Target="https://saranistudio.sharepoint.com/:f:/s/SaraniAssets/IgD3vr25gV9qSbL-gQoBZ-oBASk-jg8RIzPAMrCPbW8EPLE?e=5jNedE" TargetMode="External"/><Relationship Id="rId13" Type="http://schemas.openxmlformats.org/officeDocument/2006/relationships/hyperlink" Target="https://saranistudio-my.sharepoint.com/:f:/g/personal/team_sarani_studio/EitZRBZy2n1Kkw5kaWztE5sBgYKU_BFeDcX25iDrx1Ct5w?e=j19Nkg" TargetMode="External"/><Relationship Id="rId162" Type="http://schemas.openxmlformats.org/officeDocument/2006/relationships/hyperlink" Target="https://saranistudio.sharepoint.com/:f:/s/SaraniAssets/EubiP4v5xjdNvP4nhtG04H8BeVph2gPgBhnIJPo6sgeOEA?e=8ky5RC" TargetMode="External"/><Relationship Id="rId467" Type="http://schemas.openxmlformats.org/officeDocument/2006/relationships/hyperlink" Target="https://saranistudio-my.sharepoint.com/:b:/g/personal/team_sarani_studio/EUeKjGC8h31KsgrUB3dY0vYB95gQ-1NlB553h9S1x7LIgg?e=5ZOISE" TargetMode="External"/><Relationship Id="rId1097" Type="http://schemas.openxmlformats.org/officeDocument/2006/relationships/hyperlink" Target="https://saranistudio.sharepoint.com/:f:/s/SaraniAssets/Ei8hqdtBo8RKltvl83SzSgcBOPM2dvtVuSW3UJ-0RVMOQA?e=puAGTU" TargetMode="External"/><Relationship Id="rId674" Type="http://schemas.openxmlformats.org/officeDocument/2006/relationships/hyperlink" Target="https://saranistudio.sharepoint.com/:f:/s/SaraniAssets/Ei8My_eLX_JNnjtvmKjZR8YBTQdrs8q0DOgqhSVsIMvYKQ?e=tnfVHs" TargetMode="External"/><Relationship Id="rId881" Type="http://schemas.openxmlformats.org/officeDocument/2006/relationships/hyperlink" Target="https://saranistudio.sharepoint.com/:f:/s/SaraniAssets/Ekxo1CxUBoNLlskiLA1rVNoB5st0Ey9NVoVSt9mlamwuTg?e=39pja2" TargetMode="External"/><Relationship Id="rId979" Type="http://schemas.openxmlformats.org/officeDocument/2006/relationships/hyperlink" Target="https://saranistudio.sharepoint.com/:f:/s/SaraniAssets/EtBkPP8KOTxEkZzW3AIS1NYBSBK-FgLhhK_60f6WENGtGw?e=4q3MQc" TargetMode="External"/><Relationship Id="rId327" Type="http://schemas.openxmlformats.org/officeDocument/2006/relationships/hyperlink" Target="https://saranistudio-my.sharepoint.com/:b:/g/personal/team_sarani_studio/EW1nhZgi7ndFkHiCMESXxM4Bj4tQdqxeHmu0XUn71EwGvg?e=LOJgPA" TargetMode="External"/><Relationship Id="rId534" Type="http://schemas.openxmlformats.org/officeDocument/2006/relationships/hyperlink" Target="https://saranistudio.sharepoint.com/:f:/s/SaraniAssets/EjFSjDYzorNLgbn7yPkR_ssB1ksnxWQioy4SwdjyScB89A?e=sgwMNR" TargetMode="External"/><Relationship Id="rId741" Type="http://schemas.openxmlformats.org/officeDocument/2006/relationships/hyperlink" Target="https://saranistudio-my.sharepoint.com/:b:/g/personal/team_sarani_studio/EamF3cQ7ceVGrzAuqGLPOhcBreaADYwnrrMq3OVDMDCPUw?e=OnVtad" TargetMode="External"/><Relationship Id="rId839" Type="http://schemas.openxmlformats.org/officeDocument/2006/relationships/hyperlink" Target="https://saranistudio-my.sharepoint.com/:b:/g/personal/team_sarani_studio/EZ4GN8zkj0REonDIolULog4BXGLIDWv9iwb5NUfSEZ-NYw?e=OJJ27n" TargetMode="External"/><Relationship Id="rId1164" Type="http://schemas.openxmlformats.org/officeDocument/2006/relationships/hyperlink" Target="https://saranistudio.sharepoint.com/:f:/s/SaraniAssets/Epi9M0QjZYxNmozuQSkHneYBIfdTH7ke6jDBNnnlV1jb5Q?e=Ng2D6D" TargetMode="External"/><Relationship Id="rId1371" Type="http://schemas.openxmlformats.org/officeDocument/2006/relationships/hyperlink" Target="https://saranistudio.sharepoint.com/:f:/s/SaraniAssets/IgAj4wPm46B0ToL1BzXMiAt9AZjpn5Afh4WQO6NzKDNAVtk?e=cenydp" TargetMode="External"/><Relationship Id="rId601" Type="http://schemas.openxmlformats.org/officeDocument/2006/relationships/hyperlink" Target="https://saranistudio.sharepoint.com/:f:/s/SaraniAssets/El-xdUxsSoRLkS_yGY722hQB_ol9-FafSLAm4YRKbMZDOw?e=cTPv99" TargetMode="External"/><Relationship Id="rId1024" Type="http://schemas.openxmlformats.org/officeDocument/2006/relationships/hyperlink" Target="https://saranistudio-my.sharepoint.com/:b:/g/personal/team_sarani_studio/EXKFWRi4bH1PjDisFCn0prIBBx6qdd0YLLLPBaWiW1-G_g?e=DA15gS" TargetMode="External"/><Relationship Id="rId1231" Type="http://schemas.openxmlformats.org/officeDocument/2006/relationships/hyperlink" Target="https://saranistudio.sharepoint.com/:f:/s/SaraniAssets/EjdF87-SgFVOmzaXcJfEr30BwZ-YMIb-DSxHzaWTETSA8w?e=q2QV6P" TargetMode="External"/><Relationship Id="rId906" Type="http://schemas.openxmlformats.org/officeDocument/2006/relationships/hyperlink" Target="https://saranistudio-my.sharepoint.com/:b:/g/personal/team_sarani_studio/EUZ_kYeM7E9CkuLeEiCdikYBbS4zQ3rmOmkYyUMfs8P7Lw?e=ePglpD" TargetMode="External"/><Relationship Id="rId1329" Type="http://schemas.openxmlformats.org/officeDocument/2006/relationships/hyperlink" Target="https://saranistudio.sharepoint.com/:b:/s/SaraniAssets/IQAkZfpcr-d3Q7CHfPzXNh90AeUDsHbX6FPegOMRfh2YxnM?e=JGfmyo" TargetMode="External"/><Relationship Id="rId35" Type="http://schemas.openxmlformats.org/officeDocument/2006/relationships/hyperlink" Target="https://saranistudio-my.sharepoint.com/:f:/g/personal/team_sarani_studio/Eqpu9-LPvfZElOAGt1viRf8Bhsdxnu1Eu10IOtnxqhR8Iw?e=2Uijzq" TargetMode="External"/><Relationship Id="rId184" Type="http://schemas.openxmlformats.org/officeDocument/2006/relationships/hyperlink" Target="https://saranistudio-my.sharepoint.com/:b:/g/personal/team_sarani_studio/EVBYG2u1lmxAjHiHP80tfoMBXMPLaRNOwUEusn0mQRpo7w?e=TXcMmn" TargetMode="External"/><Relationship Id="rId391" Type="http://schemas.openxmlformats.org/officeDocument/2006/relationships/hyperlink" Target="https://saranistudio.sharepoint.com/:f:/s/SaraniAssets/EkWffmfdAPhJqYBPKmTZI68BPTppr0WVR3suOlBsij0oiQ?e=fU70oR" TargetMode="External"/><Relationship Id="rId251" Type="http://schemas.openxmlformats.org/officeDocument/2006/relationships/hyperlink" Target="https://saranistudio-my.sharepoint.com/:b:/g/personal/team_sarani_studio/EcOO71X0ZUxIo-hufoC5qmUB-ay2RwHT-3DIdmTwS9yytA?e=YS3mXZ" TargetMode="External"/><Relationship Id="rId489" Type="http://schemas.openxmlformats.org/officeDocument/2006/relationships/hyperlink" Target="https://saranistudio.sharepoint.com/:f:/s/SaraniAssets/EgNwwxmfRAZNuwSYI9uqy1gBePbcdPUY2EbSYUPNpHFu-Q?e=uzUIny" TargetMode="External"/><Relationship Id="rId696" Type="http://schemas.openxmlformats.org/officeDocument/2006/relationships/hyperlink" Target="https://saranistudio.sharepoint.com/:f:/s/SaraniAssets/EjG5eJxKnaBBtuOld7O0giAB16i_fGQGRik8G7ylrOsCtQ?e=nBvkn8" TargetMode="External"/><Relationship Id="rId349" Type="http://schemas.openxmlformats.org/officeDocument/2006/relationships/hyperlink" Target="https://saranistudio-my.sharepoint.com/:b:/g/personal/team_sarani_studio/EbU41EfhIntDjWhxgBwHD_QBCPDVQzHVuG_03S-4u_pTYQ?e=eX6W0e" TargetMode="External"/><Relationship Id="rId556" Type="http://schemas.openxmlformats.org/officeDocument/2006/relationships/hyperlink" Target="https://saranistudio.sharepoint.com/:f:/s/SaraniAssets/ElAFfdmhCgxFoaRaY-RdbhIBl9hWt_eVuZV0Kmy2Z0wKaQ?e=inCEty" TargetMode="External"/><Relationship Id="rId763" Type="http://schemas.openxmlformats.org/officeDocument/2006/relationships/hyperlink" Target="https://saranistudio.sharepoint.com/:f:/s/SaraniAssets/Esm-VBTQrZ9BtDJTLeAjtscBCvNCQ1uaJlzLAp_T73MDbA?e=mPlIfQ" TargetMode="External"/><Relationship Id="rId1186" Type="http://schemas.openxmlformats.org/officeDocument/2006/relationships/hyperlink" Target="https://saranistudio.sharepoint.com/:b:/s/SaraniAssets/ET7B8TOZ1aZIkI6KKREmddIBYHhpUjKe2PCiTPU1GA9nNA?e=5S6imW" TargetMode="External"/><Relationship Id="rId1393" Type="http://schemas.openxmlformats.org/officeDocument/2006/relationships/hyperlink" Target="https://saranistudio.sharepoint.com/:b:/s/SaraniAssets/IQAHERAzx3amSr4vG30NI1JmAaRUYfnTQACXrhIiUTIzbx4?e=Y4N6Cj" TargetMode="External"/><Relationship Id="rId111" Type="http://schemas.openxmlformats.org/officeDocument/2006/relationships/hyperlink" Target="https://saranistudio-my.sharepoint.com/:b:/g/personal/team_sarani_studio/EXCRcqoF15JCk5vCkqNXQnwBFClE1WMJsbcopn9YwR9JLg?e=j2aPCB" TargetMode="External"/><Relationship Id="rId209" Type="http://schemas.openxmlformats.org/officeDocument/2006/relationships/hyperlink" Target="https://saranistudio-my.sharepoint.com/:b:/g/personal/team_sarani_studio/EXNXP2GmQo1EqAXGf0Y4yN8Be7_NE6k_0bsyQd-QdJw_RQ?e=K8VwFy" TargetMode="External"/><Relationship Id="rId416" Type="http://schemas.openxmlformats.org/officeDocument/2006/relationships/hyperlink" Target="https://saranistudio.sharepoint.com/:f:/s/SaraniAssets/EjFSqeQ09NFHvpMTxDxk31QBAlTBXEylsg91OVIxKT6fPQ?e=flMF03" TargetMode="External"/><Relationship Id="rId970" Type="http://schemas.openxmlformats.org/officeDocument/2006/relationships/hyperlink" Target="https://saranistudio-my.sharepoint.com/:b:/g/personal/team_sarani_studio/EZB14tRz6KZNnlB6upHeBIQBu-uSf6vFn-PqYDK5_4E5ow?e=tPDv6i" TargetMode="External"/><Relationship Id="rId1046" Type="http://schemas.openxmlformats.org/officeDocument/2006/relationships/hyperlink" Target="https://saranistudio.sharepoint.com/:f:/s/SaraniAssets/EgyUOvgWO8BOn9R5jXHE6usBh_DnKGM1rU8ngG4GeLiRWw?e=WYB1R1" TargetMode="External"/><Relationship Id="rId1253" Type="http://schemas.openxmlformats.org/officeDocument/2006/relationships/hyperlink" Target="https://saranistudio.sharepoint.com/:f:/s/SaraniAssets/EpP23fXlHZ9PpeAxGvXM2MkBrS0VeRah4LIDNfVPXp6JaQ?e=EMpcje" TargetMode="External"/><Relationship Id="rId623" Type="http://schemas.openxmlformats.org/officeDocument/2006/relationships/hyperlink" Target="https://saranistudio.sharepoint.com/:f:/s/SaraniAssets/EsVUeEMY1-pHmuV_uTBInBcBxIaFln7K81JfhoYxxrkQHg?e=Vmwsl6" TargetMode="External"/><Relationship Id="rId830" Type="http://schemas.openxmlformats.org/officeDocument/2006/relationships/hyperlink" Target="https://saranistudio.sharepoint.com/:f:/s/SaraniAssets/EobqDa7nvhhAgTeOqh3Gd1kBzCgIUfpL5tUcvPY4KSndmA?e=XKD23y" TargetMode="External"/><Relationship Id="rId928" Type="http://schemas.openxmlformats.org/officeDocument/2006/relationships/hyperlink" Target="https://saranistudio.sharepoint.com/:f:/s/SaraniAssets/EgOORKLZIxJMn-ABBfxfz_cBXpQu3BzPci1bXVA5-_pKYA?e=54uOF1" TargetMode="External"/><Relationship Id="rId57" Type="http://schemas.openxmlformats.org/officeDocument/2006/relationships/hyperlink" Target="https://saranistudio-my.sharepoint.com/:f:/g/personal/team_sarani_studio/ErR6Cnz8koFJgGWWVv_vuxMB39tB1cZ0JkSx87G68Dab2A?e=ADHUf1" TargetMode="External"/><Relationship Id="rId1113" Type="http://schemas.openxmlformats.org/officeDocument/2006/relationships/hyperlink" Target="https://saranistudio.sharepoint.com/:f:/s/SaraniAssets/EoYUpC6YiThAq8vBgz1vno8BIDRTeHID1l5qpvSUsweJRQ?e=78oZWj" TargetMode="External"/><Relationship Id="rId1320" Type="http://schemas.openxmlformats.org/officeDocument/2006/relationships/hyperlink" Target="https://saranistudio.sharepoint.com/:b:/s/SaraniAssets/IQDVMuwdrWdvTqh4F7shQ4wVAdFdUnl4YEgCbfjBO09l978?e=mlCJxa" TargetMode="External"/><Relationship Id="rId1418" Type="http://schemas.openxmlformats.org/officeDocument/2006/relationships/hyperlink" Target="https://saranistudio.sharepoint.com/:f:/s/SaraniAssets/IgDNyObvosRjRpfKgKCyEOiNAetu_ldVzakrhvPwzxq9o4A?e=EpNom7" TargetMode="External"/><Relationship Id="rId273" Type="http://schemas.openxmlformats.org/officeDocument/2006/relationships/hyperlink" Target="https://saranistudio-my.sharepoint.com/:b:/g/personal/team_sarani_studio/EYzJ3Jb7P4pBk7bzPT6LnxYBBRoKQavMxx4uk5-507INZw?e=xQpcIj" TargetMode="External"/><Relationship Id="rId480" Type="http://schemas.openxmlformats.org/officeDocument/2006/relationships/hyperlink" Target="https://saranistudio-my.sharepoint.com/:b:/g/personal/team_sarani_studio/EY8Pj_CKLTlNhA9j7C08MrEBr1DM6HIDuph7tqC4ySDNkA?e=5Pr93v" TargetMode="External"/><Relationship Id="rId133" Type="http://schemas.openxmlformats.org/officeDocument/2006/relationships/hyperlink" Target="https://saranistudio.sharepoint.com/:f:/s/SaraniAssets/Eh9pJydNgoBIiQg1xt4_hMkBIQFJfTzxzyOy2aB0HQLWbw?e=VYbLCf" TargetMode="External"/><Relationship Id="rId340" Type="http://schemas.openxmlformats.org/officeDocument/2006/relationships/hyperlink" Target="https://saranistudio.sharepoint.com/:f:/s/SaraniAssets/EkODzffymf9Kt6B5DtEBckcBM8ydTJ3TRvQBCSNNMQt7Cw?e=pe1Ggi" TargetMode="External"/><Relationship Id="rId578" Type="http://schemas.openxmlformats.org/officeDocument/2006/relationships/hyperlink" Target="https://saranistudio.sharepoint.com/:f:/s/SaraniAssets/EjkN5MJKxstNnYuYg4wExZsBKcvbXqKGIuCqsZRL0MPa7w?e=IffpqF" TargetMode="External"/><Relationship Id="rId785" Type="http://schemas.openxmlformats.org/officeDocument/2006/relationships/hyperlink" Target="https://saranistudio.sharepoint.com/:f:/s/SaraniAssets/EtNDcqzbr35FoYBD4925WOYBrwWmv6wIHQ9DARwpCX3ahA?e=VUqRjj" TargetMode="External"/><Relationship Id="rId992" Type="http://schemas.openxmlformats.org/officeDocument/2006/relationships/hyperlink" Target="https://saranistudio-my.sharepoint.com/:b:/g/personal/team_sarani_studio/ES5V35nI1A1CjCyrFbwl7Z8BoJmrSv5KmPouNgb5TEvCVw?e=IHYYZI" TargetMode="External"/><Relationship Id="rId200" Type="http://schemas.openxmlformats.org/officeDocument/2006/relationships/hyperlink" Target="https://saranistudio.sharepoint.com/:f:/s/SaraniAssets/En6M1gE4gRFMsxWNh2FEAgwBbUM5rm7OtWR9MxNEfcUwQA?e=dh9KSP" TargetMode="External"/><Relationship Id="rId438" Type="http://schemas.openxmlformats.org/officeDocument/2006/relationships/hyperlink" Target="https://saranistudio.sharepoint.com/:f:/s/SaraniAssets/Ej_ZtFDNGhhEoYEWR38NaYUBYId-dXbNQROQXHhEAmib1Q?e=POiJoj" TargetMode="External"/><Relationship Id="rId645" Type="http://schemas.openxmlformats.org/officeDocument/2006/relationships/hyperlink" Target="https://saranistudio.sharepoint.com/:f:/s/SaraniAssets/Ei0Vkdw8IxtEvUoz4RNKaQIBOeXZD-vHoc1HZKp2544PVQ?e=gCIelM" TargetMode="External"/><Relationship Id="rId852" Type="http://schemas.openxmlformats.org/officeDocument/2006/relationships/hyperlink" Target="https://saranistudio-my.sharepoint.com/:b:/g/personal/team_sarani_studio/EWVE1JhBzUZMmWyGwktAxmEBBrrmXxFC5s92HBRNzWulmg?e=trrbHe" TargetMode="External"/><Relationship Id="rId1068" Type="http://schemas.openxmlformats.org/officeDocument/2006/relationships/hyperlink" Target="https://saranistudio-my.sharepoint.com/:b:/g/personal/team_sarani_studio/EQGTZQKLAi1Hvzy6fFX7NQQBgCl3ZVjLar0cGzR8J_mZ4w?e=DvoNOo" TargetMode="External"/><Relationship Id="rId1275" Type="http://schemas.openxmlformats.org/officeDocument/2006/relationships/hyperlink" Target="https://saranistudio.sharepoint.com/:b:/s/SaraniAssets/EQBR-ZFi9ihGhO4ML5YYZUIBsOHUrAXlYTatNEp1zrB1MQ?e=h3Sc9A" TargetMode="External"/><Relationship Id="rId505" Type="http://schemas.openxmlformats.org/officeDocument/2006/relationships/hyperlink" Target="https://saranistudio-my.sharepoint.com/:b:/g/personal/team_sarani_studio/EeHMOyBi1ShItBC6U5Ga9BgBC2Z2vWUuDrmUCx881IHxoQ?e=q2xPl3" TargetMode="External"/><Relationship Id="rId712" Type="http://schemas.openxmlformats.org/officeDocument/2006/relationships/hyperlink" Target="https://saranistudio.sharepoint.com/:f:/s/SaraniAssets/EgDrcB5thOlBkXNp7UrfwJQBIo1gA39tUixo9v6TXhb39A?e=UsCTW0" TargetMode="External"/><Relationship Id="rId1135" Type="http://schemas.openxmlformats.org/officeDocument/2006/relationships/hyperlink" Target="https://saranistudio.sharepoint.com/:b:/s/SaraniAssets/ETEzL7PGIfNLocQOqsv4KSYBGid2GauM1stmrWJGVxKsfA?e=z085JH" TargetMode="External"/><Relationship Id="rId1342" Type="http://schemas.openxmlformats.org/officeDocument/2006/relationships/hyperlink" Target="https://saranistudio.sharepoint.com/:b:/s/SaraniAssets/IQBv3BA2rYoETp2vO2ii4-4SAalggktWMnvtupf0tLULZDY?e=iZDDaw" TargetMode="External"/><Relationship Id="rId79" Type="http://schemas.openxmlformats.org/officeDocument/2006/relationships/hyperlink" Target="https://saranistudio-my.sharepoint.com/:f:/g/personal/team_sarani_studio/EiRrfmVomIlIjiBB0V8ChO0BdJ6J5DJ0fGN84RaL52WxfQ?e=5VEp81" TargetMode="External"/><Relationship Id="rId144" Type="http://schemas.openxmlformats.org/officeDocument/2006/relationships/hyperlink" Target="https://saranistudio-my.sharepoint.com/:b:/g/personal/team_sarani_studio/EY5ZwooHEn1Ap9p-sANWqnIBeUNizdDrVhUyTeBs8GtTag?e=lj6Jkd" TargetMode="External"/><Relationship Id="rId589" Type="http://schemas.openxmlformats.org/officeDocument/2006/relationships/hyperlink" Target="https://saranistudio.sharepoint.com/:f:/s/SaraniAssets/EolyJiuXLQxBt73lhfEQbVQBIKj04CfpxHdGYUgnz6ITag?e=DTCo16" TargetMode="External"/><Relationship Id="rId796" Type="http://schemas.openxmlformats.org/officeDocument/2006/relationships/hyperlink" Target="https://saranistudio.sharepoint.com/:f:/s/SaraniAssets/EobqDa7nvhhAgTeOqh3Gd1kBzCgIUfpL5tUcvPY4KSndmA?e=tGr7Iy" TargetMode="External"/><Relationship Id="rId1202" Type="http://schemas.openxmlformats.org/officeDocument/2006/relationships/hyperlink" Target="https://saranistudio.sharepoint.com/:f:/s/SaraniAssets/EhleqrHapQtFipk68zaK8L8BwSNYJIZnp3kgwoVsZxLTZg?e=sRkTyy" TargetMode="External"/><Relationship Id="rId351" Type="http://schemas.openxmlformats.org/officeDocument/2006/relationships/hyperlink" Target="https://saranistudio-my.sharepoint.com/:b:/g/personal/team_sarani_studio/Ee_ooEDaB_RIkac2trISsL4BG9aXj3lAyjJjbAh-3b0_yw?e=3tCHn6" TargetMode="External"/><Relationship Id="rId449" Type="http://schemas.openxmlformats.org/officeDocument/2006/relationships/hyperlink" Target="https://saranistudio-my.sharepoint.com/:b:/g/personal/team_sarani_studio/ER_gzF7UJI1Ml3mVa7HZYhsBSDrt21ZJ_kw70iUvGqBKYg?e=kd0paC" TargetMode="External"/><Relationship Id="rId656" Type="http://schemas.openxmlformats.org/officeDocument/2006/relationships/hyperlink" Target="https://saranistudio.sharepoint.com/:f:/s/SaraniAssets/Ej8owhzrSclNvjHSokPxMiwBSZ_-j_e2xbEcekama5o4qw?e=jL125F" TargetMode="External"/><Relationship Id="rId863" Type="http://schemas.openxmlformats.org/officeDocument/2006/relationships/hyperlink" Target="https://saranistudio.sharepoint.com/:f:/s/SaraniAssets/EnhMma0LEttIitqpjMEVE78BjSk9oSvM3OAR-TS3cnLxjw?e=8ETPZs" TargetMode="External"/><Relationship Id="rId1079" Type="http://schemas.openxmlformats.org/officeDocument/2006/relationships/hyperlink" Target="https://saranistudio.sharepoint.com/:f:/s/SaraniAssets/EmkiMzFET91EquyVoHYNkn4BjaV8Vx8AuTnaagBh3al5Vw?e=Rh3UMV" TargetMode="External"/><Relationship Id="rId1286" Type="http://schemas.openxmlformats.org/officeDocument/2006/relationships/hyperlink" Target="https://saranistudio.sharepoint.com/:f:/s/SaraniAssets/IgAt8IQEyMLETaq6rQHXHZDFAfduylHZxKNWzY4mEObtsfM?e=PBT6ys" TargetMode="External"/><Relationship Id="rId211" Type="http://schemas.openxmlformats.org/officeDocument/2006/relationships/hyperlink" Target="https://saranistudio.sharepoint.com/:f:/s/SaraniAssets/EgTar_V48PBDpAOoe7_M2q0Bt6Lflm8qblY-7nejS9_7Tw?e=dzeRJc" TargetMode="External"/><Relationship Id="rId295" Type="http://schemas.openxmlformats.org/officeDocument/2006/relationships/hyperlink" Target="https://saranistudio-my.sharepoint.com/:b:/g/personal/team_sarani_studio/EdYpitgAILVBpBaXr51kDCoB3zNGJZColWY9XIfXI3QzFQ?e=03IVjP" TargetMode="External"/><Relationship Id="rId309" Type="http://schemas.openxmlformats.org/officeDocument/2006/relationships/hyperlink" Target="https://saranistudio.sharepoint.com/:f:/s/SaraniAssets/Elot0d9wGCVOorZl-8CHHl0BmTsYZy44UOlj5PqoR-nnLQ?e=HmvmpU" TargetMode="External"/><Relationship Id="rId516" Type="http://schemas.openxmlformats.org/officeDocument/2006/relationships/hyperlink" Target="https://saranistudio-my.sharepoint.com/:b:/g/personal/team_sarani_studio/EW_LYwageBVCvFG6bAEgDe4BjavgXVJnQEXNzAa9I9X8dg?e=WaWfeB" TargetMode="External"/><Relationship Id="rId1146" Type="http://schemas.openxmlformats.org/officeDocument/2006/relationships/hyperlink" Target="https://saranistudio.sharepoint.com/:f:/s/SaraniAssets/Ehlw3WMDNXtEpp1SOH7PFvwBNftNqVhADLsHKx0Aa7uexQ?e=hb0uh5" TargetMode="External"/><Relationship Id="rId723" Type="http://schemas.openxmlformats.org/officeDocument/2006/relationships/hyperlink" Target="https://saranistudio.sharepoint.com/:f:/s/SaraniAssets/EsIlt9AFW8VNsWDRW72L-bcB3AOFWg1sFPDnt5Kcw83W0A?e=mg5NsZ" TargetMode="External"/><Relationship Id="rId930" Type="http://schemas.openxmlformats.org/officeDocument/2006/relationships/hyperlink" Target="https://saranistudio-my.sharepoint.com/:b:/g/personal/team_sarani_studio/EdYPVRChSPFMkqKaXFO8mAMBL-eIXCsa3Olyokldnf5ebA?e=MRxdIE" TargetMode="External"/><Relationship Id="rId1006" Type="http://schemas.openxmlformats.org/officeDocument/2006/relationships/hyperlink" Target="https://saranistudio.sharepoint.com/:f:/s/SaraniAssets/EsnWfREtPeZCropuXult-4MBNEB0B_LwH1dnRycXp8kj0A?e=fnVgu0" TargetMode="External"/><Relationship Id="rId1353" Type="http://schemas.openxmlformats.org/officeDocument/2006/relationships/hyperlink" Target="https://saranistudio.sharepoint.com/:b:/s/SaraniAssets/IQBGbUFOiy_NS4x2KIt3rCV-Ae4dqEX86SoNdJT2o0KEaLg?e=YkUk7D" TargetMode="External"/><Relationship Id="rId155" Type="http://schemas.openxmlformats.org/officeDocument/2006/relationships/hyperlink" Target="https://saranistudio-my.sharepoint.com/:b:/g/personal/team_sarani_studio/EQpISRj0UgxHqXSqjEC62GkB_q8FMna7bW-UXf3NH1xSZw?e=yzYU1L" TargetMode="External"/><Relationship Id="rId362" Type="http://schemas.openxmlformats.org/officeDocument/2006/relationships/hyperlink" Target="https://saranistudio-my.sharepoint.com/:f:/g/personal/team_sarani_studio/Eno1hTwc6CZOpOaDyfuFXzEBK3IEmmBUsIThhxjU7-HINg?e=eUPBG7" TargetMode="External"/><Relationship Id="rId1213" Type="http://schemas.openxmlformats.org/officeDocument/2006/relationships/hyperlink" Target="https://saranistudio.sharepoint.com/:f:/s/SaraniAssets/EgqNUSfOj1lKixRWzW1vMmoBzUvExy3XUXMA3UYZEOwXzg?e=CrPyxg" TargetMode="External"/><Relationship Id="rId1297" Type="http://schemas.openxmlformats.org/officeDocument/2006/relationships/hyperlink" Target="https://saranistudio-my.sharepoint.com/:b:/g/personal/team_sarani_studio/EazWhIbpm69JupMv-TgO4g8BHhLiIyD10RR4j8aAmYF0rw?e=odskoI" TargetMode="External"/><Relationship Id="rId1420" Type="http://schemas.openxmlformats.org/officeDocument/2006/relationships/vmlDrawing" Target="../drawings/vmlDrawing2.vml"/><Relationship Id="rId222" Type="http://schemas.openxmlformats.org/officeDocument/2006/relationships/hyperlink" Target="https://saranistudio.sharepoint.com/:f:/s/SaraniAssets/EtWdHJrF9hVKrIKcT7S2lTMBSXuI0TbH9VrL4SYS3lXe_w?e=23uhUv" TargetMode="External"/><Relationship Id="rId667" Type="http://schemas.openxmlformats.org/officeDocument/2006/relationships/hyperlink" Target="https://saranistudio-my.sharepoint.com/:b:/g/personal/team_sarani_studio/EVqKn8u_RiBBnG8GHpheJuQBWD2ld9gIhgFLsPA4hUCkQw?e=LDDPbb" TargetMode="External"/><Relationship Id="rId874" Type="http://schemas.openxmlformats.org/officeDocument/2006/relationships/hyperlink" Target="https://saranistudio.sharepoint.com/:f:/s/SaraniAssets/EpzxjWYCIp5Em9i8wDlRvYgB7GnN_Xg3XPUPGuZs4f5Kfg?e=48lsae" TargetMode="External"/><Relationship Id="rId17" Type="http://schemas.openxmlformats.org/officeDocument/2006/relationships/hyperlink" Target="https://saranistudio-my.sharepoint.com/:f:/g/personal/team_sarani_studio/EitZRBZy2n1Kkw5kaWztE5sBgYKU_BFeDcX25iDrx1Ct5w?e=j19Nkg" TargetMode="External"/><Relationship Id="rId527" Type="http://schemas.openxmlformats.org/officeDocument/2006/relationships/hyperlink" Target="https://saranistudio.sharepoint.com/:f:/s/SaraniAssets/EpI4LuUcEvdChCCBrbH1XssBpxyzTJ27kIt1ZaA8q9RVmQ?e=lUwq63" TargetMode="External"/><Relationship Id="rId734" Type="http://schemas.openxmlformats.org/officeDocument/2006/relationships/hyperlink" Target="https://saranistudio-my.sharepoint.com/:b:/g/personal/team_sarani_studio/Ef2tTPNRjFRJrndDztDSbzkBTylbQQt6lhG1w3TDU5N26Q?e=qHmvB9" TargetMode="External"/><Relationship Id="rId941" Type="http://schemas.openxmlformats.org/officeDocument/2006/relationships/hyperlink" Target="https://saranistudio-my.sharepoint.com/:b:/g/personal/team_sarani_studio/EfeIxQxX4MFPvaH0Lo51FckBejHze3uuBoznlkGU5FTCrw?e=3aWE3N" TargetMode="External"/><Relationship Id="rId1157" Type="http://schemas.openxmlformats.org/officeDocument/2006/relationships/hyperlink" Target="https://saranistudio.sharepoint.com/:b:/s/SaraniAssets/EevpfKz2Cl1HmrrtqGEYIaABkBrDzxOWca8mWCwMQeI0BA?e=Om5WsE" TargetMode="External"/><Relationship Id="rId1364" Type="http://schemas.openxmlformats.org/officeDocument/2006/relationships/hyperlink" Target="https://saranistudio.sharepoint.com/:b:/s/SaraniAssets/IQAxzR1jTvQHT7-GjrZu3Oq8AWYYDsh9kjMPTq1J3uLSgHs?e=dUkUCC" TargetMode="External"/><Relationship Id="rId70" Type="http://schemas.openxmlformats.org/officeDocument/2006/relationships/hyperlink" Target="https://saranistudio-my.sharepoint.com/:f:/g/personal/team_sarani_studio/ElQaod7CY55KqoiGgYDoyv8B9dN5xE9O39YkvDCzlz6FLQ?e=5WSxf7" TargetMode="External"/><Relationship Id="rId166" Type="http://schemas.openxmlformats.org/officeDocument/2006/relationships/hyperlink" Target="https://saranistudio.sharepoint.com/:f:/s/SaraniAssets/Eudaw4YslfdBhu0vnN490_4BJHnKa-UmasiU9FJEIAWJhQ?e=iE4aE0" TargetMode="External"/><Relationship Id="rId373" Type="http://schemas.openxmlformats.org/officeDocument/2006/relationships/hyperlink" Target="https://saranistudio-my.sharepoint.com/:f:/g/personal/team_sarani_studio/EhGvAIAk9nhJjmewxCW5higB28ZJKSWD-dA33c2u3yxD1w?e=RZ63bm" TargetMode="External"/><Relationship Id="rId580" Type="http://schemas.openxmlformats.org/officeDocument/2006/relationships/hyperlink" Target="https://saranistudio.sharepoint.com/:f:/s/SaraniAssets/EpHwwxgqhI5Oljt17Lf697IBtYjB1btFjmXzue9fCkPNHw?e=CCkE6Y" TargetMode="External"/><Relationship Id="rId801" Type="http://schemas.openxmlformats.org/officeDocument/2006/relationships/hyperlink" Target="https://saranistudio-my.sharepoint.com/:b:/g/personal/team_sarani_studio/EVkHl_NT3m1Gl-c841aI12wBfgL7WAZdQ1MDFfOEOlGCPg?e=5Ar1IQ" TargetMode="External"/><Relationship Id="rId1017" Type="http://schemas.openxmlformats.org/officeDocument/2006/relationships/hyperlink" Target="https://saranistudio.sharepoint.com/:f:/s/SaraniAssets/EqWeBFyXgoBHqQ22BuvTbnIBhIHC5uLCKeP9DLtUGO3raA?e=arAZN6" TargetMode="External"/><Relationship Id="rId1224" Type="http://schemas.openxmlformats.org/officeDocument/2006/relationships/hyperlink" Target="https://saranistudio.sharepoint.com/:b:/s/SaraniAssets/EXpmaGX2_LFFoIb6o4s1AzwB_oaY5oIy5uyoIBq8WUu06A?e=hlNNfa" TargetMode="External"/><Relationship Id="rId1" Type="http://schemas.openxmlformats.org/officeDocument/2006/relationships/hyperlink" Target="https://saranistudio-my.sharepoint.com/:f:/g/personal/team_sarani_studio/Etevju8IZKpEjFi3N14QmoUBp7wUTsms6pxhOWBv6e2jlQ?e=poko2y" TargetMode="External"/><Relationship Id="rId233" Type="http://schemas.openxmlformats.org/officeDocument/2006/relationships/hyperlink" Target="https://saranistudio.sharepoint.com/:f:/s/SaraniAssets/EiMrvdzFUKBKnLHN7ZsP-TkB45Sh1osY8jkrY614bUEVQA?e=Cmk0f5" TargetMode="External"/><Relationship Id="rId440" Type="http://schemas.openxmlformats.org/officeDocument/2006/relationships/hyperlink" Target="https://saranistudio-my.sharepoint.com/:b:/g/personal/team_sarani_studio/Ec-0ZXlnKttCkbZZIkpP-_0BAz5nyFkld9AQE1vOjDwLQQ?e=yzPY9e" TargetMode="External"/><Relationship Id="rId678" Type="http://schemas.openxmlformats.org/officeDocument/2006/relationships/hyperlink" Target="https://saranistudio.sharepoint.com/:f:/s/SaraniAssets/EtAr_a23GO1GifbgtsWOIkYBWsA2DEqIo-2WGgNBNdAzEA?e=sx6S2F" TargetMode="External"/><Relationship Id="rId885" Type="http://schemas.openxmlformats.org/officeDocument/2006/relationships/hyperlink" Target="https://saranistudio.sharepoint.com/:f:/s/SaraniAssets/EsXKqLHealVJqiDNleolTtgBnhcSoyN9f4ljysNcXTPxMg?e=WrVNYa" TargetMode="External"/><Relationship Id="rId1070" Type="http://schemas.openxmlformats.org/officeDocument/2006/relationships/hyperlink" Target="https://saranistudio.sharepoint.com/:f:/s/SaraniAssets/EgbWE5WQCqtGhqorXH-QK8wBy_s9sGQhB173-Y-39HV-gQ?e=RddGJt" TargetMode="External"/><Relationship Id="rId28" Type="http://schemas.openxmlformats.org/officeDocument/2006/relationships/hyperlink" Target="https://saranistudio-my.sharepoint.com/:f:/g/personal/team_sarani_studio/EtI6MF01VhJDu73LzSQ3CuMBaxqkBPUNcHfWG9NmZXKZGA?e=cAjunF" TargetMode="External"/><Relationship Id="rId300" Type="http://schemas.openxmlformats.org/officeDocument/2006/relationships/hyperlink" Target="https://saranistudio.sharepoint.com/:f:/s/SaraniAssets/EjDgnSqnnktCqVt60aDhlIUB-OKnKjfmjwbVaIQ1IoFZKw?e=9LXPXk" TargetMode="External"/><Relationship Id="rId538" Type="http://schemas.openxmlformats.org/officeDocument/2006/relationships/hyperlink" Target="https://saranistudio.sharepoint.com/:f:/s/SaraniAssets/EmLewSVzoptNn5ZuPISMdM4BUzvV8u_WgugTdBZYxzROEQ?e=j6cbt5" TargetMode="External"/><Relationship Id="rId745" Type="http://schemas.openxmlformats.org/officeDocument/2006/relationships/hyperlink" Target="https://saranistudio-my.sharepoint.com/:b:/g/personal/team_sarani_studio/Ec-Sn2o_hZ1KteGXdNr57SsBaYExfzqLLnKFcdcGbB5YLw?e=lwfvBw" TargetMode="External"/><Relationship Id="rId952" Type="http://schemas.openxmlformats.org/officeDocument/2006/relationships/hyperlink" Target="https://saranistudio-my.sharepoint.com/:b:/g/personal/team_sarani_studio/Ef2_qhKMyTBMrZfa8o6xHdEBZ7jK427iMDi5tFUCjk82vA?e=rx5r3K" TargetMode="External"/><Relationship Id="rId1168" Type="http://schemas.openxmlformats.org/officeDocument/2006/relationships/hyperlink" Target="https://saranistudio.sharepoint.com/:b:/s/SaraniAssets/Ef8wFChZg85Bmi08K8pAK1wBq9Rcq1RO87fCtJ2eW8jLeg?e=A0o9Me" TargetMode="External"/><Relationship Id="rId1375" Type="http://schemas.openxmlformats.org/officeDocument/2006/relationships/hyperlink" Target="https://saranistudio.sharepoint.com/:b:/s/SaraniAssets/IQBtu6XesfkMT7R3wshyFNksAXzYIXFyCw702mi0PQUmK7U?e=syL3aL" TargetMode="External"/><Relationship Id="rId81" Type="http://schemas.openxmlformats.org/officeDocument/2006/relationships/hyperlink" Target="https://saranistudio-my.sharepoint.com/:f:/g/personal/team_sarani_studio/EiyrmxYKzJ9OuT_ADJ886ZoBaIG-IWWrvAjUmM56P0qa-Q?e=EzQjR6" TargetMode="External"/><Relationship Id="rId177" Type="http://schemas.openxmlformats.org/officeDocument/2006/relationships/hyperlink" Target="https://saranistudio-my.sharepoint.com/:b:/g/personal/team_sarani_studio/EeqqQcvt8QpJhIrMKvXrqeMBVFpg9cjIOvDd7UQb-ahIQg?e=Va6RIJ" TargetMode="External"/><Relationship Id="rId384" Type="http://schemas.openxmlformats.org/officeDocument/2006/relationships/hyperlink" Target="https://saranistudio-my.sharepoint.com/:f:/g/personal/team_sarani_studio/Egj4cX4pxGtJhLcuZRe4SgIB1aofCP5Wp59nYn874HRKqw?e=QamI4u" TargetMode="External"/><Relationship Id="rId591" Type="http://schemas.openxmlformats.org/officeDocument/2006/relationships/hyperlink" Target="https://saranistudio.sharepoint.com/:f:/s/SaraniAssets/EvYFJ4v0DXxKv8QMdttHaasBiWIQk6La2tTExiZ85-Pc_A?e=ZZ85AK" TargetMode="External"/><Relationship Id="rId605" Type="http://schemas.openxmlformats.org/officeDocument/2006/relationships/hyperlink" Target="https://saranistudio-my.sharepoint.com/:b:/g/personal/team_sarani_studio/EbeybU3vCIRBjVksjjdrm5UBLkUZkQcWkpdpN61_UkEgBw?e=BDfZKX" TargetMode="External"/><Relationship Id="rId812" Type="http://schemas.openxmlformats.org/officeDocument/2006/relationships/hyperlink" Target="https://saranistudio-my.sharepoint.com/:b:/g/personal/team_sarani_studio/EZSD4UBtETdOoMEARMGsCOcB1i5qSONpVvkHw8U_kV5-PQ?e=atMikc" TargetMode="External"/><Relationship Id="rId1028" Type="http://schemas.openxmlformats.org/officeDocument/2006/relationships/hyperlink" Target="https://saranistudio.sharepoint.com/:f:/s/SaraniAssets/EvvoS8eu-3VNqESAHf6EFWABymUGGXaCeKc9YtmuOoqVBw?e=xAgusG" TargetMode="External"/><Relationship Id="rId1235" Type="http://schemas.openxmlformats.org/officeDocument/2006/relationships/hyperlink" Target="https://saranistudio.sharepoint.com/:f:/r/sites/SaraniAssets/Shared%20Documents/03.%20Customers/02.%20Sony/03.%20Sony%20France/03.%20V%26S%20(Audio)/20251006_Vid%C3%A9os%20Affichage%20Casques-Ecouteurs%20RELAY?csf=1&amp;web=1&amp;e=5L9gDq" TargetMode="External"/><Relationship Id="rId244" Type="http://schemas.openxmlformats.org/officeDocument/2006/relationships/hyperlink" Target="https://saranistudio-my.sharepoint.com/:b:/g/personal/team_sarani_studio/EahYvQzsfYlIkoszpFaZOoMBsZURjumMORm0GSEdIn0-3Q?e=yI0Cej" TargetMode="External"/><Relationship Id="rId689" Type="http://schemas.openxmlformats.org/officeDocument/2006/relationships/hyperlink" Target="https://saranistudio-my.sharepoint.com/:b:/g/personal/team_sarani_studio/EYkDYd-8BkdNnktiJcc0uGMBF9sQie2GkBzCpV-Gdd48bQ?e=LkJesC" TargetMode="External"/><Relationship Id="rId896" Type="http://schemas.openxmlformats.org/officeDocument/2006/relationships/hyperlink" Target="https://saranistudio-my.sharepoint.com/:b:/g/personal/team_sarani_studio/Ebx1knRGjc1Lv6tA46Yod_EBQWtSkPrMWCPrFrL5hVb04g?e=RJdpin" TargetMode="External"/><Relationship Id="rId1081" Type="http://schemas.openxmlformats.org/officeDocument/2006/relationships/hyperlink" Target="https://saranistudio.sharepoint.com/:f:/s/SaraniAssets/ErInWyu1AQZKrepegI6jdZsBSGGmkDerTjLmsZNnffuVvQ?e=GTORy7" TargetMode="External"/><Relationship Id="rId1302" Type="http://schemas.openxmlformats.org/officeDocument/2006/relationships/hyperlink" Target="https://saranistudio.sharepoint.com/:b:/s/SaraniAssets/IQDdUxfUvYjQSKGbqkGPhHNRAZtVK5AQuirbAb2Lt0v0PVU?e=lGUA0x" TargetMode="External"/><Relationship Id="rId39" Type="http://schemas.openxmlformats.org/officeDocument/2006/relationships/hyperlink" Target="https://saranistudio-my.sharepoint.com/:f:/g/personal/team_sarani_studio/EhV2y_XPV35GlXBIYHQS6jABX0y5PDDKSwC4di7PXUrm9w?e=g9nzP1" TargetMode="External"/><Relationship Id="rId451" Type="http://schemas.openxmlformats.org/officeDocument/2006/relationships/hyperlink" Target="https://saranistudio.sharepoint.com/:f:/s/SaraniAssets/Ej3zITewMqRBr0DVoUTNgnABjXGMqVQzediGQTrB1IrqYA?e=QQu6am" TargetMode="External"/><Relationship Id="rId549" Type="http://schemas.openxmlformats.org/officeDocument/2006/relationships/hyperlink" Target="https://saranistudio.sharepoint.com/:f:/s/SaraniAssets/Ekg7Tg3hT8xJl0ubrYGOQVcB7RL4s97y92TIeEJ6RziGBA?e=bja3dV" TargetMode="External"/><Relationship Id="rId756" Type="http://schemas.openxmlformats.org/officeDocument/2006/relationships/hyperlink" Target="https://saranistudio.sharepoint.com/:f:/s/SaraniAssets/Eqgnzk2Ia8VOvQs25pkByrsB3tFlEO7SQW6f8_TvCLwbpg?e=tGoanz" TargetMode="External"/><Relationship Id="rId1179" Type="http://schemas.openxmlformats.org/officeDocument/2006/relationships/hyperlink" Target="https://saranistudio.sharepoint.com/:f:/s/SaraniAssets/EohIFQ7y_5lGjTLMDqf8SrgBwM9zhwuVVlxXy2ccwFGDyQ?e=qOVvHe" TargetMode="External"/><Relationship Id="rId1386" Type="http://schemas.openxmlformats.org/officeDocument/2006/relationships/hyperlink" Target="https://saranistudio.sharepoint.com/:f:/s/SaraniAssets/IgCPo2QF1_KaRrvxAREu8Z2-AXqojOUAgE0mtU-shM3-ujM?e=S28cGD" TargetMode="External"/><Relationship Id="rId104" Type="http://schemas.openxmlformats.org/officeDocument/2006/relationships/hyperlink" Target="https://saranistudio.sharepoint.com/:f:/s/SaraniAssets/EmpZqDYoERtKuhOOIHkw9_gBrteRG4ajzx_u89Z4wZw4zQ?e=X4yJ7B" TargetMode="External"/><Relationship Id="rId188" Type="http://schemas.openxmlformats.org/officeDocument/2006/relationships/hyperlink" Target="https://saranistudio-my.sharepoint.com/:b:/g/personal/team_sarani_studio/EZ7UhPlEtMJPvHb_iYYmp24B-rX3om96VNF4F0bZAt61gQ?e=Kp3lwi" TargetMode="External"/><Relationship Id="rId311" Type="http://schemas.openxmlformats.org/officeDocument/2006/relationships/hyperlink" Target="https://saranistudio-my.sharepoint.com/:b:/g/personal/team_sarani_studio/EdW2tFvbDXJBhz_m1P9guREBFQdSldlwnRSy4o1msmIEyw?e=EpBZ2S" TargetMode="External"/><Relationship Id="rId395" Type="http://schemas.openxmlformats.org/officeDocument/2006/relationships/hyperlink" Target="https://saranistudio.sharepoint.com/:f:/s/SaraniAssets/Ep_e6bGp1cJGnZiPUIoGnmMBOeKbF9oZdsw2Vnw67-ugPA?e=9SpT7N" TargetMode="External"/><Relationship Id="rId409" Type="http://schemas.openxmlformats.org/officeDocument/2006/relationships/hyperlink" Target="https://saranistudio.sharepoint.com/:f:/s/SaraniAssets/Er1x1PPB_U5HtSXsmDKHazoBk6wVtgrwAriyWUNJ7GUixg?e=zvz3rS" TargetMode="External"/><Relationship Id="rId963" Type="http://schemas.openxmlformats.org/officeDocument/2006/relationships/hyperlink" Target="https://saranistudio.sharepoint.com/:f:/s/SaraniAssets/Em2JH1HMvZ1JoFUOVck6-SgBOHz_X41Z0Q2-H_0QodbfTQ?e=tQh8eb" TargetMode="External"/><Relationship Id="rId1039" Type="http://schemas.openxmlformats.org/officeDocument/2006/relationships/hyperlink" Target="https://saranistudio-my.sharepoint.com/:b:/g/personal/team_sarani_studio/EX2PbfwAB3dPgBUnohpUBr8BwP5b-VuXGA2x4C6_qAi9jw?e=Qlw63X" TargetMode="External"/><Relationship Id="rId1246" Type="http://schemas.openxmlformats.org/officeDocument/2006/relationships/hyperlink" Target="https://saranistudio.sharepoint.com/:b:/s/SaraniAssets/EYgnzrkpN5tOpMX6OhX0GaIBLczSrs3GpDpW6lHTBnBvNQ?e=F35OH6" TargetMode="External"/><Relationship Id="rId92" Type="http://schemas.openxmlformats.org/officeDocument/2006/relationships/hyperlink" Target="https://saranistudio-my.sharepoint.com/:f:/g/personal/team_sarani_studio/ErxdVNQySkRJtAGooPQ5wE8BuQR8HnH7e3K6pfksWKaDUg?e=r0IqkT" TargetMode="External"/><Relationship Id="rId616" Type="http://schemas.openxmlformats.org/officeDocument/2006/relationships/hyperlink" Target="https://saranistudio-my.sharepoint.com/:b:/g/personal/team_sarani_studio/EQ7GXYd1FJBKnLoGY-heX_EB3EjC_aWTqSPYMfHjXoNykA?e=hKLm9e" TargetMode="External"/><Relationship Id="rId823" Type="http://schemas.openxmlformats.org/officeDocument/2006/relationships/hyperlink" Target="https://saranistudio.sharepoint.com/:f:/s/SaraniAssets/ElGgiIcHFM5FvCN3eeK0NvkBQVLUYYYbMfFoRrbOYHf9xQ?e=qDcwZI" TargetMode="External"/><Relationship Id="rId255" Type="http://schemas.openxmlformats.org/officeDocument/2006/relationships/hyperlink" Target="https://saranistudio.sharepoint.com/:f:/s/SaraniAssets/Ep6BTvJIpBdMicDZzIPZcQ4BXiNwHP2JKzUuVj6rtc0Ndw?e=4BGCzX" TargetMode="External"/><Relationship Id="rId462" Type="http://schemas.openxmlformats.org/officeDocument/2006/relationships/hyperlink" Target="https://saranistudio.sharepoint.com/:f:/s/SaraniAssets/EiPTo3VGgbZCr0vKNwLlJfYBiYadxjrKfVky87psbmoJYg?e=fPhMwe" TargetMode="External"/><Relationship Id="rId1092" Type="http://schemas.openxmlformats.org/officeDocument/2006/relationships/hyperlink" Target="https://saranistudio-my.sharepoint.com/:b:/g/personal/team_sarani_studio/EUtfb9TD1SBFqN-VE3YmPsEBf3eGOY-SbkizIVSPB2sEcw?e=r7RdoN" TargetMode="External"/><Relationship Id="rId1106" Type="http://schemas.openxmlformats.org/officeDocument/2006/relationships/hyperlink" Target="https://saranistudio.sharepoint.com/:f:/s/SaraniAssets/EoySVt_YilJLmORaZCVz-fYBF9AS4TOIY2iJh30uvTtEpA?e=cj1h80" TargetMode="External"/><Relationship Id="rId1313" Type="http://schemas.openxmlformats.org/officeDocument/2006/relationships/hyperlink" Target="https://saranistudio.sharepoint.com/:b:/s/SaraniAssets/IQASFNp3f-SzQqnr_bkQ7ASvASTeIzRFdQmnQnPR9H7kQgs?e=Wydh5h" TargetMode="External"/><Relationship Id="rId1397" Type="http://schemas.openxmlformats.org/officeDocument/2006/relationships/hyperlink" Target="https://saranistudio.sharepoint.com/:b:/s/SaraniAssets/IQBwyLB9ihaKRpqQP_ZLb-LNAQWZgk6Op_4UWHLDIc7wb_w?e=T6jeyr" TargetMode="External"/><Relationship Id="rId115" Type="http://schemas.openxmlformats.org/officeDocument/2006/relationships/hyperlink" Target="https://saranistudio-my.sharepoint.com/:b:/g/personal/team_sarani_studio/EQb6QhTH_gRFhAa1OD9MRoYB9I_Qs6B3erjotY_ia4ignw?e=LQheQY" TargetMode="External"/><Relationship Id="rId322" Type="http://schemas.openxmlformats.org/officeDocument/2006/relationships/hyperlink" Target="https://saranistudio-my.sharepoint.com/:b:/g/personal/team_sarani_studio/ETzSIRCRJW1Bqc32G7ia2gQBEf6EOS8HPei035mZFe3YgA?e=WfX3CW" TargetMode="External"/><Relationship Id="rId767" Type="http://schemas.openxmlformats.org/officeDocument/2006/relationships/hyperlink" Target="https://saranistudio-my.sharepoint.com/:b:/g/personal/team_sarani_studio/Eb-rZMpuiW5LpF5PNkLxb-wBQGqxEhXsjbeJBMFyGVmTzQ?e=s9VewE" TargetMode="External"/><Relationship Id="rId974" Type="http://schemas.openxmlformats.org/officeDocument/2006/relationships/hyperlink" Target="https://saranistudio-my.sharepoint.com/:b:/g/personal/team_sarani_studio/EUHNA9W4pWFAmGhocXk046UBGbE4Hn1dEETAcLYwwyG5bw?e=i57pWV" TargetMode="External"/><Relationship Id="rId199" Type="http://schemas.openxmlformats.org/officeDocument/2006/relationships/hyperlink" Target="https://saranistudio.sharepoint.com/:f:/s/SaraniAssets/EnOPpSZDpMNCs_MB0Ynw414BA6mrn65nq5WEHdDDGxjF0w?e=4XaPPD" TargetMode="External"/><Relationship Id="rId627" Type="http://schemas.openxmlformats.org/officeDocument/2006/relationships/hyperlink" Target="https://saranistudio.sharepoint.com/:f:/s/SaraniAssets/Et3iXbm3KSxPmJBToc1U0p8Bsfg_pcL5p4IzC5Eg2Z4ecw?e=TnRBQT" TargetMode="External"/><Relationship Id="rId834" Type="http://schemas.openxmlformats.org/officeDocument/2006/relationships/hyperlink" Target="https://saranistudio-my.sharepoint.com/:b:/g/personal/team_sarani_studio/EfaxyYIJ27VKnxjL0PktbrAB4I7ZroZDFy2BzPjJ9g4WQA?e=AC9B6t" TargetMode="External"/><Relationship Id="rId1257" Type="http://schemas.openxmlformats.org/officeDocument/2006/relationships/hyperlink" Target="https://saranistudio.sharepoint.com/:f:/s/SaraniAssets/Eo4-sg-WsfRMmbTNZlWBnokB6h1w53OBNgghMEzAWhHt6w?e=5pIxMt" TargetMode="External"/><Relationship Id="rId266" Type="http://schemas.openxmlformats.org/officeDocument/2006/relationships/hyperlink" Target="https://saranistudio.sharepoint.com/:f:/s/SaraniAssets/Esedv7weB8dJhpQl1jrHyVsBNuiW1YPKAv-SDwz8gdjw-g?e=61sZ25" TargetMode="External"/><Relationship Id="rId473" Type="http://schemas.openxmlformats.org/officeDocument/2006/relationships/hyperlink" Target="https://saranistudio.sharepoint.com/:f:/s/SaraniAssets/Er2_Ky9NC99Lr6MRmq2vET8B_HcuLHvumKeWQtwBHvrXvA?e=tJ7dXA" TargetMode="External"/><Relationship Id="rId680" Type="http://schemas.openxmlformats.org/officeDocument/2006/relationships/hyperlink" Target="https://saranistudio.sharepoint.com/:f:/s/SaraniAssets/EjW3dul14qFCsFyRRC4mSJcBgsD-6-Fh4n9Z-kytoU_DwQ?e=N79mGH" TargetMode="External"/><Relationship Id="rId901" Type="http://schemas.openxmlformats.org/officeDocument/2006/relationships/hyperlink" Target="https://saranistudio-my.sharepoint.com/:b:/g/personal/team_sarani_studio/EZjKnJGcJ_ROh6uAJmUbGhEBTY9fIBqrAm7w6Qp8JNtKfA?e=DPvJCb" TargetMode="External"/><Relationship Id="rId1117" Type="http://schemas.openxmlformats.org/officeDocument/2006/relationships/hyperlink" Target="https://saranistudio.sharepoint.com/:f:/s/SaraniAssets/EqwQ0CPLNZdMnN7f66VuPhsB3QFyN9Z-vqdlL9TVjL1WCA?e=RLwdHo" TargetMode="External"/><Relationship Id="rId1324" Type="http://schemas.openxmlformats.org/officeDocument/2006/relationships/hyperlink" Target="https://saranistudio.sharepoint.com/:b:/s/SaraniAssets/IQCNEa4nFY4URIQg-LbmhlfDAV_rQNb5UT6JvCP3yuCQJA8?e=R98wdV" TargetMode="External"/><Relationship Id="rId30" Type="http://schemas.openxmlformats.org/officeDocument/2006/relationships/hyperlink" Target="https://saranistudio-my.sharepoint.com/:f:/g/personal/team_sarani_studio/Euz7AgxtBlxIhnwZ-lXXmF4BeflqaS0GTyKxYGbCz-vMlw?e=IjE9RV" TargetMode="External"/><Relationship Id="rId126" Type="http://schemas.openxmlformats.org/officeDocument/2006/relationships/hyperlink" Target="https://saranistudio-my.sharepoint.com/:b:/g/personal/team_sarani_studio/Ecb_Wvnzn41Jms0Ozi5wOg0BgmWnsfYuKClAV_v1-WEylg?e=UjRbbG" TargetMode="External"/><Relationship Id="rId333" Type="http://schemas.openxmlformats.org/officeDocument/2006/relationships/hyperlink" Target="https://saranistudio-my.sharepoint.com/:b:/g/personal/team_sarani_studio/EVKFGpKvCShMjtTbzKT-_JoBjkT48yW9cQN3DOAfiAZs3w?e=wRafoU" TargetMode="External"/><Relationship Id="rId540" Type="http://schemas.openxmlformats.org/officeDocument/2006/relationships/hyperlink" Target="https://saranistudio-my.sharepoint.com/:b:/g/personal/team_sarani_studio/EQwB_wSsR4JNpBP6oP79UzMBUZyOLEBqDywxs5xm1qWlHQ?e=GWYmO9" TargetMode="External"/><Relationship Id="rId778" Type="http://schemas.openxmlformats.org/officeDocument/2006/relationships/hyperlink" Target="https://saranistudio.sharepoint.com/:f:/r/sites/SaraniAssets/Shared%20Documents/03.%20Customers/02.%20Sony/03.%20Sony%20France/20241025_MARCOM%20TV%20l%20Brief%20toppers%20RSE?csf=1&amp;web=1&amp;e=udXPJZ" TargetMode="External"/><Relationship Id="rId985" Type="http://schemas.openxmlformats.org/officeDocument/2006/relationships/hyperlink" Target="https://saranistudio.sharepoint.com/:f:/s/SaraniAssets/Ek-zMYyAqFFPs6vcvHb-frwBiqMiEcZ_UaFbS0z3dIR-Uw?e=gvJHi5" TargetMode="External"/><Relationship Id="rId1170" Type="http://schemas.openxmlformats.org/officeDocument/2006/relationships/hyperlink" Target="https://saranistudio.sharepoint.com/:f:/s/SaraniAssets/EqDV4IbFiDZNrFKIPhegDUMBPUDup8CdjGlWls3qEJd1gw?e=YOETLT" TargetMode="External"/><Relationship Id="rId638" Type="http://schemas.openxmlformats.org/officeDocument/2006/relationships/hyperlink" Target="https://saranistudio-my.sharepoint.com/:b:/g/personal/team_sarani_studio/Ee6BRtDNh_9DvK32aI06QvwBlo8ed0CoAIMO8Jo2XM7VZw?e=VzE19h" TargetMode="External"/><Relationship Id="rId845" Type="http://schemas.openxmlformats.org/officeDocument/2006/relationships/hyperlink" Target="https://saranistudio-my.sharepoint.com/:b:/g/personal/team_sarani_studio/EUpwczu24StIpSW6vz6KztsBo5YFH5CEMHgqqwfMR20DJg?e=jfIkZd" TargetMode="External"/><Relationship Id="rId1030" Type="http://schemas.openxmlformats.org/officeDocument/2006/relationships/hyperlink" Target="https://saranistudio.sharepoint.com/:f:/s/SaraniAssets/Eig19STN22RJo3_evU3DzNQB_nlUJOuNs9dLZfTeT4fa1A?e=MtuHqZ" TargetMode="External"/><Relationship Id="rId1268" Type="http://schemas.openxmlformats.org/officeDocument/2006/relationships/hyperlink" Target="https://saranistudio.sharepoint.com/:b:/s/SaraniAssets/EQwOA5kfmXhGorH18KHUHTQB-DCA6RYRO1oYer0jJMvRkQ?e=9TOwqN" TargetMode="External"/><Relationship Id="rId277" Type="http://schemas.openxmlformats.org/officeDocument/2006/relationships/hyperlink" Target="https://saranistudio.sharepoint.com/:b:/s/SaraniAssets/EYB4GuQUUCBIl3rPnOgk8-sB3kQ93sfRrmZVYQxzQb3LPg?e=ZlobtX" TargetMode="External"/><Relationship Id="rId400" Type="http://schemas.openxmlformats.org/officeDocument/2006/relationships/hyperlink" Target="https://saranistudio.sharepoint.com/:f:/s/SaraniAssets/EkM4_4S2YUlChNsH90t7glEB0h_thC1ZAJOIh6EKmPcE9w?e=hxqLqh" TargetMode="External"/><Relationship Id="rId484" Type="http://schemas.openxmlformats.org/officeDocument/2006/relationships/hyperlink" Target="https://saranistudio-my.sharepoint.com/:b:/g/personal/team_sarani_studio/ETkGUyxruClOsOlyMOV0dggBf9T4QTEtwVZTnvLEJu7hmw?e=x4Yd4S" TargetMode="External"/><Relationship Id="rId705" Type="http://schemas.openxmlformats.org/officeDocument/2006/relationships/hyperlink" Target="https://saranistudio-my.sharepoint.com/:b:/g/personal/team_sarani_studio/EZX03DRiCzlLkrHr5k2mhAoBxnTvR4_Me8OWkErMmZ6eXw?e=EkRL3Q" TargetMode="External"/><Relationship Id="rId1128" Type="http://schemas.openxmlformats.org/officeDocument/2006/relationships/hyperlink" Target="https://saranistudio.sharepoint.com/:b:/s/SaraniAssets/EX4x7bAqIb9EnbnmAnf_GRcB5i3tOaLKmfEXuwmSqBZI5w?e=twqFwJ" TargetMode="External"/><Relationship Id="rId1335" Type="http://schemas.openxmlformats.org/officeDocument/2006/relationships/hyperlink" Target="https://saranistudio.sharepoint.com/:b:/s/SaraniAssets/IQDFCCVpMUHxQq4Fr3zBRrI7AZnr0cs93qT8eP311Q6SCTc?e=cHDYqY" TargetMode="External"/><Relationship Id="rId137" Type="http://schemas.openxmlformats.org/officeDocument/2006/relationships/hyperlink" Target="https://saranistudio.sharepoint.com/:f:/s/SaraniAssets/Epw4h05_vL5CnVw4f-KDh-UB89uqfY6Sdd5s-k7Bcsy2Iw?e=8ENPlX" TargetMode="External"/><Relationship Id="rId344" Type="http://schemas.openxmlformats.org/officeDocument/2006/relationships/hyperlink" Target="https://saranistudio-my.sharepoint.com/:b:/g/personal/team_sarani_studio/EbjxyBzHVXJAsLL_TLov45wBkfjRbUcohJtDy1SAtsD4tA?e=WMQYMr" TargetMode="External"/><Relationship Id="rId691" Type="http://schemas.openxmlformats.org/officeDocument/2006/relationships/hyperlink" Target="https://saranistudio-my.sharepoint.com/:b:/g/personal/team_sarani_studio/EflMsNV6PY9FoqfKF-nRfl4BeENqbmB1r_tXyaczA3NBow?e=mEc1Pb" TargetMode="External"/><Relationship Id="rId789" Type="http://schemas.openxmlformats.org/officeDocument/2006/relationships/hyperlink" Target="https://saranistudio-my.sharepoint.com/:b:/g/personal/team_sarani_studio/Eco4aQkv_5JInHRev4O1x1MBo6cm1K9XIbViIfqmLKgv4Q?e=CbWcGX" TargetMode="External"/><Relationship Id="rId912" Type="http://schemas.openxmlformats.org/officeDocument/2006/relationships/hyperlink" Target="https://saranistudio-my.sharepoint.com/:b:/g/personal/team_sarani_studio/EV8toMr0tphKkAoQgiSr6iEBhzsOXXjNm5SCcIQbbqZH0w?e=YDw2oe" TargetMode="External"/><Relationship Id="rId996" Type="http://schemas.openxmlformats.org/officeDocument/2006/relationships/hyperlink" Target="https://saranistudio-my.sharepoint.com/:b:/g/personal/team_sarani_studio/EX0a-j4x8wFPiOA1KTJr6RMBWgELIWbKNFI-5b0fSeZdVw?e=2xDIJ5" TargetMode="External"/><Relationship Id="rId41" Type="http://schemas.openxmlformats.org/officeDocument/2006/relationships/hyperlink" Target="https://saranistudio-my.sharepoint.com/:f:/g/personal/team_sarani_studio/Eslmo5VnmeBOls9PXeiKfcsB6Y_V2-ku-io7Yd_KczQicQ?e=vV1ZSQ" TargetMode="External"/><Relationship Id="rId551" Type="http://schemas.openxmlformats.org/officeDocument/2006/relationships/hyperlink" Target="https://saranistudio.sharepoint.com/:f:/s/SaraniAssets/Ei3ANav5PvpHndaR3BFDZ5kBArHb4Zz92nDrVcl2i6mejw?e=t9Retc" TargetMode="External"/><Relationship Id="rId649" Type="http://schemas.openxmlformats.org/officeDocument/2006/relationships/hyperlink" Target="https://saranistudio.sharepoint.com/:f:/s/SaraniAssets/EtT4NUZpbSZMmx7tPUeLB84BZ8gHWzq5cD8naTWFMi-KDA?e=M1gw9I" TargetMode="External"/><Relationship Id="rId856" Type="http://schemas.openxmlformats.org/officeDocument/2006/relationships/hyperlink" Target="https://saranistudio.sharepoint.com/:f:/s/SaraniAssets/EobqDa7nvhhAgTeOqh3Gd1kBzCgIUfpL5tUcvPY4KSndmA?e=Lldzwd" TargetMode="External"/><Relationship Id="rId1181" Type="http://schemas.openxmlformats.org/officeDocument/2006/relationships/hyperlink" Target="https://saranistudio.sharepoint.com/:f:/s/SaraniAssets/Er_URh4pUrlDrMgc8jnNwHQB2hNGUKb0ah5umlkKz_Zvcw?e=3fNh1D" TargetMode="External"/><Relationship Id="rId1279" Type="http://schemas.openxmlformats.org/officeDocument/2006/relationships/hyperlink" Target="https://saranistudio.sharepoint.com/:f:/s/SaraniAssets/Eig19STN22RJo3_evU3DzNQB_nlUJOuNs9dLZfTeT4fa1A?e=8YobJJ" TargetMode="External"/><Relationship Id="rId1402" Type="http://schemas.openxmlformats.org/officeDocument/2006/relationships/hyperlink" Target="https://saranistudio.sharepoint.com/:b:/s/SaraniAssets/IQB10fJzYq22R5ByT667F4TKAcHXjzgLa4u12-NgC1wgpNg?e=3ebxuC" TargetMode="External"/><Relationship Id="rId190" Type="http://schemas.openxmlformats.org/officeDocument/2006/relationships/hyperlink" Target="https://saranistudio-my.sharepoint.com/:b:/g/personal/team_sarani_studio/EZq8osiLjkhPmcKT8E1ihwYBFA4-3JDKMCAPsSQ13wCRvQ?e=OkbS5c" TargetMode="External"/><Relationship Id="rId204" Type="http://schemas.openxmlformats.org/officeDocument/2006/relationships/hyperlink" Target="https://saranistudio-my.sharepoint.com/:b:/g/personal/team_sarani_studio/EVDbEEyekklAvnboueTocroBMRj1nfk-FPDv2jGy40Z5Zw?e=aoCu4r" TargetMode="External"/><Relationship Id="rId288" Type="http://schemas.openxmlformats.org/officeDocument/2006/relationships/hyperlink" Target="https://saranistudio.sharepoint.com/:f:/s/SaraniAssets/EvLqFCTPT-JBgWX0-O3P3HMBaUHT_hM3HZiMgfHLnAM-Zg?e=dKnCe7" TargetMode="External"/><Relationship Id="rId411" Type="http://schemas.openxmlformats.org/officeDocument/2006/relationships/hyperlink" Target="https://saranistudio.sharepoint.com/:f:/s/SaraniAssets/ErSgv-hqFRpOuvmAVjD_t1gBaECQLYpE-t9VB7eIFXWUGQ?e=qBNZQf" TargetMode="External"/><Relationship Id="rId509" Type="http://schemas.openxmlformats.org/officeDocument/2006/relationships/hyperlink" Target="https://saranistudio-my.sharepoint.com/:b:/g/personal/team_sarani_studio/EWEkOX5Cs5hJjYKV_5JJbf4BIcXPAKYEBbw8jyRlkPziKw?e=LmifJO" TargetMode="External"/><Relationship Id="rId1041" Type="http://schemas.openxmlformats.org/officeDocument/2006/relationships/hyperlink" Target="https://saranistudio.sharepoint.com/:f:/s/SaraniAssets/EqGLrmHSP5VJs0lrhte_p_cBQV6dJgPRQ_eTUC_uAP0ZhQ?e=r4d2j1" TargetMode="External"/><Relationship Id="rId1139" Type="http://schemas.openxmlformats.org/officeDocument/2006/relationships/hyperlink" Target="https://saranistudio.sharepoint.com/:b:/s/SaraniAssets/EYN6Mrh_mllPrWx9sIG-3sgBGhaBmi1wbG9l5BBdHHxpCg?e=YMb0FL" TargetMode="External"/><Relationship Id="rId1346" Type="http://schemas.openxmlformats.org/officeDocument/2006/relationships/hyperlink" Target="https://saranistudio.sharepoint.com/:f:/s/SaraniAssets/IgBNzrC012gcRbgk9uEA7RXXAUk6kZartjhOOxjDAGHM6Lw?e=FHUUGW" TargetMode="External"/><Relationship Id="rId495" Type="http://schemas.openxmlformats.org/officeDocument/2006/relationships/hyperlink" Target="https://saranistudio.sharepoint.com/:f:/s/SaraniAssets/EtZJKV3QQ1dFihGdGGlypzYBa2fM9OTDQjsX_Rt3tdBHwA?e=gmFcxS" TargetMode="External"/><Relationship Id="rId716" Type="http://schemas.openxmlformats.org/officeDocument/2006/relationships/hyperlink" Target="https://saranistudio.sharepoint.com/:f:/s/SaraniAssets/EhLg34UQKRRIr6YR_AKjHusBXew3FRjeuRzbfZnUl9hnaQ?e=vXnhvW" TargetMode="External"/><Relationship Id="rId923" Type="http://schemas.openxmlformats.org/officeDocument/2006/relationships/hyperlink" Target="https://saranistudio.sharepoint.com/:f:/s/SaraniAssets/EhsQm7QmgeJMg9XbdTVRtMUBlm81Z8OIYkPp-yJHPfydUw?e=HrmiQp" TargetMode="External"/><Relationship Id="rId52" Type="http://schemas.openxmlformats.org/officeDocument/2006/relationships/hyperlink" Target="https://saranistudio-my.sharepoint.com/:f:/g/personal/team_sarani_studio/Eo2562j1PBhFsm0D9eCdORoBS6przlDgwVkoQg0sOXiM3A?e=yrz1uS" TargetMode="External"/><Relationship Id="rId148" Type="http://schemas.openxmlformats.org/officeDocument/2006/relationships/hyperlink" Target="https://saranistudio.sharepoint.com/:f:/s/SaraniAssets/EvEpbJJidBJIphpL9bLaQiQB6nSdlpuoabFsbLUwdA3CCQ?e=ccfrKI" TargetMode="External"/><Relationship Id="rId355" Type="http://schemas.openxmlformats.org/officeDocument/2006/relationships/hyperlink" Target="https://saranistudio-my.sharepoint.com/:b:/g/personal/team_sarani_studio/EV008j8FmwVPovsgdHIIwBEB__DTWxzb64HlCkBdSlT_NA?e=EPevmH" TargetMode="External"/><Relationship Id="rId562" Type="http://schemas.openxmlformats.org/officeDocument/2006/relationships/hyperlink" Target="https://saranistudio.sharepoint.com/:f:/s/SaraniAssets/Ekq-c-EH7xJNpeFdFAZsFCcBRs91prkMQIZbDM6Ao654mA?e=GVe7R8" TargetMode="External"/><Relationship Id="rId1192" Type="http://schemas.openxmlformats.org/officeDocument/2006/relationships/hyperlink" Target="https://saranistudio.sharepoint.com/:b:/s/SaraniAssets/Ecw8Te8r3_pGqrWCK52oa98BPrxCnvx_W2lzk1BzKpRHBA?e=ZsDwnF" TargetMode="External"/><Relationship Id="rId1206" Type="http://schemas.openxmlformats.org/officeDocument/2006/relationships/hyperlink" Target="https://saranistudio.sharepoint.com/:f:/s/SaraniAssets/Ei8hqdtBo8RKltvl83SzSgcBOPM2dvtVuSW3UJ-0RVMOQA?e=SBI67V" TargetMode="External"/><Relationship Id="rId1413" Type="http://schemas.openxmlformats.org/officeDocument/2006/relationships/hyperlink" Target="https://saranistudio.sharepoint.com/:b:/s/SaraniAssets/IQB1mhBUlU5OQadhAaQkl67wAX-mAsapF8O5oM_lnofrR4s?e=CTPONd" TargetMode="External"/><Relationship Id="rId215" Type="http://schemas.openxmlformats.org/officeDocument/2006/relationships/hyperlink" Target="https://saranistudio.sharepoint.com/:f:/s/SaraniAssets/Ek4-C4S8VUhKrpgqfdB8kpsBCxBsDIcaltFTXJ6sYcDJYw?e=OiIPZw" TargetMode="External"/><Relationship Id="rId422" Type="http://schemas.openxmlformats.org/officeDocument/2006/relationships/hyperlink" Target="https://saranistudio.sharepoint.com/:f:/s/SaraniAssets/EuPLdBmkrSBBjYGA9yTfmOsB8gm0yfdSaY35ycXI4CHu3Q?e=ofOhdX" TargetMode="External"/><Relationship Id="rId867" Type="http://schemas.openxmlformats.org/officeDocument/2006/relationships/hyperlink" Target="https://saranistudio.sharepoint.com/:f:/s/SaraniAssets/ErM-r801mg9EqlA_v4uYQlwB5Cnavq2gPYFpayFE4xpemg?e=Gb32k8" TargetMode="External"/><Relationship Id="rId1052" Type="http://schemas.openxmlformats.org/officeDocument/2006/relationships/hyperlink" Target="https://saranistudio.sharepoint.com/:f:/s/SaraniAssets/Etow81zHqNlEkKND5O_guB4BJM40OQcpNZFJaCr87mYA8g?e=hQ86CH" TargetMode="External"/><Relationship Id="rId299" Type="http://schemas.openxmlformats.org/officeDocument/2006/relationships/hyperlink" Target="https://saranistudio.sharepoint.com/:f:/s/SaraniAssets/EicjkYBFJdFOsIJPGjTZYj4BZ1xU1-wmuN4QDnGvBW3EQQ?e=PlLNv4" TargetMode="External"/><Relationship Id="rId727" Type="http://schemas.openxmlformats.org/officeDocument/2006/relationships/hyperlink" Target="https://saranistudio.sharepoint.com/:f:/s/SaraniAssets/EhATuqeWM4BCqyNGGCc1cZ0Bv83MgU_UAwcAR5_p-DvWEw?e=VSaoXZ" TargetMode="External"/><Relationship Id="rId934" Type="http://schemas.openxmlformats.org/officeDocument/2006/relationships/hyperlink" Target="https://saranistudio.sharepoint.com/:f:/s/SaraniAssets/EqwkcJzJ_GFGurqhOs2mW6sBz57Gz_yQBs324U_TDDcJEQ?e=5rIqTS" TargetMode="External"/><Relationship Id="rId1357" Type="http://schemas.openxmlformats.org/officeDocument/2006/relationships/hyperlink" Target="https://saranistudio.sharepoint.com/:f:/s/SaraniAssets/IgAc_DjBUHksRr6pNiK3FMIiAdYnVNNkmL7OnsWOMd0rh8Y?e=bb8ttq" TargetMode="External"/><Relationship Id="rId63" Type="http://schemas.openxmlformats.org/officeDocument/2006/relationships/hyperlink" Target="https://saranistudio-my.sharepoint.com/:f:/g/personal/team_sarani_studio/ErdSLaG4JVpLopEZ8cxzFtUBxHbje724J8NKcPC9cI4CxQ?e=TTH44r" TargetMode="External"/><Relationship Id="rId159" Type="http://schemas.openxmlformats.org/officeDocument/2006/relationships/hyperlink" Target="https://saranistudio-my.sharepoint.com/:b:/g/personal/team_sarani_studio/ESPthCNjpEhMgnhygkWLu9IBQKUX6xiI-AicOgWl8ec73g?e=aaTAxK" TargetMode="External"/><Relationship Id="rId366" Type="http://schemas.openxmlformats.org/officeDocument/2006/relationships/hyperlink" Target="https://saranistudio-my.sharepoint.com/:f:/g/personal/team_sarani_studio/ErYK9M-zOA5Hl_9y0WcmEwsBwd5R8qMMwATIAABc168MWQ?e=kSNAdo" TargetMode="External"/><Relationship Id="rId573" Type="http://schemas.openxmlformats.org/officeDocument/2006/relationships/hyperlink" Target="https://saranistudio.sharepoint.com/:f:/s/SaraniAssets/EroKN3PzdltJneKt2o_XSUUB4sltXzgD2ObSFiLmGdrv1A?e=4ldb0s" TargetMode="External"/><Relationship Id="rId780" Type="http://schemas.openxmlformats.org/officeDocument/2006/relationships/hyperlink" Target="https://saranistudio.sharepoint.com/:f:/s/SaraniAssets/Et6DpXKre-BHksyvpX7udKcBpc1kc4c2zCxOkDgVgpvb_w?e=YWXHAr" TargetMode="External"/><Relationship Id="rId1217" Type="http://schemas.openxmlformats.org/officeDocument/2006/relationships/hyperlink" Target="https://saranistudio.sharepoint.com/:f:/s/SaraniAssets/EsFcZSU_5BBEl-ww452nWFcB51G5oaPdQ93kARXqFVYQIQ?e=MXP2tG" TargetMode="External"/><Relationship Id="rId226" Type="http://schemas.openxmlformats.org/officeDocument/2006/relationships/hyperlink" Target="https://saranistudio.sharepoint.com/:f:/s/SaraniAssets/EuDargvsjaJHm6KMYUjW1jkBhC2C0AUlOATLqNdWnjfKsQ?e=MBLIoI" TargetMode="External"/><Relationship Id="rId433" Type="http://schemas.openxmlformats.org/officeDocument/2006/relationships/hyperlink" Target="https://saranistudio.sharepoint.com/:f:/s/SaraniAssets/EtUnX_f3m65Pl1ZbIR2LtFcBdyH_pFE4j6bsj_lvVjHrzQ?e=6ao9MM" TargetMode="External"/><Relationship Id="rId878" Type="http://schemas.openxmlformats.org/officeDocument/2006/relationships/hyperlink" Target="https://saranistudio-my.sharepoint.com/:b:/g/personal/team_sarani_studio/EZcjULbe-S5FoRvamruCOrcBng68jt4EF3rtITyFfZM_mQ?e=iYnY6r" TargetMode="External"/><Relationship Id="rId1063" Type="http://schemas.openxmlformats.org/officeDocument/2006/relationships/hyperlink" Target="https://saranistudio-my.sharepoint.com/:b:/g/personal/team_sarani_studio/EYGJkOsqkFhBq48hilRII_wByDS2Q3mTtlqNhiyJVD36uQ?e=AXw1lH" TargetMode="External"/><Relationship Id="rId1270" Type="http://schemas.openxmlformats.org/officeDocument/2006/relationships/hyperlink" Target="https://saranistudio.sharepoint.com/:f:/s/SaraniAssets/El-J8USbSENNt3Hm51-KEOIB3LWa_QYhPsxQoEuhij19AA?e=o60AT3" TargetMode="External"/><Relationship Id="rId640" Type="http://schemas.openxmlformats.org/officeDocument/2006/relationships/hyperlink" Target="https://saranistudio.sharepoint.com/:f:/r/sites/SaraniAssets/Shared%20Documents/03.%20Customers/02.%20Sony/03.%20Sony%20France/03.%20V%26S%20(Audio)/20240808_Brief%20gondole%20high%20power%20Boulanger?csf=1&amp;web=1&amp;e=SQxdcF" TargetMode="External"/><Relationship Id="rId738" Type="http://schemas.openxmlformats.org/officeDocument/2006/relationships/hyperlink" Target="https://saranistudio-my.sharepoint.com/:b:/g/personal/team_sarani_studio/ESSe-O3hM-NKl2JqjIrhetgBQuaBqUiR3kxlTAwbhWcKMA?e=iD5wG9" TargetMode="External"/><Relationship Id="rId945" Type="http://schemas.openxmlformats.org/officeDocument/2006/relationships/hyperlink" Target="https://saranistudio-my.sharepoint.com/:b:/g/personal/team_sarani_studio/ETY_54_A42dEgXKKijQMyckBps9Qo_8OdQHi4d1dB_5D_w?e=z196PQ" TargetMode="External"/><Relationship Id="rId1368" Type="http://schemas.openxmlformats.org/officeDocument/2006/relationships/hyperlink" Target="https://saranistudio.sharepoint.com/:b:/s/SaraniAssets/IQDZMJtqKXSvTLTkq1kTnjo6Af5uXF9SycptOMgbooFqyu8?e=AgFL8w" TargetMode="External"/><Relationship Id="rId74" Type="http://schemas.openxmlformats.org/officeDocument/2006/relationships/hyperlink" Target="https://saranistudio-my.sharepoint.com/:f:/g/personal/team_sarani_studio/Euz2mPwjXO9ApleKiM0w1HIBWLN328saVLkmxOcKGWyUoA?e=ymSIjj" TargetMode="External"/><Relationship Id="rId377" Type="http://schemas.openxmlformats.org/officeDocument/2006/relationships/hyperlink" Target="https://saranistudio-my.sharepoint.com/:f:/g/personal/team_sarani_studio/Ev6IqmHMJZBCphm3dxGsXhYBeFhBvti6G9s1vJiBrYBRdA?e=gI4oeQ" TargetMode="External"/><Relationship Id="rId500" Type="http://schemas.openxmlformats.org/officeDocument/2006/relationships/hyperlink" Target="https://saranistudio.sharepoint.com/:f:/s/SaraniAssets/EuUYFnqbnpxPnAaX6F-_tLIBhMLkbIZL_y2SWZ9rYTCJaA?e=NVNVDT" TargetMode="External"/><Relationship Id="rId584" Type="http://schemas.openxmlformats.org/officeDocument/2006/relationships/hyperlink" Target="https://saranistudio.sharepoint.com/:f:/s/SaraniAssets/EhbO9XzfOCpEj8BayD-357EBr7rP_AXRMU_UkxK6_rmjxg?e=Wx7LoI" TargetMode="External"/><Relationship Id="rId805" Type="http://schemas.openxmlformats.org/officeDocument/2006/relationships/hyperlink" Target="https://saranistudio.sharepoint.com/:f:/s/SaraniAssets/EsKsN_izroNJv8SKi8w1HngBhIMRaXaV-4dvR-W-nz9Clw?e=jQjFQu" TargetMode="External"/><Relationship Id="rId1130" Type="http://schemas.openxmlformats.org/officeDocument/2006/relationships/hyperlink" Target="https://saranistudio.sharepoint.com/:f:/s/SaraniAssets/EgB5GmPlKzVHvfHb8jyUndkBOVKXAdOuSDjr5bYKnfd2_Q?e=lWhUxt" TargetMode="External"/><Relationship Id="rId1228" Type="http://schemas.openxmlformats.org/officeDocument/2006/relationships/hyperlink" Target="https://saranistudio.sharepoint.com/:b:/s/SaraniAssets/Ecm62Y1MipJFpqWQ5Te7gv0BG4N2HD815dc_mu78XfOWMw?e=kpTSDf" TargetMode="External"/><Relationship Id="rId5" Type="http://schemas.openxmlformats.org/officeDocument/2006/relationships/hyperlink" Target="https://saranistudio-my.sharepoint.com/:f:/g/personal/team_sarani_studio/EvZFoSgMoTlGiWeuK20ZrcwBr1BCtYNuR2DptwGgJMpg-A?e=ucRI2s" TargetMode="External"/><Relationship Id="rId237" Type="http://schemas.openxmlformats.org/officeDocument/2006/relationships/hyperlink" Target="https://saranistudio-my.sharepoint.com/:b:/g/personal/team_sarani_studio/EYWGVMM7uglFiTVIWi_5vJ8Bq6JIWdRv83Bi6j9YEKl1QQ?e=R3PjHE" TargetMode="External"/><Relationship Id="rId791" Type="http://schemas.openxmlformats.org/officeDocument/2006/relationships/hyperlink" Target="https://saranistudio-my.sharepoint.com/:b:/g/personal/team_sarani_studio/EW8GhWHVaP5IqK71BPptOj8B-sWFsxucoKrgy4Eyx4Wb_g?e=4sSy7b" TargetMode="External"/><Relationship Id="rId889" Type="http://schemas.openxmlformats.org/officeDocument/2006/relationships/hyperlink" Target="https://saranistudio.sharepoint.com/:f:/s/SaraniAssets/ElO_WFCAOHBFmzEfSWHffGYBrMtfe4zOxJuh6lipSWScBg?e=LwxGlK" TargetMode="External"/><Relationship Id="rId1074" Type="http://schemas.openxmlformats.org/officeDocument/2006/relationships/hyperlink" Target="https://saranistudio-my.sharepoint.com/:b:/g/personal/team_sarani_studio/EQ8fnwV5TwlPvXXSGqlVr2cBKu4JEXfUTYKczmZ-_df2ig?e=uBESpE" TargetMode="External"/><Relationship Id="rId444" Type="http://schemas.openxmlformats.org/officeDocument/2006/relationships/hyperlink" Target="https://saranistudio.sharepoint.com/:f:/s/SaraniAssets/Em_b86CsQbZMrDe8YW9DG1kB7dn3_27o3JuEq73puUrOIA?e=tXn1t3" TargetMode="External"/><Relationship Id="rId651" Type="http://schemas.openxmlformats.org/officeDocument/2006/relationships/hyperlink" Target="https://saranistudio.sharepoint.com/:f:/s/SaraniAssets/EhlRPcLhBGBEo3R0CAlYVooBS38iqHExb7bU9xSbsyF0Tg?e=qwHwPd" TargetMode="External"/><Relationship Id="rId749" Type="http://schemas.openxmlformats.org/officeDocument/2006/relationships/hyperlink" Target="https://saranistudio.sharepoint.com/:f:/s/SaraniAssets/EtTo0WLGJ41CkMQyVvB-qQYBwyyjP4n--5F4ivHpSgw9cw?e=u5Fyvu" TargetMode="External"/><Relationship Id="rId1281" Type="http://schemas.openxmlformats.org/officeDocument/2006/relationships/hyperlink" Target="https://saranistudio.sharepoint.com/:f:/s/SaraniAssets/ElupN-kw5mpNni1ketO9RgEBgvSMuUrh81D1csr-qaC5sg?e=3wDWRW" TargetMode="External"/><Relationship Id="rId1379" Type="http://schemas.openxmlformats.org/officeDocument/2006/relationships/hyperlink" Target="https://saranistudio.sharepoint.com/:f:/s/SaraniAssets/IgA_8lF4gaICSa09UPVVoOmDAXXsFR8Fs4K5o6_gtBb-w8c?e=i7n2tR" TargetMode="External"/><Relationship Id="rId290" Type="http://schemas.openxmlformats.org/officeDocument/2006/relationships/hyperlink" Target="https://saranistudio-my.sharepoint.com/:b:/g/personal/team_sarani_studio/Ef08ecDBfrxHoDQtiT02wrEBTAAQxP2v4rq-1idxO41QTQ?e=veCSoV" TargetMode="External"/><Relationship Id="rId304" Type="http://schemas.openxmlformats.org/officeDocument/2006/relationships/hyperlink" Target="https://saranistudio-my.sharepoint.com/:b:/g/personal/team_sarani_studio/ERbG334ExCBCqCb8zJ9vFREB4MicjMOCfu7R4AHgcTSnEA?e=rVMxz9" TargetMode="External"/><Relationship Id="rId388" Type="http://schemas.openxmlformats.org/officeDocument/2006/relationships/hyperlink" Target="https://saranistudio-my.sharepoint.com/:f:/g/personal/team_sarani_studio/EshfpkcRdslJlWo_wRSFdokBKfbGaymAkkISj5Hs0t-4Gg?e=rxI0Dg" TargetMode="External"/><Relationship Id="rId511" Type="http://schemas.openxmlformats.org/officeDocument/2006/relationships/hyperlink" Target="https://saranistudio-my.sharepoint.com/:b:/g/personal/team_sarani_studio/ERTYPxQ-i5hLlHk58FqffiwByQrbJuglizmRgboW81i5SA?e=VU0oPO" TargetMode="External"/><Relationship Id="rId609" Type="http://schemas.openxmlformats.org/officeDocument/2006/relationships/hyperlink" Target="https://saranistudio-my.sharepoint.com/:b:/g/personal/team_sarani_studio/EZb6XLaWbcVIhvt3p_3Zi2oBzqdHs8hxQRV652nw5gkE6Q?e=wIXarR" TargetMode="External"/><Relationship Id="rId956" Type="http://schemas.openxmlformats.org/officeDocument/2006/relationships/hyperlink" Target="https://saranistudio.sharepoint.com/:f:/s/SaraniAssets/Erhr9VpOIspPndq5mJQXhusBUaB_iFTyc9JyuIaRvV2rIw?e=U2WrMG" TargetMode="External"/><Relationship Id="rId1141" Type="http://schemas.openxmlformats.org/officeDocument/2006/relationships/hyperlink" Target="https://saranistudio.sharepoint.com/:b:/s/SaraniAssets/Eb0ZwzDGUolOmPP9S5DauZgBJusQwpmaw1izxKHmeDKMZQ?e=2d4kSF" TargetMode="External"/><Relationship Id="rId1239" Type="http://schemas.openxmlformats.org/officeDocument/2006/relationships/hyperlink" Target="https://saranistudio.sharepoint.com/:f:/s/SaraniAssets/EiO_eDG7l09AuX-cj8QR_IUBmZFigmrH4_YwG_yEu3KYZw?e=OTIB9X" TargetMode="External"/><Relationship Id="rId85" Type="http://schemas.openxmlformats.org/officeDocument/2006/relationships/hyperlink" Target="https://saranistudio-my.sharepoint.com/:f:/g/personal/team_sarani_studio/ErBIh8Q7RcxKtpZSkOTPKuUB4hqTOQ1qXwlxHVwbTHUBjw?e=ZrA0BB" TargetMode="External"/><Relationship Id="rId150" Type="http://schemas.openxmlformats.org/officeDocument/2006/relationships/hyperlink" Target="https://saranistudio.sharepoint.com/:f:/s/SaraniAssets/En7FKk0utLxBgDFZPlo1_nsByb06GLKqiXDojjLdmHkuGw?e=nRecsF" TargetMode="External"/><Relationship Id="rId595" Type="http://schemas.openxmlformats.org/officeDocument/2006/relationships/hyperlink" Target="https://saranistudio.sharepoint.com/:f:/s/SaraniAssets/EtqHfimpfxhGppOD-ZaLOvYBk-hY54gXjNLgP7htjM0n3A?e=RRXAiA" TargetMode="External"/><Relationship Id="rId816" Type="http://schemas.openxmlformats.org/officeDocument/2006/relationships/hyperlink" Target="https://saranistudio-my.sharepoint.com/:b:/g/personal/team_sarani_studio/EZPP4PZRAuJNu-Z0W6RL2ssB_mfF0K7jEOyHN8PRAg17SQ?e=ZDV769" TargetMode="External"/><Relationship Id="rId1001" Type="http://schemas.openxmlformats.org/officeDocument/2006/relationships/hyperlink" Target="https://saranistudio-my.sharepoint.com/:b:/g/personal/team_sarani_studio/EZeRmMLkYyNHr_HalQT1nRYBwK-XOkfkVPKQFdPDhuffaQ?e=y5rMlW" TargetMode="External"/><Relationship Id="rId248" Type="http://schemas.openxmlformats.org/officeDocument/2006/relationships/hyperlink" Target="https://saranistudio-my.sharepoint.com/:b:/g/personal/team_sarani_studio/EacYcAvM6c1NnVYFi5WKm1ABE58avpJZsxRdRJl7CAP6Yw?e=ha9jef" TargetMode="External"/><Relationship Id="rId455" Type="http://schemas.openxmlformats.org/officeDocument/2006/relationships/hyperlink" Target="https://saranistudio.sharepoint.com/:f:/s/SaraniAssets/EnGJM3eYNIxLv_mnxjzdFOUBcX_Pv9vt4ZPvNxu-tMcMiA?e=rcAj2L" TargetMode="External"/><Relationship Id="rId662" Type="http://schemas.openxmlformats.org/officeDocument/2006/relationships/hyperlink" Target="https://saranistudio-my.sharepoint.com/:b:/g/personal/team_sarani_studio/EWZenc4qvh9Kq6vK9FQZ8E4BDVYTBJQeEKnyPcKsfPUeWw?e=uWt9PT" TargetMode="External"/><Relationship Id="rId1085" Type="http://schemas.openxmlformats.org/officeDocument/2006/relationships/hyperlink" Target="https://saranistudio.sharepoint.com/:f:/s/SaraniAssets/EmQsftwI8sRBha-n_8MQ8WABhlAGIxHVWp1LhLi0oG6KZA?e=VQ5cCl" TargetMode="External"/><Relationship Id="rId1292" Type="http://schemas.openxmlformats.org/officeDocument/2006/relationships/hyperlink" Target="https://saranistudio.sharepoint.com/:b:/s/SaraniAssets/IQBNKWvXf4QWS7bd77WghfL7ASH0a_Crh5eccvNiHuf-2vU?e=jZ06lu" TargetMode="External"/><Relationship Id="rId1306" Type="http://schemas.openxmlformats.org/officeDocument/2006/relationships/hyperlink" Target="https://saranistudio.sharepoint.com/:f:/s/SaraniAssets/IgD3c8K-P29XRp3IW23V3TltAbCaf4UgEg9bvNrPqwyqScc?e=AXxDKc" TargetMode="External"/><Relationship Id="rId12" Type="http://schemas.openxmlformats.org/officeDocument/2006/relationships/hyperlink" Target="https://saranistudio-my.sharepoint.com/:f:/g/personal/team_sarani_studio/Em0VBaXS7r5GiCtkcsyiCosBToqjoeJ6S1SQLfPqkfkGsQ?e=fEshRi" TargetMode="External"/><Relationship Id="rId108" Type="http://schemas.openxmlformats.org/officeDocument/2006/relationships/hyperlink" Target="https://saranistudio-my.sharepoint.com/:b:/g/personal/team_sarani_studio/EbMu1HYXhFpLtgxnigk-TjcB6fev3kyohzD-8laqQpYdng?e=lbUxXL" TargetMode="External"/><Relationship Id="rId315" Type="http://schemas.openxmlformats.org/officeDocument/2006/relationships/hyperlink" Target="https://saranistudio.sharepoint.com/:f:/s/SaraniAssets/El6JUgriq5VLpbkwd8HuxeMB6f8siWKlbXTB7a8AoLGadg?e=41lFTW" TargetMode="External"/><Relationship Id="rId522" Type="http://schemas.openxmlformats.org/officeDocument/2006/relationships/hyperlink" Target="https://saranistudio.sharepoint.com/:f:/s/SaraniAssets/Et0hUCo5dGxNsdkyKhZJFkgBpCYS4IM_RykmowQq5dUpyw?e=bLchob" TargetMode="External"/><Relationship Id="rId967" Type="http://schemas.openxmlformats.org/officeDocument/2006/relationships/hyperlink" Target="https://saranistudio-my.sharepoint.com/:b:/g/personal/team_sarani_studio/ESCUFUBpzKhPqMdHkIoRywsBcRxtqF4ty9pInS5fAPBt6g?e=L31niO" TargetMode="External"/><Relationship Id="rId1152" Type="http://schemas.openxmlformats.org/officeDocument/2006/relationships/hyperlink" Target="https://saranistudio.sharepoint.com/:f:/s/SaraniAssets/Eu086MtSoAxEuAGryDRguHQBj-Ef1q6Hxy03TpzOXD0xCw?e=eyQuPr" TargetMode="External"/><Relationship Id="rId96" Type="http://schemas.openxmlformats.org/officeDocument/2006/relationships/hyperlink" Target="https://saranistudio-my.sharepoint.com/:f:/g/personal/team_sarani_studio/Eo1WM37R-eJAh5DDN3KO-6IBfCmnVD1lTAycgVSjrLzLHQ?e=nn4yec" TargetMode="External"/><Relationship Id="rId161" Type="http://schemas.openxmlformats.org/officeDocument/2006/relationships/hyperlink" Target="https://saranistudio.sharepoint.com/:f:/s/SaraniAssets/EoDd5iSaHp1BmhGEHbw4yxQBQ4qnO6mrhQAweiEthTCCHQ?e=fIHbbK" TargetMode="External"/><Relationship Id="rId399" Type="http://schemas.openxmlformats.org/officeDocument/2006/relationships/hyperlink" Target="https://saranistudio.sharepoint.com/:f:/s/SaraniAssets/EsSvNf2CmCpLoLYMmLs749cBUiV0hVkSNGQXJeSn24BJww?e=mJoRlc" TargetMode="External"/><Relationship Id="rId827" Type="http://schemas.openxmlformats.org/officeDocument/2006/relationships/hyperlink" Target="https://saranistudio.sharepoint.com/:f:/r/sites/SaraniAssets/Shared%20Documents/03.%20Customers/02.%20Sony/03.%20Sony%20France/01.%20Cross/20241128_MEDIA%20CROSS%20-%20Op%C3%A9%20No%C3%ABl%202024?csf=1&amp;web=1&amp;e=n9BvEN" TargetMode="External"/><Relationship Id="rId1012" Type="http://schemas.openxmlformats.org/officeDocument/2006/relationships/hyperlink" Target="https://saranistudio-my.sharepoint.com/:b:/g/personal/team_sarani_studio/EceYno7w8_ZEhLMlDiNzp7wBefGyGQNLTAvbEh9JExxyAw?e=6Zyz38" TargetMode="External"/><Relationship Id="rId259" Type="http://schemas.openxmlformats.org/officeDocument/2006/relationships/hyperlink" Target="https://saranistudio.sharepoint.com/:f:/s/SaraniAssets/Ehlx1QHa5nVFk9jOx6_X-4wB-kQF0cgJOpv_7bM_nYb8vA?e=1ZskZ6" TargetMode="External"/><Relationship Id="rId466" Type="http://schemas.openxmlformats.org/officeDocument/2006/relationships/hyperlink" Target="https://saranistudio-my.sharepoint.com/:b:/g/personal/team_sarani_studio/EbFeck4rv9pMs0N-AtdSEzQBmlZutNt_pV45jhyp1dNTDg?e=yhgoNl" TargetMode="External"/><Relationship Id="rId673" Type="http://schemas.openxmlformats.org/officeDocument/2006/relationships/hyperlink" Target="https://saranistudio.sharepoint.com/:f:/s/SaraniAssets/Erwvypj3fwtOnxlTdVc3BMQBSjX904UmcWStlOHFiwX8rg?e=WqVsAX" TargetMode="External"/><Relationship Id="rId880" Type="http://schemas.openxmlformats.org/officeDocument/2006/relationships/hyperlink" Target="https://saranistudio-my.sharepoint.com/:b:/g/personal/team_sarani_studio/EQwtZTrrgIJAkZrdzFmMfysBr2y3zJQ0VuqcArBMDMkduA?e=ZtJH4N" TargetMode="External"/><Relationship Id="rId1096" Type="http://schemas.openxmlformats.org/officeDocument/2006/relationships/hyperlink" Target="https://saranistudio.sharepoint.com/:f:/s/SaraniAssets/ElFdJVXxmBhNp1qh7MZa0_sBrYb7fnbO30dehacFVw2Kqg?e=bLqwoX" TargetMode="External"/><Relationship Id="rId1317" Type="http://schemas.openxmlformats.org/officeDocument/2006/relationships/hyperlink" Target="https://saranistudio.sharepoint.com/:f:/s/SaraniAssets/IgCQ2vANsQ7aT7zt63D1EvzgAY4xIxGNfHZAs1H5EDUt9gI?e=U9q6S5" TargetMode="External"/><Relationship Id="rId23" Type="http://schemas.openxmlformats.org/officeDocument/2006/relationships/hyperlink" Target="https://saranistudio-my.sharepoint.com/:f:/g/personal/team_sarani_studio/Ev8VV5oNGQpDt88C9YGvPJ0BeWvCOnfN80JI8f52rlCkDA?e=svUNka" TargetMode="External"/><Relationship Id="rId119" Type="http://schemas.openxmlformats.org/officeDocument/2006/relationships/hyperlink" Target="https://saranistudio-my.sharepoint.com/:b:/g/personal/team_sarani_studio/EWpE3hXotlpGqUUf3-d076oBYc9ifdfAUM4r3WVYiVXhkw?e=WnxmrE" TargetMode="External"/><Relationship Id="rId326" Type="http://schemas.openxmlformats.org/officeDocument/2006/relationships/hyperlink" Target="https://saranistudio-my.sharepoint.com/:b:/g/personal/team_sarani_studio/EfCMrxGfBGNAg-bCsn5ZthEBBIhRYzfMITPZuebg7JEdWg?e=M7pOzh" TargetMode="External"/><Relationship Id="rId533" Type="http://schemas.openxmlformats.org/officeDocument/2006/relationships/hyperlink" Target="https://saranistudio.sharepoint.com/:f:/s/SaraniAssets/EozSxbw1PLpIi7ps5MaPEzEBg8x5eZOcaMVSkbQpSNgx6A?e=YDz7Hg" TargetMode="External"/><Relationship Id="rId978" Type="http://schemas.openxmlformats.org/officeDocument/2006/relationships/hyperlink" Target="https://saranistudio.sharepoint.com/:f:/s/SaraniAssets/EpUsX1HZVtpBuT55s_iCa5QBr9N0tG_jmTFZffPUalPvPg?e=uP4JcO" TargetMode="External"/><Relationship Id="rId1163" Type="http://schemas.openxmlformats.org/officeDocument/2006/relationships/hyperlink" Target="https://saranistudio.sharepoint.com/:b:/s/SaraniAssets/ERBKXR2MquROgWIi7cIbo9sBYdaZemItxRpE_kpyFPKYsQ?e=8q1eQv" TargetMode="External"/><Relationship Id="rId1370" Type="http://schemas.openxmlformats.org/officeDocument/2006/relationships/hyperlink" Target="https://saranistudio.sharepoint.com/:f:/s/SaraniAssets/IgAqYcL-I-GKRLd3CZTxG1dYATRarqKWmspFHS-tl7YwTLA?e=togvF3" TargetMode="External"/><Relationship Id="rId740" Type="http://schemas.openxmlformats.org/officeDocument/2006/relationships/hyperlink" Target="https://saranistudio-my.sharepoint.com/:b:/g/personal/team_sarani_studio/EXT7ohw0fx1LpVptrWIUvjEBZnF11yNIF0OqtEse_IHvpQ?e=bCiVXR" TargetMode="External"/><Relationship Id="rId838" Type="http://schemas.openxmlformats.org/officeDocument/2006/relationships/hyperlink" Target="https://saranistudio.sharepoint.com/:f:/s/SaraniAssets/EimNvFV4i9JPmT6QdwtzLvcBgRdvpRvjM-DgLtPU6Pfyzg?e=64K8cg" TargetMode="External"/><Relationship Id="rId1023" Type="http://schemas.openxmlformats.org/officeDocument/2006/relationships/hyperlink" Target="https://saranistudio-my.sharepoint.com/:b:/g/personal/team_sarani_studio/EQmkdX4cZvJFqJiE6akvCHMBKCMb5t5MtdhhtWYSE0cyOw?e=G6xw2Y" TargetMode="External"/><Relationship Id="rId172" Type="http://schemas.openxmlformats.org/officeDocument/2006/relationships/hyperlink" Target="https://saranistudio-my.sharepoint.com/:b:/g/personal/team_sarani_studio/EcQ2bFA71DxKit4aFhtCavsBXCxBKjD2Jt9SYzLZ3VkeUA?e=0V6KoA" TargetMode="External"/><Relationship Id="rId477" Type="http://schemas.openxmlformats.org/officeDocument/2006/relationships/hyperlink" Target="https://saranistudio.sharepoint.com/:f:/s/SaraniAssets/EpI4LuUcEvdChCCBrbH1XssBpxyzTJ27kIt1ZaA8q9RVmQ?e=NejfAw" TargetMode="External"/><Relationship Id="rId600" Type="http://schemas.openxmlformats.org/officeDocument/2006/relationships/hyperlink" Target="https://saranistudio.sharepoint.com/:f:/s/SaraniAssets/EnDGwhOIgKpKmvhf95Wcy5IBbYZioYn5VfY1L6G8SIbKrQ?e=I0DCKj" TargetMode="External"/><Relationship Id="rId684" Type="http://schemas.openxmlformats.org/officeDocument/2006/relationships/hyperlink" Target="https://saranistudio-my.sharepoint.com/:b:/g/personal/team_sarani_studio/ERpkiEQXzgxElpUro2vE_d4BFB3vBuo_irXd-g8VNzQGkQ?e=vP1g2c" TargetMode="External"/><Relationship Id="rId1230" Type="http://schemas.openxmlformats.org/officeDocument/2006/relationships/hyperlink" Target="https://saranistudio.sharepoint.com/:b:/s/SaraniAssets/EcmdiwBw0ytEh310L84OdD8Beair6xvkKu0DV4SvLeB2jg?e=e0lgGj" TargetMode="External"/><Relationship Id="rId1328" Type="http://schemas.openxmlformats.org/officeDocument/2006/relationships/hyperlink" Target="https://saranistudio.sharepoint.com/:b:/s/SaraniAssets/IQCrHr5yMsjcQIsEpQXlP3mgAaiuBPq90LbU46gBQe3PVq4?e=wRFnwP" TargetMode="External"/><Relationship Id="rId337" Type="http://schemas.openxmlformats.org/officeDocument/2006/relationships/hyperlink" Target="https://saranistudio.sharepoint.com/:f:/s/SaraniAssets/Eu_VtA94-DNKsBWZapZiQ8MBA24HCtS1PCc4Y6Ny-bf79A?e=zi3fLa" TargetMode="External"/><Relationship Id="rId891" Type="http://schemas.openxmlformats.org/officeDocument/2006/relationships/hyperlink" Target="https://saranistudio.sharepoint.com/:f:/s/SaraniAssets/ElJsmY2QzbpNiWukzvrDiIcBoK7xtSRw_tcWRmyjiXoOQA?e=M4iuHS" TargetMode="External"/><Relationship Id="rId905" Type="http://schemas.openxmlformats.org/officeDocument/2006/relationships/hyperlink" Target="https://saranistudio.sharepoint.com/:f:/s/SaraniAssets/ElopnogQhbRHipryx2K8IPwBXwWUE8Ek7BMxZFKgoRNxZg?e=wWhrrK" TargetMode="External"/><Relationship Id="rId989" Type="http://schemas.openxmlformats.org/officeDocument/2006/relationships/hyperlink" Target="https://saranistudio.sharepoint.com/:f:/s/SaraniAssets/Eu15uBu20B1DoiJ2e41d-5oBK1QPOH5mTE2-zK-TbgywWg?e=GyIBTf" TargetMode="External"/><Relationship Id="rId34" Type="http://schemas.openxmlformats.org/officeDocument/2006/relationships/hyperlink" Target="https://saranistudio-my.sharepoint.com/:f:/g/personal/team_sarani_studio/EhmXSE3SqJlLttJIjP3d1EwBO-MeT52KYDPXcUnZ4UeiYQ?e=EPq6RY" TargetMode="External"/><Relationship Id="rId544" Type="http://schemas.openxmlformats.org/officeDocument/2006/relationships/hyperlink" Target="https://saranistudio.sharepoint.com/:f:/s/SaraniAssets/EouMIdRhPcVDsdIUWvbbkB4Blsi550HM2ChPSeJp7Z0roA?e=GeOeJo" TargetMode="External"/><Relationship Id="rId751" Type="http://schemas.openxmlformats.org/officeDocument/2006/relationships/hyperlink" Target="https://saranistudio.sharepoint.com/:f:/s/SaraniAssets/Eg-Cv1a3jVBAkTk-QhHc328BJNjwl3oiS1v-8jD_yX-n9g?e=wFCzie" TargetMode="External"/><Relationship Id="rId849" Type="http://schemas.openxmlformats.org/officeDocument/2006/relationships/hyperlink" Target="https://saranistudio.sharepoint.com/:f:/s/SaraniAssets/Ep-mSi01tKdMhpBM3md3wBoBmtDVkDNB6CI2sHsl0zAGKQ?e=8gE6cE" TargetMode="External"/><Relationship Id="rId1174" Type="http://schemas.openxmlformats.org/officeDocument/2006/relationships/hyperlink" Target="https://saranistudio.sharepoint.com/:b:/s/SaraniAssets/ERIL3_ZjBxFOo7guZOUDpsABag5r3HV1sg7E3BlJOohBUw?e=ymxkcC" TargetMode="External"/><Relationship Id="rId1381" Type="http://schemas.openxmlformats.org/officeDocument/2006/relationships/hyperlink" Target="https://saranistudio.sharepoint.com/:f:/s/SaraniAssets/IgAs39R9-pP2Qrx2iiwoBCqAAf7dfKC57oZW-Z-P3AmS0Hc?e=6hYqwp" TargetMode="External"/><Relationship Id="rId183" Type="http://schemas.openxmlformats.org/officeDocument/2006/relationships/hyperlink" Target="https://saranistudio.sharepoint.com/:f:/s/SaraniAssets/EmNZUpYuUJVBlPsZ5mpcLwsBDIhpr6GOmZlNGa9BS72IYg?e=ZS0gUM" TargetMode="External"/><Relationship Id="rId390" Type="http://schemas.openxmlformats.org/officeDocument/2006/relationships/hyperlink" Target="https://saranistudio.sharepoint.com/:f:/s/SaraniAssets/EsYuFhHQcFRDtLfSjO_6uGMB0GNO5CLhpB3N6Q9GmyqNJQ?e=Y20eDi" TargetMode="External"/><Relationship Id="rId404" Type="http://schemas.openxmlformats.org/officeDocument/2006/relationships/hyperlink" Target="https://saranistudio.sharepoint.com/:f:/s/SaraniAssets/EtFcNiBU0NdFlh47hWv2DIcB350g2zzLb2TcsdaZ7gu2IA?e=VVwlcH" TargetMode="External"/><Relationship Id="rId611" Type="http://schemas.openxmlformats.org/officeDocument/2006/relationships/hyperlink" Target="https://saranistudio-my.sharepoint.com/:b:/g/personal/team_sarani_studio/ESUr14er0ctCuqjXS5pKcFwBZQMUv24UoqJ089QsXxOx8Q?e=etBxNM" TargetMode="External"/><Relationship Id="rId1034" Type="http://schemas.openxmlformats.org/officeDocument/2006/relationships/hyperlink" Target="https://saranistudio.sharepoint.com/:f:/s/SaraniAssets/Ev5S_l7JyG1Esl5XrDOFuSEB7S7Gqnx_rgInu9FZXAcj_A?e=UDcDvN" TargetMode="External"/><Relationship Id="rId1241" Type="http://schemas.openxmlformats.org/officeDocument/2006/relationships/hyperlink" Target="https://saranistudio.sharepoint.com/:f:/s/SaraniAssets/Em24-XlGphFIgkBOC70CwWgBsIcbGYigIXjNjTEEB-v-oQ?e=hYGbKO" TargetMode="External"/><Relationship Id="rId1339" Type="http://schemas.openxmlformats.org/officeDocument/2006/relationships/hyperlink" Target="https://saranistudio.sharepoint.com/:f:/s/SaraniAssets/IgB8mpZbWZD-R5CI_RuDtXz-AUbJGbIIBZNeYCoIT1tcrk8?e=6hcfXw" TargetMode="External"/><Relationship Id="rId250" Type="http://schemas.openxmlformats.org/officeDocument/2006/relationships/hyperlink" Target="https://saranistudio-my.sharepoint.com/:b:/g/personal/team_sarani_studio/ER04FKUsxMdNpc9PLwzvJA4BjY-XQVjWZkxRvQ5wdZqZyg?e=fbfmHc" TargetMode="External"/><Relationship Id="rId488" Type="http://schemas.openxmlformats.org/officeDocument/2006/relationships/hyperlink" Target="https://saranistudio.sharepoint.com/:f:/s/SaraniAssets/EtsV8PoN70NFl0M7kPyWV6kBtKJmEaon9gelwAx4plPWng?e=Sd6NYJ" TargetMode="External"/><Relationship Id="rId695" Type="http://schemas.openxmlformats.org/officeDocument/2006/relationships/hyperlink" Target="https://saranistudio.sharepoint.com/:f:/s/SaraniAssets/EvlAA6gGI3dEq6igXUAxNLEBlNOPTOWjEtwqewHJIn8noQ?e=khFhrQ" TargetMode="External"/><Relationship Id="rId709" Type="http://schemas.openxmlformats.org/officeDocument/2006/relationships/hyperlink" Target="https://saranistudio.sharepoint.com/:f:/s/SaraniAssets/EqEhsE2mkfJMqaIjW-T2toEB466UQWl0F2C_7L06CuErWA?e=VLNOGN" TargetMode="External"/><Relationship Id="rId916" Type="http://schemas.openxmlformats.org/officeDocument/2006/relationships/hyperlink" Target="https://saranistudio.sharepoint.com/:f:/s/SaraniAssets/Epp9ZG1JkYtFkqCUUaQtDBgB7MUS70e00HA2Gku5wyGnxw?e=OQ7Ous" TargetMode="External"/><Relationship Id="rId1101" Type="http://schemas.openxmlformats.org/officeDocument/2006/relationships/hyperlink" Target="https://saranistudio.sharepoint.com/:b:/s/SaraniAssets/Eeb7HXsYg5BAn8kcV4E3ez8BQeg5LvBBGVEdZkMgywjphg?e=f08ogv" TargetMode="External"/><Relationship Id="rId45" Type="http://schemas.openxmlformats.org/officeDocument/2006/relationships/hyperlink" Target="https://saranistudio-my.sharepoint.com/:f:/g/personal/team_sarani_studio/Eqe3rBnlph1BiwQsMsq2QLkBMf2xPp5Wnzudz7Z8Kwje7Q?e=SJbPDi" TargetMode="External"/><Relationship Id="rId110" Type="http://schemas.openxmlformats.org/officeDocument/2006/relationships/hyperlink" Target="https://saranistudio-my.sharepoint.com/:b:/g/personal/team_sarani_studio/EasI3NzmUiNBsxQbJyupZ0YB3EJpW77PbqhDJyVB0m7eNw?e=SaMo42" TargetMode="External"/><Relationship Id="rId348" Type="http://schemas.openxmlformats.org/officeDocument/2006/relationships/hyperlink" Target="https://saranistudio-my.sharepoint.com/:b:/g/personal/team_sarani_studio/EZ7Flf3xqXNIoZ9T3gHch7gBJmwMn_UwI6EtXMkYdAg1fQ?e=EXJF76" TargetMode="External"/><Relationship Id="rId555" Type="http://schemas.openxmlformats.org/officeDocument/2006/relationships/hyperlink" Target="https://saranistudio.sharepoint.com/:f:/s/SaraniAssets/EmlF2Giz0-BBuyDs2pgrDHkB1jTEvQdNa0BMW-dWIEkmZg?e=eVLTPi" TargetMode="External"/><Relationship Id="rId762" Type="http://schemas.openxmlformats.org/officeDocument/2006/relationships/hyperlink" Target="https://saranistudio.sharepoint.com/:f:/s/SaraniAssets/EviNQ_ms3w9Cs3G-sfBv_7oBnF5as2iEI4NMP8h87qHZ9Q?e=zw61PL" TargetMode="External"/><Relationship Id="rId1185" Type="http://schemas.openxmlformats.org/officeDocument/2006/relationships/hyperlink" Target="https://saranistudio.sharepoint.com/:b:/s/SaraniAssets/EbHeLbTmJ69IsHAwKsyRnDIBi7YuotudvIs5Y8Y2YZujHQ?e=5VecPU" TargetMode="External"/><Relationship Id="rId1392" Type="http://schemas.openxmlformats.org/officeDocument/2006/relationships/hyperlink" Target="https://saranistudio.sharepoint.com/:b:/s/SaraniAssets/IQCF8ujODNpGSIpq5Wc5_RDiAXC3R2JLzsC7wfbSgTUFTLY?e=dr6vLz" TargetMode="External"/><Relationship Id="rId1406" Type="http://schemas.openxmlformats.org/officeDocument/2006/relationships/hyperlink" Target="https://saranistudio.sharepoint.com/:b:/s/SaraniAssets/IQC5GuUUnaNjS5aaIkveKaK4Aa-YDHD0xLXCCwwvdfdax9U?e=G9P32w" TargetMode="External"/><Relationship Id="rId194" Type="http://schemas.openxmlformats.org/officeDocument/2006/relationships/hyperlink" Target="https://saranistudio-my.sharepoint.com/:b:/g/personal/team_sarani_studio/ER2atkNeQI5EiAjHEumDAP8B1I69p8nuFKFUWNZrPLaTNQ?e=MDDN03" TargetMode="External"/><Relationship Id="rId208" Type="http://schemas.openxmlformats.org/officeDocument/2006/relationships/hyperlink" Target="https://saranistudio-my.sharepoint.com/:b:/g/personal/team_sarani_studio/Ee7AjtL2ZSBNsBiGOqR4LRUBaiKg_4ouz5GBdFwTTy6H2Q?e=0lEP6b" TargetMode="External"/><Relationship Id="rId415" Type="http://schemas.openxmlformats.org/officeDocument/2006/relationships/hyperlink" Target="https://saranistudio.sharepoint.com/:f:/s/SaraniAssets/EsS0n7-mcOhAizFqMCHg0M0BcG125BDooC6feMnZVwvCow?e=HC8MzD" TargetMode="External"/><Relationship Id="rId622" Type="http://schemas.openxmlformats.org/officeDocument/2006/relationships/hyperlink" Target="https://saranistudio.sharepoint.com/:f:/s/SaraniAssets/EsZamTc6Ug1Agjjy8-wlKaQBsss-8Ktl8g26mLyNwp_Jmw?e=6lczzk" TargetMode="External"/><Relationship Id="rId1045" Type="http://schemas.openxmlformats.org/officeDocument/2006/relationships/hyperlink" Target="https://saranistudio.sharepoint.com/:f:/s/SaraniAssets/ElqIXYNhFABOrci1t4dYd_kBcOg_sbH09uZ5f0_CuivmwQ?e=Wo18uj" TargetMode="External"/><Relationship Id="rId1252" Type="http://schemas.openxmlformats.org/officeDocument/2006/relationships/hyperlink" Target="https://saranistudio.sharepoint.com/:f:/s/SaraniAssets/ElCU0jQMw6lGifh8FWoowboBZ9466JyEZ_NkWxslu29WWg?e=DhY8bi" TargetMode="External"/><Relationship Id="rId261" Type="http://schemas.openxmlformats.org/officeDocument/2006/relationships/hyperlink" Target="https://saranistudio.sharepoint.com/:f:/s/SaraniAssets/Ehlx1QHa5nVFk9jOx6_X-4wB-kQF0cgJOpv_7bM_nYb8vA?e=1ZskZ6" TargetMode="External"/><Relationship Id="rId499" Type="http://schemas.openxmlformats.org/officeDocument/2006/relationships/hyperlink" Target="https://saranistudio.sharepoint.com/:f:/s/SaraniAssets/ErMv8O5DtkZOgP8Sgy8VGL0BvuoCRZcoQYRIcFDYhpIjzQ?e=qT65fl" TargetMode="External"/><Relationship Id="rId927" Type="http://schemas.openxmlformats.org/officeDocument/2006/relationships/hyperlink" Target="https://saranistudio.sharepoint.com/:f:/s/SaraniAssets/EtKkWHZurQVMo2Nq_kkQUHEBiSpMX5Gl4BU8C-CfKkV28w?e=2p41P6" TargetMode="External"/><Relationship Id="rId1112" Type="http://schemas.openxmlformats.org/officeDocument/2006/relationships/hyperlink" Target="https://saranistudio.sharepoint.com/:b:/s/SaraniAssets/EcPjaeZsbmdLuKlgtNCfqYQBaVRcJmMV4v4xHrcYSiqeLw?e=3SHjNh" TargetMode="External"/><Relationship Id="rId56" Type="http://schemas.openxmlformats.org/officeDocument/2006/relationships/hyperlink" Target="https://saranistudio-my.sharepoint.com/:f:/g/personal/team_sarani_studio/EmtLIsoaTzxJnuMVqwFkEXEBRLxiJIn6Dx3sdurRJBv18Q?e=jb6qLr" TargetMode="External"/><Relationship Id="rId359" Type="http://schemas.openxmlformats.org/officeDocument/2006/relationships/hyperlink" Target="https://saranistudio-my.sharepoint.com/:f:/g/personal/team_sarani_studio/EhXJcziQF1VOliqxaNrnlb0BfZuNE9G1FoVfA52_LbSH2A?e=KNakVW" TargetMode="External"/><Relationship Id="rId566" Type="http://schemas.openxmlformats.org/officeDocument/2006/relationships/hyperlink" Target="https://saranistudio.sharepoint.com/:f:/s/SaraniAssets/EhXRjx-cXYZDuQKo9LVK3tYBmzis0I32EN6jEZkfgK4-3A?e=bGYyZk" TargetMode="External"/><Relationship Id="rId773" Type="http://schemas.openxmlformats.org/officeDocument/2006/relationships/hyperlink" Target="https://saranistudio.sharepoint.com/:f:/s/SaraniAssets/Es_QKIEnFjpGhIQ2QLZ5O1UBFUvLfzdq9O_lSh3BnjwzeQ?e=fIn5FX" TargetMode="External"/><Relationship Id="rId1196" Type="http://schemas.openxmlformats.org/officeDocument/2006/relationships/hyperlink" Target="https://saranistudio.sharepoint.com/:f:/s/SaraniAssets/EpeBnIKbKCxDiZaH2PukzIABAjfoA0Tl5R7OTbv0Q3pogA?e=la2BHE" TargetMode="External"/><Relationship Id="rId1417" Type="http://schemas.openxmlformats.org/officeDocument/2006/relationships/hyperlink" Target="https://saranistudio.sharepoint.com/:f:/s/SaraniAssets/IgD6FB4QyWntRqFvbHTRtgFcAX_6r73FIF8oatn_7jrxR80?e=tmJiyl" TargetMode="External"/><Relationship Id="rId121" Type="http://schemas.openxmlformats.org/officeDocument/2006/relationships/hyperlink" Target="https://saranistudio-my.sharepoint.com/:b:/g/personal/team_sarani_studio/EYwVhDmTALVMlSXR13Fk7S8BZddeA1BxVAGjdwPHyJK3yQ?e=6xSWPv" TargetMode="External"/><Relationship Id="rId219" Type="http://schemas.openxmlformats.org/officeDocument/2006/relationships/hyperlink" Target="https://saranistudio.sharepoint.com/:f:/s/SaraniAssets/EuQyocrz7aFDuO819yz0ww0BMrZ7LmNdTJ5E1BsfIs5bxw?e=YQHKS3" TargetMode="External"/><Relationship Id="rId426" Type="http://schemas.openxmlformats.org/officeDocument/2006/relationships/hyperlink" Target="https://saranistudio.sharepoint.com/:f:/s/SaraniAssets/Eh5uhux84DVPk0koK0veA4kBNcIs_Folxc65B8tNPAIiJw?e=eYXaB0" TargetMode="External"/><Relationship Id="rId633" Type="http://schemas.openxmlformats.org/officeDocument/2006/relationships/hyperlink" Target="https://saranistudio.sharepoint.com/:f:/r/sites/SaraniAssets/Shared%20Documents/03.%20Customers/02.%20Sony/03.%20Sony%20France/03.%20V%26S%20(Audio)/20240805_Boulanger_Banni%C3%A8res%20Back%20To%20School?csf=1&amp;web=1&amp;e=Uy9GMs" TargetMode="External"/><Relationship Id="rId980" Type="http://schemas.openxmlformats.org/officeDocument/2006/relationships/hyperlink" Target="https://saranistudio-my.sharepoint.com/:b:/g/personal/team_sarani_studio/EdOs3FOtAShCsZJIUSThUZEBEsMBq2O-bdBrIYsVMS01kg?e=qn6BLF" TargetMode="External"/><Relationship Id="rId1056" Type="http://schemas.openxmlformats.org/officeDocument/2006/relationships/hyperlink" Target="https://saranistudio-my.sharepoint.com/:b:/g/personal/team_sarani_studio/EeyDUF2oJhBNuR2OBdOAXYABzOv-bMpTI7KgfUJmUxKsSQ?e=20D57q" TargetMode="External"/><Relationship Id="rId1263" Type="http://schemas.openxmlformats.org/officeDocument/2006/relationships/hyperlink" Target="https://saranistudio.sharepoint.com/:f:/s/SaraniAssets/EqsKohgyUEVJrK3fPPhi4rUB_JNsiF87rXcRGo036U0xVg?e=Vpnu2T" TargetMode="External"/><Relationship Id="rId840" Type="http://schemas.openxmlformats.org/officeDocument/2006/relationships/hyperlink" Target="https://saranistudio.sharepoint.com/:f:/s/SaraniAssets/EtU08zK4BAJFreAdb3vvVYUBbmPdCeGRxH5xRW3AbDWIkw?e=LM7Ytt" TargetMode="External"/><Relationship Id="rId938" Type="http://schemas.openxmlformats.org/officeDocument/2006/relationships/hyperlink" Target="https://saranistudio.sharepoint.com/:f:/s/SaraniAssets/EvQkPokd36FIvLPuFgmthoABr1HwwxOhY27ZdfDyIqYgPw?e=aa9Frv" TargetMode="External"/><Relationship Id="rId67" Type="http://schemas.openxmlformats.org/officeDocument/2006/relationships/hyperlink" Target="https://saranistudio-my.sharepoint.com/:f:/g/personal/team_sarani_studio/Er1KKzEqwjxItH20UH-sjJMB6Q2eGPk-wVC73X09tW3j7w?e=yPEG2L" TargetMode="External"/><Relationship Id="rId272" Type="http://schemas.openxmlformats.org/officeDocument/2006/relationships/hyperlink" Target="https://saranistudio-my.sharepoint.com/:b:/g/personal/team_sarani_studio/EV03LyVoqJRGoo_L4CUjmQgBpakEaO7HKB7shbkLtsDFIQ?e=kDBipF" TargetMode="External"/><Relationship Id="rId577" Type="http://schemas.openxmlformats.org/officeDocument/2006/relationships/hyperlink" Target="https://saranistudio.sharepoint.com/:f:/s/SaraniAssets/EjM4Q3tyhF9LnUsicVyzcnsBBeMynolw6fnEywyFvJsVng?e=3bv5V1" TargetMode="External"/><Relationship Id="rId700" Type="http://schemas.openxmlformats.org/officeDocument/2006/relationships/hyperlink" Target="https://saranistudio-my.sharepoint.com/:b:/g/personal/team_sarani_studio/ERoH5gG5BrZCopDMg91iT3YBh7VpKxfGGdjxzdXFOyXulA?e=Olk9xD" TargetMode="External"/><Relationship Id="rId1123" Type="http://schemas.openxmlformats.org/officeDocument/2006/relationships/hyperlink" Target="https://saranistudio.sharepoint.com/:b:/s/SaraniAssets/ERU9zkofrLVJnOVNav93qXIBSFPFvbLpjH44yN_54R5dew?e=rciQQZ" TargetMode="External"/><Relationship Id="rId1330" Type="http://schemas.openxmlformats.org/officeDocument/2006/relationships/hyperlink" Target="https://saranistudio.sharepoint.com/:b:/s/SaraniAssets/IQA0G5aK4yzITZaTs9ElP6e3AecPVvqOV1PyABtGxtbuxZ8?e=ejG8xa" TargetMode="External"/><Relationship Id="rId132" Type="http://schemas.openxmlformats.org/officeDocument/2006/relationships/hyperlink" Target="https://saranistudio.sharepoint.com/:f:/s/SaraniAssets/Epr_dftlsahOqnBaqYpQ1IwBdjuBZBSNRjYGvWqZFWvfdQ?e=K77OzC" TargetMode="External"/><Relationship Id="rId784" Type="http://schemas.openxmlformats.org/officeDocument/2006/relationships/hyperlink" Target="https://saranistudio.sharepoint.com/:f:/r/sites/SaraniAssets/Shared%20Documents/03.%20Customers/02.%20Sony/03.%20Sony%20France/01.%20Cross/20241104_MEDIA%20CROSS%20-%20Assets%20Black%20Friday%202024?csf=1&amp;web=1&amp;e=SlsUpG" TargetMode="External"/><Relationship Id="rId991" Type="http://schemas.openxmlformats.org/officeDocument/2006/relationships/hyperlink" Target="https://saranistudio.sharepoint.com/:f:/s/SaraniAssets/EoarPJy-lg1FqCZpPmBBOIUBlyl3eweqlsxczthlbCxYDw?e=t9UPtz" TargetMode="External"/><Relationship Id="rId1067" Type="http://schemas.openxmlformats.org/officeDocument/2006/relationships/hyperlink" Target="https://saranistudio.sharepoint.com/:f:/s/SaraniAssets/EhZtvS30eqxEjNe88US523oBLvPhfpi6p6CoMbLxN7LY2A?e=ARaieW" TargetMode="External"/><Relationship Id="rId437" Type="http://schemas.openxmlformats.org/officeDocument/2006/relationships/hyperlink" Target="https://saranistudio.sharepoint.com/:f:/s/SaraniAssets/EtzysycQ4ElEoNBaSZzHP78Baz7U9-q1UmnrfNCmzZMBdA?e=a98GFr" TargetMode="External"/><Relationship Id="rId644" Type="http://schemas.openxmlformats.org/officeDocument/2006/relationships/hyperlink" Target="https://saranistudio.sharepoint.com/:f:/s/SaraniAssets/EjbsC7Mh3_ZLuJnQgIYtsdMBQoquw2O3m9mvLmVhLNZTug?e=eLNVyr" TargetMode="External"/><Relationship Id="rId851" Type="http://schemas.openxmlformats.org/officeDocument/2006/relationships/hyperlink" Target="https://saranistudio-my.sharepoint.com/:b:/g/personal/team_sarani_studio/EQJA7LIKkOxBkPWqZ9BaKZoBG0syxO9kJ7U8xX5V-0uh_Q?e=b358nt" TargetMode="External"/><Relationship Id="rId1274" Type="http://schemas.openxmlformats.org/officeDocument/2006/relationships/hyperlink" Target="https://saranistudio.sharepoint.com/:f:/s/SaraniAssets/Ek5inBbicDJGnf4gVMtVyhUBdI3tCoYKKRUbnIzoieCpVg?e=PP9FMq" TargetMode="External"/><Relationship Id="rId283" Type="http://schemas.openxmlformats.org/officeDocument/2006/relationships/hyperlink" Target="https://saranistudio.sharepoint.com/:f:/s/SaraniAssets/EkdO0k0RwRlBn3CN75Qe-K0Bc27LV-0mYQtRRRHpKrhEpw?e=UaXdlf" TargetMode="External"/><Relationship Id="rId490" Type="http://schemas.openxmlformats.org/officeDocument/2006/relationships/hyperlink" Target="https://saranistudio.sharepoint.com/:f:/s/SaraniAssets/EqTx-n82px9LrFfhqbsvbCIBpEmjZILUVQ4dB6SveYD_Pg?e=fGqG8X" TargetMode="External"/><Relationship Id="rId504" Type="http://schemas.openxmlformats.org/officeDocument/2006/relationships/hyperlink" Target="https://saranistudio-my.sharepoint.com/:b:/g/personal/team_sarani_studio/EcNg0PVBgclJnIPNkfFfjf4BscH7A2QCOLIzzB-BKDKq6Q?e=Wza2p6" TargetMode="External"/><Relationship Id="rId711" Type="http://schemas.openxmlformats.org/officeDocument/2006/relationships/hyperlink" Target="https://saranistudio-my.sharepoint.com/:b:/g/personal/team_sarani_studio/ERoH5gG5BrZCopDMg91iT3YBh7VpKxfGGdjxzdXFOyXulA?e=Olk9xD" TargetMode="External"/><Relationship Id="rId949" Type="http://schemas.openxmlformats.org/officeDocument/2006/relationships/hyperlink" Target="https://saranistudio-my.sharepoint.com/:b:/g/personal/team_sarani_studio/EQ0pXKuM35dDpobEGo05qIEBFQr1Q5SYAFz-aYkvWpu92Q?e=xwVzE9" TargetMode="External"/><Relationship Id="rId1134" Type="http://schemas.openxmlformats.org/officeDocument/2006/relationships/hyperlink" Target="https://saranistudio.sharepoint.com/:f:/s/SaraniAssets/EiNNj2KncRdIh4opGyF9lx0BRDXPju_uNudKO45XW3zLBg?e=hTZEEQ" TargetMode="External"/><Relationship Id="rId1341" Type="http://schemas.openxmlformats.org/officeDocument/2006/relationships/hyperlink" Target="https://saranistudio.sharepoint.com/:f:/s/SaraniAssets/IgAj4wPm46B0ToL1BzXMiAt9AZjpn5Afh4WQO6NzKDNAVtk?e=b7ZdDS" TargetMode="External"/><Relationship Id="rId78" Type="http://schemas.openxmlformats.org/officeDocument/2006/relationships/hyperlink" Target="https://saranistudio-my.sharepoint.com/:f:/g/personal/team_sarani_studio/Et0n6qSoe-xPtkYYFwnsqcEBg2KPEz4sE8xNY_4Aoysh8w?e=WrXRn9" TargetMode="External"/><Relationship Id="rId143" Type="http://schemas.openxmlformats.org/officeDocument/2006/relationships/hyperlink" Target="https://saranistudio-my.sharepoint.com/:b:/g/personal/team_sarani_studio/EUBRw_ZMPhdHixaIveKY0-ABwfgcxiPLqH5f9nhgqbXV1A?e=ScTRnX" TargetMode="External"/><Relationship Id="rId350" Type="http://schemas.openxmlformats.org/officeDocument/2006/relationships/hyperlink" Target="https://saranistudio-my.sharepoint.com/:b:/g/personal/team_sarani_studio/ETqL8Buv7MBNnb2mKaHtYr8BDSsqjZRB17eVtEDGZTuUDQ?e=b9FMIm" TargetMode="External"/><Relationship Id="rId588" Type="http://schemas.openxmlformats.org/officeDocument/2006/relationships/hyperlink" Target="https://saranistudio.sharepoint.com/:f:/s/SaraniAssets/EpBgsamiTbFLk-peY6eAUgUB8YCr8jZOec1vUh_6gql4UA?e=bBUtF2" TargetMode="External"/><Relationship Id="rId795" Type="http://schemas.openxmlformats.org/officeDocument/2006/relationships/hyperlink" Target="https://saranistudio.sharepoint.com/:f:/s/SaraniAssets/ErTXT9kjNCRJmuBqokocLRQBoglQoNEz6dg6aGv-19Qlcw?e=mFaTOe" TargetMode="External"/><Relationship Id="rId809" Type="http://schemas.openxmlformats.org/officeDocument/2006/relationships/hyperlink" Target="https://saranistudio.sharepoint.com/:f:/s/SaraniAssets/EhwFogA5pwdBmK3CJaNMQuQBTN6IF-E1Gw5ISz2Fo9tAng?e=72GVv9" TargetMode="External"/><Relationship Id="rId1201" Type="http://schemas.openxmlformats.org/officeDocument/2006/relationships/hyperlink" Target="https://saranistudio.sharepoint.com/:b:/s/SaraniAssets/EbarRLXIgAJPkiG_nOInMxIBIftOgi8vAcIPuf2EaCNjZA?e=kwAMLh" TargetMode="External"/><Relationship Id="rId9" Type="http://schemas.openxmlformats.org/officeDocument/2006/relationships/hyperlink" Target="https://saranistudio-my.sharepoint.com/:f:/g/personal/team_sarani_studio/EsKN0KK2wo5EuWcP_12lMhIBc3AUZVWjUaf03MKgHmGTeQ?e=4x7Av8" TargetMode="External"/><Relationship Id="rId210" Type="http://schemas.openxmlformats.org/officeDocument/2006/relationships/hyperlink" Target="https://saranistudio.sharepoint.com/:f:/s/SaraniAssets/EpEBYf5GWK9DoKU8_Yd9V50BoIhlLLzOcq6RIxsIik3LEw?e=TKRh3j" TargetMode="External"/><Relationship Id="rId448" Type="http://schemas.openxmlformats.org/officeDocument/2006/relationships/hyperlink" Target="https://saranistudio-my.sharepoint.com/:b:/g/personal/team_sarani_studio/EZcje6JzYbZMrR1JIMmO1zkBc_wKurN3OrJnEyU7m-rvjg?e=I5W9Tf" TargetMode="External"/><Relationship Id="rId655" Type="http://schemas.openxmlformats.org/officeDocument/2006/relationships/hyperlink" Target="https://saranistudio.sharepoint.com/:f:/s/SaraniAssets/Ejd4EdnGdndEsE7uQDtJnCkBU_l8bxZiTow4LsziqyG6aQ?e=JS1kr3" TargetMode="External"/><Relationship Id="rId862" Type="http://schemas.openxmlformats.org/officeDocument/2006/relationships/hyperlink" Target="https://saranistudio.sharepoint.com/:f:/s/SaraniAssets/EiCshtxtyOxOujmO2WJvQCAB0MOs3FAcf0mdEHFdN08RVw?e=FfUjwM" TargetMode="External"/><Relationship Id="rId1078" Type="http://schemas.openxmlformats.org/officeDocument/2006/relationships/hyperlink" Target="https://saranistudio.sharepoint.com/:f:/s/SaraniAssets/ErjHvSdIc51BlrMPbnni_cgBoRj7Y2zAq-G7WdCwxHtCWg?e=mzHC4S" TargetMode="External"/><Relationship Id="rId1285" Type="http://schemas.openxmlformats.org/officeDocument/2006/relationships/hyperlink" Target="https://saranistudio.sharepoint.com/:b:/s/SaraniAssets/IQDup2aMbC0gSb6zsBepJzAbAbxizzSLs9UaiTx7naeWDew?e=3Sblcc" TargetMode="External"/><Relationship Id="rId294" Type="http://schemas.openxmlformats.org/officeDocument/2006/relationships/hyperlink" Target="https://saranistudio.sharepoint.com/:f:/s/SaraniAssets/EqVHj3QrpOBHuNq306Uwn8ABRuqjmgfSrZ-qlthSK8FlOg?e=h4sqe1" TargetMode="External"/><Relationship Id="rId308" Type="http://schemas.openxmlformats.org/officeDocument/2006/relationships/hyperlink" Target="https://saranistudio.sharepoint.com/:f:/s/SaraniAssets/EoiJsbpW73dChfZf0UF1Tr8BUBhPBV0tV-KQU6HbS7aIrg?e=zMN09d" TargetMode="External"/><Relationship Id="rId515" Type="http://schemas.openxmlformats.org/officeDocument/2006/relationships/hyperlink" Target="https://saranistudio-my.sharepoint.com/:b:/g/personal/team_sarani_studio/EeS8D9Vk9WJPj98y7PoMarwB8BHvpM5AiJKSkfi_ZyxQUw?e=kff4mZ" TargetMode="External"/><Relationship Id="rId722" Type="http://schemas.openxmlformats.org/officeDocument/2006/relationships/hyperlink" Target="https://saranistudio.sharepoint.com/:f:/s/SaraniAssets/Elvk_d67HbpFmu4So3DGnJUBfoG9zuJ_OcUkQZHkF6v1FQ?e=esHDMq" TargetMode="External"/><Relationship Id="rId1145" Type="http://schemas.openxmlformats.org/officeDocument/2006/relationships/hyperlink" Target="https://saranistudio.sharepoint.com/:b:/s/SaraniAssets/EedvnK9Q3ilHqzaLXPuxWHABbskHemv9NmZwlwx4Kq3-Ng?e=Jba8fI" TargetMode="External"/><Relationship Id="rId1352" Type="http://schemas.openxmlformats.org/officeDocument/2006/relationships/hyperlink" Target="https://saranistudio.sharepoint.com/:b:/s/SaraniAssets/IQCUyNhrQZMtSLEBsf3ZtCIpASyCfNgAmAJtLSEJPoPMQDk?e=LHCdvG" TargetMode="External"/><Relationship Id="rId89" Type="http://schemas.openxmlformats.org/officeDocument/2006/relationships/hyperlink" Target="https://saranistudio-my.sharepoint.com/:f:/g/personal/team_sarani_studio/EpMtJW_jv0NEt3IV09rF06YBYDZsH3E7iCs2ItByKPvvsw?e=YoPLx5" TargetMode="External"/><Relationship Id="rId154" Type="http://schemas.openxmlformats.org/officeDocument/2006/relationships/hyperlink" Target="https://saranistudio-my.sharepoint.com/:b:/g/personal/team_sarani_studio/Ee-r9UVvMG5Hj3_7HINyOEMBnhCNC0eGD_9xfpYOwkOBGQ?e=g038XB" TargetMode="External"/><Relationship Id="rId361" Type="http://schemas.openxmlformats.org/officeDocument/2006/relationships/hyperlink" Target="https://saranistudio-my.sharepoint.com/:f:/g/personal/team_sarani_studio/Ej9SOLBtCcBHld_gbUxWxU4Bj5ZI1lZOhveurJhxJ-lshA?e=zgWyyk" TargetMode="External"/><Relationship Id="rId599" Type="http://schemas.openxmlformats.org/officeDocument/2006/relationships/hyperlink" Target="https://saranistudio.sharepoint.com/:f:/s/SaraniAssets/EkHdbaOf_mtHmlvprjN-kFkBEty88UphCbmtw3vE9bh1uQ?e=nu7lfZ" TargetMode="External"/><Relationship Id="rId1005" Type="http://schemas.openxmlformats.org/officeDocument/2006/relationships/hyperlink" Target="https://saranistudio.sharepoint.com/:f:/s/SaraniAssets/EjVlxRe3cHdFjrCKG7Jk2KEBsC2rPXtVR71CH5r20vT3nQ?e=ADtH0r" TargetMode="External"/><Relationship Id="rId1212" Type="http://schemas.openxmlformats.org/officeDocument/2006/relationships/hyperlink" Target="https://saranistudio.sharepoint.com/:f:/s/SaraniAssets/Eo9z9eg9QLZOsb8A2Fdf8xQBvjtiL5zDLsyQeJFuh88vDg?e=bkTxo7" TargetMode="External"/><Relationship Id="rId459" Type="http://schemas.openxmlformats.org/officeDocument/2006/relationships/hyperlink" Target="https://saranistudio.sharepoint.com/:f:/s/SaraniAssets/EgPyDxfLaM5NtZ_Kfe9TRQ4Bkvs6LnolxNbRXg41QgrwyA?e=bwzV8E" TargetMode="External"/><Relationship Id="rId666" Type="http://schemas.openxmlformats.org/officeDocument/2006/relationships/hyperlink" Target="https://saranistudio-my.sharepoint.com/:b:/g/personal/team_sarani_studio/ESCS4sxObVpIv9tqPvQXJSIBKb5pO7LGu0WYAzggZryHVg?e=q3NYP1" TargetMode="External"/><Relationship Id="rId873" Type="http://schemas.openxmlformats.org/officeDocument/2006/relationships/hyperlink" Target="https://saranistudio.sharepoint.com/:f:/s/SaraniAssets/EuAn1YgEFqJFqEXrEAgCx4sBgKEl6EOAh3UKFXjdllhwXA?e=fRjGG4" TargetMode="External"/><Relationship Id="rId1089" Type="http://schemas.openxmlformats.org/officeDocument/2006/relationships/hyperlink" Target="https://saranistudio-my.sharepoint.com/:b:/g/personal/team_sarani_studio/EcgdrjhWT4xJnEku1x5-K-cBtzz6sEX29HCSAnBuCHoUVA?e=DRhAWt" TargetMode="External"/><Relationship Id="rId1296" Type="http://schemas.openxmlformats.org/officeDocument/2006/relationships/hyperlink" Target="https://saranistudio.sharepoint.com/:b:/s/SaraniAssets/IQBlfF3RoLt7QKktDfFay7ZkAW8skSXF5oCVukM7aLi2rfM?e=fmqgCI" TargetMode="External"/><Relationship Id="rId16" Type="http://schemas.openxmlformats.org/officeDocument/2006/relationships/hyperlink" Target="https://saranistudio-my.sharepoint.com/:f:/g/personal/team_sarani_studio/En0xaWGTYWZOtWFNrWlERJYBEkKsluD4U7oLp_2fMTfyPA?e=3dNfLG" TargetMode="External"/><Relationship Id="rId221" Type="http://schemas.openxmlformats.org/officeDocument/2006/relationships/hyperlink" Target="https://saranistudio-my.sharepoint.com/:b:/g/personal/team_sarani_studio/EX7EXGd6FlZNm1XngjQkjfwBT8HnldXrw_JwFJUBYigR_Q?e=CoSLsV" TargetMode="External"/><Relationship Id="rId319" Type="http://schemas.openxmlformats.org/officeDocument/2006/relationships/hyperlink" Target="https://saranistudio.sharepoint.com/:f:/s/SaraniAssets/EtutNhXCPKJCldhs6LqsqhYBPoDbD5nTEXYr4eYsZfatjA?e=1Lex1C" TargetMode="External"/><Relationship Id="rId526" Type="http://schemas.openxmlformats.org/officeDocument/2006/relationships/hyperlink" Target="https://saranistudio.sharepoint.com/:f:/s/SaraniAssets/EqD5fuq8njtGqEDmU3V28BYB0UHFOZuYOy_8n8cVVJyXNQ?e=k6B7Dm" TargetMode="External"/><Relationship Id="rId1156" Type="http://schemas.openxmlformats.org/officeDocument/2006/relationships/hyperlink" Target="https://creativelicense.eu/tmp/sony/index.html" TargetMode="External"/><Relationship Id="rId1363" Type="http://schemas.openxmlformats.org/officeDocument/2006/relationships/hyperlink" Target="https://saranistudio.sharepoint.com/:b:/s/SaraniAssets/IQB_LWuFNcmxSbUF1nSYU_h1AbFrPXr76p6btbTQw0hkHR0?e=d9SRAM" TargetMode="External"/><Relationship Id="rId733" Type="http://schemas.openxmlformats.org/officeDocument/2006/relationships/hyperlink" Target="https://saranistudio-my.sharepoint.com/:b:/g/personal/team_sarani_studio/EXcx7Rus07lJhTZR3viIpr4BgY5oD2XHyfzzlWcHosxbGw?e=7DRBph" TargetMode="External"/><Relationship Id="rId940" Type="http://schemas.openxmlformats.org/officeDocument/2006/relationships/hyperlink" Target="https://saranistudio.sharepoint.com/:f:/s/SaraniAssets/EvN_2YETVBBKn0IZKHgSR-YBsalqy369f260hyvqk0L67Q?e=o215UR" TargetMode="External"/><Relationship Id="rId1016" Type="http://schemas.openxmlformats.org/officeDocument/2006/relationships/hyperlink" Target="https://saranistudio.sharepoint.com/:f:/s/SaraniAssets/Ej3k7lCOCshIn9x97uPz3_kBrtAgRvcNu692o94mxdVfLg?e=lbXzJt" TargetMode="External"/><Relationship Id="rId165" Type="http://schemas.openxmlformats.org/officeDocument/2006/relationships/hyperlink" Target="https://saranistudio.sharepoint.com/:f:/s/SaraniAssets/EpGzfMaM4etKnuUhx3z1v6oBj4nWjwn117upCao5G7aLAg?e=rsWGfZ" TargetMode="External"/><Relationship Id="rId372" Type="http://schemas.openxmlformats.org/officeDocument/2006/relationships/hyperlink" Target="https://saranistudio-my.sharepoint.com/:f:/g/personal/team_sarani_studio/Ei_NmotrYflMp_lWmHZy990BpLoLZi4cDnXnEJa6yjOecw?e=dGyo9B" TargetMode="External"/><Relationship Id="rId677" Type="http://schemas.openxmlformats.org/officeDocument/2006/relationships/hyperlink" Target="https://saranistudio.sharepoint.com/:f:/s/SaraniAssets/Emf5cUy6FzdCi19JvN-Q38gBNHhnGQ4JqisrLoDalQWRQA?e=N4mIUg" TargetMode="External"/><Relationship Id="rId800" Type="http://schemas.openxmlformats.org/officeDocument/2006/relationships/hyperlink" Target="https://saranistudio.sharepoint.com/:f:/s/SaraniAssets/Eifa9-6ksIBBg26hGJ7xfpkBHH_aYsKSKA0MoYMoGgxGqQ?e=CANajA" TargetMode="External"/><Relationship Id="rId1223" Type="http://schemas.openxmlformats.org/officeDocument/2006/relationships/hyperlink" Target="https://saranistudio.sharepoint.com/:b:/s/SaraniAssets/Edql_QrA1SFGjYgJPiCNSJ4Bd5GL8dZvr1pnHjf6Khx0iQ?e=2N7uaf" TargetMode="External"/><Relationship Id="rId232" Type="http://schemas.openxmlformats.org/officeDocument/2006/relationships/hyperlink" Target="https://saranistudio.sharepoint.com/:f:/s/SaraniAssets/EoKzAjJfVbVNhvCRivdo9ZoBtTCqqsbRnxPCHmyopMrBAQ?e=eFf2r0" TargetMode="External"/><Relationship Id="rId884" Type="http://schemas.openxmlformats.org/officeDocument/2006/relationships/hyperlink" Target="https://saranistudio.sharepoint.com/:f:/s/SaraniAssets/Ep1XOJg-x1FOoyE8dHG3EgMBdU5oA3N8OH9ioy_Z48hz2w?e=UOKlRE" TargetMode="External"/><Relationship Id="rId27" Type="http://schemas.openxmlformats.org/officeDocument/2006/relationships/hyperlink" Target="https://saranistudio-my.sharepoint.com/:f:/g/personal/team_sarani_studio/EitZRBZy2n1Kkw5kaWztE5sBgYKU_BFeDcX25iDrx1Ct5w?e=j19Nkg" TargetMode="External"/><Relationship Id="rId537" Type="http://schemas.openxmlformats.org/officeDocument/2006/relationships/hyperlink" Target="https://saranistudio.sharepoint.com/:f:/s/SaraniAssets/EmsHaDp_oehBmBVbSYBHlkYBim4LNK3YffGFnU0OaiwfBg?e=tgJQoT" TargetMode="External"/><Relationship Id="rId744" Type="http://schemas.openxmlformats.org/officeDocument/2006/relationships/hyperlink" Target="https://saranistudio-my.sharepoint.com/:b:/g/personal/team_sarani_studio/EclZbVpTOVBJpF3PASlw8W0BKPC5HLYBTuCS6xYzinD5IA?e=U5M09p" TargetMode="External"/><Relationship Id="rId951" Type="http://schemas.openxmlformats.org/officeDocument/2006/relationships/hyperlink" Target="https://saranistudio.sharepoint.com/:f:/s/SaraniAssets/EuVjuW78QlZIr2AwL770ycgBtu-7kJHdMWZn5etR7DSQPg?e=V4Lp2y" TargetMode="External"/><Relationship Id="rId1167" Type="http://schemas.openxmlformats.org/officeDocument/2006/relationships/hyperlink" Target="https://saranistudio.sharepoint.com/:b:/s/SaraniAssets/EcvlMtkdawZApzyKxefRRPgB1kOfy39FFtgNELmv2URM-w?e=ScjKfY" TargetMode="External"/><Relationship Id="rId1374" Type="http://schemas.openxmlformats.org/officeDocument/2006/relationships/hyperlink" Target="https://saranistudio.sharepoint.com/:b:/s/SaraniAssets/IQCkf2-fDwfTSqVdkEObui99AUO35mkV_D_-1N7a2bRbZvY?e=ceMHCD" TargetMode="External"/><Relationship Id="rId80" Type="http://schemas.openxmlformats.org/officeDocument/2006/relationships/hyperlink" Target="https://saranistudio-my.sharepoint.com/:f:/g/personal/team_sarani_studio/EuIZ9Boj4kxIow1TYIbGLOMBIxF7VJMX-RRS8lGtYjWOZw?e=JHqjig" TargetMode="External"/><Relationship Id="rId176" Type="http://schemas.openxmlformats.org/officeDocument/2006/relationships/hyperlink" Target="https://saranistudio-my.sharepoint.com/:b:/g/personal/team_sarani_studio/EWLP_vMxED9FmUZQ_nOkkJwBjJNjECiaaIw3yVFqt7yTpQ?e=R7ciE8" TargetMode="External"/><Relationship Id="rId383" Type="http://schemas.openxmlformats.org/officeDocument/2006/relationships/hyperlink" Target="https://saranistudio-my.sharepoint.com/:f:/g/personal/team_sarani_studio/Enx5U2mYTNFMnJc-xIoaRV0B1eOVGObhT3Vm8PYvRQBmQQ?e=buAC3K" TargetMode="External"/><Relationship Id="rId590" Type="http://schemas.openxmlformats.org/officeDocument/2006/relationships/hyperlink" Target="https://saranistudio.sharepoint.com/:f:/s/SaraniAssets/ErmayX47zihJp_53bV8cmqIBUM8PsFONdeCBGnZXLa25pw?e=ZbOZz9" TargetMode="External"/><Relationship Id="rId604" Type="http://schemas.openxmlformats.org/officeDocument/2006/relationships/hyperlink" Target="https://saranistudio-my.sharepoint.com/:b:/g/personal/team_sarani_studio/EXgQfY4jEmpNlj81H0UGQ4cBrw0hqmidKspYF51ezcVSgw?e=XQ44gZ" TargetMode="External"/><Relationship Id="rId811" Type="http://schemas.openxmlformats.org/officeDocument/2006/relationships/hyperlink" Target="https://saranistudio.sharepoint.com/:f:/r/sites/SaraniAssets/Shared%20Documents/03.%20Customers/02.%20Sony/03.%20Sony%20France/01.%20Cross/20241010_Cr%C3%A9as%20OP%20Winter%20FY24?csf=1&amp;web=1&amp;e=dSYtkc" TargetMode="External"/><Relationship Id="rId1027" Type="http://schemas.openxmlformats.org/officeDocument/2006/relationships/hyperlink" Target="https://saranistudio-my.sharepoint.com/:b:/g/personal/team_sarani_studio/EVkXC-kxc1JIpzadkjMWuOUBZJMzvwhUnP2gq8As9BP4cw?e=WvO8AI" TargetMode="External"/><Relationship Id="rId1234" Type="http://schemas.openxmlformats.org/officeDocument/2006/relationships/hyperlink" Target="https://saranistudio.sharepoint.com/:f:/s/SaraniAssets/EpGAelAp3plBmrymxEAkFKoBkC-sphQ5sabQuIqU1XJSvA?e=dsYlAB" TargetMode="External"/><Relationship Id="rId243" Type="http://schemas.openxmlformats.org/officeDocument/2006/relationships/hyperlink" Target="https://saranistudio-my.sharepoint.com/:b:/g/personal/team_sarani_studio/ERHEmUH7_D9HifO6AIqjs9EBrx79IRPlRLHpsw1-uVPcoQ?e=7OhB5g" TargetMode="External"/><Relationship Id="rId450" Type="http://schemas.openxmlformats.org/officeDocument/2006/relationships/hyperlink" Target="https://saranistudio.sharepoint.com/:f:/s/SaraniAssets/EkOxO22ZnMZKvUsGA-88ASYBTLnP7ui5B_q6jwpaKNsDkw?e=BxlGvb" TargetMode="External"/><Relationship Id="rId688" Type="http://schemas.openxmlformats.org/officeDocument/2006/relationships/hyperlink" Target="https://saranistudio-my.sharepoint.com/:b:/g/personal/team_sarani_studio/EbybfVKbG0lFoXQKhIyfTmABRxMri2Acut2kTLsOtJaZ0Q?e=aIvw3d" TargetMode="External"/><Relationship Id="rId895" Type="http://schemas.openxmlformats.org/officeDocument/2006/relationships/hyperlink" Target="https://saranistudio.sharepoint.com/:f:/s/SaraniAssets/EicFSRJoPEdKn2TRRw3gbi8Bu4_XUIWtahwug2nCtp2H8A?e=XpDP7O" TargetMode="External"/><Relationship Id="rId909" Type="http://schemas.openxmlformats.org/officeDocument/2006/relationships/hyperlink" Target="https://saranistudio.sharepoint.com/:f:/s/SaraniAssets/EpzxjWYCIp5Em9i8wDlRvYgB7GnN_Xg3XPUPGuZs4f5Kfg?e=45JZKn" TargetMode="External"/><Relationship Id="rId1080" Type="http://schemas.openxmlformats.org/officeDocument/2006/relationships/hyperlink" Target="https://saranistudio-my.sharepoint.com/:b:/g/personal/team_sarani_studio/EZL-UzRP0hhIjvpQPz-7kKMB5GRcKZDFnsEwo7S4QVx01g?e=rTuAln" TargetMode="External"/><Relationship Id="rId1301" Type="http://schemas.openxmlformats.org/officeDocument/2006/relationships/hyperlink" Target="https://saranistudio.sharepoint.com/:b:/s/SaraniAssets/IQBIJ2eQT6e6Tqw7fFlI9KbXAd1XdWmPew64A8QStmWh888?e=I7jART" TargetMode="External"/><Relationship Id="rId38" Type="http://schemas.openxmlformats.org/officeDocument/2006/relationships/hyperlink" Target="https://saranistudio-my.sharepoint.com/:f:/g/personal/team_sarani_studio/EjWeixWwgG9KtdKsd3nfu10B4P2-8KWwWAHTtBQASfQ6Rg?e=c0kl8T" TargetMode="External"/><Relationship Id="rId103" Type="http://schemas.openxmlformats.org/officeDocument/2006/relationships/hyperlink" Target="https://saranistudio.sharepoint.com/:f:/s/SaraniAssets/EtPwKzkXSJBPhvy3z6vmVH8BQM9lGtquGJFflIK4WIM36g?e=bQbusC" TargetMode="External"/><Relationship Id="rId310" Type="http://schemas.openxmlformats.org/officeDocument/2006/relationships/hyperlink" Target="https://saranistudio.sharepoint.com/:f:/s/SaraniAssets/Eh3RpKQXfyVCvqdtfiu9dD0BLzbG-2HelOsfJzr8BWzm4w?e=2lkyhd" TargetMode="External"/><Relationship Id="rId548" Type="http://schemas.openxmlformats.org/officeDocument/2006/relationships/hyperlink" Target="https://saranistudio.sharepoint.com/:f:/s/SaraniAssets/EvwzYNiI5UhHgdamXcxgvCkB_DMY7BzE3G-qtLJmcl9ztA?e=4PX0op" TargetMode="External"/><Relationship Id="rId755" Type="http://schemas.openxmlformats.org/officeDocument/2006/relationships/hyperlink" Target="https://saranistudio.sharepoint.com/:f:/s/SaraniAssets/Eu01YgsQDwdJgQ-l3MrBX2gByVTEOJiBsML4oWLsC1eqpg?e=qksiAv" TargetMode="External"/><Relationship Id="rId962" Type="http://schemas.openxmlformats.org/officeDocument/2006/relationships/hyperlink" Target="https://saranistudio.sharepoint.com/:f:/s/SaraniAssets/EvY-RK11_3ROu1dwszP67dwBls7lo2DUL28SZdYWh0Tu2Q?e=WRC6cb" TargetMode="External"/><Relationship Id="rId1178" Type="http://schemas.openxmlformats.org/officeDocument/2006/relationships/hyperlink" Target="https://saranistudio.sharepoint.com/:f:/s/SaraniAssets/EgdXDTOEWEdGuEsVdICPCg4B1dOQu-x6Dnkwpa_GDNXYAA?e=ZAakrz" TargetMode="External"/><Relationship Id="rId1385" Type="http://schemas.openxmlformats.org/officeDocument/2006/relationships/hyperlink" Target="https://saranistudio.sharepoint.com/:f:/s/SaraniAssets/IgD3ep1N08yzQLLJTASHmgqVAU8FzSfztnv6q5BEabavWFI?e=2cXCDn" TargetMode="External"/><Relationship Id="rId91" Type="http://schemas.openxmlformats.org/officeDocument/2006/relationships/hyperlink" Target="https://saranistudio-my.sharepoint.com/:f:/g/personal/team_sarani_studio/Et0Rv2C2C3VGiSp-XPCO_uYB_zLrGB6sYLG5KaSPwRRAsQ?e=Y6vNdA" TargetMode="External"/><Relationship Id="rId187" Type="http://schemas.openxmlformats.org/officeDocument/2006/relationships/hyperlink" Target="https://saranistudio-my.sharepoint.com/:b:/g/personal/team_sarani_studio/EYIsqaLikcxFsPOg39Xgf5wBUN38FMlTSiuK4Z8TL4F2ig?e=aIXyQu" TargetMode="External"/><Relationship Id="rId394" Type="http://schemas.openxmlformats.org/officeDocument/2006/relationships/hyperlink" Target="https://saranistudio.sharepoint.com/:f:/s/SaraniAssets/Et5dFqZmczRMgczFiFOa0GsBBMgBPGHSfouO-Ayz_KXs-g?e=etIRaC" TargetMode="External"/><Relationship Id="rId408" Type="http://schemas.openxmlformats.org/officeDocument/2006/relationships/hyperlink" Target="https://saranistudio.sharepoint.com/:f:/s/SaraniAssets/EuQyocrz7aFDuO819yz0ww0BMrZ7LmNdTJ5E1BsfIs5bxw?e=A74Tv9" TargetMode="External"/><Relationship Id="rId615" Type="http://schemas.openxmlformats.org/officeDocument/2006/relationships/hyperlink" Target="https://saranistudio-my.sharepoint.com/:b:/g/personal/team_sarani_studio/EcFOzxN24aFDtt2h1Pq8q5wB5N0OELdbBeHpQVVPCd7UrQ?e=AkdHXi" TargetMode="External"/><Relationship Id="rId822" Type="http://schemas.openxmlformats.org/officeDocument/2006/relationships/hyperlink" Target="https://saranistudio.sharepoint.com/:f:/s/SaraniAssets/EobqDa7nvhhAgTeOqh3Gd1kBzCgIUfpL5tUcvPY4KSndmA?e=501QdD" TargetMode="External"/><Relationship Id="rId1038" Type="http://schemas.openxmlformats.org/officeDocument/2006/relationships/hyperlink" Target="https://saranistudio-my.sharepoint.com/:b:/g/personal/team_sarani_studio/EWyVZk8yf8JOpyApFZO44aMBUOBPIwsca6GvW-kYgharMg?e=Wxg0Z0" TargetMode="External"/><Relationship Id="rId1245" Type="http://schemas.openxmlformats.org/officeDocument/2006/relationships/hyperlink" Target="https://saranistudio.sharepoint.com/:b:/s/SaraniAssets/EWWFCAtUk_JOv7od-ekIjpoB_FcjSARHLv-VGqaIOxZBVQ?e=PmfFws" TargetMode="External"/><Relationship Id="rId254" Type="http://schemas.openxmlformats.org/officeDocument/2006/relationships/hyperlink" Target="https://saranistudio-my.sharepoint.com/:b:/g/personal/team_sarani_studio/EQjg1lHmlxhHs0kHjFiCVe8BDUXL4V2QcCQj4DTqo9g6gw?e=2WE5Cy" TargetMode="External"/><Relationship Id="rId699" Type="http://schemas.openxmlformats.org/officeDocument/2006/relationships/hyperlink" Target="https://saranistudio.sharepoint.com/:f:/s/SaraniAssets/Ev1LwffgDWlBuwIblYuiEr0BI5_Elacn3D2dSH15W2ivnw?e=n9z2Xh" TargetMode="External"/><Relationship Id="rId1091" Type="http://schemas.openxmlformats.org/officeDocument/2006/relationships/hyperlink" Target="https://saranistudio-my.sharepoint.com/:b:/g/personal/team_sarani_studio/EViHDJdYBQhGnJudELY5MMoBLM8KcCX_W4HDJ1ifmG71XQ?e=ow9Cqu" TargetMode="External"/><Relationship Id="rId1105" Type="http://schemas.openxmlformats.org/officeDocument/2006/relationships/hyperlink" Target="https://saranistudio.sharepoint.com/:f:/s/SaraniAssets/Ehz3TlSblblCsvLIvzi-Xx8BGYx6jKdFuE1e8DT_4DWi1w?e=heYviA" TargetMode="External"/><Relationship Id="rId1312" Type="http://schemas.openxmlformats.org/officeDocument/2006/relationships/hyperlink" Target="https://saranistudio.sharepoint.com/:b:/s/SaraniAssets/IQCwLAPX9IZbRYhhM8Gl1ypqAWKBjIv-IK3cEFcYotaabmo?e=kPJtCL" TargetMode="External"/><Relationship Id="rId49" Type="http://schemas.openxmlformats.org/officeDocument/2006/relationships/hyperlink" Target="https://saranistudio-my.sharepoint.com/:f:/g/personal/team_sarani_studio/ElN1J_IN9NhPr2CeLrCnszQBKTAJ_nOdr-HrnPgQqoGmgA?e=2DZGUU" TargetMode="External"/><Relationship Id="rId114" Type="http://schemas.openxmlformats.org/officeDocument/2006/relationships/hyperlink" Target="https://saranistudio-my.sharepoint.com/:b:/g/personal/team_sarani_studio/ETt91MIECWVLs2WOr0bPVkQBRnQXGhU3TVafehwQNkDhaw?e=rkaMoE" TargetMode="External"/><Relationship Id="rId461" Type="http://schemas.openxmlformats.org/officeDocument/2006/relationships/hyperlink" Target="https://saranistudio-my.sharepoint.com/:b:/g/personal/team_sarani_studio/EYh2nlxA0jRIvkzZKwaLVBkBwC2WgiCufNsOJreFpeCBDw?e=TGtBHx" TargetMode="External"/><Relationship Id="rId559" Type="http://schemas.openxmlformats.org/officeDocument/2006/relationships/hyperlink" Target="https://saranistudio.sharepoint.com/:f:/s/SaraniAssets/ElGPCVgps-5JpgHxtKUSM-MBYEXhBbe2pD-PSii3KaLUUg?e=FAExJ6" TargetMode="External"/><Relationship Id="rId766" Type="http://schemas.openxmlformats.org/officeDocument/2006/relationships/hyperlink" Target="https://saranistudio-my.sharepoint.com/:b:/g/personal/team_sarani_studio/ET5xoh20IY5Gv1s2BYrwmCkBmMkdw7-W7FJj1qa9BKwJKw?e=USLxNb" TargetMode="External"/><Relationship Id="rId1189" Type="http://schemas.openxmlformats.org/officeDocument/2006/relationships/hyperlink" Target="https://saranistudio.sharepoint.com/:f:/s/SaraniAssets/ErCsDZuYgX9NnYQgcOOitPgBUcOKLoCfCjq8fIucfJiT_Q?e=IQniuV" TargetMode="External"/><Relationship Id="rId1396" Type="http://schemas.openxmlformats.org/officeDocument/2006/relationships/hyperlink" Target="https://saranistudio.sharepoint.com/:b:/s/SaraniAssets/IQBVoMALWT4ORabPcC5eM-DJAVLU2tji48VYNRcLfY9TtIY?e=giFHK7" TargetMode="External"/><Relationship Id="rId198" Type="http://schemas.openxmlformats.org/officeDocument/2006/relationships/hyperlink" Target="https://saranistudio.sharepoint.com/:f:/s/SaraniAssets/EhkVnyJH94hKmot5OrrllS4BUJVOD1kD0zyMSBrD9ymi8Q?e=wtQe48" TargetMode="External"/><Relationship Id="rId321" Type="http://schemas.openxmlformats.org/officeDocument/2006/relationships/hyperlink" Target="https://saranistudio.sharepoint.com/:f:/s/SaraniAssets/EsxR39dmC3xAri8Ild6PjHYBidATZgf2xKXted8VIZFjoQ?e=G1pNPi" TargetMode="External"/><Relationship Id="rId419" Type="http://schemas.openxmlformats.org/officeDocument/2006/relationships/hyperlink" Target="https://saranistudio.sharepoint.com/:f:/s/SaraniAssets/ErPLt4I4ugdKvV8jBHbwSlgBXz4Vz3JbCCpnY0t6_1bBKg?e=BTiFOm" TargetMode="External"/><Relationship Id="rId626" Type="http://schemas.openxmlformats.org/officeDocument/2006/relationships/hyperlink" Target="https://saranistudio.sharepoint.com/:f:/r/sites/SaraniAssets/Shared%20Documents/03.%20Customers/02.%20Sony/03.%20Sony%20France/03.%20V%26S%20(Audio)/20240729_ULT%20FIELD%207_3%20PLV?csf=1&amp;web=1&amp;e=CvITfb" TargetMode="External"/><Relationship Id="rId973" Type="http://schemas.openxmlformats.org/officeDocument/2006/relationships/hyperlink" Target="https://saranistudio-my.sharepoint.com/:b:/g/personal/team_sarani_studio/ERuv-Vlr2qRHkalFFvqdgAQBQlQYXW1F7f0W3I8yukBffg?e=JyzdJq" TargetMode="External"/><Relationship Id="rId1049" Type="http://schemas.openxmlformats.org/officeDocument/2006/relationships/hyperlink" Target="https://saranistudio.sharepoint.com/:f:/s/SaraniAssets/EkV3Zz5pjx5FqJ2_Q3CVoZABKU8KVFB6sJENZBV1_xoWvA?e=erJEfy" TargetMode="External"/><Relationship Id="rId1256" Type="http://schemas.openxmlformats.org/officeDocument/2006/relationships/hyperlink" Target="https://saranistudio.sharepoint.com/:b:/s/SaraniAssets/ETShlErXUIFGpErdioLEAf8B3KG_NDBS6CMa8ScUVGCiOA?e=wptA1v" TargetMode="External"/><Relationship Id="rId833" Type="http://schemas.openxmlformats.org/officeDocument/2006/relationships/hyperlink" Target="https://saranistudio-my.sharepoint.com/:b:/g/personal/team_sarani_studio/EU1-RDIhw9dLtKKSvbEJkuMBfwAcTJI1Pz-YDwgeZTl_5Q?e=VQroW9" TargetMode="External"/><Relationship Id="rId1116" Type="http://schemas.openxmlformats.org/officeDocument/2006/relationships/hyperlink" Target="https://saranistudio.sharepoint.com/:f:/s/SaraniAssets/EiAqmCae_LZPq_cpEMbTFJMBnO7AGDpqhimFOoh6DJlrnA?e=e70cL7" TargetMode="External"/><Relationship Id="rId265" Type="http://schemas.openxmlformats.org/officeDocument/2006/relationships/hyperlink" Target="https://saranistudio.sharepoint.com/:f:/s/SaraniAssets/EtY9hpKd1PlIhHe2wixiXsMBSDqRMLLEeq1QqO4tJfzyUw?e=UhMRMw" TargetMode="External"/><Relationship Id="rId472" Type="http://schemas.openxmlformats.org/officeDocument/2006/relationships/hyperlink" Target="https://saranistudio.sharepoint.com/:f:/s/SaraniAssets/EjPYi239xCVElSfC8e_a1hgBWTV1fenDMap0fMgCDoVO4Q?e=8Hivxx" TargetMode="External"/><Relationship Id="rId900" Type="http://schemas.openxmlformats.org/officeDocument/2006/relationships/hyperlink" Target="https://saranistudio.sharepoint.com/:f:/s/SaraniAssets/EjnEoYuDGX5JjXbDcHLdA3ABlCcWsJwF_v2i6YEkI3doIw?e=DKZ3im" TargetMode="External"/><Relationship Id="rId1323" Type="http://schemas.openxmlformats.org/officeDocument/2006/relationships/hyperlink" Target="https://saranistudio.sharepoint.com/:b:/s/SaraniAssets/IQCUUQJsoJpuQqwm5w7-AiRmAdBKJyR0njOVr693XNfR6b4?e=pA2x5w" TargetMode="External"/><Relationship Id="rId125" Type="http://schemas.openxmlformats.org/officeDocument/2006/relationships/hyperlink" Target="https://saranistudio-my.sharepoint.com/:b:/g/personal/team_sarani_studio/EcKNg6a2qLhBs1Ppgm8qprwB690_Nkgh3GY-tj911lU0tA?e=mLArCc" TargetMode="External"/><Relationship Id="rId332" Type="http://schemas.openxmlformats.org/officeDocument/2006/relationships/hyperlink" Target="https://saranistudio-my.sharepoint.com/:b:/g/personal/team_sarani_studio/EdCDQbFdf6lDkNsaJY7V3cABz5_9-xeuy1TBRiD4sP_mPg?e=uZmfVb" TargetMode="External"/><Relationship Id="rId777" Type="http://schemas.openxmlformats.org/officeDocument/2006/relationships/hyperlink" Target="https://saranistudio.sharepoint.com/:f:/r/sites/SaraniAssets/Shared%20Documents/03.%20Customers/02.%20Sony/03.%20Sony%20France/06.%20Boulanger/20241024_Boulanger%20Black%20Friday%20-%20Banners?csf=1&amp;web=1&amp;e=MmVE8C" TargetMode="External"/><Relationship Id="rId984" Type="http://schemas.openxmlformats.org/officeDocument/2006/relationships/hyperlink" Target="https://saranistudio.sharepoint.com/:f:/s/SaraniAssets/EteJkilWA8BDlfj0LLEaYAwBfr1dtQah3VRA8LFP8zQB4w?e=KXi95l" TargetMode="External"/><Relationship Id="rId637" Type="http://schemas.openxmlformats.org/officeDocument/2006/relationships/hyperlink" Target="https://saranistudio-my.sharepoint.com/:b:/g/personal/team_sarani_studio/ET8tBzkYkBRKjRFuoqNRv1ABsUUPbhOcmnGmwcv9rJG61w?e=ESIRId" TargetMode="External"/><Relationship Id="rId844" Type="http://schemas.openxmlformats.org/officeDocument/2006/relationships/hyperlink" Target="https://saranistudio-my.sharepoint.com/:b:/g/personal/team_sarani_studio/EUpwczu24StIpSW6vz6KztsBo5YFH5CEMHgqqwfMR20DJg?e=jfIkZd" TargetMode="External"/><Relationship Id="rId1267" Type="http://schemas.openxmlformats.org/officeDocument/2006/relationships/hyperlink" Target="https://saranistudio.sharepoint.com/:b:/s/SaraniAssets/EQHW655USxVGjlg30-N4b-MBfO_PukzLatR2QcrHA94X8w?e=78t9Es" TargetMode="External"/><Relationship Id="rId276" Type="http://schemas.openxmlformats.org/officeDocument/2006/relationships/hyperlink" Target="https://saranistudio.sharepoint.com/:f:/s/SaraniAssets/EovRry9I1YNLl3Bs6R8iMREBr7g1_iWsS9N1z90BE7DcYg?e=6Yusw1" TargetMode="External"/><Relationship Id="rId483" Type="http://schemas.openxmlformats.org/officeDocument/2006/relationships/hyperlink" Target="https://saranistudio-my.sharepoint.com/:b:/g/personal/team_sarani_studio/EczO1otJpg9PvQ4M-uHZQ4UBse8EV0x_D94_J9agF4J-RA?e=aHRUzJ" TargetMode="External"/><Relationship Id="rId690" Type="http://schemas.openxmlformats.org/officeDocument/2006/relationships/hyperlink" Target="https://saranistudio.sharepoint.com/:f:/s/SaraniAssets/EutEnILkHzpIpoHpkMHUzwMBgnYzIJfkJo73P93RRqJTPA?e=RdrUJN" TargetMode="External"/><Relationship Id="rId704" Type="http://schemas.openxmlformats.org/officeDocument/2006/relationships/hyperlink" Target="https://saranistudio-my.sharepoint.com/:b:/g/personal/team_sarani_studio/EU6f2Njh3WtKkWzg5O3zYs0BLTFEEsIfs6SRrVtu-oxx3w?e=eWDlgq" TargetMode="External"/><Relationship Id="rId911" Type="http://schemas.openxmlformats.org/officeDocument/2006/relationships/hyperlink" Target="https://saranistudio.sharepoint.com/:f:/s/SaraniAssets/EhucgsyYrMlLgc1HHZi4234BukuXPQioq2_MK8rr1faQPA?e=PUdb5B" TargetMode="External"/><Relationship Id="rId1127" Type="http://schemas.openxmlformats.org/officeDocument/2006/relationships/hyperlink" Target="https://saranistudio.sharepoint.com/:b:/s/SaraniAssets/EZnMIWAWO_5Ag5sg8ID3u1sB-fQGLbTSLU7uDVUPtOnMZA?e=ddPmWm" TargetMode="External"/><Relationship Id="rId1334" Type="http://schemas.openxmlformats.org/officeDocument/2006/relationships/hyperlink" Target="https://saranistudio.sharepoint.com/:b:/s/SaraniAssets/IQCyd1hwE8XeRYGs2W8m1jUlAa4x8h59wxokE5fbEDoyRg8?e=fL6HYv" TargetMode="External"/><Relationship Id="rId40" Type="http://schemas.openxmlformats.org/officeDocument/2006/relationships/hyperlink" Target="https://saranistudio-my.sharepoint.com/:f:/g/personal/team_sarani_studio/Evv4GLCeCfpNtcFppwmuF4gBs0wDfkYfUCp2XZgOusP4jA?e=VUWW5q" TargetMode="External"/><Relationship Id="rId136" Type="http://schemas.openxmlformats.org/officeDocument/2006/relationships/hyperlink" Target="https://saranistudio.sharepoint.com/:f:/s/SaraniAssets/EjmX0yufN1tOqaFCw7M8mOoBeCJ-8gVyiGVAxQB_3dKtaA?e=LWQbbn" TargetMode="External"/><Relationship Id="rId343" Type="http://schemas.openxmlformats.org/officeDocument/2006/relationships/hyperlink" Target="https://saranistudio.sharepoint.com/:f:/s/SaraniAssets/ErZe77Ka1O1Erlh-LHqZRTMBUJA02CgCwIwj3UL2N5zu8g?e=OFWYeZ" TargetMode="External"/><Relationship Id="rId550" Type="http://schemas.openxmlformats.org/officeDocument/2006/relationships/hyperlink" Target="https://saranistudio.sharepoint.com/:f:/s/SaraniAssets/EgBeeewikS9AgBkhZ_yBst4BCj6A7DhLmVunHlpYiYwbRw?e=t9OqtD" TargetMode="External"/><Relationship Id="rId788" Type="http://schemas.openxmlformats.org/officeDocument/2006/relationships/hyperlink" Target="https://saranistudio-my.sharepoint.com/:b:/g/personal/team_sarani_studio/EeFHIlOuoyZJtyC61j5juYQB3Z6KTqKaBIBI1sAEv9k5og?e=GBa3gR" TargetMode="External"/><Relationship Id="rId995" Type="http://schemas.openxmlformats.org/officeDocument/2006/relationships/hyperlink" Target="https://saranistudio-my.sharepoint.com/:b:/g/personal/team_sarani_studio/ERYWVnI3f2lAqUBK2xji5WEBEfeygGHQMK0ePQL3Gl2JcA?e=OyXbOH" TargetMode="External"/><Relationship Id="rId1180" Type="http://schemas.openxmlformats.org/officeDocument/2006/relationships/hyperlink" Target="https://saranistudio.sharepoint.com/:f:/s/SaraniAssets/ErhpD4XNgWhNmnbWnfzvtM4BV_UckuJZAfGqIxIa3X4dwA?e=bZoEVC" TargetMode="External"/><Relationship Id="rId1401" Type="http://schemas.openxmlformats.org/officeDocument/2006/relationships/hyperlink" Target="https://saranistudio.sharepoint.com/:f:/s/SaraniAssets/IgCVFKvTFwsmRa1zj1u7qVpJAQrokq64S9t0F6uVp74_B-g?e=pow7fE" TargetMode="External"/><Relationship Id="rId203" Type="http://schemas.openxmlformats.org/officeDocument/2006/relationships/hyperlink" Target="https://saranistudio-my.sharepoint.com/:b:/g/personal/team_sarani_studio/EX44UzSazw1Gu17DKPZjbZUBtBZio3VSA1SZ-8cFZTzQDA?e=7syrWZ" TargetMode="External"/><Relationship Id="rId648" Type="http://schemas.openxmlformats.org/officeDocument/2006/relationships/hyperlink" Target="https://saranistudio.sharepoint.com/:f:/s/SaraniAssets/EvmV9NOmpE1Gp73t6q6TKjsByUPz29qyu6IwEKEftD8Caw?e=fm3Imy" TargetMode="External"/><Relationship Id="rId855" Type="http://schemas.openxmlformats.org/officeDocument/2006/relationships/hyperlink" Target="https://saranistudio.sharepoint.com/:f:/s/SaraniAssets/EjvzgcIq9dpBm0GVX6MjbQABaTOIM2fUNIiQzX4eaGzFpw?e=sIBWUo" TargetMode="External"/><Relationship Id="rId1040" Type="http://schemas.openxmlformats.org/officeDocument/2006/relationships/hyperlink" Target="https://saranistudio.sharepoint.com/:f:/s/SaraniAssets/EkTqaCt1oN1Kq6XnSdOzctcBlz3hfASj3wIWtvhBS3_qmg?e=XuSdLI" TargetMode="External"/><Relationship Id="rId1278" Type="http://schemas.openxmlformats.org/officeDocument/2006/relationships/hyperlink" Target="https://saranistudio.sharepoint.com/:b:/s/SaraniAssets/EbuZfqa_qYxHqs8vWpA2a_8Bf-FrDrzkdGdwcTaeQTfHOA?e=G81ghY" TargetMode="External"/><Relationship Id="rId287" Type="http://schemas.openxmlformats.org/officeDocument/2006/relationships/hyperlink" Target="https://saranistudio-my.sharepoint.com/:b:/g/personal/team_sarani_studio/EaE60WBZcuBHrxbljAvdwQwB5V-pRP7DtpMfIspF3xnJ9Q?e=38Wu9B" TargetMode="External"/><Relationship Id="rId410" Type="http://schemas.openxmlformats.org/officeDocument/2006/relationships/hyperlink" Target="https://saranistudio.sharepoint.com/:f:/s/SaraniAssets/EpVLTD8AcVFOoq7WqfTgzHYBaoFcP9nMoLJncoN9hs7E7w?e=kvyV0y" TargetMode="External"/><Relationship Id="rId494" Type="http://schemas.openxmlformats.org/officeDocument/2006/relationships/hyperlink" Target="https://saranistudio.sharepoint.com/:f:/s/SaraniAssets/EgTJGvwB-w5GoVYe_Vc43QMBkxbEU7jSpo70QXgNcHfW4w?e=LPrkdp" TargetMode="External"/><Relationship Id="rId508" Type="http://schemas.openxmlformats.org/officeDocument/2006/relationships/hyperlink" Target="https://saranistudio-my.sharepoint.com/:b:/g/personal/team_sarani_studio/EaH36wJeO1BNohmyw-zJiEcBkhduW_PSAitlKxPMIawqfA?e=13RS0d" TargetMode="External"/><Relationship Id="rId715" Type="http://schemas.openxmlformats.org/officeDocument/2006/relationships/hyperlink" Target="https://saranistudio.sharepoint.com/:f:/s/SaraniAssets/EnZFRdpkllFAsNlDSEvk9eQB-3Wehef1ZyyrBYHOq5wkvw?e=hNbhht" TargetMode="External"/><Relationship Id="rId922" Type="http://schemas.openxmlformats.org/officeDocument/2006/relationships/hyperlink" Target="https://saranistudio.sharepoint.com/:f:/s/SaraniAssets/EqPAkcQcrRNDqupwQt4gxE8BmarOZFsg9cvt51JZZO4k5w?e=RIHyLG" TargetMode="External"/><Relationship Id="rId1138" Type="http://schemas.openxmlformats.org/officeDocument/2006/relationships/hyperlink" Target="https://saranistudio.sharepoint.com/:b:/s/SaraniAssets/EXWAzFWiIutLr95n2O81TfcBxATgtIRz-Y6Xa_OQtx85ZQ?e=bqMuN1" TargetMode="External"/><Relationship Id="rId1345" Type="http://schemas.openxmlformats.org/officeDocument/2006/relationships/hyperlink" Target="https://saranistudio.sharepoint.com/:f:/s/SaraniAssets/IgBD1fGCyaMTSI7qBOlkdY1yAUTzAMdIvKd_4_5kp_BMsYY?e=SLH6h1" TargetMode="External"/><Relationship Id="rId147" Type="http://schemas.openxmlformats.org/officeDocument/2006/relationships/hyperlink" Target="https://saranistudio-my.sharepoint.com/:b:/g/personal/team_sarani_studio/EZ9VPz3tawJPrjr0NBBQa00BkGoBz_hRaVayzQMEDa8-aQ?e=k6fkeu" TargetMode="External"/><Relationship Id="rId354" Type="http://schemas.openxmlformats.org/officeDocument/2006/relationships/hyperlink" Target="https://saranistudio.sharepoint.com/:f:/s/SaraniAssets/Erha6gi88whLuj_pvtxIpRcBXZVc8vTFR0xPQmbb9FSA2g?e=nvU2Sf" TargetMode="External"/><Relationship Id="rId799" Type="http://schemas.openxmlformats.org/officeDocument/2006/relationships/hyperlink" Target="https://saranistudio.sharepoint.com/:f:/s/SaraniAssets/Ekrw1h0WUVtJrIOR8NIwXiYBdqcP2oMNt6sSFty6W-UCdA?e=jB0Ohg" TargetMode="External"/><Relationship Id="rId1191" Type="http://schemas.openxmlformats.org/officeDocument/2006/relationships/hyperlink" Target="https://saranistudio.sharepoint.com/:f:/s/SaraniAssets/Eqd9KP99xrRFnWeCJb32yf8Bm9p_o-TyTFmsrTJMm4Rz7w?e=ICKAr6" TargetMode="External"/><Relationship Id="rId1205" Type="http://schemas.openxmlformats.org/officeDocument/2006/relationships/hyperlink" Target="https://saranistudio.sharepoint.com/:f:/s/SaraniAssets/EqQZAV4Ak8JPtosf7yC1nVsBZMkRLbbCDZOSgEUO6Yd4bw?e=qwMZLf" TargetMode="External"/><Relationship Id="rId51" Type="http://schemas.openxmlformats.org/officeDocument/2006/relationships/hyperlink" Target="https://saranistudio-my.sharepoint.com/:f:/g/personal/team_sarani_studio/EsAgXdGVXc1Bqb3hwi8zpSEBcRj8U2XkFGSGV62rqumcjw?e=mIcDe6" TargetMode="External"/><Relationship Id="rId561" Type="http://schemas.openxmlformats.org/officeDocument/2006/relationships/hyperlink" Target="https://saranistudio.sharepoint.com/:f:/s/SaraniAssets/EouMIdRhPcVDsdIUWvbbkB4Blsi550HM2ChPSeJp7Z0roA?e=GeOeJo" TargetMode="External"/><Relationship Id="rId659" Type="http://schemas.openxmlformats.org/officeDocument/2006/relationships/hyperlink" Target="https://saranistudio.sharepoint.com/:f:/s/SaraniAssets/Et3iXbm3KSxPmJBToc1U0p8Bsfg_pcL5p4IzC5Eg2Z4ecw?e=jwcdMg" TargetMode="External"/><Relationship Id="rId866" Type="http://schemas.openxmlformats.org/officeDocument/2006/relationships/hyperlink" Target="https://saranistudio.sharepoint.com/:f:/s/SaraniAssets/EnwAQEPyjxRHu5zY88cQAOoBE4fpMBplpFLF_EkHqF5irw?e=GPnh5e" TargetMode="External"/><Relationship Id="rId1289" Type="http://schemas.openxmlformats.org/officeDocument/2006/relationships/hyperlink" Target="https://saranistudio.sharepoint.com/:f:/s/SaraniAssets/IgCOuEDKm8atTIJ3k5_JorqeAeJxadmIdxm1iZGl5n455zY?e=xJvWLY" TargetMode="External"/><Relationship Id="rId1412" Type="http://schemas.openxmlformats.org/officeDocument/2006/relationships/hyperlink" Target="https://saranistudio.sharepoint.com/:b:/s/SaraniAssets/IQC4-KlrDPvnRpvYSdEB3SuZAWDojEOXFVyVXA4o-B-z4Hs?e=UeWCTV" TargetMode="External"/><Relationship Id="rId214" Type="http://schemas.openxmlformats.org/officeDocument/2006/relationships/hyperlink" Target="https://saranistudio-my.sharepoint.com/:b:/g/personal/team_sarani_studio/EYhsQn8I6rlOjpEbFRVb784BF5JzkASIiip86bCCEG6V7g?e=Q20Pnr" TargetMode="External"/><Relationship Id="rId298" Type="http://schemas.openxmlformats.org/officeDocument/2006/relationships/hyperlink" Target="https://saranistudio.sharepoint.com/:f:/s/SaraniAssets/ErT4J6QJlBBFvkm9Sh2P1qsBIg6YZRyWE4aefs1H35BBvQ?e=4pAu4a" TargetMode="External"/><Relationship Id="rId421" Type="http://schemas.openxmlformats.org/officeDocument/2006/relationships/hyperlink" Target="https://saranistudio.sharepoint.com/:f:/s/SaraniAssets/ErbIaajS6sFLnYkxn-DbMdkBiP476TtQ2kiHvY381FmGjg?e=grtKaU" TargetMode="External"/><Relationship Id="rId519" Type="http://schemas.openxmlformats.org/officeDocument/2006/relationships/hyperlink" Target="https://saranistudio-my.sharepoint.com/:b:/g/personal/team_sarani_studio/EUZO-qDz_0VChKZtzPqVJqwBAPK1MGZNM08vHAvRsWrrdw?e=PpaKcR" TargetMode="External"/><Relationship Id="rId1051" Type="http://schemas.openxmlformats.org/officeDocument/2006/relationships/hyperlink" Target="https://saranistudio.sharepoint.com/:f:/s/SaraniAssets/EmXoptuO7YBCra_yxzzH6bYBOW7NtlR54RbaPsSlFB6TiA?e=hAhyeD" TargetMode="External"/><Relationship Id="rId1149" Type="http://schemas.openxmlformats.org/officeDocument/2006/relationships/hyperlink" Target="https://saranistudio.sharepoint.com/:f:/s/SaraniAssets/El6gT60XGn9GniAWGmiZiuUBMB45ocLXdhw1aNs37Hsohg?e=5hM2K0" TargetMode="External"/><Relationship Id="rId1356" Type="http://schemas.openxmlformats.org/officeDocument/2006/relationships/hyperlink" Target="https://saranistudio.sharepoint.com/:f:/s/SaraniAssets/IgBEgBb0HOxzRak5niPPVpoEAcgb12muWDqXMFzdfxrStpo?e=QrwIId" TargetMode="External"/><Relationship Id="rId158" Type="http://schemas.openxmlformats.org/officeDocument/2006/relationships/hyperlink" Target="https://saranistudio-my.sharepoint.com/:b:/g/personal/team_sarani_studio/ES7N79UhyBNArwSJtJeQQ6gBUvMU_SmAPI1bAXg3JC8E1w?e=lsbAtD" TargetMode="External"/><Relationship Id="rId726" Type="http://schemas.openxmlformats.org/officeDocument/2006/relationships/hyperlink" Target="https://saranistudio.sharepoint.com/:f:/s/SaraniAssets/Ev6BQewJ7IVEoyVlw6kD0kABX-Esbi2lG8oHAIeoafMf8g?e=008UVj" TargetMode="External"/><Relationship Id="rId933" Type="http://schemas.openxmlformats.org/officeDocument/2006/relationships/hyperlink" Target="https://saranistudio-my.sharepoint.com/:b:/g/personal/team_sarani_studio/EQRGY4e3fFhBsELEwZI2oa4BDAqiBr55BMQDq79Yq78tKw?e=cte7RY" TargetMode="External"/><Relationship Id="rId1009" Type="http://schemas.openxmlformats.org/officeDocument/2006/relationships/hyperlink" Target="https://saranistudio-my.sharepoint.com/:b:/g/personal/team_sarani_studio/EaP_7gnUkO9Iun8YYRab5UABfTZc7Jd3EQeZCqEcjS47Kw?e=cwIdco" TargetMode="External"/><Relationship Id="rId62" Type="http://schemas.openxmlformats.org/officeDocument/2006/relationships/hyperlink" Target="https://saranistudio-my.sharepoint.com/:f:/g/personal/team_sarani_studio/EhrI14UZk7dKhgchM2ASROYBdoIrI_P1svtBiXsGLwNAfg?e=fEdvZa" TargetMode="External"/><Relationship Id="rId365" Type="http://schemas.openxmlformats.org/officeDocument/2006/relationships/hyperlink" Target="https://saranistudio-my.sharepoint.com/:f:/g/personal/team_sarani_studio/EkiROo65MdxOl4foCK_JnkMB7b1GqAM5JaGtE7NM2E563A?e=zgcdCi" TargetMode="External"/><Relationship Id="rId572" Type="http://schemas.openxmlformats.org/officeDocument/2006/relationships/hyperlink" Target="https://saranistudio.sharepoint.com/:f:/s/SaraniAssets/EtOGp_-LwGdMmJPGqc_UIJABUy9fIGChXSISZRULXt_qXg?e=1cse1L" TargetMode="External"/><Relationship Id="rId1216" Type="http://schemas.openxmlformats.org/officeDocument/2006/relationships/hyperlink" Target="https://saranistudio.sharepoint.com/:b:/s/SaraniAssets/EXt0zZBfkC9LnyHIodhn4HoB1x_IsiLu_CPUAvxot9TqwA?e=ZyL9EU" TargetMode="External"/><Relationship Id="rId1423" Type="http://schemas.microsoft.com/office/2019/04/relationships/namedSheetView" Target="../namedSheetViews/namedSheetView1.xml"/><Relationship Id="rId225" Type="http://schemas.openxmlformats.org/officeDocument/2006/relationships/hyperlink" Target="https://saranistudio.sharepoint.com/:f:/s/SaraniAssets/ErSgv-hqFRpOuvmAVjD_t1gBaECQLYpE-t9VB7eIFXWUGQ?e=IvSeqU" TargetMode="External"/><Relationship Id="rId432" Type="http://schemas.openxmlformats.org/officeDocument/2006/relationships/hyperlink" Target="https://saranistudio.sharepoint.com/:f:/s/SaraniAssets/EgPyDxfLaM5NtZ_Kfe9TRQ4Bkvs6LnolxNbRXg41QgrwyA?e=bwzV8E" TargetMode="External"/><Relationship Id="rId877" Type="http://schemas.openxmlformats.org/officeDocument/2006/relationships/hyperlink" Target="https://saranistudio-my.sharepoint.com/:b:/g/personal/team_sarani_studio/EXlbNSIlFfhLnGsSWPXS4mABJFfu1k2Tsk2lML83KBgeFA?e=QhIp9I" TargetMode="External"/><Relationship Id="rId1062" Type="http://schemas.openxmlformats.org/officeDocument/2006/relationships/hyperlink" Target="https://saranistudio-my.sharepoint.com/:b:/g/personal/team_sarani_studio/EYBg5xBCSSdFq8AmBndqi5EB5h3bxBg-55_6JxLyZtIRLg?e=M6dkFx" TargetMode="External"/><Relationship Id="rId737" Type="http://schemas.openxmlformats.org/officeDocument/2006/relationships/hyperlink" Target="https://saranistudio-my.sharepoint.com/:b:/g/personal/team_sarani_studio/EdPHcsv-2sRJl99QWKsqT-gBzw_2eUusUHZdvsHx98Riog?e=iflchk" TargetMode="External"/><Relationship Id="rId944" Type="http://schemas.openxmlformats.org/officeDocument/2006/relationships/hyperlink" Target="https://saranistudio.sharepoint.com/:f:/s/SaraniAssets/EmiY_jjfavhAi3XjoDmCNk8BX25j3hAk8q7QD3mYBiszEw?e=1oDGSp" TargetMode="External"/><Relationship Id="rId1367" Type="http://schemas.openxmlformats.org/officeDocument/2006/relationships/hyperlink" Target="https://saranistudio.sharepoint.com/:f:/s/SaraniAssets/IgCJBILbEvrTRpEo7M9SXMehAdODy1aNej4ISidFvtTGVfo?e=davfIz" TargetMode="External"/><Relationship Id="rId73" Type="http://schemas.openxmlformats.org/officeDocument/2006/relationships/hyperlink" Target="https://saranistudio-my.sharepoint.com/:f:/g/personal/team_sarani_studio/EslvmHj5SR1MhY8R-sw1arABPE3oMfscF8vtjzp50abaDw?e=r8aHPD" TargetMode="External"/><Relationship Id="rId169" Type="http://schemas.openxmlformats.org/officeDocument/2006/relationships/hyperlink" Target="https://saranistudio-my.sharepoint.com/:b:/g/personal/team_sarani_studio/ETcMeN84ZjZGnpPa8MzZEXcBi51BuWWSYsDBmvGZCbzI5Q?e=tfMEJ4" TargetMode="External"/><Relationship Id="rId376" Type="http://schemas.openxmlformats.org/officeDocument/2006/relationships/hyperlink" Target="https://saranistudio-my.sharepoint.com/:f:/g/personal/team_sarani_studio/EksaPdiWfxhMnbU7goZGW3wBNMdtyNVXPZFQGY1IHS_P8w?e=K0olFY" TargetMode="External"/><Relationship Id="rId583" Type="http://schemas.openxmlformats.org/officeDocument/2006/relationships/hyperlink" Target="https://saranistudio.sharepoint.com/:f:/s/SaraniAssets/Eq5c6z0PoPRPhMz9b_uScU8BaXV5C-LsqKeQN9vcX139hA?e=uRJ9ga" TargetMode="External"/><Relationship Id="rId790" Type="http://schemas.openxmlformats.org/officeDocument/2006/relationships/hyperlink" Target="https://saranistudio-my.sharepoint.com/:b:/g/personal/team_sarani_studio/EfE4ZylsfvZOpqiYqLdCV44BkHL1lsIF59q5aeMeunvbbA?e=sa3e7a" TargetMode="External"/><Relationship Id="rId804" Type="http://schemas.openxmlformats.org/officeDocument/2006/relationships/hyperlink" Target="https://saranistudio.sharepoint.com/:f:/s/SaraniAssets/Eqxc8WqWxclMiB6xHbUU0ygBxJF7Div69jALYFtrox-ozg?e=Mvczer" TargetMode="External"/><Relationship Id="rId1227" Type="http://schemas.openxmlformats.org/officeDocument/2006/relationships/hyperlink" Target="https://saranistudio.sharepoint.com/:b:/s/SaraniAssets/EdoVukeJWXxCgqQ5kAc8kNYB3YU4Ysx6IGIkzSNkuN7qcQ?e=qWpyAj" TargetMode="External"/><Relationship Id="rId4" Type="http://schemas.openxmlformats.org/officeDocument/2006/relationships/hyperlink" Target="https://saranistudio-my.sharepoint.com/:f:/g/personal/team_sarani_studio/EiWYden95S1PhgR70pI8qxEBwY-0nfvYhECdhw2ZQdFqdw?e=oKMO8n" TargetMode="External"/><Relationship Id="rId236" Type="http://schemas.openxmlformats.org/officeDocument/2006/relationships/hyperlink" Target="https://saranistudio-my.sharepoint.com/:b:/g/personal/team_sarani_studio/EZvICIqE9sNGkQ0goRtft_gBQPyLrz0fw8raQhGhRMKZ8g?e=RN7a4v" TargetMode="External"/><Relationship Id="rId443" Type="http://schemas.openxmlformats.org/officeDocument/2006/relationships/hyperlink" Target="https://saranistudio.sharepoint.com/:f:/s/SaraniAssets/EroKN3PzdltJneKt2o_XSUUB4sltXzgD2ObSFiLmGdrv1A?e=HAI7jz" TargetMode="External"/><Relationship Id="rId650" Type="http://schemas.openxmlformats.org/officeDocument/2006/relationships/hyperlink" Target="https://saranistudio.sharepoint.com/:f:/s/SaraniAssets/EjYhLXuA4fZIv1hplPTjm4wBK-OSZZazMtcy_pyV6Yq1pQ?e=pdaLri" TargetMode="External"/><Relationship Id="rId888" Type="http://schemas.openxmlformats.org/officeDocument/2006/relationships/hyperlink" Target="https://saranistudio.sharepoint.com/:f:/s/SaraniAssets/EvvsDoilSVlOk8BqglzSX-YBzWMOWmbgd-yqACPKpL9ehA?e=CifkSm" TargetMode="External"/><Relationship Id="rId1073" Type="http://schemas.openxmlformats.org/officeDocument/2006/relationships/hyperlink" Target="https://saranistudio.sharepoint.com/:f:/s/SaraniAssets/Eurdv2pfMfVDvUZbt2l6f6wBU-_XNTj8h-SkbEcV3d4dWg?e=mwPgc7" TargetMode="External"/><Relationship Id="rId1280" Type="http://schemas.openxmlformats.org/officeDocument/2006/relationships/hyperlink" Target="https://saranistudio.sharepoint.com/:f:/s/SaraniAssets/EkrcDVztF0JOrhgk_KL-3nwBDu8FXRv_ftF8wSVqZ0phJA?e=vEowHV" TargetMode="External"/><Relationship Id="rId303" Type="http://schemas.openxmlformats.org/officeDocument/2006/relationships/hyperlink" Target="https://saranistudio-my.sharepoint.com/:b:/g/personal/team_sarani_studio/EYEDMoQJJMxMgJ_66Eq6EVIBnRoBZBt97Yhch3hNjF2NRQ?e=FyJkSO" TargetMode="External"/><Relationship Id="rId748" Type="http://schemas.openxmlformats.org/officeDocument/2006/relationships/hyperlink" Target="https://saranistudio-my.sharepoint.com/:b:/g/personal/team_sarani_studio/ERyx3GmgPfRFpLmK07mNPuoBGzHeU9IXnqYB-Gq_FwzFQw?e=W1l2ka" TargetMode="External"/><Relationship Id="rId955" Type="http://schemas.openxmlformats.org/officeDocument/2006/relationships/hyperlink" Target="https://saranistudio.sharepoint.com/:f:/s/SaraniAssets/EhlwHiqdTOtJoXJ-GjzuF4MB9Jj_KqtpIGd9W9iEcUWc7g?e=vfSFHX" TargetMode="External"/><Relationship Id="rId1140" Type="http://schemas.openxmlformats.org/officeDocument/2006/relationships/hyperlink" Target="https://saranistudio.sharepoint.com/:b:/s/SaraniAssets/EbjCeGKhlmlCl-xMxll16H0BuNFeZtXVbbywnF-EFL7XwQ?e=SzeQQo" TargetMode="External"/><Relationship Id="rId1378" Type="http://schemas.openxmlformats.org/officeDocument/2006/relationships/hyperlink" Target="https://saranistudio.sharepoint.com/:b:/s/SaraniAssets/IQD60elmGvBcSJ4BeQCC_aH6AZvK1V_NukjE9k86BkpbANs?e=FHaGFt" TargetMode="External"/><Relationship Id="rId84" Type="http://schemas.openxmlformats.org/officeDocument/2006/relationships/hyperlink" Target="https://saranistudio-my.sharepoint.com/:f:/g/personal/team_sarani_studio/EpE5Y-bLf4BJj9OOdJ0kRS0BWcnDOy6_qDeSk0B6N2_35g?e=F3dVIw" TargetMode="External"/><Relationship Id="rId387" Type="http://schemas.openxmlformats.org/officeDocument/2006/relationships/hyperlink" Target="https://saranistudio-my.sharepoint.com/:f:/g/personal/team_sarani_studio/EhWQhvikpjJAs9fRKuPWGgEBkfzxAmfMaaWw3wA91WzwdQ?e=0urtbw" TargetMode="External"/><Relationship Id="rId510" Type="http://schemas.openxmlformats.org/officeDocument/2006/relationships/hyperlink" Target="https://saranistudio-my.sharepoint.com/:b:/g/personal/team_sarani_studio/ERq-7c8FuVpOv_SxtzOIaiUBVnuCxOacqjfVWDSMn6beJA?e=hhnoAX" TargetMode="External"/><Relationship Id="rId594" Type="http://schemas.openxmlformats.org/officeDocument/2006/relationships/hyperlink" Target="https://saranistudio.sharepoint.com/:f:/s/SaraniAssets/Ev9vsoKXkx1IuTFU5dO7qPwBFBqvMMYdOk9qbsAls2q4QA?e=93Gh9n" TargetMode="External"/><Relationship Id="rId608" Type="http://schemas.openxmlformats.org/officeDocument/2006/relationships/hyperlink" Target="https://saranistudio-my.sharepoint.com/:b:/g/personal/team_sarani_studio/ES-xqsS-U7dOluwLpPqvmrABbdaSHCABG-5p8eaf_d_1RA?e=IyR6Ad" TargetMode="External"/><Relationship Id="rId815" Type="http://schemas.openxmlformats.org/officeDocument/2006/relationships/hyperlink" Target="https://saranistudio.sharepoint.com/:f:/s/SaraniAssets/EgjVUrZKd95IoscbzhjXFWwBFkCI7AlBXmUHHJ5rMQH_Iw?e=rqb8Db" TargetMode="External"/><Relationship Id="rId1238" Type="http://schemas.openxmlformats.org/officeDocument/2006/relationships/hyperlink" Target="https://saranistudio.sharepoint.com/:b:/s/SaraniAssets/EccbHat-mHpCvZX7aOciwwUBGMVNMCakja82azOeYBnDYA?e=y6UU6V" TargetMode="External"/><Relationship Id="rId247" Type="http://schemas.openxmlformats.org/officeDocument/2006/relationships/hyperlink" Target="https://saranistudio.sharepoint.com/:f:/s/SaraniAssets/EgbQPIwF3-5Pi58HT8VqEbkBfP1ST72E3-9Hyt873aiHqQ?e=uM3Ihz" TargetMode="External"/><Relationship Id="rId899" Type="http://schemas.openxmlformats.org/officeDocument/2006/relationships/hyperlink" Target="https://saranistudio.sharepoint.com/:f:/s/SaraniAssets/EkeUgXuQs9VFh_jiGgc-SM8B15EVnsVmJc6dHMC2darvxQ?e=2n5mNi" TargetMode="External"/><Relationship Id="rId1000" Type="http://schemas.openxmlformats.org/officeDocument/2006/relationships/hyperlink" Target="https://saranistudio-my.sharepoint.com/:b:/g/personal/team_sarani_studio/Ea3Ny0j5_OpMjSMoAtS7kXsBQqeBckhjc_tLPdMc0V_zlw?e=hou0zm" TargetMode="External"/><Relationship Id="rId1084" Type="http://schemas.openxmlformats.org/officeDocument/2006/relationships/hyperlink" Target="https://saranistudio.sharepoint.com/:f:/s/SaraniAssets/Eo2dmAZ7N7JFnfBRUoFhBaoBxt7OyCIrtfb_TXClr3vZQw?e=O8KbYq" TargetMode="External"/><Relationship Id="rId1305" Type="http://schemas.openxmlformats.org/officeDocument/2006/relationships/hyperlink" Target="https://saranistudio.sharepoint.com/:f:/s/SaraniAssets/IgAjC_kBnAcfRqjBEtdjDtHGAZ5D-N584cVa_fqFTX7cGzo?e=IInwBR" TargetMode="External"/><Relationship Id="rId107" Type="http://schemas.openxmlformats.org/officeDocument/2006/relationships/hyperlink" Target="https://saranistudio-my.sharepoint.com/:b:/g/personal/team_sarani_studio/EYvkssAWQDBOhaylZ-v94csBva-466LhIu1pWKdrltZVrQ?e=31xfi7" TargetMode="External"/><Relationship Id="rId454" Type="http://schemas.openxmlformats.org/officeDocument/2006/relationships/hyperlink" Target="https://saranistudio.sharepoint.com/:f:/s/SaraniAssets/EvefX4xmGyNLgvpbCQZnHeoBDXe84CtjAdzzR-CW5iumig?e=si8IbE" TargetMode="External"/><Relationship Id="rId661" Type="http://schemas.openxmlformats.org/officeDocument/2006/relationships/hyperlink" Target="https://saranistudio-my.sharepoint.com/:b:/g/personal/team_sarani_studio/EakPpFo28G5On1JPzjUd6SMBGrl2A-lSOb3ch2K8rjUF-Q?e=Er3bfC" TargetMode="External"/><Relationship Id="rId759" Type="http://schemas.openxmlformats.org/officeDocument/2006/relationships/hyperlink" Target="https://saranistudio.sharepoint.com/:f:/s/SaraniAssets/Es1-v4N7vzBPrm788Bdc5BoBinWSl3VAyYqTpuZNyK71Yw?e=UZhxDl" TargetMode="External"/><Relationship Id="rId966" Type="http://schemas.openxmlformats.org/officeDocument/2006/relationships/hyperlink" Target="https://saranistudio.sharepoint.com/:f:/s/SaraniAssets/ErWdjHXCkSZJk2WU76y5KHwBtNC8JwvKhIFO0Sr6ZQWGtg?e=DPxywn" TargetMode="External"/><Relationship Id="rId1291" Type="http://schemas.openxmlformats.org/officeDocument/2006/relationships/hyperlink" Target="https://saranistudio.sharepoint.com/:b:/s/SaraniAssets/IQA7QAhMmwBPRoX8_YbFN1v3AcL8DpeM_YTabEduql4vHL8?e=2HeuxM" TargetMode="External"/><Relationship Id="rId1389" Type="http://schemas.openxmlformats.org/officeDocument/2006/relationships/hyperlink" Target="https://saranistudio.sharepoint.com/:b:/s/SaraniAssets/IQBNe8XrCuysQp06YMJ9flMyAR8IcesTEmuivYDE7MiEbHM?e=1YHmjP" TargetMode="External"/><Relationship Id="rId11" Type="http://schemas.openxmlformats.org/officeDocument/2006/relationships/hyperlink" Target="https://saranistudio-my.sharepoint.com/:f:/g/personal/team_sarani_studio/Eu6UoQJssNdAvleXAzibZ1MBJ1RpI-TWGcduRRM37c84hw?e=4VncEj" TargetMode="External"/><Relationship Id="rId314" Type="http://schemas.openxmlformats.org/officeDocument/2006/relationships/hyperlink" Target="https://saranistudio.sharepoint.com/:f:/s/SaraniAssets/EiJQZuPEG3tMs2HSdv2Vbh4BW79bFpZJqQuoF6y5iyOzeA?e=CypeEo" TargetMode="External"/><Relationship Id="rId398" Type="http://schemas.openxmlformats.org/officeDocument/2006/relationships/hyperlink" Target="https://saranistudio.sharepoint.com/:f:/s/SaraniAssets/EooaxtefwdJHkHIXb1uHNp0Bo4oLLxMQXbDoZSqdCMOmdA?e=0dKqff" TargetMode="External"/><Relationship Id="rId521" Type="http://schemas.openxmlformats.org/officeDocument/2006/relationships/hyperlink" Target="https://saranistudio-my.sharepoint.com/:b:/g/personal/team_sarani_studio/Ee2DL-38SlZJlyFFN3yuzvMBwe6mTejQAABjCRfMvV_HKg?e=l5Tw3V" TargetMode="External"/><Relationship Id="rId619" Type="http://schemas.openxmlformats.org/officeDocument/2006/relationships/hyperlink" Target="https://saranistudio-my.sharepoint.com/:b:/g/personal/team_sarani_studio/Ea_SAlRLISRDvxs1fMHccw4BJrOOXZ-El_j7UgS6PDn3ug?e=icp0zg" TargetMode="External"/><Relationship Id="rId1151" Type="http://schemas.openxmlformats.org/officeDocument/2006/relationships/hyperlink" Target="https://saranistudio.sharepoint.com/:f:/s/SaraniAssets/En5x-eIa-tFLpG_3cxLG0_4B9kvGvJschgL5wujYBwqvpQ?e=QBfI7w" TargetMode="External"/><Relationship Id="rId1249" Type="http://schemas.openxmlformats.org/officeDocument/2006/relationships/hyperlink" Target="https://saranistudio.sharepoint.com/:b:/s/SaraniAssets/Ecu0u-RF12hBvFeCE-ThG5IByXQV_Z3M3-1SyPX3h7EnCw?e=T4BNxQ" TargetMode="External"/><Relationship Id="rId95" Type="http://schemas.openxmlformats.org/officeDocument/2006/relationships/hyperlink" Target="https://saranistudio-my.sharepoint.com/:f:/g/personal/team_sarani_studio/EhoNdMxI6BZBm6WwyBTGhHoBufBpJY10m8zRrqgzkG54yw?e=FLrgLB" TargetMode="External"/><Relationship Id="rId160" Type="http://schemas.openxmlformats.org/officeDocument/2006/relationships/hyperlink" Target="https://saranistudio-my.sharepoint.com/:b:/g/personal/team_sarani_studio/EWZDebpX_3NLnB2kPm4prroBkIIgVsMjvlgdRG2KL6oTyA?e=ENTdXo" TargetMode="External"/><Relationship Id="rId826" Type="http://schemas.openxmlformats.org/officeDocument/2006/relationships/hyperlink" Target="https://saranistudio.sharepoint.com/:f:/s/SaraniAssets/Env8AtLYfTpNgk_twEn9_VEB0r1VeU9hOZH4921w2WEiMw?e=sLQYRv" TargetMode="External"/><Relationship Id="rId1011" Type="http://schemas.openxmlformats.org/officeDocument/2006/relationships/hyperlink" Target="https://saranistudio-my.sharepoint.com/:b:/g/personal/team_sarani_studio/EZoNrBx811RPiaw3NYIXLqcBxk7zidUe7Ji_CIuwoKsXkg?e=KrcsGQ" TargetMode="External"/><Relationship Id="rId1109" Type="http://schemas.openxmlformats.org/officeDocument/2006/relationships/hyperlink" Target="https://saranistudio.sharepoint.com/:b:/s/SaraniAssets/Eb8brtt9_ZxKnsOiBzKcZocBOPXFU8Y3visvJ_vyETZDmg?e=ujDj0N" TargetMode="External"/><Relationship Id="rId258" Type="http://schemas.openxmlformats.org/officeDocument/2006/relationships/hyperlink" Target="https://saranistudio.sharepoint.com/:f:/s/SaraniAssets/EovRry9I1YNLl3Bs6R8iMREBr7g1_iWsS9N1z90BE7DcYg?e=P9sxZM" TargetMode="External"/><Relationship Id="rId465" Type="http://schemas.openxmlformats.org/officeDocument/2006/relationships/hyperlink" Target="https://saranistudio-my.sharepoint.com/:b:/g/personal/team_sarani_studio/EZn5vd-mAt5NhuSlYS_fGmoBVKGtGlMmtlSdlzWEFRUh5Q?e=kPBaVh" TargetMode="External"/><Relationship Id="rId672" Type="http://schemas.openxmlformats.org/officeDocument/2006/relationships/hyperlink" Target="https://saranistudio.sharepoint.com/:f:/s/SaraniAssets/Eg_1gdvbg8xNh-v1HEaNdt8BOi0iRVVF2ySuu1eddPTpNw?e=9RCr6j" TargetMode="External"/><Relationship Id="rId1095" Type="http://schemas.openxmlformats.org/officeDocument/2006/relationships/hyperlink" Target="https://saranistudio.sharepoint.com/:f:/s/SaraniAssets/EhuaxJ_XwEZAp32D5zOs_n0BzdgKP1qEJ-Ih9Y6_TQ_BoA?e=Z7n9XK" TargetMode="External"/><Relationship Id="rId1316" Type="http://schemas.openxmlformats.org/officeDocument/2006/relationships/hyperlink" Target="https://saranistudio.sharepoint.com/:b:/s/SaraniAssets/IQBSGyNiW4J1RrJzwRzC9PwXAXscKkK26qOhg85hv3bEOfo?e=BKAUBM" TargetMode="External"/><Relationship Id="rId22" Type="http://schemas.openxmlformats.org/officeDocument/2006/relationships/hyperlink" Target="https://saranistudio-my.sharepoint.com/:f:/g/personal/team_sarani_studio/EoitW15aeoVAtVoerfyyJgAB8NtwzeqQjRMP7QJz7L-yow?e=jCYZtF" TargetMode="External"/><Relationship Id="rId118" Type="http://schemas.openxmlformats.org/officeDocument/2006/relationships/hyperlink" Target="https://saranistudio-my.sharepoint.com/:b:/g/personal/team_sarani_studio/EcOazcJa9a1AiG8LW6zPip8BxDE-cfed4KK9cxbJLQ0rBg?e=c9934o" TargetMode="External"/><Relationship Id="rId325" Type="http://schemas.openxmlformats.org/officeDocument/2006/relationships/hyperlink" Target="https://saranistudio-my.sharepoint.com/:b:/g/personal/team_sarani_studio/Ef8aTcR_ghpFnQocEBadxRABqQxNJOWQYJOMmcfU7VEEdA?e=q8KVfx" TargetMode="External"/><Relationship Id="rId532" Type="http://schemas.openxmlformats.org/officeDocument/2006/relationships/hyperlink" Target="https://saranistudio.sharepoint.com/:f:/s/SaraniAssets/Eqmm1iP9McFJk5_q4XHIdC8BEoDN7L83ULmv7at8YPd8jA?e=wiKxDY" TargetMode="External"/><Relationship Id="rId977" Type="http://schemas.openxmlformats.org/officeDocument/2006/relationships/hyperlink" Target="https://saranistudio-my.sharepoint.com/:b:/g/personal/team_sarani_studio/EfcNX8HAh_dIkRwn7bAwlFcBttHoFkvcOZR9rORhplqxKQ?e=EVbbRz" TargetMode="External"/><Relationship Id="rId1162" Type="http://schemas.openxmlformats.org/officeDocument/2006/relationships/hyperlink" Target="https://saranistudio.sharepoint.com/:b:/s/SaraniAssets/EaW_j75-2ihJr79580vNP1YBOlZUAvuhjZj14Mw7UhBUSQ?e=gdLWdG" TargetMode="External"/><Relationship Id="rId171" Type="http://schemas.openxmlformats.org/officeDocument/2006/relationships/hyperlink" Target="https://saranistudio-my.sharepoint.com/:b:/g/personal/team_sarani_studio/ESTdhvAHB2VDpGZvjKGcT80BEBmxhZJ0Wcbs8rXVwZrkbw?e=oVdzce" TargetMode="External"/><Relationship Id="rId837" Type="http://schemas.openxmlformats.org/officeDocument/2006/relationships/hyperlink" Target="https://saranistudio.sharepoint.com/:f:/s/SaraniAssets/Eq6i3R-Sl79Jlmx-huf2MdcB6ksnwJejh7CA-lo-imtIOA?e=bTiW4P" TargetMode="External"/><Relationship Id="rId1022" Type="http://schemas.openxmlformats.org/officeDocument/2006/relationships/hyperlink" Target="https://saranistudio.sharepoint.com/:f:/s/SaraniAssets/ErrwUn7Pnc9PpJukfTUBtnwBdajOFerpZtoEUD9FW0shyQ?e=m0cqJi" TargetMode="External"/><Relationship Id="rId269" Type="http://schemas.openxmlformats.org/officeDocument/2006/relationships/hyperlink" Target="https://saranistudio-my.sharepoint.com/:b:/g/personal/team_sarani_studio/EUy0XoUzTxJPqpFSVMoAyTABerH6TQC_SFVKBp_qdiluWw?e=MkAH9P" TargetMode="External"/><Relationship Id="rId476" Type="http://schemas.openxmlformats.org/officeDocument/2006/relationships/hyperlink" Target="https://saranistudio.sharepoint.com/:f:/s/SaraniAssets/EqaBBpqgAtBBrNMsexISB40BBiVSOjhWsdoJj16cwPESyw?e=RxOJ4e" TargetMode="External"/><Relationship Id="rId683" Type="http://schemas.openxmlformats.org/officeDocument/2006/relationships/hyperlink" Target="https://saranistudio-my.sharepoint.com/:b:/g/personal/team_sarani_studio/ERkHqIkdEohFooOSRMKOMGwBHsdoAiIUowyq5HoF4w-I8w?e=ApMu2S" TargetMode="External"/><Relationship Id="rId890" Type="http://schemas.openxmlformats.org/officeDocument/2006/relationships/hyperlink" Target="https://saranistudio.sharepoint.com/:f:/s/SaraniAssets/EvQkPokd36FIvLPuFgmthoABr1HwwxOhY27ZdfDyIqYgPw?e=DGdRcd" TargetMode="External"/><Relationship Id="rId904" Type="http://schemas.openxmlformats.org/officeDocument/2006/relationships/hyperlink" Target="https://saranistudio-my.sharepoint.com/:b:/g/personal/team_sarani_studio/EaGtd9JxuxdJuUf9v4p6rAkBaTkG31MxbXewFnyKueSQ7g?e=2FL2ex" TargetMode="External"/><Relationship Id="rId1327" Type="http://schemas.openxmlformats.org/officeDocument/2006/relationships/hyperlink" Target="https://saranistudio.sharepoint.com/:b:/s/SaraniAssets/IQC5Eoj82zAmS5FGm5NazpwbAYjCms7ayHdUAM0LeQiWsAM?e=VsssSv" TargetMode="External"/><Relationship Id="rId33" Type="http://schemas.openxmlformats.org/officeDocument/2006/relationships/hyperlink" Target="https://saranistudio-my.sharepoint.com/:f:/g/personal/team_sarani_studio/Et8JT6N3J55Khs36INxlBgQBUbyHbYyC93L5UVW3Wg41vA?e=Q1dlBF" TargetMode="External"/><Relationship Id="rId129" Type="http://schemas.openxmlformats.org/officeDocument/2006/relationships/hyperlink" Target="https://saranistudio.sharepoint.com/:f:/s/SaraniAssets/ErA000UoVLhDqslLZSyhjoABU1xbvgg3E8Ij-0qMkvDYQA?e=pL3NJr" TargetMode="External"/><Relationship Id="rId336" Type="http://schemas.openxmlformats.org/officeDocument/2006/relationships/hyperlink" Target="https://saranistudio.sharepoint.com/:f:/s/SaraniAssets/EkLuQ-hiEUNHu3h5MKnRM3QBfEiuqVHaU1qH0Z2Uw3Erqw?e=LkWNbD" TargetMode="External"/><Relationship Id="rId543" Type="http://schemas.openxmlformats.org/officeDocument/2006/relationships/hyperlink" Target="https://saranistudio-my.sharepoint.com/:b:/g/personal/team_sarani_studio/EZVOrbqimPJGhFeM54GD_EoBVFu4iscLo93pnJnFRhIu_w?e=h7kuch" TargetMode="External"/><Relationship Id="rId988" Type="http://schemas.openxmlformats.org/officeDocument/2006/relationships/hyperlink" Target="https://saranistudio.sharepoint.com/:f:/s/SaraniAssets/EvbBxmGCYAdPpF2sbLyg-scBLYDLt-lJtt-8dY31f_C-QA?e=vGp59r" TargetMode="External"/><Relationship Id="rId1173" Type="http://schemas.openxmlformats.org/officeDocument/2006/relationships/hyperlink" Target="https://saranistudio.sharepoint.com/:f:/s/SaraniAssets/ErDbQeO7KKZAkXGQOpUE_yoBCp6n3W5Dj8_0NuLZ6-rxVg?e=203Psa" TargetMode="External"/><Relationship Id="rId1380" Type="http://schemas.openxmlformats.org/officeDocument/2006/relationships/hyperlink" Target="https://saranistudio.sharepoint.com/:f:/s/SaraniAssets/IgBcgPbGCSyzTYBC0UGLuBdvAWmUHTJFmQHoz1qHRTliepo?e=Kbo4Yp" TargetMode="External"/><Relationship Id="rId182" Type="http://schemas.openxmlformats.org/officeDocument/2006/relationships/hyperlink" Target="https://saranistudio.sharepoint.com/:f:/s/SaraniAssets/Er9pInJc7SlPlb-H9tAnvvUBVGJ3H5DxZwDvHG7WJWU-yw?e=9IaSUZ" TargetMode="External"/><Relationship Id="rId403" Type="http://schemas.openxmlformats.org/officeDocument/2006/relationships/hyperlink" Target="https://saranistudio.sharepoint.com/:f:/s/SaraniAssets/EqEFLDs290NFhFKnIKvHsREBm5-NMDYOyYi9fj6Lz-NCPw?e=lTl3ml" TargetMode="External"/><Relationship Id="rId750" Type="http://schemas.openxmlformats.org/officeDocument/2006/relationships/hyperlink" Target="https://saranistudio-my.sharepoint.com/:b:/g/personal/team_sarani_studio/EQJwi8c3mfJCoSD8EgCXD7cBYm0ETjucja2yLipD9p8JjA?e=lAaOzK" TargetMode="External"/><Relationship Id="rId848" Type="http://schemas.openxmlformats.org/officeDocument/2006/relationships/hyperlink" Target="https://saranistudio.sharepoint.com/:f:/s/SaraniAssets/EiZatDQcDtBCgM_xs5Yg_OUBSNdtuvPc7FYb-Orwl6zgSg?e=brRfef" TargetMode="External"/><Relationship Id="rId1033" Type="http://schemas.openxmlformats.org/officeDocument/2006/relationships/hyperlink" Target="https://saranistudio.sharepoint.com/:f:/s/SaraniAssets/EkHXnBnwxeNDr7PKZ57AHaoBs3KI6LC6LCaCum7qjOYW7g?e=vfNfR7" TargetMode="External"/><Relationship Id="rId487" Type="http://schemas.openxmlformats.org/officeDocument/2006/relationships/hyperlink" Target="https://saranistudio.sharepoint.com/:f:/s/SaraniAssets/EuidLJOHgO5MmFGstSjETtQBtba8qYdtW3Lwhbon-9wT3A?e=8DK76G" TargetMode="External"/><Relationship Id="rId610" Type="http://schemas.openxmlformats.org/officeDocument/2006/relationships/hyperlink" Target="https://saranistudio-my.sharepoint.com/:b:/g/personal/team_sarani_studio/EeLRdWvkq-pHgw9beHz28w0ByuGopZZ74B5-pOtRH3zGYg?e=bH2ymU" TargetMode="External"/><Relationship Id="rId694" Type="http://schemas.openxmlformats.org/officeDocument/2006/relationships/hyperlink" Target="https://saranistudio.sharepoint.com/:f:/s/SaraniAssets/EgNEQ9b-BxJPp-Jq1t1J4ssBm0RUa2OgRfXZYEVGH4KavA?e=DAJEKF" TargetMode="External"/><Relationship Id="rId708" Type="http://schemas.openxmlformats.org/officeDocument/2006/relationships/hyperlink" Target="https://saranistudio.sharepoint.com/:f:/s/SaraniAssets/EqubdBiiVgFDqmSCaCQrkhABPl6Dsw7kMqNcxTAPGHXkmw?e=KfLjRM" TargetMode="External"/><Relationship Id="rId915" Type="http://schemas.openxmlformats.org/officeDocument/2006/relationships/hyperlink" Target="https://saranistudio-my.sharepoint.com/:b:/g/personal/team_sarani_studio/ERVs28t57glCv8Nar-HLeCYB7uNwi3PNxpgymWxc3YGSdg?e=oUCWev" TargetMode="External"/><Relationship Id="rId1240" Type="http://schemas.openxmlformats.org/officeDocument/2006/relationships/hyperlink" Target="https://saranistudio.sharepoint.com/:f:/s/SaraniAssets/Egvf2nohtRJBjaa7GGn7lY0Bg9SGSvH7YS3tZ5YIkbSryw?e=guVkJR" TargetMode="External"/><Relationship Id="rId1338" Type="http://schemas.openxmlformats.org/officeDocument/2006/relationships/hyperlink" Target="https://saranistudio.sharepoint.com/:f:/s/SaraniAssets/IgDlXlRvtji5TKEg2cxRc5cAAbuFu7PPT7jLmSXe1mnJ5hs?e=HQuZ1m" TargetMode="External"/><Relationship Id="rId347" Type="http://schemas.openxmlformats.org/officeDocument/2006/relationships/hyperlink" Target="https://saranistudio-my.sharepoint.com/:b:/g/personal/team_sarani_studio/EX87DKt-y25Dg1vKHaMyQm4BivtgvNn1jwpq90BxHhGWRg?e=DolkpH" TargetMode="External"/><Relationship Id="rId999" Type="http://schemas.openxmlformats.org/officeDocument/2006/relationships/hyperlink" Target="https://saranistudio.sharepoint.com/:f:/s/SaraniAssets/EsPhfrDIpS5GoRKkSsBVE1QBnPeM1Lmt5JgnJGVt2vmO2Q?e=95Jddk" TargetMode="External"/><Relationship Id="rId1100" Type="http://schemas.openxmlformats.org/officeDocument/2006/relationships/hyperlink" Target="https://saranistudio.sharepoint.com/:f:/s/SaraniAssets/EqoTUpxPxeJGodktLKu4K54BlQLKqWpQy5NxeBgNWHbiXg?e=aes7X5" TargetMode="External"/><Relationship Id="rId1184" Type="http://schemas.openxmlformats.org/officeDocument/2006/relationships/hyperlink" Target="https://saranistudio.sharepoint.com/:b:/s/SaraniAssets/EZALtLH9vZJNprrZBo7B1hcBGIRg1xFyA9Mc2-H7_mWBzA?e=cZV07n" TargetMode="External"/><Relationship Id="rId1405" Type="http://schemas.openxmlformats.org/officeDocument/2006/relationships/hyperlink" Target="https://saranistudio.sharepoint.com/:b:/s/SaraniAssets/IQDE2cX0zizzSJIwCpv-HXsfAawR9kjWT-G3troXuN33XFw?e=lmNQpe" TargetMode="External"/><Relationship Id="rId44" Type="http://schemas.openxmlformats.org/officeDocument/2006/relationships/hyperlink" Target="https://saranistudio-my.sharepoint.com/:f:/g/personal/team_sarani_studio/Evzfu13U4IpLp3GoN-MrbKcB6voUMWbQ-KWviKSEWfxHyA?e=u1uaJh" TargetMode="External"/><Relationship Id="rId554" Type="http://schemas.openxmlformats.org/officeDocument/2006/relationships/hyperlink" Target="https://saranistudio.sharepoint.com/:f:/s/SaraniAssets/EgegWP7zOfNDg24oVYVI_7QB0lq0ucv8uDs_2e3Iho3YBg?e=B4Zs7Z" TargetMode="External"/><Relationship Id="rId761" Type="http://schemas.openxmlformats.org/officeDocument/2006/relationships/hyperlink" Target="https://saranistudio.sharepoint.com/:f:/s/SaraniAssets/EguF_RuJfAhHqZQ8udstFnsBGhKAj_gaj8cwxyZcZ88DoQ?e=9PydOm" TargetMode="External"/><Relationship Id="rId859" Type="http://schemas.openxmlformats.org/officeDocument/2006/relationships/hyperlink" Target="https://saranistudio-my.sharepoint.com/:b:/g/personal/team_sarani_studio/EXvTVa4dRVVAr1bnLi4TlgUB6-J6ITVerYh2Z1bEqfqpMA?e=Db7v4Z" TargetMode="External"/><Relationship Id="rId1391" Type="http://schemas.openxmlformats.org/officeDocument/2006/relationships/hyperlink" Target="https://saranistudio.sharepoint.com/:b:/s/SaraniAssets/IQAJbqzEDRCrSIaHDBoGFinGATs-wwhX-3q0tMmuhmHBp4Q?e=wCc1Cq" TargetMode="External"/><Relationship Id="rId193" Type="http://schemas.openxmlformats.org/officeDocument/2006/relationships/hyperlink" Target="https://saranistudio-my.sharepoint.com/:b:/g/personal/team_sarani_studio/ETDM6t_HJ_1HsXNYmIZd5kIBMcuspqcflWKLRySWxbVi6Q?e=9ApFzX" TargetMode="External"/><Relationship Id="rId207" Type="http://schemas.openxmlformats.org/officeDocument/2006/relationships/hyperlink" Target="https://saranistudio-my.sharepoint.com/:b:/g/personal/team_sarani_studio/EZQlHu_e6gFBqhnPVeyWRbIBOg1X0ZDZF6p5Vm9ArPczPw?e=t4CLm9" TargetMode="External"/><Relationship Id="rId414" Type="http://schemas.openxmlformats.org/officeDocument/2006/relationships/hyperlink" Target="https://saranistudio.sharepoint.com/:f:/s/SaraniAssets/Eh6KVl3bFE5LhnPwJatp_ZAB-BRSqFvxMpNBm7iwT-IQ2Q?e=HY0ocq" TargetMode="External"/><Relationship Id="rId498" Type="http://schemas.openxmlformats.org/officeDocument/2006/relationships/hyperlink" Target="https://saranistudio.sharepoint.com/:f:/s/SaraniAssets/Er-PEg6DqARKs3tSJB8nyHgBy4GqS7ph3PCYLd4MuLJnvA?e=GFJHWz" TargetMode="External"/><Relationship Id="rId621" Type="http://schemas.openxmlformats.org/officeDocument/2006/relationships/hyperlink" Target="https://saranistudio-my.sharepoint.com/:b:/g/personal/team_sarani_studio/EeWB78suXEVAgcONbSH4tXMBoPXqDpjKcTgwRunEeuv_qA?e=bcjyMP" TargetMode="External"/><Relationship Id="rId1044" Type="http://schemas.openxmlformats.org/officeDocument/2006/relationships/hyperlink" Target="https://saranistudio.sharepoint.com/:f:/s/SaraniAssets/Er_AyUv9ei1Lj4M_-kyDtMIB5jpO_cZHuhI7bsCVjMvsKw?e=MuxhdA" TargetMode="External"/><Relationship Id="rId1251" Type="http://schemas.openxmlformats.org/officeDocument/2006/relationships/hyperlink" Target="https://saranistudio.sharepoint.com/:b:/s/SaraniAssets/EVZovOQmH3ZHt6cW5lDYb_kBaZClLVtSTLWmb3fFJFN3cg?e=WSncAm" TargetMode="External"/><Relationship Id="rId1349" Type="http://schemas.openxmlformats.org/officeDocument/2006/relationships/hyperlink" Target="https://saranistudio.sharepoint.com/:b:/s/SaraniAssets/IQCs9XbE3pi-ToDLIjYvCDT-AeS8FlIGNCFeGV_-1Pit5mg?e=mC4F1I" TargetMode="External"/><Relationship Id="rId260" Type="http://schemas.openxmlformats.org/officeDocument/2006/relationships/hyperlink" Target="https://saranistudio.sharepoint.com/:f:/s/SaraniAssets/Eodd6cfk8mdCu1Q9slmbozMBVaEbNlFrea2iijCXO3p6fA?e=9cWXcH" TargetMode="External"/><Relationship Id="rId719" Type="http://schemas.openxmlformats.org/officeDocument/2006/relationships/hyperlink" Target="https://saranistudio.sharepoint.com/:f:/s/SaraniAssets/EhmdS25XzW5ChF_w_jDD8wQBpBa02VFfJG5jh8SXHVNvsA?e=YtXYfi" TargetMode="External"/><Relationship Id="rId926" Type="http://schemas.openxmlformats.org/officeDocument/2006/relationships/hyperlink" Target="https://saranistudio.sharepoint.com/:f:/s/SaraniAssets/EkuAOzpc23BJuHBDxmSgXs4BB0BkzI17_baz2rLs4P_8Lg?e=M3Vi7I" TargetMode="External"/><Relationship Id="rId1111" Type="http://schemas.openxmlformats.org/officeDocument/2006/relationships/hyperlink" Target="https://saranistudio.sharepoint.com/:f:/s/SaraniAssets/Eufb3n12wGxBnbtjKZK08YgB-iRknmUWVwaJRXrgnxk1CA?e=LBz72b" TargetMode="External"/><Relationship Id="rId55" Type="http://schemas.openxmlformats.org/officeDocument/2006/relationships/hyperlink" Target="https://saranistudio-my.sharepoint.com/:f:/g/personal/team_sarani_studio/EvN6F1tLUb1HpsDsbcqLJpgBS_xatQW1Mdo30DXnEk4Umw?e=ZwLhqb" TargetMode="External"/><Relationship Id="rId120" Type="http://schemas.openxmlformats.org/officeDocument/2006/relationships/hyperlink" Target="https://saranistudio-my.sharepoint.com/:b:/g/personal/team_sarani_studio/ERGLPn5MN0xFtdPl043Yr88BObvQ3p3mkyDeHLpkEmIPkA?e=iDhphm" TargetMode="External"/><Relationship Id="rId358" Type="http://schemas.openxmlformats.org/officeDocument/2006/relationships/hyperlink" Target="https://saranistudio-my.sharepoint.com/:f:/g/personal/team_sarani_studio/EmGsdIsbJgRJsHn18mqoDSQB5FuBnBna9S_58xG7MtztpQ?e=qp39eM" TargetMode="External"/><Relationship Id="rId565" Type="http://schemas.openxmlformats.org/officeDocument/2006/relationships/hyperlink" Target="https://saranistudio.sharepoint.com/:f:/s/SaraniAssets/ElcfvqkToXxCqKNhw4EjVqoBhpjVr9RCYH22P9hcSTVP0g?e=5sku3a" TargetMode="External"/><Relationship Id="rId772" Type="http://schemas.openxmlformats.org/officeDocument/2006/relationships/hyperlink" Target="https://saranistudio.sharepoint.com/:f:/s/SaraniAssets/EsnuWprR3NFEumXsLYiSyPEB4jvr9likDVQYNyktOEnVNA?e=wHP96P" TargetMode="External"/><Relationship Id="rId1195" Type="http://schemas.openxmlformats.org/officeDocument/2006/relationships/hyperlink" Target="https://saranistudio.sharepoint.com/:b:/s/SaraniAssets/EYQpnjgfzJdHtexIXhMdJrkBH5gzObGBSK6aRovv1IKgfg?e=QEcO60" TargetMode="External"/><Relationship Id="rId1209" Type="http://schemas.openxmlformats.org/officeDocument/2006/relationships/hyperlink" Target="https://saranistudio.sharepoint.com/:b:/s/SaraniAssets/EW0M21KdJg1It9oyeAqeZYgBqrTZNbrYZ5f8UeBA1L0Kmg?e=mgyPsQ" TargetMode="External"/><Relationship Id="rId1416" Type="http://schemas.openxmlformats.org/officeDocument/2006/relationships/hyperlink" Target="https://saranistudio.sharepoint.com/:b:/s/SaraniAssets/IQB_LWuFNcmxSbUF1nSYU_h1AbFrPXr76p6btbTQw0hkHR0?e=d9SRAM" TargetMode="External"/><Relationship Id="rId218" Type="http://schemas.openxmlformats.org/officeDocument/2006/relationships/hyperlink" Target="https://saranistudio.sharepoint.com/:f:/s/SaraniAssets/Eg17VuhV_ldOgMxMKJA4eQgBKKq_TkGuLdj02znvJEAwwg?e=N4C3dX" TargetMode="External"/><Relationship Id="rId425" Type="http://schemas.openxmlformats.org/officeDocument/2006/relationships/hyperlink" Target="https://saranistudio.sharepoint.com/:f:/s/SaraniAssets/Ejr-QoovUvhFlKdqynue9OgBmRMS9myizreXW47oGc6XSA?e=0nFbmm" TargetMode="External"/><Relationship Id="rId632" Type="http://schemas.openxmlformats.org/officeDocument/2006/relationships/hyperlink" Target="https://saranistudio.sharepoint.com/:f:/s/SaraniAssets/EhbO9XzfOCpEj8BayD-357EBr7rP_AXRMU_UkxK6_rmjxg?e=rNibsF" TargetMode="External"/><Relationship Id="rId1055" Type="http://schemas.openxmlformats.org/officeDocument/2006/relationships/hyperlink" Target="https://saranistudio-my.sharepoint.com/:b:/g/personal/team_sarani_studio/EeI4GBQ2y_dAgP0A1ziGEPwB-qxA1B28SPeo99Ay_B3hDQ?e=FHaaXv" TargetMode="External"/><Relationship Id="rId1262" Type="http://schemas.openxmlformats.org/officeDocument/2006/relationships/hyperlink" Target="https://saranistudio.sharepoint.com/:b:/s/SaraniAssets/EQktZ0mgoYhJrejYBOb1fR0B9yWxoXtvYYqr_ihX7mr7HQ?e=Vh5v5o" TargetMode="External"/><Relationship Id="rId271" Type="http://schemas.openxmlformats.org/officeDocument/2006/relationships/hyperlink" Target="https://saranistudio.sharepoint.com/:f:/s/SaraniAssets/EtY9hpKd1PlIhHe2wixiXsMBSDqRMLLEeq1QqO4tJfzyUw?e=UhMRMw" TargetMode="External"/><Relationship Id="rId937" Type="http://schemas.openxmlformats.org/officeDocument/2006/relationships/hyperlink" Target="https://saranistudio.sharepoint.com/:f:/s/SaraniAssets/Er-fQShbxClJpIXEdd000T4BLuSq7_nmC2u0e7lbTPL21Q?e=4p3Plf" TargetMode="External"/><Relationship Id="rId1122" Type="http://schemas.openxmlformats.org/officeDocument/2006/relationships/hyperlink" Target="https://saranistudio.sharepoint.com/:b:/s/SaraniAssets/EYBt4hhqYMxLor8SZBuJ-LoBAEBS9_jvsoWWbpHSV5KYQg?e=0W6lqO" TargetMode="External"/><Relationship Id="rId66" Type="http://schemas.openxmlformats.org/officeDocument/2006/relationships/hyperlink" Target="https://saranistudio-my.sharepoint.com/:f:/g/personal/team_sarani_studio/EkLgT7b2GW1FiXyXqMeqvNoBaTEkUZ9CqiBTTtiXfQFnqw?e=bI4r6i" TargetMode="External"/><Relationship Id="rId131" Type="http://schemas.openxmlformats.org/officeDocument/2006/relationships/hyperlink" Target="https://saranistudio-my.sharepoint.com/:b:/g/personal/team_sarani_studio/Ee3F3z-Ic6ZFo5wGD56lVwYBbC7nmfyNq2WfFQ2DqZJaOQ?e=YRGbt6" TargetMode="External"/><Relationship Id="rId369" Type="http://schemas.openxmlformats.org/officeDocument/2006/relationships/hyperlink" Target="https://saranistudio-my.sharepoint.com/:f:/g/personal/team_sarani_studio/ElqnG-FXH_tIjM-5CjehobkBI3iwiykX2wZsbbcXjP2u5Q?e=cTcTX3" TargetMode="External"/><Relationship Id="rId576" Type="http://schemas.openxmlformats.org/officeDocument/2006/relationships/hyperlink" Target="https://saranistudio.sharepoint.com/:f:/s/SaraniAssets/Ek4ezwAaTBBBmSwdwT3JSdkBODgrk7MwkN-3c3tGY5kR9Q?e=PInU3p" TargetMode="External"/><Relationship Id="rId783" Type="http://schemas.openxmlformats.org/officeDocument/2006/relationships/hyperlink" Target="https://saranistudio-my.sharepoint.com/:b:/g/personal/team_sarani_studio/EY56khXtkgBKpcV27GT5whgB1nILH2iAkSvaRkECORGGlg?e=kI5wFY" TargetMode="External"/><Relationship Id="rId990" Type="http://schemas.openxmlformats.org/officeDocument/2006/relationships/hyperlink" Target="https://saranistudio.sharepoint.com/:f:/s/SaraniAssets/EsqAgE3Dxb9PjUFMExa8wM0B0qVSiIQoP2w1jJahzJLZQQ?e=IRmp6t" TargetMode="External"/><Relationship Id="rId229" Type="http://schemas.openxmlformats.org/officeDocument/2006/relationships/hyperlink" Target="https://saranistudio.sharepoint.com/:f:/s/SaraniAssets/Es10BwBnj4BLhUyLluH6ex0BE4bVUY4ltMNws6mvczb7nA?e=eEctHw" TargetMode="External"/><Relationship Id="rId436" Type="http://schemas.openxmlformats.org/officeDocument/2006/relationships/hyperlink" Target="https://saranistudio.sharepoint.com/:f:/s/SaraniAssets/EhPjY6uekQdMmzdqL3TF_NsBhQe4Z6nlnR1_oHtKq8_I3g?e=beo9lV" TargetMode="External"/><Relationship Id="rId643" Type="http://schemas.openxmlformats.org/officeDocument/2006/relationships/hyperlink" Target="https://saranistudio.sharepoint.com/:f:/s/SaraniAssets/EqNRQXPIGLFMnEtYxw55MrgB6tiP3sItFi9I5Xj8teqxgg?e=a4gk1G" TargetMode="External"/><Relationship Id="rId1066" Type="http://schemas.openxmlformats.org/officeDocument/2006/relationships/hyperlink" Target="https://saranistudio-my.sharepoint.com/:b:/g/personal/team_sarani_studio/EQsqF9Qr7JdBm3EcBXEjC-QBXkLZ2_CqgRPwtZwRXuypXQ?e=omfSz4" TargetMode="External"/><Relationship Id="rId1273" Type="http://schemas.openxmlformats.org/officeDocument/2006/relationships/hyperlink" Target="https://saranistudio-my.sharepoint.com/:b:/g/personal/team_sarani_studio/EazWhIbpm69JupMv-TgO4g8BHhLiIyD10RR4j8aAmYF0rw?e=odskoI" TargetMode="External"/><Relationship Id="rId850" Type="http://schemas.openxmlformats.org/officeDocument/2006/relationships/hyperlink" Target="https://saranistudio.sharepoint.com/:f:/s/SaraniAssets/EjATzZt4efRAgl-XeJzzf8ABo772-A4BuSIiCCjyYjIqxA?e=55svU6" TargetMode="External"/><Relationship Id="rId948" Type="http://schemas.openxmlformats.org/officeDocument/2006/relationships/hyperlink" Target="https://saranistudio-my.sharepoint.com/:b:/g/personal/team_sarani_studio/EeUk-m2H4aNFvex2E-hJpi4BJb3v5CNWcGJ0tEvqyxskgQ?e=SITNcO" TargetMode="External"/><Relationship Id="rId1133" Type="http://schemas.openxmlformats.org/officeDocument/2006/relationships/hyperlink" Target="https://saranistudio.sharepoint.com/:f:/s/SaraniAssets/EpP23fXlHZ9PpeAxGvXM2MkBrS0VeRah4LIDNfVPXp6JaQ?e=EMpcje" TargetMode="External"/><Relationship Id="rId77" Type="http://schemas.openxmlformats.org/officeDocument/2006/relationships/hyperlink" Target="https://saranistudio-my.sharepoint.com/:f:/g/personal/team_sarani_studio/EohPa1Xy819BhgL0n4Y_wGgBCMYtqni5puedJYtVolpFmw?e=R0uwwn" TargetMode="External"/><Relationship Id="rId282" Type="http://schemas.openxmlformats.org/officeDocument/2006/relationships/hyperlink" Target="https://saranistudio.sharepoint.com/:b:/s/SaraniAssets/EYhTk4vogA9NjMuidPFnXwsBV7n7ZOheWcqSwkuKNwjnXA?e=sxESJQ" TargetMode="External"/><Relationship Id="rId503" Type="http://schemas.openxmlformats.org/officeDocument/2006/relationships/hyperlink" Target="https://saranistudio-my.sharepoint.com/:b:/g/personal/team_sarani_studio/EWqr-ubejwJEqVb-KmpBUt0BmLMGHUcbD6pk8InxE7bsrg?e=gDqRdY" TargetMode="External"/><Relationship Id="rId587" Type="http://schemas.openxmlformats.org/officeDocument/2006/relationships/hyperlink" Target="https://saranistudio.sharepoint.com/:f:/s/SaraniAssets/EuAK_QR69m9Ngyh_AIqX7yABWO9Zm-ysRoxPBof0dr1mfQ?e=UQG1AE" TargetMode="External"/><Relationship Id="rId710" Type="http://schemas.openxmlformats.org/officeDocument/2006/relationships/hyperlink" Target="https://saranistudio.sharepoint.com/:f:/s/SaraniAssets/Eg_1gdvbg8xNh-v1HEaNdt8BOi0iRVVF2ySuu1eddPTpNw?e=9RCr6j" TargetMode="External"/><Relationship Id="rId808" Type="http://schemas.openxmlformats.org/officeDocument/2006/relationships/hyperlink" Target="https://saranistudio.sharepoint.com/:f:/s/SaraniAssets/ElX_dy8iMnlHrje3NEZmavcBrCOi5AFuCJ3Jl0Bzb5lEEg?e=GYdx7P" TargetMode="External"/><Relationship Id="rId1340" Type="http://schemas.openxmlformats.org/officeDocument/2006/relationships/hyperlink" Target="https://saranistudio.sharepoint.com/sites/SaraniAssets/Shared%20Documents/Forms/AllItems.aspx?id=%2Fsites%2FSaraniAssets%2FShared%20Documents%2F03%2E%20Customers%2F02%2E%20Sony%2F03%2E%20Sony%20France%2F04%2E%20DI%2F20251128%5FLancement%20CX76800&amp;p=true&amp;ga=1" TargetMode="External"/><Relationship Id="rId8" Type="http://schemas.openxmlformats.org/officeDocument/2006/relationships/hyperlink" Target="https://saranistudio-my.sharepoint.com/:f:/g/personal/team_sarani_studio/EmBOVYV-QulImoZen16_XSMBt4gcYjkuDidXF__Uf1-VHw?e=ibhnwE" TargetMode="External"/><Relationship Id="rId142" Type="http://schemas.openxmlformats.org/officeDocument/2006/relationships/hyperlink" Target="https://saranistudio-my.sharepoint.com/:b:/g/personal/team_sarani_studio/EQtAEpb8-uNGq9VExKsBI9YBaNSVllvUgb21pGrriQEX5Q?e=FUjEx9" TargetMode="External"/><Relationship Id="rId447" Type="http://schemas.openxmlformats.org/officeDocument/2006/relationships/hyperlink" Target="https://saranistudio-my.sharepoint.com/:w:/g/personal/team_sarani_studio/EViYUu2CsrZHtqedL405SNEBnqjK6iAkEbRC41bxUM80xQ?e=K4bGXt" TargetMode="External"/><Relationship Id="rId794" Type="http://schemas.openxmlformats.org/officeDocument/2006/relationships/hyperlink" Target="https://saranistudio.sharepoint.com/:f:/s/SaraniAssets/ErT3XIr2I7JDhPcGYWhYRyUBJIobqlgMwsXtL6chsDkJew?e=BvObKR" TargetMode="External"/><Relationship Id="rId1077" Type="http://schemas.openxmlformats.org/officeDocument/2006/relationships/hyperlink" Target="https://saranistudio.sharepoint.com/:f:/s/SaraniAssets/Epd6NHEXSLVOv3NjNA8_J3wBhthamrDygWdtKhtrGqWQTA?e=DuGVy8" TargetMode="External"/><Relationship Id="rId1200" Type="http://schemas.openxmlformats.org/officeDocument/2006/relationships/hyperlink" Target="https://saranistudio.sharepoint.com/:b:/s/SaraniAssets/ETyNuOL8FSJFuh5Oz4oYZqcBp0vI2X_HhttDC1biIqZXMg?e=zlfd3r" TargetMode="External"/><Relationship Id="rId654" Type="http://schemas.openxmlformats.org/officeDocument/2006/relationships/hyperlink" Target="https://saranistudio.sharepoint.com/:f:/s/SaraniAssets/EkO8rCUKcwJFoYsznqFCbt8BewQej96gyQAdkpN9OLhsQA?e=s0Sjyj" TargetMode="External"/><Relationship Id="rId861" Type="http://schemas.openxmlformats.org/officeDocument/2006/relationships/hyperlink" Target="https://saranistudio.sharepoint.com/:f:/s/SaraniAssets/EqJbUrvvVetGl_GtMX3r054BhlHcRBrWtcR550jNrzGhtA?e=if0ckQ" TargetMode="External"/><Relationship Id="rId959" Type="http://schemas.openxmlformats.org/officeDocument/2006/relationships/hyperlink" Target="https://saranistudio.sharepoint.com/:f:/s/SaraniAssets/EkrYlxOH7ehIlcI_PKgmpWgB4wdD8OdAbQodLUHLP6SSkQ?e=AiukRM" TargetMode="External"/><Relationship Id="rId1284" Type="http://schemas.openxmlformats.org/officeDocument/2006/relationships/hyperlink" Target="https://saranistudio.sharepoint.com/:b:/s/SaraniAssets/IQCiUvDRz22VQZxIM1nEO-i9Af5cX05c22NdAvFfXlgOy2Y?e=RgdmSs" TargetMode="External"/><Relationship Id="rId293" Type="http://schemas.openxmlformats.org/officeDocument/2006/relationships/hyperlink" Target="https://saranistudio-my.sharepoint.com/:b:/g/personal/team_sarani_studio/EfqFqdvqAVJPqr8x4ngpH2YB5JbufIXQoMe0Ap-sLDxAOw?e=q0IO9I" TargetMode="External"/><Relationship Id="rId307" Type="http://schemas.openxmlformats.org/officeDocument/2006/relationships/hyperlink" Target="https://saranistudio.sharepoint.com/:f:/s/SaraniAssets/Eoy_6Ku94RRHm6VNocjMGqkB0DinGBXQrXxSUaNw99jChQ?e=UnkAhO" TargetMode="External"/><Relationship Id="rId514" Type="http://schemas.openxmlformats.org/officeDocument/2006/relationships/hyperlink" Target="https://saranistudio-my.sharepoint.com/:b:/g/personal/team_sarani_studio/EWTycKpZSIVOpr9YgSaNPlgBI0Na7NkNDt7IarNXBuRXnA?e=yDC9El" TargetMode="External"/><Relationship Id="rId721" Type="http://schemas.openxmlformats.org/officeDocument/2006/relationships/hyperlink" Target="https://saranistudio.sharepoint.com/:f:/s/SaraniAssets/ElgLYBysTTdHqQShEo4sypIBEVskwjCqz9d_tRCQCH_qwA?e=0B74NB" TargetMode="External"/><Relationship Id="rId1144" Type="http://schemas.openxmlformats.org/officeDocument/2006/relationships/hyperlink" Target="https://saranistudio.sharepoint.com/:b:/s/SaraniAssets/EUtrTs2KZZ1NhrqAD9fbkuEBSVUwmkSf74Xrx-aHxgzqpQ?e=MQKYJ8" TargetMode="External"/><Relationship Id="rId1351" Type="http://schemas.openxmlformats.org/officeDocument/2006/relationships/hyperlink" Target="https://saranistudio.sharepoint.com/:b:/s/SaraniAssets/IQBXPLOxYnhiRbX8PZQ2KLagAWvvnGWIMaXp49QqZP8PJf0?e=fkLlD4" TargetMode="External"/><Relationship Id="rId88" Type="http://schemas.openxmlformats.org/officeDocument/2006/relationships/hyperlink" Target="https://saranistudio-my.sharepoint.com/:f:/g/personal/team_sarani_studio/EqlFGHWqcuFIgXulyu1u7-cBimiPb-0LGSqvgCUVCR7Tmw?e=jlB2eB" TargetMode="External"/><Relationship Id="rId153" Type="http://schemas.openxmlformats.org/officeDocument/2006/relationships/hyperlink" Target="https://saranistudio.sharepoint.com/:f:/s/SaraniAssets/EpaVO7YRjRRKhnmYbKc3cVwB12wLQr2nbSc29Xfb7OCgmA?e=7alCrE" TargetMode="External"/><Relationship Id="rId360" Type="http://schemas.openxmlformats.org/officeDocument/2006/relationships/hyperlink" Target="https://saranistudio-my.sharepoint.com/:f:/g/personal/team_sarani_studio/Ekai1uZu5I1DjFQDqtNMglUB-a9khXEpgHVGO6Ehmq4loA?e=O64h2s" TargetMode="External"/><Relationship Id="rId598" Type="http://schemas.openxmlformats.org/officeDocument/2006/relationships/hyperlink" Target="https://saranistudio.sharepoint.com/:f:/s/SaraniAssets/Ei-Vlc8DKbtEqeHCv12wBhEBHr4hwqDfMhy4qgQiFi5o7A?e=B6uQn1" TargetMode="External"/><Relationship Id="rId819" Type="http://schemas.openxmlformats.org/officeDocument/2006/relationships/hyperlink" Target="https://saranistudio-my.sharepoint.com/:b:/g/personal/team_sarani_studio/EUqDQFiNDO5Jk9xelb0gKAEBRuQG4NrBmpatLOT29TC4oQ?e=OZhHu9" TargetMode="External"/><Relationship Id="rId1004" Type="http://schemas.openxmlformats.org/officeDocument/2006/relationships/hyperlink" Target="https://saranistudio.sharepoint.com/:f:/s/SaraniAssets/Eh7oqayrqJhPrADuUVfLnAUBgAn3Dvw6_DuZlfqIOmohMg?e=4fv6Hv" TargetMode="External"/><Relationship Id="rId1211" Type="http://schemas.openxmlformats.org/officeDocument/2006/relationships/hyperlink" Target="https://saranistudio.sharepoint.com/:b:/s/SaraniAssets/Edv3eomleOhDnJEpsONWM5gBBV4eYvVy_sTE9nk0PL26Zg?e=nj9Y5p" TargetMode="External"/><Relationship Id="rId220" Type="http://schemas.openxmlformats.org/officeDocument/2006/relationships/hyperlink" Target="https://saranistudio-my.sharepoint.com/:b:/g/personal/team_sarani_studio/EXLGrF4HwZVJvLpNHpSkeqEBqOkJgbz4KB5cU6BPBDcwog?e=x7801J" TargetMode="External"/><Relationship Id="rId458" Type="http://schemas.openxmlformats.org/officeDocument/2006/relationships/hyperlink" Target="https://saranistudio.sharepoint.com/:f:/s/SaraniAssets/EoDg3a131HlKu8H6WP3W-iwBpbogjRLy1k9WglAruq6aPA?e=SERajM" TargetMode="External"/><Relationship Id="rId665" Type="http://schemas.openxmlformats.org/officeDocument/2006/relationships/hyperlink" Target="https://saranistudio-my.sharepoint.com/:b:/g/personal/team_sarani_studio/EayQ-3NSvAtDmjD5vUUst54BT3xTMLZjZwU1omczNG9dEQ?e=9JsFgw" TargetMode="External"/><Relationship Id="rId872" Type="http://schemas.openxmlformats.org/officeDocument/2006/relationships/hyperlink" Target="https://saranistudio-my.sharepoint.com/:b:/g/personal/team_sarani_studio/EYp2_V9Z549Kgju1Hy2K0a8BA-yiWz8fc3NDV-VLMpjHTQ?e=FItuhY" TargetMode="External"/><Relationship Id="rId1088" Type="http://schemas.openxmlformats.org/officeDocument/2006/relationships/hyperlink" Target="https://saranistudio-my.sharepoint.com/:b:/g/personal/team_sarani_studio/EVgFTAdvU_RFnFhJUhZGAvUBuNOZmfatP5ZrMxbMbiZOiA?e=AHCYEr" TargetMode="External"/><Relationship Id="rId1295" Type="http://schemas.openxmlformats.org/officeDocument/2006/relationships/hyperlink" Target="https://saranistudio.sharepoint.com/:b:/s/SaraniAssets/IQBLnjHrbxmDSZ1TQq3jriW4AaQDczpTYJpDXPJ8oORuyqo?e=beOP32" TargetMode="External"/><Relationship Id="rId1309" Type="http://schemas.openxmlformats.org/officeDocument/2006/relationships/hyperlink" Target="https://saranistudio.sharepoint.com/:f:/s/SaraniAssets/IgCLk2lmyhlRRohtrj088avSARHGk7uYqVA0RcXW_eYZRes?e=hB9hdL" TargetMode="External"/><Relationship Id="rId15" Type="http://schemas.openxmlformats.org/officeDocument/2006/relationships/hyperlink" Target="https://saranistudio-my.sharepoint.com/:f:/g/personal/team_sarani_studio/El0REgOxzW1Eiu8AI5a8WPQBuRgA-xuGK77IgcuOUuwGhw?e=jWWT4e" TargetMode="External"/><Relationship Id="rId318" Type="http://schemas.openxmlformats.org/officeDocument/2006/relationships/hyperlink" Target="https://saranistudio.sharepoint.com/:f:/s/SaraniAssets/Eh9zdDtWGndKrlPGFS3NGgwBUsDHATT-cV1iOIGosz1mKg?e=ejvqoO" TargetMode="External"/><Relationship Id="rId525" Type="http://schemas.openxmlformats.org/officeDocument/2006/relationships/hyperlink" Target="https://saranistudio.sharepoint.com/:f:/s/SaraniAssets/Ep2jZWRNsEZBkU5YJN-86TYBDnYtvmF-fueR0QxGnhmihw?e=tVvhWU" TargetMode="External"/><Relationship Id="rId732" Type="http://schemas.openxmlformats.org/officeDocument/2006/relationships/hyperlink" Target="https://saranistudio-my.sharepoint.com/:b:/g/personal/team_sarani_studio/EVeeG9nszoNAqpeAYEGAV98BgWbGO38V0rr86OZRUPqZIg?e=aqKVSD" TargetMode="External"/><Relationship Id="rId1155" Type="http://schemas.openxmlformats.org/officeDocument/2006/relationships/hyperlink" Target="https://saranistudio.sharepoint.com/:f:/s/SaraniAssets/EpizfA758rROsbhe1mWymlgBPO1BJARr45GLoWNTU9o8MA?e=MNQR8n" TargetMode="External"/><Relationship Id="rId1362" Type="http://schemas.openxmlformats.org/officeDocument/2006/relationships/hyperlink" Target="https://saranistudio.sharepoint.com/:b:/s/SaraniAssets/IQDI_DIu6B8dSa-4s1U0xs2VAfi30dDxFc817PCsLzZmlW8?e=P6BaXK" TargetMode="External"/><Relationship Id="rId99" Type="http://schemas.openxmlformats.org/officeDocument/2006/relationships/hyperlink" Target="https://saranistudio-my.sharepoint.com/:f:/g/personal/team_sarani_studio/EvQN4pTLbGlGtvszZNOwt0QB3geNAHjthS4yBFQDknbV5Q?e=U5iNrI" TargetMode="External"/><Relationship Id="rId164" Type="http://schemas.openxmlformats.org/officeDocument/2006/relationships/hyperlink" Target="https://saranistudio.sharepoint.com/:f:/s/SaraniAssets/EvoGkMIDaxNNn_D4yYhjN4YBXzeH_waUwudgSgJoQgPVJw?e=uzDWRD" TargetMode="External"/><Relationship Id="rId371" Type="http://schemas.openxmlformats.org/officeDocument/2006/relationships/hyperlink" Target="https://saranistudio-my.sharepoint.com/:f:/g/personal/team_sarani_studio/Et4JEQ0pJl5Kp_gFcv6IrzAB9iSZfuy0HfDvSRmUsm9szw?e=pEDdUu" TargetMode="External"/><Relationship Id="rId1015" Type="http://schemas.openxmlformats.org/officeDocument/2006/relationships/hyperlink" Target="https://saranistudio.sharepoint.com/:f:/s/SaraniAssets/Egn4I9INgYNJr5ydo2iX30oBZrDzP71NKdfkVCVTequUtA?e=1qjQqy" TargetMode="External"/><Relationship Id="rId1222" Type="http://schemas.openxmlformats.org/officeDocument/2006/relationships/hyperlink" Target="https://saranistudio.sharepoint.com/:f:/s/SaraniAssets/EjOuMCmQMyFDklS6ab5J-O4BNkrS-Tih4Yda9x2Vgh2exA?e=Oi1dCZ" TargetMode="External"/><Relationship Id="rId469" Type="http://schemas.openxmlformats.org/officeDocument/2006/relationships/hyperlink" Target="https://saranistudio.sharepoint.com/:f:/s/SaraniAssets/EsF2yLFxol9HrOUjIA3buBoB1JW9KOPVkoTEFmx1UznSMg?e=86ztCi" TargetMode="External"/><Relationship Id="rId676" Type="http://schemas.openxmlformats.org/officeDocument/2006/relationships/hyperlink" Target="https://saranistudio.sharepoint.com/:f:/s/SaraniAssets/Eh2lwDQdc35DnA5Y6B9hKjoB084ACf9Ql6iUIvjUX0z8ig?e=7jwlfp" TargetMode="External"/><Relationship Id="rId883" Type="http://schemas.openxmlformats.org/officeDocument/2006/relationships/hyperlink" Target="https://saranistudio-my.sharepoint.com/:b:/g/personal/team_sarani_studio/ETZlwyEwot5BhrcR5pzrhEoB2S5oefX1npAmi5dcGnVUcA?e=47b9FB" TargetMode="External"/><Relationship Id="rId1099" Type="http://schemas.openxmlformats.org/officeDocument/2006/relationships/hyperlink" Target="https://saranistudio.sharepoint.com/:b:/s/SaraniAssets/ERiQHDCulxxJhilYxl9J97kBEk7rtGnkAigp4YUBe9ml7w?e=ChVNh9" TargetMode="External"/><Relationship Id="rId26" Type="http://schemas.openxmlformats.org/officeDocument/2006/relationships/hyperlink" Target="https://saranistudio-my.sharepoint.com/:f:/g/personal/team_sarani_studio/EgL726Ww1tBPiY3JLeGkgKABHLa4iBWeCZvZMffXcTD0Ow?e=Ev0d8h" TargetMode="External"/><Relationship Id="rId231" Type="http://schemas.openxmlformats.org/officeDocument/2006/relationships/hyperlink" Target="https://saranistudio.sharepoint.com/:f:/s/SaraniAssets/EvHB7IEJC-9PrFrCASV1LP4BfkiadPCQNOE1ln0j822RvQ?e=3Wy3MQ" TargetMode="External"/><Relationship Id="rId329" Type="http://schemas.openxmlformats.org/officeDocument/2006/relationships/hyperlink" Target="https://saranistudio-my.sharepoint.com/:b:/g/personal/team_sarani_studio/EXaikXzQhPdDrK3iaH4alnQBZ0gkcplRx-dbJCVDzVALSA?e=tSD1Dz" TargetMode="External"/><Relationship Id="rId536" Type="http://schemas.openxmlformats.org/officeDocument/2006/relationships/hyperlink" Target="https://saranistudio.sharepoint.com/:f:/s/SaraniAssets/Euv2yNLJnftBpUEvrmsAB6MBzD1B8_AINXYOKWYngc6ngw?e=X9YHng" TargetMode="External"/><Relationship Id="rId1166" Type="http://schemas.openxmlformats.org/officeDocument/2006/relationships/hyperlink" Target="https://saranistudio.sharepoint.com/:b:/s/SaraniAssets/EaFLU82L4sBIrRwiHLyKOOYBkxsCXVLp-guBfiSUVzQBOA?e=gZGe5d" TargetMode="External"/><Relationship Id="rId1373" Type="http://schemas.openxmlformats.org/officeDocument/2006/relationships/hyperlink" Target="https://saranistudio.sharepoint.com/:f:/s/SaraniAssets/IgDWB2Z_jwbFSKNE_ht9BD9LATchQvKlWHup3CjOlRf_oK0?e=qQIc0c" TargetMode="External"/><Relationship Id="rId175" Type="http://schemas.openxmlformats.org/officeDocument/2006/relationships/hyperlink" Target="https://saranistudio-my.sharepoint.com/:b:/g/personal/team_sarani_studio/EcPU1zDJq_5Dj5RURg-3P14BBbx6ZIb_sGUP63gWzDcIEw?e=6UUo1L" TargetMode="External"/><Relationship Id="rId743" Type="http://schemas.openxmlformats.org/officeDocument/2006/relationships/hyperlink" Target="https://saranistudio-my.sharepoint.com/:b:/g/personal/team_sarani_studio/EdHxxCsx3ixMo4QyG11mTaQBHaDScoBJYfUTG_4njGHiJw?e=NInYK2" TargetMode="External"/><Relationship Id="rId950" Type="http://schemas.openxmlformats.org/officeDocument/2006/relationships/hyperlink" Target="https://saranistudio-my.sharepoint.com/:b:/g/personal/team_sarani_studio/EQVXMOnuP7FKl1iAtGf8KFYBGHkSI_v20XOM-urHCf1azA?e=EbEUe2" TargetMode="External"/><Relationship Id="rId1026" Type="http://schemas.openxmlformats.org/officeDocument/2006/relationships/hyperlink" Target="https://saranistudio-my.sharepoint.com/:b:/g/personal/team_sarani_studio/Edcxene295dKrVKqlIWVNVcBybfX5v2phGVjXd2pv2_3-w?e=FxGQ5E" TargetMode="External"/><Relationship Id="rId382" Type="http://schemas.openxmlformats.org/officeDocument/2006/relationships/hyperlink" Target="https://saranistudio-my.sharepoint.com/:f:/g/personal/team_sarani_studio/EnsODutXGZlJka_h6isAGR0BOCwDvdDheBpIbUVmfdjGWQ?e=loMFxG" TargetMode="External"/><Relationship Id="rId603" Type="http://schemas.openxmlformats.org/officeDocument/2006/relationships/hyperlink" Target="https://saranistudio-my.sharepoint.com/:b:/g/personal/team_sarani_studio/EX-NIXOQLjZDue0jxyrxdcgBp72NBICObQhicC5pCYDaMw?e=p5l8hF" TargetMode="External"/><Relationship Id="rId687" Type="http://schemas.openxmlformats.org/officeDocument/2006/relationships/hyperlink" Target="https://saranistudio-my.sharepoint.com/:b:/g/personal/team_sarani_studio/EYLbHZZBf9JPui4YJq96tz4Bwh7gTSIZapL-7bVWv6PFnw?e=KyFQJr" TargetMode="External"/><Relationship Id="rId810" Type="http://schemas.openxmlformats.org/officeDocument/2006/relationships/hyperlink" Target="https://saranistudio.sharepoint.com/:f:/s/SaraniAssets/EtNDcqzbr35FoYBD4925WOYBrwWmv6wIHQ9DARwpCX3ahA?e=8rvCXe" TargetMode="External"/><Relationship Id="rId908" Type="http://schemas.openxmlformats.org/officeDocument/2006/relationships/hyperlink" Target="https://saranistudio.sharepoint.com/:f:/s/SaraniAssets/ErM-r801mg9EqlA_v4uYQlwB5Cnavq2gPYFpayFE4xpemg?e=Bgl7Yt" TargetMode="External"/><Relationship Id="rId1233" Type="http://schemas.openxmlformats.org/officeDocument/2006/relationships/hyperlink" Target="https://saranistudio.sharepoint.com/:f:/s/SaraniAssets/Eiflouw-qppAgfcaIxPrXeABelnBdbdDgIlfzht6cEim5A?e=GP4smc" TargetMode="External"/><Relationship Id="rId242" Type="http://schemas.openxmlformats.org/officeDocument/2006/relationships/hyperlink" Target="https://saranistudio-my.sharepoint.com/:b:/g/personal/team_sarani_studio/Ef7qEkyzMWBEvMzmfCXB0tcBegfhsnSFfaSlMMlPiVOBpA?e=EfztE5" TargetMode="External"/><Relationship Id="rId894" Type="http://schemas.openxmlformats.org/officeDocument/2006/relationships/hyperlink" Target="https://saranistudio.sharepoint.com/:f:/s/SaraniAssets/Eu8X1Zgowg5HrT7RHRnwa-8B_iqi3mVXrpI_oqRClIA5vw?e=P0Dqam" TargetMode="External"/><Relationship Id="rId1177" Type="http://schemas.openxmlformats.org/officeDocument/2006/relationships/hyperlink" Target="https://saranistudio.sharepoint.com/:f:/s/SaraniAssets/EoFZ2689ROlPmUhGwp_YfX8B8QOg8JM5mdUCSGLsdPnNzg?e=c3DXJa" TargetMode="External"/><Relationship Id="rId1300" Type="http://schemas.openxmlformats.org/officeDocument/2006/relationships/hyperlink" Target="https://saranistudio.sharepoint.com/:b:/s/SaraniAssets/IQDOCz_9XVbpQqCikp6sRS9nAWTiIZLgVRa-yeCQtMna-yE?e=4Ol38k" TargetMode="External"/><Relationship Id="rId37" Type="http://schemas.openxmlformats.org/officeDocument/2006/relationships/hyperlink" Target="https://saranistudio-my.sharepoint.com/:f:/g/personal/team_sarani_studio/EmLaqFBj_51MjXZHYWWXnkoBLAa6nzoR1xsPq4BDMu7-cw?e=t3K8Ml" TargetMode="External"/><Relationship Id="rId102" Type="http://schemas.openxmlformats.org/officeDocument/2006/relationships/hyperlink" Target="https://saranistudio.sharepoint.com/:f:/s/SaraniAssets/Et_OuIyMgu9FqMczpXXXQO0BYZHuDowfoC-0qggLgHG-1w?e=X52FgQ" TargetMode="External"/><Relationship Id="rId547" Type="http://schemas.openxmlformats.org/officeDocument/2006/relationships/hyperlink" Target="https://saranistudio.sharepoint.com/:f:/s/SaraniAssets/EmthEZcMCoxNuvL9Yb_GG0AB3x94POgrSYnCgHAJG1j0ww?e=7wgDwX" TargetMode="External"/><Relationship Id="rId754" Type="http://schemas.openxmlformats.org/officeDocument/2006/relationships/hyperlink" Target="https://saranistudio.sharepoint.com/:f:/s/SaraniAssets/EsmoDbY5bhtCsdQP2FeqHVQBTQtVbz_V6lutiUgMts_UBQ?e=lM3bHM" TargetMode="External"/><Relationship Id="rId961" Type="http://schemas.openxmlformats.org/officeDocument/2006/relationships/hyperlink" Target="https://saranistudio.sharepoint.com/:f:/s/SaraniAssets/EkrYlxOH7ehIlcI_PKgmpWgB4wdD8OdAbQodLUHLP6SSkQ?e=80rfk0" TargetMode="External"/><Relationship Id="rId1384" Type="http://schemas.openxmlformats.org/officeDocument/2006/relationships/hyperlink" Target="https://saranistudio.sharepoint.com/:f:/s/SaraniAssets/IgAKMmxRbBpkTLaDf54rPbnNAVaVlYAFQpRUEBnwUhgx8Uk?e=mP09lt" TargetMode="External"/><Relationship Id="rId90" Type="http://schemas.openxmlformats.org/officeDocument/2006/relationships/hyperlink" Target="https://saranistudio-my.sharepoint.com/:f:/g/personal/team_sarani_studio/EnvOKZLY5a5DqK7FCLYyhy0BELnJjT4h_XAIhziY3fDhBA?e=3TM4cJ" TargetMode="External"/><Relationship Id="rId186" Type="http://schemas.openxmlformats.org/officeDocument/2006/relationships/hyperlink" Target="https://saranistudio-my.sharepoint.com/:b:/g/personal/team_sarani_studio/Ed7tDI3v6LZGk1bKdthyEp0BJEKTNkLD_g_JjFViRSl_xw?e=w8wx6R" TargetMode="External"/><Relationship Id="rId393" Type="http://schemas.openxmlformats.org/officeDocument/2006/relationships/hyperlink" Target="https://saranistudio.sharepoint.com/:f:/s/SaraniAssets/Eo4fs8B0yVxOnYJDdESxq3IBMQTRyrJaLmIY-WuqR8BCHw?e=CXm0xp" TargetMode="External"/><Relationship Id="rId407" Type="http://schemas.openxmlformats.org/officeDocument/2006/relationships/hyperlink" Target="https://saranistudio.sharepoint.com/:f:/s/SaraniAssets/Eo2gCErVUSNJhhWrswEkgr0BuKZlajnhYGCJdyMEFeChjw?e=t0AxyP" TargetMode="External"/><Relationship Id="rId614" Type="http://schemas.openxmlformats.org/officeDocument/2006/relationships/hyperlink" Target="https://saranistudio-my.sharepoint.com/:b:/g/personal/team_sarani_studio/EV2YjuOuYO5FlGOq-alAfjQB_mWQAzauCgmG4xmaIMIA9A?e=bAXt3F" TargetMode="External"/><Relationship Id="rId821" Type="http://schemas.openxmlformats.org/officeDocument/2006/relationships/hyperlink" Target="https://saranistudio-my.sharepoint.com/:b:/g/personal/team_sarani_studio/EU_h25AroIhOm98vuCUYzJkBiJQCjvLDa1umC0fSdA9IZg?e=AQi57D" TargetMode="External"/><Relationship Id="rId1037" Type="http://schemas.openxmlformats.org/officeDocument/2006/relationships/hyperlink" Target="https://saranistudio.sharepoint.com/:f:/s/SaraniAssets/EvN_2YETVBBKn0IZKHgSR-YBsalqy369f260hyvqk0L67Q?e=aLsoNx" TargetMode="External"/><Relationship Id="rId1244" Type="http://schemas.openxmlformats.org/officeDocument/2006/relationships/hyperlink" Target="https://saranistudio.sharepoint.com/:f:/s/SaraniAssets/EtXnQDvluJVFiyDJF8FspT8B6F-muuG-deVJsKZJtGBRzA?e=FmhQbb" TargetMode="External"/><Relationship Id="rId253" Type="http://schemas.openxmlformats.org/officeDocument/2006/relationships/hyperlink" Target="https://saranistudio-my.sharepoint.com/:b:/g/personal/team_sarani_studio/EfLZu5jwbb9MpqwJcMDzVyUBRuUglA6JbbnmnMKCJKxUiA?e=OxV7kf" TargetMode="External"/><Relationship Id="rId460" Type="http://schemas.openxmlformats.org/officeDocument/2006/relationships/hyperlink" Target="https://saranistudio-my.sharepoint.com/:b:/g/personal/team_sarani_studio/EVnbW8U-c6pPr-6HpUYfwdABIxKYBlDYM6siO5zqd0ySVg?e=jQGbbt" TargetMode="External"/><Relationship Id="rId698" Type="http://schemas.openxmlformats.org/officeDocument/2006/relationships/hyperlink" Target="https://saranistudio.sharepoint.com/:f:/s/SaraniAssets/EgqiLSzdeWZDjXVycrUEBn0BCYamn7EqH2e-Batik43ZcQ?e=NiaJ6y" TargetMode="External"/><Relationship Id="rId919" Type="http://schemas.openxmlformats.org/officeDocument/2006/relationships/hyperlink" Target="https://saranistudio.sharepoint.com/:f:/s/SaraniAssets/Etb1UeuZAIdHkWQRi3bMBZkBXiXXaWj-BbdNgM7ZHBih1Q?e=9vJF5f" TargetMode="External"/><Relationship Id="rId1090" Type="http://schemas.openxmlformats.org/officeDocument/2006/relationships/hyperlink" Target="https://saranistudio-my.sharepoint.com/:b:/g/personal/team_sarani_studio/EeoeAqFlo6FNv0NOiSzJomoBk-wFGfXn8USE3F_jyAUxkQ?e=bge2Tg" TargetMode="External"/><Relationship Id="rId1104" Type="http://schemas.openxmlformats.org/officeDocument/2006/relationships/hyperlink" Target="https://saranistudio-my.sharepoint.com/:b:/g/personal/team_sarani_studio/EbMNMewHyQJOk8269RNARbQBeHbse6zm5A2lHzWAekKAww?e=BuQkwD" TargetMode="External"/><Relationship Id="rId1311" Type="http://schemas.openxmlformats.org/officeDocument/2006/relationships/hyperlink" Target="https://saranistudio.sharepoint.com/:b:/s/SaraniAssets/IQAQa7aLs6bJQrOJMWyhu1KDAc4n_sEjVbWnp4UkfF0SFho?e=gRds2x" TargetMode="External"/><Relationship Id="rId48" Type="http://schemas.openxmlformats.org/officeDocument/2006/relationships/hyperlink" Target="https://saranistudio-my.sharepoint.com/:f:/g/personal/team_sarani_studio/EsMnikTmJL1KpvYorntrkkABl8AjzYKd5G85aBnUnFq9Iw?e=TuaAG2" TargetMode="External"/><Relationship Id="rId113" Type="http://schemas.openxmlformats.org/officeDocument/2006/relationships/hyperlink" Target="https://saranistudio-my.sharepoint.com/:b:/g/personal/team_sarani_studio/EWZDebpX_3NLnB2kPm4prroBkIIgVsMjvlgdRG2KL6oTyA?e=k6vJEN" TargetMode="External"/><Relationship Id="rId320" Type="http://schemas.openxmlformats.org/officeDocument/2006/relationships/hyperlink" Target="https://saranistudio.sharepoint.com/:f:/s/SaraniAssets/Etf8n6cNrqJAkRVRDvtnTg8BFO3Dc6eXorX24klkXyYQKA?e=DAbVAB" TargetMode="External"/><Relationship Id="rId558" Type="http://schemas.openxmlformats.org/officeDocument/2006/relationships/hyperlink" Target="https://saranistudio.sharepoint.com/:f:/s/SaraniAssets/Ep9JMmRBZoZAtrerYFkxz94BCxJ5jVd6VvgvRPq1FNxXJQ?e=7B8PiH" TargetMode="External"/><Relationship Id="rId765" Type="http://schemas.openxmlformats.org/officeDocument/2006/relationships/hyperlink" Target="https://saranistudio.sharepoint.com/:f:/s/SaraniAssets/EqNTdATxXeFCq6eFjiqB6AcBqX0xqkrL6zKRyjTRRwLV4w?e=QUxdmC" TargetMode="External"/><Relationship Id="rId972" Type="http://schemas.openxmlformats.org/officeDocument/2006/relationships/hyperlink" Target="https://saranistudio-my.sharepoint.com/:b:/g/personal/team_sarani_studio/Ectb3EbH9M5FiVZ1YFYo3bQBH0i_H-7yO2nThnlyqWUldg?e=8bA5IJ" TargetMode="External"/><Relationship Id="rId1188" Type="http://schemas.openxmlformats.org/officeDocument/2006/relationships/hyperlink" Target="https://saranistudio.sharepoint.com/:b:/s/SaraniAssets/EWLHwkGGS-1KoEPqEjkQRvIBXhtC-3nBrFFbpr5_IShxzQ?e=dATBHm" TargetMode="External"/><Relationship Id="rId1395" Type="http://schemas.openxmlformats.org/officeDocument/2006/relationships/hyperlink" Target="https://saranistudio.sharepoint.com/:f:/s/SaraniAssets/IgALorTnWVyjT5VwIQyiBjt0AXIEqDJxHPbg28jZ27lBa6E?e=QvpbBZ" TargetMode="External"/><Relationship Id="rId1409" Type="http://schemas.openxmlformats.org/officeDocument/2006/relationships/hyperlink" Target="https://saranistudio.sharepoint.com/:f:/s/SaraniAssets/IgCG_81Uxfd2SLimBIMkkCMuAQpL98YExpi4JAzX4fGHpak?e=D8vJYO" TargetMode="External"/><Relationship Id="rId197" Type="http://schemas.openxmlformats.org/officeDocument/2006/relationships/hyperlink" Target="https://saranistudio.sharepoint.com/:f:/s/SaraniAssets/EosNDDBskm9BjknVqVaTUUIBFbs2cKTF3yYLg-eQh4eaFw?e=EgB9v5" TargetMode="External"/><Relationship Id="rId418" Type="http://schemas.openxmlformats.org/officeDocument/2006/relationships/hyperlink" Target="https://saranistudio.sharepoint.com/:f:/s/SaraniAssets/EhaXdK045ktJg8QiQguTvs8B2qCauga7MsVE7QwYTqF63w?e=6ZHC8E" TargetMode="External"/><Relationship Id="rId625" Type="http://schemas.openxmlformats.org/officeDocument/2006/relationships/hyperlink" Target="https://saranistudio.sharepoint.com/:f:/s/SaraniAssets/Es3F2UBug-dNnBJo23Q-QeMBR7tDh3g1U8hVNfX1-3KkeA?e=d6QiDw" TargetMode="External"/><Relationship Id="rId832" Type="http://schemas.openxmlformats.org/officeDocument/2006/relationships/hyperlink" Target="https://saranistudio-my.sharepoint.com/:b:/g/personal/team_sarani_studio/EQ3NlqXwX4pFj0vRlgwkg2QBXs7Z4r1ZT_xxu9BmqBv3jg?e=h0OAsp" TargetMode="External"/><Relationship Id="rId1048" Type="http://schemas.openxmlformats.org/officeDocument/2006/relationships/hyperlink" Target="https://saranistudio.sharepoint.com/:f:/s/SaraniAssets/EgqPgXGGOQVNt18e3vrjABwBQtuxG2KmJHc-6zwSpjMLtg?e=gigoYY" TargetMode="External"/><Relationship Id="rId1255" Type="http://schemas.openxmlformats.org/officeDocument/2006/relationships/hyperlink" Target="https://saranistudio.sharepoint.com/:f:/s/SaraniAssets/EsIEgzSHS7VAnfFY8Wsejm4BBQK6UqiJ6hlvUC1QSRnDMw?e=SUaYXx" TargetMode="External"/><Relationship Id="rId264" Type="http://schemas.openxmlformats.org/officeDocument/2006/relationships/hyperlink" Target="https://saranistudio.sharepoint.com/:f:/s/SaraniAssets/EuVjuW78QlZIr2AwL770ycgBtu-7kJHdMWZn5etR7DSQPg?e=s99CPP" TargetMode="External"/><Relationship Id="rId471" Type="http://schemas.openxmlformats.org/officeDocument/2006/relationships/hyperlink" Target="https://saranistudio.sharepoint.com/:f:/s/SaraniAssets/EpTa-4xmK2tMn34BravF36UBzCg7X-7JkfWV1Tli0nQtPA?e=Wx4iha" TargetMode="External"/><Relationship Id="rId1115" Type="http://schemas.openxmlformats.org/officeDocument/2006/relationships/hyperlink" Target="https://saranistudio.sharepoint.com/:f:/s/SaraniAssets/EoXp_ewBHDFLgQE4qJj5cAwBVMa1aCBixqG_znRts7FXOA?e=ELkMYj" TargetMode="External"/><Relationship Id="rId1322" Type="http://schemas.openxmlformats.org/officeDocument/2006/relationships/hyperlink" Target="https://saranistudio.sharepoint.com/:b:/s/SaraniAssets/IQAgaJ5GBrGLRq42AtvInPRtASM02vbISQUjzISBEF5qPAk?e=JthnvV" TargetMode="External"/><Relationship Id="rId59" Type="http://schemas.openxmlformats.org/officeDocument/2006/relationships/hyperlink" Target="https://saranistudio-my.sharepoint.com/:f:/g/personal/team_sarani_studio/Emr78pZYwmhKg7QstwR5YX8B_01h9nWSmEplb8WNjpatfQ?e=qLyHA4" TargetMode="External"/><Relationship Id="rId124" Type="http://schemas.openxmlformats.org/officeDocument/2006/relationships/hyperlink" Target="https://saranistudio-my.sharepoint.com/:b:/g/personal/team_sarani_studio/EfzPLtbTTzhKhB0LXEqvdCUBiqZVbJXGPDHC-vA9agM0Sg?e=QEvz6v" TargetMode="External"/><Relationship Id="rId569" Type="http://schemas.openxmlformats.org/officeDocument/2006/relationships/hyperlink" Target="https://saranistudio.sharepoint.com/:f:/s/SaraniAssets/EmuJNJfdmj5Pop4J2dxN2ZAB9Qmr5BCdomS3__5EHXWBhA?e=cxeMda" TargetMode="External"/><Relationship Id="rId776" Type="http://schemas.openxmlformats.org/officeDocument/2006/relationships/hyperlink" Target="https://saranistudio-my.sharepoint.com/:b:/g/personal/team_sarani_studio/EcJmmafPcjpJpKFSoWoB8boBKT63ZN3veUcip0gbBNhciQ?e=jfkjJg" TargetMode="External"/><Relationship Id="rId983" Type="http://schemas.openxmlformats.org/officeDocument/2006/relationships/hyperlink" Target="https://saranistudio.sharepoint.com/:f:/s/SaraniAssets/Ej8lHP0g2oVIj-MEb9ZDEboBDgyMJiM5EncHFTQSkh0p-g?e=ROE3Bu" TargetMode="External"/><Relationship Id="rId1199" Type="http://schemas.openxmlformats.org/officeDocument/2006/relationships/hyperlink" Target="https://saranistudio.sharepoint.com/:b:/s/SaraniAssets/EeevQRoaT69GtQ3xC-JhWz0BHgjuJKueD14fRN9dcjqVUQ?e=KBhylM" TargetMode="External"/><Relationship Id="rId331" Type="http://schemas.openxmlformats.org/officeDocument/2006/relationships/hyperlink" Target="https://saranistudio-my.sharepoint.com/:b:/g/personal/team_sarani_studio/ETBQj9rlqzpMqL8bRaQKAFABgPEAZi3rCpz7OYtrV_XYwQ?e=ohRi3A" TargetMode="External"/><Relationship Id="rId429" Type="http://schemas.openxmlformats.org/officeDocument/2006/relationships/hyperlink" Target="https://saranistudio.sharepoint.com/:f:/s/SaraniAssets/Eq-G0OXt7vlHmHi81zgLafwBcYQj-fDcP68S1bRRJECbdQ?e=jCQYCn" TargetMode="External"/><Relationship Id="rId636" Type="http://schemas.openxmlformats.org/officeDocument/2006/relationships/hyperlink" Target="https://saranistudio-my.sharepoint.com/:b:/g/personal/team_sarani_studio/EREAGX4HaJ9LlO6tP-c7a1EBG7GEDiuKCCDrUgK4yc3_1A?e=iw52tY" TargetMode="External"/><Relationship Id="rId1059" Type="http://schemas.openxmlformats.org/officeDocument/2006/relationships/hyperlink" Target="https://saranistudio-my.sharepoint.com/:b:/g/personal/team_sarani_studio/Ebcf8qd0HVlMgTicdGlsYn8B050zQe8mGOEa3G4LQePkMw?e=9NSgti" TargetMode="External"/><Relationship Id="rId1266" Type="http://schemas.openxmlformats.org/officeDocument/2006/relationships/hyperlink" Target="https://saranistudio.sharepoint.com/:f:/s/SaraniAssets/EpGAelAp3plBmrymxEAkFKoBkC-sphQ5sabQuIqU1XJSvA?e=LJK4Rt" TargetMode="External"/><Relationship Id="rId843" Type="http://schemas.openxmlformats.org/officeDocument/2006/relationships/hyperlink" Target="https://saranistudio-my.sharepoint.com/:b:/g/personal/team_sarani_studio/EUpwczu24StIpSW6vz6KztsBo5YFH5CEMHgqqwfMR20DJg?e=jfIkZd" TargetMode="External"/><Relationship Id="rId1126" Type="http://schemas.openxmlformats.org/officeDocument/2006/relationships/hyperlink" Target="https://saranistudio.sharepoint.com/:b:/s/SaraniAssets/EaB98SjTdfRKtY1ONBNMBLoBYImaB3MkfeauIJXpFd04ng?e=CKTNB5" TargetMode="External"/><Relationship Id="rId275" Type="http://schemas.openxmlformats.org/officeDocument/2006/relationships/hyperlink" Target="https://saranistudio.sharepoint.com/:f:/s/SaraniAssets/EogVu9PGqENJlOaRkAxLbfYBs4fSofJOrkhOr7N8gIUyMg?e=CFyYSV" TargetMode="External"/><Relationship Id="rId482" Type="http://schemas.openxmlformats.org/officeDocument/2006/relationships/hyperlink" Target="https://saranistudio.sharepoint.com/:f:/s/SaraniAssets/EmSEmaLzzZ9No0benJZjBGIBnxOlbpl1CcNy1p5Oip8PeA?e=H4b13G" TargetMode="External"/><Relationship Id="rId703" Type="http://schemas.openxmlformats.org/officeDocument/2006/relationships/hyperlink" Target="https://saranistudio-my.sharepoint.com/:b:/g/personal/team_sarani_studio/EQtDQCxQyAlFuXJiz9g4zEYBQDbSO5Ybx-oH8so2qpqIvA?e=mGTRkK" TargetMode="External"/><Relationship Id="rId910" Type="http://schemas.openxmlformats.org/officeDocument/2006/relationships/hyperlink" Target="https://saranistudio.sharepoint.com/:f:/s/SaraniAssets/Ej9m9xLaKXVKti7INlZOgwEBwCfNnRf9owbdazMztS-jkA?e=EbTXXe" TargetMode="External"/><Relationship Id="rId1333" Type="http://schemas.openxmlformats.org/officeDocument/2006/relationships/hyperlink" Target="https://saranistudio.sharepoint.com/:f:/s/SaraniAssets/IgAhXgJ22izNTKF_RexrW_G_ATX2NEmp_vTMbwq9OGRPPgc?e=NBdkSx" TargetMode="External"/><Relationship Id="rId135" Type="http://schemas.openxmlformats.org/officeDocument/2006/relationships/hyperlink" Target="https://saranistudio.sharepoint.com/:f:/s/SaraniAssets/Etu_da7dC-ZJt1b3jGIkTpkB2HKcNrt4v7mQPatbLXCQZg?e=zHQWkX" TargetMode="External"/><Relationship Id="rId342" Type="http://schemas.openxmlformats.org/officeDocument/2006/relationships/hyperlink" Target="https://saranistudio.sharepoint.com/:f:/s/SaraniAssets/EmNZUpYuUJVBlPsZ5mpcLwsBDIhpr6GOmZlNGa9BS72IYg?e=UGaDiN" TargetMode="External"/><Relationship Id="rId787" Type="http://schemas.openxmlformats.org/officeDocument/2006/relationships/hyperlink" Target="https://saranistudio-my.sharepoint.com/:b:/g/personal/team_sarani_studio/EYfXKwkOC-BLsohW7Vlq_bQBkHa3a-2U-FSpPPkSJzWqYQ?e=u5BD7m" TargetMode="External"/><Relationship Id="rId994" Type="http://schemas.openxmlformats.org/officeDocument/2006/relationships/hyperlink" Target="https://saranistudio-my.sharepoint.com/:b:/g/personal/team_sarani_studio/Earz-2fA8r5Nn5c1CchWMhkByEud0qLfEZrZ2eEC8I9sDw?e=LnfVUt" TargetMode="External"/><Relationship Id="rId1400" Type="http://schemas.openxmlformats.org/officeDocument/2006/relationships/hyperlink" Target="https://saranistudio.sharepoint.com/:f:/s/SaraniAssets/IgAo_juUF4ycQZElYEMxDdtQAdHp5h_EngLVtNmd3Tz2KI8?e=lsQJWF" TargetMode="External"/><Relationship Id="rId202" Type="http://schemas.openxmlformats.org/officeDocument/2006/relationships/hyperlink" Target="https://saranistudio-my.sharepoint.com/:b:/g/personal/team_sarani_studio/EdSj0tw5I89CphUXa5VDuO4Bw3SJyPQsDm8HB9OKLpiuDQ?e=hhbdeT" TargetMode="External"/><Relationship Id="rId647" Type="http://schemas.openxmlformats.org/officeDocument/2006/relationships/hyperlink" Target="https://saranistudio.sharepoint.com/:f:/s/SaraniAssets/Er8oVbyqEMBNuf-DN-nTSooBi4ZGg4uCRGL12yzfFcFFAw?e=wSNnrG" TargetMode="External"/><Relationship Id="rId854" Type="http://schemas.openxmlformats.org/officeDocument/2006/relationships/hyperlink" Target="https://saranistudio-my.sharepoint.com/:b:/g/personal/team_sarani_studio/EYp8zryUJiJCp0vYatV2Q58B4QSWsMOnAxSZ24fEL4_32A?e=cyeQzw" TargetMode="External"/><Relationship Id="rId1277" Type="http://schemas.openxmlformats.org/officeDocument/2006/relationships/hyperlink" Target="https://saranistudio.sharepoint.com/:b:/s/SaraniAssets/ER3eipcibBZIpLjQwNud0uQBU-tcU_EcRpUo9lpmfW6ZUQ?e=BFFwcT" TargetMode="External"/><Relationship Id="rId286" Type="http://schemas.openxmlformats.org/officeDocument/2006/relationships/hyperlink" Target="https://saranistudio-my.sharepoint.com/:b:/g/personal/team_sarani_studio/Edbt_2QSy4tFkmYFGtYTNuEBcC4sWXovquwfCy4zOTXylA?e=jblPwJ" TargetMode="External"/><Relationship Id="rId493" Type="http://schemas.openxmlformats.org/officeDocument/2006/relationships/hyperlink" Target="https://saranistudio.sharepoint.com/:f:/s/SaraniAssets/EqihqzuXCWdMk7ZkEKZCEHkBQZmNBjqgExq2Oq1oempz6g?e=n1wMti" TargetMode="External"/><Relationship Id="rId507" Type="http://schemas.openxmlformats.org/officeDocument/2006/relationships/hyperlink" Target="https://saranistudio-my.sharepoint.com/:b:/g/personal/team_sarani_studio/EcmGaqomQMxHiUdFN1voEpkBnJQZhKoLOdB3yhx8_tj5Hw?e=4YCEYM" TargetMode="External"/><Relationship Id="rId714" Type="http://schemas.openxmlformats.org/officeDocument/2006/relationships/hyperlink" Target="https://saranistudio.sharepoint.com/:f:/s/SaraniAssets/Enu7Fy8gbalChU1-KQ0eK88Bu0jqy09lBNy0duUZLw_0fg?e=cn2aOk" TargetMode="External"/><Relationship Id="rId921" Type="http://schemas.openxmlformats.org/officeDocument/2006/relationships/hyperlink" Target="https://saranistudio.sharepoint.com/:f:/s/SaraniAssets/ErxE2A5bRq5NmR8y9FXdsxQBmY5wleMX_TUEXhut4R4Vdw?e=H55joh" TargetMode="External"/><Relationship Id="rId1137" Type="http://schemas.openxmlformats.org/officeDocument/2006/relationships/hyperlink" Target="https://saranistudio.sharepoint.com/:b:/s/SaraniAssets/EQ5r6S3cLnRMoVOBm1d76mcBRD0t5CPuMMJJn79w4h1Kjg?e=6oPOni" TargetMode="External"/><Relationship Id="rId1344" Type="http://schemas.openxmlformats.org/officeDocument/2006/relationships/hyperlink" Target="https://saranistudio.sharepoint.com/:f:/s/SaraniAssets/IgDeSpMzfg5BT5NmB3K_FBXTAS0lRY_YmawDNMyhLBbV_n8?e=4KX13l" TargetMode="External"/><Relationship Id="rId50" Type="http://schemas.openxmlformats.org/officeDocument/2006/relationships/hyperlink" Target="https://saranistudio-my.sharepoint.com/:f:/g/personal/team_sarani_studio/Evv8Y4u5CcpBkA6LoIczitQBWRTN97zK7m4SmXnl8monYA?e=FXqhEq" TargetMode="External"/><Relationship Id="rId146" Type="http://schemas.openxmlformats.org/officeDocument/2006/relationships/hyperlink" Target="https://saranistudio-my.sharepoint.com/:b:/g/personal/team_sarani_studio/ET24GpU1_VNBieU98p25518BureXOdtLbgAKZXKKqI_8yw?e=vekEA6" TargetMode="External"/><Relationship Id="rId353" Type="http://schemas.openxmlformats.org/officeDocument/2006/relationships/hyperlink" Target="https://saranistudio-my.sharepoint.com/:b:/g/personal/team_sarani_studio/EeQ-SQ6ymGpPp_9q064_UxABi6FBdA8GYVOvUTq74tgcGw?e=Sr9lyu" TargetMode="External"/><Relationship Id="rId560" Type="http://schemas.openxmlformats.org/officeDocument/2006/relationships/hyperlink" Target="https://saranistudio.sharepoint.com/:f:/s/SaraniAssets/Evn5QFIj681CiBYBSAR-s4sBb7cKx2Ae40dmsCgDq_e9zg?e=Qe5MEJ" TargetMode="External"/><Relationship Id="rId798" Type="http://schemas.openxmlformats.org/officeDocument/2006/relationships/hyperlink" Target="https://saranistudio.sharepoint.com/:f:/s/SaraniAssets/EhjM_Dx9gvtFiaY2wcXhQGYB6XnBkQkjVvvQPm_MvOcqhg?e=CpIula" TargetMode="External"/><Relationship Id="rId1190" Type="http://schemas.openxmlformats.org/officeDocument/2006/relationships/hyperlink" Target="https://saranistudio.sharepoint.com/:f:/s/SaraniAssets/ElN4MB0xzJJGroqfBV54NyYB349BYSspcdUY4AjINeTkUg?e=Ptl8eb" TargetMode="External"/><Relationship Id="rId1204" Type="http://schemas.openxmlformats.org/officeDocument/2006/relationships/hyperlink" Target="https://saranistudio.sharepoint.com/:f:/s/SaraniAssets/EtYHZn-PBsVIo0T-G30EP0sBNyFC8qVYe6ncKM6VF_-grQ?e=LIsvpy" TargetMode="External"/><Relationship Id="rId1411" Type="http://schemas.openxmlformats.org/officeDocument/2006/relationships/hyperlink" Target="https://saranistudio.sharepoint.com/:f:/s/SaraniAssets/IgDa4v5lbsAmRoQTCwyhhrKpAXMdo0lQD3JtiL75BKsGKls?e=kOROQC" TargetMode="External"/><Relationship Id="rId213" Type="http://schemas.openxmlformats.org/officeDocument/2006/relationships/hyperlink" Target="https://saranistudio-my.sharepoint.com/:b:/g/personal/team_sarani_studio/EfWXFgChM0pIvne8GtciDicBSv_RgXWPHS29oXKrxZQDeQ?e=3KsHae" TargetMode="External"/><Relationship Id="rId420" Type="http://schemas.openxmlformats.org/officeDocument/2006/relationships/hyperlink" Target="https://saranistudio.sharepoint.com/:f:/s/SaraniAssets/EgSBMO7G8CtPiA2qeVp_ODkBbAHHc8LP-rPTkwH6_xHmdg?e=efaM1O" TargetMode="External"/><Relationship Id="rId658" Type="http://schemas.openxmlformats.org/officeDocument/2006/relationships/hyperlink" Target="https://saranistudio.sharepoint.com/:f:/s/SaraniAssets/EkTAkWn_tq5MvcVBUhQnieEBAi7cwOUc0iFGEQEBsLLHEw?e=5U14DQ" TargetMode="External"/><Relationship Id="rId865" Type="http://schemas.openxmlformats.org/officeDocument/2006/relationships/hyperlink" Target="https://saranistudio.sharepoint.com/:f:/s/SaraniAssets/Ej8x4xJqblpPq88y3Xt0Z7wBmSCYwuIrO-cIQEGjhXXA0Q?e=y94dJL" TargetMode="External"/><Relationship Id="rId1050" Type="http://schemas.openxmlformats.org/officeDocument/2006/relationships/hyperlink" Target="https://saranistudio.sharepoint.com/:f:/s/SaraniAssets/EmCFhW7rtK1LjN6uQzHHxF8BJ0jr-XghW7De08THgjS2vQ?e=kgydSw" TargetMode="External"/><Relationship Id="rId1288" Type="http://schemas.openxmlformats.org/officeDocument/2006/relationships/hyperlink" Target="https://saranistudio.sharepoint.com/:f:/s/SaraniAssets/IgCwWQJO7MZrTKufk3BbkLSJAf0JmtyVrZFzp4QxNB-wPNw?e=xzWFkR" TargetMode="External"/><Relationship Id="rId297" Type="http://schemas.openxmlformats.org/officeDocument/2006/relationships/hyperlink" Target="https://saranistudio.sharepoint.com/:f:/s/SaraniAssets/Eh3RpKQXfyVCvqdtfiu9dD0BLzbG-2HelOsfJzr8BWzm4w?e=eJP2zN" TargetMode="External"/><Relationship Id="rId518" Type="http://schemas.openxmlformats.org/officeDocument/2006/relationships/hyperlink" Target="https://saranistudio-my.sharepoint.com/:b:/g/personal/team_sarani_studio/EUwhFC-dFPZJrA3VydFx-fYBZ-HLJvEs88lc0vTxj1zWLQ?e=Gj9N7L" TargetMode="External"/><Relationship Id="rId725" Type="http://schemas.openxmlformats.org/officeDocument/2006/relationships/hyperlink" Target="https://saranistudio.sharepoint.com/:f:/s/SaraniAssets/Ehi4UsNOgsFEl_7mf-WuEuwBzmFIS3xCK7Dspk09vfuHDQ?e=eSbIgk" TargetMode="External"/><Relationship Id="rId932" Type="http://schemas.openxmlformats.org/officeDocument/2006/relationships/hyperlink" Target="https://saranistudio-my.sharepoint.com/:b:/g/personal/team_sarani_studio/EQyNOZCMicxHj2xu8DuX4eIBYKkCV0sA0ROsWFjaOE35ww?e=aI10Qh" TargetMode="External"/><Relationship Id="rId1148" Type="http://schemas.openxmlformats.org/officeDocument/2006/relationships/hyperlink" Target="https://saranistudio.sharepoint.com/:f:/s/SaraniAssets/Euh4DO4HufRPvtSMOhHQhVEBsAhS3Q5Q3JOp0norUpqwKw?e=vYo1uJ" TargetMode="External"/><Relationship Id="rId1355" Type="http://schemas.openxmlformats.org/officeDocument/2006/relationships/hyperlink" Target="https://saranistudio.sharepoint.com/:f:/s/SaraniAssets/IgBhDY5AVmWhRbRykViZSX8LAQjVosMfNDj5FanKtqMM4I4?e=wXJ1z2" TargetMode="External"/><Relationship Id="rId157" Type="http://schemas.openxmlformats.org/officeDocument/2006/relationships/hyperlink" Target="https://saranistudio-my.sharepoint.com/:b:/g/personal/team_sarani_studio/EZZz9wSeXS5Mlto9IICvCOQBaLjJoxTmM9xE_Go5-u-7Zg?e=vZ9QF0" TargetMode="External"/><Relationship Id="rId364" Type="http://schemas.openxmlformats.org/officeDocument/2006/relationships/hyperlink" Target="https://saranistudio-my.sharepoint.com/:f:/g/personal/team_sarani_studio/EmtLIsoaTzxJnuMVqwFkEXEBRLxiJIn6Dx3sdurRJBv18Q?e=SUZpe2" TargetMode="External"/><Relationship Id="rId1008" Type="http://schemas.openxmlformats.org/officeDocument/2006/relationships/hyperlink" Target="https://saranistudio-my.sharepoint.com/:b:/g/personal/team_sarani_studio/EU9Mb5_r_xRNkaHV2Y_zUr0BB7GwTl8WVceYJT7qFJcgZQ?e=83f9dh" TargetMode="External"/><Relationship Id="rId1215" Type="http://schemas.openxmlformats.org/officeDocument/2006/relationships/hyperlink" Target="https://saranistudio.sharepoint.com/:b:/s/SaraniAssets/EQ1S78iggVlPspLYa0OSg_sB-RBDznO0hZDof6i_UZ90ng?e=cjkfHw" TargetMode="External"/><Relationship Id="rId1422" Type="http://schemas.microsoft.com/office/2017/10/relationships/threadedComment" Target="../threadedComments/threadedComment2.xml"/><Relationship Id="rId61" Type="http://schemas.openxmlformats.org/officeDocument/2006/relationships/hyperlink" Target="https://saranistudio-my.sharepoint.com/:f:/g/personal/team_sarani_studio/EkZE4Y3oDmxOgPwByulkRGQBO22GCn4XXiv8vxBWXU3BOQ?e=QYcm2Z" TargetMode="External"/><Relationship Id="rId571" Type="http://schemas.openxmlformats.org/officeDocument/2006/relationships/hyperlink" Target="https://saranistudio.sharepoint.com/:f:/s/SaraniAssets/EmeHGyR9bVREsH0LVtMvhN0BQW9Dnu2iY9856vBl9LJ9-Q?e=qKSchl" TargetMode="External"/><Relationship Id="rId669" Type="http://schemas.openxmlformats.org/officeDocument/2006/relationships/hyperlink" Target="https://saranistudio-my.sharepoint.com/:b:/g/personal/team_sarani_studio/ESWaBKXA3mRBvzbbH5xiTXoBVRClybBrX3exWIB8oEC6pw?e=WFLjaj" TargetMode="External"/><Relationship Id="rId876" Type="http://schemas.openxmlformats.org/officeDocument/2006/relationships/hyperlink" Target="https://saranistudio-my.sharepoint.com/:b:/g/personal/team_sarani_studio/EaGZsr1J6KFCotGX0QEOkr8BXU9ZsDIBkVaZuVidDP95IQ?e=sXfEJi" TargetMode="External"/><Relationship Id="rId1299" Type="http://schemas.openxmlformats.org/officeDocument/2006/relationships/hyperlink" Target="https://saranistudio.sharepoint.com/:f:/s/SaraniAssets/IgB_LcROsb-vT4_0exOT0a4oAVyDMTyUx0CFkJwED2MEVuw?e=qe3yN5" TargetMode="External"/><Relationship Id="rId19" Type="http://schemas.openxmlformats.org/officeDocument/2006/relationships/hyperlink" Target="https://saranistudio-my.sharepoint.com/:f:/g/personal/team_sarani_studio/EqmJWhjv9h9NosYk49rtluQBxvyRtTDdxMXLJdwMK-1B6g?e=mNiTFd" TargetMode="External"/><Relationship Id="rId224" Type="http://schemas.openxmlformats.org/officeDocument/2006/relationships/hyperlink" Target="https://saranistudio.sharepoint.com/:f:/s/SaraniAssets/ElDA9gHAyABLsFiMfzvMUMUBObva9HRnR40ejDIIdDiDSw?e=DnPrDa" TargetMode="External"/><Relationship Id="rId431" Type="http://schemas.openxmlformats.org/officeDocument/2006/relationships/hyperlink" Target="https://saranistudio.sharepoint.com/:f:/s/SaraniAssets/Eq-G0OXt7vlHmHi81zgLafwBcYQj-fDcP68S1bRRJECbdQ?e=jCQYCn" TargetMode="External"/><Relationship Id="rId529" Type="http://schemas.openxmlformats.org/officeDocument/2006/relationships/hyperlink" Target="https://saranistudio.sharepoint.com/:f:/s/SaraniAssets/EugIaT5Y-4FFk_ekcHc6vA4Bujn6xzHDqayUn0zLrwq0XQ?e=cQwanN" TargetMode="External"/><Relationship Id="rId736" Type="http://schemas.openxmlformats.org/officeDocument/2006/relationships/hyperlink" Target="https://saranistudio-my.sharepoint.com/:b:/g/personal/team_sarani_studio/EQluNI1tqTVJr0g6hI1tZ1UB9p1eSehn2MoCvyTeV9FyFA?e=RoXz30" TargetMode="External"/><Relationship Id="rId1061" Type="http://schemas.openxmlformats.org/officeDocument/2006/relationships/hyperlink" Target="https://saranistudio-my.sharepoint.com/:b:/g/personal/team_sarani_studio/EavrXOsb6HtOkXDsk5UaPGwBzbGX1b29_UJTDClnIdYGZw?e=SPr7hp" TargetMode="External"/><Relationship Id="rId1159" Type="http://schemas.openxmlformats.org/officeDocument/2006/relationships/hyperlink" Target="https://saranistudio.sharepoint.com/:b:/s/SaraniAssets/EddtYUmqNjdDiaswOvpFL8sBGChc60asqC3FlRk0c8O1ag?e=wiNg7r" TargetMode="External"/><Relationship Id="rId1366" Type="http://schemas.openxmlformats.org/officeDocument/2006/relationships/hyperlink" Target="https://saranistudio.sharepoint.com/:f:/s/SaraniAssets/IgDxzy_wAsJPRqKAv66z0n-9AWmjlucLeXXoeBsxjIYhV9w?e=Sq3edk" TargetMode="External"/><Relationship Id="rId168" Type="http://schemas.openxmlformats.org/officeDocument/2006/relationships/hyperlink" Target="https://saranistudio.sharepoint.com/:f:/s/SaraniAssets/Em-zhxoSE1dPu5mZXjRKowIB9S3tWCFm8NW6chvKpkE_GA?e=WeHAlM" TargetMode="External"/><Relationship Id="rId943" Type="http://schemas.openxmlformats.org/officeDocument/2006/relationships/hyperlink" Target="https://saranistudio.sharepoint.com/:f:/s/SaraniAssets/Eh02kRAnv8lCucBucksBwmoBKIkAxv0vFwNyYAJ6UNLz6Q?e=DVK9WG" TargetMode="External"/><Relationship Id="rId1019" Type="http://schemas.openxmlformats.org/officeDocument/2006/relationships/hyperlink" Target="https://saranistudio.sharepoint.com/:f:/s/SaraniAssets/Ega5C3Uao9JNo4q_tbKpaVEBd2ABFhmIRy7UGIma-IdrCQ?e=MDncKa" TargetMode="External"/><Relationship Id="rId72" Type="http://schemas.openxmlformats.org/officeDocument/2006/relationships/hyperlink" Target="https://saranistudio-my.sharepoint.com/:f:/g/personal/team_sarani_studio/EtoGrfab8TBPqqqH2nHVI1gBmONIk1QrS4vWxTVcfPum0w?e=RQg19w" TargetMode="External"/><Relationship Id="rId375" Type="http://schemas.openxmlformats.org/officeDocument/2006/relationships/hyperlink" Target="https://saranistudio-my.sharepoint.com/:f:/g/personal/team_sarani_studio/EmtLIsoaTzxJnuMVqwFkEXEBRLxiJIn6Dx3sdurRJBv18Q?e=g8c6h9" TargetMode="External"/><Relationship Id="rId582" Type="http://schemas.openxmlformats.org/officeDocument/2006/relationships/hyperlink" Target="https://saranistudio-my.sharepoint.com/:f:/g/personal/team_sarani_studio/Egj4cX4pxGtJhLcuZRe4SgIB1aofCP5Wp59nYn874HRKqw?e=QamI4u" TargetMode="External"/><Relationship Id="rId803" Type="http://schemas.openxmlformats.org/officeDocument/2006/relationships/hyperlink" Target="https://saranistudio-my.sharepoint.com/:b:/g/personal/team_sarani_studio/EUsHm-8RPHZHuUY_8WQCASUBfOyROGwi5ArB8cu2CpPD2w?e=HDVRNr" TargetMode="External"/><Relationship Id="rId1226" Type="http://schemas.openxmlformats.org/officeDocument/2006/relationships/hyperlink" Target="https://saranistudio.sharepoint.com/:b:/s/SaraniAssets/EaNlwXaW0rpDjYMa3PzB9eQBxuHuIQCFgTu6-i-cDm9LNA?e=AqMyxv" TargetMode="External"/><Relationship Id="rId3" Type="http://schemas.openxmlformats.org/officeDocument/2006/relationships/hyperlink" Target="https://saranistudio-my.sharepoint.com/:f:/g/personal/team_sarani_studio/Eiu73Y88xwJPqQdXyeju6gcBPx5Nk46QboMvzke5SksCEw?e=lK8Qjn" TargetMode="External"/><Relationship Id="rId235" Type="http://schemas.openxmlformats.org/officeDocument/2006/relationships/hyperlink" Target="https://saranistudio.sharepoint.com/:f:/s/SaraniAssets/Emj3lo3qwdBGpoI6Fhs_-i8Bp5ctL7etXZ0ws1ViWvjRCw?e=BRNp14" TargetMode="External"/><Relationship Id="rId442" Type="http://schemas.openxmlformats.org/officeDocument/2006/relationships/hyperlink" Target="https://saranistudio.sharepoint.com/:f:/s/SaraniAssets/El66Cihq-dVMvH2jOrsC7KIBApsPxMZxyR61yOSqzh4fmw?e=JFcjmR" TargetMode="External"/><Relationship Id="rId887" Type="http://schemas.openxmlformats.org/officeDocument/2006/relationships/hyperlink" Target="https://saranistudio.sharepoint.com/:f:/s/SaraniAssets/Eu-9XCNoZd5NmGQIqTcOC0QBz9B-zhNeeKHgXqSvShVSxw?e=QRAz1W" TargetMode="External"/><Relationship Id="rId1072" Type="http://schemas.openxmlformats.org/officeDocument/2006/relationships/hyperlink" Target="https://saranistudio-my.sharepoint.com/:b:/g/personal/team_sarani_studio/Ec6iCEpobAFFo9aedgXZz-oB6tP71YQFm1D0tF0U8K585g?e=Z2W3kp" TargetMode="External"/><Relationship Id="rId302" Type="http://schemas.openxmlformats.org/officeDocument/2006/relationships/hyperlink" Target="https://saranistudio-my.sharepoint.com/:b:/g/personal/team_sarani_studio/EWEz89Ry_nVCnED4RdpmrKwBLYQtJk23EAWBlWoHFuHF5w?e=jzCZaA" TargetMode="External"/><Relationship Id="rId747" Type="http://schemas.openxmlformats.org/officeDocument/2006/relationships/hyperlink" Target="https://saranistudio-my.sharepoint.com/:b:/g/personal/team_sarani_studio/EQIibyLKZsFFsW8EK2mJlAgBHOLaPl_syVOuJOeTnjeP_A?e=14cF6Q" TargetMode="External"/><Relationship Id="rId954" Type="http://schemas.openxmlformats.org/officeDocument/2006/relationships/hyperlink" Target="https://saranistudio.sharepoint.com/:f:/s/SaraniAssets/EndFBquhiG9OhVQUEfwJ6DcBLGAFtw2GyyMhBN9DND6Sjg?e=jMpJtO" TargetMode="External"/><Relationship Id="rId1377" Type="http://schemas.openxmlformats.org/officeDocument/2006/relationships/hyperlink" Target="https://saranistudio.sharepoint.com/:b:/s/SaraniAssets/IQD4IZ--WUpDRLWZgGKSwb24AcvbIKgUFGmj6VddlLTxkuo?e=zrRxLs" TargetMode="External"/><Relationship Id="rId83" Type="http://schemas.openxmlformats.org/officeDocument/2006/relationships/hyperlink" Target="https://saranistudio-my.sharepoint.com/:f:/g/personal/team_sarani_studio/El8laoyQDYZPnVc7Z2BMo6MB3gwAjuJ8oeoJ6OLmWphTUQ?e=8lV0Ww" TargetMode="External"/><Relationship Id="rId179" Type="http://schemas.openxmlformats.org/officeDocument/2006/relationships/hyperlink" Target="https://saranistudio.sharepoint.com/:f:/s/SaraniAssets/EtfUCFAtvM1ClAWzs5V8ly4Bl5_BtcfUzG-ocfaZiYi-UA?e=620qVs" TargetMode="External"/><Relationship Id="rId386" Type="http://schemas.openxmlformats.org/officeDocument/2006/relationships/hyperlink" Target="https://saranistudio-my.sharepoint.com/:f:/g/personal/team_sarani_studio/EjjU1nsll0ZLpfwcqkqDz1ABqwYNoyuQuP2Jpd3qOaYqaw?e=tAAr5m" TargetMode="External"/><Relationship Id="rId593" Type="http://schemas.openxmlformats.org/officeDocument/2006/relationships/hyperlink" Target="https://saranistudio.sharepoint.com/:f:/s/SaraniAssets/EiRpfY_yquBNog0NBAVobvIBn3V9qrJAy-Lvp6b5P_XP_Q?e=J1Jmaj" TargetMode="External"/><Relationship Id="rId607" Type="http://schemas.openxmlformats.org/officeDocument/2006/relationships/hyperlink" Target="https://saranistudio-my.sharepoint.com/:b:/g/personal/team_sarani_studio/EQi3l5ZPK7ZAvDYVcqQPSa0BLjgLdqrVAzIX2FxMQX_sCA?e=9gaHFF" TargetMode="External"/><Relationship Id="rId814" Type="http://schemas.openxmlformats.org/officeDocument/2006/relationships/hyperlink" Target="https://saranistudio-my.sharepoint.com/:b:/g/personal/team_sarani_studio/ETl2_CYjxMVDnlfcjPsrSfABtZLQNc9eGpOcqlZ96_gD5A?e=TfhSIc" TargetMode="External"/><Relationship Id="rId1237" Type="http://schemas.openxmlformats.org/officeDocument/2006/relationships/hyperlink" Target="https://saranistudio.sharepoint.com/:b:/s/SaraniAssets/EfsXDcMnPetAm756IdCp2DEB82t9yQWrSSEkUw9eKRbmHg?e=6gwxt7" TargetMode="External"/><Relationship Id="rId246" Type="http://schemas.openxmlformats.org/officeDocument/2006/relationships/hyperlink" Target="https://saranistudio.sharepoint.com/:f:/s/SaraniAssets/EhDO8dvFKWJGqTFoP_xOULEBHzHN2pZyBynicE-3iFvHKg?e=SQC793" TargetMode="External"/><Relationship Id="rId453" Type="http://schemas.openxmlformats.org/officeDocument/2006/relationships/hyperlink" Target="https://saranistudio.sharepoint.com/:f:/s/SaraniAssets/EgUsfYtYyfFKtmHNTqQ6qgcBPtljUeIjoRBuPm5metAtJQ?e=EPRhR3" TargetMode="External"/><Relationship Id="rId660" Type="http://schemas.openxmlformats.org/officeDocument/2006/relationships/hyperlink" Target="https://saranistudio.sharepoint.com/:f:/s/SaraniAssets/EkwfgmztXR1AkVVyH74slTUB_RVG7j7kANxLEwm8NKo5Kw?e=WbATuM" TargetMode="External"/><Relationship Id="rId898" Type="http://schemas.openxmlformats.org/officeDocument/2006/relationships/hyperlink" Target="https://saranistudio-my.sharepoint.com/:b:/g/personal/team_sarani_studio/Ebx1knRGjc1Lv6tA46Yod_EBQWtSkPrMWCPrFrL5hVb04g?e=RJdpin" TargetMode="External"/><Relationship Id="rId1083" Type="http://schemas.openxmlformats.org/officeDocument/2006/relationships/hyperlink" Target="https://saranistudio.sharepoint.com/:f:/s/SaraniAssets/EgQIqDtGDOlFtYlHYZFsc4ABnrjaiHdqCiIUgQm1nK0-xw?e=IlJUGw" TargetMode="External"/><Relationship Id="rId1290" Type="http://schemas.openxmlformats.org/officeDocument/2006/relationships/hyperlink" Target="https://saranistudio.sharepoint.com/:b:/s/SaraniAssets/IQBl6AMm489PSYiuqOHyT6t5AeDsTIpDCubyBAvE0Bh7lek?e=7bWQWf" TargetMode="External"/><Relationship Id="rId1304" Type="http://schemas.openxmlformats.org/officeDocument/2006/relationships/hyperlink" Target="https://saranistudio.sharepoint.com/:f:/s/SaraniAssets/IgCF44e_BMVMR44LYLbUCqCvAf7Wp-qksvIp4ieKpdv5cO4?e=AgJ3RI" TargetMode="External"/><Relationship Id="rId106" Type="http://schemas.openxmlformats.org/officeDocument/2006/relationships/hyperlink" Target="https://saranistudio.sharepoint.com/:f:/s/SaraniAssets/EmbgGkCAJl5KniAwcW-yi4gBS89mkOFy73-Lxx4pgUOlJw?e=32YWjh" TargetMode="External"/><Relationship Id="rId313" Type="http://schemas.openxmlformats.org/officeDocument/2006/relationships/hyperlink" Target="https://saranistudio.sharepoint.com/:f:/s/SaraniAssets/EnZBOAvlxFVIk_GqrB-F6AkBjY5YsvPSksmbu18M3nycBQ?e=qPZc5Q" TargetMode="External"/><Relationship Id="rId758" Type="http://schemas.openxmlformats.org/officeDocument/2006/relationships/hyperlink" Target="https://saranistudio.sharepoint.com/:f:/s/SaraniAssets/Ep5DvyuLGyFHmnsGG_A8JpoBydGJIb_Fhw46tA8OK75TOA?e=jYdTxr" TargetMode="External"/><Relationship Id="rId965" Type="http://schemas.openxmlformats.org/officeDocument/2006/relationships/hyperlink" Target="https://saranistudio.sharepoint.com/:f:/s/SaraniAssets/EoarPJy-lg1FqCZpPmBBOIUBlyl3eweqlsxczthlbCxYDw?e=CUaP7e" TargetMode="External"/><Relationship Id="rId1150" Type="http://schemas.openxmlformats.org/officeDocument/2006/relationships/hyperlink" Target="https://saranistudio.sharepoint.com/:f:/s/SaraniAssets/EmpPXmUsMeJJg_hJXKTIEmUBUsFGJBRWaNGVzTmAgkUSTA?e=sKksQh" TargetMode="External"/><Relationship Id="rId1388" Type="http://schemas.openxmlformats.org/officeDocument/2006/relationships/hyperlink" Target="https://saranistudio.sharepoint.com/:f:/s/SaraniAssets/IgBrG91L2Gy5R5d1cpF-XHz-AWLufzWSFR4iTRLIuSJjbnw?e=VBdLGx" TargetMode="External"/><Relationship Id="rId10" Type="http://schemas.openxmlformats.org/officeDocument/2006/relationships/hyperlink" Target="https://saranistudio-my.sharepoint.com/:f:/g/personal/team_sarani_studio/Ev2DdJ24TI9DnMYkKwzIkq0BHlTI4PJMje_IlrhSeabtxw?e=g9BnfI" TargetMode="External"/><Relationship Id="rId94" Type="http://schemas.openxmlformats.org/officeDocument/2006/relationships/hyperlink" Target="https://saranistudio-my.sharepoint.com/:f:/g/personal/team_sarani_studio/EkK1iuwnypdEiOwsJ-j_akABDP_rpvm30Dyyp6q_ND7oog?e=N4GdaC" TargetMode="External"/><Relationship Id="rId397" Type="http://schemas.openxmlformats.org/officeDocument/2006/relationships/hyperlink" Target="https://saranistudio.sharepoint.com/:f:/s/SaraniAssets/EiknNepsLsBCrpdYsClDYf4BJ3FbQd_CWM1gJFTvYGUW-Q?e=gKgtg0" TargetMode="External"/><Relationship Id="rId520" Type="http://schemas.openxmlformats.org/officeDocument/2006/relationships/hyperlink" Target="https://saranistudio.sharepoint.com/:f:/s/SaraniAssets/EvrjEbO7U8VLuh9JOLXUnPMBtaSBRRB0D0dt_yeLhLLBAQ?e=RE4Rmc" TargetMode="External"/><Relationship Id="rId618" Type="http://schemas.openxmlformats.org/officeDocument/2006/relationships/hyperlink" Target="https://saranistudio-my.sharepoint.com/:b:/g/personal/team_sarani_studio/EfBDJd2Ydl5Kjw47GQ0t7pQBKrqp_Xi6PmhY-DJa8kPqTg?e=IDRO1W" TargetMode="External"/><Relationship Id="rId825" Type="http://schemas.openxmlformats.org/officeDocument/2006/relationships/hyperlink" Target="https://saranistudio.sharepoint.com/:f:/s/SaraniAssets/ElX_dy8iMnlHrje3NEZmavcBrCOi5AFuCJ3Jl0Bzb5lEEg?e=GYdx7P" TargetMode="External"/><Relationship Id="rId1248" Type="http://schemas.openxmlformats.org/officeDocument/2006/relationships/hyperlink" Target="https://saranistudio.sharepoint.com/:b:/s/SaraniAssets/Eclxq22mnMFCvaqZPRgZutcBD65Xnzi4NNImoWbo8pKqIw?e=tY94jt" TargetMode="External"/><Relationship Id="rId257" Type="http://schemas.openxmlformats.org/officeDocument/2006/relationships/hyperlink" Target="https://saranistudio.sharepoint.com/:f:/s/SaraniAssets/EhidViipL6pBpe-icCp9PcwBB81F_78SSSNTX6LCKUqi1w?e=MMx2dJ" TargetMode="External"/><Relationship Id="rId464" Type="http://schemas.openxmlformats.org/officeDocument/2006/relationships/hyperlink" Target="https://saranistudio-my.sharepoint.com/:b:/g/personal/team_sarani_studio/EZn5vd-mAt5NhuSlYS_fGmoBVKGtGlMmtlSdlzWEFRUh5Q?e=kPBaVh" TargetMode="External"/><Relationship Id="rId1010" Type="http://schemas.openxmlformats.org/officeDocument/2006/relationships/hyperlink" Target="https://saranistudio-my.sharepoint.com/:b:/g/personal/team_sarani_studio/Efzk3JlwrgVHrSzcj4G76tEB76b2Ycjqz_bSZKs40tTk8Q?e=ftgl1U" TargetMode="External"/><Relationship Id="rId1094" Type="http://schemas.openxmlformats.org/officeDocument/2006/relationships/hyperlink" Target="https://saranistudio.sharepoint.com/:f:/s/SaraniAssets/EgjWegim8gNDjoqaKIFv-iMB0VuGlEAbyk4cgrRdh9o1Gw?e=5uKXr3" TargetMode="External"/><Relationship Id="rId1108" Type="http://schemas.openxmlformats.org/officeDocument/2006/relationships/hyperlink" Target="https://saranistudio.sharepoint.com/:b:/s/SaraniAssets/EY0wrIeFfTdNjNKqZe3HQ9EBUJWx32TmdoDlJ2oY-6Capg?e=0PbpPd" TargetMode="External"/><Relationship Id="rId1315" Type="http://schemas.openxmlformats.org/officeDocument/2006/relationships/hyperlink" Target="https://saranistudio.sharepoint.com/:b:/s/SaraniAssets/IQCW14PRvFTJRLDS0AS4GVWoAQSt3eoYH7UN_rPdOoIQHp0?e=jT3dDF" TargetMode="External"/><Relationship Id="rId117" Type="http://schemas.openxmlformats.org/officeDocument/2006/relationships/hyperlink" Target="https://saranistudio-my.sharepoint.com/:b:/g/personal/team_sarani_studio/EdEsi0jQWIhCmGtVIbG65wUBODq9lBfEQqAJH7bY7NKYUQ?e=zdALnm" TargetMode="External"/><Relationship Id="rId671" Type="http://schemas.openxmlformats.org/officeDocument/2006/relationships/hyperlink" Target="https://saranistudio-my.sharepoint.com/:b:/g/personal/team_sarani_studio/Ee_ykmFhdh1MvmXhEH7JWUsBi36lUzzCYJBFlLgumX1zjA?e=LFfCfz" TargetMode="External"/><Relationship Id="rId769" Type="http://schemas.openxmlformats.org/officeDocument/2006/relationships/hyperlink" Target="https://saranistudio-my.sharepoint.com/:b:/g/personal/team_sarani_studio/ESmgntX0819BqUFrMIYgZ7QBgr9FsXZschmZVdNpnM7JFw?e=u42NWk" TargetMode="External"/><Relationship Id="rId976" Type="http://schemas.openxmlformats.org/officeDocument/2006/relationships/hyperlink" Target="https://saranistudio-my.sharepoint.com/:b:/g/personal/team_sarani_studio/EWGd-9ra3OJDrmWpemWlTAABczC8sYoJsGIBMp6v8tFVcg?e=HddSdo" TargetMode="External"/><Relationship Id="rId1399" Type="http://schemas.openxmlformats.org/officeDocument/2006/relationships/hyperlink" Target="https://saranistudio.sharepoint.com/:f:/s/SaraniAssets/IgCC9q0HlFtuS5QX_G59tQrAAfIqm1cUjevMzgImBKLtGms?e=oE36HJ" TargetMode="External"/><Relationship Id="rId324" Type="http://schemas.openxmlformats.org/officeDocument/2006/relationships/hyperlink" Target="https://saranistudio-my.sharepoint.com/:b:/g/personal/team_sarani_studio/Ee3WzsdaYQhOjprjyS1UmTkBw2RuYGeD26DQ1LQzXJhjaA?e=ULrNrz" TargetMode="External"/><Relationship Id="rId531" Type="http://schemas.openxmlformats.org/officeDocument/2006/relationships/hyperlink" Target="https://saranistudio.sharepoint.com/:f:/s/SaraniAssets/EtLEiKL7gslAumc6yYgdz5IBjMcHMB2WaPTtsaHWRoBrNQ?e=gvkCqW" TargetMode="External"/><Relationship Id="rId629" Type="http://schemas.openxmlformats.org/officeDocument/2006/relationships/hyperlink" Target="https://saranistudio.sharepoint.com/:f:/s/SaraniAssets/Ehh_kaWTCf9IoLAp_rtpc8ABSnWOEC0tTPhpXphTtWIuJw?e=sBdDuU" TargetMode="External"/><Relationship Id="rId1161" Type="http://schemas.openxmlformats.org/officeDocument/2006/relationships/hyperlink" Target="https://saranistudio.sharepoint.com/:b:/s/SaraniAssets/ET9m5ekRt5hHv36UFbY4zhgBZnTwC_EqLR86Bx0YwX2sxg?e=3a1eoV" TargetMode="External"/><Relationship Id="rId1259" Type="http://schemas.openxmlformats.org/officeDocument/2006/relationships/hyperlink" Target="https://saranistudio.sharepoint.com/:f:/s/SaraniAssets/Eryil2dPMXdElfT8BdYq9NcBPd8HEl0xjMdXESUE11jdhQ?e=3BVbwq" TargetMode="External"/><Relationship Id="rId836" Type="http://schemas.openxmlformats.org/officeDocument/2006/relationships/hyperlink" Target="https://saranistudio.sharepoint.com/:f:/s/SaraniAssets/EvBuPKfKD5pBgFkITo9KRfIBdnAPFILBYjAm5VB1riiBnw?e=Afe74P" TargetMode="External"/><Relationship Id="rId1021" Type="http://schemas.openxmlformats.org/officeDocument/2006/relationships/hyperlink" Target="https://saranistudio.sharepoint.com/:f:/s/SaraniAssets/EhLbIvo85kpAtLITpjX4nycBB_cBGbgNDgM-hfLdqdZeng?e=9IXJWe" TargetMode="External"/><Relationship Id="rId1119" Type="http://schemas.openxmlformats.org/officeDocument/2006/relationships/hyperlink" Target="https://saranistudio.sharepoint.com/:f:/s/SaraniAssets/EpSXG-Aa-t5LudmRQbBr5VkBi8A0-7gdodOgwrSzvEnD3A?e=fp0uyu" TargetMode="External"/><Relationship Id="rId903" Type="http://schemas.openxmlformats.org/officeDocument/2006/relationships/hyperlink" Target="https://saranistudio-my.sharepoint.com/:b:/g/personal/team_sarani_studio/ESWOK4e0NZ1AgEmFLKf1q24B1Lm0lcZvmULwqywIv5BJ0Q?e=j2XAWE" TargetMode="External"/><Relationship Id="rId1326" Type="http://schemas.openxmlformats.org/officeDocument/2006/relationships/hyperlink" Target="https://saranistudio.sharepoint.com/:f:/s/SaraniAssets/IgA5eHKK5h-sQY9-6kyBelB3Aaup5TEmJWhCfJGtLKu8bAM?e=zpHW58" TargetMode="External"/><Relationship Id="rId32" Type="http://schemas.openxmlformats.org/officeDocument/2006/relationships/hyperlink" Target="https://saranistudio-my.sharepoint.com/:f:/g/personal/team_sarani_studio/EoXM_bPXFQtOqtOuolOqWAQBFcKOS1eXgcsuycPvj9witg?e=ACLkrl" TargetMode="External"/><Relationship Id="rId181" Type="http://schemas.openxmlformats.org/officeDocument/2006/relationships/hyperlink" Target="https://saranistudio.sharepoint.com/:f:/s/SaraniAssets/Ej9OFxjwwBFIoj56QKVj-d4BVZdYKvocXasWAXiz_sqqDg?e=mnFKxP" TargetMode="External"/><Relationship Id="rId279" Type="http://schemas.openxmlformats.org/officeDocument/2006/relationships/hyperlink" Target="https://saranistudio.sharepoint.com/:b:/s/SaraniAssets/EX12yRxzfzxAo7gXxHru470B7UESnCu7F3wDzr5WqEZXfg?e=KPTkT8" TargetMode="External"/><Relationship Id="rId486" Type="http://schemas.openxmlformats.org/officeDocument/2006/relationships/hyperlink" Target="https://saranistudio.sharepoint.com/:f:/s/SaraniAssets/EvPKShJOq9xHmm0J5jUOaLwBlMrSmWP6v_y3an7nrIknMA?e=TnL1Wi" TargetMode="External"/><Relationship Id="rId693" Type="http://schemas.openxmlformats.org/officeDocument/2006/relationships/hyperlink" Target="https://saranistudio.sharepoint.com/:f:/s/SaraniAssets/EqVAptuRB5VAoCRU-j737p4BrlCA6xBIzqoXj4UfvgDkZQ?e=rHcfoK" TargetMode="External"/><Relationship Id="rId139" Type="http://schemas.openxmlformats.org/officeDocument/2006/relationships/hyperlink" Target="https://saranistudio.sharepoint.com/:f:/s/SaraniAssets/ElTa0JXiSFFGjfAVBnnVTK8BJonfzHVj6-25QaDXsBZNHA?e=tcu9y9" TargetMode="External"/><Relationship Id="rId346" Type="http://schemas.openxmlformats.org/officeDocument/2006/relationships/hyperlink" Target="https://saranistudio-my.sharepoint.com/:b:/g/personal/team_sarani_studio/EZdP5CS08g9DrUQ2dnAhV6MBPYXvjglxKEJ4MRtgbIcRTA?e=ifTDux" TargetMode="External"/><Relationship Id="rId553" Type="http://schemas.openxmlformats.org/officeDocument/2006/relationships/hyperlink" Target="https://saranistudio.sharepoint.com/:f:/s/SaraniAssets/EvuMeO0kwwZAljOqQ0epLuEBFkZmVVXbvIRZ8wXd6QI9Ew?e=qea1BK" TargetMode="External"/><Relationship Id="rId760" Type="http://schemas.openxmlformats.org/officeDocument/2006/relationships/hyperlink" Target="https://saranistudio.sharepoint.com/:f:/s/SaraniAssets/EhMZ_sSNlcZKtQ_s8FYlzV4B6siHz9Dkcrntlc0t1XWg8w?e=Okwpu8" TargetMode="External"/><Relationship Id="rId998" Type="http://schemas.openxmlformats.org/officeDocument/2006/relationships/hyperlink" Target="https://saranistudio.sharepoint.com/:f:/s/SaraniAssets/ElFdJVXxmBhNp1qh7MZa0_sBrYb7fnbO30dehacFVw2Kqg?e=1bhl2N" TargetMode="External"/><Relationship Id="rId1183" Type="http://schemas.openxmlformats.org/officeDocument/2006/relationships/hyperlink" Target="https://saranistudio.sharepoint.com/:b:/s/SaraniAssets/EVCUtV_ZU05KopL0Td55-OoBntw606Vb1lBA9sUN7T7NSw?e=38BGsv" TargetMode="External"/><Relationship Id="rId1390" Type="http://schemas.openxmlformats.org/officeDocument/2006/relationships/hyperlink" Target="https://saranistudio.sharepoint.com/:b:/s/SaraniAssets/IQCVxZd_Ky8ESYTdSFJ2VaPhAT4VKeqKqt5X8GmqIpljRA4?e=bzGWIT" TargetMode="External"/><Relationship Id="rId206" Type="http://schemas.openxmlformats.org/officeDocument/2006/relationships/hyperlink" Target="https://saranistudio-my.sharepoint.com/:b:/g/personal/team_sarani_studio/ES2hMQcThZhBkH4vuhbAVDQBPw2t9df2m1581HZXUcLztA?e=NzNzjM" TargetMode="External"/><Relationship Id="rId413" Type="http://schemas.openxmlformats.org/officeDocument/2006/relationships/hyperlink" Target="https://saranistudio.sharepoint.com/:f:/s/SaraniAssets/EjJ8FapyEDlGhNbQtDSCKMEBmzrKpIOokm6DzVfxKrqvfQ?e=xeCvE8" TargetMode="External"/><Relationship Id="rId858" Type="http://schemas.openxmlformats.org/officeDocument/2006/relationships/hyperlink" Target="https://saranistudio-my.sharepoint.com/:b:/g/personal/team_sarani_studio/EXDHDp44vdRIvBYniuu8gc8Bi0HNCHd7umRq0b23HHrgfA?e=RmjzWs" TargetMode="External"/><Relationship Id="rId1043" Type="http://schemas.openxmlformats.org/officeDocument/2006/relationships/hyperlink" Target="https://saranistudio.sharepoint.com/:f:/s/SaraniAssets/EsR3JvOihghDmavn-rx_HW8BnddpQiL3voVwVfgGopuvwg?e=EVgdAZ" TargetMode="External"/><Relationship Id="rId620" Type="http://schemas.openxmlformats.org/officeDocument/2006/relationships/hyperlink" Target="https://saranistudio-my.sharepoint.com/:b:/g/personal/team_sarani_studio/EZKErqLRYzRAvNEh1Z01ObMBTzEI61Z1CJ0kFMEST0bS3g?e=n2hVdT" TargetMode="External"/><Relationship Id="rId718" Type="http://schemas.openxmlformats.org/officeDocument/2006/relationships/hyperlink" Target="https://saranistudio.sharepoint.com/:f:/s/SaraniAssets/Eg_JZh0Fw3lDjLT3qFHDquMBw3coy2OjJM1dP7UQsC1Kyg?e=aA6hoD" TargetMode="External"/><Relationship Id="rId925" Type="http://schemas.openxmlformats.org/officeDocument/2006/relationships/hyperlink" Target="https://saranistudio.sharepoint.com/:f:/s/SaraniAssets/Eh7oqayrqJhPrADuUVfLnAUBgAn3Dvw6_DuZlfqIOmohMg?e=ADzIaS" TargetMode="External"/><Relationship Id="rId1250" Type="http://schemas.openxmlformats.org/officeDocument/2006/relationships/hyperlink" Target="https://saranistudio.sharepoint.com/:b:/s/SaraniAssets/EZkxF_afamJNmQYZjOqEDaQB3lpm---siiUSkD-hOMoPSA?e=FEI77y" TargetMode="External"/><Relationship Id="rId1348" Type="http://schemas.openxmlformats.org/officeDocument/2006/relationships/hyperlink" Target="https://saranistudio.sharepoint.com/:b:/s/SaraniAssets/IQAQNQwvx_aYSqtc6srVXnzOAXvqJ-7gizcY090OffynqVk?e=ID8tOB" TargetMode="External"/><Relationship Id="rId1110" Type="http://schemas.openxmlformats.org/officeDocument/2006/relationships/hyperlink" Target="https://saranistudio.sharepoint.com/:f:/s/SaraniAssets/EjZwTns9AUdGr2T3YSdD4Y8Bz5z9RZEVGQc9iVG8ekKg1Q?e=WYuz1q" TargetMode="External"/><Relationship Id="rId1208" Type="http://schemas.openxmlformats.org/officeDocument/2006/relationships/hyperlink" Target="https://saranistudio.sharepoint.com/:b:/s/SaraniAssets/ESk0XpibJZ5HsDF9DzengdQBECLjNRFpNsA98XT1cOn_eQ?e=yL4Cgi" TargetMode="External"/><Relationship Id="rId1415" Type="http://schemas.openxmlformats.org/officeDocument/2006/relationships/hyperlink" Target="https://saranistudio.sharepoint.com/:f:/s/SaraniAssets/IgBEgBb0HOxzRak5niPPVpoEAcgb12muWDqXMFzdfxrStpo?e=QrwIId" TargetMode="External"/><Relationship Id="rId54" Type="http://schemas.openxmlformats.org/officeDocument/2006/relationships/hyperlink" Target="https://saranistudio-my.sharepoint.com/:f:/g/personal/team_sarani_studio/EsV2_KLDqwdOi0nyINCRhnABKsqCgrqSPww-zwD5kRW76g?e=55qEkF" TargetMode="External"/><Relationship Id="rId270" Type="http://schemas.openxmlformats.org/officeDocument/2006/relationships/hyperlink" Target="https://saranistudio-my.sharepoint.com/:b:/g/personal/team_sarani_studio/ER3sr30lpVxJh2FBCCoJ_AIBXu7YHLzSx6K-CL6YOJJyrg?e=z4k7dU" TargetMode="External"/><Relationship Id="rId130" Type="http://schemas.openxmlformats.org/officeDocument/2006/relationships/hyperlink" Target="https://saranistudio.sharepoint.com/:f:/s/SaraniAssets/EmbgGkCAJl5KniAwcW-yi4gBS89mkOFy73-Lxx4pgUOlJw?e=32YWjh" TargetMode="External"/><Relationship Id="rId368" Type="http://schemas.openxmlformats.org/officeDocument/2006/relationships/hyperlink" Target="https://saranistudio-my.sharepoint.com/:f:/g/personal/team_sarani_studio/EhsZRSxgxfVLrM85FfWaf4wBIG1duzSBgim6pUcZ5L-q-g?e=ImXkgA" TargetMode="External"/><Relationship Id="rId575" Type="http://schemas.openxmlformats.org/officeDocument/2006/relationships/hyperlink" Target="https://saranistudio.sharepoint.com/:f:/s/SaraniAssets/EgI-eeDc1opNnJFAh7DH0JgByKg3Q6rJ6n4P1eQe2lA6OA?e=8DQWBW" TargetMode="External"/><Relationship Id="rId782" Type="http://schemas.openxmlformats.org/officeDocument/2006/relationships/hyperlink" Target="https://saranistudio-my.sharepoint.com/:b:/g/personal/team_sarani_studio/ER78KipazQtGo0RqS_gSD5QBrvHVr_BSN2yPY2wcPotmzg?e=cWIz41" TargetMode="External"/><Relationship Id="rId228" Type="http://schemas.openxmlformats.org/officeDocument/2006/relationships/hyperlink" Target="https://saranistudio.sharepoint.com/:f:/s/SaraniAssets/EoZB1B3l379Er-dU-2tGrtkBVXo0iuml8uO1d_hG59ArRw?e=8yTk5N" TargetMode="External"/><Relationship Id="rId435" Type="http://schemas.openxmlformats.org/officeDocument/2006/relationships/hyperlink" Target="https://saranistudio-my.sharepoint.com/:f:/g/personal/team_sarani_studio/EpbAZG5lEmVIiR_on7fzuLEB9DbDwGiQ8g3E-EP6ZMPlBw?e=WDYhbk" TargetMode="External"/><Relationship Id="rId642" Type="http://schemas.openxmlformats.org/officeDocument/2006/relationships/hyperlink" Target="https://saranistudio.sharepoint.com/:f:/s/SaraniAssets/EldybPEP3DpJum6hkhNYDq0BgzMZ4YB8EhK4dDHZL253Mg?e=fx2IyE" TargetMode="External"/><Relationship Id="rId1065" Type="http://schemas.openxmlformats.org/officeDocument/2006/relationships/hyperlink" Target="https://saranistudio-my.sharepoint.com/:b:/g/personal/team_sarani_studio/EQsqF9Qr7JdBm3EcBXEjC-QBXkLZ2_CqgRPwtZwRXuypXQ?e=omfSz4" TargetMode="External"/><Relationship Id="rId1272" Type="http://schemas.openxmlformats.org/officeDocument/2006/relationships/hyperlink" Target="https://saranistudio.sharepoint.com/:f:/s/SaraniAssets/Eiphwv4j4YpEt3cJlPEbV1gBNFquopaaykUdL62XtjBMsA?e=R5sPYj" TargetMode="External"/><Relationship Id="rId502" Type="http://schemas.openxmlformats.org/officeDocument/2006/relationships/hyperlink" Target="https://saranistudio.sharepoint.com/:f:/s/SaraniAssets/Eo-AyhdPsMZAn-XYUnBaDtIBXFOEYR5RvbWi9ptFp-HiAw?e=ZtymDI" TargetMode="External"/><Relationship Id="rId947" Type="http://schemas.openxmlformats.org/officeDocument/2006/relationships/hyperlink" Target="https://saranistudio-my.sharepoint.com/:b:/g/personal/team_sarani_studio/Ec92Ax_q4vRJtGLa_70Kjb0BnV0xSp6_5XEVbs1Dl4awxg?e=tNEWvp" TargetMode="External"/><Relationship Id="rId1132" Type="http://schemas.openxmlformats.org/officeDocument/2006/relationships/hyperlink" Target="https://saranistudio.sharepoint.com/:f:/s/SaraniAssets/EhOyWXacX6hKl_Oyz90QCFoBcnKapexGdvJrafjipynpTg?e=z2glIA" TargetMode="External"/><Relationship Id="rId76" Type="http://schemas.openxmlformats.org/officeDocument/2006/relationships/hyperlink" Target="https://saranistudio-my.sharepoint.com/:f:/g/personal/team_sarani_studio/EqlLsDa0-OdHiGWvUGclPS8Baj-tDmZI7GrEMryNAItQJw?e=PzaIKU" TargetMode="External"/><Relationship Id="rId807" Type="http://schemas.openxmlformats.org/officeDocument/2006/relationships/hyperlink" Target="https://saranistudio.sharepoint.com/:f:/s/SaraniAssets/Eji1dW6vO_VJn1poc2SOYp8Btcsxy0gy33wRJTOxvUeHZg?e=7r8QT7" TargetMode="External"/><Relationship Id="rId292" Type="http://schemas.openxmlformats.org/officeDocument/2006/relationships/hyperlink" Target="https://saranistudio-my.sharepoint.com/:b:/g/personal/team_sarani_studio/EfhIRCGDI0FBmQyvfuH9Vl8B4AEayL5UZc9MNoj3mBFt3A?e=cAyEu9" TargetMode="External"/><Relationship Id="rId597" Type="http://schemas.openxmlformats.org/officeDocument/2006/relationships/hyperlink" Target="https://saranistudio.sharepoint.com/:f:/s/SaraniAssets/Ehw1jfO_jvZKt_Z30_gShkYBxoCZzKDb3CLVsmsr2aQrGg?e=xtWtHR" TargetMode="External"/><Relationship Id="rId152" Type="http://schemas.openxmlformats.org/officeDocument/2006/relationships/hyperlink" Target="https://saranistudio.sharepoint.com/:f:/s/SaraniAssets/Eqe3gbbCcnFBsfM-Z-NzrskBCYTF77L7fe_M4kSNgHkPqQ?e=dUemvu" TargetMode="External"/><Relationship Id="rId457" Type="http://schemas.openxmlformats.org/officeDocument/2006/relationships/hyperlink" Target="https://saranistudio.sharepoint.com/:f:/s/SaraniAssets/EidD6EOJ6o1AiYh94C70apUBWp_CZkPmXNeI4B_g72yjHA?e=4fANOm" TargetMode="External"/><Relationship Id="rId1087" Type="http://schemas.openxmlformats.org/officeDocument/2006/relationships/hyperlink" Target="https://saranistudio.sharepoint.com/:f:/s/SaraniAssets/EpYq5qoTb3BPhNre9gbxBewBQ0CI8zaQsJL76zFc_XmLsw?e=hbHih3" TargetMode="External"/><Relationship Id="rId1294" Type="http://schemas.openxmlformats.org/officeDocument/2006/relationships/hyperlink" Target="https://saranistudio.sharepoint.com/:f:/s/SaraniAssets/Eo4-sg-WsfRMmbTNZlWBnokB6h1w53OBNgghMEzAWhHt6w?e=5pIxMt" TargetMode="External"/><Relationship Id="rId664" Type="http://schemas.openxmlformats.org/officeDocument/2006/relationships/hyperlink" Target="https://saranistudio-my.sharepoint.com/:b:/g/personal/team_sarani_studio/EZQOzUDlgjVMiY8e2fDJqJkBUm9mJD5xnErgtXddgEgg4A?e=2TxbQB" TargetMode="External"/><Relationship Id="rId871" Type="http://schemas.openxmlformats.org/officeDocument/2006/relationships/hyperlink" Target="https://saranistudio-my.sharepoint.com/:b:/g/personal/team_sarani_studio/EalEZIOpNKdCuaKRPAWB3O4B6h70lzg-D9S4sWq3EBcA3g?e=QWq8Qs" TargetMode="External"/><Relationship Id="rId969" Type="http://schemas.openxmlformats.org/officeDocument/2006/relationships/hyperlink" Target="https://saranistudio.sharepoint.com/:f:/s/SaraniAssets/EqiVxwGZbVtNj5wePEwOF8YBcvFbCj5q6VmmQ_a_XEFGZQ?e=7XbuKA" TargetMode="External"/><Relationship Id="rId317" Type="http://schemas.openxmlformats.org/officeDocument/2006/relationships/hyperlink" Target="https://saranistudio.sharepoint.com/:f:/s/SaraniAssets/EhzYRDTfOztNjGqwX4LMf-kBoxj19aYGsZ5YEszS40tdpg?e=nTOKAY" TargetMode="External"/><Relationship Id="rId524" Type="http://schemas.openxmlformats.org/officeDocument/2006/relationships/hyperlink" Target="https://saranistudio.sharepoint.com/:f:/s/SaraniAssets/EpuF0GvidPpCoKTPb7RUo2MBYN0-r0EJc_Uj_cpiNSo5jQ?e=0Lj0rd" TargetMode="External"/><Relationship Id="rId731" Type="http://schemas.openxmlformats.org/officeDocument/2006/relationships/hyperlink" Target="https://saranistudio-my.sharepoint.com/:b:/g/personal/team_sarani_studio/Efs_a3vXwB5LhWyEFuN-IbQBWpKtRmsJhRTmF57KHh_Ztg?e=1MbnY7" TargetMode="External"/><Relationship Id="rId1154" Type="http://schemas.openxmlformats.org/officeDocument/2006/relationships/hyperlink" Target="https://saranistudio.sharepoint.com/:f:/s/SaraniAssets/ElDlZfoy5yhAnN1tK7zuXfwBUzJMFt1NN6TA-zyoEDoVIA?e=KO4ldr" TargetMode="External"/><Relationship Id="rId1361" Type="http://schemas.openxmlformats.org/officeDocument/2006/relationships/hyperlink" Target="https://saranistudio.sharepoint.com/:f:/s/SaraniAssets/IgBv4R9yXCihSqX712BIaQSfAUYvOVozK8i05H0-O77NmGg?e=OpM5xa" TargetMode="External"/><Relationship Id="rId98" Type="http://schemas.openxmlformats.org/officeDocument/2006/relationships/hyperlink" Target="https://saranistudio-my.sharepoint.com/:f:/g/personal/team_sarani_studio/EheXA2fe-4RAnQ2VBrjV7bUBCH7z_0bNmW1LEX3dWP3Xbg?e=z39khh" TargetMode="External"/><Relationship Id="rId829" Type="http://schemas.openxmlformats.org/officeDocument/2006/relationships/hyperlink" Target="https://saranistudio.sharepoint.com/:f:/s/SaraniAssets/EsPWJUatobhIolrrBKpPT48ByJi8ziPfVrAlVedoZe0HLw?e=m5007o" TargetMode="External"/><Relationship Id="rId1014" Type="http://schemas.openxmlformats.org/officeDocument/2006/relationships/hyperlink" Target="https://saranistudio.sharepoint.com/:f:/s/SaraniAssets/Ehz3TlSblblCsvLIvzi-Xx8BGYx6jKdFuE1e8DT_4DWi1w?e=cWoEtS" TargetMode="External"/><Relationship Id="rId1221" Type="http://schemas.openxmlformats.org/officeDocument/2006/relationships/hyperlink" Target="https://saranistudio.sharepoint.com/:b:/s/SaraniAssets/Ef9Ai55hTUBOlsbo6JPyVocB7d-5-i_FUjp_Q6b2hLJbTA?e=yHbVqd" TargetMode="External"/><Relationship Id="rId1319" Type="http://schemas.openxmlformats.org/officeDocument/2006/relationships/hyperlink" Target="https://saranistudio.sharepoint.com/:f:/s/SaraniAssets/IgB_LcROsb-vT4_0exOT0a4oAVyDMTyUx0CFkJwED2MEVuw?e=qe3yN5" TargetMode="External"/><Relationship Id="rId25" Type="http://schemas.openxmlformats.org/officeDocument/2006/relationships/hyperlink" Target="https://saranistudio-my.sharepoint.com/:f:/g/personal/team_sarani_studio/EqOyYJkBr71FjjKi8T4TbU8BmZDWzGHq4lIzmPemScoNIg?e=gSGgM9" TargetMode="External"/><Relationship Id="rId174" Type="http://schemas.openxmlformats.org/officeDocument/2006/relationships/hyperlink" Target="https://saranistudio-my.sharepoint.com/:b:/g/personal/team_sarani_studio/EexMQHd2cc1ImRI6Z1c0GuYBZVLxgeGirRdWWJ3_Jd6qaQ?e=brg44k" TargetMode="External"/><Relationship Id="rId381" Type="http://schemas.openxmlformats.org/officeDocument/2006/relationships/hyperlink" Target="https://saranistudio-my.sharepoint.com/:f:/g/personal/team_sarani_studio/EnY_cb3_b3FBkuyHMMgrIqABI3LhFTYtdKHZJVa7a7n45w?e=c3qr6G" TargetMode="External"/><Relationship Id="rId241" Type="http://schemas.openxmlformats.org/officeDocument/2006/relationships/hyperlink" Target="https://saranistudio-my.sharepoint.com/:b:/g/personal/team_sarani_studio/EcP79JqJyO1KuACaCWwAsM0By9Y56qw25VCvkEANIKn29w?e=otW0Ru" TargetMode="External"/><Relationship Id="rId479" Type="http://schemas.openxmlformats.org/officeDocument/2006/relationships/hyperlink" Target="https://saranistudio-my.sharepoint.com/:b:/g/personal/team_sarani_studio/EZWieqSx6GlEq2696zrIVgMBvk4hOE8V0_ap6hFUebWZxA?e=D6bF4G" TargetMode="External"/><Relationship Id="rId686" Type="http://schemas.openxmlformats.org/officeDocument/2006/relationships/hyperlink" Target="https://saranistudio-my.sharepoint.com/:b:/g/personal/team_sarani_studio/ESAMjvnGyzRNtc9BPJ5kbKMBd-TNOdHDt8f68EssWApnig?e=zYaDl9" TargetMode="External"/><Relationship Id="rId893" Type="http://schemas.openxmlformats.org/officeDocument/2006/relationships/hyperlink" Target="https://saranistudio.sharepoint.com/:f:/s/SaraniAssets/EneBhxAlwV1CrMXZd49l7qYBpd11rnAFsQPmF8TrlaKtKg?e=5ble3Y" TargetMode="External"/><Relationship Id="rId339" Type="http://schemas.openxmlformats.org/officeDocument/2006/relationships/hyperlink" Target="https://saranistudio.sharepoint.com/:f:/s/SaraniAssets/ErZ5jFn0L2BHmr7djpMSHzcBbcPO5eLs-sYL-77RZ9iIiQ?e=d4PVJG" TargetMode="External"/><Relationship Id="rId546" Type="http://schemas.openxmlformats.org/officeDocument/2006/relationships/hyperlink" Target="https://saranistudio.sharepoint.com/:f:/s/SaraniAssets/ElsTsTVSbihBmSsE_sy4JtoBrkgTiKYgXxMCMrCsZpnraw?e=Xl80xz" TargetMode="External"/><Relationship Id="rId753" Type="http://schemas.openxmlformats.org/officeDocument/2006/relationships/hyperlink" Target="https://saranistudio.sharepoint.com/:f:/s/SaraniAssets/EhmdS25XzW5ChF_w_jDD8wQBpBa02VFfJG5jh8SXHVNvsA?e=YtXYfi" TargetMode="External"/><Relationship Id="rId1176" Type="http://schemas.openxmlformats.org/officeDocument/2006/relationships/hyperlink" Target="https://saranistudio.sharepoint.com/:b:/s/SaraniAssets/Edyl4Hp6LnFOiWX5_NRJK-wBlgeIc0xqas-5CcNq6ivrOQ?e=wiLQZT" TargetMode="External"/><Relationship Id="rId1383" Type="http://schemas.openxmlformats.org/officeDocument/2006/relationships/hyperlink" Target="https://saranistudio.sharepoint.com/:b:/s/SaraniAssets/IQCLJkVXVms2RZgKDFGcgGI1AYj8l_vgk10TYFsJB-8cZxA?e=b1JNRM" TargetMode="External"/><Relationship Id="rId101" Type="http://schemas.openxmlformats.org/officeDocument/2006/relationships/hyperlink" Target="https://saranistudio.sharepoint.com/:f:/s/SaraniAssets/EsMHhSdNvINElyx3JEst28ABbEZ2UyxACzwOgbo7r8uNhQ?e=GMg6XF" TargetMode="External"/><Relationship Id="rId406" Type="http://schemas.openxmlformats.org/officeDocument/2006/relationships/hyperlink" Target="https://saranistudio.sharepoint.com/:f:/s/SaraniAssets/Eu2RanequfNGsQqUWNobPq0BHu4nG3ip_jSh-z5ivF-SNg?e=Z9FmxR" TargetMode="External"/><Relationship Id="rId960" Type="http://schemas.openxmlformats.org/officeDocument/2006/relationships/hyperlink" Target="https://saranistudio.sharepoint.com/:f:/s/SaraniAssets/Epo0UQChvAJBsOqdBbTmRVoBGGGbc6mc5E31wGo5OY19SQ?e=Te6JYQ" TargetMode="External"/><Relationship Id="rId1036" Type="http://schemas.openxmlformats.org/officeDocument/2006/relationships/hyperlink" Target="https://saranistudio.sharepoint.com/:f:/s/SaraniAssets/Eurdv2pfMfVDvUZbt2l6f6wBU-_XNTj8h-SkbEcV3d4dWg?e=mwPgc7" TargetMode="External"/><Relationship Id="rId1243" Type="http://schemas.openxmlformats.org/officeDocument/2006/relationships/hyperlink" Target="https://saranistudio.sharepoint.com/:f:/s/SaraniAssets/EvFr7EN0cHNBtB-NvhVUyOgBosaCf7FyF_WVNQtA4N02RQ?e=2d2VtO" TargetMode="External"/><Relationship Id="rId613" Type="http://schemas.openxmlformats.org/officeDocument/2006/relationships/hyperlink" Target="https://saranistudio-my.sharepoint.com/:b:/g/personal/team_sarani_studio/EXh4CRIobZ1EqSXZ37LH8H8B47hT7vT-s39bGU34THKxeg?e=fXAdvR" TargetMode="External"/><Relationship Id="rId820" Type="http://schemas.openxmlformats.org/officeDocument/2006/relationships/hyperlink" Target="https://saranistudio-my.sharepoint.com/:b:/g/personal/team_sarani_studio/EQtV3xxvDOJBgtfWINaRdUsBifeOEoselHI3tAYAm1iT3w?e=KRKYVK" TargetMode="External"/><Relationship Id="rId918" Type="http://schemas.openxmlformats.org/officeDocument/2006/relationships/hyperlink" Target="https://saranistudio.sharepoint.com/:f:/s/SaraniAssets/EszGKaGXoR5CsO63XjdYd4UBxthB325QI0dM6PuZdCONCQ?e=Wo7OF2" TargetMode="External"/><Relationship Id="rId1103" Type="http://schemas.openxmlformats.org/officeDocument/2006/relationships/hyperlink" Target="https://saranistudio.sharepoint.com/:f:/s/SaraniAssets/EqTmqtQMDp1EvefeMCqHZIIB17wUQ1mSXFgAAS6bX9Zlzg?e=FNEatv" TargetMode="External"/><Relationship Id="rId1310" Type="http://schemas.openxmlformats.org/officeDocument/2006/relationships/hyperlink" Target="https://saranistudio.sharepoint.com/:f:/s/SaraniAssets/IgDXfqwCOOHdTpqZPZJhq43oAXd-ZZ-jGswCuzV4ak6IncE?e=nb5hOG" TargetMode="External"/><Relationship Id="rId1408" Type="http://schemas.openxmlformats.org/officeDocument/2006/relationships/hyperlink" Target="https://saranistudio.sharepoint.com/:f:/s/SaraniAssets/IgCpVTHKVYM9R6ldb8LRmnCJAdTGmw93DjNX18uJx1WZ_8o?e=ToW0WT" TargetMode="External"/><Relationship Id="rId47" Type="http://schemas.openxmlformats.org/officeDocument/2006/relationships/hyperlink" Target="https://saranistudio-my.sharepoint.com/:f:/g/personal/team_sarani_studio/EvQORSWeLIhCmtRAW0oiAUwBTsJV6BOljIGWmUFQwsMZaw?e=d5u6bG" TargetMode="External"/><Relationship Id="rId196" Type="http://schemas.openxmlformats.org/officeDocument/2006/relationships/hyperlink" Target="https://saranistudio.sharepoint.com/:f:/s/SaraniAssets/EnvjXDVRAaRNhzW_TjYr0oUBUlaunpRrsyCD_hK7W_5EjA?e=bbhN4N" TargetMode="External"/><Relationship Id="rId263" Type="http://schemas.openxmlformats.org/officeDocument/2006/relationships/hyperlink" Target="https://saranistudio-my.sharepoint.com/:b:/g/personal/team_sarani_studio/Eal89tqTA6pAvcl9GArXLAAB_MtVbfBx1PscgWveTtUMEg?e=AD7PIq" TargetMode="External"/><Relationship Id="rId470" Type="http://schemas.openxmlformats.org/officeDocument/2006/relationships/hyperlink" Target="https://saranistudio.sharepoint.com/:f:/s/SaraniAssets/ErD3pM9DzypHgZeWLQwPE9gB31DgBp_kFyJR3kn-xoPuew?e=mRc6q7" TargetMode="External"/><Relationship Id="rId123" Type="http://schemas.openxmlformats.org/officeDocument/2006/relationships/hyperlink" Target="https://saranistudio-my.sharepoint.com/:b:/g/personal/team_sarani_studio/EXN5uEEWwWNJlBBhqbF6ht4BAufUsYIeBCVYL2iM05vRgA?e=NhvxRC" TargetMode="External"/><Relationship Id="rId330" Type="http://schemas.openxmlformats.org/officeDocument/2006/relationships/hyperlink" Target="https://saranistudio-my.sharepoint.com/:b:/g/personal/team_sarani_studio/EdN9NfHNNXRFvbUlkJYua6sBUuHIbe__K89JlsVdMeeW-Q?e=cS03Pa" TargetMode="External"/><Relationship Id="rId568" Type="http://schemas.openxmlformats.org/officeDocument/2006/relationships/hyperlink" Target="https://saranistudio.sharepoint.com/:f:/s/SaraniAssets/EhBq60ktHbRCsIuUr6gKcG8B1o0vMi-zVILdUnmd7Iqf4w?e=uo46kE" TargetMode="External"/><Relationship Id="rId775" Type="http://schemas.openxmlformats.org/officeDocument/2006/relationships/hyperlink" Target="https://saranistudio.sharepoint.com/:f:/s/SaraniAssets/Ev6BQewJ7IVEoyVlw6kD0kABX-Esbi2lG8oHAIeoafMf8g?e=t6tpZx" TargetMode="External"/><Relationship Id="rId982" Type="http://schemas.openxmlformats.org/officeDocument/2006/relationships/hyperlink" Target="https://saranistudio.sharepoint.com/:f:/s/SaraniAssets/Emm7xGwnnL1JsjAySYHEtC4BpxC8kYhveh9dSGjL4OJDug?e=UJx3Ln" TargetMode="External"/><Relationship Id="rId1198" Type="http://schemas.openxmlformats.org/officeDocument/2006/relationships/hyperlink" Target="https://saranistudio.sharepoint.com/:b:/s/SaraniAssets/ER9o8MM_iztMtPrih9WerGYBAHMMfRC9jR-UEfFgrEZKlg?e=UWUGNd" TargetMode="External"/><Relationship Id="rId428" Type="http://schemas.openxmlformats.org/officeDocument/2006/relationships/hyperlink" Target="https://saranistudio.sharepoint.com/:f:/s/SaraniAssets/EgRVJ7M8DotDrEnyTLJ5S80BXA2hLOZ6s3Itax5zhMPyxQ?e=zgCO0J" TargetMode="External"/><Relationship Id="rId635" Type="http://schemas.openxmlformats.org/officeDocument/2006/relationships/hyperlink" Target="https://saranistudio.sharepoint.com/:f:/s/SaraniAssets/EhgOVNUvyeZJuwCGlcsSD3QBOZRmvFZpnnrKl_oHOhnROg?e=OH7dsH" TargetMode="External"/><Relationship Id="rId842" Type="http://schemas.openxmlformats.org/officeDocument/2006/relationships/hyperlink" Target="https://saranistudio-my.sharepoint.com/:b:/g/personal/team_sarani_studio/EUpwczu24StIpSW6vz6KztsBo5YFH5CEMHgqqwfMR20DJg?e=jfIkZd" TargetMode="External"/><Relationship Id="rId1058" Type="http://schemas.openxmlformats.org/officeDocument/2006/relationships/hyperlink" Target="https://saranistudio-my.sharepoint.com/:b:/g/personal/team_sarani_studio/ET3aVEUwJcRCqxFCAYTFy5MBQA8vEsCVc6ncuSV-s1Vx6A?e=gtX8jL" TargetMode="External"/><Relationship Id="rId1265" Type="http://schemas.openxmlformats.org/officeDocument/2006/relationships/hyperlink" Target="https://saranistudio.sharepoint.com/:b:/s/SaraniAssets/EbRxdaHlY2VKow7sobUO_QYBgezbdfBOdPTOoCl3q43COw?e=JfezvP" TargetMode="External"/><Relationship Id="rId702" Type="http://schemas.openxmlformats.org/officeDocument/2006/relationships/hyperlink" Target="https://saranistudio-my.sharepoint.com/:b:/g/personal/team_sarani_studio/Ec28eBG1srhPpB-AKda9dUEBYzA49CtfKPkA979Y08E_ew?e=q3d3eg" TargetMode="External"/><Relationship Id="rId1125" Type="http://schemas.openxmlformats.org/officeDocument/2006/relationships/hyperlink" Target="https://saranistudio.sharepoint.com/:b:/s/SaraniAssets/EcdmNpCCkMVGllxf_IgIwXEB9_dfAkciZJK2Es8Z3hHpQQ?e=U7fCOd" TargetMode="External"/><Relationship Id="rId1332" Type="http://schemas.openxmlformats.org/officeDocument/2006/relationships/hyperlink" Target="https://saranistudio.sharepoint.com/:f:/s/SaraniAssets/IgBEMyNuAz0nTbNMoeYVEpNMAY_PC4xFpOcBsVi3Ot6mFUw?e=UfT7WD" TargetMode="External"/><Relationship Id="rId69" Type="http://schemas.openxmlformats.org/officeDocument/2006/relationships/hyperlink" Target="https://saranistudio-my.sharepoint.com/:f:/g/personal/team_sarani_studio/EtK7hTypFuBHpDOePw_7ccgBRDwmVFet1fcnWhxQ1F1Cew?e=RoAcRf" TargetMode="External"/><Relationship Id="rId285" Type="http://schemas.openxmlformats.org/officeDocument/2006/relationships/hyperlink" Target="https://saranistudio.sharepoint.com/:f:/s/SaraniAssets/EsrLHInvcfpIkFHXKwypzk8BCr5D80WLMupRsNiZi0mi4A?e=GxKSMP" TargetMode="External"/><Relationship Id="rId492" Type="http://schemas.openxmlformats.org/officeDocument/2006/relationships/hyperlink" Target="https://saranistudio.sharepoint.com/:f:/s/SaraniAssets/Ejp6z1h9AbVMm-uBwMVMqF8BWWReMA_R5wd4nw7LQKzOIw?e=JSFe5m" TargetMode="External"/><Relationship Id="rId797" Type="http://schemas.openxmlformats.org/officeDocument/2006/relationships/hyperlink" Target="https://saranistudio.sharepoint.com/:f:/s/SaraniAssets/ElvfJBKjEpJMnPz_neM9NtUBebw9bcgL-aA2dr6x9XRkYw?e=TDLaOT" TargetMode="External"/><Relationship Id="rId145" Type="http://schemas.openxmlformats.org/officeDocument/2006/relationships/hyperlink" Target="https://saranistudio-my.sharepoint.com/:b:/g/personal/team_sarani_studio/EaeBiR_2KilLpZTBK49Fcz8B-brFbqzVP-8J5CEH_B5OdA?e=ojl7Ba" TargetMode="External"/><Relationship Id="rId352" Type="http://schemas.openxmlformats.org/officeDocument/2006/relationships/hyperlink" Target="https://saranistudio-my.sharepoint.com/:b:/g/personal/team_sarani_studio/EW_tTYaI-ThIp8Ip3HxpOLsBNOp_LGAlHHo6Hn8Gq2vArA?e=W0i8Mr" TargetMode="External"/><Relationship Id="rId1287" Type="http://schemas.openxmlformats.org/officeDocument/2006/relationships/hyperlink" Target="https://saranistudio.sharepoint.com/:f:/s/SaraniAssets/IgD17oOIwgEKRa-Rb9jx4DEqAa-qpzovLu4CNa5lSqznelw?e=HOga84" TargetMode="External"/><Relationship Id="rId212" Type="http://schemas.openxmlformats.org/officeDocument/2006/relationships/hyperlink" Target="https://saranistudio.sharepoint.com/:f:/s/SaraniAssets/El7rq3jNFQdDo91RrmenfzQBgvdmDeHXKaa4yD0fsD1L8w?e=cAeOkQ" TargetMode="External"/><Relationship Id="rId657" Type="http://schemas.openxmlformats.org/officeDocument/2006/relationships/hyperlink" Target="https://saranistudio.sharepoint.com/:f:/s/SaraniAssets/EjybKnAGX0BNjPF9mP2EXicBtM5Ok0zCwXKZ30swkuG1WQ?e=MsH8HA" TargetMode="External"/><Relationship Id="rId864" Type="http://schemas.openxmlformats.org/officeDocument/2006/relationships/hyperlink" Target="https://saranistudio.sharepoint.com/:f:/s/SaraniAssets/EtU08zK4BAJFreAdb3vvVYUBbmPdCeGRxH5xRW3AbDWIkw?e=yadN5V" TargetMode="External"/><Relationship Id="rId517" Type="http://schemas.openxmlformats.org/officeDocument/2006/relationships/hyperlink" Target="https://saranistudio-my.sharepoint.com/:b:/g/personal/team_sarani_studio/ER2HIz_jA4pLsBsC7bbQLv0BB0C1lpGGGL08mcZiHYPEUA?e=UWx2kv" TargetMode="External"/><Relationship Id="rId724" Type="http://schemas.openxmlformats.org/officeDocument/2006/relationships/hyperlink" Target="https://saranistudio.sharepoint.com/:f:/s/SaraniAssets/ErYpE_aEc09IlxTu3yhKsVUBAaadFVf_u4qs8uIzT1BCbw?e=RzySHp" TargetMode="External"/><Relationship Id="rId931" Type="http://schemas.openxmlformats.org/officeDocument/2006/relationships/hyperlink" Target="https://saranistudio-my.sharepoint.com/:b:/g/personal/team_sarani_studio/EethraG-Ud5LuSxWKPOHd5cBtOIubJJDXmp5_KWpSm9ANA?e=ahmxwz" TargetMode="External"/><Relationship Id="rId1147" Type="http://schemas.openxmlformats.org/officeDocument/2006/relationships/hyperlink" Target="https://saranistudio.sharepoint.com/:f:/s/SaraniAssets/EiwhZY41SQpDq5hp1Sm6Rs4Bh6d_Sb1rvgc9MzXT_zECHQ?e=fd3qd8" TargetMode="External"/><Relationship Id="rId1354" Type="http://schemas.openxmlformats.org/officeDocument/2006/relationships/hyperlink" Target="https://saranistudio.sharepoint.com/:b:/s/SaraniAssets/IQDI66BuFEAlTbGLV4MBeecvAYqtEqmhA0-EUHslwBumRZ8?e=d28e2w" TargetMode="External"/><Relationship Id="rId60" Type="http://schemas.openxmlformats.org/officeDocument/2006/relationships/hyperlink" Target="https://saranistudio-my.sharepoint.com/:f:/g/personal/team_sarani_studio/EvN6F1tLUb1HpsDsbcqLJpgBS_xatQW1Mdo30DXnEk4Umw?e=ZwLhqb" TargetMode="External"/><Relationship Id="rId1007" Type="http://schemas.openxmlformats.org/officeDocument/2006/relationships/hyperlink" Target="https://saranistudio.sharepoint.com/:f:/s/SaraniAssets/EnRpsSRkQi5DtJaay_roR-QBdb58S33l0jzrIzlwzQc6lg?e=b91fqK" TargetMode="External"/><Relationship Id="rId1214" Type="http://schemas.openxmlformats.org/officeDocument/2006/relationships/hyperlink" Target="https://saranistudio.sharepoint.com/:f:/s/SaraniAssets/EqSRglcmE1dBjd04l5Je-tMBtuKl3BYyYL_QFQYGIfWZ2Q?e=0Dh4aO" TargetMode="External"/><Relationship Id="rId1421" Type="http://schemas.openxmlformats.org/officeDocument/2006/relationships/comments" Target="../comments2.xml"/><Relationship Id="rId18" Type="http://schemas.openxmlformats.org/officeDocument/2006/relationships/hyperlink" Target="https://saranistudio-my.sharepoint.com/:f:/g/personal/team_sarani_studio/Ehi8kv4332BOmhmF0GTdxqcBXMS0bXPqJJq-QzgW5N5jlg?e=BJOqXJ" TargetMode="External"/><Relationship Id="rId167" Type="http://schemas.openxmlformats.org/officeDocument/2006/relationships/hyperlink" Target="https://saranistudio.sharepoint.com/:f:/s/SaraniAssets/EoJoy7UW0lpFqdCZ2erboVkB1cV5JIQm6EWzwqjzOYrh6g?e=XEoEbY" TargetMode="External"/><Relationship Id="rId374" Type="http://schemas.openxmlformats.org/officeDocument/2006/relationships/hyperlink" Target="https://saranistudio-my.sharepoint.com/:f:/g/personal/team_sarani_studio/Em9OAsLQ3rVAsCjuhjlyf9ABulvOo8C6xbY6ZkPMG8hkFQ?e=cTZegr" TargetMode="External"/><Relationship Id="rId581" Type="http://schemas.openxmlformats.org/officeDocument/2006/relationships/hyperlink" Target="https://saranistudio.sharepoint.com/:f:/s/SaraniAssets/EgZajInehrxFifPoaPJ4-5gBmKU4v2d4wGVxQkaIM8RXzw?e=BfbSqu" TargetMode="External"/><Relationship Id="rId234" Type="http://schemas.openxmlformats.org/officeDocument/2006/relationships/hyperlink" Target="https://saranistudio.sharepoint.com/:f:/s/SaraniAssets/ErSgv-hqFRpOuvmAVjD_t1gBaECQLYpE-t9VB7eIFXWUGQ?e=l0ti5F" TargetMode="External"/><Relationship Id="rId679" Type="http://schemas.openxmlformats.org/officeDocument/2006/relationships/hyperlink" Target="https://saranistudio.sharepoint.com/:f:/s/SaraniAssets/EgNSUnELBXlPsh3PiyX_I-MBGV1CXD_pG7VyLtjP_o0R8w?e=zaGyJR" TargetMode="External"/><Relationship Id="rId886" Type="http://schemas.openxmlformats.org/officeDocument/2006/relationships/hyperlink" Target="https://saranistudio.sharepoint.com/:f:/s/SaraniAssets/EgARHkPRQ4tAhByUBsPRfpQB5SEaD2WY-2IE6gjZ89jZjg?e=zMn8ke" TargetMode="External"/><Relationship Id="rId2" Type="http://schemas.openxmlformats.org/officeDocument/2006/relationships/hyperlink" Target="https://saranistudio-my.sharepoint.com/:f:/g/personal/team_sarani_studio/Evtfs8z--DpCs3Qy9Cvq1Y4BMFsqWlLop36Ti2xykheKBA?e=DSnQzV" TargetMode="External"/><Relationship Id="rId441" Type="http://schemas.openxmlformats.org/officeDocument/2006/relationships/hyperlink" Target="https://saranistudio.sharepoint.com/:f:/s/SaraniAssets/EtD9d435buZPqGStzUlhn4gB7mw6quD1f2mrOG2st2Y4UA?e=Sfpy0W" TargetMode="External"/><Relationship Id="rId539" Type="http://schemas.openxmlformats.org/officeDocument/2006/relationships/hyperlink" Target="https://saranistudio.sharepoint.com/:f:/s/SaraniAssets/EtayZByJoNdFg-3jCdGXYCcBq6P4QU0FAzLzwdUEp2nU7g?e=b2nLNn" TargetMode="External"/><Relationship Id="rId746" Type="http://schemas.openxmlformats.org/officeDocument/2006/relationships/hyperlink" Target="https://saranistudio-my.sharepoint.com/:b:/g/personal/team_sarani_studio/EXQmc7NcavpJuNrarONzd_UBzkvcMLuc-Gg295JP-UPemg?e=qwsZ8c" TargetMode="External"/><Relationship Id="rId1071" Type="http://schemas.openxmlformats.org/officeDocument/2006/relationships/hyperlink" Target="https://saranistudio.sharepoint.com/:f:/s/SaraniAssets/Eq84xrsJvyNCu4XIY2bR-psB0LahkoqiKcFSTrwIvD1jRA?e=yQrPeV" TargetMode="External"/><Relationship Id="rId1169" Type="http://schemas.openxmlformats.org/officeDocument/2006/relationships/hyperlink" Target="https://saranistudio.sharepoint.com/:f:/s/SaraniAssets/EiO_eDG7l09AuX-cj8QR_IUBmZFigmrH4_YwG_yEu3KYZw?e=OTIB9X" TargetMode="External"/><Relationship Id="rId1376" Type="http://schemas.openxmlformats.org/officeDocument/2006/relationships/hyperlink" Target="https://saranistudio.sharepoint.com/:b:/s/SaraniAssets/IQDD6HTAJqpdSLOxcgTQ8--4AYJMN1J3CRtuW0_4UK9b0yA?e=dQfIZm" TargetMode="External"/><Relationship Id="rId301" Type="http://schemas.openxmlformats.org/officeDocument/2006/relationships/hyperlink" Target="https://saranistudio.sharepoint.com/:f:/s/SaraniAssets/Ek27zj4qBm1OpALPmdV8m38BfsLo2q6fO1PkRunoBVhSsw?e=RJLXDM" TargetMode="External"/><Relationship Id="rId953" Type="http://schemas.openxmlformats.org/officeDocument/2006/relationships/hyperlink" Target="https://saranistudio-my.sharepoint.com/:b:/g/personal/team_sarani_studio/ESdOk9SRMVJLpPEoi-LyqcQBLRXkQJS9GJVtoApFOc0hUA?e=CpUTEM" TargetMode="External"/><Relationship Id="rId1029" Type="http://schemas.openxmlformats.org/officeDocument/2006/relationships/hyperlink" Target="https://saranistudio.sharepoint.com/:f:/s/SaraniAssets/ErKnv1bi0MBNpGh3Uu0Q5_MBqDzBIB1rY9Vi4VaKITQ0qg?e=1YnKgr" TargetMode="External"/><Relationship Id="rId1236" Type="http://schemas.openxmlformats.org/officeDocument/2006/relationships/hyperlink" Target="https://saranistudio.sharepoint.com/:b:/s/SaraniAssets/ETfipLzgiFtAiKfj1bhxslQBEfl3SpRnC46iCAOfC7zBbg?e=Ksrjyi" TargetMode="External"/><Relationship Id="rId82" Type="http://schemas.openxmlformats.org/officeDocument/2006/relationships/hyperlink" Target="https://saranistudio-my.sharepoint.com/:f:/g/personal/team_sarani_studio/EkgtywBt5tdKteLfsQw1yR8BZX4JZdVzUGhDfp-ICfQa7Q?e=gjyoIc" TargetMode="External"/><Relationship Id="rId606" Type="http://schemas.openxmlformats.org/officeDocument/2006/relationships/hyperlink" Target="https://saranistudio-my.sharepoint.com/:b:/g/personal/team_sarani_studio/EfG20n0-ZpdJv7g8OvwqCvEBpJApmtVumFpqpiAyJ2EJOA?e=Okk0mn" TargetMode="External"/><Relationship Id="rId813" Type="http://schemas.openxmlformats.org/officeDocument/2006/relationships/hyperlink" Target="https://saranistudio-my.sharepoint.com/:b:/g/personal/team_sarani_studio/EZvsrp4mZpRHmfPDLMvLi04B_xtd2Y-cRLF7obI_TtEL3A?e=cR7l67" TargetMode="External"/><Relationship Id="rId1303" Type="http://schemas.openxmlformats.org/officeDocument/2006/relationships/hyperlink" Target="https://saranistudio.sharepoint.com/:b:/s/SaraniAssets/IQDHUD9VlIkEQ72nFNcpBFJDARetZMRQlGHETYlszIlDkzU?e=wgyHDS" TargetMode="External"/><Relationship Id="rId189" Type="http://schemas.openxmlformats.org/officeDocument/2006/relationships/hyperlink" Target="https://saranistudio-my.sharepoint.com/:b:/g/personal/team_sarani_studio/EcKgbKdU6mZPiMSAoC96NG4BC-zObw42WjSJzmMQdmZYhQ?e=87vEKf" TargetMode="External"/><Relationship Id="rId396" Type="http://schemas.openxmlformats.org/officeDocument/2006/relationships/hyperlink" Target="https://saranistudio.sharepoint.com/:f:/s/SaraniAssets/EiknNepsLsBCrpdYsClDYf4BJ3FbQd_CWM1gJFTvYGUW-Q?e=Rq1u9R" TargetMode="External"/><Relationship Id="rId256" Type="http://schemas.openxmlformats.org/officeDocument/2006/relationships/hyperlink" Target="https://saranistudio.sharepoint.com/:f:/s/SaraniAssets/EseZG1JSwf1Cseiw44aDO5oBtTh2_e4dw_xPmpa6dVifIQ?e=UcYmQn" TargetMode="External"/><Relationship Id="rId463" Type="http://schemas.openxmlformats.org/officeDocument/2006/relationships/hyperlink" Target="https://saranistudio-my.sharepoint.com/:b:/g/personal/team_sarani_studio/EZn5vd-mAt5NhuSlYS_fGmoBVKGtGlMmtlSdlzWEFRUh5Q?e=kPBaVh" TargetMode="External"/><Relationship Id="rId670" Type="http://schemas.openxmlformats.org/officeDocument/2006/relationships/hyperlink" Target="https://saranistudio-my.sharepoint.com/:b:/g/personal/team_sarani_studio/EWIEgWSxlZhFrivKTvBQThMB20_Tf-vhjJLZDosxgLymWQ?e=5FyVTo" TargetMode="External"/><Relationship Id="rId1093" Type="http://schemas.openxmlformats.org/officeDocument/2006/relationships/hyperlink" Target="https://saranistudio.sharepoint.com/:f:/s/SaraniAssets/EmkiMzFET91EquyVoHYNkn4BjaV8Vx8AuTnaagBh3al5Vw?e=C1pTFa" TargetMode="External"/><Relationship Id="rId116" Type="http://schemas.openxmlformats.org/officeDocument/2006/relationships/hyperlink" Target="https://saranistudio-my.sharepoint.com/:b:/g/personal/team_sarani_studio/EWGp38GY6q1KuMXYXz9FOQMBA7ZQTdYcdqtBRu6518Vuiw?e=PuZDyk" TargetMode="External"/><Relationship Id="rId323" Type="http://schemas.openxmlformats.org/officeDocument/2006/relationships/hyperlink" Target="https://saranistudio-my.sharepoint.com/:b:/g/personal/team_sarani_studio/ERes_rMDhzRAsn3xxoeeTOsBne02ZAkta6EEDt4MkFwX_A?e=0UyfLe" TargetMode="External"/><Relationship Id="rId530" Type="http://schemas.openxmlformats.org/officeDocument/2006/relationships/hyperlink" Target="https://saranistudio.sharepoint.com/:f:/s/SaraniAssets/EsktGZLVyKVLs7Cy-qa66Y4BIKZDB-NQkkC6XTThDZCTsQ?e=Ba07wz" TargetMode="External"/><Relationship Id="rId768" Type="http://schemas.openxmlformats.org/officeDocument/2006/relationships/hyperlink" Target="https://saranistudio-my.sharepoint.com/:b:/g/personal/team_sarani_studio/EfyHCqM0FPpHgAaX9f1MQZkByb3lZzD-zpNCtilw22VybQ?e=BU6Fjw" TargetMode="External"/><Relationship Id="rId975" Type="http://schemas.openxmlformats.org/officeDocument/2006/relationships/hyperlink" Target="https://saranistudio-my.sharepoint.com/:b:/g/personal/team_sarani_studio/EZM3oxfYOS9Jo3ze1PEW5_8BAc9FoNfFm6p_nsI1-lPRWg?e=ddfado" TargetMode="External"/><Relationship Id="rId1160" Type="http://schemas.openxmlformats.org/officeDocument/2006/relationships/hyperlink" Target="https://saranistudio.sharepoint.com/:b:/s/SaraniAssets/EUW5CA3HiU1Djp8xLXWIIm8BEZlj02mX9XfGMFBZFRy-qA?e=GMKkQ4" TargetMode="External"/><Relationship Id="rId1398" Type="http://schemas.openxmlformats.org/officeDocument/2006/relationships/hyperlink" Target="https://saranistudio.sharepoint.com/:f:/s/SaraniAssets/IgCLLK-CpbO8TY7uLtkol8ZkAR2531SiqispQ5-bYCEZSR0?e=eDYpdz" TargetMode="External"/><Relationship Id="rId628" Type="http://schemas.openxmlformats.org/officeDocument/2006/relationships/hyperlink" Target="https://saranistudio.sharepoint.com/:f:/s/SaraniAssets/EmLovRNhETxAmk2doaBZE2oB7IAQr6aroTqtZs1dZNEoCg?e=I1dhYA" TargetMode="External"/><Relationship Id="rId835" Type="http://schemas.openxmlformats.org/officeDocument/2006/relationships/hyperlink" Target="https://saranistudio-my.sharepoint.com/:b:/g/personal/team_sarani_studio/EXz5uU0IQiZGlnVkZSENd_0BUl4N7MIgKvQCKieDYA4HMg?e=vpwMY8" TargetMode="External"/><Relationship Id="rId1258" Type="http://schemas.openxmlformats.org/officeDocument/2006/relationships/hyperlink" Target="https://saranistudio.sharepoint.com/:f:/s/SaraniAssets/EjOZ5nDzk5pPreYa-G9_3hYB93eBdaUeoCNzc2k8PttYCg?e=vXYCRJ" TargetMode="External"/><Relationship Id="rId1020" Type="http://schemas.openxmlformats.org/officeDocument/2006/relationships/hyperlink" Target="https://saranistudio.sharepoint.com/:f:/s/SaraniAssets/EvEDsXKk339Kr36iBgjjF5gB0FQatONzCww2Qx7Fb8Fv7g?e=td3Z94" TargetMode="External"/><Relationship Id="rId1118" Type="http://schemas.openxmlformats.org/officeDocument/2006/relationships/hyperlink" Target="https://saranistudio.sharepoint.com/:f:/s/SaraniAssets/Eg1uXPOeiBpFr_7_i3P1bFsBHYha7wIOhFr3-igYL72TPw?e=SULvI1" TargetMode="External"/><Relationship Id="rId1325" Type="http://schemas.openxmlformats.org/officeDocument/2006/relationships/hyperlink" Target="https://saranistudio.sharepoint.com/:f:/s/SaraniAssets/IgDeCCunDXGcS4gtIs0CgQxuAROe74MQywS9rO1c3Hat_ZI?e=ThH5di" TargetMode="External"/><Relationship Id="rId902" Type="http://schemas.openxmlformats.org/officeDocument/2006/relationships/hyperlink" Target="https://saranistudio-my.sharepoint.com/:b:/g/personal/team_sarani_studio/EZIY99naJ11OshVcA44CN18BbPTvjwiXacw7-wWMOv6Jfg?e=kOCF2K" TargetMode="External"/><Relationship Id="rId31" Type="http://schemas.openxmlformats.org/officeDocument/2006/relationships/hyperlink" Target="https://saranistudio-my.sharepoint.com/:f:/g/personal/team_sarani_studio/EiFOxcsYWW5HrKMAqEXG268BJdUb73tokZ2aUpOjrqGbMw?e=ZjeN6x" TargetMode="External"/><Relationship Id="rId180" Type="http://schemas.openxmlformats.org/officeDocument/2006/relationships/hyperlink" Target="https://saranistudio.sharepoint.com/:f:/s/SaraniAssets/EqWakb816FJJtNEYqGsUM8wBcz_yDOHPD7-owXm-1XIyYA?e=mNfifv" TargetMode="External"/><Relationship Id="rId278" Type="http://schemas.openxmlformats.org/officeDocument/2006/relationships/hyperlink" Target="https://saranistudio.sharepoint.com/:b:/s/SaraniAssets/EaGA5-YxOy5LrfrpmX-ZBjcBt2WkDMbK4g_HX-9hWSiHqA?e=RyhJL8" TargetMode="External"/><Relationship Id="rId485" Type="http://schemas.openxmlformats.org/officeDocument/2006/relationships/hyperlink" Target="https://saranistudio-my.sharepoint.com/:b:/g/personal/team_sarani_studio/EXtQYFq5SBpHm1UXIIPt2uUBPypkdFBbb4s7j4ChI7Wqqw?e=ee5jWa" TargetMode="External"/><Relationship Id="rId692" Type="http://schemas.openxmlformats.org/officeDocument/2006/relationships/hyperlink" Target="https://saranistudio-my.sharepoint.com/:b:/g/personal/team_sarani_studio/EUBZZ4gFxXBJkrF7xIoM294BDNt6gttX--RSnt9PiPp8OQ?e=8X7t5K" TargetMode="External"/><Relationship Id="rId138" Type="http://schemas.openxmlformats.org/officeDocument/2006/relationships/hyperlink" Target="https://saranistudio.sharepoint.com/:f:/s/SaraniAssets/EoKSGK51uHBEnY1ZxChc8dUBgoMgtGMxAYGBdrNOH35tlw?e=mhd6dJ" TargetMode="External"/><Relationship Id="rId345" Type="http://schemas.openxmlformats.org/officeDocument/2006/relationships/hyperlink" Target="https://saranistudio-my.sharepoint.com/:b:/g/personal/team_sarani_studio/EV4GOVKCzhFKqyuwLWbYLFIBnjyNOAfnKriH7e5IRAbUTQ?e=XgIM2G" TargetMode="External"/><Relationship Id="rId552" Type="http://schemas.openxmlformats.org/officeDocument/2006/relationships/hyperlink" Target="https://saranistudio.sharepoint.com/:f:/s/SaraniAssets/EgGilnohRfROnc6J4znyRPABtZUKO0lgq9Fybh7c6TPsOw?e=dcgWuJ" TargetMode="External"/><Relationship Id="rId997" Type="http://schemas.openxmlformats.org/officeDocument/2006/relationships/hyperlink" Target="https://saranistudio.sharepoint.com/:f:/s/SaraniAssets/EotocM5mpbVIiGrRYbW9TrwBgobC4QRaF-16YrFVH9uJYw?e=W6HyPL" TargetMode="External"/><Relationship Id="rId1182" Type="http://schemas.openxmlformats.org/officeDocument/2006/relationships/hyperlink" Target="https://saranistudio.sharepoint.com/:f:/s/SaraniAssets/EnuhdrrsW2hDtnVNB28CTzIB5ZnWXiekkWVt44s_yMeQOg?e=0rdBgX" TargetMode="External"/><Relationship Id="rId205" Type="http://schemas.openxmlformats.org/officeDocument/2006/relationships/hyperlink" Target="https://saranistudio-my.sharepoint.com/:b:/g/personal/team_sarani_studio/ETKC76CSHshFnZCpLK3mTOkByoWGbBT-S5xsjxmPdosVPw?e=QRa261" TargetMode="External"/><Relationship Id="rId412" Type="http://schemas.openxmlformats.org/officeDocument/2006/relationships/hyperlink" Target="https://saranistudio.sharepoint.com/:f:/s/SaraniAssets/Epz1Uwo7qKRHsoXZRMrZaGUBic3akKIBcVEYe2sM45EsUQ?e=NhNinE" TargetMode="External"/><Relationship Id="rId857" Type="http://schemas.openxmlformats.org/officeDocument/2006/relationships/hyperlink" Target="https://saranistudio.sharepoint.com/:f:/s/SaraniAssets/EhjEx1ZzWOxDiLQrJXnjoFIB_nuR5Ogv-yNTgBBsboLTRg?e=wUhuM0" TargetMode="External"/><Relationship Id="rId1042" Type="http://schemas.openxmlformats.org/officeDocument/2006/relationships/hyperlink" Target="https://saranistudio.sharepoint.com/:f:/s/SaraniAssets/Enk9PlvVJeNIhIYLB6o4DDkB1q6vy9Ya_BL4poG0LrQrGw?e=R3FD92" TargetMode="External"/><Relationship Id="rId717" Type="http://schemas.openxmlformats.org/officeDocument/2006/relationships/hyperlink" Target="https://saranistudio.sharepoint.com/:f:/s/SaraniAssets/Elzx2FFyHgJEqJA2MhEi6RMBQUdQnb02NdROpvHe0auH5g?e=gpRe9N" TargetMode="External"/><Relationship Id="rId924" Type="http://schemas.openxmlformats.org/officeDocument/2006/relationships/hyperlink" Target="https://saranistudio.sharepoint.com/:f:/s/SaraniAssets/EqjYAUz4qrxFsCRZTMstEEQBHGRFRPEXBwurHF-3lvIs5g?e=GJzWr0" TargetMode="External"/><Relationship Id="rId1347" Type="http://schemas.openxmlformats.org/officeDocument/2006/relationships/hyperlink" Target="https://saranistudio.sharepoint.com/:f:/s/SaraniAssets/IgAo-2VFm5iMT7089SCZdUioAZwJtwaG3mePUkPiOFXtCPQ?e=TSZLeP" TargetMode="External"/><Relationship Id="rId53" Type="http://schemas.openxmlformats.org/officeDocument/2006/relationships/hyperlink" Target="https://saranistudio-my.sharepoint.com/:f:/g/personal/team_sarani_studio/Eh-XtLfnCf1LnsVtx5DtbCEBjY0SGdeSjDPwHzDnQHgN9w?e=2LU41r" TargetMode="External"/><Relationship Id="rId1207" Type="http://schemas.openxmlformats.org/officeDocument/2006/relationships/hyperlink" Target="https://saranistudio.sharepoint.com/:f:/s/SaraniAssets/EvN76BP8oSRKp1PJeQPTonQBo-etRTp3TaMPhiIQ8fEE0w?e=lrgawL" TargetMode="External"/><Relationship Id="rId1414" Type="http://schemas.openxmlformats.org/officeDocument/2006/relationships/hyperlink" Target="https://saranistudio.sharepoint.com/:b:/s/SaraniAssets/IQC3At-D0wLPSbsP3bw_kMBvAY692c7uZf1PIL17UnNH2y8?e=VinKhz" TargetMode="External"/><Relationship Id="rId367" Type="http://schemas.openxmlformats.org/officeDocument/2006/relationships/hyperlink" Target="https://saranistudio-my.sharepoint.com/:f:/g/personal/team_sarani_studio/EkZE4Y3oDmxOgPwByulkRGQBO22GCn4XXiv8vxBWXU3BOQ?e=QYcm2Z" TargetMode="External"/><Relationship Id="rId574" Type="http://schemas.openxmlformats.org/officeDocument/2006/relationships/hyperlink" Target="https://saranistudio.sharepoint.com/:f:/s/SaraniAssets/Es6eU4KuJSRGqkp8BPNpnpsBn-Ef9QhFrXvoFMwhF88GdQ?e=gvfyXG" TargetMode="External"/><Relationship Id="rId227" Type="http://schemas.openxmlformats.org/officeDocument/2006/relationships/hyperlink" Target="https://saranistudio.sharepoint.com/:f:/s/SaraniAssets/EjIIsWrWIkZBsqrOXS7l2F8BF_TFSnTVgtkbju4QU9EUAg?e=h2BqHl" TargetMode="External"/><Relationship Id="rId781" Type="http://schemas.openxmlformats.org/officeDocument/2006/relationships/hyperlink" Target="https://saranistudio.sharepoint.com/:f:/s/SaraniAssets/El2VHXxgS95Arumb61i9orQBWpEZz3M8LN4yul7miCFR9Q?e=yE0GaI" TargetMode="External"/><Relationship Id="rId879" Type="http://schemas.openxmlformats.org/officeDocument/2006/relationships/hyperlink" Target="https://saranistudio-my.sharepoint.com/:b:/g/personal/team_sarani_studio/EdR8KbRVkVhPmO-5fElicUkBTT1SSSCDme8vEb3sVxIq5A?e=PPiPDe" TargetMode="External"/><Relationship Id="rId434" Type="http://schemas.openxmlformats.org/officeDocument/2006/relationships/hyperlink" Target="https://saranistudio.sharepoint.com/:f:/s/SaraniAssets/EiD1r8hyOmVHqcBftZ43yokBQPOqC5P4SWGgKQ1TXKqYeQ?e=EVwLhY" TargetMode="External"/><Relationship Id="rId641" Type="http://schemas.openxmlformats.org/officeDocument/2006/relationships/hyperlink" Target="https://saranistudio.sharepoint.com/:f:/r/sites/SaraniAssets/Shared%20Documents/03.%20Customers/02.%20Sony/03.%20Sony%20France/03.%20V%26S%20(Audio)/20240808_BANNIERES%20D2C%20CTL%20PRODUCT?csf=1&amp;web=1&amp;e=NsJ0bs" TargetMode="External"/><Relationship Id="rId739" Type="http://schemas.openxmlformats.org/officeDocument/2006/relationships/hyperlink" Target="https://saranistudio-my.sharepoint.com/:b:/g/personal/team_sarani_studio/EaB-dkzoFHZNmudEYj6dMu0BigSF_NQdDfR_z7gdKDwSjQ?e=l5LVAI" TargetMode="External"/><Relationship Id="rId1064" Type="http://schemas.openxmlformats.org/officeDocument/2006/relationships/hyperlink" Target="https://saranistudio-my.sharepoint.com/:b:/g/personal/team_sarani_studio/Ef4k1_tejK9MteoS9WbusIsB3Tnh0giQIYAdbp39U8E3Iw?e=Bef03o" TargetMode="External"/><Relationship Id="rId1271" Type="http://schemas.openxmlformats.org/officeDocument/2006/relationships/hyperlink" Target="https://saranistudio.sharepoint.com/:f:/s/SaraniAssets/EgyUOvgWO8BOn9R5jXHE6usBh_DnKGM1rU8ngG4GeLiRWw?e=UhFGSO" TargetMode="External"/><Relationship Id="rId1369" Type="http://schemas.openxmlformats.org/officeDocument/2006/relationships/hyperlink" Target="https://saranistudio.sharepoint.com/:b:/s/SaraniAssets/IQBFZ5vdeNOWRbu8RdU6rrtuASlW-T6my866-uCkhdy5WYY?e=q3f4Zl" TargetMode="External"/><Relationship Id="rId501" Type="http://schemas.openxmlformats.org/officeDocument/2006/relationships/hyperlink" Target="https://saranistudio.sharepoint.com/:f:/s/SaraniAssets/EvBpMz5x6mVMqn8TNtLw8GQBpN8xTeuD1iJkRCjDTrSAhQ?e=KrtI0E" TargetMode="External"/><Relationship Id="rId946" Type="http://schemas.openxmlformats.org/officeDocument/2006/relationships/hyperlink" Target="https://saranistudio-my.sharepoint.com/:b:/g/personal/team_sarani_studio/EcgdVV9pciZMnDxl18T_MrMBpAxO2g9ap-3j4oHw-9G8hA?e=Mvo2AC" TargetMode="External"/><Relationship Id="rId1131" Type="http://schemas.openxmlformats.org/officeDocument/2006/relationships/hyperlink" Target="https://saranistudio.sharepoint.com/:f:/s/SaraniAssets/EpYq5qoTb3BPhNre9gbxBewBQ0CI8zaQsJL76zFc_XmLsw?e=f8cWaY" TargetMode="External"/><Relationship Id="rId1229" Type="http://schemas.openxmlformats.org/officeDocument/2006/relationships/hyperlink" Target="https://saranistudio.sharepoint.com/:b:/s/SaraniAssets/EUwnZt0p05tBjqTdernVkysBSiEcgbxcqHbEY0pnpmw8KA?e=Y5ie2i" TargetMode="External"/><Relationship Id="rId75" Type="http://schemas.openxmlformats.org/officeDocument/2006/relationships/hyperlink" Target="https://saranistudio-my.sharepoint.com/:f:/g/personal/team_sarani_studio/Ehfxvz__gf1NvW8ydi3n7RYBCFT_MxJ_JosrOZuBHNHMog?e=WaY5JK" TargetMode="External"/><Relationship Id="rId806" Type="http://schemas.openxmlformats.org/officeDocument/2006/relationships/hyperlink" Target="https://saranistudio.sharepoint.com/:f:/s/SaraniAssets/EuG6uZETPO1HisZpiKSAVdAB2r9-I8SA-fS9ufzRwWJ96w?e=ignDA8" TargetMode="External"/><Relationship Id="rId291" Type="http://schemas.openxmlformats.org/officeDocument/2006/relationships/hyperlink" Target="https://saranistudio-my.sharepoint.com/:b:/g/personal/team_sarani_studio/EWfdu_W2MxVPiqId8_itqAEBGJK-jiDSY_nGNLfoar9u4A?e=SFk3R6" TargetMode="External"/><Relationship Id="rId151" Type="http://schemas.openxmlformats.org/officeDocument/2006/relationships/hyperlink" Target="https://saranistudio.sharepoint.com/:f:/s/SaraniAssets/EgSlBkWINZBKgVGmCp6NzfMBevXK6wtmU5crT8987XNsuA?e=WhQ0PI" TargetMode="External"/><Relationship Id="rId389" Type="http://schemas.openxmlformats.org/officeDocument/2006/relationships/hyperlink" Target="https://saranistudio.sharepoint.com/:f:/s/SaraniAssets/EoZ04PuGIvlHkkrh7M2jUFkBNolII5PschT6ClRo9ay4iw?e=Aty2Lv" TargetMode="External"/><Relationship Id="rId596" Type="http://schemas.openxmlformats.org/officeDocument/2006/relationships/hyperlink" Target="https://saranistudio.sharepoint.com/:f:/s/SaraniAssets/EoXaxbPJpHVLp15kcjeVvngBduoPc8biQSRCNO4CQOLPzQ?e=cap6Fg" TargetMode="External"/><Relationship Id="rId249" Type="http://schemas.openxmlformats.org/officeDocument/2006/relationships/hyperlink" Target="https://saranistudio-my.sharepoint.com/:b:/g/personal/team_sarani_studio/ERKsAjSgYG5LlexbDjdcRxMBkVxrKDPRRC9sUP4wAd6Fxg?e=qSvSTV" TargetMode="External"/><Relationship Id="rId456" Type="http://schemas.openxmlformats.org/officeDocument/2006/relationships/hyperlink" Target="https://saranistudio.sharepoint.com/:f:/s/SaraniAssets/Ete30fvPW0lKo6d9Na2lVH0Bh2D62ZvlFWnGKof51TXJIw?e=d9OY4u" TargetMode="External"/><Relationship Id="rId663" Type="http://schemas.openxmlformats.org/officeDocument/2006/relationships/hyperlink" Target="https://saranistudio-my.sharepoint.com/:b:/g/personal/team_sarani_studio/EZNB23WJB5NLrXBpmOFzbQgBb32AQ76-qMLjnAy1ORiO4Q?e=mPZa85" TargetMode="External"/><Relationship Id="rId870" Type="http://schemas.openxmlformats.org/officeDocument/2006/relationships/hyperlink" Target="https://saranistudio.sharepoint.com/:f:/s/SaraniAssets/EnhMma0LEttIitqpjMEVE78BjSk9oSvM3OAR-TS3cnLxjw?e=8ETPZs" TargetMode="External"/><Relationship Id="rId1086" Type="http://schemas.openxmlformats.org/officeDocument/2006/relationships/hyperlink" Target="https://saranistudio.sharepoint.com/:f:/s/SaraniAssets/Ei2-VdcFoS1OqI6ncv2TO2IBj8__jLIsBg8ZBwli7VYMyQ?e=FIEWoS" TargetMode="External"/><Relationship Id="rId1293" Type="http://schemas.openxmlformats.org/officeDocument/2006/relationships/hyperlink" Target="https://saranistudio.sharepoint.com/:f:/s/SaraniAssets/IgBwBvogy5CuTbo2-RpIpijnAfFU-3z00DBgPkbymA_0J-8?e=6tQ4zc" TargetMode="External"/><Relationship Id="rId109" Type="http://schemas.openxmlformats.org/officeDocument/2006/relationships/hyperlink" Target="https://saranistudio-my.sharepoint.com/:b:/g/personal/team_sarani_studio/ERDCkML_0fROtlF57jNElvwBzacEfRKpUUd2uuvMSWDlzA?e=YEo90H" TargetMode="External"/><Relationship Id="rId316" Type="http://schemas.openxmlformats.org/officeDocument/2006/relationships/hyperlink" Target="https://saranistudio.sharepoint.com/:f:/s/SaraniAssets/EgRVJ7M8DotDrEnyTLJ5S80BXA2hLOZ6s3Itax5zhMPyxQ?e=zgCO0J" TargetMode="External"/><Relationship Id="rId523" Type="http://schemas.openxmlformats.org/officeDocument/2006/relationships/hyperlink" Target="https://saranistudio.sharepoint.com/:f:/s/SaraniAssets/ErfiFDAAzOtNvLJdzYYAOOoBDx-l94ZG_zRdyuC-btUpJA?e=8PL9LS" TargetMode="External"/><Relationship Id="rId968" Type="http://schemas.openxmlformats.org/officeDocument/2006/relationships/hyperlink" Target="https://saranistudio.sharepoint.com/:f:/s/SaraniAssets/Etow81zHqNlEkKND5O_guB4BJM40OQcpNZFJaCr87mYA8g?e=veQLmx" TargetMode="External"/><Relationship Id="rId1153" Type="http://schemas.openxmlformats.org/officeDocument/2006/relationships/hyperlink" Target="https://saranistudio-my.sharepoint.com/:b:/g/personal/team_sarani_studio/EdXgpx3h9mxKrVk31BdNLx0Bk8EG_tgWIVgKHndsEQOlyg?e=z5TuJl" TargetMode="External"/><Relationship Id="rId97" Type="http://schemas.openxmlformats.org/officeDocument/2006/relationships/hyperlink" Target="https://saranistudio-my.sharepoint.com/:f:/g/personal/team_sarani_studio/ElsRtseJsiNPoID54P7HWHIBAKyM_bSuNpMa2EkQFXNqHQ?e=zymZQO" TargetMode="External"/><Relationship Id="rId730" Type="http://schemas.openxmlformats.org/officeDocument/2006/relationships/hyperlink" Target="https://saranistudio.sharepoint.com/:f:/s/SaraniAssets/EvtdHhGxV0pOjHjC0s7mx00BR-31cqdQC8E0Ms5Ew9XlGQ?e=gQKSjl" TargetMode="External"/><Relationship Id="rId828" Type="http://schemas.openxmlformats.org/officeDocument/2006/relationships/hyperlink" Target="https://saranistudio-my.sharepoint.com/:b:/g/personal/team_sarani_studio/EUdI8aRKjOFAuPoR4WEinoQBBHNwE3rnr1gX5jpxHkqkyA?e=5F0iTG" TargetMode="External"/><Relationship Id="rId1013" Type="http://schemas.openxmlformats.org/officeDocument/2006/relationships/hyperlink" Target="https://saranistudio-my.sharepoint.com/:b:/g/personal/team_sarani_studio/Ee5LWpFeHRJArDbVIir5Z6wB5GnElQukFKOt7Mj6OV34og?e=wYGTtn" TargetMode="External"/><Relationship Id="rId1360" Type="http://schemas.openxmlformats.org/officeDocument/2006/relationships/hyperlink" Target="https://saranistudio.sharepoint.com/:b:/s/SaraniAssets/IQBbwfOtIzN1QIjOnmsbq3LRAdmJ6tFEkUc5QE9it5Z9vuQ?e=nXhhPH" TargetMode="External"/><Relationship Id="rId1220" Type="http://schemas.openxmlformats.org/officeDocument/2006/relationships/hyperlink" Target="https://saranistudio.sharepoint.com/:b:/s/SaraniAssets/EX9-EvtE6-1KttUwWXl38NsBT-dDemgd98_SxfXs5iO-Rg?e=JPLA8M" TargetMode="External"/><Relationship Id="rId1318" Type="http://schemas.openxmlformats.org/officeDocument/2006/relationships/hyperlink" Target="https://saranistudio.sharepoint.com/:f:/s/SaraniAssets/IgCn0-IR6VUTT5QuHFcl2u2gAZ5HtZQ9Ppg-ijpv0DNQPkM?e=yOArlu" TargetMode="External"/><Relationship Id="rId24" Type="http://schemas.openxmlformats.org/officeDocument/2006/relationships/hyperlink" Target="https://saranistudio-my.sharepoint.com/:f:/g/personal/team_sarani_studio/ErATZuFVVhFNvJLA8_C_5_kBPisr2V-sQmmcvuADdnOrlg?e=Jt6Yhl" TargetMode="External"/><Relationship Id="rId173" Type="http://schemas.openxmlformats.org/officeDocument/2006/relationships/hyperlink" Target="https://saranistudio-my.sharepoint.com/:b:/g/personal/team_sarani_studio/Ec8oiCI_A_VMqO6IpEd3GVIBX5rjzOcpzsaHAkGERCpbZg?e=QEbRh7" TargetMode="External"/><Relationship Id="rId380" Type="http://schemas.openxmlformats.org/officeDocument/2006/relationships/hyperlink" Target="https://saranistudio-my.sharepoint.com/:f:/g/personal/team_sarani_studio/EmZPb6upSoFLpsVrD7mVPrQBWIvIxUkXO5KuEznQtZpHRA?e=gonNYb" TargetMode="External"/><Relationship Id="rId240" Type="http://schemas.openxmlformats.org/officeDocument/2006/relationships/hyperlink" Target="https://saranistudio-my.sharepoint.com/:b:/g/personal/team_sarani_studio/EVjwSH6NtUhIhIaeNhju4C0B57_rhdL35DnyoiKTYSunoQ?e=i4jhgV" TargetMode="External"/><Relationship Id="rId478" Type="http://schemas.openxmlformats.org/officeDocument/2006/relationships/hyperlink" Target="https://saranistudio.sharepoint.com/:f:/s/SaraniAssets/EvuMeO0kwwZAljOqQ0epLuEBFkZmVVXbvIRZ8wXd6QI9Ew?e=qea1BK" TargetMode="External"/><Relationship Id="rId685" Type="http://schemas.openxmlformats.org/officeDocument/2006/relationships/hyperlink" Target="https://saranistudio-my.sharepoint.com/:b:/g/personal/team_sarani_studio/EZyP_fwCmeZNrowya60yX1EBkwfa31t4gdbEwpwJV_tKjQ?e=3t5QFp" TargetMode="External"/><Relationship Id="rId892" Type="http://schemas.openxmlformats.org/officeDocument/2006/relationships/hyperlink" Target="https://saranistudio.sharepoint.com/:f:/s/SaraniAssets/Eq3JeuQ1mxFDiQv1V5SCTAMBemOtITDJPz70BomVvczKBw?e=Y4q6ea" TargetMode="External"/><Relationship Id="rId100" Type="http://schemas.openxmlformats.org/officeDocument/2006/relationships/hyperlink" Target="https://saranistudio.sharepoint.com/:f:/s/SaraniAssets/EnLENnmWU4FBhXBFfLq0YnYBr8dbOibVptSN7QelSupl6g?e=a4pTg8" TargetMode="External"/><Relationship Id="rId338" Type="http://schemas.openxmlformats.org/officeDocument/2006/relationships/hyperlink" Target="https://saranistudio.sharepoint.com/:f:/s/SaraniAssets/EhnNN8cI2w9ErzD3LxSZgN4B_BMVQ28-8nXl4X_Sd4ilSQ?e=3V1Wx5" TargetMode="External"/><Relationship Id="rId545" Type="http://schemas.openxmlformats.org/officeDocument/2006/relationships/hyperlink" Target="https://saranistudio.sharepoint.com/:f:/s/SaraniAssets/Etwl93LNOF5Eht7C1BDfsa4B95GM4qwgItmGbFhb1hdFFQ?e=nj3fhJ" TargetMode="External"/><Relationship Id="rId752" Type="http://schemas.openxmlformats.org/officeDocument/2006/relationships/hyperlink" Target="https://saranistudio.sharepoint.com/:f:/s/SaraniAssets/ErPy-djVcDdKvJ3vxNsrSroBKpFA5soxkxoyGmKcOcnd0Q?e=OHFpv8" TargetMode="External"/><Relationship Id="rId1175" Type="http://schemas.openxmlformats.org/officeDocument/2006/relationships/hyperlink" Target="https://saranistudio.sharepoint.com/:b:/s/SaraniAssets/EbOPMM9T04NIpanBMj6gCPsB9kJKQJeLLVCtRc9ILOFZcw?e=IRJYTq" TargetMode="External"/><Relationship Id="rId1382" Type="http://schemas.openxmlformats.org/officeDocument/2006/relationships/hyperlink" Target="https://saranistudio.sharepoint.com/:f:/s/SaraniAssets/IgBHU-_azabxSIFkiblFI7PlAXcUG6ZpwyPrcYNO_Gk4UcA?e=AcKNX4" TargetMode="External"/><Relationship Id="rId405" Type="http://schemas.openxmlformats.org/officeDocument/2006/relationships/hyperlink" Target="https://saranistudio.sharepoint.com/:f:/s/SaraniAssets/EtfUCFAtvM1ClAWzs5V8ly4Bl5_BtcfUzG-ocfaZiYi-UA?e=mfemRc" TargetMode="External"/><Relationship Id="rId612" Type="http://schemas.openxmlformats.org/officeDocument/2006/relationships/hyperlink" Target="https://saranistudio-my.sharepoint.com/:b:/g/personal/team_sarani_studio/ESf7AlpGyshBi8q2UN7qFFQBBY8ZjhlLo1hqROdcyONh6Q?e=xwVbip" TargetMode="External"/><Relationship Id="rId1035" Type="http://schemas.openxmlformats.org/officeDocument/2006/relationships/hyperlink" Target="https://saranistudio.sharepoint.com/:f:/s/SaraniAssets/ElFdJVXxmBhNp1qh7MZa0_sBrYb7fnbO30dehacFVw2Kqg?e=IxGfK6" TargetMode="External"/><Relationship Id="rId1242" Type="http://schemas.openxmlformats.org/officeDocument/2006/relationships/hyperlink" Target="https://saranistudio.sharepoint.com/:f:/s/SaraniAssets/Ej5lA8ZH1lJGuMNnA-dJTOkB8I_btrfxnMijT9DUuhIEBg?e=hhDje1" TargetMode="External"/><Relationship Id="rId917" Type="http://schemas.openxmlformats.org/officeDocument/2006/relationships/hyperlink" Target="https://saranistudio.sharepoint.com/:f:/s/SaraniAssets/ErxQVfML0I9Kv_OZu0wvAAYBcqDN20ivt1tEACvHEwDx_Q?e=3Leih2" TargetMode="External"/><Relationship Id="rId1102" Type="http://schemas.openxmlformats.org/officeDocument/2006/relationships/hyperlink" Target="https://saranistudio.sharepoint.com/:f:/s/SaraniAssets/EjeKQhut9oRMt4bupmrwakkBvC58yU8nG2Gk9TgugJmQdg?e=dSpOEq" TargetMode="External"/><Relationship Id="rId46" Type="http://schemas.openxmlformats.org/officeDocument/2006/relationships/hyperlink" Target="https://saranistudio-my.sharepoint.com/:f:/g/personal/team_sarani_studio/EplbkOAQ_RVKlimX_vm_Yz4BYsRWiropgEjSV64xwAiFlQ?e=QjcDN1" TargetMode="External"/><Relationship Id="rId1407" Type="http://schemas.openxmlformats.org/officeDocument/2006/relationships/hyperlink" Target="https://saranistudio.sharepoint.com/:b:/s/SaraniAssets/IQCDTdfYC7SXQY5SmWhKIvu5AfoF2TEGsyxCKBBk1RG4VIk?e=kjEtuE" TargetMode="External"/><Relationship Id="rId195" Type="http://schemas.openxmlformats.org/officeDocument/2006/relationships/hyperlink" Target="https://saranistudio-my.sharepoint.com/:b:/g/personal/team_sarani_studio/ETWMNhpNsrRCrZ5CaIqNJikBsG2QXbxCGke8l7AHozCIxg?e=et0XbI" TargetMode="External"/><Relationship Id="rId262" Type="http://schemas.openxmlformats.org/officeDocument/2006/relationships/hyperlink" Target="https://saranistudio.sharepoint.com/:f:/s/SaraniAssets/EhSKdIbKiXBOp7CdN7EABowB7Fa6SqA4P1_Bfp4D41Uc2A?e=oRPYXG" TargetMode="External"/><Relationship Id="rId567" Type="http://schemas.openxmlformats.org/officeDocument/2006/relationships/hyperlink" Target="https://saranistudio.sharepoint.com/:f:/s/SaraniAssets/Eo-ef3FBOY5IhexFYiiHH6sBTe-6RyBZA1e_otPJwodP8g?e=eg9qC1" TargetMode="External"/><Relationship Id="rId1197" Type="http://schemas.openxmlformats.org/officeDocument/2006/relationships/hyperlink" Target="https://saranistudio.sharepoint.com/:f:/s/SaraniAssets/EinXtZm9PXJEmWkTYc895NIBP3mpwCo0ehe4hTLKL2__Yg?e=oZ8xkz" TargetMode="External"/><Relationship Id="rId122" Type="http://schemas.openxmlformats.org/officeDocument/2006/relationships/hyperlink" Target="https://saranistudio-my.sharepoint.com/:b:/g/personal/team_sarani_studio/EaAm0jo7YspMmLcsxcmfHPIBBXT0ddMFG9EJoUECtwNNQg?e=CnUbUH" TargetMode="External"/><Relationship Id="rId774" Type="http://schemas.openxmlformats.org/officeDocument/2006/relationships/hyperlink" Target="https://saranistudio-my.sharepoint.com/:b:/g/personal/team_sarani_studio/ERiFs14jF29OnKaUycj4wswBd5oPnhazGdVjpG_Fl2gPbA?e=tEZuCo" TargetMode="External"/><Relationship Id="rId981" Type="http://schemas.openxmlformats.org/officeDocument/2006/relationships/hyperlink" Target="https://saranistudio.sharepoint.com/:f:/s/SaraniAssets/EsfG-I7xT39KnAmX-ugEAc8B61_SW3of1jRjIEXaNoyMFQ?e=zdEjzC" TargetMode="External"/><Relationship Id="rId1057" Type="http://schemas.openxmlformats.org/officeDocument/2006/relationships/hyperlink" Target="https://saranistudio-my.sharepoint.com/:b:/g/personal/team_sarani_studio/EaBmfe2Hv6xKm-rq4t9j9XkBHyPxojYwCVGr0ZmkRIwDQQ?e=DNs4h0" TargetMode="External"/><Relationship Id="rId427" Type="http://schemas.openxmlformats.org/officeDocument/2006/relationships/hyperlink" Target="https://saranistudio.sharepoint.com/:f:/s/SaraniAssets/EpsNyvJ0-BpHqZgKY9OcGWUBVl17ZHoLs9KuFQ-VyT8yFA?e=ydkCEr" TargetMode="External"/><Relationship Id="rId634" Type="http://schemas.openxmlformats.org/officeDocument/2006/relationships/hyperlink" Target="https://saranistudio.sharepoint.com/:f:/r/sites/SaraniAssets/Shared%20Documents/03.%20Customers/02.%20Sony/03.%20Sony%20France/02.%20TV-HAV%20(TV,%20Soundbar)/20240806_MARCOM%20HE%20Screenfills%20W800?csf=1&amp;web=1&amp;e=Q5JXZE" TargetMode="External"/><Relationship Id="rId841" Type="http://schemas.openxmlformats.org/officeDocument/2006/relationships/hyperlink" Target="https://saranistudio-my.sharepoint.com/:b:/g/personal/team_sarani_studio/EUpwczu24StIpSW6vz6KztsBo5YFH5CEMHgqqwfMR20DJg?e=jfIkZd" TargetMode="External"/><Relationship Id="rId1264" Type="http://schemas.openxmlformats.org/officeDocument/2006/relationships/hyperlink" Target="https://saranistudio.sharepoint.com/:b:/s/SaraniAssets/EYoMj8bMgi5IvLv5CS97zuIByK1GP6Af3yDeIlIGw3jy6Q?e=PDTFkx" TargetMode="External"/><Relationship Id="rId701" Type="http://schemas.openxmlformats.org/officeDocument/2006/relationships/hyperlink" Target="https://saranistudio.sharepoint.com/:f:/s/SaraniAssets/EneL2I3md4hGtukgFjHmKv4BKNkBnXLIqecbEvtQ_59SPg?e=4WqVd5" TargetMode="External"/><Relationship Id="rId939" Type="http://schemas.openxmlformats.org/officeDocument/2006/relationships/hyperlink" Target="https://saranistudio.sharepoint.com/:f:/s/SaraniAssets/Ek4VT2EXaY1Bs_j7EzIzUFEBCoqgDQ1uXmvXsUGq56SP0Q?e=buCNpB" TargetMode="External"/><Relationship Id="rId1124" Type="http://schemas.openxmlformats.org/officeDocument/2006/relationships/hyperlink" Target="https://saranistudio.sharepoint.com/:b:/s/SaraniAssets/EU-TUOQ-I2pEm4Yvj9mBM1gBmeXtnj9b3WfY0kWVethMXQ?e=taRXNj" TargetMode="External"/><Relationship Id="rId1331" Type="http://schemas.openxmlformats.org/officeDocument/2006/relationships/hyperlink" Target="https://saranistudio.sharepoint.com/:f:/s/SaraniAssets/EvFr7EN0cHNBtB-NvhVUyOgBosaCf7FyF_WVNQtA4N02RQ?e=2d2VtO" TargetMode="External"/><Relationship Id="rId68" Type="http://schemas.openxmlformats.org/officeDocument/2006/relationships/hyperlink" Target="https://saranistudio-my.sharepoint.com/:f:/g/personal/team_sarani_studio/Espt-U8X33FIn_OoCNAzUcYBPpS87vnP4camNLiVvGkeQA?e=kUXhS1" TargetMode="External"/><Relationship Id="rId284" Type="http://schemas.openxmlformats.org/officeDocument/2006/relationships/hyperlink" Target="https://saranistudio.sharepoint.com/:f:/s/SaraniAssets/EtTQvQUqDLZDuW4X1KXxts0Bxa5o4QhOKyfwZOQHfiOT4w?e=l5SlaL" TargetMode="External"/><Relationship Id="rId491" Type="http://schemas.openxmlformats.org/officeDocument/2006/relationships/hyperlink" Target="https://saranistudio.sharepoint.com/:f:/s/SaraniAssets/Eq2nV7zd6vZBuEg8VhhXqzgBySu0gm3uDaMz9IECfvBceQ?e=5pjsxI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ranistudio.sharepoint.com/:f:/s/SaraniAssets/EoRokXSMQKVJgdiDHP0KNykBU71DRKooWvC-hba58vyctA?e=nT4wV8" TargetMode="External"/><Relationship Id="rId21" Type="http://schemas.openxmlformats.org/officeDocument/2006/relationships/hyperlink" Target="https://saranistudio-my.sharepoint.com/:f:/g/personal/team_sarani_studio/EkwQM-b_8dtHtseZW9ppFrMBklYsWqBiIwEqnr76Y1PYRw?e=TJKKSp" TargetMode="External"/><Relationship Id="rId42" Type="http://schemas.openxmlformats.org/officeDocument/2006/relationships/hyperlink" Target="https://saranistudio-my.sharepoint.com/:f:/g/personal/team_sarani_studio/EjU4BmlIbC5OhBZBhRo32BABHt3iXneGGwnCM3-0P36jxA?e=AnUaTW" TargetMode="External"/><Relationship Id="rId63" Type="http://schemas.openxmlformats.org/officeDocument/2006/relationships/hyperlink" Target="https://saranistudio.sharepoint.com/:f:/s/SaraniAssets/ElbSuuzFBHxClBC66ustiQwBqpy-dftnUKcJtk3eMtmsVg?e=3MOcIK" TargetMode="External"/><Relationship Id="rId84" Type="http://schemas.openxmlformats.org/officeDocument/2006/relationships/hyperlink" Target="https://saranistudio-my.sharepoint.com/:b:/g/personal/team_sarani_studio/EQRLXMKvgLtCjJMfj4ceemcBhNaFpHeqpb0axEpgfUiCgA?e=8QN2io" TargetMode="External"/><Relationship Id="rId138" Type="http://schemas.openxmlformats.org/officeDocument/2006/relationships/hyperlink" Target="https://saranistudio-my.sharepoint.com/:b:/g/personal/team_sarani_studio/EUakCwSaGDBCkQWR6uGwdjMB3EXi_q1S-sfpmDQBry_1gw?e=YgBdfA" TargetMode="External"/><Relationship Id="rId107" Type="http://schemas.openxmlformats.org/officeDocument/2006/relationships/hyperlink" Target="https://saranistudio.sharepoint.com/:f:/s/SaraniAssets/EirvLHWoHFNNreBCYX2HOz8BXqzGzM2U0l29ZCiZ0ttjxQ?e=Qq4Lgu" TargetMode="External"/><Relationship Id="rId11" Type="http://schemas.openxmlformats.org/officeDocument/2006/relationships/hyperlink" Target="https://saranistudio-my.sharepoint.com/:f:/r/personal/team_sarani_studio/Documents/01.%20Sarani/03.%20Projects/02.%20Sony/02.%20Sony%20Europe/01.%20TV/20230112_FY23%20Line%20Up%20BRAVIA%20Launch/Web%20Pops?csf=1&amp;web=1&amp;e=c67TrU" TargetMode="External"/><Relationship Id="rId32" Type="http://schemas.openxmlformats.org/officeDocument/2006/relationships/hyperlink" Target="https://saranistudio-my.sharepoint.com/:f:/g/personal/team_sarani_studio/EvO2BCgAXpVMgmZtZBI50ccBQnOeqtaeE7qQ8COcMky7Sw?e=MAP32E" TargetMode="External"/><Relationship Id="rId53" Type="http://schemas.openxmlformats.org/officeDocument/2006/relationships/hyperlink" Target="https://saranistudio.sharepoint.com/:f:/s/SaraniAssets/EvZ0sifpJjFFsXPy1p6TSNoBuKzQAJda3z-5YwGuoFXRmw?e=0dmIBy" TargetMode="External"/><Relationship Id="rId74" Type="http://schemas.openxmlformats.org/officeDocument/2006/relationships/hyperlink" Target="https://saranistudio.sharepoint.com/:f:/s/SaraniAssets/EpGgPgx4QzBDiemIovSamRAB6e7GL_XWxz2SFH07vzEH4Q?e=GQNThK" TargetMode="External"/><Relationship Id="rId128" Type="http://schemas.openxmlformats.org/officeDocument/2006/relationships/hyperlink" Target="https://saranistudio.sharepoint.com/:f:/s/SaraniAssets/EvLUBxoou9pAp2tE_9jLb7ABBTVK99fi62he8yLJU3_xKg?e=cC4X6q" TargetMode="External"/><Relationship Id="rId149" Type="http://schemas.openxmlformats.org/officeDocument/2006/relationships/hyperlink" Target="https://saranistudio.sharepoint.com/:f:/s/SaraniAssets/Euc2j0XjTgBNqgCtHDrq79YBcSJ135WaSbL6CyUsZgh5zw?e=q0SRjk" TargetMode="External"/><Relationship Id="rId5" Type="http://schemas.openxmlformats.org/officeDocument/2006/relationships/hyperlink" Target="https://saranistudio-my.sharepoint.com/:f:/g/personal/team_sarani_studio/Et_zmQmRDD5Mip8gvvRqPYUBU5J8xoiVNG0zIgFYjT6YPA?e=Znai5h" TargetMode="External"/><Relationship Id="rId95" Type="http://schemas.openxmlformats.org/officeDocument/2006/relationships/hyperlink" Target="https://saranistudio.sharepoint.com/:f:/s/SaraniAssets/EhdUQ0Cw5UhMv5lBEKlm4-QBIh3Z1aERQj_S6r4twhl5Ew?e=Sn8C9H" TargetMode="External"/><Relationship Id="rId22" Type="http://schemas.openxmlformats.org/officeDocument/2006/relationships/hyperlink" Target="https://saranistudio-my.sharepoint.com/:f:/g/personal/team_sarani_studio/Em2rgpHW15tKtfCN6c3cD_kB0YL0SrAANj9cI286O1iU3w?e=MW6kmK" TargetMode="External"/><Relationship Id="rId27" Type="http://schemas.openxmlformats.org/officeDocument/2006/relationships/hyperlink" Target="https://saranistudio-my.sharepoint.com/:f:/g/personal/team_sarani_studio/EkH2YE7VPSJDrsha8rYfnQ4Bd_FH11fMhX9_PwedLZZwUA?e=QVOLeC" TargetMode="External"/><Relationship Id="rId43" Type="http://schemas.openxmlformats.org/officeDocument/2006/relationships/hyperlink" Target="https://saranistudio.sharepoint.com/:f:/r/sites/SaraniAssets/Shared%20Documents/03.%20Customers/02.%20Sony/02.%20Sony%20Europe/03.%20DI/20230710_%5BDI%5D%20Winter%20Cashback?csf=1&amp;web=1&amp;e=CdB9Em" TargetMode="External"/><Relationship Id="rId48" Type="http://schemas.openxmlformats.org/officeDocument/2006/relationships/hyperlink" Target="https://saranistudio.sharepoint.com/:f:/s/SaraniAssets/Ej_wJaal69lIixwp_H-7l0EBGC86G3vbGNSEPcULt69p3A?e=htBiAW" TargetMode="External"/><Relationship Id="rId64" Type="http://schemas.openxmlformats.org/officeDocument/2006/relationships/hyperlink" Target="https://saranistudio.sharepoint.com/:f:/s/SaraniAssets/ErkPup2jHu5Mog3XC2XAIcsB3LRz5r2t9U5jjRtUv8C-4g?e=NFgA6O" TargetMode="External"/><Relationship Id="rId69" Type="http://schemas.openxmlformats.org/officeDocument/2006/relationships/hyperlink" Target="https://saranistudio.sharepoint.com/:f:/s/SaraniAssets/ErQgpIhUUdZMiLZLX7ySmvsBGqPfgNa9sMQmXMDkx6v7Wg?e=mYZy9F" TargetMode="External"/><Relationship Id="rId113" Type="http://schemas.openxmlformats.org/officeDocument/2006/relationships/hyperlink" Target="https://saranistudio-my.sharepoint.com/:b:/g/personal/team_sarani_studio/Ee7Hbj-508lNl-zqjrBBiXYBxq7rQdf8TZyr6kyn7mu2WA?e=25sQ9S" TargetMode="External"/><Relationship Id="rId118" Type="http://schemas.openxmlformats.org/officeDocument/2006/relationships/hyperlink" Target="https://saranistudio.sharepoint.com/:f:/s/SaraniAssets/EoKlREufcmpOuZ0fXrdYWoQBvOBVUoZEHKUGJY8UNmd7vw?e=Jiaofw" TargetMode="External"/><Relationship Id="rId134" Type="http://schemas.openxmlformats.org/officeDocument/2006/relationships/hyperlink" Target="https://saranistudio.sharepoint.com/:f:/s/SaraniAssets/Eo9A6wIVblxLubmVrjy4mvIBCBJBsgN7r6cxvBRDdfR04A?e=dnzvLY" TargetMode="External"/><Relationship Id="rId139" Type="http://schemas.openxmlformats.org/officeDocument/2006/relationships/hyperlink" Target="https://saranistudio-my.sharepoint.com/:b:/g/personal/team_sarani_studio/EY0kt3r2hP1Hk8m2Dn1PmlQBRw4cl933J_7cO2rTD9VGOQ?e=RKe9k3" TargetMode="External"/><Relationship Id="rId80" Type="http://schemas.openxmlformats.org/officeDocument/2006/relationships/hyperlink" Target="https://saranistudio.sharepoint.com/:f:/s/SaraniAssets/Eo4WDaJwpyVIkNe_seLiXOkBbuKudTxn77GRfWhINFkwOQ?e=c5dQrs" TargetMode="External"/><Relationship Id="rId85" Type="http://schemas.openxmlformats.org/officeDocument/2006/relationships/hyperlink" Target="https://saranistudio-my.sharepoint.com/:b:/g/personal/team_sarani_studio/ETfNj2ebsPdOkWzxajz_hS8BePD4q1Rnzmwchhq4tAIJpw?e=31AhYr" TargetMode="External"/><Relationship Id="rId150" Type="http://schemas.openxmlformats.org/officeDocument/2006/relationships/hyperlink" Target="https://saranistudio.sharepoint.com/:f:/s/SaraniAssets/EowFebEwpGxFhNu2f61P_GkBXTAiBKWFwuvnWEtbHmfkzQ?e=ukN0Rv" TargetMode="External"/><Relationship Id="rId12" Type="http://schemas.openxmlformats.org/officeDocument/2006/relationships/hyperlink" Target="https://saranistudio-my.sharepoint.com/:f:/g/personal/team_sarani_studio/Ei6dQBD3rv9Psu3oNPzb8OIB_K5XI-Z25r3dIbN-XWJS6A?e=kRftQe" TargetMode="External"/><Relationship Id="rId17" Type="http://schemas.openxmlformats.org/officeDocument/2006/relationships/hyperlink" Target="https://saranistudio-my.sharepoint.com/:f:/g/personal/team_sarani_studio/ErsCQZ8a5AtDpYFtQOEnusIBJBqi_J1uzX887oxzw1Q-SQ?e=1SdyoX" TargetMode="External"/><Relationship Id="rId33" Type="http://schemas.openxmlformats.org/officeDocument/2006/relationships/hyperlink" Target="https://saranistudio-my.sharepoint.com/:f:/g/personal/team_sarani_studio/Esx4_akWNAtKvFcu9fSJ21ABskzRbN_3NHHLO_p6gy4dPg?e=xlwsPq" TargetMode="External"/><Relationship Id="rId38" Type="http://schemas.openxmlformats.org/officeDocument/2006/relationships/hyperlink" Target="https://saranistudio-my.sharepoint.com/:f:/g/personal/team_sarani_studio/EuyUvGyTcBZJlP6sDAkZp6EB377xBnlpIjXo4JXqH6ZD4w?e=IjxQYX" TargetMode="External"/><Relationship Id="rId59" Type="http://schemas.openxmlformats.org/officeDocument/2006/relationships/hyperlink" Target="https://saranistudio.sharepoint.com/:f:/s/SaraniAssets/Enjob-33BYVHnLN5wiOTFd8BMS94GFkEVswKbacvRkR-1w?e=vNngXV" TargetMode="External"/><Relationship Id="rId103" Type="http://schemas.openxmlformats.org/officeDocument/2006/relationships/hyperlink" Target="https://saranistudio-my.sharepoint.com/:w:/g/personal/team_sarani_studio/ESrff40XWBVLvyjE6hVmoRwBWyO86NRtCfD7em5_hjMyJg?e=mgmSRn" TargetMode="External"/><Relationship Id="rId108" Type="http://schemas.openxmlformats.org/officeDocument/2006/relationships/hyperlink" Target="https://saranistudio.sharepoint.com/:f:/s/SaraniAssets/El_qbxRXkWRKsWcI-77GKeoBBCPL2PtxJS_pUq0f8A4F8g?e=bPvJs9" TargetMode="External"/><Relationship Id="rId124" Type="http://schemas.openxmlformats.org/officeDocument/2006/relationships/hyperlink" Target="https://saranistudio.sharepoint.com/:f:/s/SaraniAssets/EsgXaSZ3nMlEgp5-e9p9K5kBbE00aAksz125JOMcPgmMKA?e=U4ZQmn" TargetMode="External"/><Relationship Id="rId129" Type="http://schemas.openxmlformats.org/officeDocument/2006/relationships/hyperlink" Target="https://saranistudio.sharepoint.com/:f:/s/SaraniAssets/EvQmFOscm1RAq_PnYUxvycsBcBbYHDMbjg3X-KYObzIHwA?e=RCGdB2" TargetMode="External"/><Relationship Id="rId54" Type="http://schemas.openxmlformats.org/officeDocument/2006/relationships/hyperlink" Target="https://saranistudio.sharepoint.com/:f:/s/SaraniAssets/Eh5AUHrlFNhOhTc-a1dpEIUBQHeRD290snPNQUZofpSuOQ?e=1psksI" TargetMode="External"/><Relationship Id="rId70" Type="http://schemas.openxmlformats.org/officeDocument/2006/relationships/hyperlink" Target="https://saranistudio.sharepoint.com/:f:/s/SaraniAssets/Eok5C3JUDjZFuFJSFr_c7YkBBBThrDnAkPvszCfGr7Nofw?e=DqbHhr" TargetMode="External"/><Relationship Id="rId75" Type="http://schemas.openxmlformats.org/officeDocument/2006/relationships/hyperlink" Target="https://saranistudio.sharepoint.com/:f:/s/SaraniAssets/EoWMV5sy36FDm8k5lkTRu00BY5XpcHTfvoYlN7b5PTB0wA?e=3f9pvu" TargetMode="External"/><Relationship Id="rId91" Type="http://schemas.openxmlformats.org/officeDocument/2006/relationships/hyperlink" Target="https://saranistudio.sharepoint.com/:f:/s/SaraniAssets/EvVtj2ygUblLg5UXK0j5FYUBCoxfsLqTbi5DrylQPbBqQQ?e=rgJfTR" TargetMode="External"/><Relationship Id="rId96" Type="http://schemas.openxmlformats.org/officeDocument/2006/relationships/hyperlink" Target="https://saranistudio.sharepoint.com/:f:/s/SaraniAssets/Eo4WDaJwpyVIkNe_seLiXOkBbuKudTxn77GRfWhINFkwOQ?e=KC1Alm" TargetMode="External"/><Relationship Id="rId140" Type="http://schemas.openxmlformats.org/officeDocument/2006/relationships/hyperlink" Target="https://saranistudio-my.sharepoint.com/:f:/g/personal/team_sarani_studio/EjtzOE4rrcVAhRjQijOMNf0Bf5P7Nlr_QJ64qrf5mHy8pQ?e=uRXJPa" TargetMode="External"/><Relationship Id="rId145" Type="http://schemas.openxmlformats.org/officeDocument/2006/relationships/hyperlink" Target="https://saranistudio.sharepoint.com/:f:/s/SaraniAssets/ErwbXuBI-ctJs2LgKD66f8IBHbZgoCZGbHZkW4R-IUFgww?e=bNj0US" TargetMode="External"/><Relationship Id="rId1" Type="http://schemas.openxmlformats.org/officeDocument/2006/relationships/hyperlink" Target="https://saranistudio-my.sharepoint.com/:f:/g/personal/team_sarani_studio/EpIUlVrGwKtEgB_-pJpLfyUBv6zGmk4qzrL8oHdNBNlnIg?e=prZMm0" TargetMode="External"/><Relationship Id="rId6" Type="http://schemas.openxmlformats.org/officeDocument/2006/relationships/hyperlink" Target="https://saranistudio-my.sharepoint.com/:f:/g/personal/team_sarani_studio/EnEFhRsNebFNrAJLeoU5qCIBzaTiSa6qPlkrzORUXVbx2A?e=4xRKJw" TargetMode="External"/><Relationship Id="rId23" Type="http://schemas.openxmlformats.org/officeDocument/2006/relationships/hyperlink" Target="https://saranistudio-my.sharepoint.com/:f:/g/personal/team_sarani_studio/EsFcBnr48EhAkUEZy6ctVQABclmxat2_HAsBFGDIi5YqZw?e=A9XmYM" TargetMode="External"/><Relationship Id="rId28" Type="http://schemas.openxmlformats.org/officeDocument/2006/relationships/hyperlink" Target="https://saranistudio-my.sharepoint.com/:f:/g/personal/team_sarani_studio/ErS3jJWRFzJFp7dAGYySnX8BwlMmi6WV06OigXL2DCL0pA?e=8oSgCV" TargetMode="External"/><Relationship Id="rId49" Type="http://schemas.openxmlformats.org/officeDocument/2006/relationships/hyperlink" Target="https://saranistudio.sharepoint.com/:f:/s/SaraniAssets/ElU_FomH6CdNr08N-aEfn1cBLbSxQlPbWuWhrGOq1_QKvA?e=fETWBd" TargetMode="External"/><Relationship Id="rId114" Type="http://schemas.openxmlformats.org/officeDocument/2006/relationships/hyperlink" Target="https://saranistudio.sharepoint.com/:f:/s/SaraniAssets/Eubt39PoA3FMmIszQYPrPq8BqGamy08xoGtK5yITSZWT-A?e=TVbjC7" TargetMode="External"/><Relationship Id="rId119" Type="http://schemas.openxmlformats.org/officeDocument/2006/relationships/hyperlink" Target="https://saranistudio.sharepoint.com/:f:/s/SaraniAssets/EnbTrESYZ_xPmFUe4keV7SkBeW2mQyVzDZnu_-NehuhH8g?e=9xa4c4" TargetMode="External"/><Relationship Id="rId44" Type="http://schemas.openxmlformats.org/officeDocument/2006/relationships/hyperlink" Target="https://sonyeur-my.sharepoint.com/:f:/r/personal/emanuelle_fernandes_sony_com/Documents/01.%20Pan%20EU%20Customer%20Marketing/02.%20TV/01.%20Projects/2023.07%20-%20TV%20drawing%20campaign/03.%20Proposals/Batch%2001?csf=1&amp;web=1&amp;e=EEne9S" TargetMode="External"/><Relationship Id="rId60" Type="http://schemas.openxmlformats.org/officeDocument/2006/relationships/hyperlink" Target="https://saranistudio.sharepoint.com/:f:/r/sites/SaraniAssets/Shared%20Documents/03.%20Customers/02.%20Sony/02.%20Sony%20Europe/03.%20DI/20230818_CX89700%20-%20CX89800%20BTL%20Toolkit?csf=1&amp;web=1&amp;e=Z5PrRI" TargetMode="External"/><Relationship Id="rId65" Type="http://schemas.openxmlformats.org/officeDocument/2006/relationships/hyperlink" Target="https://saranistudio.sharepoint.com/:f:/s/SaraniAssets/EpexburqmYZAnlwASB3psE8BpdrmXsuQ6iMNsDwGPbZAQA?e=nbQccC" TargetMode="External"/><Relationship Id="rId81" Type="http://schemas.openxmlformats.org/officeDocument/2006/relationships/hyperlink" Target="https://saranistudio-my.sharepoint.com/:b:/g/personal/team_sarani_studio/EbnJ4ZvLOGpOvwYken1Rqf8BJxOXWcGGACax-Vy6csb8mQ?e=RvmAgm" TargetMode="External"/><Relationship Id="rId86" Type="http://schemas.openxmlformats.org/officeDocument/2006/relationships/hyperlink" Target="https://saranistudio.sharepoint.com/:f:/s/SaraniAssets/EqupQjOgfo1MncW91pQPY64BhlsVhcqbATJo5rSsDQnYQQ?e=Blj9CM" TargetMode="External"/><Relationship Id="rId130" Type="http://schemas.openxmlformats.org/officeDocument/2006/relationships/hyperlink" Target="https://saranistudio.sharepoint.com/:f:/s/SaraniAssets/EnvIKkj07iZIo94o8C9NMy0BxLwNA_Km-54VVoMyyZI8tg?e=8EEDIt" TargetMode="External"/><Relationship Id="rId135" Type="http://schemas.openxmlformats.org/officeDocument/2006/relationships/hyperlink" Target="https://saranistudio-my.sharepoint.com/:b:/g/personal/team_sarani_studio/EcNmxy6wyn5MnQodEIXhfFQBOAymQ91qFs4Le5HwgUqKlg?e=Ydmvfb" TargetMode="External"/><Relationship Id="rId151" Type="http://schemas.microsoft.com/office/2019/04/relationships/namedSheetView" Target="../namedSheetViews/namedSheetView2.xml"/><Relationship Id="rId13" Type="http://schemas.openxmlformats.org/officeDocument/2006/relationships/hyperlink" Target="https://saranistudio-my.sharepoint.com/:f:/g/personal/team_sarani_studio/EuhIYoQKHe1HqkCcmACOgscBm07kxgaph0H7xUE5PdHrDA?e=8CUgkH" TargetMode="External"/><Relationship Id="rId18" Type="http://schemas.openxmlformats.org/officeDocument/2006/relationships/hyperlink" Target="https://saranistudio-my.sharepoint.com/:f:/g/personal/team_sarani_studio/Ep453QkbotVCtM1IN_7jEuABn4XxcrRe1_ZiMtE0ZQEC5g?e=JURzGf" TargetMode="External"/><Relationship Id="rId39" Type="http://schemas.openxmlformats.org/officeDocument/2006/relationships/hyperlink" Target="https://saranistudio-my.sharepoint.com/:f:/g/personal/team_sarani_studio/Ei4YicOIcOBIkYDIA57sF94Bn4tshtsX2xfOz2m0CQCx-w?e=K4Rltj" TargetMode="External"/><Relationship Id="rId109" Type="http://schemas.openxmlformats.org/officeDocument/2006/relationships/hyperlink" Target="https://saranistudio-my.sharepoint.com/:b:/g/personal/team_sarani_studio/Ea2ZbIkAT8ZFlDZYilkbgQQBlALE1d3il9Oed3jYdcYyUg?e=nIjTl6" TargetMode="External"/><Relationship Id="rId34" Type="http://schemas.openxmlformats.org/officeDocument/2006/relationships/hyperlink" Target="https://saranistudio-my.sharepoint.com/:f:/g/personal/team_sarani_studio/Emch4-emWHxDkRnx97aeTXMB0SEAENKz6TT43bWQVLZs8w?e=WWru2G" TargetMode="External"/><Relationship Id="rId50" Type="http://schemas.openxmlformats.org/officeDocument/2006/relationships/hyperlink" Target="https://saranistudio.sharepoint.com/:f:/r/sites/SaraniAssets/Shared%20Documents/03.%20Customers/02.%20Sony/02.%20Sony%20Europe/01.%20TV/20230817_Promoter%20Notepad?csf=1&amp;web=1&amp;e=nWaO6u" TargetMode="External"/><Relationship Id="rId55" Type="http://schemas.openxmlformats.org/officeDocument/2006/relationships/hyperlink" Target="https://saranistudio.sharepoint.com/:f:/s/SaraniAssets/Ev-H9sdeJXhDmR0hGeHFkLEBiX7hjKLFXJBMDA-9NGATNQ?e=uSJRfH" TargetMode="External"/><Relationship Id="rId76" Type="http://schemas.openxmlformats.org/officeDocument/2006/relationships/hyperlink" Target="https://saranistudio.sharepoint.com/:f:/s/SaraniAssets/Eu8JiVoEAq9Hp81GrBfWh3sBqhdcNDYzSHkX_yJNdAvRFA?e=KrRRy4" TargetMode="External"/><Relationship Id="rId97" Type="http://schemas.openxmlformats.org/officeDocument/2006/relationships/hyperlink" Target="https://saranistudio.sharepoint.com/:f:/s/SaraniAssets/EhbQP5-nE-ZCjeWrmAC8_RkBqPvAbHL1WLlc0ejFViux_A?e=vQHq2s" TargetMode="External"/><Relationship Id="rId104" Type="http://schemas.openxmlformats.org/officeDocument/2006/relationships/hyperlink" Target="https://saranistudio.sharepoint.com/:f:/s/SaraniAssets/Ej0woRs4byZFrhHNJJCCehQBDX1cwAjyCDNnULcPO3z2WA?e=yhdDWi" TargetMode="External"/><Relationship Id="rId120" Type="http://schemas.openxmlformats.org/officeDocument/2006/relationships/hyperlink" Target="https://saranistudio.sharepoint.com/:f:/s/SaraniAssets/EhgK_seiA_tCsp0Gc_Smm-wBmhwbJgoyuINq25vLZ9gubQ?e=TqGY4V" TargetMode="External"/><Relationship Id="rId125" Type="http://schemas.openxmlformats.org/officeDocument/2006/relationships/hyperlink" Target="https://saranistudio.sharepoint.com/:f:/s/SaraniAssets/EnUObeTjRI5OiA6V8dNaAn0B6VttLZUapsY48cfOqgBsxA?e=uDAqgg" TargetMode="External"/><Relationship Id="rId141" Type="http://schemas.openxmlformats.org/officeDocument/2006/relationships/hyperlink" Target="https://saranistudio.sharepoint.com/:f:/s/SaraniAssets/Ejnr05ye9vtIi4NlGKuXXUYBlFe9I63AK4c4ybkN1ibZzg?e=hlTe6J" TargetMode="External"/><Relationship Id="rId146" Type="http://schemas.openxmlformats.org/officeDocument/2006/relationships/hyperlink" Target="https://saranistudio-my.sharepoint.com/:b:/g/personal/team_sarani_studio/EWRuOysoY6hJhU08EQ1kUGcBjvklv8YKSKNh3YjwipK2Vg?e=PSTx4g" TargetMode="External"/><Relationship Id="rId7" Type="http://schemas.openxmlformats.org/officeDocument/2006/relationships/hyperlink" Target="https://saranistudio-my.sharepoint.com/:f:/g/personal/team_sarani_studio/EqlgNOxVMgJLtfhAwHf7jIIBoSscowRbUqVyOFH0n7QVNg?e=c2g938" TargetMode="External"/><Relationship Id="rId71" Type="http://schemas.openxmlformats.org/officeDocument/2006/relationships/hyperlink" Target="https://saranistudio.sharepoint.com/:f:/s/SaraniAssets/EoWMV5sy36FDm8k5lkTRu00BY5XpcHTfvoYlN7b5PTB0wA?e=3f9pvu" TargetMode="External"/><Relationship Id="rId92" Type="http://schemas.openxmlformats.org/officeDocument/2006/relationships/hyperlink" Target="https://saranistudio.sharepoint.com/:f:/s/SaraniAssets/Epz0xp4DDTVOkagGmjNF3FEBaMpa0B5qYB3SCjq-0Z_rSA?e=FVKGBW" TargetMode="External"/><Relationship Id="rId2" Type="http://schemas.openxmlformats.org/officeDocument/2006/relationships/hyperlink" Target="https://saranistudio-my.sharepoint.com/:f:/g/personal/team_sarani_studio/EkhQlIgE4RJEjLxavWjMot8Bms0Db7iLZb5aNZDc3Umupg?e=3Rs6jb" TargetMode="External"/><Relationship Id="rId29" Type="http://schemas.openxmlformats.org/officeDocument/2006/relationships/hyperlink" Target="https://saranistudio-my.sharepoint.com/:f:/g/personal/team_sarani_studio/Etxhg1G3VCxHixc4aqZInYMBQ0qH28f0wgB-apN8i-QhvA?e=j37oCv" TargetMode="External"/><Relationship Id="rId24" Type="http://schemas.openxmlformats.org/officeDocument/2006/relationships/hyperlink" Target="https://saranistudio-my.sharepoint.com/:f:/g/personal/team_sarani_studio/EuQs-W2Wf_1OjPUVAg14CD4BMIkk7s2wB5cg1uEkdtVp1Q?e=ZKzBVv" TargetMode="External"/><Relationship Id="rId40" Type="http://schemas.openxmlformats.org/officeDocument/2006/relationships/hyperlink" Target="https://saranistudio.sharepoint.com/:f:/s/SaraniAssets/Ej8vzAudL7hJtPiNTIw9T3IBPd4EhVKrIh_qJweukTswPg?e=nGbD2p" TargetMode="External"/><Relationship Id="rId45" Type="http://schemas.openxmlformats.org/officeDocument/2006/relationships/hyperlink" Target="https://saranistudio.sharepoint.com/:f:/s/SaraniAssets/EvUHXVzNVphJgALRztd9TwkBTzr3JBNZMOwz-_lRDZBaYA?e=b3LqYU" TargetMode="External"/><Relationship Id="rId66" Type="http://schemas.openxmlformats.org/officeDocument/2006/relationships/hyperlink" Target="https://saranistudio.sharepoint.com/:f:/s/SaraniAssets/EqN9KtYEkUNHito15JeqGqgBhaBNX9o8xI5jrJ4Z7nyrAw?e=U3fPdK" TargetMode="External"/><Relationship Id="rId87" Type="http://schemas.openxmlformats.org/officeDocument/2006/relationships/hyperlink" Target="https://saranistudio.sharepoint.com/:f:/s/SaraniAssets/EqJrRiBiAQpOjBPwFBJ3btcBDvpzKy2Nrc19ckmfd8x--A?e=WQHTJA" TargetMode="External"/><Relationship Id="rId110" Type="http://schemas.openxmlformats.org/officeDocument/2006/relationships/hyperlink" Target="https://saranistudio-my.sharepoint.com/:b:/g/personal/team_sarani_studio/EVXlu184_RVNoiOqtsZyNp4BVlqsjY75PxD0io1vJ2JsrQ?e=a7PYo2" TargetMode="External"/><Relationship Id="rId115" Type="http://schemas.openxmlformats.org/officeDocument/2006/relationships/hyperlink" Target="https://saranistudio-my.sharepoint.com/:b:/g/personal/team_sarani_studio/ERKc5QV3irBPrWyf6gQlPH4BitYxDNtcfFbGNANR8nPptg?e=L6nRAr" TargetMode="External"/><Relationship Id="rId131" Type="http://schemas.openxmlformats.org/officeDocument/2006/relationships/hyperlink" Target="https://saranistudio.sharepoint.com/:f:/s/SaraniAssets/EkBZt9dzSUFAnIJa0aJgH08BJ190ZoBtCu3kaC7tZJyvtg?e=xlivIi" TargetMode="External"/><Relationship Id="rId136" Type="http://schemas.openxmlformats.org/officeDocument/2006/relationships/hyperlink" Target="https://saranistudio.sharepoint.com/:f:/s/SaraniAssets/EjpB_55WXaxEvkii0KkLEKMBYdbxr1h37PzR3BYA1T2VsA?e=2Sa0eM" TargetMode="External"/><Relationship Id="rId61" Type="http://schemas.openxmlformats.org/officeDocument/2006/relationships/hyperlink" Target="https://saranistudio.sharepoint.com/:f:/s/SaraniAssets/EiX8HagnoPxAgqzx_pONRFMBxl7J6XXIajWILhog-vO4fA?e=ISUERp" TargetMode="External"/><Relationship Id="rId82" Type="http://schemas.openxmlformats.org/officeDocument/2006/relationships/hyperlink" Target="https://saranistudio-my.sharepoint.com/:b:/g/personal/team_sarani_studio/EVPIyDRdoMVAi58OoB19c-0BEdd_FxpCkC5m4wYuwnLLbw?e=OaV5o9" TargetMode="External"/><Relationship Id="rId19" Type="http://schemas.openxmlformats.org/officeDocument/2006/relationships/hyperlink" Target="https://saranistudio-my.sharepoint.com/:f:/g/personal/team_sarani_studio/EuOiK6B4ig9OjxtfefIiMyQBEMk9ZOUBvfnXFaKQMBbbHg?e=QVFDyP" TargetMode="External"/><Relationship Id="rId14" Type="http://schemas.openxmlformats.org/officeDocument/2006/relationships/hyperlink" Target="https://saranistudio-my.sharepoint.com/:f:/g/personal/team_sarani_studio/Ek-4J-cD1N5Evve_6bXGfpEB1sDbx0kQnetzLacuTXr9Og?e=xXZoxh" TargetMode="External"/><Relationship Id="rId30" Type="http://schemas.openxmlformats.org/officeDocument/2006/relationships/hyperlink" Target="https://saranistudio-my.sharepoint.com/:f:/g/personal/team_sarani_studio/EjrDXfpMza9CoThNSNx2yFcBWWa9JWGeoY-aw7KVf3N1lg?e=lHFyjE" TargetMode="External"/><Relationship Id="rId35" Type="http://schemas.openxmlformats.org/officeDocument/2006/relationships/hyperlink" Target="https://saranistudio-my.sharepoint.com/:f:/g/personal/team_sarani_studio/EkdsSf2gOMVMrdVeXOrheMkBH_dGKAjEB8ry_lYTvZDa3g?e=k0SxM7" TargetMode="External"/><Relationship Id="rId56" Type="http://schemas.openxmlformats.org/officeDocument/2006/relationships/hyperlink" Target="https://saranistudio.sharepoint.com/:f:/s/SaraniAssets/EjK-H2UuMG1IkDaDS5naq7QBoig--ZWy2NRn0nUNhyzjqA?e=nyHg4x" TargetMode="External"/><Relationship Id="rId77" Type="http://schemas.openxmlformats.org/officeDocument/2006/relationships/hyperlink" Target="https://saranistudio.sharepoint.com/:f:/s/SaraniAssets/Emes8eO5R-5PoaVOfjNhpBsBipX6RbShAMr0UVPigG5ZLA?e=a8HET0" TargetMode="External"/><Relationship Id="rId100" Type="http://schemas.openxmlformats.org/officeDocument/2006/relationships/hyperlink" Target="https://saranistudio.sharepoint.com/:f:/s/SaraniAssets/Eo_hV8V2-0dAoIZcss7pqb4BSEW57KCwLkoDcypYbUlGDQ?e=at2foT" TargetMode="External"/><Relationship Id="rId105" Type="http://schemas.openxmlformats.org/officeDocument/2006/relationships/hyperlink" Target="https://saranistudio.sharepoint.com/:f:/s/SaraniAssets/EueUOt5gRntNljMm30bgyRIBY6YF2TmehaK5xvJ6oFrxxA?e=8MFZzW" TargetMode="External"/><Relationship Id="rId126" Type="http://schemas.openxmlformats.org/officeDocument/2006/relationships/hyperlink" Target="https://saranistudio.sharepoint.com/:f:/s/SaraniAssets/ElBOAiSYnb5NtU8LqFdZersBnE_Dgi7soXoTcAXwJOYg2g?e=HHmum7" TargetMode="External"/><Relationship Id="rId147" Type="http://schemas.openxmlformats.org/officeDocument/2006/relationships/hyperlink" Target="https://saranistudio.sharepoint.com/:f:/s/SaraniAssets/EumEHPNjf8xDuEJZur5dSDAB3ThQLjRNJcD8oa3DXvgUVg?e=yZ2E3S" TargetMode="External"/><Relationship Id="rId8" Type="http://schemas.openxmlformats.org/officeDocument/2006/relationships/hyperlink" Target="https://saranistudio-my.sharepoint.com/:f:/g/personal/team_sarani_studio/EoLSwUV_pbVCtJ1NtsWlYuYBrDBpXOTMiicNcCxFxkCkZg?e=yL4nTD" TargetMode="External"/><Relationship Id="rId51" Type="http://schemas.openxmlformats.org/officeDocument/2006/relationships/hyperlink" Target="https://saranistudio.sharepoint.com/:f:/s/SaraniAssets/EuAHaU9dM91KhZNkZgnZ5JUB29q7aNhyDuyrvhYeQDy5xQ?e=8kq47I" TargetMode="External"/><Relationship Id="rId72" Type="http://schemas.openxmlformats.org/officeDocument/2006/relationships/hyperlink" Target="https://saranistudio.sharepoint.com/:f:/s/SaraniAssets/EpQoTPsIOKFKupw3Xb15zkMB0wrfxEhOm0-n7Hw6bkWUmw?e=4HEwiy" TargetMode="External"/><Relationship Id="rId93" Type="http://schemas.openxmlformats.org/officeDocument/2006/relationships/hyperlink" Target="https://saranistudio.sharepoint.com/:f:/s/SaraniAssets/EkQmTEnJO-VGmSGBW0x94lEBu9SCT5wqyGjuAgW-C3SfwQ?e=eaNaOn" TargetMode="External"/><Relationship Id="rId98" Type="http://schemas.openxmlformats.org/officeDocument/2006/relationships/hyperlink" Target="https://saranistudio.sharepoint.com/:f:/s/SaraniAssets/Eip5X_YEK3VDrdEQ_e9iSoABgU_64oqKjeS-0b6sEugb_Q?e=k5xWrQ" TargetMode="External"/><Relationship Id="rId121" Type="http://schemas.openxmlformats.org/officeDocument/2006/relationships/hyperlink" Target="https://saranistudio.sharepoint.com/:f:/s/SaraniAssets/EvOj5THHos1CnBq3SiY0bwYBsx2I_AUhSuJ7WaXubeb3FA?e=GVP2Oj" TargetMode="External"/><Relationship Id="rId142" Type="http://schemas.openxmlformats.org/officeDocument/2006/relationships/hyperlink" Target="https://saranistudio.sharepoint.com/:f:/s/SaraniAssets/ErAF-472q1BGthxrv1peEK8B49Yrtae7Hf5ccNBLK9XQ4Q?e=jwtfPD" TargetMode="External"/><Relationship Id="rId3" Type="http://schemas.openxmlformats.org/officeDocument/2006/relationships/hyperlink" Target="https://saranistudio-my.sharepoint.com/:f:/g/personal/team_sarani_studio/EnByDhd_wvBHgH2mTvLN9ioBAyk7XHFIi92EJAHpRKikoA?e=Tp0BA7" TargetMode="External"/><Relationship Id="rId25" Type="http://schemas.openxmlformats.org/officeDocument/2006/relationships/hyperlink" Target="https://saranistudio-my.sharepoint.com/:f:/g/personal/team_sarani_studio/EuQs-W2Wf_1OjPUVAg14CD4BMIkk7s2wB5cg1uEkdtVp1Q?e=ZKzBVv" TargetMode="External"/><Relationship Id="rId46" Type="http://schemas.openxmlformats.org/officeDocument/2006/relationships/hyperlink" Target="https://saranistudio.sharepoint.com/:f:/s/SaraniAssets/EojKlm1jiM9OtNIvRIF6gaABSURtgaI_2D5dH-MxcTkHKQ?e=l4hGNC" TargetMode="External"/><Relationship Id="rId67" Type="http://schemas.openxmlformats.org/officeDocument/2006/relationships/hyperlink" Target="https://saranistudio.sharepoint.com/:f:/s/SaraniAssets/EnMsxsCwcVFEld_ngOQgjfwBK3zyHIZjDcFu20gHlOwVFw?e=j7v1WE" TargetMode="External"/><Relationship Id="rId116" Type="http://schemas.openxmlformats.org/officeDocument/2006/relationships/hyperlink" Target="https://saranistudio.sharepoint.com/:f:/s/SaraniAssets/EqeQlpdNg2ZKvhSQMzUmLhIBCq4-ZzRnY2kFxdRyiYNyHA?e=eElAJE" TargetMode="External"/><Relationship Id="rId137" Type="http://schemas.openxmlformats.org/officeDocument/2006/relationships/hyperlink" Target="https://saranistudio.sharepoint.com/:f:/s/SaraniAssets/ErnzFJnXNWJGskl2p7lWCE0B3hJHWljlscNwosZQ_bJ9gA?e=eI1XGQ" TargetMode="External"/><Relationship Id="rId20" Type="http://schemas.openxmlformats.org/officeDocument/2006/relationships/hyperlink" Target="https://saranistudio-my.sharepoint.com/:f:/g/personal/team_sarani_studio/EvPjoF7lEAZHq5-32LCLvCQBWpIPx4thI_vgvv_1b_B-HQ?e=kI7tsB" TargetMode="External"/><Relationship Id="rId41" Type="http://schemas.openxmlformats.org/officeDocument/2006/relationships/hyperlink" Target="https://saranistudio.sharepoint.com/:f:/s/SaraniAssets/EuuiIjlR9QVEshe-bkuwBPQBlpBeaAOXakD9-7bueUi4mQ?e=hhX25U" TargetMode="External"/><Relationship Id="rId62" Type="http://schemas.openxmlformats.org/officeDocument/2006/relationships/hyperlink" Target="https://saranistudio.sharepoint.com/:f:/s/SaraniAssets/EuRHUHRU4khEqBIo_7_gpfIBZQk5qxYdAwDZlBgkSBiXKA?e=cwm51c" TargetMode="External"/><Relationship Id="rId83" Type="http://schemas.openxmlformats.org/officeDocument/2006/relationships/hyperlink" Target="https://saranistudio-my.sharepoint.com/:b:/g/personal/team_sarani_studio/ER97ZcYu77lFvYpKtgVNZaYBfRv6XzK2GOHc8HWvxn_GsQ?e=adaoA4" TargetMode="External"/><Relationship Id="rId88" Type="http://schemas.openxmlformats.org/officeDocument/2006/relationships/hyperlink" Target="https://saranistudio.sharepoint.com/:f:/s/SaraniAssets/EswQwEeWKqdOiJ2XCXR4HCYBnO0BVHzIE-B8DmpuLdLTig?e=yCv5vo" TargetMode="External"/><Relationship Id="rId111" Type="http://schemas.openxmlformats.org/officeDocument/2006/relationships/hyperlink" Target="https://saranistudio-my.sharepoint.com/:b:/g/personal/team_sarani_studio/Edkt_WYi669LiYpswyqulQEBZtVh8wcL1WZXW2xANagq0w?e=pdZeTc" TargetMode="External"/><Relationship Id="rId132" Type="http://schemas.openxmlformats.org/officeDocument/2006/relationships/hyperlink" Target="https://saranistudio.sharepoint.com/:f:/s/SaraniAssets/ErnzFJnXNWJGskl2p7lWCE0B3hJHWljlscNwosZQ_bJ9gA?e=eI1XGQ" TargetMode="External"/><Relationship Id="rId15" Type="http://schemas.openxmlformats.org/officeDocument/2006/relationships/hyperlink" Target="https://saranistudio-my.sharepoint.com/:f:/g/personal/team_sarani_studio/EiimH2-O7MFKtnNaN_piZ0QBzKJWVWmVSr38IE7oNEZB5A?e=gzGXqH" TargetMode="External"/><Relationship Id="rId36" Type="http://schemas.openxmlformats.org/officeDocument/2006/relationships/hyperlink" Target="https://saranistudio-my.sharepoint.com/:f:/g/personal/team_sarani_studio/EkXfrSYA2QFLoljauj0Yq9gBE1k5h8jK500sga-S6TG3xQ?e=EdvnpA" TargetMode="External"/><Relationship Id="rId57" Type="http://schemas.openxmlformats.org/officeDocument/2006/relationships/hyperlink" Target="https://saranistudio.sharepoint.com/:f:/s/SaraniAssets/EpeItao2eHFJvUng6SS6OSUBwuVQ9nAJfSCrZHmrmpwjdw?e=peAnzB" TargetMode="External"/><Relationship Id="rId106" Type="http://schemas.openxmlformats.org/officeDocument/2006/relationships/hyperlink" Target="https://saranistudio.sharepoint.com/:f:/s/SaraniAssets/Esoy0TdLEqJAkKGFS4uHuJwBeU3BRBd__bt-gznRfdFYWw?e=GZmYMF" TargetMode="External"/><Relationship Id="rId127" Type="http://schemas.openxmlformats.org/officeDocument/2006/relationships/hyperlink" Target="https://saranistudio.sharepoint.com/:f:/s/SaraniAssets/EnUObeTjRI5OiA6V8dNaAn0B6VttLZUapsY48cfOqgBsxA?e=uDAqgg" TargetMode="External"/><Relationship Id="rId10" Type="http://schemas.openxmlformats.org/officeDocument/2006/relationships/hyperlink" Target="https://saranistudio-my.sharepoint.com/:f:/g/personal/team_sarani_studio/Es9lEK5bJOxIjaTN7ct1wyABsmpdMU09A9HBVukIha0Llg?e=aLryQw" TargetMode="External"/><Relationship Id="rId31" Type="http://schemas.openxmlformats.org/officeDocument/2006/relationships/hyperlink" Target="https://saranistudio-my.sharepoint.com/:f:/g/personal/team_sarani_studio/ErUxxCWKKMtPgPEr0s-KJMwBs_rwU14NK2E1z-z3XU_KFA?e=dZZTtM" TargetMode="External"/><Relationship Id="rId52" Type="http://schemas.openxmlformats.org/officeDocument/2006/relationships/hyperlink" Target="https://saranistudio.sharepoint.com/:f:/s/SaraniAssets/ErbXJg2CfJBLvNunQK-fCqEBcAEZ6lFJuzcW8RE5au-QQw?e=allQnu" TargetMode="External"/><Relationship Id="rId73" Type="http://schemas.openxmlformats.org/officeDocument/2006/relationships/hyperlink" Target="https://saranistudio.sharepoint.com/:f:/s/SaraniAssets/EupVrTZjz4FGmAv-DJDCHjIBb_vwae2kj3zME7vDgTBaVg?e=FJSyuI" TargetMode="External"/><Relationship Id="rId78" Type="http://schemas.openxmlformats.org/officeDocument/2006/relationships/hyperlink" Target="https://saranistudio.sharepoint.com/:f:/s/SaraniAssets/Eu8JiVoEAq9Hp81GrBfWh3sBqhdcNDYzSHkX_yJNdAvRFA?e=liq5Y6" TargetMode="External"/><Relationship Id="rId94" Type="http://schemas.openxmlformats.org/officeDocument/2006/relationships/hyperlink" Target="https://saranistudio.sharepoint.com/:f:/s/SaraniAssets/EkwHEWVhl8JIq_Qhbg09gPwBrCG9icOCo3rwC5HP0K2WpA?e=inFSmg" TargetMode="External"/><Relationship Id="rId99" Type="http://schemas.openxmlformats.org/officeDocument/2006/relationships/hyperlink" Target="https://saranistudio.sharepoint.com/:f:/s/SaraniAssets/EohK5v0c5sVMhM4nR228CdABigO1c3Yh5KJXnVHyBzSCpg?e=O7jtBl" TargetMode="External"/><Relationship Id="rId101" Type="http://schemas.openxmlformats.org/officeDocument/2006/relationships/hyperlink" Target="https://saranistudio.sharepoint.com/:f:/s/SaraniAssets/Eoq-kmx-cvZLtuVuyL16G2YBx5ices0C-AOPYI4pf8FXGw?e=QOin3Q" TargetMode="External"/><Relationship Id="rId122" Type="http://schemas.openxmlformats.org/officeDocument/2006/relationships/hyperlink" Target="https://saranistudio.sharepoint.com/:f:/s/SaraniAssets/Ek77nRJFXDpDjvjUcxFdj1QBm1SfzRuxP_df1P7zIHbpLg?e=dCrNCP" TargetMode="External"/><Relationship Id="rId143" Type="http://schemas.openxmlformats.org/officeDocument/2006/relationships/hyperlink" Target="https://saranistudio.sharepoint.com/:f:/s/SaraniAssets/ErlfPQHOu89Ck-oaNTPj5HQBqOj214zCJhynBMxd-kCHEw?e=RT5rV3" TargetMode="External"/><Relationship Id="rId148" Type="http://schemas.openxmlformats.org/officeDocument/2006/relationships/hyperlink" Target="https://saranistudio.sharepoint.com/:f:/s/SaraniAssets/EjazIGUzB4BApohTXzPfupwBnII2xs-AysQhmE4tNOMx2w?e=9xYpKM" TargetMode="External"/><Relationship Id="rId4" Type="http://schemas.openxmlformats.org/officeDocument/2006/relationships/hyperlink" Target="https://saranistudio-my.sharepoint.com/:f:/g/personal/team_sarani_studio/EqAcVk__l7BJnxImc-IH7FsBGvrukso3ykt8j6UzVn42tg?e=wc3B5L" TargetMode="External"/><Relationship Id="rId9" Type="http://schemas.openxmlformats.org/officeDocument/2006/relationships/hyperlink" Target="https://saranistudio-my.sharepoint.com/:f:/g/personal/team_sarani_studio/Et33vgRLwgBKiU3pdg4ZheMBcCDchtnVZ9z88zEgL7ch-A?e=1pj7nd" TargetMode="External"/><Relationship Id="rId26" Type="http://schemas.openxmlformats.org/officeDocument/2006/relationships/hyperlink" Target="https://saranistudio-my.sharepoint.com/:f:/g/personal/team_sarani_studio/ErBEJ3HyAVFOgIeEaUK8CR0Bs2dpGzP5FeIK_FRx4lQFaQ?e=qoUlCz" TargetMode="External"/><Relationship Id="rId47" Type="http://schemas.openxmlformats.org/officeDocument/2006/relationships/hyperlink" Target="https://saranistudio.sharepoint.com/:f:/s/SaraniAssets/Er8WuU03g6dNvNRNtBbReZ0BTVlq8W5JsS-9LFKk1VQGSQ?e=9Iyu2U" TargetMode="External"/><Relationship Id="rId68" Type="http://schemas.openxmlformats.org/officeDocument/2006/relationships/hyperlink" Target="https://saranistudio.sharepoint.com/:f:/s/SaraniAssets/EtpkbKiSVMFIhNbQjNyml4wBs8c16J56IrJMZ2KnUJymfw?e=LyGIS8" TargetMode="External"/><Relationship Id="rId89" Type="http://schemas.openxmlformats.org/officeDocument/2006/relationships/hyperlink" Target="https://saranistudio.sharepoint.com/:f:/s/SaraniAssets/EqJrRiBiAQpOjBPwFBJ3btcBDvpzKy2Nrc19ckmfd8x--A?e=WQHTJA" TargetMode="External"/><Relationship Id="rId112" Type="http://schemas.openxmlformats.org/officeDocument/2006/relationships/hyperlink" Target="https://saranistudio-my.sharepoint.com/:b:/g/personal/team_sarani_studio/EaHE11gHn0JAqe0e3wP2KEUBYEalW5MKlra0shGV9xMCMw?e=P1k4PD" TargetMode="External"/><Relationship Id="rId133" Type="http://schemas.openxmlformats.org/officeDocument/2006/relationships/hyperlink" Target="https://saranistudio.sharepoint.com/:f:/s/SaraniAssets/EjpB_55WXaxEvkii0KkLEKMBYdbxr1h37PzR3BYA1T2VsA?e=2Sa0eM" TargetMode="External"/><Relationship Id="rId16" Type="http://schemas.openxmlformats.org/officeDocument/2006/relationships/hyperlink" Target="https://saranistudio-my.sharepoint.com/:f:/g/personal/team_sarani_studio/EqNlVMYIfcNPh3OUspPTlTMBDDu2OhnFOxSYGHTsaG_1vQ?e=nTao5j" TargetMode="External"/><Relationship Id="rId37" Type="http://schemas.openxmlformats.org/officeDocument/2006/relationships/hyperlink" Target="https://saranistudio-my.sharepoint.com/:f:/g/personal/team_sarani_studio/EgQXXyXwmDtAqwIJt-K88TABQ6OV4PhryZ0takee2DqACQ?e=zd9K2I" TargetMode="External"/><Relationship Id="rId58" Type="http://schemas.openxmlformats.org/officeDocument/2006/relationships/hyperlink" Target="https://saranistudio.sharepoint.com/:f:/s/SaraniAssets/EmoOxdt4yARMnqbUuqPj3ysBinZgf_oRL_GVVQv5_LJajw?e=b2UDkW" TargetMode="External"/><Relationship Id="rId79" Type="http://schemas.openxmlformats.org/officeDocument/2006/relationships/hyperlink" Target="https://saranistudio.sharepoint.com/:f:/s/SaraniAssets/EvrtslhhDNFJvWu675iNAogBzs_AY3yfkc3JEqyTfyRa9Q?e=HyLig7" TargetMode="External"/><Relationship Id="rId102" Type="http://schemas.openxmlformats.org/officeDocument/2006/relationships/hyperlink" Target="https://saranistudio.sharepoint.com/:f:/s/SaraniAssets/EnZ-uzmWWkFFkiHsTQyAW0ABRH5yq1FUu3gvJw7FlMwsNQ?e=hSl8ao" TargetMode="External"/><Relationship Id="rId123" Type="http://schemas.openxmlformats.org/officeDocument/2006/relationships/hyperlink" Target="https://saranistudio.sharepoint.com/:f:/s/SaraniAssets/Eiai428SuCBKlVUo_bfexuMByqXlTavPmUMzMv-T-KRQDg?e=oDbG5W" TargetMode="External"/><Relationship Id="rId144" Type="http://schemas.openxmlformats.org/officeDocument/2006/relationships/hyperlink" Target="https://saranistudio.sharepoint.com/:f:/s/SaraniAssets/EhUIDtdwjSJMj04P45vf2t8BNnyripjVAll_UBPOTNOQCg?e=lMeXgb" TargetMode="External"/><Relationship Id="rId90" Type="http://schemas.openxmlformats.org/officeDocument/2006/relationships/hyperlink" Target="https://saranistudio.sharepoint.com/:f:/s/SaraniAssets/EsGsZdTN37NFpfQEW0mYj1gBWC4dx3EC6mENJxKEB0a6ew?e=gBUk0V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saranistudio-my.sharepoint.com/:b:/g/personal/team_sarani_studio/Eea1U64obCBDhTsCRGSJyosBv0yWI5_gWl3mxaqYP78aPg?e=wIhKJr" TargetMode="External"/><Relationship Id="rId13" Type="http://schemas.microsoft.com/office/2019/04/relationships/namedSheetView" Target="../namedSheetViews/namedSheetView3.xml"/><Relationship Id="rId3" Type="http://schemas.openxmlformats.org/officeDocument/2006/relationships/hyperlink" Target="https://saranistudio.sharepoint.com/:f:/s/SaraniAssets/Eu4qEwYiEExLhs6m1xIY0gUBbpFcpkcN5O8fOTt-_b8sjA?e=lYMetg" TargetMode="External"/><Relationship Id="rId7" Type="http://schemas.openxmlformats.org/officeDocument/2006/relationships/hyperlink" Target="https://saranistudio.sharepoint.com/:f:/s/SaraniAssets/EplEjv1SxM9MrEgtVctverQBIax7rwPPoCXtJYA2WqDcOA?e=QyzU6D" TargetMode="External"/><Relationship Id="rId12" Type="http://schemas.openxmlformats.org/officeDocument/2006/relationships/hyperlink" Target="https://saranistudio-my.sharepoint.com/:b:/g/personal/team_sarani_studio/EZIQoyYUJVRCnQnuK848EEcBLght8ZQTV_odufPZuqbIrQ?e=p6aeXm" TargetMode="External"/><Relationship Id="rId2" Type="http://schemas.openxmlformats.org/officeDocument/2006/relationships/hyperlink" Target="https://saranistudio.sharepoint.com/:f:/s/SaraniAssets/EoADAN5rsttDj66QdaqN4GEBgRtofIr1Ci5_BlffTE4NiA?e=0mrcxi" TargetMode="External"/><Relationship Id="rId1" Type="http://schemas.openxmlformats.org/officeDocument/2006/relationships/hyperlink" Target="https://saranistudio-my.sharepoint.com/:b:/g/personal/team_sarani_studio/EcO9PRZbsZ1PmzQQTd8u_QIBP6GdSMnRx9XjEHq_UKaOTQ?e=CRcHqU" TargetMode="External"/><Relationship Id="rId6" Type="http://schemas.openxmlformats.org/officeDocument/2006/relationships/hyperlink" Target="https://saranistudio.sharepoint.com/:f:/s/SaraniAssets/EqjlNkkOWTJMpxNIUUD2CycB9MVPcTsTtG1CTfGcj3xxFA?e=8bNEDW" TargetMode="External"/><Relationship Id="rId11" Type="http://schemas.openxmlformats.org/officeDocument/2006/relationships/hyperlink" Target="https://saranistudio-my.sharepoint.com/:b:/g/personal/team_sarani_studio/EYs9z-40lFdDma2O7cJgaG0BEWIX9f_xnuWs8GwBMDOIbw?e=w5Iai2" TargetMode="External"/><Relationship Id="rId5" Type="http://schemas.openxmlformats.org/officeDocument/2006/relationships/hyperlink" Target="https://saranistudio.sharepoint.com/:f:/s/SaraniAssets/EoADAN5rsttDj66QdaqN4GEBgRtofIr1Ci5_BlffTE4NiA?e=0mrcxi" TargetMode="External"/><Relationship Id="rId10" Type="http://schemas.openxmlformats.org/officeDocument/2006/relationships/hyperlink" Target="https://saranistudio-my.sharepoint.com/:b:/g/personal/team_sarani_studio/Ebsmplk4MEtBu9MWcLEa7KgBY3oScayFJaygF-rrzq_iCA?e=VF9jeF" TargetMode="External"/><Relationship Id="rId4" Type="http://schemas.openxmlformats.org/officeDocument/2006/relationships/hyperlink" Target="https://saranistudio.sharepoint.com/:f:/s/SaraniAssets/Eqn1jHB9VPZJkz4ldsXpv-EB70FbvD2WQZ-l7fKDrOqPoQ?e=LzZfYr" TargetMode="External"/><Relationship Id="rId9" Type="http://schemas.openxmlformats.org/officeDocument/2006/relationships/hyperlink" Target="https://saranistudio-my.sharepoint.com/:b:/g/personal/team_sarani_studio/EQmp0bVKtj5KhlFohES0F-ABAOAmsIZ6dwQ3pCvj2L2Omw?e=lStI9w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ranistudio.sharepoint.com/:f:/s/SaraniAssets/EpomgSrW9BZPhWKqk3MSR3sBQIme5Q5lHjdloQZv8W2eUA?e=llgqLN" TargetMode="External"/><Relationship Id="rId21" Type="http://schemas.openxmlformats.org/officeDocument/2006/relationships/hyperlink" Target="https://saranistudio-my.sharepoint.com/:b:/g/personal/team_sarani_studio/EYmS8wYtJXhIvbfgRe1xo48BfnLSBMpWK-INycxyBZjHFw?e=IntFag" TargetMode="External"/><Relationship Id="rId42" Type="http://schemas.openxmlformats.org/officeDocument/2006/relationships/hyperlink" Target="https://saranistudio-my.sharepoint.com/:b:/g/personal/team_sarani_studio/Ec1fHw8YgWJKhDmBTo9CxTQBhdXEDe7lzcQLDaTbMhL2cQ?e=qnyqux" TargetMode="External"/><Relationship Id="rId63" Type="http://schemas.openxmlformats.org/officeDocument/2006/relationships/hyperlink" Target="https://saranistudio.sharepoint.com/:f:/s/SaraniAssets/ErK-ZhHsGvxIp7fStALUNkYBSxEfuYrnPZGe8pDYB8mlog?e=OXeAar" TargetMode="External"/><Relationship Id="rId84" Type="http://schemas.openxmlformats.org/officeDocument/2006/relationships/hyperlink" Target="https://saranistudio-my.sharepoint.com/:b:/g/personal/team_sarani_studio/EQaFNXvkxs1EmUFehKLHf-YBkdr9bZW5KDgd1AdoUBhl9w?e=6NqRu8" TargetMode="External"/><Relationship Id="rId138" Type="http://schemas.openxmlformats.org/officeDocument/2006/relationships/hyperlink" Target="https://saranistudio-my.sharepoint.com/:b:/g/personal/team_sarani_studio/EcFfgmTpc3tDkA82ME4DObQBDMhJAP0LIM9NFbm5csoSVw?e=gLFv6c" TargetMode="External"/><Relationship Id="rId159" Type="http://schemas.openxmlformats.org/officeDocument/2006/relationships/hyperlink" Target="https://saranistudio.sharepoint.com/:f:/s/SaraniAssets/Evt39RCHAihDgZ0XAKU3qs8Be3Pqc0Vr4OjwuZGqfQFitA?e=cKV6o4" TargetMode="External"/><Relationship Id="rId170" Type="http://schemas.openxmlformats.org/officeDocument/2006/relationships/hyperlink" Target="https://saranistudio-my.sharepoint.com/:b:/g/personal/team_sarani_studio/EWw3Z4CUcvxPt10YHWJTTsgBfiGovCBDjoEJi2Q81L27Pw?e=XNFkap" TargetMode="External"/><Relationship Id="rId191" Type="http://schemas.openxmlformats.org/officeDocument/2006/relationships/hyperlink" Target="https://saranistudio.sharepoint.com/:f:/s/SaraniAssets/EqwV-fkypaRAp6VhBcHT6VcBAzqS_C_-w2VI2nnWabc30Q?e=5JyBqM" TargetMode="External"/><Relationship Id="rId205" Type="http://schemas.openxmlformats.org/officeDocument/2006/relationships/hyperlink" Target="https://saranistudio-my.sharepoint.com/:b:/g/personal/team_sarani_studio/EZmwsJSDMr1Lq9kZIvL1j_QBbuWwYMxJkBAWxdBCi_0jOA?e=nf1xoI" TargetMode="External"/><Relationship Id="rId226" Type="http://schemas.openxmlformats.org/officeDocument/2006/relationships/hyperlink" Target="https://saranistudio.sharepoint.com/:b:/s/SaraniAssets/EWv6E20x2kxGohXCAh0hfvUBG1Y_3WryoDA4nVJ9mB_tmA?e=TcxL9l" TargetMode="External"/><Relationship Id="rId107" Type="http://schemas.openxmlformats.org/officeDocument/2006/relationships/hyperlink" Target="https://saranistudio-my.sharepoint.com/:b:/g/personal/team_sarani_studio/EUofM3A1bI9DrK0f5g8saYUB1IljMtataVLZt5zK7wiDjA?e=52uK2C" TargetMode="External"/><Relationship Id="rId11" Type="http://schemas.openxmlformats.org/officeDocument/2006/relationships/hyperlink" Target="https://saranistudio.sharepoint.com/:f:/s/SaraniAssets/Ei09yOaF_rlFqnzruCuw3HEBmATjwtXfEOyAvd3W_z9crQ?e=JCOhxS" TargetMode="External"/><Relationship Id="rId32" Type="http://schemas.openxmlformats.org/officeDocument/2006/relationships/hyperlink" Target="https://saranistudio.sharepoint.com/:f:/s/SaraniAssets/EhLhcC8_VY1Np-I2cTqCAfwBu3v7MF6qm6724_fDG3wPig?e=O7Ncna" TargetMode="External"/><Relationship Id="rId53" Type="http://schemas.openxmlformats.org/officeDocument/2006/relationships/hyperlink" Target="https://saranistudio.sharepoint.com/:f:/s/SaraniAssets/ErOOYjtNda5NtgDjK4wM8XgBBw5J5Qj1b5EGyF0mZsrolw?e=XCR2rG" TargetMode="External"/><Relationship Id="rId74" Type="http://schemas.openxmlformats.org/officeDocument/2006/relationships/hyperlink" Target="https://saranistudio.sharepoint.com/:f:/s/SaraniAssets/EglgC4xfVGNJuFu1TJECJfcBMXcSSuBI4NM0A6yqpjR_dA?e=bBjXfi" TargetMode="External"/><Relationship Id="rId128" Type="http://schemas.openxmlformats.org/officeDocument/2006/relationships/hyperlink" Target="https://saranistudio.sharepoint.com/:f:/s/SaraniAssets/ErJykiGCYYhKvEgyRldc3iAB45z9_TFo-Z_UTHnro0JSuQ?e=G31M3j" TargetMode="External"/><Relationship Id="rId149" Type="http://schemas.openxmlformats.org/officeDocument/2006/relationships/hyperlink" Target="https://saranistudio.sharepoint.com/:f:/s/SaraniAssets/EpU2mv_CrLlNucEh71ZNrAUBUv6LnDUnTGaNh2z7DjJBEA?e=CPjyF3" TargetMode="External"/><Relationship Id="rId5" Type="http://schemas.openxmlformats.org/officeDocument/2006/relationships/hyperlink" Target="https://saranistudio-my.sharepoint.com/:f:/g/personal/team_sarani_studio/Eg9so6ZkvM9KhIDsCzrBZ7gB321L21koEn4ekeJTKVlYSQ?e=GJw3lh" TargetMode="External"/><Relationship Id="rId95" Type="http://schemas.openxmlformats.org/officeDocument/2006/relationships/hyperlink" Target="https://saranistudio-my.sharepoint.com/:b:/g/personal/team_sarani_studio/EXzvbOFbe2NNpKtiJT4NHe4BMA_7swhGB4Bq9JTmryzfcg?e=bqQZM9" TargetMode="External"/><Relationship Id="rId160" Type="http://schemas.openxmlformats.org/officeDocument/2006/relationships/hyperlink" Target="https://saranistudio.sharepoint.com/:f:/s/SaraniAssets/EiZjkqUpPllAtXuiWojLev0BZjwhKbatDzEaGnX73i7mlg?e=FqOxUd" TargetMode="External"/><Relationship Id="rId181" Type="http://schemas.openxmlformats.org/officeDocument/2006/relationships/hyperlink" Target="https://saranistudio.sharepoint.com/:f:/s/SaraniAssets/ErjbYRnvMv5AoF5j_qyicvYBgXgV3lsWHdfVtrq3u6PIRg?e=NdfooX" TargetMode="External"/><Relationship Id="rId216" Type="http://schemas.openxmlformats.org/officeDocument/2006/relationships/hyperlink" Target="https://saranistudio.sharepoint.com/:f:/s/SaraniAssets/EmVq5PG6A8BBpYJpKliHkLgBN5yqpa9ozH6XiO4kVDv1Qw?e=kkdCgf" TargetMode="External"/><Relationship Id="rId237" Type="http://schemas.openxmlformats.org/officeDocument/2006/relationships/hyperlink" Target="https://saranistudio.sharepoint.com/:b:/s/SaraniAssets/IQDalGSnouhMToAdDfIs8GkQAU3eij_BewWh6ZJtLSL1tcs?e=HSibF1" TargetMode="External"/><Relationship Id="rId22" Type="http://schemas.openxmlformats.org/officeDocument/2006/relationships/hyperlink" Target="https://saranistudio-my.sharepoint.com/:b:/g/personal/team_sarani_studio/EbRPuaKY0FNMio3_HRqAsxgBr9_YCwfYWQrhv1GnWmcCsA?e=8zg81G" TargetMode="External"/><Relationship Id="rId43" Type="http://schemas.openxmlformats.org/officeDocument/2006/relationships/hyperlink" Target="https://saranistudio.sharepoint.com/:f:/s/SaraniAssets/EnlyS8PoRfFFuYA1Nb8E0rAB1DPHpnQ-NTiEQBbz-FoZ0g?e=5knGDO" TargetMode="External"/><Relationship Id="rId64" Type="http://schemas.openxmlformats.org/officeDocument/2006/relationships/hyperlink" Target="https://saranistudio-my.sharepoint.com/:b:/g/personal/team_sarani_studio/EVgRPi22CF9OrUWTfCXBEL4B3iviJdXIWxrEGV_x4RO53Q?e=bwYKEe" TargetMode="External"/><Relationship Id="rId118" Type="http://schemas.openxmlformats.org/officeDocument/2006/relationships/hyperlink" Target="https://saranistudio.sharepoint.com/:f:/s/SaraniAssets/EkBF5n5P0yNDijMCV71ln8kBOEB3nPAunIEcZ-dnyRltiA?e=iTDwgk" TargetMode="External"/><Relationship Id="rId139" Type="http://schemas.openxmlformats.org/officeDocument/2006/relationships/hyperlink" Target="https://saranistudio-my.sharepoint.com/:b:/g/personal/team_sarani_studio/EZ_9QOew9MhInDC8Y7ACrKIBSZ6ewkzwinhL0n9GS9PROg?e=4O4rzN" TargetMode="External"/><Relationship Id="rId85" Type="http://schemas.openxmlformats.org/officeDocument/2006/relationships/hyperlink" Target="https://saranistudio-my.sharepoint.com/:b:/g/personal/team_sarani_studio/ETtq_THuWM9Hrqhqbp2wH_0BsYqCnmxsB2o5HmuT_Khvbg?e=Vbdz3d" TargetMode="External"/><Relationship Id="rId150" Type="http://schemas.openxmlformats.org/officeDocument/2006/relationships/hyperlink" Target="https://saranistudio-my.sharepoint.com/:b:/g/personal/team_sarani_studio/Efm-9l_TeAxBgZpvR4ViU3gBeWMfVlPdGhlHxRgaU7aiDw?e=zveByF" TargetMode="External"/><Relationship Id="rId171" Type="http://schemas.openxmlformats.org/officeDocument/2006/relationships/hyperlink" Target="https://saranistudio-my.sharepoint.com/:b:/g/personal/team_sarani_studio/ESiCQ1mgAYxJh0DvTsucM3YB_B_F3dKLW6cHlt-TQIUTkQ?e=PXeNeT" TargetMode="External"/><Relationship Id="rId192" Type="http://schemas.openxmlformats.org/officeDocument/2006/relationships/hyperlink" Target="https://saranistudio-my.sharepoint.com/:b:/g/personal/team_sarani_studio/EYGOokHzZ6dIup1AVihmfdMBq9HcqZMLWZLTil0vZPjAjA?e=7aKj88" TargetMode="External"/><Relationship Id="rId206" Type="http://schemas.openxmlformats.org/officeDocument/2006/relationships/hyperlink" Target="https://saranistudio.sharepoint.com/:f:/s/SaraniAssets/EgE74Kkh8OhIo4dvY6mb8LQB3xEpGcs1f9gxKy2YYhkGhQ?e=hMAHKb" TargetMode="External"/><Relationship Id="rId227" Type="http://schemas.openxmlformats.org/officeDocument/2006/relationships/hyperlink" Target="https://saranistudio.sharepoint.com/:f:/s/SaraniAssets/ErIV9rZGIw9OkET4NmOUWJgBa6izCYZ1PN_oaydeMs_DQQ?e=mimLaz" TargetMode="External"/><Relationship Id="rId12" Type="http://schemas.openxmlformats.org/officeDocument/2006/relationships/hyperlink" Target="https://saranistudio.sharepoint.com/:f:/s/SaraniAssets/Ei09yOaF_rlFqnzruCuw3HEBmATjwtXfEOyAvd3W_z9crQ?e=JCOhxS" TargetMode="External"/><Relationship Id="rId33" Type="http://schemas.openxmlformats.org/officeDocument/2006/relationships/hyperlink" Target="https://saranistudio.sharepoint.com/:f:/s/SaraniAssets/ErfEHkAKtvpMpFPacPfS-R4B4czVsVCZP7JPfjUknQw4Mw?e=tRPN5b" TargetMode="External"/><Relationship Id="rId108" Type="http://schemas.openxmlformats.org/officeDocument/2006/relationships/hyperlink" Target="https://saranistudio-my.sharepoint.com/:b:/g/personal/team_sarani_studio/EVNo0eTzduRFu1oAFUJ1RcQB--hfDbVw66-RhL-2y2XRhA?e=zbcd6J" TargetMode="External"/><Relationship Id="rId129" Type="http://schemas.openxmlformats.org/officeDocument/2006/relationships/hyperlink" Target="https://saranistudio.sharepoint.com/:f:/s/SaraniAssets/ElZyIBOtLTFFo-z6lSU4Z-QBrwyFxXIx3tM3SVHhDsLvrQ?e=q7mHIn" TargetMode="External"/><Relationship Id="rId54" Type="http://schemas.openxmlformats.org/officeDocument/2006/relationships/hyperlink" Target="https://saranistudio.sharepoint.com/:f:/s/SaraniAssets/Ep5uGNvLSvtInLXWp6vWDAMBw5Hm2lre5B_huJViA8bKfQ?e=C1ZRBj" TargetMode="External"/><Relationship Id="rId75" Type="http://schemas.openxmlformats.org/officeDocument/2006/relationships/hyperlink" Target="https://saranistudio-my.sharepoint.com/:b:/g/personal/team_sarani_studio/ETsqZd6KpBdGh7Tf3ARH_hgBcZiNBRid1mYWvSymjdckSQ?e=IKx9GR" TargetMode="External"/><Relationship Id="rId96" Type="http://schemas.openxmlformats.org/officeDocument/2006/relationships/hyperlink" Target="https://saranistudio.sharepoint.com/:f:/s/SaraniAssets/EjNaxyx0GbZEn8ueXJLXf7QB2Pbsd4d-jDe6m3Ja3DpyYA?e=2ncNkU" TargetMode="External"/><Relationship Id="rId140" Type="http://schemas.openxmlformats.org/officeDocument/2006/relationships/hyperlink" Target="https://saranistudio.sharepoint.com/:f:/s/SaraniAssets/EhiOKKgvVQVCq3WI0O2paDUBq2nHAG4AtPhYDKZPJD2KHQ?e=EK3xIJ" TargetMode="External"/><Relationship Id="rId161" Type="http://schemas.openxmlformats.org/officeDocument/2006/relationships/hyperlink" Target="https://saranistudio.sharepoint.com/:f:/s/SaraniAssets/EocMccTg8S5BmRiEPU01-bgBhJgivRY70Yo4ay4WhMpGpQ?e=dcME8z" TargetMode="External"/><Relationship Id="rId182" Type="http://schemas.openxmlformats.org/officeDocument/2006/relationships/hyperlink" Target="https://saranistudio-my.sharepoint.com/:b:/g/personal/team_sarani_studio/EfCenekeMsFBsZXJZQMJcy4BAg95xSpAekQ5rFx1S-Ip-w?e=k3HdRO" TargetMode="External"/><Relationship Id="rId217" Type="http://schemas.openxmlformats.org/officeDocument/2006/relationships/hyperlink" Target="https://saranistudio.sharepoint.com/:f:/s/SaraniAssets/EiKzxx4qk89AudY2Heg3YBcB1aHtEzxwGEuZ_LvPNvGXLw?e=3121Dy" TargetMode="External"/><Relationship Id="rId6" Type="http://schemas.openxmlformats.org/officeDocument/2006/relationships/hyperlink" Target="https://saranistudio-my.sharepoint.com/:f:/g/personal/team_sarani_studio/EuoBsp9gIj9InaxgglMO4s8B1kR5oPRDLo7ItSgXmzFr8g?e=kM5cEG" TargetMode="External"/><Relationship Id="rId238" Type="http://schemas.openxmlformats.org/officeDocument/2006/relationships/hyperlink" Target="https://saranistudio.sharepoint.com/:f:/s/SaraniAssets/IgCJn1Z-lzGFTbNJUQH7xC3TAbatmB_brgJjTThEHO37QGo?e=QW9Vdx" TargetMode="External"/><Relationship Id="rId23" Type="http://schemas.openxmlformats.org/officeDocument/2006/relationships/hyperlink" Target="https://saranistudio-my.sharepoint.com/:b:/g/personal/team_sarani_studio/EaX5OB_gfUVIq4U8w5WPZckBeNOXWpplntQbePYTt47dQg?e=OUduDw" TargetMode="External"/><Relationship Id="rId119" Type="http://schemas.openxmlformats.org/officeDocument/2006/relationships/hyperlink" Target="https://saranistudio-my.sharepoint.com/:b:/g/personal/team_sarani_studio/EYzIjrsuxZhCuKfhok7UnagBOPCqE8exyPrvMMEGM9iUVA?e=rMlY0U" TargetMode="External"/><Relationship Id="rId44" Type="http://schemas.openxmlformats.org/officeDocument/2006/relationships/hyperlink" Target="https://saranistudio.sharepoint.com/:f:/s/SaraniAssets/Ekall8qGc9tPuWEncIojresB238Pht402pzv_IVqrBHSFA?e=GRkup5" TargetMode="External"/><Relationship Id="rId65" Type="http://schemas.openxmlformats.org/officeDocument/2006/relationships/hyperlink" Target="https://saranistudio-my.sharepoint.com/:b:/g/personal/team_sarani_studio/EVADYjAZ00pNkQ8a_S_NVXsBnMqZwNkHW5iIcU8AYOjJ8g?e=Zh9CvT" TargetMode="External"/><Relationship Id="rId86" Type="http://schemas.openxmlformats.org/officeDocument/2006/relationships/hyperlink" Target="https://saranistudio.sharepoint.com/:f:/s/SaraniAssets/EkugvnHWUX1NvRv7AQ-AKtwBqveZLlHuF_VEZwyP6Z9CIg?e=B69vjt" TargetMode="External"/><Relationship Id="rId130" Type="http://schemas.openxmlformats.org/officeDocument/2006/relationships/hyperlink" Target="https://saranistudio.sharepoint.com/:f:/s/SaraniAssets/EgVU-7D4CylKrqCZ2lryckMB0nuDMiYkSlhonDqclpnU_Q?e=O1B2qj" TargetMode="External"/><Relationship Id="rId151" Type="http://schemas.openxmlformats.org/officeDocument/2006/relationships/hyperlink" Target="https://saranistudio-my.sharepoint.com/:b:/g/personal/team_sarani_studio/EYJXwTXINAlOihzF9o_0ZSoBc1l-ETgGtX315lxaQbTSfQ?e=nvKPa0" TargetMode="External"/><Relationship Id="rId172" Type="http://schemas.openxmlformats.org/officeDocument/2006/relationships/hyperlink" Target="https://saranistudio.sharepoint.com/:f:/s/SaraniAssets/Epg_vRuSbzdMqRwafgbpinkBGCEw-s5BMWbTS9eVEBUAMQ?e=MNhhYm" TargetMode="External"/><Relationship Id="rId193" Type="http://schemas.openxmlformats.org/officeDocument/2006/relationships/hyperlink" Target="https://saranistudio.sharepoint.com/:f:/s/SaraniAssets/EhuGBBfJFxNFgn-3ogRADv4BloEWr6kYbISi3e0ai7WCJA?e=IrchJq" TargetMode="External"/><Relationship Id="rId207" Type="http://schemas.openxmlformats.org/officeDocument/2006/relationships/hyperlink" Target="https://saranistudio.sharepoint.com/:f:/s/SaraniAssets/EnbspOaOSnNGlIycI71Z-gAB_P8q0x2nOzHsch6zhLu16A?e=jNSgEQ" TargetMode="External"/><Relationship Id="rId228" Type="http://schemas.openxmlformats.org/officeDocument/2006/relationships/hyperlink" Target="https://saranistudio-my.sharepoint.com/:b:/g/personal/team_sarani_studio/EXSFvFaSF7VKsz4rXl9pTWkBqY5tMBwUBGy73KK39hP70A?e=r4R5Ja" TargetMode="External"/><Relationship Id="rId13" Type="http://schemas.openxmlformats.org/officeDocument/2006/relationships/hyperlink" Target="https://saranistudio.sharepoint.com/:f:/s/SaraniAssets/Ej9iBp0i5v5FvuyIVGPn5qYBJU8t_wWUjf3yHR4bD-sSrw?e=YBC18n" TargetMode="External"/><Relationship Id="rId109" Type="http://schemas.openxmlformats.org/officeDocument/2006/relationships/hyperlink" Target="https://saranistudio.sharepoint.com/:f:/s/SaraniAssets/Er3ynIw3I5tAuKbohU7doFIByhvgt5XulKY9ejc7GkQsoQ?e=MqZppi" TargetMode="External"/><Relationship Id="rId34" Type="http://schemas.openxmlformats.org/officeDocument/2006/relationships/hyperlink" Target="https://saranistudio-my.sharepoint.com/:b:/g/personal/team_sarani_studio/EXkQWsUOVbxOhfgiWP7pMjwBK3nZn6TkIc6opCFzW-Z1RA?e=HRhnFM" TargetMode="External"/><Relationship Id="rId55" Type="http://schemas.openxmlformats.org/officeDocument/2006/relationships/hyperlink" Target="https://saranistudio-my.sharepoint.com/:b:/g/personal/team_sarani_studio/EaXd8kno8utOvW6XxcxuvDwBtm1oUzAvo3Npgj4fosgHRw?e=nCOUJl" TargetMode="External"/><Relationship Id="rId76" Type="http://schemas.openxmlformats.org/officeDocument/2006/relationships/hyperlink" Target="https://saranistudio-my.sharepoint.com/:b:/g/personal/team_sarani_studio/Ebd8xSHseo9Br9NkLRiDz7sBNY72Kf7QmqOQauyBgF_p8A?e=1cRQH6" TargetMode="External"/><Relationship Id="rId97" Type="http://schemas.openxmlformats.org/officeDocument/2006/relationships/hyperlink" Target="https://saranistudio.sharepoint.com/:f:/s/SaraniAssets/Egcu6-cinllOttkGwvdc48IBq1kx7cAn5GrhZOjF92Y-4Q?e=se3Dhh" TargetMode="External"/><Relationship Id="rId120" Type="http://schemas.openxmlformats.org/officeDocument/2006/relationships/hyperlink" Target="https://saranistudio-my.sharepoint.com/:b:/g/personal/team_sarani_studio/EfOoSMLCliRDlLIL9uT7tIoBd6thEg70DO_8yuhl86iqqw?e=R4K0Ee" TargetMode="External"/><Relationship Id="rId141" Type="http://schemas.openxmlformats.org/officeDocument/2006/relationships/hyperlink" Target="https://saranistudio.sharepoint.com/:f:/s/SaraniAssets/EpO4u4m5MidDuhiX3_1iEFEBn29i8DyH6tl-G-n9dVSB9g?e=v1Dv31" TargetMode="External"/><Relationship Id="rId7" Type="http://schemas.openxmlformats.org/officeDocument/2006/relationships/hyperlink" Target="https://saranistudio.sharepoint.com/:f:/s/SaraniAssets/ElJcER4ZPEhDowwCWrJgcQYB84rQLk-hVsXyIufy92DfrQ?e=icTEEw" TargetMode="External"/><Relationship Id="rId162" Type="http://schemas.openxmlformats.org/officeDocument/2006/relationships/hyperlink" Target="https://saranistudio.sharepoint.com/:f:/s/SaraniAssets/EjTpRylMrnNDlRY0uU028OQBfb4etk7HBPfoari_pg2dMg?e=Vzqh4R" TargetMode="External"/><Relationship Id="rId183" Type="http://schemas.openxmlformats.org/officeDocument/2006/relationships/hyperlink" Target="https://saranistudio-my.sharepoint.com/:b:/g/personal/team_sarani_studio/Ec1Hy06YHbdLqUVMFJfJcBEBEPJjoL3RWlNye-6Ej_f70g?e=zurBmR" TargetMode="External"/><Relationship Id="rId218" Type="http://schemas.openxmlformats.org/officeDocument/2006/relationships/hyperlink" Target="https://saranistudio-my.sharepoint.com/:b:/g/personal/team_sarani_studio/EY3S4_81FztGg1Kmau4cRcYBUm82caLeY1SD5Gk3Up8I1g?e=keilJe" TargetMode="External"/><Relationship Id="rId239" Type="http://schemas.openxmlformats.org/officeDocument/2006/relationships/hyperlink" Target="https://saranistudio.sharepoint.com/:f:/s/SaraniAssets/IgBsVOLd6iVGRqiYEP7cbC8IAdCSnJb9X_KMcZF-xWYoEcc?e=4dA2Dn" TargetMode="External"/><Relationship Id="rId24" Type="http://schemas.openxmlformats.org/officeDocument/2006/relationships/hyperlink" Target="https://saranistudio-my.sharepoint.com/:b:/g/personal/team_sarani_studio/EQC6oem5Q3xJtE63qg5MBwkBZBe1UF4_NXMTY4sglQV5JQ?e=DqeP1f" TargetMode="External"/><Relationship Id="rId45" Type="http://schemas.openxmlformats.org/officeDocument/2006/relationships/hyperlink" Target="https://saranistudio.sharepoint.com/:f:/s/SaraniAssets/Ekall8qGc9tPuWEncIojresB238Pht402pzv_IVqrBHSFA?e=GRkup5" TargetMode="External"/><Relationship Id="rId66" Type="http://schemas.openxmlformats.org/officeDocument/2006/relationships/hyperlink" Target="https://saranistudio.sharepoint.com/:f:/s/SaraniAssets/EhYVHEFmcX1IqB7CZ2E6Cr8BhWtCorT5oGlJ7rt7VfWQQg?e=oHe7EV" TargetMode="External"/><Relationship Id="rId87" Type="http://schemas.openxmlformats.org/officeDocument/2006/relationships/hyperlink" Target="https://saranistudio.sharepoint.com/:f:/s/SaraniAssets/EjjL61ZkBq9NupD6w7-3AVcBWuumjnhPAx8kU9b1-GYJ9A?e=P2mlXm" TargetMode="External"/><Relationship Id="rId110" Type="http://schemas.openxmlformats.org/officeDocument/2006/relationships/hyperlink" Target="https://saranistudio.sharepoint.com/:f:/s/SaraniAssets/EjjDDzPh-cNJq2KNBWDT4JcBm_UMOsKa17wv78fv4IyPiw?e=oSVNqK" TargetMode="External"/><Relationship Id="rId131" Type="http://schemas.openxmlformats.org/officeDocument/2006/relationships/hyperlink" Target="https://saranistudio.sharepoint.com/:f:/s/SaraniAssets/Ev16pc1NV-NDjEIw2GFtUzABVsUw67Fh5hr0wcgk8YJ1fQ?e=OWfaE5" TargetMode="External"/><Relationship Id="rId152" Type="http://schemas.openxmlformats.org/officeDocument/2006/relationships/hyperlink" Target="https://saranistudio-my.sharepoint.com/:b:/g/personal/team_sarani_studio/EQH6nAoKGUpFiPpdt4oGGYoB11E3TLN2Ao6p9KH0CpRLtQ?e=O83DB0" TargetMode="External"/><Relationship Id="rId173" Type="http://schemas.openxmlformats.org/officeDocument/2006/relationships/hyperlink" Target="https://saranistudio.sharepoint.com/:f:/s/SaraniAssets/Er_XvGGtuXZDtzxDGVJjSSgBF1lEYN9MBEOcGfUnylFzEA?e=LtRPdB" TargetMode="External"/><Relationship Id="rId194" Type="http://schemas.openxmlformats.org/officeDocument/2006/relationships/hyperlink" Target="https://saranistudio-my.sharepoint.com/:b:/g/personal/team_sarani_studio/EeGJCwg8U_pIoiqkT-wQR48B0rxNB-rkELurccLDIOBQnA?e=hzwgAh" TargetMode="External"/><Relationship Id="rId208" Type="http://schemas.openxmlformats.org/officeDocument/2006/relationships/hyperlink" Target="https://saranistudio-my.sharepoint.com/:b:/g/personal/team_sarani_studio/EfZuFZrqGFtBsOJcBGcZoygBoDLLs4WNWJWK73FD-0ftlQ?e=uThsuj" TargetMode="External"/><Relationship Id="rId229" Type="http://schemas.openxmlformats.org/officeDocument/2006/relationships/hyperlink" Target="https://saranistudio.sharepoint.com/:f:/s/SaraniAssets/EmVq5PG6A8BBpYJpKliHkLgBN5yqpa9ozH6XiO4kVDv1Qw?e=kkdCgf" TargetMode="External"/><Relationship Id="rId14" Type="http://schemas.openxmlformats.org/officeDocument/2006/relationships/hyperlink" Target="http://ecotool.sarani.studio/" TargetMode="External"/><Relationship Id="rId35" Type="http://schemas.openxmlformats.org/officeDocument/2006/relationships/hyperlink" Target="https://saranistudio-my.sharepoint.com/:b:/g/personal/team_sarani_studio/EbpK8e2jwDdIqlGOZpXBx2IBIZ11xG2VNuYTjvPPyq9nPg?e=gZKLeo" TargetMode="External"/><Relationship Id="rId56" Type="http://schemas.openxmlformats.org/officeDocument/2006/relationships/hyperlink" Target="https://saranistudio-my.sharepoint.com/:b:/g/personal/team_sarani_studio/EdzSh4yV9c1PjpQPDFIovVIBbwa8HdZjC2nEY8oT642SbQ?e=ZzsGY0" TargetMode="External"/><Relationship Id="rId77" Type="http://schemas.openxmlformats.org/officeDocument/2006/relationships/hyperlink" Target="https://saranistudio.sharepoint.com/:f:/s/SaraniAssets/Ek8OEynKL3hGssvQ-V3cG4EBy67fEIKcb1AwrXUNz3VUJQ?e=dpbhH2" TargetMode="External"/><Relationship Id="rId100" Type="http://schemas.openxmlformats.org/officeDocument/2006/relationships/hyperlink" Target="https://saranistudio-my.sharepoint.com/:b:/g/personal/team_sarani_studio/EUmbHWmgIstCiUVFjdPQFooBe2nS5RIiiNn8jmuNXQn1mw?e=w4jdgc" TargetMode="External"/><Relationship Id="rId8" Type="http://schemas.openxmlformats.org/officeDocument/2006/relationships/hyperlink" Target="https://saranistudio.sharepoint.com/:f:/s/SaraniAssets/Es8cHnGKZ-hLvB8g2sNdAg4BueN4I6bPtmfrnh3_Bak9iA?e=pO4ePY" TargetMode="External"/><Relationship Id="rId98" Type="http://schemas.openxmlformats.org/officeDocument/2006/relationships/hyperlink" Target="https://saranistudio.sharepoint.com/:f:/s/SaraniAssets/EnIOJ4T724lFthSzKRyTPEIB-NZXFtnIzolHmxs8A8Zl9Q?e=fc8LfH" TargetMode="External"/><Relationship Id="rId121" Type="http://schemas.openxmlformats.org/officeDocument/2006/relationships/hyperlink" Target="https://saranistudio-my.sharepoint.com/:b:/g/personal/team_sarani_studio/EcqevhIm7IxCpfL6gD8r03cBodplk3pgkTK063h1f41j4A?e=lRHzf2" TargetMode="External"/><Relationship Id="rId142" Type="http://schemas.openxmlformats.org/officeDocument/2006/relationships/hyperlink" Target="https://saranistudio.sharepoint.com/:f:/s/SaraniAssets/Es8q9rEheaNJuR4I_TQ1hhMBqQR30a3uxY3wrznamHkLYw?e=6cIuWj" TargetMode="External"/><Relationship Id="rId163" Type="http://schemas.openxmlformats.org/officeDocument/2006/relationships/hyperlink" Target="https://saranistudio-my.sharepoint.com/:b:/g/personal/team_sarani_studio/EaBoUrrzq05AhIX339D7OFIBoLZqtJbNOWrSWV57-ZVGBQ?e=ON1w4P" TargetMode="External"/><Relationship Id="rId184" Type="http://schemas.openxmlformats.org/officeDocument/2006/relationships/hyperlink" Target="https://saranistudio-my.sharepoint.com/:b:/g/personal/team_sarani_studio/EUupp2HCidBEj8pMYBiNlbUBr8VWU3Cy143k5_RfOUAZLg?e=vkG1rp" TargetMode="External"/><Relationship Id="rId219" Type="http://schemas.openxmlformats.org/officeDocument/2006/relationships/hyperlink" Target="https://saranistudio.sharepoint.com/:f:/s/SaraniAssets/Ekic5EsbLgZPnv4P4q8RHhUBh9iiMQMRoVc635rI36W92w?e=TLb18e" TargetMode="External"/><Relationship Id="rId230" Type="http://schemas.openxmlformats.org/officeDocument/2006/relationships/hyperlink" Target="https://saranistudio-my.sharepoint.com/:b:/g/personal/team_sarani_studio/EQ23J-5iBYVOsfHz7wpnlgEBs9cwT0uQjuD7f-fABYCbXA?e=dAasFf" TargetMode="External"/><Relationship Id="rId25" Type="http://schemas.openxmlformats.org/officeDocument/2006/relationships/hyperlink" Target="https://saranistudio-my.sharepoint.com/:b:/g/personal/team_sarani_studio/ERt-DTWvbAJMoSar64WaEogBb7OE0J5cNsBOKttMiimjow?e=OAlxiT" TargetMode="External"/><Relationship Id="rId46" Type="http://schemas.openxmlformats.org/officeDocument/2006/relationships/hyperlink" Target="https://saranistudio-my.sharepoint.com/:b:/g/personal/team_sarani_studio/EdXWpL6ikBtGrzOTHTjPdakBB0VfgSZDIu0zeUR-DFa8-w?e=lnqgj5" TargetMode="External"/><Relationship Id="rId67" Type="http://schemas.openxmlformats.org/officeDocument/2006/relationships/hyperlink" Target="https://saranistudio.sharepoint.com/:f:/s/SaraniAssets/ErpePWoEw-ZHm7IOTvJUpNgB51BseZVIFvfJBGlDT90B5A?e=Yy5FKX" TargetMode="External"/><Relationship Id="rId88" Type="http://schemas.openxmlformats.org/officeDocument/2006/relationships/hyperlink" Target="https://saranistudio.sharepoint.com/:f:/s/SaraniAssets/EtB_EJJax2NGmJbUiUNzb4gBeDkZP0ZHlMocuXfSjSNBQw?e=yBgcPG" TargetMode="External"/><Relationship Id="rId111" Type="http://schemas.openxmlformats.org/officeDocument/2006/relationships/hyperlink" Target="https://saranistudio.sharepoint.com/:f:/s/SaraniAssets/EkHRlOhUlYpKpTcMUUgxb88B5YQFfiHWAPPaIQFQK8xgKA?e=ehw667" TargetMode="External"/><Relationship Id="rId132" Type="http://schemas.openxmlformats.org/officeDocument/2006/relationships/hyperlink" Target="https://saranistudio-my.sharepoint.com/:b:/g/personal/team_sarani_studio/EdN42qCy25BIsWm6yDrUfacB5AG_6e6OoIMEga-TNsa9zA?e=qd777Y" TargetMode="External"/><Relationship Id="rId153" Type="http://schemas.openxmlformats.org/officeDocument/2006/relationships/hyperlink" Target="https://saranistudio-my.sharepoint.com/:b:/g/personal/team_sarani_studio/Edad-VWVmSdJsrLs-HBnKpEB1OoCYuifkJQt-cmdJQqvyQ?e=Mjzbsk" TargetMode="External"/><Relationship Id="rId174" Type="http://schemas.openxmlformats.org/officeDocument/2006/relationships/hyperlink" Target="https://saranistudio.sharepoint.com/:f:/s/SaraniAssets/Er_XvGGtuXZDtzxDGVJjSSgBF1lEYN9MBEOcGfUnylFzEA?e=cWGirV" TargetMode="External"/><Relationship Id="rId195" Type="http://schemas.openxmlformats.org/officeDocument/2006/relationships/hyperlink" Target="https://saranistudio.sharepoint.com/:f:/s/SaraniAssets/Ev4eQ5E6LK9FpwRrEMS07RcB0IULXccl9QbpFO8swhEqLQ?e=GJzhhz" TargetMode="External"/><Relationship Id="rId209" Type="http://schemas.openxmlformats.org/officeDocument/2006/relationships/hyperlink" Target="https://saranistudio-my.sharepoint.com/:b:/g/personal/team_sarani_studio/EVXxf8GXn3NGsV4nAxZbzwgB2zBO3s7hUbd9rDbQV026Dw?e=frRbxu" TargetMode="External"/><Relationship Id="rId190" Type="http://schemas.openxmlformats.org/officeDocument/2006/relationships/hyperlink" Target="https://saranistudio-my.sharepoint.com/:b:/g/personal/team_sarani_studio/EQDBToO7-P9Oq6KrsQatlUgBJqlvDEZo18xwqzPULPxxgw?e=q1Py3a" TargetMode="External"/><Relationship Id="rId204" Type="http://schemas.openxmlformats.org/officeDocument/2006/relationships/hyperlink" Target="https://saranistudio-my.sharepoint.com/:b:/g/personal/team_sarani_studio/EWj-a64JZhFPm4Q9ByDy4j0Bb3HRsCDLkdqXtAk72rcQJA?e=ur1RwR" TargetMode="External"/><Relationship Id="rId220" Type="http://schemas.openxmlformats.org/officeDocument/2006/relationships/hyperlink" Target="https://saranistudio.sharepoint.com/:f:/s/SaraniAssets/Et8D6M7skktIrYvZFohQcvIB6xIgIowCITk-wgHIdAWIzw?e=VZC43c" TargetMode="External"/><Relationship Id="rId225" Type="http://schemas.openxmlformats.org/officeDocument/2006/relationships/hyperlink" Target="https://saranistudio.sharepoint.com/:f:/s/SaraniAssets/EuITalVvCgVLifUzObxZLPUBt97F7NPRbxuuCTyti_mHjA?e=PJPbOL" TargetMode="External"/><Relationship Id="rId15" Type="http://schemas.openxmlformats.org/officeDocument/2006/relationships/hyperlink" Target="https://saranistudio.sharepoint.com/:f:/s/SaraniAssets/EmX5ELm0nD1NlgC2PNcZNVUBMWWuxJoSjT-05kz5BGoygg?e=tVXJE6" TargetMode="External"/><Relationship Id="rId36" Type="http://schemas.openxmlformats.org/officeDocument/2006/relationships/hyperlink" Target="https://saranistudio-my.sharepoint.com/:b:/g/personal/team_sarani_studio/EbPM_DAwpzxGi8MJWKzDjmMBZFSgWJZkwIdaZrjvF49j0A?e=q2V6TA" TargetMode="External"/><Relationship Id="rId57" Type="http://schemas.openxmlformats.org/officeDocument/2006/relationships/hyperlink" Target="https://saranistudio.sharepoint.com/:f:/s/SaraniAssets/Es44QGNG0dBEqFl324HnoiEBdOD09jIDZZLyPqYx1X1K5Q?e=vnbkjL" TargetMode="External"/><Relationship Id="rId106" Type="http://schemas.openxmlformats.org/officeDocument/2006/relationships/hyperlink" Target="https://saranistudio-my.sharepoint.com/:b:/g/personal/team_sarani_studio/ESYbL4mjXLRMs6UcaevqObABGDjZHQRFjAM8MW7LrJFQ6A?e=gIrAqb" TargetMode="External"/><Relationship Id="rId127" Type="http://schemas.openxmlformats.org/officeDocument/2006/relationships/hyperlink" Target="https://saranistudio-my.sharepoint.com/:b:/g/personal/team_sarani_studio/EQEXZrhyENhDtgD6lQFpmTEBitKo7gw7-xu2KkFRim9_Hg?e=2rRRqp" TargetMode="External"/><Relationship Id="rId10" Type="http://schemas.openxmlformats.org/officeDocument/2006/relationships/hyperlink" Target="https://saranistudio.sharepoint.com/:v:/s/SaraniAssets/EfF-0sXJWWxLhB2LWsCbtXgB-ODUMKfg7ETK3vDmKUkHow?e=zEbEFG" TargetMode="External"/><Relationship Id="rId31" Type="http://schemas.openxmlformats.org/officeDocument/2006/relationships/hyperlink" Target="https://saranistudio.sharepoint.com/:f:/s/SaraniAssets/EhLhcC8_VY1Np-I2cTqCAfwBu3v7MF6qm6724_fDG3wPig?e=O7Ncna" TargetMode="External"/><Relationship Id="rId52" Type="http://schemas.openxmlformats.org/officeDocument/2006/relationships/hyperlink" Target="https://saranistudio-my.sharepoint.com/:b:/g/personal/team_sarani_studio/EdCGxQXV6RlHrEmy9Ov_TG8BO-xbCp2wjJsrKOn3UOCElQ?e=ujCy0q" TargetMode="External"/><Relationship Id="rId73" Type="http://schemas.openxmlformats.org/officeDocument/2006/relationships/hyperlink" Target="https://saranistudio-my.sharepoint.com/:b:/g/personal/team_sarani_studio/ESy2m2z2lpFIjqyZraG4JnwBp8V1thQ-SHGqCDzB3UGKpA?e=Aaf1Qw" TargetMode="External"/><Relationship Id="rId78" Type="http://schemas.openxmlformats.org/officeDocument/2006/relationships/hyperlink" Target="https://saranistudio.sharepoint.com/:f:/s/SaraniAssets/Eu_nCFQ6SK9Isef8EeduBfQB3x9XK9LlOs3J2Fted2n8Xg?e=HB9BvN" TargetMode="External"/><Relationship Id="rId94" Type="http://schemas.openxmlformats.org/officeDocument/2006/relationships/hyperlink" Target="https://saranistudio-my.sharepoint.com/:b:/g/personal/team_sarani_studio/EdS8bDBYevVEhyWrGffsZBgBGdo57afkPWeyOlHLc6G_gQ?e=sF5yxw" TargetMode="External"/><Relationship Id="rId99" Type="http://schemas.openxmlformats.org/officeDocument/2006/relationships/hyperlink" Target="https://saranistudio-my.sharepoint.com/:b:/g/personal/team_sarani_studio/Ebt-pdh5iEdBta0TjgPar_4BUnYikwtvXzZ5GXPuCf2zLA?e=3PxdaI" TargetMode="External"/><Relationship Id="rId101" Type="http://schemas.openxmlformats.org/officeDocument/2006/relationships/hyperlink" Target="https://saranistudio-my.sharepoint.com/:b:/g/personal/team_sarani_studio/EeJbqSKnzlVDurO5UWSfLB8BX_sHy9ohQtD2nbbyj5V-kA?e=oJDVf9" TargetMode="External"/><Relationship Id="rId122" Type="http://schemas.openxmlformats.org/officeDocument/2006/relationships/hyperlink" Target="https://saranistudio-my.sharepoint.com/:b:/g/personal/team_sarani_studio/EbSi4V7U8btDtYjnkpfpHNsB141N6oFW0oBuutAq84vF8w?e=giuPvs" TargetMode="External"/><Relationship Id="rId143" Type="http://schemas.openxmlformats.org/officeDocument/2006/relationships/hyperlink" Target="https://saranistudio.sharepoint.com/:f:/s/SaraniAssets/Ep9o58PdGp5IjYsQrFpoeJwB92cBpeuRhrkq3UHvyOBgbA?e=zyfgLI" TargetMode="External"/><Relationship Id="rId148" Type="http://schemas.openxmlformats.org/officeDocument/2006/relationships/hyperlink" Target="https://saranistudio-my.sharepoint.com/:b:/g/personal/team_sarani_studio/EQzDe__YMRNNhrjQxq5FmLoBPJhKP9X5FWGXtWHBfa6rUA?e=JvEfNl" TargetMode="External"/><Relationship Id="rId164" Type="http://schemas.openxmlformats.org/officeDocument/2006/relationships/hyperlink" Target="https://saranistudio-my.sharepoint.com/:b:/g/personal/team_sarani_studio/EdZbvHiKdglBvi_b1O2ihAkBbSJfaBUon1oSpUcsiyUG6A?e=FWTlKr" TargetMode="External"/><Relationship Id="rId169" Type="http://schemas.openxmlformats.org/officeDocument/2006/relationships/hyperlink" Target="https://saranistudio-my.sharepoint.com/:b:/g/personal/team_sarani_studio/EbXOZXULxeJOgRKi3vQ48qABRGVLcay7fqVnAlZw3_RtPA?e=r6hsTe" TargetMode="External"/><Relationship Id="rId185" Type="http://schemas.openxmlformats.org/officeDocument/2006/relationships/hyperlink" Target="https://saranistudio-my.sharepoint.com/:b:/g/personal/team_sarani_studio/EbbiBJOiIV5KraJ33z8xxG0BxdC2Dl33pMTNuPQffvsP9A?e=ovlVOs" TargetMode="External"/><Relationship Id="rId4" Type="http://schemas.openxmlformats.org/officeDocument/2006/relationships/hyperlink" Target="https://saranistudio-my.sharepoint.com/:f:/g/personal/team_sarani_studio/EuVze90-Qd9Ln5Vu3flHsbsBVfFhbWmBUE093oJvEc5Q4w?e=aeap43" TargetMode="External"/><Relationship Id="rId9" Type="http://schemas.openxmlformats.org/officeDocument/2006/relationships/hyperlink" Target="https://saranistudio.sharepoint.com/:f:/s/SaraniAssets/EmXHactwXf9IgjJiSaXqsucB6PCEbi3v4eOV96OZpVvELw?e=7CcX6a" TargetMode="External"/><Relationship Id="rId180" Type="http://schemas.openxmlformats.org/officeDocument/2006/relationships/hyperlink" Target="https://saranistudio.sharepoint.com/:f:/s/SaraniAssets/EvqFxhsiEHxPt5ZIJQj3hIoBJsazRio_lXZ2Sg0iGO6ztw?e=zA9tHo" TargetMode="External"/><Relationship Id="rId210" Type="http://schemas.openxmlformats.org/officeDocument/2006/relationships/hyperlink" Target="https://saranistudio.sharepoint.com/:f:/r/sites/SaraniAssets/Shared%20Documents/03.%20Customers/02.%20Sony/06.%20Sony%20Professional/Sales%20Campaign%20Proposal%20%E2%80%93%20Sony%20BRAVIA%20Fantasy%20League%20(July%202025%20%E2%80%93%20March%202026)?csf=1&amp;web=1&amp;e=oivlMt" TargetMode="External"/><Relationship Id="rId215" Type="http://schemas.openxmlformats.org/officeDocument/2006/relationships/hyperlink" Target="https://saranistudio-my.sharepoint.com/:b:/g/personal/team_sarani_studio/EQCnbrZ8zAhLk28iFxvzJ50BeWvzVfOEZ-vM_qZNj2-fkg?e=k8KYkg" TargetMode="External"/><Relationship Id="rId236" Type="http://schemas.openxmlformats.org/officeDocument/2006/relationships/hyperlink" Target="https://saranistudio.sharepoint.com/:b:/s/SaraniAssets/IQD0HaFQVw_LSYyeF-x9a3-RAfUUeheEzON6eMwlNkkengw?e=Qked1f" TargetMode="External"/><Relationship Id="rId26" Type="http://schemas.openxmlformats.org/officeDocument/2006/relationships/hyperlink" Target="https://saranistudio.sharepoint.com/:f:/s/SaraniAssets/Egdrbs8PP-BPi7RsaOsoBb8B_XFk7LFDGOPKfChUanGHsg?e=J2L0zt" TargetMode="External"/><Relationship Id="rId231" Type="http://schemas.openxmlformats.org/officeDocument/2006/relationships/hyperlink" Target="https://saranistudio.sharepoint.com/:f:/s/SaraniAssets/Enujg3THCohBtOkT0-hSNrgBk0iA6nTNvpnMyiaP47XySg?e=hlWh0d" TargetMode="External"/><Relationship Id="rId47" Type="http://schemas.openxmlformats.org/officeDocument/2006/relationships/hyperlink" Target="https://saranistudio-my.sharepoint.com/:b:/g/personal/team_sarani_studio/EaEFiDk5AodDqf8Pzmk1sVoBrTgDxb8RcoXhYiIQVdxoAA?e=1mrsok" TargetMode="External"/><Relationship Id="rId68" Type="http://schemas.openxmlformats.org/officeDocument/2006/relationships/hyperlink" Target="https://saranistudio.sharepoint.com/:f:/s/SaraniAssets/EpXGuW932oJKlN5b_YjQ_4QBzdKw14dXfwnBbR3MkZeT3Q?e=1CGOya" TargetMode="External"/><Relationship Id="rId89" Type="http://schemas.openxmlformats.org/officeDocument/2006/relationships/hyperlink" Target="https://saranistudio.sharepoint.com/:f:/s/SaraniAssets/EgVQiyygHQNEou1N-PIDKvAB-3koHmMVyK1zFzCeVSMCoQ?e=tnubov" TargetMode="External"/><Relationship Id="rId112" Type="http://schemas.openxmlformats.org/officeDocument/2006/relationships/hyperlink" Target="https://saranistudio-my.sharepoint.com/:b:/g/personal/team_sarani_studio/ESQWAdOA6vxCi1O94mgkj8gBCPpDbYEqNMEiyDoM4kPg7Q?e=43YcvS" TargetMode="External"/><Relationship Id="rId133" Type="http://schemas.openxmlformats.org/officeDocument/2006/relationships/hyperlink" Target="https://saranistudio-my.sharepoint.com/:b:/g/personal/team_sarani_studio/EdK2h8RjtEVHsqtOgx5U2GABEaEYAKW3x0BMoB6Me5_xag?e=KZHLTc" TargetMode="External"/><Relationship Id="rId154" Type="http://schemas.openxmlformats.org/officeDocument/2006/relationships/hyperlink" Target="https://saranistudio.sharepoint.com/:f:/r/sites/SaraniAssets/Shared%20Documents/03.%20Customers/02.%20Sony/06.%20Sony%20Professional/20240813_TEOS%20Carousel?csf=1&amp;web=1&amp;e=cyQuRp" TargetMode="External"/><Relationship Id="rId175" Type="http://schemas.openxmlformats.org/officeDocument/2006/relationships/hyperlink" Target="https://saranistudio.sharepoint.com/:f:/s/SaraniAssets/EoXPuPM_-T5Ekoap__Y_NMEBD5kCiR8gKP5hiGDRHPhjsA?e=WMxn04" TargetMode="External"/><Relationship Id="rId196" Type="http://schemas.openxmlformats.org/officeDocument/2006/relationships/hyperlink" Target="https://saranistudio.sharepoint.com/:f:/s/SaraniAssets/Ep3S9MZHokRLso1h2D_dBMkBn5nRdDknpeQPl1kF7D5sXA?e=xPprxu" TargetMode="External"/><Relationship Id="rId200" Type="http://schemas.openxmlformats.org/officeDocument/2006/relationships/hyperlink" Target="https://saranistudio-my.sharepoint.com/:b:/g/personal/team_sarani_studio/EZ_Mp5CM0chGo4xvgMrBUwkByeKMjH9g6O3-np3iI9Sqyg?e=Y7xI0y" TargetMode="External"/><Relationship Id="rId16" Type="http://schemas.openxmlformats.org/officeDocument/2006/relationships/hyperlink" Target="https://saranistudio.sharepoint.com/:f:/s/SaraniAssets/Es8cHnGKZ-hLvB8g2sNdAg4BueN4I6bPtmfrnh3_Bak9iA?e=iCGbrR" TargetMode="External"/><Relationship Id="rId221" Type="http://schemas.openxmlformats.org/officeDocument/2006/relationships/hyperlink" Target="https://saranistudio.sharepoint.com/:b:/s/SaraniAssets/ESZE2TwoWo1BsjM46VlBXqsBsSO0_XF76GfP4SHjArDVbA?e=310NFh" TargetMode="External"/><Relationship Id="rId37" Type="http://schemas.openxmlformats.org/officeDocument/2006/relationships/hyperlink" Target="https://saranistudio-my.sharepoint.com/:b:/g/personal/team_sarani_studio/ER-vLdRgIxdGu4q27n4BkEwB88fil4HMR1xCdpi0I0svKg?e=AuDjN9" TargetMode="External"/><Relationship Id="rId58" Type="http://schemas.openxmlformats.org/officeDocument/2006/relationships/hyperlink" Target="https://saranistudio.sharepoint.com/:f:/s/SaraniAssets/ErK-ZhHsGvxIp7fStALUNkYBSxEfuYrnPZGe8pDYB8mlog?e=fmNqck" TargetMode="External"/><Relationship Id="rId79" Type="http://schemas.openxmlformats.org/officeDocument/2006/relationships/hyperlink" Target="https://saranistudio-my.sharepoint.com/:b:/g/personal/team_sarani_studio/EbIot3JuxE5KmKtQDLzxHjMBTBEEf4TPG-8O1fbZHl4C5w?e=MIj5B6" TargetMode="External"/><Relationship Id="rId102" Type="http://schemas.openxmlformats.org/officeDocument/2006/relationships/hyperlink" Target="https://saranistudio-my.sharepoint.com/:b:/g/personal/team_sarani_studio/ESYMy2DIEE9KnPhneDWx5WcB1MBafyYSqPx2HCjtgGqGDQ?e=N9YnVg" TargetMode="External"/><Relationship Id="rId123" Type="http://schemas.openxmlformats.org/officeDocument/2006/relationships/hyperlink" Target="https://saranistudio-my.sharepoint.com/:b:/g/personal/team_sarani_studio/ERj2i4mVFnpOhx8A-sqR93YBe0luTYzh7upjAHgqhQzKEg?e=XcYm13" TargetMode="External"/><Relationship Id="rId144" Type="http://schemas.openxmlformats.org/officeDocument/2006/relationships/hyperlink" Target="https://saranistudio.sharepoint.com/:f:/s/SaraniAssets/Eo5fanx_9GFChNBh9VyDfFQBq1mobXMIlG-zb-yKrqUHWQ?e=j2qwcL" TargetMode="External"/><Relationship Id="rId90" Type="http://schemas.openxmlformats.org/officeDocument/2006/relationships/hyperlink" Target="https://saranistudio.sharepoint.com/:f:/s/SaraniAssets/EjFmOaP70YhGqJxrGFR6zpIB2uNlE4XhFy6vbggMJBJMgA?e=cfnqme" TargetMode="External"/><Relationship Id="rId165" Type="http://schemas.openxmlformats.org/officeDocument/2006/relationships/hyperlink" Target="https://saranistudio-my.sharepoint.com/:b:/g/personal/team_sarani_studio/EcvouuEinmFIptRTYWctSu4B82elvfjnz36nBaNSiqtmYA?e=jyYxc2" TargetMode="External"/><Relationship Id="rId186" Type="http://schemas.openxmlformats.org/officeDocument/2006/relationships/hyperlink" Target="https://saranistudio-my.sharepoint.com/:b:/g/personal/team_sarani_studio/Eay1s_rmJmBGqvNtFpuvizgBZfp0kDJw0t8uU3CSF3S4zw?e=JKLXlE" TargetMode="External"/><Relationship Id="rId211" Type="http://schemas.openxmlformats.org/officeDocument/2006/relationships/hyperlink" Target="https://saranistudio.sharepoint.com/:f:/s/SaraniAssets/Eq-MNAkmpwNLnpm2bbjuG3oBa7mvWzH1Mn9u7nc6rhjy5A?e=eA2KP8" TargetMode="External"/><Relationship Id="rId232" Type="http://schemas.openxmlformats.org/officeDocument/2006/relationships/hyperlink" Target="https://saranistudio.sharepoint.com/:b:/s/SaraniAssets/EdXO3AzbVytOss-EfhLZo9sBgijtXui9xFBmu8vNaGSm3A?e=5kohTX" TargetMode="External"/><Relationship Id="rId27" Type="http://schemas.openxmlformats.org/officeDocument/2006/relationships/hyperlink" Target="https://saranistudio.sharepoint.com/:f:/s/SaraniAssets/EvdxCIz2jXJDoc-DLy3eFRUBFXlxsKj1I030K9bTKonkEA?e=Keo8vM" TargetMode="External"/><Relationship Id="rId48" Type="http://schemas.openxmlformats.org/officeDocument/2006/relationships/hyperlink" Target="https://saranistudio-my.sharepoint.com/:b:/g/personal/team_sarani_studio/ETvR84w2OflFoPYm6w2CvOsBk_Su3mkz5SN_1nI65uZpBw?e=lKtxd5" TargetMode="External"/><Relationship Id="rId69" Type="http://schemas.openxmlformats.org/officeDocument/2006/relationships/hyperlink" Target="https://saranistudio-my.sharepoint.com/:b:/g/personal/team_sarani_studio/EXGuT7YGXFpMgRFdm_rGzKwBDR4zVJN-XL1p16OJkQBmJg?e=aMa53e" TargetMode="External"/><Relationship Id="rId113" Type="http://schemas.openxmlformats.org/officeDocument/2006/relationships/hyperlink" Target="https://saranistudio-my.sharepoint.com/:b:/g/personal/team_sarani_studio/EYW1VQGhshFBkBm8Rpiw10sB12W1Ax8QMpdLoX2qeLXWrA?e=JJdbY5" TargetMode="External"/><Relationship Id="rId134" Type="http://schemas.openxmlformats.org/officeDocument/2006/relationships/hyperlink" Target="https://saranistudio-my.sharepoint.com/:b:/g/personal/team_sarani_studio/EXkR80MGUolEoLYFBj77OtwBJGJnMIkAz8gYeEzEun0V_A?e=hcY23h" TargetMode="External"/><Relationship Id="rId80" Type="http://schemas.openxmlformats.org/officeDocument/2006/relationships/hyperlink" Target="https://saranistudio-my.sharepoint.com/:b:/g/personal/team_sarani_studio/EbmeifB06C9NkYCqkDlVX_QBQQ6xj0hB9Pq1hDTmoZOwZQ?e=h59XS9" TargetMode="External"/><Relationship Id="rId155" Type="http://schemas.openxmlformats.org/officeDocument/2006/relationships/hyperlink" Target="https://saranistudio.sharepoint.com/:f:/s/SaraniAssets/EkDkQDqaKqBEhypqnFsve3oBgChj6feDUhTJrV984qWl4Q?e=cGAqb4" TargetMode="External"/><Relationship Id="rId176" Type="http://schemas.openxmlformats.org/officeDocument/2006/relationships/hyperlink" Target="https://saranistudio.sharepoint.com/:f:/s/SaraniAssets/Ev0hLAR4yHVHvWD8tsHuJLIBhC4jTqnv1sf461P1CSKKag?e=kUYvk3" TargetMode="External"/><Relationship Id="rId197" Type="http://schemas.openxmlformats.org/officeDocument/2006/relationships/hyperlink" Target="https://saranistudio-my.sharepoint.com/:b:/g/personal/team_sarani_studio/Edy1XAipON1Mrr79CgTC2nYBynzzuJ7rv4rLInYwcb6Brg?e=LsJOPz" TargetMode="External"/><Relationship Id="rId201" Type="http://schemas.openxmlformats.org/officeDocument/2006/relationships/hyperlink" Target="https://saranistudio.sharepoint.com/:f:/s/SaraniAssets/EswpBeZzZ0hEvmKNuaKF8y0Bf_SVjUgJw9b08RmG7eRyCQ?e=yMOqrl" TargetMode="External"/><Relationship Id="rId222" Type="http://schemas.openxmlformats.org/officeDocument/2006/relationships/hyperlink" Target="https://saranistudio.sharepoint.com/:b:/s/SaraniAssets/EVA21p8twYpKhVMJpRAuiI0B9ln2wqR-7SO5yIZnJlKjYQ?e=WjXxgL" TargetMode="External"/><Relationship Id="rId17" Type="http://schemas.openxmlformats.org/officeDocument/2006/relationships/hyperlink" Target="https://saranistudio-my.sharepoint.com/:b:/g/personal/team_sarani_studio/EVuHIKpFROBDgysHzx96XW8BkA1lq8l5MH3nj2Pc8sR84g?e=FU3ecK" TargetMode="External"/><Relationship Id="rId38" Type="http://schemas.openxmlformats.org/officeDocument/2006/relationships/hyperlink" Target="https://saranistudio-my.sharepoint.com/:b:/g/personal/team_sarani_studio/EciiAFcbb0pFtRhxkCcxA2kBwIAbUPb2X1-mKbg1D6yMBQ?e=dEXrV8" TargetMode="External"/><Relationship Id="rId59" Type="http://schemas.openxmlformats.org/officeDocument/2006/relationships/hyperlink" Target="https://saranistudio.sharepoint.com/:f:/s/SaraniAssets/EhCw2hXXlSpFnAz0t_GRlbYBzQApchCFY7hTM3i6GCS7mg?e=8DoqW6" TargetMode="External"/><Relationship Id="rId103" Type="http://schemas.openxmlformats.org/officeDocument/2006/relationships/hyperlink" Target="https://saranistudio-my.sharepoint.com/:b:/g/personal/team_sarani_studio/EXIrpcIYYDpBhIvCrzeMSzcBWzgQNPp7w_0EIdGtgaJQoQ?e=6UJf2s" TargetMode="External"/><Relationship Id="rId124" Type="http://schemas.openxmlformats.org/officeDocument/2006/relationships/hyperlink" Target="https://saranistudio.sharepoint.com/:f:/s/SaraniAssets/EoYNT9S44YxAlcXt0kstq74BOuOaDDTWMzIVd9c65nz1yw?e=5VOrkw" TargetMode="External"/><Relationship Id="rId70" Type="http://schemas.openxmlformats.org/officeDocument/2006/relationships/hyperlink" Target="https://saranistudio-my.sharepoint.com/:b:/g/personal/team_sarani_studio/ESuVKmACb8JJjG5r4JjqQlIBTTHhwS5VuXyCctp8GqamcQ?e=kPRc15" TargetMode="External"/><Relationship Id="rId91" Type="http://schemas.openxmlformats.org/officeDocument/2006/relationships/hyperlink" Target="https://saranistudio-my.sharepoint.com/:b:/g/personal/team_sarani_studio/EVAQfqwByxRHm6FGp5DVgVgBNp_Bky6MyD-phoy2h-HdSg?e=IDCalZ" TargetMode="External"/><Relationship Id="rId145" Type="http://schemas.openxmlformats.org/officeDocument/2006/relationships/hyperlink" Target="https://saranistudio-my.sharepoint.com/:b:/g/personal/team_sarani_studio/EaiodtAQVYlMsZhhLtT1660BWZNyqe_FutTYO_w0tYgl7w?e=dV8fGH" TargetMode="External"/><Relationship Id="rId166" Type="http://schemas.openxmlformats.org/officeDocument/2006/relationships/hyperlink" Target="https://saranistudio.sharepoint.com/:f:/s/SaraniAssets/Et8hJFjaRItBsTkVEmjQpRwBnGhBMMQHEx8De1lEAVeCVQ?e=OerAj0" TargetMode="External"/><Relationship Id="rId187" Type="http://schemas.openxmlformats.org/officeDocument/2006/relationships/hyperlink" Target="https://saranistudio.sharepoint.com/:f:/s/SaraniAssets/Emw7aS6BTGhLjqHI6kUX7jwBoNSjQisddrA7QWrbwiGRVg?e=30jWrE" TargetMode="External"/><Relationship Id="rId1" Type="http://schemas.openxmlformats.org/officeDocument/2006/relationships/hyperlink" Target="https://saranistudio-my.sharepoint.com/:f:/g/personal/team_sarani_studio/EhhRwjg8YCxAgLpx7vbn7G0BT5nb4jpi9-31UiiNW7oy9g?e=eSeWfg" TargetMode="External"/><Relationship Id="rId212" Type="http://schemas.openxmlformats.org/officeDocument/2006/relationships/hyperlink" Target="https://saranistudio-my.sharepoint.com/:b:/g/personal/team_sarani_studio/EWIJlOmg4YZGgtLFmySu1kABZ3IeZ4z6fSrOLDENAHhRWA?e=GbeBSl" TargetMode="External"/><Relationship Id="rId233" Type="http://schemas.openxmlformats.org/officeDocument/2006/relationships/hyperlink" Target="https://saranistudio.sharepoint.com/:f:/s/SaraniAssets/IgCJn1Z-lzGFTbNJUQH7xC3TAbatmB_brgJjTThEHO37QGo?e=QW9Vdx" TargetMode="External"/><Relationship Id="rId28" Type="http://schemas.openxmlformats.org/officeDocument/2006/relationships/hyperlink" Target="https://saranistudio.sharepoint.com/:f:/s/SaraniAssets/EoiL0QvEBH5NiYw82K4BsTsB43p1z3ZhyvVc_FSUNMr-5w?e=iXIy3Q" TargetMode="External"/><Relationship Id="rId49" Type="http://schemas.openxmlformats.org/officeDocument/2006/relationships/hyperlink" Target="https://saranistudio.sharepoint.com/:f:/s/SaraniAssets/Eq-RgIxo6ihEuzu9pbEFicwBKiI5e0xSf6PvBaxYJ_xgnw?e=3nI3fI" TargetMode="External"/><Relationship Id="rId114" Type="http://schemas.openxmlformats.org/officeDocument/2006/relationships/hyperlink" Target="https://saranistudio.sharepoint.com/:f:/s/SaraniAssets/Er3ynIw3I5tAuKbohU7doFIByhvgt5XulKY9ejc7GkQsoQ?e=MqZppi" TargetMode="External"/><Relationship Id="rId60" Type="http://schemas.openxmlformats.org/officeDocument/2006/relationships/hyperlink" Target="https://saranistudio.sharepoint.com/:f:/s/SaraniAssets/EmjvrptP8gBLimgj7y5nzoMB-8ajZb0V0UKvsskM1C0xTA?e=lD6OvU" TargetMode="External"/><Relationship Id="rId81" Type="http://schemas.openxmlformats.org/officeDocument/2006/relationships/hyperlink" Target="https://saranistudio-my.sharepoint.com/:b:/g/personal/team_sarani_studio/ERM8WquNr6FMlA2Bln3P_bsBxnwiDkTBCRQfSIou-aMWTg?e=7PcGAJ" TargetMode="External"/><Relationship Id="rId135" Type="http://schemas.openxmlformats.org/officeDocument/2006/relationships/hyperlink" Target="https://saranistudio-my.sharepoint.com/:b:/g/personal/team_sarani_studio/EWfr16jFQ1dKq2NF9WYCWNIBznKYzjc41hQztYQLunt4Ug?e=lhXmW8" TargetMode="External"/><Relationship Id="rId156" Type="http://schemas.openxmlformats.org/officeDocument/2006/relationships/hyperlink" Target="https://saranistudio.sharepoint.com/:f:/s/SaraniAssets/ErFHH7kSroBHgiqol1JgPWoBpkcb2YwEegpfy3EyNazHdg?e=PfmEzr" TargetMode="External"/><Relationship Id="rId177" Type="http://schemas.openxmlformats.org/officeDocument/2006/relationships/hyperlink" Target="https://saranistudio-my.sharepoint.com/:b:/g/personal/team_sarani_studio/EbXOZXULxeJOgRKi3vQ48qABRGVLcay7fqVnAlZw3_RtPA?e=r6hsTe" TargetMode="External"/><Relationship Id="rId198" Type="http://schemas.openxmlformats.org/officeDocument/2006/relationships/hyperlink" Target="https://saranistudio-my.sharepoint.com/:b:/g/personal/team_sarani_studio/EbHoj90CjENDqbVGmAaBUhABgcaQXO3KFikfgE2-L4i6xw?e=utSQ1t" TargetMode="External"/><Relationship Id="rId202" Type="http://schemas.openxmlformats.org/officeDocument/2006/relationships/hyperlink" Target="https://saranistudio-my.sharepoint.com/:b:/g/personal/team_sarani_studio/EZy1ptdf8mREmZGo8AoKWH4Bu9qk0XyezVfEdkkcJTF7eQ?e=5pIdbd" TargetMode="External"/><Relationship Id="rId223" Type="http://schemas.openxmlformats.org/officeDocument/2006/relationships/hyperlink" Target="https://saranistudio.sharepoint.com/:f:/s/SaraniAssets/EuMhkBeEPsZMrxGVv0hkq3gB-nkLCOgFjdsKWMGW_AQx3A?e=oxHuWv" TargetMode="External"/><Relationship Id="rId18" Type="http://schemas.openxmlformats.org/officeDocument/2006/relationships/hyperlink" Target="https://saranistudio-my.sharepoint.com/:b:/g/personal/team_sarani_studio/EYbpHD4MNzJCgGDvJ5yBX-cBOsCucUCf85sOa_xfvIc12g?e=VmPsLc" TargetMode="External"/><Relationship Id="rId39" Type="http://schemas.openxmlformats.org/officeDocument/2006/relationships/hyperlink" Target="https://saranistudio-my.sharepoint.com/:b:/g/personal/team_sarani_studio/Ea2WbZlSEwJAjA7ys2rEofYBBM-qLN0rNqXeWKAcRYKihQ?e=cPy9ib" TargetMode="External"/><Relationship Id="rId50" Type="http://schemas.openxmlformats.org/officeDocument/2006/relationships/hyperlink" Target="https://saranistudio-my.sharepoint.com/:b:/g/personal/team_sarani_studio/EbUyMCGLDv1KlvZ8ZgEP2FQBNMR61wtKfBfO5SfhiaW1Cw?e=Jf0J9Y" TargetMode="External"/><Relationship Id="rId104" Type="http://schemas.openxmlformats.org/officeDocument/2006/relationships/hyperlink" Target="https://saranistudio-my.sharepoint.com/:b:/g/personal/team_sarani_studio/EQgFQ3BVHNhIqsDbhbssjQUB7NqqKLrmhoezohEbK9019Q?e=RLNSAq" TargetMode="External"/><Relationship Id="rId125" Type="http://schemas.openxmlformats.org/officeDocument/2006/relationships/hyperlink" Target="https://saranistudio.sharepoint.com/:f:/s/SaraniAssets/EmEwVdjCjPJClH2q0opZYuwBUonzPGdTdofoiDdlG8Mhwg?e=NTb1OH" TargetMode="External"/><Relationship Id="rId146" Type="http://schemas.openxmlformats.org/officeDocument/2006/relationships/hyperlink" Target="https://saranistudio-my.sharepoint.com/:b:/g/personal/team_sarani_studio/EQWWuG1psdxJtWjj_sQz1P8B6c458pw7j2K6QlERNVchrw?e=aydcsQ" TargetMode="External"/><Relationship Id="rId167" Type="http://schemas.openxmlformats.org/officeDocument/2006/relationships/hyperlink" Target="https://saranistudio-my.sharepoint.com/:b:/g/personal/team_sarani_studio/EZ7b2DcEbm1AvJ5HO7tIomoB5bMnZHuJg1D55RDxQN13VQ?e=vesR3I" TargetMode="External"/><Relationship Id="rId188" Type="http://schemas.openxmlformats.org/officeDocument/2006/relationships/hyperlink" Target="https://saranistudio.sharepoint.com/:f:/s/SaraniAssets/Er5YT3PWkvFOjopPpEc5-JsBLAmPeUE7ZrmHKlMbU_9Blw?e=5fGQXu" TargetMode="External"/><Relationship Id="rId71" Type="http://schemas.openxmlformats.org/officeDocument/2006/relationships/hyperlink" Target="https://saranistudio-my.sharepoint.com/:b:/g/personal/team_sarani_studio/EahMm1QekhxPimRmQNvhMosBfo9TGsnFiay9DY2iKzw7aw?e=Jn1Xwx" TargetMode="External"/><Relationship Id="rId92" Type="http://schemas.openxmlformats.org/officeDocument/2006/relationships/hyperlink" Target="https://saranistudio-my.sharepoint.com/:b:/g/personal/team_sarani_studio/EeRX8KWP0WRPnPHbuuAcbIwB3YeZt7HFxNSUi0AJ0I3QJg?e=47pern" TargetMode="External"/><Relationship Id="rId213" Type="http://schemas.openxmlformats.org/officeDocument/2006/relationships/hyperlink" Target="https://saranistudio-my.sharepoint.com/:b:/g/personal/team_sarani_studio/ERTIr_C3kM9KvSGjgbYPMhYBcWeKJZSmKEkkAO1e12wVaA?e=AoBzpJ" TargetMode="External"/><Relationship Id="rId234" Type="http://schemas.openxmlformats.org/officeDocument/2006/relationships/hyperlink" Target="https://saranistudio.sharepoint.com/:f:/s/SaraniAssets/IgBrcvzUWshjQ4YSxXiDYydJARzmBRWoO4_TEEJKRglDzwQ?e=zOQYJw" TargetMode="External"/><Relationship Id="rId2" Type="http://schemas.openxmlformats.org/officeDocument/2006/relationships/hyperlink" Target="https://saranistudio-my.sharepoint.com/:f:/g/personal/team_sarani_studio/EgvTUPgcIIFBrxRDM9FRid0BMb3Ua0BISOhuNRqhI2Ensg?e=dmSUsx" TargetMode="External"/><Relationship Id="rId29" Type="http://schemas.openxmlformats.org/officeDocument/2006/relationships/hyperlink" Target="https://saranistudio.sharepoint.com/:f:/s/SaraniAssets/EhV0qCtHMSRPv49Ky-0mH4EB5uqjcSWp77hwrwbd5RIf0w?e=6IMFEq" TargetMode="External"/><Relationship Id="rId40" Type="http://schemas.openxmlformats.org/officeDocument/2006/relationships/hyperlink" Target="https://saranistudio-my.sharepoint.com/:b:/g/personal/team_sarani_studio/ETF-sAO3_6RKgCeWv2ojCuQB7LnapwVGMbDRu-dWA8a4Aw?e=Sqw6Iz" TargetMode="External"/><Relationship Id="rId115" Type="http://schemas.openxmlformats.org/officeDocument/2006/relationships/hyperlink" Target="https://saranistudio.sharepoint.com/:f:/s/SaraniAssets/Ejm2-nbB07FHteoFfKdgbFUBipTQd5eCJF4ZXEFAz4KhPw?e=hHLoPe" TargetMode="External"/><Relationship Id="rId136" Type="http://schemas.openxmlformats.org/officeDocument/2006/relationships/hyperlink" Target="https://saranistudio-my.sharepoint.com/:b:/g/personal/team_sarani_studio/ERH-VTNn2VhNp4oXJi4owx4B9WvEKJOZ2FI1waf_b0UMKA?e=nyuaMf" TargetMode="External"/><Relationship Id="rId157" Type="http://schemas.openxmlformats.org/officeDocument/2006/relationships/hyperlink" Target="https://saranistudio.sharepoint.com/:f:/s/SaraniAssets/EgWDFwOGpJZNmp4IxOZeTSgBV1GdGnIPZQ1kwyX4Czd9Cg?e=CWWsgF" TargetMode="External"/><Relationship Id="rId178" Type="http://schemas.openxmlformats.org/officeDocument/2006/relationships/hyperlink" Target="https://saranistudio.sharepoint.com/:f:/s/SaraniAssets/Eku7TAljuMVKi_jZN-9wQFkBgoMaFe0-3Js3ZVC12SsicQ?e=8xdmCI" TargetMode="External"/><Relationship Id="rId61" Type="http://schemas.openxmlformats.org/officeDocument/2006/relationships/hyperlink" Target="https://saranistudio-my.sharepoint.com/:b:/g/personal/team_sarani_studio/Ecx_7wfu5fhKmJ_ZM0Ei9HoBG14scGlJAf3sNCedOPMnKA?e=VfrMja" TargetMode="External"/><Relationship Id="rId82" Type="http://schemas.openxmlformats.org/officeDocument/2006/relationships/hyperlink" Target="https://saranistudio.sharepoint.com/:f:/s/SaraniAssets/Enn5l6Da6AtDoFfj23CTHSwBA_BEdWaGWTSDJ9DVu3HiOg?e=y0phF2" TargetMode="External"/><Relationship Id="rId199" Type="http://schemas.openxmlformats.org/officeDocument/2006/relationships/hyperlink" Target="https://saranistudio-my.sharepoint.com/:b:/g/personal/team_sarani_studio/EevhGjUAdPlGofxLv_ma_RABlezkOgx5ez2aE9LXtN898Q?e=dubTJW" TargetMode="External"/><Relationship Id="rId203" Type="http://schemas.openxmlformats.org/officeDocument/2006/relationships/hyperlink" Target="https://saranistudio-my.sharepoint.com/:b:/g/personal/team_sarani_studio/EUZYDi6FCMhLgKRXpuNZvcMBwh2YqcezVkWO6dm3C7yVaA?e=8tktsA" TargetMode="External"/><Relationship Id="rId19" Type="http://schemas.openxmlformats.org/officeDocument/2006/relationships/hyperlink" Target="https://saranistudio-my.sharepoint.com/:b:/g/personal/team_sarani_studio/EUrhgg8fPqNNnEIKPVpD7uQB1MyOIZQ2vr0r9VT6ERAK1w?e=PfClES" TargetMode="External"/><Relationship Id="rId224" Type="http://schemas.openxmlformats.org/officeDocument/2006/relationships/hyperlink" Target="https://saranistudio.sharepoint.com/:b:/s/SaraniAssets/EfMDERYfxKlPnttiM6cEwPkBJGNVWoJqEf5toE5cdG5NAg?e=S6HeQ4" TargetMode="External"/><Relationship Id="rId30" Type="http://schemas.openxmlformats.org/officeDocument/2006/relationships/hyperlink" Target="https://saranistudio.sharepoint.com/:f:/s/SaraniAssets/Enp2YV0AIt5FieQ8jc_gpCMBI_6Z3IV2KpV10GMKyZ_WDQ?e=ephdMH" TargetMode="External"/><Relationship Id="rId105" Type="http://schemas.openxmlformats.org/officeDocument/2006/relationships/hyperlink" Target="https://saranistudio.sharepoint.com/:f:/s/SaraniAssets/Eltj2TjiCWBEvPvAH0vyxj4BV1awYxybK0q9zypyXhNixg?e=e8Oxle" TargetMode="External"/><Relationship Id="rId126" Type="http://schemas.openxmlformats.org/officeDocument/2006/relationships/hyperlink" Target="https://saranistudio.sharepoint.com/:f:/s/SaraniAssets/EqK_nqXGZ_BKoG4TtOanoXsBrsBqUtrIMYN5m31PJkK53Q?e=Elw9kC" TargetMode="External"/><Relationship Id="rId147" Type="http://schemas.openxmlformats.org/officeDocument/2006/relationships/hyperlink" Target="https://saranistudio.sharepoint.com/:f:/s/SaraniAssets/EpU2mv_CrLlNucEh71ZNrAUBUv6LnDUnTGaNh2z7DjJBEA?e=CPjyF3" TargetMode="External"/><Relationship Id="rId168" Type="http://schemas.openxmlformats.org/officeDocument/2006/relationships/hyperlink" Target="https://saranistudio-my.sharepoint.com/:b:/g/personal/team_sarani_studio/ES5GBBRRh7ZOkKvDLYn60tYBnSBvvxAQYl4ChZqQw-VfNg?e=j2zv5C" TargetMode="External"/><Relationship Id="rId51" Type="http://schemas.openxmlformats.org/officeDocument/2006/relationships/hyperlink" Target="https://saranistudio-my.sharepoint.com/:b:/g/personal/team_sarani_studio/EQYywmfnqUVDspz7kH3B0VYB1Bwbvqk33C90vTks_kaxUA?e=WeSe3M" TargetMode="External"/><Relationship Id="rId72" Type="http://schemas.openxmlformats.org/officeDocument/2006/relationships/hyperlink" Target="https://saranistudio-my.sharepoint.com/:b:/g/personal/team_sarani_studio/Eds_-_KHWihDvdTmT4k59ZMB9hYe2257wbFw7jwU1VCXsQ?e=zm5QIr" TargetMode="External"/><Relationship Id="rId93" Type="http://schemas.openxmlformats.org/officeDocument/2006/relationships/hyperlink" Target="https://saranistudio-my.sharepoint.com/:b:/g/personal/team_sarani_studio/EWAxgboDPC1FvSOyhGxW_tABFfhhRvGF6xgMCgvFpOlXKQ?e=i2wqht" TargetMode="External"/><Relationship Id="rId189" Type="http://schemas.openxmlformats.org/officeDocument/2006/relationships/hyperlink" Target="https://saranistudio-my.sharepoint.com/:b:/g/personal/team_sarani_studio/EWoxvbek6WZAhYW7ZOn0TnYBQ7OVe1m2mgthgciOrRtGAA?e=9udiFt" TargetMode="External"/><Relationship Id="rId3" Type="http://schemas.openxmlformats.org/officeDocument/2006/relationships/hyperlink" Target="https://saranistudio-my.sharepoint.com/:f:/g/personal/team_sarani_studio/EtJoIHmk6WpGgd-0x8A4og8B-qJpcUPHlL7gwRBK1yi6yw?e=qd1VSi" TargetMode="External"/><Relationship Id="rId214" Type="http://schemas.openxmlformats.org/officeDocument/2006/relationships/hyperlink" Target="https://saranistudio-my.sharepoint.com/:b:/g/personal/team_sarani_studio/ERHZhuEtyVdEgXyXOhPxImkB5-YVlWEqKtpvSGuCV0xkZg?e=ylMJhk" TargetMode="External"/><Relationship Id="rId235" Type="http://schemas.openxmlformats.org/officeDocument/2006/relationships/hyperlink" Target="https://saranistudio.sharepoint.com/:f:/s/SaraniAssets/IgBUyBAN52LFRJYaQ7gX5BscAYQZVJTvH5calxog6ZMTRig?e=fgTYYm" TargetMode="External"/><Relationship Id="rId116" Type="http://schemas.openxmlformats.org/officeDocument/2006/relationships/hyperlink" Target="https://saranistudio-my.sharepoint.com/:b:/g/personal/team_sarani_studio/ESMdk7iLmbxIuJ6k4ixLhU8BBmQldS_cyGZFkwvPUG-fpA?e=Zc0aoe" TargetMode="External"/><Relationship Id="rId137" Type="http://schemas.openxmlformats.org/officeDocument/2006/relationships/hyperlink" Target="https://saranistudio-my.sharepoint.com/:b:/g/personal/team_sarani_studio/EeWbopNUoBdEtt2AZPMo4ooB5JwKyqPAlVH0nfJ5GJfzhg?e=z8nQ9A" TargetMode="External"/><Relationship Id="rId158" Type="http://schemas.openxmlformats.org/officeDocument/2006/relationships/hyperlink" Target="https://saranistudio.sharepoint.com/:f:/s/SaraniAssets/ErdfJN45SldEpKqGK3P1M58BgBA7Z008CgOoqnAZ_fp_Lw?e=QujKYO" TargetMode="External"/><Relationship Id="rId20" Type="http://schemas.openxmlformats.org/officeDocument/2006/relationships/hyperlink" Target="https://saranistudio-my.sharepoint.com/:b:/g/personal/team_sarani_studio/ERDGOWL3RTpEibN96pWxkVgBrVrQMBw_uGqMSbD0BUT8Og?e=wX1WMV" TargetMode="External"/><Relationship Id="rId41" Type="http://schemas.openxmlformats.org/officeDocument/2006/relationships/hyperlink" Target="https://saranistudio-my.sharepoint.com/:b:/g/personal/team_sarani_studio/ESlzIfvtJz1PmZTrsY7ybAABTJVmDTRyxDm9bfQo1NA4rg?e=Md1weP" TargetMode="External"/><Relationship Id="rId62" Type="http://schemas.openxmlformats.org/officeDocument/2006/relationships/hyperlink" Target="https://saranistudio.sharepoint.com/:f:/s/SaraniAssets/EpXGuW932oJKlN5b_YjQ_4QBzdKw14dXfwnBbR3MkZeT3Q?e=2ykcnL" TargetMode="External"/><Relationship Id="rId83" Type="http://schemas.openxmlformats.org/officeDocument/2006/relationships/hyperlink" Target="https://saranistudio.sharepoint.com/:f:/s/SaraniAssets/EuRbxQHO8chKlgpFZKLDFs0BvcZMlivfRv_qt-CUeT5oQQ?e=eSjOvq" TargetMode="External"/><Relationship Id="rId179" Type="http://schemas.openxmlformats.org/officeDocument/2006/relationships/hyperlink" Target="https://saranistudio.sharepoint.com/:f:/s/SaraniAssets/Evt39RCHAihDgZ0XAKU3qs8Be3Pqc0Vr4OjwuZGqfQFitA?e=eMVuoA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saranistudio.sharepoint.com/:f:/s/SaraniAssets/EjVN6YxlBLZJtNJ12u-DuLgBxnvvUolDVhWpm7GFukZFuA?e=eb7bw4" TargetMode="External"/><Relationship Id="rId21" Type="http://schemas.openxmlformats.org/officeDocument/2006/relationships/hyperlink" Target="https://saranistudio.sharepoint.com/:f:/s/SaraniAssets/Eh_ZuL51WNxMr1zmHxc5uQIBfVNH1s8c6BmNd1xQpTrV5w?e=kJDl6Q" TargetMode="External"/><Relationship Id="rId42" Type="http://schemas.openxmlformats.org/officeDocument/2006/relationships/hyperlink" Target="https://saranistudio-my.sharepoint.com/:b:/g/personal/team_sarani_studio/Ebsmplk4MEtBu9MWcLEa7KgBY3oScayFJaygF-rrzq_iCA?e=VF9jeF" TargetMode="External"/><Relationship Id="rId47" Type="http://schemas.openxmlformats.org/officeDocument/2006/relationships/hyperlink" Target="https://saranistudio.sharepoint.com/:f:/s/SaraniAssets/EuA-Vqo2k91Jslj3UeeCXGgB5X8MASBZKqqEFCZuEom68A?e=jHVg9i" TargetMode="External"/><Relationship Id="rId63" Type="http://schemas.openxmlformats.org/officeDocument/2006/relationships/hyperlink" Target="https://saranistudio.sharepoint.com/:b:/s/SaraniAssets/EXdCqK0-eNpHlovB_AVUgwcB0_-RbuXHGX9FriAktPkg9w?e=YZnpSq" TargetMode="External"/><Relationship Id="rId68" Type="http://schemas.openxmlformats.org/officeDocument/2006/relationships/hyperlink" Target="https://saranistudio.sharepoint.com/:f:/s/SaraniAssets/EtqrMiuDuAJIuJm_tvugeaMBcmBcQVcg8_k9nCCedf0QUw?e=byIgCu" TargetMode="External"/><Relationship Id="rId84" Type="http://schemas.openxmlformats.org/officeDocument/2006/relationships/hyperlink" Target="https://saranistudio-my.sharepoint.com/:b:/g/personal/team_sarani_studio/IQBn9Zk0jCqTSIWIILDB5PflASK_DyivBbEjKbW-MCKvXcg?e=yNCk2f" TargetMode="External"/><Relationship Id="rId89" Type="http://schemas.openxmlformats.org/officeDocument/2006/relationships/hyperlink" Target="https://saranistudio.sharepoint.com/:b:/s/SaraniAssets/IQBrALWdKKt6SKbBdRlG20h8AQxMnjeZodaKxC_sUc8-Deg?e=SXOylM" TargetMode="External"/><Relationship Id="rId16" Type="http://schemas.openxmlformats.org/officeDocument/2006/relationships/hyperlink" Target="https://saranistudio.sharepoint.com/:f:/r/sites/SaraniAssets/Shared%20Documents/03.%20Customers/02.%20Sony/02.%20Sony%20Europe/01.%20TV/20250306_Floating%20WebPop%20%26%20Graphic%20Overlays?csf=1&amp;web=1&amp;e=xozR8P" TargetMode="External"/><Relationship Id="rId107" Type="http://schemas.openxmlformats.org/officeDocument/2006/relationships/vmlDrawing" Target="../drawings/vmlDrawing3.vml"/><Relationship Id="rId11" Type="http://schemas.openxmlformats.org/officeDocument/2006/relationships/hyperlink" Target="https://saranistudio.sharepoint.com/:f:/s/SaraniAssets/Eptx-Pv5nS5AnIiVdDnHMdkBTHq0JvyRAHdxwcA_TUVKMA?e=9Ul4gP" TargetMode="External"/><Relationship Id="rId32" Type="http://schemas.openxmlformats.org/officeDocument/2006/relationships/hyperlink" Target="https://saranistudio-my.sharepoint.com/:b:/g/personal/team_sarani_studio/EWxsz4cxMURJtoAy1g9rcXYBGk3THIXeH8pr2AR3_seD7Q?e=crat7n" TargetMode="External"/><Relationship Id="rId37" Type="http://schemas.openxmlformats.org/officeDocument/2006/relationships/hyperlink" Target="https://saranistudio.sharepoint.com/:f:/s/SaraniAssets/EoADAN5rsttDj66QdaqN4GEBgRtofIr1Ci5_BlffTE4NiA?e=0mrcxi" TargetMode="External"/><Relationship Id="rId53" Type="http://schemas.openxmlformats.org/officeDocument/2006/relationships/hyperlink" Target="https://saranistudio.sharepoint.com/:f:/s/SaraniAssets/En78JVQS3udLioJWMscTaIcB1EAznmQQPN09tpWAvV8HRA?e=3DxaMA" TargetMode="External"/><Relationship Id="rId58" Type="http://schemas.openxmlformats.org/officeDocument/2006/relationships/hyperlink" Target="https://saranistudio.sharepoint.com/:b:/s/SaraniAssets/EQ4HaqCLMQdBr4tgiZVgU_MBL_rmZqyQQb1Xn6h_OyqNbQ?e=r4Trt5" TargetMode="External"/><Relationship Id="rId74" Type="http://schemas.openxmlformats.org/officeDocument/2006/relationships/hyperlink" Target="https://saranistudio.sharepoint.com/:b:/s/SaraniAssets/ETFZ5mRB_3BJmx7Ui2APhbUBVKMHbv9Kv50Ipud3edcvyQ?e=Hi601h" TargetMode="External"/><Relationship Id="rId79" Type="http://schemas.openxmlformats.org/officeDocument/2006/relationships/hyperlink" Target="https://saranistudio-my.sharepoint.com/:b:/g/personal/team_sarani_studio/EYKtrXX7_N9AorpHC7YnEEIBxRTmHE7w7xyKQRwDnF0lvQ?e=UMvYD5" TargetMode="External"/><Relationship Id="rId102" Type="http://schemas.openxmlformats.org/officeDocument/2006/relationships/hyperlink" Target="https://saranistudio.sharepoint.com/:f:/r/sites/SaraniAssets/Shared%20Documents/03.%20Customers/02.%20Sony/02.%20Sony%20Europe/03.%20DI/20260303_SUK%20-%20Summer%20Cashback%202026?csf=1&amp;web=1&amp;e=qhETYL" TargetMode="External"/><Relationship Id="rId5" Type="http://schemas.openxmlformats.org/officeDocument/2006/relationships/hyperlink" Target="https://saranistudio.sharepoint.com/:f:/s/SaraniAssets/Elx2XuutZXRPiYWdX3g_43wBhHiEaPLKHC7JCnzpaVfRLQ?e=IWLL1g" TargetMode="External"/><Relationship Id="rId90" Type="http://schemas.openxmlformats.org/officeDocument/2006/relationships/hyperlink" Target="https://saranistudio.sharepoint.com/:f:/s/SaraniAssets/IgBDZRpDxwDESavaOSYch1_hAYnVv-doMN1BY9HoApC6_jI?e=GYSAhr" TargetMode="External"/><Relationship Id="rId95" Type="http://schemas.openxmlformats.org/officeDocument/2006/relationships/hyperlink" Target="https://saranistudio.sharepoint.com/:b:/s/SaraniAssets/IQAoe2kGYJ_PRI6fEKKXMV1fAZAIqEnsad-LbjpFN8kUeVk?e=GdSRtM" TargetMode="External"/><Relationship Id="rId22" Type="http://schemas.openxmlformats.org/officeDocument/2006/relationships/hyperlink" Target="https://saranistudio.sharepoint.com/:f:/s/SaraniAssets/EnKaRpFH3CVAnCWWiNvzxskB6Bop7T_ADoUyaYKgkSncTQ?e=bMKDi7" TargetMode="External"/><Relationship Id="rId27" Type="http://schemas.openxmlformats.org/officeDocument/2006/relationships/hyperlink" Target="https://saranistudio.sharepoint.com/:f:/s/SaraniAssets/EsXPg1sUa1ZEmoJaReQUA68BkIok7yXdy01M24WgfEqkmg?e=7m00ph" TargetMode="External"/><Relationship Id="rId43" Type="http://schemas.openxmlformats.org/officeDocument/2006/relationships/hyperlink" Target="https://saranistudio-my.sharepoint.com/:b:/g/personal/team_sarani_studio/EYs9z-40lFdDma2O7cJgaG0BEWIX9f_xnuWs8GwBMDOIbw?e=w5Iai2" TargetMode="External"/><Relationship Id="rId48" Type="http://schemas.openxmlformats.org/officeDocument/2006/relationships/hyperlink" Target="https://saranistudio-my.sharepoint.com/:b:/g/personal/team_sarani_studio/EX6pf6EabjpEgwrQyF0_E7gBE4uMLiOO97uc297btCP5JA?e=Z3qDdV" TargetMode="External"/><Relationship Id="rId64" Type="http://schemas.openxmlformats.org/officeDocument/2006/relationships/hyperlink" Target="https://saranistudio.sharepoint.com/:f:/s/SaraniAssets/EmqKRTOAOEJNkGeQVeICNb4BiYVoz-zCHu9B9rylJISAcw?e=vbM9iF" TargetMode="External"/><Relationship Id="rId69" Type="http://schemas.openxmlformats.org/officeDocument/2006/relationships/hyperlink" Target="https://saranistudio.sharepoint.com/:f:/s/SaraniAssets/EvT6t47nYI5LgUN4tmUu1_YB6sUiKfxdJSkSftFvix-_eA?e=40snsn" TargetMode="External"/><Relationship Id="rId80" Type="http://schemas.openxmlformats.org/officeDocument/2006/relationships/hyperlink" Target="https://saranistudio.sharepoint.com/:b:/s/SaraniAssets/EcJhAf3qvVdOimTPPEAFKFMBLUW6tVxIFVvvC1WO1lR-KA?e=QdMo6Z" TargetMode="External"/><Relationship Id="rId85" Type="http://schemas.openxmlformats.org/officeDocument/2006/relationships/hyperlink" Target="https://saranistudio.sharepoint.com/:f:/s/SaraniAssets/IgBBnxKsGuEzRLlFWAqlQgzmAZCW8_7EuM3VoSKDqCqBG3k?e=JFzt00" TargetMode="External"/><Relationship Id="rId12" Type="http://schemas.openxmlformats.org/officeDocument/2006/relationships/hyperlink" Target="https://saranistudio.sharepoint.com/:f:/s/SaraniAssets/EqLkMAyPmiNHkYNnAWFsB08BVse9nwTZWsHlzKGNc0j8AQ?e=oH6bE6" TargetMode="External"/><Relationship Id="rId17" Type="http://schemas.openxmlformats.org/officeDocument/2006/relationships/hyperlink" Target="https://saranistudio.sharepoint.com/:f:/s/SaraniAssets/Egz88-6m2L5Ks62S72-71RIBVa6OAgTnWzhgcSNPQd914g?e=lvXNxw" TargetMode="External"/><Relationship Id="rId33" Type="http://schemas.openxmlformats.org/officeDocument/2006/relationships/hyperlink" Target="https://saranistudio-my.sharepoint.com/:b:/g/personal/team_sarani_studio/EcO9PRZbsZ1PmzQQTd8u_QIBP6GdSMnRx9XjEHq_UKaOTQ?e=CRcHqU" TargetMode="External"/><Relationship Id="rId38" Type="http://schemas.openxmlformats.org/officeDocument/2006/relationships/hyperlink" Target="https://saranistudio.sharepoint.com/:f:/s/SaraniAssets/EqjlNkkOWTJMpxNIUUD2CycB9MVPcTsTtG1CTfGcj3xxFA?e=8bNEDW" TargetMode="External"/><Relationship Id="rId59" Type="http://schemas.openxmlformats.org/officeDocument/2006/relationships/hyperlink" Target="https://saranistudio.sharepoint.com/:b:/s/SaraniAssets/EewpNTQxA19PsYDhstfGp0QBzl4YCxJoamLUVISgRFU3IQ?e=SfKujG" TargetMode="External"/><Relationship Id="rId103" Type="http://schemas.openxmlformats.org/officeDocument/2006/relationships/hyperlink" Target="https://saranistudio.sharepoint.com/:f:/s/SaraniAssets/IgDnQSf0nVFrT7doixbRGUEBAfa8SW7OSal5S_03KmF5IiY?e=kMa3Th" TargetMode="External"/><Relationship Id="rId108" Type="http://schemas.openxmlformats.org/officeDocument/2006/relationships/comments" Target="../comments3.xml"/><Relationship Id="rId54" Type="http://schemas.openxmlformats.org/officeDocument/2006/relationships/hyperlink" Target="https://saranistudio-my.sharepoint.com/:b:/g/personal/team_sarani_studio/EV6lub_r7UFIiyn493Gezj8BvsSpMzBeK62bRIdTFN9C1A?e=BeYuL6" TargetMode="External"/><Relationship Id="rId70" Type="http://schemas.openxmlformats.org/officeDocument/2006/relationships/hyperlink" Target="https://saranistudio-my.sharepoint.com/:b:/g/personal/team_sarani_studio/EVOMGHrUrulDh-ffJ8JYrXMBPxprDtkVDMa_g60LcC-TDw?e=Dnw8kc" TargetMode="External"/><Relationship Id="rId75" Type="http://schemas.openxmlformats.org/officeDocument/2006/relationships/hyperlink" Target="https://saranistudio-my.sharepoint.com/:b:/g/personal/team_sarani_studio/EV-5aojfqJBHkGA94_5ksyoB4ITvCUOa-RzQlxMxJheOAA?e=54JJpk" TargetMode="External"/><Relationship Id="rId91" Type="http://schemas.openxmlformats.org/officeDocument/2006/relationships/hyperlink" Target="https://saranistudio-my.sharepoint.com/:b:/g/personal/team_sarani_studio/IQD0n7yh7CRZRZYmxrhgmdfCARtPqpCnI8r7hpnXnv86xh8?e=KlRjv5" TargetMode="External"/><Relationship Id="rId96" Type="http://schemas.openxmlformats.org/officeDocument/2006/relationships/hyperlink" Target="https://saranistudio.sharepoint.com/:b:/s/SaraniAssets/IQBTrY1lUFApRKKfbHlP3TL_Ae2Yd0yosPiQ5Vdq1iNbjB4?e=6ejBNl" TargetMode="External"/><Relationship Id="rId1" Type="http://schemas.openxmlformats.org/officeDocument/2006/relationships/hyperlink" Target="https://saranistudio.sharepoint.com/:f:/s/SaraniAssets/Emy7TxzIlVBHiAis3CV05w4B71Ag7jsXhwvFsfM9auq3KQ?e=IhwlGj" TargetMode="External"/><Relationship Id="rId6" Type="http://schemas.openxmlformats.org/officeDocument/2006/relationships/hyperlink" Target="https://saranistudio.sharepoint.com/:f:/s/SaraniAssets/Eg2LeAK5RFpBrMD6pIF-S9oBwynjL5KDFJFS3_3lYp_FkA?e=l7VrOz" TargetMode="External"/><Relationship Id="rId15" Type="http://schemas.openxmlformats.org/officeDocument/2006/relationships/hyperlink" Target="https://saranistudio.sharepoint.com/:f:/s/SaraniAssets/EhftZuopyJFEp3g8F4hYVvIBycEQT6fOaNF1N6vJf1K5Kg?e=dvWjla" TargetMode="External"/><Relationship Id="rId23" Type="http://schemas.openxmlformats.org/officeDocument/2006/relationships/hyperlink" Target="https://saranistudio-my.sharepoint.com/:b:/g/personal/team_sarani_studio/EfZ8VzZ2K2pMrNL05sQO4OkB7_kb753BXugHvsFIeRFIVQ?e=b8GDfA" TargetMode="External"/><Relationship Id="rId28" Type="http://schemas.openxmlformats.org/officeDocument/2006/relationships/hyperlink" Target="https://saranistudio.sharepoint.com/:f:/s/SaraniAssets/Ej2cpGGywkRMm5KE6ISIAmoBzZi_diQqU1BY5YmxqmWfGA?e=V7ozBp" TargetMode="External"/><Relationship Id="rId36" Type="http://schemas.openxmlformats.org/officeDocument/2006/relationships/hyperlink" Target="https://saranistudio.sharepoint.com/:f:/s/SaraniAssets/Eqn1jHB9VPZJkz4ldsXpv-EB70FbvD2WQZ-l7fKDrOqPoQ?e=LzZfYr" TargetMode="External"/><Relationship Id="rId49" Type="http://schemas.openxmlformats.org/officeDocument/2006/relationships/hyperlink" Target="https://saranistudio-my.sharepoint.com/:b:/g/personal/team_sarani_studio/EQGGiA0vrPBPmPKUqu_afHEB_1eRLx3mgQIet4EGMHG84Q?e=TcNxge" TargetMode="External"/><Relationship Id="rId57" Type="http://schemas.openxmlformats.org/officeDocument/2006/relationships/hyperlink" Target="https://saranistudio.sharepoint.com/:f:/s/SaraniAssets/EogP5hw8J99FkQsdbuXLenIBY-Qc8n_8lEA5o6rtERCJYQ?e=QnL58t" TargetMode="External"/><Relationship Id="rId106" Type="http://schemas.openxmlformats.org/officeDocument/2006/relationships/hyperlink" Target="https://saranistudio.sharepoint.com/:f:/s/SaraniAssets/IgB0slSbCjPXQZkRPSdYJeLXAf89LgMJ-x-N9W7C2GamhvI?e=C14n4H" TargetMode="External"/><Relationship Id="rId10" Type="http://schemas.openxmlformats.org/officeDocument/2006/relationships/hyperlink" Target="https://saranistudio.sharepoint.com/:f:/s/SaraniAssets/EpdqsFHyzb9DjkkIOD2N1EkBY-uiBAIEoxr78Og88YL0Uw?e=nmMuds" TargetMode="External"/><Relationship Id="rId31" Type="http://schemas.openxmlformats.org/officeDocument/2006/relationships/hyperlink" Target="https://saranistudio-my.sharepoint.com/:b:/g/personal/team_sarani_studio/EQrC8SGZM2VBsRJIv9GbqnoB2W26658eE19blKG0yzukVg?e=959dlf" TargetMode="External"/><Relationship Id="rId44" Type="http://schemas.openxmlformats.org/officeDocument/2006/relationships/hyperlink" Target="https://saranistudio-my.sharepoint.com/:b:/g/personal/team_sarani_studio/EZIQoyYUJVRCnQnuK848EEcBLght8ZQTV_odufPZuqbIrQ?e=p6aeXm" TargetMode="External"/><Relationship Id="rId52" Type="http://schemas.openxmlformats.org/officeDocument/2006/relationships/hyperlink" Target="https://saranistudio-my.sharepoint.com/:b:/g/personal/team_sarani_studio/EX2gkBteFjdMlHig2LlqaQEBXAx1TyF825d5yykZ82ZIdQ?e=hT2ixY" TargetMode="External"/><Relationship Id="rId60" Type="http://schemas.openxmlformats.org/officeDocument/2006/relationships/hyperlink" Target="https://saranistudio.sharepoint.com/:f:/s/SaraniAssets/EvoOqm5jx01DpNC6zBLwCtoB8KF0-HKESlx8bFxfBbNcWw?e=Kt7TDt" TargetMode="External"/><Relationship Id="rId65" Type="http://schemas.openxmlformats.org/officeDocument/2006/relationships/hyperlink" Target="https://saranistudio.sharepoint.com/:b:/s/SaraniAssets/Ed9VaxsKBC9Kk8pBkoiNCT8B5qAlosGNeW6v2fsOS5-thQ?e=9khkO2" TargetMode="External"/><Relationship Id="rId73" Type="http://schemas.openxmlformats.org/officeDocument/2006/relationships/hyperlink" Target="https://saranistudio-my.sharepoint.com/:b:/g/personal/team_sarani_studio/EViVoxoxQ5FClb-JdT_5P5ABRXcVp51Rq9OWoySqSwRh7Q?e=Z1iAsv" TargetMode="External"/><Relationship Id="rId78" Type="http://schemas.openxmlformats.org/officeDocument/2006/relationships/hyperlink" Target="https://saranistudio.sharepoint.com/:f:/s/SaraniAssets/Eo8j3tBxOhBOigXs5QLnEGEBHG79srvLvbAHESTSFdS0TQ?e=2Sr7FH" TargetMode="External"/><Relationship Id="rId81" Type="http://schemas.openxmlformats.org/officeDocument/2006/relationships/hyperlink" Target="https://saranistudio-my.sharepoint.com/:b:/g/personal/team_sarani_studio/EfE4cjoq-qxOksIf8BBBg7YBihEoDCwVhYZCmO-50wTB7A?e=1YZB30" TargetMode="External"/><Relationship Id="rId86" Type="http://schemas.openxmlformats.org/officeDocument/2006/relationships/hyperlink" Target="https://saranistudio.sharepoint.com/:f:/s/SaraniAssets/IgB9MsvJ4zWwSZq0aTug6KHYAeqqJxTg7M5sMzRO5TOYlK4?e=WAhDtP" TargetMode="External"/><Relationship Id="rId94" Type="http://schemas.openxmlformats.org/officeDocument/2006/relationships/hyperlink" Target="https://saranistudio-my.sharepoint.com/:b:/g/personal/team_sarani_studio/IQCZgiC_zxrLTI1UmuhFP6ykAZvVl-_KsYCWEbFEJ4ihUf0?e=7Otocl" TargetMode="External"/><Relationship Id="rId99" Type="http://schemas.openxmlformats.org/officeDocument/2006/relationships/hyperlink" Target="https://saranistudio-my.sharepoint.com/:b:/g/personal/team_sarani_studio/IQDTVR8L3siwSrPtoxeYQa75AYFo_5ade8Ydoq_Han5yZZ4?e=OMkjNp" TargetMode="External"/><Relationship Id="rId101" Type="http://schemas.openxmlformats.org/officeDocument/2006/relationships/hyperlink" Target="https://saranistudio.sharepoint.com/:f:/s/SaraniAssets/IgB0dTCqKkaSQI2nbPo9p4fPAZvWc1f_a427vSozGfRbv64?e=caLufH" TargetMode="External"/><Relationship Id="rId4" Type="http://schemas.openxmlformats.org/officeDocument/2006/relationships/hyperlink" Target="https://saranistudio.sharepoint.com/:f:/s/SaraniAssets/EoKxsqLDj61OgGUpNzAQ_X8BDVEIVndpmdo_Pq_H0QFsIw?e=yrqG7H" TargetMode="External"/><Relationship Id="rId9" Type="http://schemas.openxmlformats.org/officeDocument/2006/relationships/hyperlink" Target="https://saranistudio.sharepoint.com/:f:/s/SaraniAssets/EnDfUG7GDFdDt9ePpRfwiVkBRAkvNYFziZNJsL5Wm8yi9A?e=ZsdhLk" TargetMode="External"/><Relationship Id="rId13" Type="http://schemas.openxmlformats.org/officeDocument/2006/relationships/hyperlink" Target="https://saranistudio.sharepoint.com/:f:/s/SaraniAssets/Ei9IFyAfjgtHtDIbRA-9CrEBxkPR7oAnP530gJZL1LB2XQ?e=fnHJzY" TargetMode="External"/><Relationship Id="rId18" Type="http://schemas.openxmlformats.org/officeDocument/2006/relationships/hyperlink" Target="https://saranistudio.sharepoint.com/:f:/s/SaraniAssets/EmIqbRyagbNNgObxxWzyoqcBMsMl-k7MWU_InYVv18qJQg?e=jO5Bq6" TargetMode="External"/><Relationship Id="rId39" Type="http://schemas.openxmlformats.org/officeDocument/2006/relationships/hyperlink" Target="https://saranistudio.sharepoint.com/:f:/s/SaraniAssets/EplEjv1SxM9MrEgtVctverQBIax7rwPPoCXtJYA2WqDcOA?e=QyzU6D" TargetMode="External"/><Relationship Id="rId109" Type="http://schemas.microsoft.com/office/2017/10/relationships/threadedComment" Target="../threadedComments/threadedComment3.xml"/><Relationship Id="rId34" Type="http://schemas.openxmlformats.org/officeDocument/2006/relationships/hyperlink" Target="https://saranistudio.sharepoint.com/:f:/s/SaraniAssets/EoADAN5rsttDj66QdaqN4GEBgRtofIr1Ci5_BlffTE4NiA?e=0mrcxi" TargetMode="External"/><Relationship Id="rId50" Type="http://schemas.openxmlformats.org/officeDocument/2006/relationships/hyperlink" Target="https://saranistudio.sharepoint.com/:f:/s/SaraniAssets/EjSAfxI0oJ5AgeChJsOEFU8BBwfmHKSeRhhPtJQwF3Mwkg?e=out0Fo" TargetMode="External"/><Relationship Id="rId55" Type="http://schemas.openxmlformats.org/officeDocument/2006/relationships/hyperlink" Target="https://saranistudio.sharepoint.com/:f:/s/SaraniAssets/Ev6c0wrnHqBGiIEnFvKVe9UBsJJoK4fqcxJotKpu5u-eKw?e=j27UgT" TargetMode="External"/><Relationship Id="rId76" Type="http://schemas.openxmlformats.org/officeDocument/2006/relationships/hyperlink" Target="https://saranistudio-my.sharepoint.com/:b:/g/personal/team_sarani_studio/EV-5aojfqJBHkGA94_5ksyoB4ITvCUOa-RzQlxMxJheOAA?e=54JJpk" TargetMode="External"/><Relationship Id="rId97" Type="http://schemas.openxmlformats.org/officeDocument/2006/relationships/hyperlink" Target="https://saranistudio.sharepoint.com/:f:/s/SaraniAssets/IgCKs4z7_BcIT6Wz7UTF6eWjAWnWZgkGdRh-WBGIDZHDZS8?e=ZX3VD7" TargetMode="External"/><Relationship Id="rId104" Type="http://schemas.openxmlformats.org/officeDocument/2006/relationships/hyperlink" Target="https://saranistudio-my.sharepoint.com/:b:/g/personal/team_sarani_studio/IQBcltZqZ6tlRLO47LCobX2PAVJIMXrxbHunU6FBNPSd3eI?e=gh3ESm" TargetMode="External"/><Relationship Id="rId7" Type="http://schemas.openxmlformats.org/officeDocument/2006/relationships/hyperlink" Target="https://saranistudio.sharepoint.com/:f:/s/SaraniAssets/Elp4iVVdHRRIqtSIEVw0vQwB9BN5oRLJvz_TMygP5-19gA?e=Fx0qQV" TargetMode="External"/><Relationship Id="rId71" Type="http://schemas.openxmlformats.org/officeDocument/2006/relationships/hyperlink" Target="https://saranistudio-my.sharepoint.com/:b:/g/personal/team_sarani_studio/EZsrC9nCtndCqIGA2uzTrIABHGkumWlwASroY9GpbEaBnA?e=AnhT4y" TargetMode="External"/><Relationship Id="rId92" Type="http://schemas.openxmlformats.org/officeDocument/2006/relationships/hyperlink" Target="https://saranistudio-my.sharepoint.com/:b:/g/personal/team_sarani_studio/IQD4XWARBtKdSJdCWp43LC6xAaRpuUu3B_4-bBAj0Ddjj60?e=hASJ6E" TargetMode="External"/><Relationship Id="rId2" Type="http://schemas.openxmlformats.org/officeDocument/2006/relationships/hyperlink" Target="https://saranistudio.sharepoint.com/:f:/s/SaraniAssets/El0O0WHzX1FFsdK-FRDWm4oBtOxT75naSlk8NomEj-gCvQ?e=S9sb0v" TargetMode="External"/><Relationship Id="rId29" Type="http://schemas.openxmlformats.org/officeDocument/2006/relationships/hyperlink" Target="https://saranistudio-my.sharepoint.com/:b:/g/personal/team_sarani_studio/Ef3fiAjA54pAjuoMhUU5d-wBslWroZH409B-qB8rExQo2Q?e=v2VWDC" TargetMode="External"/><Relationship Id="rId24" Type="http://schemas.openxmlformats.org/officeDocument/2006/relationships/hyperlink" Target="https://saranistudio-my.sharepoint.com/:b:/g/personal/team_sarani_studio/EXgrBLSTq-BPg8bvvJUa9ioB9uX0wzw66Br-x9Xc6Jonag?e=t6lvH4" TargetMode="External"/><Relationship Id="rId40" Type="http://schemas.openxmlformats.org/officeDocument/2006/relationships/hyperlink" Target="https://saranistudio-my.sharepoint.com/:b:/g/personal/team_sarani_studio/Eea1U64obCBDhTsCRGSJyosBv0yWI5_gWl3mxaqYP78aPg?e=wIhKJr" TargetMode="External"/><Relationship Id="rId45" Type="http://schemas.openxmlformats.org/officeDocument/2006/relationships/hyperlink" Target="https://saranistudio.sharepoint.com/:f:/s/SaraniAssets/Etunjoy7M6ZOjg3UO5rPoMcB38yON9Oe-7R2ESGom3CZAA?e=fbJcQ2" TargetMode="External"/><Relationship Id="rId66" Type="http://schemas.openxmlformats.org/officeDocument/2006/relationships/hyperlink" Target="https://saranistudio.sharepoint.com/:f:/s/SaraniAssets/EvoOqm5jx01DpNC6zBLwCtoB8KF0-HKESlx8bFxfBbNcWw?e=Kt7TDt" TargetMode="External"/><Relationship Id="rId87" Type="http://schemas.openxmlformats.org/officeDocument/2006/relationships/hyperlink" Target="https://saranistudio.sharepoint.com/:f:/s/SaraniAssets/IgB0dTCqKkaSQI2nbPo9p4fPAZvWc1f_a427vSozGfRbv64?e=caLufH" TargetMode="External"/><Relationship Id="rId110" Type="http://schemas.microsoft.com/office/2019/04/relationships/namedSheetView" Target="../namedSheetViews/namedSheetView4.xml"/><Relationship Id="rId61" Type="http://schemas.openxmlformats.org/officeDocument/2006/relationships/hyperlink" Target="https://saranistudio.sharepoint.com/:f:/s/SaraniAssets/EvT6t47nYI5LgUN4tmUu1_YB6sUiKfxdJSkSftFvix-_eA?e=40snsn" TargetMode="External"/><Relationship Id="rId82" Type="http://schemas.openxmlformats.org/officeDocument/2006/relationships/hyperlink" Target="https://saranistudio-my.sharepoint.com/:b:/g/personal/team_sarani_studio/EQM5B08YFiNAnoHxT2UkCGgBVwDXkxiP0FGyv5ssUXfwTA?e=1FveB7" TargetMode="External"/><Relationship Id="rId19" Type="http://schemas.openxmlformats.org/officeDocument/2006/relationships/hyperlink" Target="https://saranistudio.sharepoint.com/:f:/s/SaraniAssets/Emn4EnTA9x9DlIxdAnJSc_QBs1_lrXebw0zj-qRanP1mbw?e=CthI4O" TargetMode="External"/><Relationship Id="rId14" Type="http://schemas.openxmlformats.org/officeDocument/2006/relationships/hyperlink" Target="https://saranistudio.sharepoint.com/:f:/s/SaraniAssets/Ei9IFyAfjgtHtDIbRA-9CrEBxkPR7oAnP530gJZL1LB2XQ?e=fnHJzY" TargetMode="External"/><Relationship Id="rId30" Type="http://schemas.openxmlformats.org/officeDocument/2006/relationships/hyperlink" Target="https://saranistudio.sharepoint.com/:f:/s/SaraniAssets/EgdqIYd4TAlAtzQn_o3LzccBQWZjhS4iWGzx4tRIaubeRA?e=Yc0bLI" TargetMode="External"/><Relationship Id="rId35" Type="http://schemas.openxmlformats.org/officeDocument/2006/relationships/hyperlink" Target="https://saranistudio.sharepoint.com/:f:/s/SaraniAssets/Eu4qEwYiEExLhs6m1xIY0gUBbpFcpkcN5O8fOTt-_b8sjA?e=lYMetg" TargetMode="External"/><Relationship Id="rId56" Type="http://schemas.openxmlformats.org/officeDocument/2006/relationships/hyperlink" Target="https://saranistudio.sharepoint.com/:f:/s/SaraniAssets/EnzDjRnIx1hBidP6bGoeSUcBlg8K3QvBygGP9FP2ydn8mg?e=XCYZOm" TargetMode="External"/><Relationship Id="rId77" Type="http://schemas.openxmlformats.org/officeDocument/2006/relationships/hyperlink" Target="https://saranistudio.sharepoint.com/:f:/s/SaraniAssets/El5Z6gV5ovpNguAWsm8GAPABgo1vdpa5YvXL7C8x7ydBTA?e=qV0pLn" TargetMode="External"/><Relationship Id="rId100" Type="http://schemas.openxmlformats.org/officeDocument/2006/relationships/hyperlink" Target="https://saranistudio-my.sharepoint.com/:b:/g/personal/team_sarani_studio/IQDTVR8L3siwSrPtoxeYQa75AYFo_5ade8Ydoq_Han5yZZ4?e=We8B1S" TargetMode="External"/><Relationship Id="rId105" Type="http://schemas.openxmlformats.org/officeDocument/2006/relationships/hyperlink" Target="https://saranistudio.sharepoint.com/:b:/s/SaraniAssets/IQAMoe6dY6TOR5wcnTT3TQWUAZukHM2iuF-cPAqwKWFa4DU?e=pRK0Tc" TargetMode="External"/><Relationship Id="rId8" Type="http://schemas.openxmlformats.org/officeDocument/2006/relationships/hyperlink" Target="https://saranistudio.sharepoint.com/:f:/s/SaraniAssets/EvO1McFf809Nrv1MnBNnBWgBke6ShrdRgw0ZgKsD1QfdQw?e=M6hiiR" TargetMode="External"/><Relationship Id="rId51" Type="http://schemas.openxmlformats.org/officeDocument/2006/relationships/hyperlink" Target="https://saranistudio.sharepoint.com/:f:/s/SaraniAssets/EjD3i2Yamw1JtlE4tEjpElMB7SdMIA30aocLLbMEpKy4WA?e=r5ug0k" TargetMode="External"/><Relationship Id="rId72" Type="http://schemas.openxmlformats.org/officeDocument/2006/relationships/hyperlink" Target="https://saranistudio.sharepoint.com/:f:/s/SaraniAssets/EtlhVlrL_PNJs80_22p1y0MB7QqNkql9r_lSr0RDLsoU0A?e=tncysS" TargetMode="External"/><Relationship Id="rId93" Type="http://schemas.openxmlformats.org/officeDocument/2006/relationships/hyperlink" Target="https://saranistudio.sharepoint.com/:f:/s/SaraniAssets/IgCHoOg5vNRrS4lnjRl6IqpOAaTYnfc-nRCfIciYHENmmgc?e=uYQTJP" TargetMode="External"/><Relationship Id="rId98" Type="http://schemas.openxmlformats.org/officeDocument/2006/relationships/hyperlink" Target="https://saranistudio.sharepoint.com/:f:/s/SaraniAssets/IgD5J8C1uvcPQ7jFuh_GVfZWASMJh7pIVQuXX3pRD9KHwPs?e=qzeQoW" TargetMode="External"/><Relationship Id="rId3" Type="http://schemas.openxmlformats.org/officeDocument/2006/relationships/hyperlink" Target="https://saranistudio.sharepoint.com/:f:/s/SaraniAssets/EnYnplX9V-ZNuDvWHwDlnlsB5QiQhfRz6fPckEYuiLBh0Q?e=BQVyPX" TargetMode="External"/><Relationship Id="rId25" Type="http://schemas.openxmlformats.org/officeDocument/2006/relationships/hyperlink" Target="https://saranistudio.sharepoint.com/:f:/s/SaraniAssets/EjVN6YxlBLZJtNJ12u-DuLgBxnvvUolDVhWpm7GFukZFuA?e=eb7bw4" TargetMode="External"/><Relationship Id="rId46" Type="http://schemas.openxmlformats.org/officeDocument/2006/relationships/hyperlink" Target="https://saranistudio-my.sharepoint.com/:b:/g/personal/team_sarani_studio/EW77i99FEQFLsIiHqwNxYbIBh9e1XXja1aPhICSRwK5N0Q?e=G8ukgX" TargetMode="External"/><Relationship Id="rId67" Type="http://schemas.openxmlformats.org/officeDocument/2006/relationships/hyperlink" Target="https://saranistudio.sharepoint.com/:f:/s/SaraniAssets/EvoOqm5jx01DpNC6zBLwCtoB8KF0-HKESlx8bFxfBbNcWw?e=Kt7TDt" TargetMode="External"/><Relationship Id="rId20" Type="http://schemas.openxmlformats.org/officeDocument/2006/relationships/hyperlink" Target="https://saranistudio.sharepoint.com/:f:/s/SaraniAssets/EoTu6yWEttFGknmQcicolLYB-gax0dHies9xJQquTq-zTQ?e=Dt22Bp" TargetMode="External"/><Relationship Id="rId41" Type="http://schemas.openxmlformats.org/officeDocument/2006/relationships/hyperlink" Target="https://saranistudio-my.sharepoint.com/:b:/g/personal/team_sarani_studio/EQmp0bVKtj5KhlFohES0F-ABAOAmsIZ6dwQ3pCvj2L2Omw?e=lStI9w" TargetMode="External"/><Relationship Id="rId62" Type="http://schemas.openxmlformats.org/officeDocument/2006/relationships/hyperlink" Target="https://saranistudio.sharepoint.com/:b:/s/SaraniAssets/EU5MomHkGrhIlf8bHcqcGGAB4DjmZi0S9QUOiFgq4z3xgw?e=8pb4iR" TargetMode="External"/><Relationship Id="rId83" Type="http://schemas.openxmlformats.org/officeDocument/2006/relationships/hyperlink" Target="https://saranistudio.sharepoint.com/:f:/s/SaraniAssets/IgAhrbJn50KUTK806zPXStelATM2AY-oK7JTH653DOl0YhU?e=4mwBwa" TargetMode="External"/><Relationship Id="rId88" Type="http://schemas.openxmlformats.org/officeDocument/2006/relationships/hyperlink" Target="https://saranistudio-my.sharepoint.com/:b:/g/personal/team_sarani_studio/IQCPbPSNLA9xSK5N3K2NxEfJARnLGu0vReoC4j7SoLNU0zM?e=ZozjF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1DEE2-0D37-4EE3-8C7C-993C18F0CCDD}">
  <dimension ref="A2:T38"/>
  <sheetViews>
    <sheetView workbookViewId="0">
      <selection activeCell="B9" sqref="B9"/>
    </sheetView>
  </sheetViews>
  <sheetFormatPr defaultRowHeight="15"/>
  <cols>
    <col min="1" max="1" width="11.7109375" bestFit="1" customWidth="1"/>
    <col min="2" max="2" width="21.5703125" customWidth="1"/>
    <col min="3" max="3" width="44.42578125" bestFit="1" customWidth="1"/>
    <col min="4" max="4" width="10" customWidth="1"/>
    <col min="5" max="5" width="8" bestFit="1" customWidth="1"/>
    <col min="6" max="7" width="7.28515625" bestFit="1" customWidth="1"/>
    <col min="8" max="8" width="7.7109375" bestFit="1" customWidth="1"/>
    <col min="9" max="10" width="7.28515625" bestFit="1" customWidth="1"/>
    <col min="11" max="11" width="7.85546875" bestFit="1" customWidth="1"/>
    <col min="12" max="12" width="7.140625" bestFit="1" customWidth="1"/>
    <col min="13" max="13" width="6.85546875" customWidth="1"/>
    <col min="14" max="14" width="8" bestFit="1" customWidth="1"/>
    <col min="15" max="16" width="8.42578125" bestFit="1" customWidth="1"/>
    <col min="17" max="17" width="18.28515625" bestFit="1" customWidth="1"/>
    <col min="18" max="18" width="17.85546875" customWidth="1"/>
    <col min="19" max="19" width="10.5703125" bestFit="1" customWidth="1"/>
    <col min="20" max="20" width="10.28515625" customWidth="1"/>
    <col min="21" max="21" width="7.140625" bestFit="1" customWidth="1"/>
    <col min="22" max="22" width="7.5703125" bestFit="1" customWidth="1"/>
    <col min="23" max="23" width="8.140625" bestFit="1" customWidth="1"/>
    <col min="24" max="24" width="7.42578125" bestFit="1" customWidth="1"/>
    <col min="25" max="25" width="7.140625" bestFit="1" customWidth="1"/>
    <col min="26" max="26" width="8.28515625" bestFit="1" customWidth="1"/>
    <col min="27" max="29" width="7.5703125" bestFit="1" customWidth="1"/>
    <col min="30" max="30" width="7.140625" bestFit="1" customWidth="1"/>
    <col min="31" max="31" width="8.7109375" bestFit="1" customWidth="1"/>
    <col min="32" max="174" width="11.7109375" bestFit="1" customWidth="1"/>
    <col min="175" max="175" width="7.42578125" bestFit="1" customWidth="1"/>
    <col min="176" max="176" width="11.7109375" bestFit="1" customWidth="1"/>
  </cols>
  <sheetData>
    <row r="2" spans="1:20" ht="18.75">
      <c r="A2" s="267" t="s">
        <v>0</v>
      </c>
    </row>
    <row r="4" spans="1:20">
      <c r="A4" s="229" t="s">
        <v>1</v>
      </c>
      <c r="B4" t="s">
        <v>2</v>
      </c>
      <c r="Q4" s="229" t="s">
        <v>1</v>
      </c>
      <c r="R4" t="s">
        <v>3</v>
      </c>
    </row>
    <row r="5" spans="1:20">
      <c r="A5" s="229" t="s">
        <v>4</v>
      </c>
      <c r="B5" t="s">
        <v>5</v>
      </c>
      <c r="Q5" s="229" t="s">
        <v>4</v>
      </c>
      <c r="R5" t="s">
        <v>6</v>
      </c>
    </row>
    <row r="7" spans="1:20">
      <c r="A7" s="229" t="s">
        <v>7</v>
      </c>
      <c r="D7" s="229" t="s">
        <v>8</v>
      </c>
      <c r="Q7" s="229" t="s">
        <v>7</v>
      </c>
      <c r="T7" s="229" t="s">
        <v>8</v>
      </c>
    </row>
    <row r="8" spans="1:20">
      <c r="A8" s="229" t="s">
        <v>9</v>
      </c>
      <c r="B8" s="229" t="s">
        <v>10</v>
      </c>
      <c r="C8" s="229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  <c r="K8" t="s">
        <v>19</v>
      </c>
      <c r="L8" t="s">
        <v>20</v>
      </c>
      <c r="M8" t="s">
        <v>21</v>
      </c>
      <c r="N8" t="s">
        <v>22</v>
      </c>
      <c r="O8" s="21" t="s">
        <v>23</v>
      </c>
      <c r="Q8" s="229" t="s">
        <v>9</v>
      </c>
      <c r="R8" s="229" t="s">
        <v>24</v>
      </c>
      <c r="S8" s="229" t="s">
        <v>11</v>
      </c>
      <c r="T8" s="21" t="s">
        <v>23</v>
      </c>
    </row>
    <row r="9" spans="1:20">
      <c r="A9" t="s">
        <v>25</v>
      </c>
      <c r="B9" t="s">
        <v>26</v>
      </c>
      <c r="D9" s="276"/>
      <c r="E9" s="276"/>
      <c r="F9" s="276"/>
      <c r="G9" s="276"/>
      <c r="H9" s="276"/>
      <c r="I9" s="276">
        <v>120</v>
      </c>
      <c r="J9" s="276"/>
      <c r="K9" s="276"/>
      <c r="L9" s="276"/>
      <c r="M9" s="276"/>
      <c r="N9" s="276"/>
      <c r="O9" s="276">
        <v>120</v>
      </c>
      <c r="Q9" s="277" t="s">
        <v>23</v>
      </c>
      <c r="R9" s="277"/>
      <c r="S9" s="277"/>
      <c r="T9" s="276"/>
    </row>
    <row r="10" spans="1:20">
      <c r="B10" t="s">
        <v>27</v>
      </c>
      <c r="D10" s="276"/>
      <c r="E10" s="276"/>
      <c r="F10" s="276"/>
      <c r="G10" s="276"/>
      <c r="H10" s="276"/>
      <c r="I10" s="276">
        <v>215</v>
      </c>
      <c r="J10" s="276"/>
      <c r="K10" s="276"/>
      <c r="L10" s="276"/>
      <c r="M10" s="276"/>
      <c r="N10" s="276"/>
      <c r="O10" s="276">
        <v>215</v>
      </c>
    </row>
    <row r="11" spans="1:20">
      <c r="B11" t="s">
        <v>28</v>
      </c>
      <c r="C11" t="s">
        <v>29</v>
      </c>
      <c r="D11" s="276"/>
      <c r="E11" s="276"/>
      <c r="F11" s="276"/>
      <c r="G11" s="276"/>
      <c r="H11" s="276"/>
      <c r="I11" s="276">
        <v>180</v>
      </c>
      <c r="J11" s="276"/>
      <c r="K11" s="276"/>
      <c r="L11" s="276"/>
      <c r="M11" s="276"/>
      <c r="N11" s="276"/>
      <c r="O11" s="276">
        <v>180</v>
      </c>
    </row>
    <row r="12" spans="1:20">
      <c r="A12" t="s">
        <v>30</v>
      </c>
      <c r="B12" t="s">
        <v>26</v>
      </c>
      <c r="D12" s="276">
        <v>605</v>
      </c>
      <c r="E12" s="276">
        <v>2120</v>
      </c>
      <c r="F12" s="276">
        <v>1210</v>
      </c>
      <c r="G12" s="276">
        <v>1245</v>
      </c>
      <c r="H12" s="276">
        <v>895</v>
      </c>
      <c r="I12" s="276">
        <v>70</v>
      </c>
      <c r="J12" s="276"/>
      <c r="K12" s="276"/>
      <c r="L12" s="276"/>
      <c r="M12" s="276">
        <v>270</v>
      </c>
      <c r="N12" s="276">
        <v>825</v>
      </c>
      <c r="O12" s="276">
        <v>7240</v>
      </c>
    </row>
    <row r="13" spans="1:20">
      <c r="B13" t="s">
        <v>31</v>
      </c>
      <c r="D13" s="276">
        <v>1295</v>
      </c>
      <c r="E13" s="276">
        <v>1170</v>
      </c>
      <c r="F13" s="276"/>
      <c r="G13" s="276"/>
      <c r="H13" s="276"/>
      <c r="I13" s="276"/>
      <c r="J13" s="276"/>
      <c r="K13" s="276"/>
      <c r="L13" s="276">
        <v>600</v>
      </c>
      <c r="M13" s="276"/>
      <c r="N13" s="276"/>
      <c r="O13" s="276">
        <v>3065</v>
      </c>
    </row>
    <row r="14" spans="1:20">
      <c r="B14" t="s">
        <v>32</v>
      </c>
      <c r="D14" s="276">
        <v>1410</v>
      </c>
      <c r="E14" s="276"/>
      <c r="F14" s="276"/>
      <c r="G14" s="276">
        <v>645</v>
      </c>
      <c r="H14" s="276"/>
      <c r="I14" s="276"/>
      <c r="J14" s="276"/>
      <c r="K14" s="276"/>
      <c r="L14" s="276"/>
      <c r="M14" s="276"/>
      <c r="N14" s="276"/>
      <c r="O14" s="276">
        <v>2055</v>
      </c>
    </row>
    <row r="15" spans="1:20">
      <c r="B15" t="s">
        <v>33</v>
      </c>
      <c r="D15" s="276"/>
      <c r="E15" s="276"/>
      <c r="F15" s="276"/>
      <c r="G15" s="276"/>
      <c r="H15" s="276"/>
      <c r="I15" s="276"/>
      <c r="J15" s="276">
        <v>775</v>
      </c>
      <c r="K15" s="276"/>
      <c r="L15" s="276"/>
      <c r="M15" s="276"/>
      <c r="N15" s="276"/>
      <c r="O15" s="276">
        <v>775</v>
      </c>
    </row>
    <row r="16" spans="1:20">
      <c r="A16" t="s">
        <v>34</v>
      </c>
      <c r="B16" t="s">
        <v>35</v>
      </c>
      <c r="D16" s="276">
        <v>3020</v>
      </c>
      <c r="E16" s="276">
        <v>440</v>
      </c>
      <c r="F16" s="276"/>
      <c r="G16" s="276">
        <v>160</v>
      </c>
      <c r="H16" s="276">
        <v>2450</v>
      </c>
      <c r="I16" s="276">
        <v>405</v>
      </c>
      <c r="J16" s="276">
        <v>540</v>
      </c>
      <c r="K16" s="276"/>
      <c r="L16" s="276"/>
      <c r="M16" s="276"/>
      <c r="N16" s="276">
        <v>495</v>
      </c>
      <c r="O16" s="276">
        <v>7510</v>
      </c>
    </row>
    <row r="17" spans="2:15">
      <c r="B17" t="s">
        <v>36</v>
      </c>
      <c r="D17" s="276">
        <v>1860</v>
      </c>
      <c r="E17" s="276">
        <v>2765</v>
      </c>
      <c r="F17" s="276">
        <v>2270</v>
      </c>
      <c r="G17" s="276">
        <v>5490</v>
      </c>
      <c r="H17" s="276">
        <v>540</v>
      </c>
      <c r="I17" s="276"/>
      <c r="J17" s="276"/>
      <c r="K17" s="276"/>
      <c r="L17" s="276"/>
      <c r="M17" s="276"/>
      <c r="N17" s="276">
        <v>1960</v>
      </c>
      <c r="O17" s="276">
        <v>14885</v>
      </c>
    </row>
    <row r="18" spans="2:15">
      <c r="B18" t="s">
        <v>37</v>
      </c>
      <c r="D18" s="276">
        <v>70</v>
      </c>
      <c r="E18" s="276"/>
      <c r="F18" s="276"/>
      <c r="G18" s="276"/>
      <c r="H18" s="276"/>
      <c r="I18" s="276"/>
      <c r="J18" s="276"/>
      <c r="K18" s="276"/>
      <c r="L18" s="276"/>
      <c r="M18" s="276"/>
      <c r="N18" s="276"/>
      <c r="O18" s="276">
        <v>70</v>
      </c>
    </row>
    <row r="19" spans="2:15">
      <c r="B19" t="s">
        <v>38</v>
      </c>
      <c r="C19" t="s">
        <v>39</v>
      </c>
      <c r="D19" s="276"/>
      <c r="E19" s="276"/>
      <c r="F19" s="276"/>
      <c r="G19" s="276"/>
      <c r="H19" s="276"/>
      <c r="I19" s="276"/>
      <c r="J19" s="276"/>
      <c r="K19" s="276"/>
      <c r="L19" s="276"/>
      <c r="M19" s="276">
        <v>175</v>
      </c>
      <c r="N19" s="276"/>
      <c r="O19" s="276">
        <v>175</v>
      </c>
    </row>
    <row r="20" spans="2:15">
      <c r="C20" t="s">
        <v>40</v>
      </c>
      <c r="D20" s="276"/>
      <c r="E20" s="276">
        <v>40</v>
      </c>
      <c r="F20" s="276"/>
      <c r="G20" s="276"/>
      <c r="H20" s="276"/>
      <c r="I20" s="276"/>
      <c r="J20" s="276"/>
      <c r="K20" s="276"/>
      <c r="L20" s="276"/>
      <c r="M20" s="276"/>
      <c r="N20" s="276"/>
      <c r="O20" s="276">
        <v>40</v>
      </c>
    </row>
    <row r="21" spans="2:15">
      <c r="C21" t="s">
        <v>41</v>
      </c>
      <c r="D21" s="276"/>
      <c r="E21" s="276"/>
      <c r="F21" s="276"/>
      <c r="G21" s="276">
        <v>135</v>
      </c>
      <c r="H21" s="276"/>
      <c r="I21" s="276"/>
      <c r="J21" s="276"/>
      <c r="K21" s="276"/>
      <c r="L21" s="276"/>
      <c r="M21" s="276"/>
      <c r="N21" s="276"/>
      <c r="O21" s="276">
        <v>135</v>
      </c>
    </row>
    <row r="22" spans="2:15">
      <c r="C22" t="s">
        <v>42</v>
      </c>
      <c r="D22" s="276"/>
      <c r="E22" s="276"/>
      <c r="F22" s="276"/>
      <c r="G22" s="276"/>
      <c r="H22" s="276">
        <v>40</v>
      </c>
      <c r="I22" s="276"/>
      <c r="J22" s="276"/>
      <c r="K22" s="276"/>
      <c r="L22" s="276"/>
      <c r="M22" s="276"/>
      <c r="N22" s="276"/>
      <c r="O22" s="276">
        <v>40</v>
      </c>
    </row>
    <row r="23" spans="2:15">
      <c r="B23" t="s">
        <v>43</v>
      </c>
      <c r="C23" t="s">
        <v>44</v>
      </c>
      <c r="D23" s="276"/>
      <c r="E23" s="276"/>
      <c r="F23" s="276"/>
      <c r="G23" s="276"/>
      <c r="H23" s="276"/>
      <c r="I23" s="276">
        <v>180</v>
      </c>
      <c r="J23" s="276"/>
      <c r="K23" s="276"/>
      <c r="L23" s="276"/>
      <c r="M23" s="276"/>
      <c r="N23" s="276"/>
      <c r="O23" s="276">
        <v>180</v>
      </c>
    </row>
    <row r="24" spans="2:15">
      <c r="C24" t="s">
        <v>45</v>
      </c>
      <c r="D24" s="276"/>
      <c r="E24" s="276"/>
      <c r="F24" s="276"/>
      <c r="G24" s="276"/>
      <c r="H24" s="276"/>
      <c r="I24" s="276">
        <v>135</v>
      </c>
      <c r="J24" s="276"/>
      <c r="K24" s="276"/>
      <c r="L24" s="276"/>
      <c r="M24" s="276"/>
      <c r="N24" s="276"/>
      <c r="O24" s="276">
        <v>135</v>
      </c>
    </row>
    <row r="25" spans="2:15">
      <c r="B25" t="s">
        <v>27</v>
      </c>
      <c r="D25" s="276">
        <v>6515</v>
      </c>
      <c r="E25" s="276">
        <v>1530</v>
      </c>
      <c r="F25" s="276">
        <v>1720</v>
      </c>
      <c r="G25" s="276">
        <v>635</v>
      </c>
      <c r="H25" s="276">
        <v>465</v>
      </c>
      <c r="I25" s="276">
        <v>315</v>
      </c>
      <c r="J25" s="276"/>
      <c r="K25" s="276"/>
      <c r="L25" s="276"/>
      <c r="M25" s="276"/>
      <c r="N25" s="276">
        <v>915</v>
      </c>
      <c r="O25" s="276">
        <v>12095</v>
      </c>
    </row>
    <row r="26" spans="2:15">
      <c r="B26" t="s">
        <v>46</v>
      </c>
      <c r="D26" s="276"/>
      <c r="E26" s="276"/>
      <c r="F26" s="276"/>
      <c r="G26" s="276"/>
      <c r="H26" s="276"/>
      <c r="I26" s="276"/>
      <c r="J26" s="276">
        <v>465</v>
      </c>
      <c r="K26" s="276"/>
      <c r="L26" s="276"/>
      <c r="M26" s="276"/>
      <c r="N26" s="276"/>
      <c r="O26" s="276">
        <v>465</v>
      </c>
    </row>
    <row r="27" spans="2:15">
      <c r="B27" t="s">
        <v>47</v>
      </c>
      <c r="D27" s="276"/>
      <c r="E27" s="276">
        <v>180</v>
      </c>
      <c r="F27" s="276"/>
      <c r="G27" s="276"/>
      <c r="H27" s="276"/>
      <c r="I27" s="276"/>
      <c r="J27" s="276"/>
      <c r="K27" s="276">
        <v>105</v>
      </c>
      <c r="L27" s="276"/>
      <c r="M27" s="276"/>
      <c r="N27" s="276"/>
      <c r="O27" s="276">
        <v>285</v>
      </c>
    </row>
    <row r="28" spans="2:15">
      <c r="B28" t="s">
        <v>48</v>
      </c>
      <c r="C28" t="s">
        <v>49</v>
      </c>
      <c r="D28" s="276"/>
      <c r="E28" s="276">
        <v>70</v>
      </c>
      <c r="F28" s="276"/>
      <c r="G28" s="276"/>
      <c r="H28" s="276"/>
      <c r="I28" s="276"/>
      <c r="J28" s="276"/>
      <c r="K28" s="276"/>
      <c r="L28" s="276"/>
      <c r="M28" s="276"/>
      <c r="N28" s="276"/>
      <c r="O28" s="276">
        <v>70</v>
      </c>
    </row>
    <row r="29" spans="2:15">
      <c r="C29" t="s">
        <v>50</v>
      </c>
      <c r="D29" s="276"/>
      <c r="E29" s="276"/>
      <c r="F29" s="276"/>
      <c r="G29" s="276"/>
      <c r="H29" s="276"/>
      <c r="I29" s="276"/>
      <c r="J29" s="276"/>
      <c r="K29" s="276"/>
      <c r="L29" s="276"/>
      <c r="M29" s="276"/>
      <c r="N29" s="276">
        <v>135</v>
      </c>
      <c r="O29" s="276">
        <v>135</v>
      </c>
    </row>
    <row r="30" spans="2:15">
      <c r="B30" t="s">
        <v>51</v>
      </c>
      <c r="C30" t="s">
        <v>52</v>
      </c>
      <c r="D30" s="276">
        <v>315</v>
      </c>
      <c r="E30" s="276"/>
      <c r="F30" s="276"/>
      <c r="G30" s="276"/>
      <c r="H30" s="276"/>
      <c r="I30" s="276"/>
      <c r="J30" s="276"/>
      <c r="K30" s="276"/>
      <c r="L30" s="276"/>
      <c r="M30" s="276"/>
      <c r="N30" s="276"/>
      <c r="O30" s="276">
        <v>315</v>
      </c>
    </row>
    <row r="31" spans="2:15">
      <c r="B31" t="s">
        <v>53</v>
      </c>
      <c r="C31" t="s">
        <v>54</v>
      </c>
      <c r="D31" s="276"/>
      <c r="E31" s="276"/>
      <c r="F31" s="276">
        <v>35</v>
      </c>
      <c r="G31" s="276"/>
      <c r="H31" s="276"/>
      <c r="I31" s="276"/>
      <c r="J31" s="276"/>
      <c r="K31" s="276"/>
      <c r="L31" s="276"/>
      <c r="M31" s="276"/>
      <c r="N31" s="276"/>
      <c r="O31" s="276">
        <v>35</v>
      </c>
    </row>
    <row r="32" spans="2:15">
      <c r="C32" t="s">
        <v>55</v>
      </c>
      <c r="D32" s="276"/>
      <c r="E32" s="276"/>
      <c r="F32" s="276">
        <v>105</v>
      </c>
      <c r="G32" s="276"/>
      <c r="H32" s="276"/>
      <c r="I32" s="276"/>
      <c r="J32" s="276"/>
      <c r="K32" s="276"/>
      <c r="L32" s="276"/>
      <c r="M32" s="276"/>
      <c r="N32" s="276"/>
      <c r="O32" s="276">
        <v>105</v>
      </c>
    </row>
    <row r="33" spans="1:15">
      <c r="B33" t="s">
        <v>56</v>
      </c>
      <c r="C33" t="s">
        <v>57</v>
      </c>
      <c r="D33" s="276"/>
      <c r="E33" s="276"/>
      <c r="F33" s="276"/>
      <c r="G33" s="276">
        <v>70</v>
      </c>
      <c r="H33" s="276"/>
      <c r="I33" s="276"/>
      <c r="J33" s="276"/>
      <c r="K33" s="276"/>
      <c r="L33" s="276"/>
      <c r="M33" s="276"/>
      <c r="N33" s="276"/>
      <c r="O33" s="276">
        <v>70</v>
      </c>
    </row>
    <row r="34" spans="1:15">
      <c r="B34" t="s">
        <v>58</v>
      </c>
      <c r="C34" t="s">
        <v>59</v>
      </c>
      <c r="D34" s="276"/>
      <c r="E34" s="276"/>
      <c r="F34" s="276"/>
      <c r="G34" s="276"/>
      <c r="H34" s="276">
        <v>180</v>
      </c>
      <c r="I34" s="276"/>
      <c r="J34" s="276"/>
      <c r="K34" s="276"/>
      <c r="L34" s="276"/>
      <c r="M34" s="276"/>
      <c r="N34" s="276"/>
      <c r="O34" s="276">
        <v>180</v>
      </c>
    </row>
    <row r="35" spans="1:15">
      <c r="B35" t="s">
        <v>28</v>
      </c>
      <c r="C35" t="s">
        <v>60</v>
      </c>
      <c r="D35" s="276"/>
      <c r="E35" s="276"/>
      <c r="F35" s="276"/>
      <c r="G35" s="276"/>
      <c r="H35" s="276"/>
      <c r="I35" s="276">
        <v>720</v>
      </c>
      <c r="J35" s="276"/>
      <c r="K35" s="276"/>
      <c r="L35" s="276"/>
      <c r="M35" s="276"/>
      <c r="N35" s="276"/>
      <c r="O35" s="276">
        <v>720</v>
      </c>
    </row>
    <row r="36" spans="1:15">
      <c r="C36" t="s">
        <v>61</v>
      </c>
      <c r="D36" s="276"/>
      <c r="E36" s="276"/>
      <c r="F36" s="276"/>
      <c r="G36" s="276"/>
      <c r="H36" s="276"/>
      <c r="I36" s="276">
        <v>120</v>
      </c>
      <c r="J36" s="276"/>
      <c r="K36" s="276"/>
      <c r="L36" s="276"/>
      <c r="M36" s="276"/>
      <c r="N36" s="276"/>
      <c r="O36" s="276">
        <v>120</v>
      </c>
    </row>
    <row r="37" spans="1:15">
      <c r="C37" t="s">
        <v>62</v>
      </c>
      <c r="D37" s="276"/>
      <c r="E37" s="276"/>
      <c r="F37" s="276"/>
      <c r="G37" s="276"/>
      <c r="H37" s="276"/>
      <c r="I37" s="276">
        <v>250</v>
      </c>
      <c r="J37" s="276"/>
      <c r="K37" s="276"/>
      <c r="L37" s="276"/>
      <c r="M37" s="276"/>
      <c r="N37" s="276"/>
      <c r="O37" s="276">
        <v>250</v>
      </c>
    </row>
    <row r="38" spans="1:15">
      <c r="A38" t="s">
        <v>23</v>
      </c>
      <c r="D38" s="276">
        <v>15090</v>
      </c>
      <c r="E38" s="276">
        <v>8315</v>
      </c>
      <c r="F38" s="276">
        <v>5340</v>
      </c>
      <c r="G38" s="276">
        <v>8380</v>
      </c>
      <c r="H38" s="276">
        <v>4570</v>
      </c>
      <c r="I38" s="276">
        <v>2710</v>
      </c>
      <c r="J38" s="276">
        <v>1780</v>
      </c>
      <c r="K38" s="276">
        <v>105</v>
      </c>
      <c r="L38" s="276">
        <v>600</v>
      </c>
      <c r="M38" s="276">
        <v>445</v>
      </c>
      <c r="N38" s="276">
        <v>4330</v>
      </c>
      <c r="O38" s="276">
        <v>51665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C72E-5D37-4E72-A8DB-87D0403D0CD1}">
  <dimension ref="A2:E99"/>
  <sheetViews>
    <sheetView topLeftCell="A84" workbookViewId="0">
      <selection activeCell="G9" sqref="G9"/>
    </sheetView>
  </sheetViews>
  <sheetFormatPr defaultRowHeight="15"/>
  <cols>
    <col min="1" max="1" width="18.28515625" bestFit="1" customWidth="1"/>
    <col min="2" max="2" width="17.85546875" customWidth="1"/>
    <col min="3" max="3" width="18.42578125" customWidth="1"/>
    <col min="4" max="4" width="50.5703125" customWidth="1"/>
    <col min="5" max="5" width="8.42578125" bestFit="1" customWidth="1"/>
    <col min="6" max="6" width="18.28515625" bestFit="1" customWidth="1"/>
    <col min="7" max="7" width="7.42578125" bestFit="1" customWidth="1"/>
    <col min="8" max="8" width="7" bestFit="1" customWidth="1"/>
    <col min="9" max="9" width="8" bestFit="1" customWidth="1"/>
    <col min="10" max="10" width="7.140625" bestFit="1" customWidth="1"/>
    <col min="11" max="11" width="7.5703125" bestFit="1" customWidth="1"/>
    <col min="12" max="12" width="8.140625" bestFit="1" customWidth="1"/>
    <col min="13" max="13" width="7.5703125" bestFit="1" customWidth="1"/>
    <col min="14" max="14" width="7.42578125" bestFit="1" customWidth="1"/>
    <col min="15" max="15" width="7.140625" bestFit="1" customWidth="1"/>
    <col min="16" max="16" width="8.28515625" bestFit="1" customWidth="1"/>
    <col min="17" max="17" width="6.5703125" bestFit="1" customWidth="1"/>
    <col min="18" max="158" width="11.7109375" bestFit="1" customWidth="1"/>
    <col min="159" max="159" width="7.42578125" bestFit="1" customWidth="1"/>
    <col min="160" max="160" width="11.7109375" bestFit="1" customWidth="1"/>
  </cols>
  <sheetData>
    <row r="2" spans="1:5" ht="18.75">
      <c r="A2" s="267" t="s">
        <v>63</v>
      </c>
    </row>
    <row r="3" spans="1:5">
      <c r="A3" s="229" t="s">
        <v>1</v>
      </c>
      <c r="B3" t="s">
        <v>2</v>
      </c>
    </row>
    <row r="4" spans="1:5">
      <c r="A4" s="229" t="s">
        <v>9</v>
      </c>
      <c r="B4" t="s">
        <v>5</v>
      </c>
    </row>
    <row r="5" spans="1:5">
      <c r="A5" s="229" t="s">
        <v>4</v>
      </c>
      <c r="B5" t="s">
        <v>64</v>
      </c>
    </row>
    <row r="7" spans="1:5">
      <c r="A7" s="229" t="s">
        <v>24</v>
      </c>
      <c r="B7" s="229" t="s">
        <v>65</v>
      </c>
      <c r="C7" s="229" t="s">
        <v>66</v>
      </c>
      <c r="D7" s="229" t="s">
        <v>11</v>
      </c>
      <c r="E7" s="21" t="s">
        <v>23</v>
      </c>
    </row>
    <row r="8" spans="1:5">
      <c r="A8" t="s">
        <v>67</v>
      </c>
      <c r="B8" t="s">
        <v>68</v>
      </c>
      <c r="C8">
        <v>4200670036</v>
      </c>
      <c r="D8" t="s">
        <v>59</v>
      </c>
      <c r="E8" s="276">
        <v>180</v>
      </c>
    </row>
    <row r="9" spans="1:5">
      <c r="A9" t="s">
        <v>69</v>
      </c>
      <c r="B9" t="s">
        <v>70</v>
      </c>
      <c r="C9" t="s">
        <v>25</v>
      </c>
      <c r="E9" s="276">
        <v>0</v>
      </c>
    </row>
    <row r="10" spans="1:5">
      <c r="C10" t="s">
        <v>71</v>
      </c>
      <c r="D10" t="s">
        <v>72</v>
      </c>
      <c r="E10" s="276">
        <v>70</v>
      </c>
    </row>
    <row r="11" spans="1:5">
      <c r="C11">
        <v>4200665908</v>
      </c>
      <c r="D11" t="s">
        <v>73</v>
      </c>
      <c r="E11" s="276">
        <v>40</v>
      </c>
    </row>
    <row r="12" spans="1:5">
      <c r="D12" t="s">
        <v>74</v>
      </c>
      <c r="E12" s="276">
        <v>40</v>
      </c>
    </row>
    <row r="13" spans="1:5">
      <c r="D13" t="s">
        <v>75</v>
      </c>
      <c r="E13" s="276">
        <v>435</v>
      </c>
    </row>
    <row r="14" spans="1:5">
      <c r="D14" t="s">
        <v>76</v>
      </c>
      <c r="E14" s="276">
        <v>540</v>
      </c>
    </row>
    <row r="15" spans="1:5">
      <c r="C15">
        <v>4200665859</v>
      </c>
      <c r="D15" t="s">
        <v>77</v>
      </c>
      <c r="E15" s="276">
        <v>235</v>
      </c>
    </row>
    <row r="16" spans="1:5">
      <c r="C16">
        <v>4200663622</v>
      </c>
      <c r="D16" t="s">
        <v>78</v>
      </c>
      <c r="E16" s="276">
        <v>70</v>
      </c>
    </row>
    <row r="17" spans="1:5">
      <c r="D17" t="s">
        <v>79</v>
      </c>
      <c r="E17" s="276">
        <v>500</v>
      </c>
    </row>
    <row r="18" spans="1:5">
      <c r="C18">
        <v>4200667507</v>
      </c>
      <c r="D18" t="s">
        <v>80</v>
      </c>
      <c r="E18" s="276">
        <v>120</v>
      </c>
    </row>
    <row r="19" spans="1:5">
      <c r="D19" t="s">
        <v>81</v>
      </c>
      <c r="E19" s="276">
        <v>120</v>
      </c>
    </row>
    <row r="20" spans="1:5">
      <c r="D20" t="s">
        <v>82</v>
      </c>
      <c r="E20" s="276">
        <v>400</v>
      </c>
    </row>
    <row r="21" spans="1:5">
      <c r="C21">
        <v>4200667761</v>
      </c>
      <c r="D21" t="s">
        <v>83</v>
      </c>
      <c r="E21" s="276">
        <v>670</v>
      </c>
    </row>
    <row r="22" spans="1:5">
      <c r="B22" t="s">
        <v>68</v>
      </c>
      <c r="C22" t="s">
        <v>25</v>
      </c>
      <c r="E22" s="276">
        <v>960</v>
      </c>
    </row>
    <row r="23" spans="1:5">
      <c r="C23">
        <v>4200668080</v>
      </c>
      <c r="D23" t="s">
        <v>84</v>
      </c>
      <c r="E23" s="276">
        <v>535</v>
      </c>
    </row>
    <row r="24" spans="1:5">
      <c r="D24" t="s">
        <v>85</v>
      </c>
      <c r="E24" s="276">
        <v>195</v>
      </c>
    </row>
    <row r="25" spans="1:5">
      <c r="B25" t="s">
        <v>86</v>
      </c>
      <c r="C25" t="s">
        <v>25</v>
      </c>
      <c r="E25" s="276">
        <v>1240</v>
      </c>
    </row>
    <row r="26" spans="1:5">
      <c r="B26" t="s">
        <v>87</v>
      </c>
      <c r="C26" t="s">
        <v>25</v>
      </c>
      <c r="E26" s="276">
        <v>775</v>
      </c>
    </row>
    <row r="27" spans="1:5">
      <c r="C27">
        <v>4200665906</v>
      </c>
      <c r="D27" t="s">
        <v>88</v>
      </c>
      <c r="E27" s="276">
        <v>600</v>
      </c>
    </row>
    <row r="28" spans="1:5">
      <c r="C28" t="s">
        <v>89</v>
      </c>
      <c r="D28" t="s">
        <v>90</v>
      </c>
      <c r="E28" s="276">
        <v>1960</v>
      </c>
    </row>
    <row r="29" spans="1:5">
      <c r="C29" t="s">
        <v>91</v>
      </c>
      <c r="D29" t="s">
        <v>92</v>
      </c>
      <c r="E29" s="276">
        <v>240</v>
      </c>
    </row>
    <row r="30" spans="1:5">
      <c r="A30" t="s">
        <v>93</v>
      </c>
      <c r="B30" t="s">
        <v>70</v>
      </c>
      <c r="C30">
        <v>4200663723</v>
      </c>
      <c r="D30" t="s">
        <v>52</v>
      </c>
      <c r="E30" s="276">
        <v>315</v>
      </c>
    </row>
    <row r="31" spans="1:5">
      <c r="C31">
        <v>4200667872</v>
      </c>
      <c r="D31" t="s">
        <v>94</v>
      </c>
      <c r="E31" s="276">
        <v>120</v>
      </c>
    </row>
    <row r="32" spans="1:5">
      <c r="A32" t="s">
        <v>95</v>
      </c>
      <c r="B32" t="s">
        <v>70</v>
      </c>
      <c r="C32">
        <v>4200663610</v>
      </c>
      <c r="D32" t="s">
        <v>96</v>
      </c>
      <c r="E32" s="276">
        <v>155</v>
      </c>
    </row>
    <row r="33" spans="3:5">
      <c r="D33" t="s">
        <v>97</v>
      </c>
      <c r="E33" s="276">
        <v>155</v>
      </c>
    </row>
    <row r="34" spans="3:5">
      <c r="D34" t="s">
        <v>98</v>
      </c>
      <c r="E34" s="276">
        <v>275</v>
      </c>
    </row>
    <row r="35" spans="3:5">
      <c r="D35" t="s">
        <v>99</v>
      </c>
      <c r="E35" s="276">
        <v>400</v>
      </c>
    </row>
    <row r="36" spans="3:5">
      <c r="D36" t="s">
        <v>100</v>
      </c>
      <c r="E36" s="276">
        <v>410</v>
      </c>
    </row>
    <row r="37" spans="3:5">
      <c r="D37" t="s">
        <v>101</v>
      </c>
      <c r="E37" s="276">
        <v>35</v>
      </c>
    </row>
    <row r="38" spans="3:5">
      <c r="C38" t="s">
        <v>102</v>
      </c>
      <c r="D38" t="s">
        <v>103</v>
      </c>
      <c r="E38" s="276">
        <v>215</v>
      </c>
    </row>
    <row r="39" spans="3:5">
      <c r="C39">
        <v>4200665083</v>
      </c>
      <c r="D39" t="s">
        <v>104</v>
      </c>
      <c r="E39" s="276">
        <v>1000</v>
      </c>
    </row>
    <row r="40" spans="3:5">
      <c r="C40">
        <v>4200665081</v>
      </c>
      <c r="D40" t="s">
        <v>105</v>
      </c>
      <c r="E40" s="276">
        <v>510</v>
      </c>
    </row>
    <row r="41" spans="3:5">
      <c r="C41">
        <v>4200665074</v>
      </c>
      <c r="D41" t="s">
        <v>106</v>
      </c>
      <c r="E41" s="276">
        <v>810</v>
      </c>
    </row>
    <row r="42" spans="3:5">
      <c r="C42">
        <v>4200665900</v>
      </c>
      <c r="D42" t="s">
        <v>107</v>
      </c>
      <c r="E42" s="276">
        <v>1020</v>
      </c>
    </row>
    <row r="43" spans="3:5">
      <c r="C43">
        <v>4200665080</v>
      </c>
      <c r="D43" t="s">
        <v>108</v>
      </c>
      <c r="E43" s="276">
        <v>350</v>
      </c>
    </row>
    <row r="44" spans="3:5">
      <c r="C44">
        <v>4200667862</v>
      </c>
      <c r="D44" t="s">
        <v>109</v>
      </c>
      <c r="E44" s="276">
        <v>260</v>
      </c>
    </row>
    <row r="45" spans="3:5">
      <c r="D45" t="s">
        <v>110</v>
      </c>
      <c r="E45" s="276">
        <v>155</v>
      </c>
    </row>
    <row r="46" spans="3:5">
      <c r="D46" t="s">
        <v>111</v>
      </c>
      <c r="E46" s="276">
        <v>615</v>
      </c>
    </row>
    <row r="47" spans="3:5">
      <c r="D47" t="s">
        <v>112</v>
      </c>
      <c r="E47" s="276">
        <v>155</v>
      </c>
    </row>
    <row r="48" spans="3:5">
      <c r="D48" t="s">
        <v>113</v>
      </c>
      <c r="E48" s="276">
        <v>35</v>
      </c>
    </row>
    <row r="49" spans="1:5">
      <c r="D49" t="s">
        <v>114</v>
      </c>
      <c r="E49" s="276">
        <v>260</v>
      </c>
    </row>
    <row r="50" spans="1:5">
      <c r="C50">
        <v>4270028664</v>
      </c>
      <c r="D50" t="s">
        <v>115</v>
      </c>
      <c r="E50" s="276">
        <v>35</v>
      </c>
    </row>
    <row r="51" spans="1:5">
      <c r="C51">
        <v>4200670851</v>
      </c>
      <c r="D51" t="s">
        <v>116</v>
      </c>
      <c r="E51" s="276">
        <v>405</v>
      </c>
    </row>
    <row r="52" spans="1:5">
      <c r="B52" t="s">
        <v>68</v>
      </c>
      <c r="C52" t="s">
        <v>25</v>
      </c>
      <c r="E52" s="276">
        <v>1730</v>
      </c>
    </row>
    <row r="53" spans="1:5">
      <c r="C53">
        <v>4200663610</v>
      </c>
      <c r="D53" t="s">
        <v>117</v>
      </c>
      <c r="E53" s="276">
        <v>120</v>
      </c>
    </row>
    <row r="54" spans="1:5">
      <c r="C54">
        <v>4200667862</v>
      </c>
      <c r="D54" t="s">
        <v>118</v>
      </c>
      <c r="E54" s="276">
        <v>120</v>
      </c>
    </row>
    <row r="55" spans="1:5">
      <c r="D55" t="s">
        <v>119</v>
      </c>
      <c r="E55" s="276">
        <v>645</v>
      </c>
    </row>
    <row r="56" spans="1:5">
      <c r="B56" t="s">
        <v>86</v>
      </c>
      <c r="C56">
        <v>4200664132</v>
      </c>
      <c r="D56" t="s">
        <v>120</v>
      </c>
      <c r="E56" s="276">
        <v>540</v>
      </c>
    </row>
    <row r="57" spans="1:5">
      <c r="B57" t="s">
        <v>87</v>
      </c>
      <c r="C57" t="s">
        <v>121</v>
      </c>
      <c r="D57" t="s">
        <v>122</v>
      </c>
      <c r="E57" s="276">
        <v>270</v>
      </c>
    </row>
    <row r="58" spans="1:5">
      <c r="D58" t="s">
        <v>123</v>
      </c>
      <c r="E58" s="276">
        <v>190</v>
      </c>
    </row>
    <row r="59" spans="1:5">
      <c r="D59" t="s">
        <v>124</v>
      </c>
      <c r="E59" s="276">
        <v>35</v>
      </c>
    </row>
    <row r="60" spans="1:5">
      <c r="C60" t="s">
        <v>125</v>
      </c>
      <c r="D60" t="s">
        <v>126</v>
      </c>
      <c r="E60" s="276">
        <v>255</v>
      </c>
    </row>
    <row r="61" spans="1:5">
      <c r="A61" t="s">
        <v>127</v>
      </c>
      <c r="E61" s="276">
        <v>1100</v>
      </c>
    </row>
    <row r="62" spans="1:5">
      <c r="A62" t="s">
        <v>128</v>
      </c>
      <c r="E62" s="276">
        <v>355</v>
      </c>
    </row>
    <row r="63" spans="1:5">
      <c r="A63" t="s">
        <v>129</v>
      </c>
      <c r="B63" t="s">
        <v>70</v>
      </c>
      <c r="C63">
        <v>4200663623</v>
      </c>
      <c r="D63" t="s">
        <v>100</v>
      </c>
      <c r="E63" s="276">
        <v>600</v>
      </c>
    </row>
    <row r="64" spans="1:5">
      <c r="A64" t="s">
        <v>130</v>
      </c>
      <c r="B64" t="s">
        <v>70</v>
      </c>
      <c r="C64" t="s">
        <v>25</v>
      </c>
      <c r="E64" s="276">
        <v>250</v>
      </c>
    </row>
    <row r="65" spans="3:5">
      <c r="C65">
        <v>4200663716</v>
      </c>
      <c r="D65" t="s">
        <v>131</v>
      </c>
      <c r="E65" s="276">
        <v>155</v>
      </c>
    </row>
    <row r="66" spans="3:5">
      <c r="D66" t="s">
        <v>132</v>
      </c>
      <c r="E66" s="276">
        <v>155</v>
      </c>
    </row>
    <row r="67" spans="3:5">
      <c r="D67" t="s">
        <v>133</v>
      </c>
      <c r="E67" s="276">
        <v>190</v>
      </c>
    </row>
    <row r="68" spans="3:5">
      <c r="D68" t="s">
        <v>134</v>
      </c>
      <c r="E68" s="276">
        <v>260</v>
      </c>
    </row>
    <row r="69" spans="3:5">
      <c r="D69" t="s">
        <v>135</v>
      </c>
      <c r="E69" s="276">
        <v>20</v>
      </c>
    </row>
    <row r="70" spans="3:5">
      <c r="D70" t="s">
        <v>136</v>
      </c>
      <c r="E70" s="276">
        <v>260</v>
      </c>
    </row>
    <row r="71" spans="3:5">
      <c r="C71" t="s">
        <v>137</v>
      </c>
      <c r="D71" t="s">
        <v>138</v>
      </c>
      <c r="E71" s="276">
        <v>135</v>
      </c>
    </row>
    <row r="72" spans="3:5">
      <c r="C72">
        <v>4200667871</v>
      </c>
      <c r="D72" t="s">
        <v>139</v>
      </c>
      <c r="E72" s="276">
        <v>720</v>
      </c>
    </row>
    <row r="73" spans="3:5">
      <c r="D73" t="s">
        <v>140</v>
      </c>
      <c r="E73" s="276">
        <v>155</v>
      </c>
    </row>
    <row r="74" spans="3:5">
      <c r="D74" t="s">
        <v>141</v>
      </c>
      <c r="E74" s="276">
        <v>120</v>
      </c>
    </row>
    <row r="75" spans="3:5">
      <c r="D75" t="s">
        <v>55</v>
      </c>
      <c r="E75" s="276">
        <v>105</v>
      </c>
    </row>
    <row r="76" spans="3:5">
      <c r="D76" t="s">
        <v>142</v>
      </c>
      <c r="E76" s="276">
        <v>120</v>
      </c>
    </row>
    <row r="77" spans="3:5">
      <c r="D77" t="s">
        <v>143</v>
      </c>
      <c r="E77" s="276">
        <v>80</v>
      </c>
    </row>
    <row r="78" spans="3:5">
      <c r="D78" t="s">
        <v>144</v>
      </c>
      <c r="E78" s="276">
        <v>135</v>
      </c>
    </row>
    <row r="79" spans="3:5">
      <c r="D79" t="s">
        <v>145</v>
      </c>
      <c r="E79" s="276">
        <v>150</v>
      </c>
    </row>
    <row r="80" spans="3:5">
      <c r="C80">
        <v>4200669104</v>
      </c>
      <c r="D80" t="s">
        <v>146</v>
      </c>
      <c r="E80" s="276">
        <v>40</v>
      </c>
    </row>
    <row r="81" spans="1:5">
      <c r="B81" t="s">
        <v>68</v>
      </c>
      <c r="C81" t="s">
        <v>25</v>
      </c>
      <c r="E81" s="276">
        <v>895</v>
      </c>
    </row>
    <row r="82" spans="1:5">
      <c r="B82" t="s">
        <v>86</v>
      </c>
      <c r="C82" t="s">
        <v>25</v>
      </c>
      <c r="E82" s="276">
        <v>105</v>
      </c>
    </row>
    <row r="83" spans="1:5">
      <c r="A83" t="s">
        <v>147</v>
      </c>
      <c r="B83" t="s">
        <v>70</v>
      </c>
      <c r="C83">
        <v>4200669114</v>
      </c>
      <c r="D83" t="s">
        <v>148</v>
      </c>
      <c r="E83" s="276">
        <v>730</v>
      </c>
    </row>
    <row r="84" spans="1:5">
      <c r="C84" t="s">
        <v>149</v>
      </c>
      <c r="D84" t="s">
        <v>150</v>
      </c>
      <c r="E84" s="276">
        <v>3800</v>
      </c>
    </row>
    <row r="85" spans="1:5">
      <c r="C85">
        <v>4200665873</v>
      </c>
      <c r="D85" t="s">
        <v>151</v>
      </c>
      <c r="E85" s="276">
        <v>175</v>
      </c>
    </row>
    <row r="86" spans="1:5">
      <c r="D86" t="s">
        <v>152</v>
      </c>
      <c r="E86" s="276">
        <v>285</v>
      </c>
    </row>
    <row r="87" spans="1:5">
      <c r="D87" t="s">
        <v>153</v>
      </c>
      <c r="E87" s="276">
        <v>280</v>
      </c>
    </row>
    <row r="88" spans="1:5">
      <c r="C88">
        <v>4200666278</v>
      </c>
      <c r="D88" t="s">
        <v>154</v>
      </c>
      <c r="E88" s="276">
        <v>175</v>
      </c>
    </row>
    <row r="89" spans="1:5">
      <c r="D89" t="s">
        <v>155</v>
      </c>
      <c r="E89" s="276">
        <v>70</v>
      </c>
    </row>
    <row r="90" spans="1:5">
      <c r="D90" t="s">
        <v>156</v>
      </c>
      <c r="E90" s="276">
        <v>105</v>
      </c>
    </row>
    <row r="91" spans="1:5">
      <c r="D91" t="s">
        <v>157</v>
      </c>
      <c r="E91" s="276">
        <v>35</v>
      </c>
    </row>
    <row r="92" spans="1:5">
      <c r="D92" t="s">
        <v>158</v>
      </c>
      <c r="E92" s="276">
        <v>355</v>
      </c>
    </row>
    <row r="93" spans="1:5">
      <c r="B93" t="s">
        <v>87</v>
      </c>
      <c r="C93" t="s">
        <v>159</v>
      </c>
      <c r="D93" t="s">
        <v>160</v>
      </c>
      <c r="E93" s="276">
        <v>915</v>
      </c>
    </row>
    <row r="94" spans="1:5">
      <c r="A94" t="s">
        <v>161</v>
      </c>
      <c r="B94" t="s">
        <v>70</v>
      </c>
      <c r="C94">
        <v>4200669114</v>
      </c>
      <c r="D94" t="s">
        <v>49</v>
      </c>
      <c r="E94" s="276">
        <v>70</v>
      </c>
    </row>
    <row r="95" spans="1:5">
      <c r="D95" t="s">
        <v>162</v>
      </c>
      <c r="E95" s="276">
        <v>300</v>
      </c>
    </row>
    <row r="96" spans="1:5">
      <c r="B96" t="s">
        <v>68</v>
      </c>
      <c r="C96" t="s">
        <v>25</v>
      </c>
      <c r="E96" s="276">
        <v>270</v>
      </c>
    </row>
    <row r="97" spans="1:5">
      <c r="A97" t="s">
        <v>163</v>
      </c>
      <c r="B97" t="s">
        <v>68</v>
      </c>
      <c r="C97" t="s">
        <v>25</v>
      </c>
      <c r="E97" s="276">
        <v>665</v>
      </c>
    </row>
    <row r="98" spans="1:5">
      <c r="A98" t="s">
        <v>164</v>
      </c>
      <c r="B98" t="s">
        <v>68</v>
      </c>
      <c r="C98" t="s">
        <v>25</v>
      </c>
      <c r="E98" s="276">
        <v>200</v>
      </c>
    </row>
    <row r="99" spans="1:5">
      <c r="A99" t="s">
        <v>23</v>
      </c>
      <c r="E99" s="276">
        <v>36055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7D369-EFA4-4263-878B-2A71D6415452}">
  <dimension ref="A1:BE95"/>
  <sheetViews>
    <sheetView workbookViewId="0">
      <pane xSplit="4" ySplit="3" topLeftCell="F71" activePane="bottomRight" state="frozen"/>
      <selection pane="bottomRight" activeCell="F84" sqref="F84"/>
      <selection pane="bottomLeft" activeCell="A4" sqref="A4"/>
      <selection pane="topRight" activeCell="E1" sqref="E1"/>
    </sheetView>
  </sheetViews>
  <sheetFormatPr defaultColWidth="11.5703125" defaultRowHeight="15"/>
  <cols>
    <col min="1" max="1" width="9" style="5" customWidth="1"/>
    <col min="2" max="2" width="8" style="5" customWidth="1"/>
    <col min="3" max="3" width="11.42578125" style="117" bestFit="1" customWidth="1"/>
    <col min="4" max="4" width="44.7109375" style="6" customWidth="1"/>
    <col min="5" max="5" width="16.42578125" style="5" customWidth="1"/>
    <col min="6" max="6" width="10.42578125" style="8" customWidth="1"/>
    <col min="7" max="7" width="10.28515625" style="8" customWidth="1"/>
    <col min="8" max="8" width="29.42578125" style="5" customWidth="1"/>
    <col min="9" max="9" width="9.140625" style="8"/>
    <col min="10" max="10" width="10.42578125" style="34" customWidth="1"/>
    <col min="11" max="11" width="11.85546875" style="8" customWidth="1"/>
    <col min="12" max="12" width="12.28515625" style="8" customWidth="1"/>
    <col min="13" max="13" width="12.28515625" style="138" customWidth="1"/>
    <col min="14" max="16" width="11.28515625" style="8" customWidth="1"/>
    <col min="17" max="17" width="15.5703125" style="7" customWidth="1"/>
    <col min="18" max="18" width="16.5703125" style="8" customWidth="1"/>
    <col min="19" max="19" width="15.5703125" style="8" customWidth="1"/>
    <col min="20" max="20" width="18.7109375" style="8" customWidth="1"/>
    <col min="21" max="23" width="15.5703125" style="8" customWidth="1"/>
    <col min="24" max="24" width="15.5703125" style="7" customWidth="1"/>
    <col min="25" max="32" width="15.5703125" style="8" customWidth="1"/>
    <col min="33" max="34" width="15.5703125" style="7" customWidth="1"/>
    <col min="35" max="39" width="15.5703125" style="8" customWidth="1"/>
    <col min="40" max="40" width="15.5703125" style="7" customWidth="1"/>
    <col min="41" max="46" width="15.5703125" style="8" customWidth="1"/>
    <col min="47" max="47" width="15.5703125" style="7" customWidth="1"/>
    <col min="48" max="48" width="15.5703125" style="8" customWidth="1"/>
    <col min="49" max="49" width="15.5703125" style="7" customWidth="1"/>
    <col min="50" max="50" width="15.5703125" style="8" customWidth="1"/>
    <col min="51" max="51" width="16.42578125" style="9" customWidth="1"/>
    <col min="52" max="52" width="16.42578125" style="5" customWidth="1"/>
    <col min="53" max="16384" width="11.5703125" style="5"/>
  </cols>
  <sheetData>
    <row r="1" spans="1:57" s="2" customFormat="1">
      <c r="A1" s="10" t="s">
        <v>165</v>
      </c>
      <c r="B1" s="10"/>
      <c r="C1" s="115"/>
      <c r="D1" s="11"/>
      <c r="E1" s="10"/>
      <c r="F1" s="1"/>
      <c r="G1" s="1"/>
      <c r="H1" s="10"/>
      <c r="I1" s="1"/>
      <c r="J1" s="31"/>
      <c r="K1" s="1"/>
      <c r="L1" s="1"/>
      <c r="M1" s="209"/>
      <c r="N1" s="1"/>
      <c r="O1" s="1"/>
      <c r="P1" s="1"/>
      <c r="Q1" s="526" t="s">
        <v>166</v>
      </c>
      <c r="R1" s="526"/>
      <c r="S1" s="526"/>
      <c r="T1" s="526"/>
      <c r="U1" s="526"/>
      <c r="V1" s="526"/>
      <c r="W1" s="526"/>
      <c r="X1" s="526" t="s">
        <v>167</v>
      </c>
      <c r="Y1" s="526"/>
      <c r="Z1" s="526"/>
      <c r="AA1" s="526"/>
      <c r="AB1" s="526"/>
      <c r="AC1" s="526"/>
      <c r="AD1" s="526"/>
      <c r="AE1" s="526"/>
      <c r="AF1" s="526"/>
      <c r="AG1" s="12" t="s">
        <v>168</v>
      </c>
      <c r="AH1" s="526" t="s">
        <v>169</v>
      </c>
      <c r="AI1" s="526"/>
      <c r="AJ1" s="526"/>
      <c r="AK1" s="526"/>
      <c r="AL1" s="526"/>
      <c r="AM1" s="526"/>
      <c r="AN1" s="526" t="s">
        <v>170</v>
      </c>
      <c r="AO1" s="526"/>
      <c r="AP1" s="526"/>
      <c r="AQ1" s="526"/>
      <c r="AR1" s="526"/>
      <c r="AS1" s="526"/>
      <c r="AT1" s="526"/>
      <c r="AU1" s="526" t="s">
        <v>171</v>
      </c>
      <c r="AV1" s="526"/>
      <c r="AW1" s="526" t="s">
        <v>172</v>
      </c>
      <c r="AX1" s="526"/>
      <c r="AY1" s="3"/>
    </row>
    <row r="2" spans="1:57" s="28" customFormat="1" ht="45.75">
      <c r="A2" s="527" t="s">
        <v>11</v>
      </c>
      <c r="B2" s="527"/>
      <c r="C2" s="527"/>
      <c r="D2" s="527"/>
      <c r="E2" s="25" t="s">
        <v>173</v>
      </c>
      <c r="F2" s="25"/>
      <c r="G2" s="25"/>
      <c r="H2" s="25"/>
      <c r="I2" s="25"/>
      <c r="J2" s="25"/>
      <c r="K2" s="25"/>
      <c r="L2" s="25"/>
      <c r="M2" s="25"/>
      <c r="N2" s="60"/>
      <c r="O2" s="25"/>
      <c r="P2" s="25"/>
      <c r="Q2" s="24" t="s">
        <v>174</v>
      </c>
      <c r="R2" s="25" t="s">
        <v>175</v>
      </c>
      <c r="S2" s="25" t="s">
        <v>176</v>
      </c>
      <c r="T2" s="25" t="s">
        <v>177</v>
      </c>
      <c r="U2" s="25" t="s">
        <v>178</v>
      </c>
      <c r="V2" s="25" t="s">
        <v>179</v>
      </c>
      <c r="W2" s="25" t="s">
        <v>180</v>
      </c>
      <c r="X2" s="24" t="s">
        <v>181</v>
      </c>
      <c r="Y2" s="25" t="s">
        <v>182</v>
      </c>
      <c r="Z2" s="25" t="s">
        <v>183</v>
      </c>
      <c r="AA2" s="25" t="s">
        <v>184</v>
      </c>
      <c r="AB2" s="41" t="s">
        <v>185</v>
      </c>
      <c r="AC2" s="41" t="s">
        <v>186</v>
      </c>
      <c r="AD2" s="25" t="s">
        <v>187</v>
      </c>
      <c r="AE2" s="25" t="s">
        <v>188</v>
      </c>
      <c r="AF2" s="25" t="s">
        <v>189</v>
      </c>
      <c r="AG2" s="24" t="s">
        <v>190</v>
      </c>
      <c r="AH2" s="40" t="s">
        <v>191</v>
      </c>
      <c r="AI2" s="41" t="s">
        <v>192</v>
      </c>
      <c r="AJ2" s="25" t="s">
        <v>193</v>
      </c>
      <c r="AK2" s="25" t="s">
        <v>194</v>
      </c>
      <c r="AL2" s="25" t="s">
        <v>195</v>
      </c>
      <c r="AM2" s="25" t="s">
        <v>196</v>
      </c>
      <c r="AN2" s="24" t="s">
        <v>197</v>
      </c>
      <c r="AO2" s="25" t="s">
        <v>198</v>
      </c>
      <c r="AP2" s="41" t="s">
        <v>199</v>
      </c>
      <c r="AQ2" s="41" t="s">
        <v>200</v>
      </c>
      <c r="AR2" s="25" t="s">
        <v>201</v>
      </c>
      <c r="AS2" s="25" t="s">
        <v>202</v>
      </c>
      <c r="AT2" s="25" t="s">
        <v>203</v>
      </c>
      <c r="AU2" s="24" t="s">
        <v>204</v>
      </c>
      <c r="AV2" s="25" t="s">
        <v>205</v>
      </c>
      <c r="AW2" s="24" t="s">
        <v>206</v>
      </c>
      <c r="AX2" s="25" t="s">
        <v>207</v>
      </c>
      <c r="AY2" s="26"/>
      <c r="AZ2" s="27"/>
      <c r="BA2" s="27"/>
      <c r="BB2" s="27"/>
      <c r="BC2" s="27"/>
      <c r="BD2" s="27"/>
      <c r="BE2" s="27"/>
    </row>
    <row r="3" spans="1:57" customFormat="1">
      <c r="A3" s="13" t="s">
        <v>208</v>
      </c>
      <c r="B3" s="13" t="s">
        <v>209</v>
      </c>
      <c r="C3" s="116" t="s">
        <v>210</v>
      </c>
      <c r="D3" s="14" t="s">
        <v>11</v>
      </c>
      <c r="E3" s="13" t="s">
        <v>10</v>
      </c>
      <c r="F3" s="13" t="s">
        <v>211</v>
      </c>
      <c r="G3" s="13" t="s">
        <v>24</v>
      </c>
      <c r="H3" s="13" t="s">
        <v>212</v>
      </c>
      <c r="I3" s="45" t="s">
        <v>213</v>
      </c>
      <c r="J3" s="32" t="s">
        <v>214</v>
      </c>
      <c r="K3" s="13" t="s">
        <v>215</v>
      </c>
      <c r="L3" s="13" t="s">
        <v>66</v>
      </c>
      <c r="M3" s="210" t="s">
        <v>216</v>
      </c>
      <c r="N3" s="13" t="s">
        <v>217</v>
      </c>
      <c r="O3" s="13" t="s">
        <v>218</v>
      </c>
      <c r="P3" s="13" t="s">
        <v>211</v>
      </c>
      <c r="Q3" s="15">
        <v>120</v>
      </c>
      <c r="R3" s="16">
        <v>35</v>
      </c>
      <c r="S3" s="16">
        <v>220</v>
      </c>
      <c r="T3" s="16">
        <v>60</v>
      </c>
      <c r="U3" s="16">
        <v>250</v>
      </c>
      <c r="V3" s="16">
        <v>500</v>
      </c>
      <c r="W3" s="16">
        <v>100</v>
      </c>
      <c r="X3" s="15">
        <v>135</v>
      </c>
      <c r="Y3" s="17">
        <v>40</v>
      </c>
      <c r="Z3" s="17">
        <v>180</v>
      </c>
      <c r="AA3" s="16">
        <v>250</v>
      </c>
      <c r="AB3" s="16">
        <v>200</v>
      </c>
      <c r="AC3" s="16">
        <v>250</v>
      </c>
      <c r="AD3" s="16">
        <v>180</v>
      </c>
      <c r="AE3" s="16">
        <v>400</v>
      </c>
      <c r="AF3" s="16" t="s">
        <v>219</v>
      </c>
      <c r="AG3" s="15">
        <v>35</v>
      </c>
      <c r="AH3" s="15">
        <v>500</v>
      </c>
      <c r="AI3" s="15">
        <v>600</v>
      </c>
      <c r="AJ3" s="15">
        <v>500</v>
      </c>
      <c r="AK3" s="16">
        <v>1200</v>
      </c>
      <c r="AL3" s="16">
        <v>5000</v>
      </c>
      <c r="AM3" s="16">
        <v>7000</v>
      </c>
      <c r="AN3" s="15">
        <v>80</v>
      </c>
      <c r="AO3" s="17">
        <v>150</v>
      </c>
      <c r="AP3" s="17">
        <v>260</v>
      </c>
      <c r="AQ3" s="17">
        <v>360</v>
      </c>
      <c r="AR3" s="16">
        <v>5000</v>
      </c>
      <c r="AS3" s="16">
        <v>6500</v>
      </c>
      <c r="AT3" s="16">
        <v>10000</v>
      </c>
      <c r="AU3" s="15">
        <v>2500</v>
      </c>
      <c r="AV3" s="16">
        <v>10000</v>
      </c>
      <c r="AW3" s="18">
        <v>0.1</v>
      </c>
      <c r="AX3" s="19">
        <v>0.25</v>
      </c>
      <c r="AY3" s="4"/>
    </row>
    <row r="4" spans="1:57">
      <c r="A4" s="5" t="s">
        <v>220</v>
      </c>
      <c r="B4" s="5" t="s">
        <v>221</v>
      </c>
      <c r="C4" s="42">
        <v>45013</v>
      </c>
      <c r="D4" s="55" t="s">
        <v>222</v>
      </c>
      <c r="E4" s="5" t="s">
        <v>26</v>
      </c>
      <c r="F4" s="29" t="s">
        <v>223</v>
      </c>
      <c r="G4" s="8" t="s">
        <v>130</v>
      </c>
      <c r="H4" s="78" t="s">
        <v>224</v>
      </c>
      <c r="I4" s="43">
        <f>IF(SUM(Q4:AX4)=0,"-",SUM(Q4:AX4))</f>
        <v>6</v>
      </c>
      <c r="J4" s="52">
        <f>IF(SUMPRODUCT('Sony France - CM'!$Q$3:$AX$3,Q4:AX4)=0,"-",SUMPRODUCT('Sony France - CM'!$Q$3:$AX$3,Q4:AX4))</f>
        <v>210</v>
      </c>
      <c r="K4" s="205">
        <v>45023</v>
      </c>
      <c r="L4" s="206">
        <v>4200641929</v>
      </c>
      <c r="M4" s="212" t="s">
        <v>225</v>
      </c>
      <c r="N4" s="183"/>
      <c r="O4" s="183"/>
      <c r="P4" s="183"/>
      <c r="R4" s="8">
        <v>6</v>
      </c>
    </row>
    <row r="5" spans="1:57">
      <c r="A5" t="s">
        <v>220</v>
      </c>
      <c r="B5" t="s">
        <v>221</v>
      </c>
      <c r="C5" s="42">
        <v>45008</v>
      </c>
      <c r="D5" s="55" t="s">
        <v>226</v>
      </c>
      <c r="E5" s="5" t="s">
        <v>32</v>
      </c>
      <c r="F5" s="29" t="s">
        <v>223</v>
      </c>
      <c r="G5" s="8" t="s">
        <v>130</v>
      </c>
      <c r="H5" s="78" t="s">
        <v>227</v>
      </c>
      <c r="I5" s="43">
        <f>IF(SUM(Q5:AX5)=0,"-",SUM(Q5:AX5))</f>
        <v>3</v>
      </c>
      <c r="J5" s="62">
        <f>IF(SUMPRODUCT('Sony France - CM'!$Q$3:$AX$3,Q5:AX5)=0,"-",SUMPRODUCT('Sony France - CM'!$Q$3:$AX$3,Q5:AX5))</f>
        <v>105</v>
      </c>
      <c r="K5" s="82">
        <v>45071</v>
      </c>
      <c r="L5" s="81">
        <v>4200641929</v>
      </c>
      <c r="M5" s="211" t="s">
        <v>225</v>
      </c>
      <c r="N5" s="81" t="s">
        <v>228</v>
      </c>
      <c r="O5" s="81"/>
      <c r="P5" s="81"/>
      <c r="R5" s="8">
        <v>3</v>
      </c>
    </row>
    <row r="6" spans="1:57">
      <c r="A6" s="5" t="s">
        <v>220</v>
      </c>
      <c r="B6" s="5" t="s">
        <v>221</v>
      </c>
      <c r="C6" s="42">
        <v>45034</v>
      </c>
      <c r="D6" s="55" t="s">
        <v>229</v>
      </c>
      <c r="E6" s="5" t="s">
        <v>230</v>
      </c>
      <c r="F6" s="29" t="s">
        <v>223</v>
      </c>
      <c r="G6" s="8" t="s">
        <v>130</v>
      </c>
      <c r="H6" s="78" t="s">
        <v>231</v>
      </c>
      <c r="I6" s="43">
        <f>IF(SUM(Q6:AX6)=0,"-",SUM(Q6:AX6))</f>
        <v>3</v>
      </c>
      <c r="J6" s="62">
        <f>IF(SUMPRODUCT('Sony France - CM'!$Q$3:$AX$3,Q6:AX6)=0,"-",SUMPRODUCT('Sony France - CM'!$Q$3:$AX$3,Q6:AX6))</f>
        <v>190</v>
      </c>
      <c r="K6" s="51">
        <v>45041</v>
      </c>
      <c r="L6" s="81">
        <v>4200641929</v>
      </c>
      <c r="M6" s="211" t="s">
        <v>232</v>
      </c>
      <c r="N6" s="81" t="s">
        <v>228</v>
      </c>
      <c r="O6" s="81"/>
      <c r="P6" s="81"/>
      <c r="Q6" s="7">
        <v>1</v>
      </c>
      <c r="R6" s="8">
        <v>2</v>
      </c>
    </row>
    <row r="7" spans="1:57">
      <c r="A7" s="5" t="s">
        <v>220</v>
      </c>
      <c r="B7" s="5" t="s">
        <v>221</v>
      </c>
      <c r="C7" s="76" t="s">
        <v>233</v>
      </c>
      <c r="D7" s="55" t="s">
        <v>234</v>
      </c>
      <c r="E7" s="5" t="s">
        <v>32</v>
      </c>
      <c r="F7" s="29" t="s">
        <v>223</v>
      </c>
      <c r="G7" s="8" t="s">
        <v>235</v>
      </c>
      <c r="H7" s="78" t="s">
        <v>236</v>
      </c>
      <c r="I7" s="43">
        <f>IF(SUM(Q7:AX7)=0,"-",SUM(Q7:AX7))</f>
        <v>1</v>
      </c>
      <c r="J7" s="62">
        <f>IF(SUMPRODUCT($Q$3:$AX$3,Q7:AX7)=0,"-",SUMPRODUCT($Q$3:$AX$3,Q7:AX7))</f>
        <v>35</v>
      </c>
      <c r="K7" s="51">
        <v>45047</v>
      </c>
      <c r="L7" s="81">
        <v>4200641929</v>
      </c>
      <c r="M7" s="211" t="s">
        <v>237</v>
      </c>
      <c r="N7" s="81" t="s">
        <v>228</v>
      </c>
      <c r="O7" s="81"/>
      <c r="P7" s="81"/>
      <c r="R7" s="8">
        <v>1</v>
      </c>
    </row>
    <row r="8" spans="1:57">
      <c r="A8" s="5" t="s">
        <v>220</v>
      </c>
      <c r="B8" s="5" t="s">
        <v>221</v>
      </c>
      <c r="C8" s="76" t="s">
        <v>233</v>
      </c>
      <c r="D8" s="55" t="s">
        <v>238</v>
      </c>
      <c r="E8" s="5" t="s">
        <v>32</v>
      </c>
      <c r="F8" s="29" t="s">
        <v>223</v>
      </c>
      <c r="G8" s="8" t="s">
        <v>130</v>
      </c>
      <c r="H8" s="78" t="s">
        <v>239</v>
      </c>
      <c r="I8" s="43">
        <f>IF(SUM(Q8:AX8)=0,"-",SUM(Q8:AX8))</f>
        <v>7</v>
      </c>
      <c r="J8" s="62">
        <f>IF(SUMPRODUCT($Q$3:$AX$3,Q8:AX8)=0,"-",SUMPRODUCT($Q$3:$AX$3,Q8:AX8))</f>
        <v>245</v>
      </c>
      <c r="K8" s="51">
        <v>45047</v>
      </c>
      <c r="L8" s="81">
        <v>4200641929</v>
      </c>
      <c r="M8" s="211" t="s">
        <v>232</v>
      </c>
      <c r="N8" s="81" t="s">
        <v>228</v>
      </c>
      <c r="O8" s="81"/>
      <c r="P8" s="81"/>
      <c r="R8" s="8">
        <v>7</v>
      </c>
    </row>
    <row r="9" spans="1:57">
      <c r="A9" s="5" t="s">
        <v>220</v>
      </c>
      <c r="B9" s="5" t="s">
        <v>221</v>
      </c>
      <c r="C9" s="76" t="s">
        <v>240</v>
      </c>
      <c r="D9" s="55" t="s">
        <v>241</v>
      </c>
      <c r="E9" s="5" t="s">
        <v>242</v>
      </c>
      <c r="F9" s="29" t="s">
        <v>223</v>
      </c>
      <c r="G9" s="8" t="s">
        <v>235</v>
      </c>
      <c r="H9" s="78" t="s">
        <v>243</v>
      </c>
      <c r="I9" s="43">
        <f>IF(SUM(Q9:AX9)=0,"-",SUM(Q9:AX9))</f>
        <v>1</v>
      </c>
      <c r="J9" s="62">
        <f>IF(SUMPRODUCT('Sony France - CM'!$Q$3:$AX$3,Q9:AX9)=0,"-",SUMPRODUCT('Sony France - CM'!$Q$3:$AX$3,Q9:AX9))</f>
        <v>120</v>
      </c>
      <c r="K9" s="51">
        <v>45061</v>
      </c>
      <c r="L9" s="81">
        <v>4200641929</v>
      </c>
      <c r="M9" s="211" t="s">
        <v>237</v>
      </c>
      <c r="N9" s="81" t="s">
        <v>228</v>
      </c>
      <c r="O9" s="81"/>
      <c r="P9" s="81"/>
      <c r="Q9" s="7">
        <v>1</v>
      </c>
    </row>
    <row r="10" spans="1:57">
      <c r="A10" s="5" t="s">
        <v>244</v>
      </c>
      <c r="B10" s="5" t="s">
        <v>221</v>
      </c>
      <c r="C10" s="42">
        <v>45054</v>
      </c>
      <c r="D10" s="55" t="s">
        <v>245</v>
      </c>
      <c r="E10" s="5" t="s">
        <v>26</v>
      </c>
      <c r="F10" s="29" t="s">
        <v>223</v>
      </c>
      <c r="G10" s="8" t="s">
        <v>130</v>
      </c>
      <c r="H10" s="78" t="s">
        <v>246</v>
      </c>
      <c r="I10" s="43" t="s">
        <v>247</v>
      </c>
      <c r="J10" s="80" t="s">
        <v>248</v>
      </c>
      <c r="K10" s="82">
        <v>45064</v>
      </c>
      <c r="L10" s="81">
        <v>4200641929</v>
      </c>
      <c r="M10" s="211" t="s">
        <v>237</v>
      </c>
      <c r="N10" s="81" t="s">
        <v>249</v>
      </c>
      <c r="O10" s="81"/>
      <c r="P10" s="81"/>
      <c r="AH10" s="7" t="s">
        <v>247</v>
      </c>
    </row>
    <row r="11" spans="1:57">
      <c r="A11" s="5" t="s">
        <v>244</v>
      </c>
      <c r="B11" s="5" t="s">
        <v>221</v>
      </c>
      <c r="C11" s="76">
        <v>45056</v>
      </c>
      <c r="D11" s="55" t="s">
        <v>250</v>
      </c>
      <c r="E11" s="5" t="s">
        <v>32</v>
      </c>
      <c r="F11" s="29" t="s">
        <v>223</v>
      </c>
      <c r="G11" s="8" t="s">
        <v>130</v>
      </c>
      <c r="H11" s="78" t="s">
        <v>251</v>
      </c>
      <c r="I11" s="43">
        <f>IF(SUM(Q11:AX11)=0,"-",SUM(Q11:AX11))</f>
        <v>4</v>
      </c>
      <c r="J11" s="62">
        <f>IF(SUMPRODUCT($Q$3:$AX$3,Q11:AX11)=0,"-",SUMPRODUCT($Q$3:$AX$3,Q11:AX11))</f>
        <v>140</v>
      </c>
      <c r="K11" s="82">
        <v>45082</v>
      </c>
      <c r="L11" s="81">
        <v>4200641929</v>
      </c>
      <c r="M11" s="211" t="s">
        <v>237</v>
      </c>
      <c r="N11" s="81" t="s">
        <v>249</v>
      </c>
      <c r="O11" s="81"/>
      <c r="P11" s="81"/>
      <c r="R11" s="8">
        <v>4</v>
      </c>
    </row>
    <row r="12" spans="1:57">
      <c r="A12" s="5" t="s">
        <v>244</v>
      </c>
      <c r="B12" s="5" t="s">
        <v>221</v>
      </c>
      <c r="C12" s="76">
        <v>45057</v>
      </c>
      <c r="D12" s="55" t="s">
        <v>252</v>
      </c>
      <c r="E12" s="5" t="s">
        <v>26</v>
      </c>
      <c r="F12" s="29" t="s">
        <v>223</v>
      </c>
      <c r="G12" s="8" t="s">
        <v>130</v>
      </c>
      <c r="H12" s="78" t="s">
        <v>253</v>
      </c>
      <c r="I12" s="43">
        <f>IF(SUM(Q12:AX12)=0,"-",SUM(Q12:AX12))</f>
        <v>7</v>
      </c>
      <c r="J12" s="62">
        <f>IF(SUMPRODUCT($Q$3:$AX$3,Q12:AX12)=0,"-",SUMPRODUCT($Q$3:$AX$3,Q12:AX12))</f>
        <v>330</v>
      </c>
      <c r="K12" s="82">
        <v>45064</v>
      </c>
      <c r="L12" s="81">
        <v>4200641929</v>
      </c>
      <c r="M12" s="211" t="s">
        <v>237</v>
      </c>
      <c r="N12" s="81" t="s">
        <v>249</v>
      </c>
      <c r="O12" s="81"/>
      <c r="P12" s="81"/>
      <c r="Q12" s="7">
        <v>1</v>
      </c>
      <c r="R12" s="8">
        <v>6</v>
      </c>
    </row>
    <row r="13" spans="1:57">
      <c r="A13" s="5" t="s">
        <v>244</v>
      </c>
      <c r="B13" s="5" t="s">
        <v>221</v>
      </c>
      <c r="C13" s="76" t="s">
        <v>254</v>
      </c>
      <c r="D13" s="55" t="s">
        <v>255</v>
      </c>
      <c r="E13" s="5" t="s">
        <v>26</v>
      </c>
      <c r="F13" s="29" t="s">
        <v>223</v>
      </c>
      <c r="G13" s="8" t="s">
        <v>130</v>
      </c>
      <c r="H13" s="78" t="s">
        <v>256</v>
      </c>
      <c r="I13" s="43">
        <f>IF(SUM(Q13:AX13)=0,"-",SUM(Q13:AX13))</f>
        <v>6</v>
      </c>
      <c r="J13" s="62">
        <f>IF(SUMPRODUCT($Q$3:$AX$3,Q13:AX13)=0,"-",SUMPRODUCT($Q$3:$AX$3,Q13:AX13))</f>
        <v>380</v>
      </c>
      <c r="K13" s="82">
        <v>45064</v>
      </c>
      <c r="L13" s="81">
        <v>4200641929</v>
      </c>
      <c r="M13" s="211" t="s">
        <v>237</v>
      </c>
      <c r="N13" s="81" t="s">
        <v>249</v>
      </c>
      <c r="O13" s="81"/>
      <c r="P13" s="81"/>
      <c r="Q13" s="7">
        <v>2</v>
      </c>
      <c r="R13" s="8">
        <v>4</v>
      </c>
    </row>
    <row r="14" spans="1:57">
      <c r="A14" s="5" t="s">
        <v>244</v>
      </c>
      <c r="B14" s="5" t="s">
        <v>221</v>
      </c>
      <c r="C14" s="76" t="s">
        <v>257</v>
      </c>
      <c r="D14" s="77" t="s">
        <v>258</v>
      </c>
      <c r="E14" s="5" t="s">
        <v>230</v>
      </c>
      <c r="F14" s="29" t="s">
        <v>223</v>
      </c>
      <c r="G14" s="8" t="s">
        <v>130</v>
      </c>
      <c r="H14" s="78" t="s">
        <v>259</v>
      </c>
      <c r="I14" s="43">
        <f>IF(SUM(Q14:AX14)=0,"-",SUM(Q14:AX14))</f>
        <v>2</v>
      </c>
      <c r="J14" s="62">
        <f>IF(SUMPRODUCT($Q$3:$AX$3,Q14:AX14)=0,"-",SUMPRODUCT($Q$3:$AX$3,Q14:AX14))</f>
        <v>155</v>
      </c>
      <c r="K14" s="82">
        <v>45047</v>
      </c>
      <c r="L14" s="81">
        <v>4200641929</v>
      </c>
      <c r="M14" s="211" t="s">
        <v>237</v>
      </c>
      <c r="N14" s="81" t="s">
        <v>249</v>
      </c>
      <c r="O14" s="81"/>
      <c r="P14" s="81"/>
      <c r="Q14" s="7">
        <v>1</v>
      </c>
      <c r="R14" s="8">
        <v>1</v>
      </c>
    </row>
    <row r="15" spans="1:57">
      <c r="A15" s="5" t="s">
        <v>244</v>
      </c>
      <c r="B15" s="5" t="s">
        <v>221</v>
      </c>
      <c r="C15" s="76" t="s">
        <v>257</v>
      </c>
      <c r="D15" s="55" t="s">
        <v>260</v>
      </c>
      <c r="E15" s="5" t="s">
        <v>230</v>
      </c>
      <c r="F15" s="29" t="s">
        <v>223</v>
      </c>
      <c r="G15" s="8" t="s">
        <v>93</v>
      </c>
      <c r="H15" s="78" t="s">
        <v>261</v>
      </c>
      <c r="I15" s="43">
        <f>IF(SUM(Q15:AX15)=0,"-",SUM(Q15:AX15))</f>
        <v>2</v>
      </c>
      <c r="J15" s="62">
        <f>IF(SUMPRODUCT($Q$3:$AX$3,Q15:AX15)=0,"-",SUMPRODUCT($Q$3:$AX$3,Q15:AX15))</f>
        <v>155</v>
      </c>
      <c r="K15" s="82">
        <v>45047</v>
      </c>
      <c r="L15" s="81">
        <v>4200641929</v>
      </c>
      <c r="M15" s="211" t="s">
        <v>237</v>
      </c>
      <c r="N15" s="81" t="s">
        <v>249</v>
      </c>
      <c r="O15" s="81"/>
      <c r="P15" s="81"/>
      <c r="Q15" s="7">
        <v>1</v>
      </c>
      <c r="R15" s="8">
        <v>1</v>
      </c>
    </row>
    <row r="16" spans="1:57">
      <c r="A16" s="5" t="s">
        <v>220</v>
      </c>
      <c r="B16" s="5" t="s">
        <v>221</v>
      </c>
      <c r="C16" s="42">
        <v>45019</v>
      </c>
      <c r="D16" s="55" t="s">
        <v>262</v>
      </c>
      <c r="E16" s="5" t="s">
        <v>242</v>
      </c>
      <c r="F16" s="29" t="s">
        <v>223</v>
      </c>
      <c r="G16" s="8" t="s">
        <v>95</v>
      </c>
      <c r="H16" s="78" t="s">
        <v>263</v>
      </c>
      <c r="I16" s="43">
        <f>IF(SUM(Q16:AX16)=0,"-",SUM(Q16:AX16))</f>
        <v>1</v>
      </c>
      <c r="J16" s="62">
        <v>260</v>
      </c>
      <c r="K16" s="51">
        <v>45023</v>
      </c>
      <c r="L16" s="81">
        <v>4200641950</v>
      </c>
      <c r="M16" s="81" t="s">
        <v>232</v>
      </c>
      <c r="N16" s="81" t="s">
        <v>249</v>
      </c>
      <c r="O16" s="81"/>
      <c r="P16" s="81"/>
      <c r="AQ16" s="8">
        <v>1</v>
      </c>
    </row>
    <row r="17" spans="1:43">
      <c r="A17" s="5" t="s">
        <v>244</v>
      </c>
      <c r="B17" s="5" t="s">
        <v>221</v>
      </c>
      <c r="C17" s="76">
        <v>45089</v>
      </c>
      <c r="D17" s="55" t="s">
        <v>264</v>
      </c>
      <c r="E17" s="5" t="s">
        <v>26</v>
      </c>
      <c r="F17" s="29" t="s">
        <v>223</v>
      </c>
      <c r="G17" s="8" t="s">
        <v>95</v>
      </c>
      <c r="H17" s="78" t="s">
        <v>265</v>
      </c>
      <c r="I17" s="43">
        <f>IF(SUM(Q17:AX17)=0,"-",SUM(Q17:AX17))</f>
        <v>6</v>
      </c>
      <c r="J17" s="62">
        <f>IF(SUMPRODUCT($Q$3:$AX$3,Q17:AX17)=0,"-",SUMPRODUCT($Q$3:$AX$3,Q17:AX17))</f>
        <v>210</v>
      </c>
      <c r="L17" s="228">
        <v>4200647984</v>
      </c>
      <c r="M17" s="81" t="s">
        <v>266</v>
      </c>
      <c r="N17" s="81" t="s">
        <v>249</v>
      </c>
      <c r="O17" s="81"/>
      <c r="P17" s="81"/>
      <c r="R17" s="8">
        <v>6</v>
      </c>
    </row>
    <row r="18" spans="1:43">
      <c r="A18" s="5" t="s">
        <v>244</v>
      </c>
      <c r="B18" s="5" t="s">
        <v>221</v>
      </c>
      <c r="C18" s="76">
        <v>45103</v>
      </c>
      <c r="D18" s="55" t="s">
        <v>267</v>
      </c>
      <c r="E18" s="5" t="s">
        <v>26</v>
      </c>
      <c r="F18" s="29" t="s">
        <v>223</v>
      </c>
      <c r="G18" s="8" t="s">
        <v>95</v>
      </c>
      <c r="H18" s="78" t="s">
        <v>268</v>
      </c>
      <c r="I18" s="43">
        <f>IF(SUM(Q18:AX18)=0,"-",SUM(Q18:AX18))</f>
        <v>3</v>
      </c>
      <c r="J18" s="62">
        <f>IF(SUMPRODUCT($Q$3:$AX$3,Q18:AX18)=0,"-",SUMPRODUCT($Q$3:$AX$3,Q18:AX18))</f>
        <v>120</v>
      </c>
      <c r="L18" s="81">
        <v>4200641950</v>
      </c>
      <c r="M18" s="81" t="s">
        <v>269</v>
      </c>
      <c r="N18" s="81" t="s">
        <v>249</v>
      </c>
      <c r="O18" s="81"/>
      <c r="P18" s="81"/>
      <c r="Y18" s="8">
        <v>3</v>
      </c>
    </row>
    <row r="19" spans="1:43">
      <c r="A19" s="5" t="s">
        <v>220</v>
      </c>
      <c r="B19" s="5" t="s">
        <v>221</v>
      </c>
      <c r="C19" s="42">
        <v>45012</v>
      </c>
      <c r="D19" s="55" t="s">
        <v>270</v>
      </c>
      <c r="E19" s="5" t="s">
        <v>26</v>
      </c>
      <c r="F19" s="29" t="s">
        <v>223</v>
      </c>
      <c r="G19" s="8" t="s">
        <v>69</v>
      </c>
      <c r="H19" s="78" t="s">
        <v>271</v>
      </c>
      <c r="I19" s="43">
        <f>IF(SUM(Q19:AX19)=0,"-",SUM(Q19:AX19))</f>
        <v>6</v>
      </c>
      <c r="J19" s="62">
        <f>IF(SUMPRODUCT('Sony France - CM'!$Q$3:$AX$3,Q19:AX19)=0,"-",SUMPRODUCT('Sony France - CM'!$Q$3:$AX$3,Q19:AX19))</f>
        <v>210</v>
      </c>
      <c r="K19" s="205">
        <v>45041</v>
      </c>
      <c r="L19" s="206">
        <v>4200641951</v>
      </c>
      <c r="M19" s="214" t="s">
        <v>225</v>
      </c>
      <c r="N19" s="183"/>
      <c r="O19" s="183"/>
      <c r="P19" s="183"/>
      <c r="R19" s="8">
        <v>6</v>
      </c>
    </row>
    <row r="20" spans="1:43">
      <c r="A20" s="5" t="s">
        <v>220</v>
      </c>
      <c r="B20" s="5" t="s">
        <v>221</v>
      </c>
      <c r="C20" s="76" t="s">
        <v>233</v>
      </c>
      <c r="D20" s="55" t="s">
        <v>272</v>
      </c>
      <c r="E20" s="5" t="s">
        <v>26</v>
      </c>
      <c r="F20" s="29" t="s">
        <v>223</v>
      </c>
      <c r="G20" s="8" t="s">
        <v>69</v>
      </c>
      <c r="H20" s="30" t="s">
        <v>273</v>
      </c>
      <c r="I20" s="43">
        <f>IF(SUM(Q20:AX20)=0,"-",SUM(Q20:AX20))</f>
        <v>3</v>
      </c>
      <c r="J20" s="62">
        <f>IF(SUMPRODUCT('Sony France - CM'!$Q$3:$AX$3,Q20:AX20)=0,"-",SUMPRODUCT('Sony France - CM'!$Q$3:$AX$3,Q20:AX20))</f>
        <v>105</v>
      </c>
      <c r="K20" s="51">
        <v>45043</v>
      </c>
      <c r="L20" s="81">
        <v>4200641951</v>
      </c>
      <c r="M20" s="81" t="s">
        <v>232</v>
      </c>
      <c r="N20" s="81" t="s">
        <v>228</v>
      </c>
      <c r="O20" s="81"/>
      <c r="P20" s="81"/>
      <c r="R20" s="8">
        <v>3</v>
      </c>
    </row>
    <row r="21" spans="1:43">
      <c r="A21" s="5" t="s">
        <v>244</v>
      </c>
      <c r="B21" s="5" t="s">
        <v>221</v>
      </c>
      <c r="C21" s="42">
        <v>45048</v>
      </c>
      <c r="D21" s="77" t="s">
        <v>274</v>
      </c>
      <c r="E21" s="5" t="s">
        <v>26</v>
      </c>
      <c r="F21" s="29" t="s">
        <v>223</v>
      </c>
      <c r="G21" s="8" t="s">
        <v>69</v>
      </c>
      <c r="H21" s="78" t="s">
        <v>275</v>
      </c>
      <c r="I21" s="43">
        <f>IF(SUM(Q21:AX21)=0,"-",SUM(Q21:AX21))</f>
        <v>4</v>
      </c>
      <c r="J21" s="62">
        <f>IF(SUMPRODUCT($Q$3:$AX$3,Q21:AX21)=0,"-",SUMPRODUCT($Q$3:$AX$3,Q21:AX21))</f>
        <v>140</v>
      </c>
      <c r="K21" s="51">
        <v>45047</v>
      </c>
      <c r="L21" s="81">
        <v>4200641951</v>
      </c>
      <c r="M21" s="81" t="s">
        <v>237</v>
      </c>
      <c r="N21" s="81" t="s">
        <v>228</v>
      </c>
      <c r="O21" s="81"/>
      <c r="P21" s="81"/>
      <c r="R21" s="8">
        <v>4</v>
      </c>
    </row>
    <row r="22" spans="1:43">
      <c r="A22" s="5" t="s">
        <v>244</v>
      </c>
      <c r="B22" s="5" t="s">
        <v>221</v>
      </c>
      <c r="C22" s="76" t="s">
        <v>276</v>
      </c>
      <c r="D22" s="77" t="s">
        <v>277</v>
      </c>
      <c r="E22" s="5" t="s">
        <v>26</v>
      </c>
      <c r="F22" s="29" t="s">
        <v>223</v>
      </c>
      <c r="G22" s="8" t="s">
        <v>69</v>
      </c>
      <c r="H22" s="78" t="s">
        <v>278</v>
      </c>
      <c r="I22" s="43">
        <f>IF(SUM(Q22:AX22)=0,"-",SUM(Q22:AX22))</f>
        <v>4</v>
      </c>
      <c r="J22" s="62">
        <f>IF(SUMPRODUCT($Q$3:$AX$3,Q22:AX22)=0,"-",SUMPRODUCT($Q$3:$AX$3,Q22:AX22))</f>
        <v>140</v>
      </c>
      <c r="K22" s="82">
        <v>45082</v>
      </c>
      <c r="L22" s="81">
        <v>4200641951</v>
      </c>
      <c r="M22" s="81" t="s">
        <v>237</v>
      </c>
      <c r="N22" s="81" t="s">
        <v>228</v>
      </c>
      <c r="O22" s="81"/>
      <c r="P22" s="81"/>
      <c r="R22" s="8">
        <v>4</v>
      </c>
    </row>
    <row r="23" spans="1:43">
      <c r="A23" s="5" t="s">
        <v>220</v>
      </c>
      <c r="B23" s="5" t="s">
        <v>221</v>
      </c>
      <c r="C23" s="42">
        <v>45033</v>
      </c>
      <c r="D23" s="55" t="s">
        <v>279</v>
      </c>
      <c r="E23" s="5" t="s">
        <v>230</v>
      </c>
      <c r="F23" s="29" t="s">
        <v>223</v>
      </c>
      <c r="G23" s="8" t="s">
        <v>93</v>
      </c>
      <c r="H23" s="78" t="s">
        <v>280</v>
      </c>
      <c r="I23" s="43">
        <f>IF(SUM(Q23:AX23)=0,"-",SUM(Q23:AX23))</f>
        <v>2</v>
      </c>
      <c r="J23" s="62">
        <f>IF(SUMPRODUCT('Sony France - CM'!$Q$3:$AX$3,Q23:AX23)=0,"-",SUMPRODUCT('Sony France - CM'!$Q$3:$AX$3,Q23:AX23))</f>
        <v>155</v>
      </c>
      <c r="K23" s="51">
        <v>45036</v>
      </c>
      <c r="L23" s="118">
        <v>4200641959</v>
      </c>
      <c r="M23" s="118" t="s">
        <v>232</v>
      </c>
      <c r="N23" s="81" t="s">
        <v>228</v>
      </c>
      <c r="O23" s="81"/>
      <c r="P23" s="81"/>
      <c r="Q23" s="7">
        <v>1</v>
      </c>
      <c r="R23" s="8">
        <v>1</v>
      </c>
    </row>
    <row r="24" spans="1:43">
      <c r="A24" s="5" t="s">
        <v>244</v>
      </c>
      <c r="B24" s="5" t="s">
        <v>221</v>
      </c>
      <c r="C24" s="76">
        <v>45078</v>
      </c>
      <c r="D24" s="55" t="s">
        <v>281</v>
      </c>
      <c r="E24" s="5" t="s">
        <v>26</v>
      </c>
      <c r="F24" s="29" t="s">
        <v>223</v>
      </c>
      <c r="G24" s="8" t="s">
        <v>95</v>
      </c>
      <c r="H24" s="78" t="s">
        <v>282</v>
      </c>
      <c r="I24" s="43">
        <f>IF(SUM(Q24:AX24)=0,"-",SUM(Q24:AX24))</f>
        <v>4</v>
      </c>
      <c r="J24" s="62">
        <f>IF(SUMPRODUCT($Q$3:$AX$3,Q24:AX24)=0,"-",SUMPRODUCT($Q$3:$AX$3,Q24:AX24))</f>
        <v>140</v>
      </c>
      <c r="K24" s="82">
        <v>45082</v>
      </c>
      <c r="L24" s="81">
        <v>4200647984</v>
      </c>
      <c r="M24" s="81" t="s">
        <v>266</v>
      </c>
      <c r="N24" s="81" t="s">
        <v>249</v>
      </c>
      <c r="O24" s="81"/>
      <c r="P24" s="81"/>
      <c r="R24" s="8">
        <v>4</v>
      </c>
    </row>
    <row r="25" spans="1:43">
      <c r="A25" s="5" t="s">
        <v>244</v>
      </c>
      <c r="B25" s="5" t="s">
        <v>221</v>
      </c>
      <c r="C25" s="76">
        <v>45084</v>
      </c>
      <c r="D25" s="55" t="s">
        <v>283</v>
      </c>
      <c r="E25" s="5" t="s">
        <v>26</v>
      </c>
      <c r="F25" s="29" t="s">
        <v>223</v>
      </c>
      <c r="G25" s="8" t="s">
        <v>95</v>
      </c>
      <c r="H25" s="78" t="s">
        <v>284</v>
      </c>
      <c r="I25" s="43">
        <f>IF(SUM(Q25:AX25)=0,"-",SUM(Q25:AX25))</f>
        <v>1</v>
      </c>
      <c r="J25" s="62">
        <f>IF(SUMPRODUCT($Q$3:$AX$3,Q25:AX25)=0,"-",SUMPRODUCT($Q$3:$AX$3,Q25:AX25))</f>
        <v>120</v>
      </c>
      <c r="L25" s="81">
        <v>4200647984</v>
      </c>
      <c r="M25" s="81" t="s">
        <v>266</v>
      </c>
      <c r="N25" s="81" t="s">
        <v>249</v>
      </c>
      <c r="O25" s="81"/>
      <c r="P25" s="81"/>
      <c r="Q25" s="7">
        <v>1</v>
      </c>
    </row>
    <row r="26" spans="1:43">
      <c r="A26" s="5" t="s">
        <v>244</v>
      </c>
      <c r="B26" s="5" t="s">
        <v>221</v>
      </c>
      <c r="C26" s="76">
        <v>45091</v>
      </c>
      <c r="D26" s="55" t="s">
        <v>285</v>
      </c>
      <c r="E26" s="5" t="s">
        <v>26</v>
      </c>
      <c r="F26" s="29" t="s">
        <v>223</v>
      </c>
      <c r="G26" s="8" t="s">
        <v>95</v>
      </c>
      <c r="H26" s="78" t="s">
        <v>286</v>
      </c>
      <c r="I26" s="43">
        <f>IF(SUM(Q26:AX26)=0,"-",SUM(Q26:AX26))</f>
        <v>1</v>
      </c>
      <c r="J26" s="62">
        <f>IF(SUMPRODUCT($Q$3:$AX$3,Q26:AX26)=0,"-",SUMPRODUCT($Q$3:$AX$3,Q26:AX26))</f>
        <v>360</v>
      </c>
      <c r="L26" s="81">
        <v>4200647984</v>
      </c>
      <c r="M26" s="81" t="s">
        <v>266</v>
      </c>
      <c r="N26" s="81" t="s">
        <v>249</v>
      </c>
      <c r="O26" s="81"/>
      <c r="P26" s="81"/>
      <c r="AQ26" s="8">
        <v>1</v>
      </c>
    </row>
    <row r="27" spans="1:43">
      <c r="A27" s="5" t="s">
        <v>244</v>
      </c>
      <c r="B27" s="5" t="s">
        <v>221</v>
      </c>
      <c r="C27" s="76">
        <v>45104</v>
      </c>
      <c r="D27" s="55" t="s">
        <v>287</v>
      </c>
      <c r="E27" s="5" t="s">
        <v>26</v>
      </c>
      <c r="F27" s="29" t="s">
        <v>223</v>
      </c>
      <c r="G27" s="8" t="s">
        <v>95</v>
      </c>
      <c r="H27" s="78" t="s">
        <v>288</v>
      </c>
      <c r="I27" s="43">
        <f>IF(SUM(Q27:AX27)=0,"-",SUM(Q27:AX27))</f>
        <v>1</v>
      </c>
      <c r="J27" s="62">
        <f>IF(SUMPRODUCT($Q$3:$AX$3,Q27:AX27)=0,"-",SUMPRODUCT($Q$3:$AX$3,Q27:AX27))</f>
        <v>35</v>
      </c>
      <c r="L27" s="81">
        <v>4200647984</v>
      </c>
      <c r="M27" s="81" t="s">
        <v>269</v>
      </c>
      <c r="N27" s="81" t="s">
        <v>249</v>
      </c>
      <c r="O27" s="81" t="s">
        <v>289</v>
      </c>
      <c r="P27" s="182" t="s">
        <v>290</v>
      </c>
      <c r="R27" s="8">
        <v>1</v>
      </c>
    </row>
    <row r="28" spans="1:43">
      <c r="A28" s="5" t="s">
        <v>244</v>
      </c>
      <c r="B28" s="5" t="s">
        <v>221</v>
      </c>
      <c r="C28" s="42">
        <v>45127</v>
      </c>
      <c r="D28" s="55" t="s">
        <v>291</v>
      </c>
      <c r="E28" s="5" t="s">
        <v>26</v>
      </c>
      <c r="F28" s="29" t="s">
        <v>223</v>
      </c>
      <c r="G28" s="8" t="s">
        <v>93</v>
      </c>
      <c r="H28" s="78" t="s">
        <v>292</v>
      </c>
      <c r="I28" s="43">
        <f>IF(SUM(Q28:AX28)=0,"-",SUM(Q28:AX28))</f>
        <v>6</v>
      </c>
      <c r="J28" s="62">
        <f>IF(SUMPRODUCT($Q$3:$AX$3,Q28:AX28)=0,"-",SUMPRODUCT($Q$3:$AX$3,Q28:AX28))</f>
        <v>295</v>
      </c>
      <c r="L28" s="8">
        <v>4200647984</v>
      </c>
      <c r="M28" s="8" t="s">
        <v>269</v>
      </c>
      <c r="N28" s="8" t="s">
        <v>249</v>
      </c>
      <c r="O28" s="8" t="s">
        <v>289</v>
      </c>
      <c r="P28" s="191" t="s">
        <v>290</v>
      </c>
      <c r="Q28" s="7">
        <v>1</v>
      </c>
      <c r="R28" s="8">
        <v>5</v>
      </c>
    </row>
    <row r="29" spans="1:43">
      <c r="A29" s="5" t="s">
        <v>244</v>
      </c>
      <c r="B29" s="5" t="s">
        <v>221</v>
      </c>
      <c r="C29" s="42">
        <v>45127</v>
      </c>
      <c r="D29" s="77" t="s">
        <v>293</v>
      </c>
      <c r="E29" s="5" t="s">
        <v>230</v>
      </c>
      <c r="F29" s="29" t="s">
        <v>223</v>
      </c>
      <c r="G29" s="8" t="s">
        <v>95</v>
      </c>
      <c r="H29" s="78" t="s">
        <v>294</v>
      </c>
      <c r="I29" s="43">
        <f>IF(SUM(Q29:AX29)=0,"-",SUM(Q29:AX29))</f>
        <v>2</v>
      </c>
      <c r="J29" s="62">
        <f>IF(SUMPRODUCT($Q$3:$AX$3,Q29:AX29)=0,"-",SUMPRODUCT($Q$3:$AX$3,Q29:AX29))</f>
        <v>70</v>
      </c>
      <c r="L29" s="81">
        <v>4200647984</v>
      </c>
      <c r="M29" s="81" t="s">
        <v>269</v>
      </c>
      <c r="N29" s="81" t="s">
        <v>249</v>
      </c>
      <c r="O29" s="81" t="s">
        <v>289</v>
      </c>
      <c r="P29" s="182" t="s">
        <v>290</v>
      </c>
      <c r="R29" s="8">
        <v>2</v>
      </c>
    </row>
    <row r="30" spans="1:43">
      <c r="A30" s="5" t="s">
        <v>244</v>
      </c>
      <c r="B30" s="5" t="s">
        <v>221</v>
      </c>
      <c r="C30" s="117" t="s">
        <v>295</v>
      </c>
      <c r="D30" s="77" t="s">
        <v>296</v>
      </c>
      <c r="E30" s="5" t="s">
        <v>230</v>
      </c>
      <c r="F30" s="29" t="s">
        <v>223</v>
      </c>
      <c r="G30" s="8" t="s">
        <v>95</v>
      </c>
      <c r="H30" s="78" t="s">
        <v>297</v>
      </c>
      <c r="I30" s="43">
        <f>IF(SUM(Q30:AX30)=0,"-",SUM(Q30:AX30))</f>
        <v>4</v>
      </c>
      <c r="J30" s="62">
        <f>IF(SUMPRODUCT($Q$3:$AX$3,Q30:AX30)=0,"-",SUMPRODUCT($Q$3:$AX$3,Q30:AX30))</f>
        <v>140</v>
      </c>
      <c r="L30" s="81">
        <v>4200647984</v>
      </c>
      <c r="M30" s="81" t="s">
        <v>269</v>
      </c>
      <c r="N30" s="81" t="s">
        <v>249</v>
      </c>
      <c r="O30" s="81" t="s">
        <v>289</v>
      </c>
      <c r="P30" s="182" t="s">
        <v>290</v>
      </c>
      <c r="R30" s="8">
        <v>4</v>
      </c>
    </row>
    <row r="31" spans="1:43">
      <c r="A31" s="5" t="s">
        <v>244</v>
      </c>
      <c r="B31" s="5" t="s">
        <v>221</v>
      </c>
      <c r="C31" s="117" t="s">
        <v>298</v>
      </c>
      <c r="D31" s="55" t="s">
        <v>299</v>
      </c>
      <c r="E31" s="5" t="s">
        <v>32</v>
      </c>
      <c r="F31" s="29" t="s">
        <v>223</v>
      </c>
      <c r="G31" s="8" t="s">
        <v>95</v>
      </c>
      <c r="H31" s="78" t="s">
        <v>300</v>
      </c>
      <c r="I31" s="43">
        <f>IF(SUM(Q31:AX31)=0,"-",SUM(Q31:AX31))</f>
        <v>4</v>
      </c>
      <c r="J31" s="62">
        <f>IF(SUMPRODUCT($Q$3:$AX$3,Q31:AX31)=0,"-",SUMPRODUCT($Q$3:$AX$3,Q31:AX31))</f>
        <v>225</v>
      </c>
      <c r="L31" s="81">
        <v>4200647984</v>
      </c>
      <c r="M31" s="81" t="s">
        <v>269</v>
      </c>
      <c r="N31" s="81" t="s">
        <v>249</v>
      </c>
      <c r="O31" s="81" t="s">
        <v>289</v>
      </c>
      <c r="P31" s="182" t="s">
        <v>290</v>
      </c>
      <c r="Q31" s="7">
        <v>1</v>
      </c>
      <c r="R31" s="8">
        <v>3</v>
      </c>
    </row>
    <row r="32" spans="1:43">
      <c r="A32" s="5" t="s">
        <v>244</v>
      </c>
      <c r="B32" s="5" t="s">
        <v>221</v>
      </c>
      <c r="C32" s="117" t="s">
        <v>298</v>
      </c>
      <c r="D32" s="55" t="s">
        <v>301</v>
      </c>
      <c r="E32" s="5" t="s">
        <v>230</v>
      </c>
      <c r="F32" s="29" t="s">
        <v>223</v>
      </c>
      <c r="G32" s="8" t="s">
        <v>95</v>
      </c>
      <c r="H32" s="78" t="s">
        <v>302</v>
      </c>
      <c r="I32" s="43">
        <f>IF(SUM(Q32:AX32)=0,"-",SUM(Q32:AX32))</f>
        <v>2</v>
      </c>
      <c r="J32" s="62">
        <f>IF(SUMPRODUCT($Q$3:$AX$3,Q32:AX32)=0,"-",SUMPRODUCT($Q$3:$AX$3,Q32:AX32))</f>
        <v>155</v>
      </c>
      <c r="L32" s="81">
        <v>4200647984</v>
      </c>
      <c r="M32" s="81" t="s">
        <v>269</v>
      </c>
      <c r="N32" s="81" t="s">
        <v>249</v>
      </c>
      <c r="O32" s="81" t="s">
        <v>289</v>
      </c>
      <c r="P32" s="182" t="s">
        <v>290</v>
      </c>
      <c r="Q32" s="7">
        <v>1</v>
      </c>
      <c r="R32" s="8">
        <v>1</v>
      </c>
    </row>
    <row r="33" spans="1:50">
      <c r="A33" s="5" t="s">
        <v>244</v>
      </c>
      <c r="B33" s="5" t="s">
        <v>221</v>
      </c>
      <c r="C33" s="117">
        <v>45159</v>
      </c>
      <c r="D33" s="55" t="s">
        <v>303</v>
      </c>
      <c r="E33" s="5" t="s">
        <v>26</v>
      </c>
      <c r="F33" s="29" t="s">
        <v>223</v>
      </c>
      <c r="G33" s="8" t="s">
        <v>95</v>
      </c>
      <c r="H33" s="78" t="s">
        <v>304</v>
      </c>
      <c r="I33" s="43">
        <f>IF(SUM(Q33:AX33)=0,"-",SUM(Q33:AX33))</f>
        <v>2</v>
      </c>
      <c r="J33" s="62">
        <f>IF(SUMPRODUCT($Q$3:$AX$3,Q33:AX33)=0,"-",SUMPRODUCT($Q$3:$AX$3,Q33:AX33))</f>
        <v>440</v>
      </c>
      <c r="L33" s="81">
        <v>4200647984</v>
      </c>
      <c r="M33" s="81" t="s">
        <v>305</v>
      </c>
      <c r="N33" s="81" t="s">
        <v>249</v>
      </c>
      <c r="O33" s="81" t="s">
        <v>289</v>
      </c>
      <c r="P33" s="182" t="s">
        <v>290</v>
      </c>
      <c r="AN33" s="7">
        <v>1</v>
      </c>
      <c r="AQ33" s="8">
        <v>1</v>
      </c>
    </row>
    <row r="34" spans="1:50">
      <c r="A34" s="5" t="s">
        <v>244</v>
      </c>
      <c r="B34" s="5" t="s">
        <v>221</v>
      </c>
      <c r="C34" s="117" t="s">
        <v>306</v>
      </c>
      <c r="D34" s="55" t="s">
        <v>307</v>
      </c>
      <c r="E34" s="5" t="s">
        <v>31</v>
      </c>
      <c r="F34" s="29" t="s">
        <v>223</v>
      </c>
      <c r="G34" s="8" t="s">
        <v>95</v>
      </c>
      <c r="H34" s="78" t="s">
        <v>308</v>
      </c>
      <c r="I34" s="43">
        <f>IF(SUM(Q34:AX34)=0,"-",SUM(Q34:AX34))</f>
        <v>2</v>
      </c>
      <c r="J34" s="62">
        <f>IF(SUMPRODUCT('Sony France - CM'!$Q$3:$AX$3,Q34:AX34)=0,"-",SUMPRODUCT('Sony France - CM'!$Q$3:$AX$3,Q34:AX34))</f>
        <v>155</v>
      </c>
      <c r="K34" s="97"/>
      <c r="L34" s="217">
        <v>4200647984</v>
      </c>
      <c r="M34" s="218" t="s">
        <v>309</v>
      </c>
      <c r="N34" s="81" t="s">
        <v>249</v>
      </c>
      <c r="O34" s="81" t="s">
        <v>310</v>
      </c>
      <c r="P34" s="182" t="s">
        <v>311</v>
      </c>
      <c r="Q34" s="7">
        <v>1</v>
      </c>
      <c r="R34" s="8">
        <v>1</v>
      </c>
      <c r="AX34" s="5"/>
    </row>
    <row r="35" spans="1:50">
      <c r="A35" s="5" t="s">
        <v>244</v>
      </c>
      <c r="B35" s="5" t="s">
        <v>221</v>
      </c>
      <c r="C35" s="76">
        <v>45078</v>
      </c>
      <c r="D35" s="55" t="s">
        <v>312</v>
      </c>
      <c r="E35" s="5" t="s">
        <v>32</v>
      </c>
      <c r="F35" s="29" t="s">
        <v>223</v>
      </c>
      <c r="G35" s="8" t="s">
        <v>69</v>
      </c>
      <c r="H35" s="78" t="s">
        <v>313</v>
      </c>
      <c r="I35" s="43">
        <f>IF(SUM(Q35:AX35)=0,"-",SUM(Q35:AX35))</f>
        <v>6</v>
      </c>
      <c r="J35" s="62">
        <f>IF(SUMPRODUCT($Q$3:$AX$3,Q35:AX35)=0,"-",SUMPRODUCT($Q$3:$AX$3,Q35:AX35))</f>
        <v>465</v>
      </c>
      <c r="K35" s="82">
        <v>45082</v>
      </c>
      <c r="L35" s="81">
        <v>4200647987</v>
      </c>
      <c r="M35" s="81" t="s">
        <v>266</v>
      </c>
      <c r="N35" s="81" t="s">
        <v>249</v>
      </c>
      <c r="O35" s="81"/>
      <c r="P35" s="81"/>
      <c r="Q35" s="7">
        <v>3</v>
      </c>
      <c r="R35" s="8">
        <v>3</v>
      </c>
    </row>
    <row r="36" spans="1:50">
      <c r="A36" s="5" t="s">
        <v>244</v>
      </c>
      <c r="B36" s="5" t="s">
        <v>221</v>
      </c>
      <c r="C36" s="76">
        <v>45083</v>
      </c>
      <c r="D36" s="55" t="s">
        <v>314</v>
      </c>
      <c r="E36" s="5" t="s">
        <v>32</v>
      </c>
      <c r="F36" s="29" t="s">
        <v>223</v>
      </c>
      <c r="G36" s="8" t="s">
        <v>69</v>
      </c>
      <c r="H36" s="78" t="s">
        <v>315</v>
      </c>
      <c r="I36" s="43">
        <f>IF(SUM(Q36:AX36)=0,"-",SUM(Q36:AX36))</f>
        <v>2</v>
      </c>
      <c r="J36" s="62">
        <f>IF(SUMPRODUCT($Q$3:$AX$3,Q36:AX36)=0,"-",SUMPRODUCT($Q$3:$AX$3,Q36:AX36))</f>
        <v>70</v>
      </c>
      <c r="L36" s="81">
        <v>4200647987</v>
      </c>
      <c r="M36" s="81" t="s">
        <v>266</v>
      </c>
      <c r="N36" s="81" t="s">
        <v>249</v>
      </c>
      <c r="O36" s="81"/>
      <c r="P36" s="81"/>
      <c r="R36" s="8">
        <v>2</v>
      </c>
    </row>
    <row r="37" spans="1:50">
      <c r="A37" s="5" t="s">
        <v>244</v>
      </c>
      <c r="B37" s="5" t="s">
        <v>221</v>
      </c>
      <c r="C37" s="76">
        <v>45089</v>
      </c>
      <c r="D37" s="222" t="s">
        <v>316</v>
      </c>
      <c r="E37" s="5" t="s">
        <v>26</v>
      </c>
      <c r="F37" s="29" t="s">
        <v>223</v>
      </c>
      <c r="G37" s="8" t="s">
        <v>69</v>
      </c>
      <c r="H37" s="78" t="s">
        <v>317</v>
      </c>
      <c r="I37" s="43">
        <f>IF(SUM(Q37:AX37)=0,"-",SUM(Q37:AX37))</f>
        <v>21</v>
      </c>
      <c r="J37" s="62">
        <f>IF(SUMPRODUCT($Q$3:$AX$3,Q37:AX37)=0,"-",SUMPRODUCT($Q$3:$AX$3,Q37:AX37))</f>
        <v>820</v>
      </c>
      <c r="L37" s="81">
        <v>4200647987</v>
      </c>
      <c r="M37" s="81" t="s">
        <v>266</v>
      </c>
      <c r="N37" s="81" t="s">
        <v>249</v>
      </c>
      <c r="O37" s="81"/>
      <c r="P37" s="81"/>
      <c r="Q37" s="7">
        <v>1</v>
      </c>
      <c r="R37" s="8">
        <v>20</v>
      </c>
    </row>
    <row r="38" spans="1:50">
      <c r="A38" s="5" t="s">
        <v>244</v>
      </c>
      <c r="B38" s="5" t="s">
        <v>221</v>
      </c>
      <c r="C38" s="76">
        <v>45099</v>
      </c>
      <c r="D38" s="55" t="s">
        <v>318</v>
      </c>
      <c r="E38" s="5" t="s">
        <v>32</v>
      </c>
      <c r="F38" s="29" t="s">
        <v>223</v>
      </c>
      <c r="G38" s="8" t="s">
        <v>69</v>
      </c>
      <c r="H38" s="78" t="s">
        <v>319</v>
      </c>
      <c r="I38" s="43">
        <f>IF(SUM(Q38:AX38)=0,"-",SUM(Q38:AX38))</f>
        <v>1</v>
      </c>
      <c r="J38" s="62">
        <f>IF(SUMPRODUCT($Q$3:$AX$3,Q38:AX38)=0,"-",SUMPRODUCT($Q$3:$AX$3,Q38:AX38))</f>
        <v>150</v>
      </c>
      <c r="L38" s="81">
        <v>4200647987</v>
      </c>
      <c r="M38" s="81" t="s">
        <v>266</v>
      </c>
      <c r="N38" s="81" t="s">
        <v>249</v>
      </c>
      <c r="O38" s="81"/>
      <c r="P38" s="81"/>
      <c r="AO38" s="8">
        <v>1</v>
      </c>
    </row>
    <row r="39" spans="1:50">
      <c r="A39" s="5" t="s">
        <v>244</v>
      </c>
      <c r="B39" s="5" t="s">
        <v>221</v>
      </c>
      <c r="C39" s="76">
        <v>45103</v>
      </c>
      <c r="D39" s="55" t="s">
        <v>320</v>
      </c>
      <c r="E39" s="5" t="s">
        <v>26</v>
      </c>
      <c r="F39" s="29" t="s">
        <v>223</v>
      </c>
      <c r="G39" s="8" t="s">
        <v>69</v>
      </c>
      <c r="H39" s="78" t="s">
        <v>321</v>
      </c>
      <c r="I39" s="43">
        <f>IF(SUM(Q39:AX39)=0,"-",SUM(Q39:AX39))</f>
        <v>2</v>
      </c>
      <c r="J39" s="62">
        <f>IF(SUMPRODUCT($Q$3:$AX$3,Q39:AX39)=0,"-",SUMPRODUCT($Q$3:$AX$3,Q39:AX39))</f>
        <v>155</v>
      </c>
      <c r="L39" s="81">
        <v>4200647987</v>
      </c>
      <c r="M39" s="81" t="s">
        <v>269</v>
      </c>
      <c r="N39" s="81" t="s">
        <v>249</v>
      </c>
      <c r="O39" s="81" t="s">
        <v>322</v>
      </c>
      <c r="P39" s="182" t="s">
        <v>290</v>
      </c>
      <c r="Q39" s="7">
        <v>1</v>
      </c>
      <c r="R39" s="8">
        <v>1</v>
      </c>
    </row>
    <row r="40" spans="1:50">
      <c r="A40" s="5" t="s">
        <v>244</v>
      </c>
      <c r="B40" s="5" t="s">
        <v>221</v>
      </c>
      <c r="C40" s="76">
        <v>45110</v>
      </c>
      <c r="D40" s="55" t="s">
        <v>323</v>
      </c>
      <c r="E40" s="5" t="s">
        <v>26</v>
      </c>
      <c r="F40" s="29" t="s">
        <v>223</v>
      </c>
      <c r="G40" s="8" t="s">
        <v>69</v>
      </c>
      <c r="H40" s="78" t="s">
        <v>324</v>
      </c>
      <c r="I40" s="43">
        <f>IF(SUM(Q40:AX40)=0,"-",SUM(Q40:AX40))</f>
        <v>2</v>
      </c>
      <c r="J40" s="62">
        <f>IF(SUMPRODUCT($Q$3:$AX$3,Q40:AX40)=0,"-",SUMPRODUCT($Q$3:$AX$3,Q40:AX40))</f>
        <v>155</v>
      </c>
      <c r="L40" s="81">
        <v>4200647987</v>
      </c>
      <c r="M40" s="81" t="s">
        <v>269</v>
      </c>
      <c r="N40" s="81" t="s">
        <v>249</v>
      </c>
      <c r="O40" s="81" t="s">
        <v>322</v>
      </c>
      <c r="P40" s="182" t="s">
        <v>290</v>
      </c>
      <c r="Q40" s="7">
        <v>1</v>
      </c>
      <c r="R40" s="8">
        <v>1</v>
      </c>
    </row>
    <row r="41" spans="1:50">
      <c r="A41" s="5" t="s">
        <v>244</v>
      </c>
      <c r="B41" s="5" t="s">
        <v>221</v>
      </c>
      <c r="C41" s="42">
        <v>45111</v>
      </c>
      <c r="D41" s="55" t="s">
        <v>325</v>
      </c>
      <c r="E41" s="5" t="s">
        <v>26</v>
      </c>
      <c r="F41" s="29" t="s">
        <v>223</v>
      </c>
      <c r="G41" s="8" t="s">
        <v>69</v>
      </c>
      <c r="H41" s="78" t="s">
        <v>326</v>
      </c>
      <c r="I41" s="43">
        <f>IF(SUM(Q41:AX41)=0,"-",SUM(Q41:AX41))</f>
        <v>2</v>
      </c>
      <c r="J41" s="62">
        <f>IF(SUMPRODUCT($Q$3:$AX$3,Q41:AX41)=0,"-",SUMPRODUCT($Q$3:$AX$3,Q41:AX41))</f>
        <v>155</v>
      </c>
      <c r="L41" s="81">
        <v>4200647987</v>
      </c>
      <c r="M41" s="81" t="s">
        <v>269</v>
      </c>
      <c r="N41" s="81" t="s">
        <v>249</v>
      </c>
      <c r="O41" s="81" t="s">
        <v>322</v>
      </c>
      <c r="P41" s="182" t="s">
        <v>290</v>
      </c>
      <c r="Q41" s="7">
        <v>1</v>
      </c>
      <c r="R41" s="8">
        <v>1</v>
      </c>
    </row>
    <row r="42" spans="1:50">
      <c r="A42" s="5" t="s">
        <v>244</v>
      </c>
      <c r="B42" s="5" t="s">
        <v>221</v>
      </c>
      <c r="C42" s="76">
        <v>45091</v>
      </c>
      <c r="D42" s="55" t="s">
        <v>327</v>
      </c>
      <c r="E42" s="5" t="s">
        <v>26</v>
      </c>
      <c r="F42" s="29" t="s">
        <v>223</v>
      </c>
      <c r="G42" s="8" t="s">
        <v>130</v>
      </c>
      <c r="H42" s="78" t="s">
        <v>328</v>
      </c>
      <c r="I42" s="43">
        <f>IF(SUM(Q42:AX42)=0,"-",SUM(Q42:AX42))</f>
        <v>1</v>
      </c>
      <c r="J42" s="62">
        <f>IF(SUMPRODUCT($Q$3:$AX$3,Q42:AX42)=0,"-",SUMPRODUCT($Q$3:$AX$3,Q42:AX42))</f>
        <v>360</v>
      </c>
      <c r="L42" s="81">
        <v>4200648002</v>
      </c>
      <c r="M42" s="211" t="s">
        <v>266</v>
      </c>
      <c r="N42" s="81" t="s">
        <v>249</v>
      </c>
      <c r="O42" s="81"/>
      <c r="P42" s="81"/>
      <c r="AQ42" s="8">
        <v>1</v>
      </c>
    </row>
    <row r="43" spans="1:50">
      <c r="A43" s="5" t="s">
        <v>244</v>
      </c>
      <c r="B43" s="5" t="s">
        <v>221</v>
      </c>
      <c r="C43" s="76">
        <v>45110</v>
      </c>
      <c r="D43" s="221" t="s">
        <v>329</v>
      </c>
      <c r="E43" s="5" t="s">
        <v>26</v>
      </c>
      <c r="F43" s="29" t="s">
        <v>223</v>
      </c>
      <c r="G43" s="8" t="s">
        <v>130</v>
      </c>
      <c r="H43" s="78" t="s">
        <v>330</v>
      </c>
      <c r="I43" s="43">
        <f>IF(SUM(Q43:AX43)=0,"-",SUM(Q43:AX43))</f>
        <v>5</v>
      </c>
      <c r="J43" s="62">
        <f>IF(SUMPRODUCT($Q$3:$AX$3,Q43:AX43)=0,"-",SUMPRODUCT($Q$3:$AX$3,Q43:AX43))</f>
        <v>260</v>
      </c>
      <c r="L43" s="81">
        <v>4200648002</v>
      </c>
      <c r="M43" s="211" t="s">
        <v>266</v>
      </c>
      <c r="N43" s="81" t="s">
        <v>249</v>
      </c>
      <c r="O43" s="81"/>
      <c r="P43" s="81"/>
      <c r="Q43" s="7">
        <v>1</v>
      </c>
      <c r="R43" s="8">
        <v>4</v>
      </c>
    </row>
    <row r="44" spans="1:50">
      <c r="A44" s="5" t="s">
        <v>244</v>
      </c>
      <c r="B44" s="5" t="s">
        <v>221</v>
      </c>
      <c r="C44" s="42">
        <v>45117</v>
      </c>
      <c r="D44" s="77" t="s">
        <v>331</v>
      </c>
      <c r="E44" s="5" t="s">
        <v>230</v>
      </c>
      <c r="F44" s="29" t="s">
        <v>223</v>
      </c>
      <c r="G44" s="8" t="s">
        <v>130</v>
      </c>
      <c r="H44" s="78" t="s">
        <v>332</v>
      </c>
      <c r="I44" s="43">
        <f>IF(SUM(Q44:AX44)=0,"-",SUM(Q44:AX44))</f>
        <v>9</v>
      </c>
      <c r="J44" s="62">
        <f>IF(SUMPRODUCT($Q$3:$AX$3,Q44:AX44)=0,"-",SUMPRODUCT($Q$3:$AX$3,Q44:AX44))</f>
        <v>315</v>
      </c>
      <c r="L44" s="81">
        <v>4200648002</v>
      </c>
      <c r="M44" s="211" t="s">
        <v>266</v>
      </c>
      <c r="N44" s="81" t="s">
        <v>249</v>
      </c>
      <c r="O44" s="81"/>
      <c r="P44" s="81"/>
      <c r="R44" s="8">
        <v>9</v>
      </c>
    </row>
    <row r="45" spans="1:50">
      <c r="A45" s="5" t="s">
        <v>244</v>
      </c>
      <c r="B45" s="5" t="s">
        <v>221</v>
      </c>
      <c r="C45" s="117">
        <v>45151</v>
      </c>
      <c r="D45" s="55" t="s">
        <v>333</v>
      </c>
      <c r="E45" s="5" t="s">
        <v>26</v>
      </c>
      <c r="F45" s="29" t="s">
        <v>223</v>
      </c>
      <c r="G45" s="8" t="s">
        <v>130</v>
      </c>
      <c r="H45" s="78" t="s">
        <v>334</v>
      </c>
      <c r="I45" s="43">
        <f>IF(SUM(Q45:AX45)=0,"-",SUM(Q45:AX45))</f>
        <v>1</v>
      </c>
      <c r="J45" s="62">
        <f>IF(SUMPRODUCT($Q$3:$AX$3,Q45:AX45)=0,"-",SUMPRODUCT($Q$3:$AX$3,Q45:AX45))</f>
        <v>360</v>
      </c>
      <c r="L45" s="120">
        <v>4200648002</v>
      </c>
      <c r="M45" s="211" t="s">
        <v>266</v>
      </c>
      <c r="N45" s="81" t="s">
        <v>249</v>
      </c>
      <c r="O45" s="81" t="s">
        <v>335</v>
      </c>
      <c r="P45" s="182" t="s">
        <v>290</v>
      </c>
      <c r="AQ45" s="8">
        <v>1</v>
      </c>
    </row>
    <row r="46" spans="1:50">
      <c r="A46" s="5" t="s">
        <v>244</v>
      </c>
      <c r="B46" s="5" t="s">
        <v>221</v>
      </c>
      <c r="C46" s="117">
        <v>45170</v>
      </c>
      <c r="D46" s="106" t="s">
        <v>336</v>
      </c>
      <c r="E46" s="5" t="s">
        <v>32</v>
      </c>
      <c r="F46" s="29" t="s">
        <v>223</v>
      </c>
      <c r="G46" s="8" t="s">
        <v>130</v>
      </c>
      <c r="H46" s="78" t="s">
        <v>337</v>
      </c>
      <c r="I46" s="43">
        <f>IF(SUM(Q46:AX46)=0,"-",SUM(Q46:AX46))</f>
        <v>1</v>
      </c>
      <c r="J46" s="62">
        <f>IF(SUMPRODUCT($Q$3:$AX$3,Q46:AX46)=0,"-",SUMPRODUCT($Q$3:$AX$3,Q46:AX46))</f>
        <v>35</v>
      </c>
      <c r="L46" s="215">
        <v>4200652021</v>
      </c>
      <c r="M46" s="216" t="s">
        <v>305</v>
      </c>
      <c r="N46" s="81" t="s">
        <v>249</v>
      </c>
      <c r="O46" s="81" t="s">
        <v>335</v>
      </c>
      <c r="P46" s="182" t="s">
        <v>290</v>
      </c>
      <c r="R46" s="8">
        <v>1</v>
      </c>
    </row>
    <row r="47" spans="1:50">
      <c r="A47" s="5" t="s">
        <v>244</v>
      </c>
      <c r="B47" s="5" t="s">
        <v>221</v>
      </c>
      <c r="C47" s="117">
        <v>45176</v>
      </c>
      <c r="D47" s="55" t="s">
        <v>338</v>
      </c>
      <c r="E47" s="5" t="s">
        <v>26</v>
      </c>
      <c r="F47" s="29" t="s">
        <v>223</v>
      </c>
      <c r="G47" s="8" t="s">
        <v>130</v>
      </c>
      <c r="H47" s="78" t="s">
        <v>339</v>
      </c>
      <c r="I47" s="43">
        <f>IF(SUM(Q47:AX47)=0,"-",SUM(Q47:AX47))</f>
        <v>2</v>
      </c>
      <c r="J47" s="62">
        <f>IF(SUMPRODUCT($Q$3:$AX$3,Q47:AX47)=0,"-",SUMPRODUCT($Q$3:$AX$3,Q47:AX47))</f>
        <v>70</v>
      </c>
      <c r="L47" s="215">
        <v>4200653885</v>
      </c>
      <c r="M47" s="216" t="s">
        <v>340</v>
      </c>
      <c r="N47" s="81" t="s">
        <v>249</v>
      </c>
      <c r="O47" s="81" t="s">
        <v>335</v>
      </c>
      <c r="P47" s="182" t="s">
        <v>290</v>
      </c>
      <c r="R47" s="8">
        <v>2</v>
      </c>
    </row>
    <row r="48" spans="1:50">
      <c r="A48" s="5" t="s">
        <v>244</v>
      </c>
      <c r="B48" s="5" t="s">
        <v>221</v>
      </c>
      <c r="C48" s="117">
        <v>45188</v>
      </c>
      <c r="D48" s="55" t="s">
        <v>341</v>
      </c>
      <c r="E48" s="5" t="s">
        <v>33</v>
      </c>
      <c r="F48" s="29" t="s">
        <v>223</v>
      </c>
      <c r="G48" s="8" t="s">
        <v>130</v>
      </c>
      <c r="H48" s="78" t="s">
        <v>342</v>
      </c>
      <c r="I48" s="43">
        <f>IF(SUM(Q48:AX48)=0,"-",SUM(Q48:AX48))</f>
        <v>3</v>
      </c>
      <c r="J48" s="62">
        <f>IF(SUMPRODUCT($Q$3:$AX$3,Q48:AX48)=0,"-",SUMPRODUCT($Q$3:$AX$3,Q48:AX48))</f>
        <v>540</v>
      </c>
      <c r="L48" s="215">
        <v>4200653885</v>
      </c>
      <c r="M48" s="216" t="s">
        <v>340</v>
      </c>
      <c r="N48" s="81" t="s">
        <v>249</v>
      </c>
      <c r="O48" s="81" t="s">
        <v>335</v>
      </c>
      <c r="P48" s="182" t="s">
        <v>290</v>
      </c>
      <c r="AD48" s="8">
        <v>3</v>
      </c>
    </row>
    <row r="49" spans="1:51">
      <c r="A49" s="5" t="s">
        <v>244</v>
      </c>
      <c r="B49" s="5" t="s">
        <v>221</v>
      </c>
      <c r="C49" s="117">
        <v>45210</v>
      </c>
      <c r="D49" s="55" t="s">
        <v>343</v>
      </c>
      <c r="E49" s="5" t="s">
        <v>26</v>
      </c>
      <c r="F49" s="29" t="s">
        <v>223</v>
      </c>
      <c r="G49" s="8" t="s">
        <v>130</v>
      </c>
      <c r="H49" s="78" t="s">
        <v>344</v>
      </c>
      <c r="I49" s="43">
        <f>IF(SUM(Q49:AX49)=0,"-",SUM(Q49:AX49))</f>
        <v>2</v>
      </c>
      <c r="J49" s="62">
        <f>IF(SUMPRODUCT($Q$3:$AX$3,Q49:AX49)=0,"-",SUMPRODUCT($Q$3:$AX$3,Q49:AX49))</f>
        <v>70</v>
      </c>
      <c r="L49" s="120">
        <v>4200653885</v>
      </c>
      <c r="M49" s="213" t="s">
        <v>345</v>
      </c>
      <c r="N49" s="81" t="s">
        <v>249</v>
      </c>
      <c r="O49" s="81" t="s">
        <v>346</v>
      </c>
      <c r="P49" s="182" t="s">
        <v>290</v>
      </c>
      <c r="R49" s="8">
        <v>2</v>
      </c>
    </row>
    <row r="50" spans="1:51">
      <c r="A50" s="5" t="s">
        <v>244</v>
      </c>
      <c r="B50" s="5" t="s">
        <v>221</v>
      </c>
      <c r="C50" s="117">
        <v>45218</v>
      </c>
      <c r="D50" s="55" t="s">
        <v>347</v>
      </c>
      <c r="E50" s="5" t="s">
        <v>32</v>
      </c>
      <c r="F50" s="29" t="s">
        <v>223</v>
      </c>
      <c r="G50" s="8" t="s">
        <v>130</v>
      </c>
      <c r="H50" s="78" t="s">
        <v>348</v>
      </c>
      <c r="I50" s="43">
        <f>IF(SUM(Q50:AX50)=0,"-",SUM(Q50:AX50))</f>
        <v>1</v>
      </c>
      <c r="J50" s="62">
        <f>IF(SUMPRODUCT($Q$3:$AX$3,Q50:AX50)=0,"-",SUMPRODUCT($Q$3:$AX$3,Q50:AX50))</f>
        <v>35</v>
      </c>
      <c r="L50" s="120">
        <v>4200653885</v>
      </c>
      <c r="M50" s="213" t="s">
        <v>345</v>
      </c>
      <c r="N50" s="81" t="s">
        <v>249</v>
      </c>
      <c r="O50" s="81" t="s">
        <v>346</v>
      </c>
      <c r="P50" s="182" t="s">
        <v>290</v>
      </c>
      <c r="R50" s="8">
        <v>1</v>
      </c>
    </row>
    <row r="51" spans="1:51">
      <c r="A51" s="5" t="s">
        <v>244</v>
      </c>
      <c r="B51" s="5" t="s">
        <v>221</v>
      </c>
      <c r="C51" s="117" t="s">
        <v>306</v>
      </c>
      <c r="D51" s="220" t="s">
        <v>349</v>
      </c>
      <c r="E51" s="5" t="s">
        <v>26</v>
      </c>
      <c r="F51" s="29" t="s">
        <v>223</v>
      </c>
      <c r="G51" s="8" t="s">
        <v>130</v>
      </c>
      <c r="H51" s="78" t="s">
        <v>350</v>
      </c>
      <c r="I51" s="43">
        <f>IF(SUM(Q51:AX51)=0,"-",SUM(Q51:AX51))</f>
        <v>4</v>
      </c>
      <c r="J51" s="62">
        <f>IF(SUMPRODUCT($Q$3:$AX$3,Q51:AX51)=0,"-",SUMPRODUCT($Q$3:$AX$3,Q51:AX51))</f>
        <v>300</v>
      </c>
      <c r="L51" s="120">
        <v>4200653885</v>
      </c>
      <c r="M51" s="213" t="s">
        <v>351</v>
      </c>
      <c r="N51" s="81" t="s">
        <v>249</v>
      </c>
      <c r="O51" s="81" t="s">
        <v>346</v>
      </c>
      <c r="P51" s="182" t="s">
        <v>290</v>
      </c>
      <c r="Q51" s="7">
        <v>1</v>
      </c>
      <c r="T51" s="8">
        <v>3</v>
      </c>
    </row>
    <row r="52" spans="1:51">
      <c r="A52" s="5" t="s">
        <v>244</v>
      </c>
      <c r="B52" s="5" t="s">
        <v>221</v>
      </c>
      <c r="C52" s="117">
        <v>45232</v>
      </c>
      <c r="D52" s="55" t="s">
        <v>352</v>
      </c>
      <c r="E52" s="5" t="s">
        <v>26</v>
      </c>
      <c r="F52" s="29" t="s">
        <v>223</v>
      </c>
      <c r="G52" s="8" t="s">
        <v>130</v>
      </c>
      <c r="H52" s="78" t="s">
        <v>353</v>
      </c>
      <c r="I52" s="43">
        <f>IF(SUM(Q52:AX52)=0,"-",SUM(Q52:AX52))</f>
        <v>1</v>
      </c>
      <c r="J52" s="62">
        <f>IF(SUMPRODUCT($Q$3:$AX$3,Q52:AX52)=0,"-",SUMPRODUCT($Q$3:$AX$3,Q52:AX52))</f>
        <v>80</v>
      </c>
      <c r="L52" s="120">
        <v>4200653885</v>
      </c>
      <c r="M52" s="213" t="s">
        <v>351</v>
      </c>
      <c r="N52" s="81" t="s">
        <v>249</v>
      </c>
      <c r="O52" s="81" t="s">
        <v>346</v>
      </c>
      <c r="P52" s="182" t="s">
        <v>290</v>
      </c>
      <c r="AN52" s="7">
        <v>1</v>
      </c>
    </row>
    <row r="53" spans="1:51">
      <c r="A53" s="5" t="s">
        <v>244</v>
      </c>
      <c r="B53" s="5" t="s">
        <v>221</v>
      </c>
      <c r="C53" s="117">
        <v>45240</v>
      </c>
      <c r="D53" s="55" t="s">
        <v>354</v>
      </c>
      <c r="E53" s="5" t="s">
        <v>32</v>
      </c>
      <c r="F53" s="29" t="s">
        <v>223</v>
      </c>
      <c r="G53" s="8" t="s">
        <v>130</v>
      </c>
      <c r="H53" s="78" t="s">
        <v>355</v>
      </c>
      <c r="I53" s="43">
        <f>IF(SUM(Q53:AX53)=0,"-",SUM(Q53:AX53))</f>
        <v>2</v>
      </c>
      <c r="J53" s="62">
        <f>IF(SUMPRODUCT($Q$3:$AX$3,Q53:AX53)=0,"-",SUMPRODUCT($Q$3:$AX$3,Q53:AX53))</f>
        <v>240</v>
      </c>
      <c r="L53" s="120">
        <v>4200653885</v>
      </c>
      <c r="M53" s="213" t="s">
        <v>351</v>
      </c>
      <c r="N53" s="81" t="s">
        <v>249</v>
      </c>
      <c r="O53" s="81" t="s">
        <v>346</v>
      </c>
      <c r="P53" s="182" t="s">
        <v>290</v>
      </c>
      <c r="Q53" s="7">
        <v>2</v>
      </c>
    </row>
    <row r="54" spans="1:51">
      <c r="A54" s="5" t="s">
        <v>244</v>
      </c>
      <c r="B54" s="5" t="s">
        <v>221</v>
      </c>
      <c r="C54" s="117">
        <v>45243</v>
      </c>
      <c r="D54" s="55" t="s">
        <v>356</v>
      </c>
      <c r="E54" s="5" t="s">
        <v>26</v>
      </c>
      <c r="F54" s="29" t="s">
        <v>223</v>
      </c>
      <c r="G54" s="8" t="s">
        <v>130</v>
      </c>
      <c r="H54" s="78" t="s">
        <v>357</v>
      </c>
      <c r="I54" s="43">
        <f>IF(SUM(Q54:AX54)=0,"-",SUM(Q54:AX54))</f>
        <v>1</v>
      </c>
      <c r="J54" s="62">
        <f>IF(SUMPRODUCT($Q$3:$AX$3,Q54:AX54)=0,"-",SUMPRODUCT($Q$3:$AX$3,Q54:AX54))</f>
        <v>135</v>
      </c>
      <c r="L54" s="120">
        <v>4200653885</v>
      </c>
      <c r="M54" s="213" t="s">
        <v>351</v>
      </c>
      <c r="N54" s="81" t="s">
        <v>249</v>
      </c>
      <c r="O54" s="81" t="s">
        <v>346</v>
      </c>
      <c r="P54" s="182" t="s">
        <v>290</v>
      </c>
      <c r="X54" s="7">
        <v>1</v>
      </c>
    </row>
    <row r="55" spans="1:51">
      <c r="A55" s="5" t="s">
        <v>244</v>
      </c>
      <c r="B55" s="5" t="s">
        <v>221</v>
      </c>
      <c r="C55" s="117">
        <v>45238</v>
      </c>
      <c r="D55" s="55" t="s">
        <v>358</v>
      </c>
      <c r="E55" s="5" t="s">
        <v>32</v>
      </c>
      <c r="F55" s="29" t="s">
        <v>223</v>
      </c>
      <c r="G55" s="8" t="s">
        <v>95</v>
      </c>
      <c r="H55" s="78" t="s">
        <v>359</v>
      </c>
      <c r="I55" s="43">
        <f>IF(SUM(Q55:AX55)=0,"-",SUM(Q55:AX55))</f>
        <v>2</v>
      </c>
      <c r="J55" s="62">
        <f>IF(SUMPRODUCT($Q$3:$AX$3,Q55:AX55)=0,"-",SUMPRODUCT($Q$3:$AX$3,Q55:AX55))</f>
        <v>155</v>
      </c>
      <c r="L55" s="224">
        <v>4200647984</v>
      </c>
      <c r="M55" s="190" t="s">
        <v>309</v>
      </c>
      <c r="N55" s="81" t="s">
        <v>249</v>
      </c>
      <c r="O55" s="81" t="s">
        <v>310</v>
      </c>
      <c r="P55" s="182" t="s">
        <v>311</v>
      </c>
      <c r="Q55" s="7">
        <v>1</v>
      </c>
      <c r="R55" s="8">
        <v>1</v>
      </c>
    </row>
    <row r="56" spans="1:51">
      <c r="A56" s="5" t="s">
        <v>244</v>
      </c>
      <c r="B56" s="5" t="s">
        <v>221</v>
      </c>
      <c r="C56" s="117" t="s">
        <v>360</v>
      </c>
      <c r="D56" s="55" t="s">
        <v>361</v>
      </c>
      <c r="E56" s="5" t="s">
        <v>26</v>
      </c>
      <c r="F56" s="29" t="s">
        <v>223</v>
      </c>
      <c r="G56" s="8" t="s">
        <v>95</v>
      </c>
      <c r="H56" s="78" t="s">
        <v>362</v>
      </c>
      <c r="I56" s="43">
        <f>IF(SUM(Q56:AX56)=0,"-",SUM(Q56:AX56))</f>
        <v>18</v>
      </c>
      <c r="J56" s="62">
        <f>IF(SUMPRODUCT($Q$3:$AX$3,Q56:AX56)=0,"-",SUMPRODUCT($Q$3:$AX$3,Q56:AX56))</f>
        <v>885</v>
      </c>
      <c r="L56" s="224">
        <v>4200657838</v>
      </c>
      <c r="M56" s="190" t="s">
        <v>363</v>
      </c>
      <c r="N56" s="81" t="s">
        <v>249</v>
      </c>
      <c r="O56" s="81" t="s">
        <v>364</v>
      </c>
      <c r="P56" s="122" t="s">
        <v>365</v>
      </c>
      <c r="Q56" s="7">
        <v>3</v>
      </c>
      <c r="R56" s="8">
        <f>18-Q56</f>
        <v>15</v>
      </c>
    </row>
    <row r="57" spans="1:51">
      <c r="A57" s="5" t="s">
        <v>244</v>
      </c>
      <c r="B57" s="5" t="s">
        <v>221</v>
      </c>
      <c r="C57" s="117">
        <v>45243</v>
      </c>
      <c r="D57" s="55" t="s">
        <v>366</v>
      </c>
      <c r="E57" s="5" t="s">
        <v>26</v>
      </c>
      <c r="F57" s="29" t="s">
        <v>223</v>
      </c>
      <c r="G57" s="8" t="s">
        <v>69</v>
      </c>
      <c r="H57" s="78" t="s">
        <v>367</v>
      </c>
      <c r="I57" s="43">
        <f>IF(SUM(Q57:AX57)=0,"-",SUM(Q57:AX57))</f>
        <v>7</v>
      </c>
      <c r="J57" s="62">
        <f>IF(SUMPRODUCT($Q$3:$AX$3,Q57:AX57)=0,"-",SUMPRODUCT($Q$3:$AX$3,Q57:AX57))</f>
        <v>245</v>
      </c>
      <c r="L57" s="123">
        <v>4200654186</v>
      </c>
      <c r="M57" s="123" t="s">
        <v>351</v>
      </c>
      <c r="N57" s="81" t="s">
        <v>249</v>
      </c>
      <c r="O57" s="81" t="s">
        <v>368</v>
      </c>
      <c r="P57" s="182" t="s">
        <v>290</v>
      </c>
      <c r="R57" s="8">
        <v>7</v>
      </c>
    </row>
    <row r="58" spans="1:51">
      <c r="A58" s="5" t="s">
        <v>244</v>
      </c>
      <c r="B58" s="5" t="s">
        <v>221</v>
      </c>
      <c r="C58" s="117">
        <v>45274</v>
      </c>
      <c r="D58" s="112" t="s">
        <v>369</v>
      </c>
      <c r="E58" s="5" t="s">
        <v>31</v>
      </c>
      <c r="F58" s="29" t="s">
        <v>223</v>
      </c>
      <c r="G58" s="8" t="s">
        <v>69</v>
      </c>
      <c r="H58" s="30" t="s">
        <v>370</v>
      </c>
      <c r="I58" s="43">
        <f>IF(SUM(Q58:AX58)=0,"-",SUM(Q58:AX58))</f>
        <v>1</v>
      </c>
      <c r="J58" s="52">
        <f>IF(SUMPRODUCT('Sony France - CM'!$Q$3:$AX$3,Q58:AX58)=0,"-",SUMPRODUCT('Sony France - CM'!$Q$3:$AX$3,Q58:AX58))</f>
        <v>120</v>
      </c>
      <c r="L58" s="223">
        <v>4200657843</v>
      </c>
      <c r="M58" s="81" t="s">
        <v>309</v>
      </c>
      <c r="N58" s="81" t="s">
        <v>249</v>
      </c>
      <c r="O58" s="81" t="s">
        <v>371</v>
      </c>
      <c r="P58" s="122" t="s">
        <v>365</v>
      </c>
      <c r="Q58" s="7">
        <v>1</v>
      </c>
    </row>
    <row r="59" spans="1:51">
      <c r="A59" s="5" t="s">
        <v>244</v>
      </c>
      <c r="B59" s="5" t="s">
        <v>221</v>
      </c>
      <c r="C59" s="117">
        <v>45209</v>
      </c>
      <c r="D59" s="55" t="s">
        <v>372</v>
      </c>
      <c r="E59" s="5" t="s">
        <v>26</v>
      </c>
      <c r="F59" s="29" t="s">
        <v>223</v>
      </c>
      <c r="G59" s="8" t="s">
        <v>93</v>
      </c>
      <c r="H59" s="78" t="s">
        <v>373</v>
      </c>
      <c r="I59" s="43">
        <f>IF(SUM(Q59:AX59)=0,"-",SUM(Q59:AX59))</f>
        <v>5</v>
      </c>
      <c r="J59" s="62">
        <f>IF(SUMPRODUCT($Q$3:$AX$3,Q59:AX59)=0,"-",SUMPRODUCT($Q$3:$AX$3,Q59:AX59))</f>
        <v>275</v>
      </c>
      <c r="L59" s="81">
        <v>4200654197</v>
      </c>
      <c r="M59" s="81" t="s">
        <v>345</v>
      </c>
      <c r="N59" s="81" t="s">
        <v>249</v>
      </c>
      <c r="O59" s="81" t="s">
        <v>374</v>
      </c>
      <c r="P59" s="182" t="s">
        <v>290</v>
      </c>
      <c r="Q59" s="7">
        <v>1</v>
      </c>
      <c r="R59" s="8">
        <v>1</v>
      </c>
      <c r="Y59" s="8">
        <v>3</v>
      </c>
    </row>
    <row r="60" spans="1:51">
      <c r="A60" s="5" t="s">
        <v>220</v>
      </c>
      <c r="B60" s="5" t="s">
        <v>221</v>
      </c>
      <c r="C60" s="76" t="s">
        <v>375</v>
      </c>
      <c r="D60" s="77" t="s">
        <v>376</v>
      </c>
      <c r="E60" s="5" t="s">
        <v>242</v>
      </c>
      <c r="F60" s="29" t="s">
        <v>223</v>
      </c>
      <c r="G60" s="8" t="s">
        <v>95</v>
      </c>
      <c r="H60" s="78" t="s">
        <v>377</v>
      </c>
      <c r="I60" s="43">
        <f>IF(SUM(Q60:AX60)=0,"-",SUM(Q60:AX60))</f>
        <v>3</v>
      </c>
      <c r="J60" s="62">
        <f>IF(SUMPRODUCT('Sony France - CM'!$Q$3:$AX$3,Q60:AX60)=0,"-",SUMPRODUCT('Sony France - CM'!$Q$3:$AX$3,Q60:AX60))</f>
        <v>190</v>
      </c>
      <c r="K60" s="51">
        <v>45044</v>
      </c>
      <c r="L60" s="225">
        <v>4200641950</v>
      </c>
      <c r="M60" s="118" t="s">
        <v>232</v>
      </c>
      <c r="N60" s="81" t="s">
        <v>249</v>
      </c>
      <c r="O60" s="81" t="s">
        <v>378</v>
      </c>
      <c r="P60" s="122" t="s">
        <v>379</v>
      </c>
      <c r="Q60" s="7">
        <v>1</v>
      </c>
      <c r="R60" s="8">
        <v>2</v>
      </c>
    </row>
    <row r="61" spans="1:51">
      <c r="A61" s="5" t="s">
        <v>220</v>
      </c>
      <c r="B61" s="5" t="s">
        <v>221</v>
      </c>
      <c r="C61" s="76" t="s">
        <v>233</v>
      </c>
      <c r="D61" s="55" t="s">
        <v>380</v>
      </c>
      <c r="E61" s="5" t="s">
        <v>230</v>
      </c>
      <c r="F61" s="29" t="s">
        <v>223</v>
      </c>
      <c r="G61" s="8" t="s">
        <v>95</v>
      </c>
      <c r="H61" s="78" t="s">
        <v>381</v>
      </c>
      <c r="I61" s="43">
        <f>IF(SUM(Q61:AX61)=0,"-",SUM(Q61:AX61))</f>
        <v>4</v>
      </c>
      <c r="J61" s="62">
        <f>IF(SUMPRODUCT('Sony France - CM'!$Q$3:$AX$3,Q61:AX61)=0,"-",SUMPRODUCT('Sony France - CM'!$Q$3:$AX$3,Q61:AX61))</f>
        <v>140</v>
      </c>
      <c r="K61" s="51">
        <v>45043</v>
      </c>
      <c r="L61" s="226">
        <v>4200641950</v>
      </c>
      <c r="M61" s="118" t="s">
        <v>232</v>
      </c>
      <c r="N61" s="81" t="s">
        <v>249</v>
      </c>
      <c r="O61" s="81" t="s">
        <v>378</v>
      </c>
      <c r="P61" s="122" t="s">
        <v>379</v>
      </c>
      <c r="R61" s="8">
        <v>4</v>
      </c>
    </row>
    <row r="62" spans="1:51">
      <c r="A62" s="5" t="s">
        <v>244</v>
      </c>
      <c r="B62" s="5" t="s">
        <v>221</v>
      </c>
      <c r="C62" s="117">
        <v>45167</v>
      </c>
      <c r="D62" s="55" t="s">
        <v>382</v>
      </c>
      <c r="E62" s="5" t="s">
        <v>242</v>
      </c>
      <c r="F62" s="29" t="s">
        <v>223</v>
      </c>
      <c r="G62" s="8" t="s">
        <v>130</v>
      </c>
      <c r="H62" s="78" t="s">
        <v>383</v>
      </c>
      <c r="I62" s="43">
        <f>IF(SUM(Q62:AX62)=0,"-",SUM(Q62:AX62))</f>
        <v>2</v>
      </c>
      <c r="J62" s="62">
        <f>IF(SUMPRODUCT($Q$3:$AX$3,Q62:AX62)=0,"-",SUMPRODUCT($Q$3:$AX$3,Q62:AX62))</f>
        <v>155</v>
      </c>
      <c r="L62" s="227">
        <v>4200652021</v>
      </c>
      <c r="M62" s="118" t="s">
        <v>305</v>
      </c>
      <c r="N62" s="81" t="s">
        <v>249</v>
      </c>
      <c r="O62" s="81" t="s">
        <v>378</v>
      </c>
      <c r="P62" s="122" t="s">
        <v>379</v>
      </c>
      <c r="Q62" s="7">
        <v>1</v>
      </c>
      <c r="R62" s="8">
        <v>1</v>
      </c>
      <c r="AT62" s="7"/>
      <c r="AU62" s="8"/>
      <c r="AV62" s="7"/>
      <c r="AW62" s="8"/>
      <c r="AX62" s="7"/>
      <c r="AY62" s="5"/>
    </row>
    <row r="63" spans="1:51">
      <c r="A63" t="s">
        <v>220</v>
      </c>
      <c r="B63" t="s">
        <v>221</v>
      </c>
      <c r="C63" s="42">
        <v>44882</v>
      </c>
      <c r="D63" s="54" t="s">
        <v>384</v>
      </c>
      <c r="E63" t="s">
        <v>385</v>
      </c>
      <c r="F63" s="29" t="s">
        <v>223</v>
      </c>
      <c r="G63" s="8" t="s">
        <v>69</v>
      </c>
      <c r="H63" s="22" t="s">
        <v>386</v>
      </c>
      <c r="I63" s="43">
        <f>IF(SUM(Q63:AX63)=0,"-",SUM(Q63:AX63))</f>
        <v>4</v>
      </c>
      <c r="J63" s="62">
        <f>IF(SUMPRODUCT('Sony France - CM'!$Q$3:$AX$3,Q63:AX63)=0,"-",SUMPRODUCT('Sony France - CM'!$Q$3:$AX$3,Q63:AX63))</f>
        <v>140</v>
      </c>
      <c r="K63" s="35">
        <v>44903</v>
      </c>
      <c r="L63" s="188">
        <v>4200657838</v>
      </c>
      <c r="M63" s="145" t="s">
        <v>363</v>
      </c>
      <c r="N63" s="172" t="s">
        <v>249</v>
      </c>
      <c r="O63" s="172" t="s">
        <v>387</v>
      </c>
      <c r="P63" s="189" t="s">
        <v>379</v>
      </c>
      <c r="Q63" s="20"/>
      <c r="R63" s="43">
        <v>4</v>
      </c>
      <c r="S63" s="21"/>
      <c r="T63" s="21"/>
      <c r="U63" s="21"/>
      <c r="V63" s="21"/>
      <c r="W63" s="21"/>
      <c r="X63" s="20"/>
      <c r="Y63" s="21"/>
      <c r="Z63" s="21"/>
      <c r="AA63" s="21"/>
      <c r="AB63" s="21"/>
      <c r="AC63" s="21"/>
      <c r="AD63" s="21"/>
      <c r="AE63" s="43"/>
      <c r="AF63" s="43"/>
      <c r="AG63" s="20"/>
      <c r="AH63" s="20"/>
      <c r="AI63" s="21"/>
      <c r="AJ63" s="21"/>
      <c r="AK63" s="21"/>
      <c r="AL63" s="21"/>
      <c r="AM63" s="21"/>
      <c r="AN63" s="20"/>
      <c r="AO63" s="21"/>
      <c r="AP63" s="21"/>
      <c r="AQ63" s="21"/>
      <c r="AR63" s="21"/>
      <c r="AS63" s="21"/>
      <c r="AT63" s="21"/>
      <c r="AU63" s="20"/>
      <c r="AV63" s="21"/>
      <c r="AW63" s="20"/>
      <c r="AX63" s="21"/>
    </row>
    <row r="64" spans="1:51">
      <c r="A64" s="5" t="s">
        <v>244</v>
      </c>
      <c r="B64" s="5" t="s">
        <v>221</v>
      </c>
      <c r="C64" s="117" t="s">
        <v>298</v>
      </c>
      <c r="D64" s="55" t="s">
        <v>388</v>
      </c>
      <c r="E64" s="5" t="s">
        <v>32</v>
      </c>
      <c r="F64" s="29" t="s">
        <v>223</v>
      </c>
      <c r="G64" s="8" t="s">
        <v>69</v>
      </c>
      <c r="H64" s="78" t="s">
        <v>389</v>
      </c>
      <c r="I64" s="43">
        <f>IF(SUM(Q64:AX64)=0,"-",SUM(Q64:AX64))</f>
        <v>7</v>
      </c>
      <c r="J64" s="62">
        <f>IF(SUMPRODUCT($Q$3:$AX$3,Q64:AX64)=0,"-",SUMPRODUCT($Q$3:$AX$3,Q64:AX64))</f>
        <v>245</v>
      </c>
      <c r="L64" s="188">
        <v>4200657838</v>
      </c>
      <c r="M64" s="145" t="s">
        <v>363</v>
      </c>
      <c r="N64" s="81" t="s">
        <v>249</v>
      </c>
      <c r="O64" s="172" t="s">
        <v>387</v>
      </c>
      <c r="P64" s="122" t="s">
        <v>379</v>
      </c>
      <c r="R64" s="8">
        <v>7</v>
      </c>
    </row>
    <row r="65" spans="1:51">
      <c r="A65" s="5" t="s">
        <v>244</v>
      </c>
      <c r="B65" s="5" t="s">
        <v>221</v>
      </c>
      <c r="C65" s="117" t="s">
        <v>306</v>
      </c>
      <c r="D65" s="55" t="s">
        <v>390</v>
      </c>
      <c r="E65" s="5" t="s">
        <v>26</v>
      </c>
      <c r="F65" s="29" t="s">
        <v>223</v>
      </c>
      <c r="G65" s="8" t="s">
        <v>69</v>
      </c>
      <c r="H65" s="78" t="s">
        <v>391</v>
      </c>
      <c r="I65" s="43">
        <f>IF(SUM(Q65:AX65)=0,"-",SUM(Q65:AX65))</f>
        <v>2</v>
      </c>
      <c r="J65" s="62">
        <f>IF(SUMPRODUCT($Q$3:$AX$3,Q65:AX65)=0,"-",SUMPRODUCT($Q$3:$AX$3,Q65:AX65))</f>
        <v>155</v>
      </c>
      <c r="L65" s="188">
        <v>4200657838</v>
      </c>
      <c r="M65" s="145" t="s">
        <v>363</v>
      </c>
      <c r="N65" s="81" t="s">
        <v>249</v>
      </c>
      <c r="O65" s="172" t="s">
        <v>387</v>
      </c>
      <c r="P65" s="122" t="s">
        <v>379</v>
      </c>
      <c r="Q65" s="7">
        <v>1</v>
      </c>
      <c r="R65" s="8">
        <v>1</v>
      </c>
    </row>
    <row r="66" spans="1:51">
      <c r="A66" s="5" t="s">
        <v>244</v>
      </c>
      <c r="B66" s="5" t="s">
        <v>221</v>
      </c>
      <c r="C66" s="117">
        <v>45176</v>
      </c>
      <c r="D66" s="55" t="s">
        <v>392</v>
      </c>
      <c r="E66" s="5" t="s">
        <v>26</v>
      </c>
      <c r="F66" s="29" t="s">
        <v>223</v>
      </c>
      <c r="G66" s="8" t="s">
        <v>69</v>
      </c>
      <c r="H66" s="78" t="s">
        <v>393</v>
      </c>
      <c r="I66" s="43">
        <f>IF(SUM(Q66:AX66)=0,"-",SUM(Q66:AX66))</f>
        <v>2</v>
      </c>
      <c r="J66" s="62">
        <f>IF(SUMPRODUCT($Q$3:$AX$3,Q66:AX66)=0,"-",SUMPRODUCT($Q$3:$AX$3,Q66:AX66))</f>
        <v>155</v>
      </c>
      <c r="L66" s="188">
        <v>4200657843</v>
      </c>
      <c r="M66" s="145" t="s">
        <v>363</v>
      </c>
      <c r="N66" s="81" t="s">
        <v>249</v>
      </c>
      <c r="O66" s="81" t="s">
        <v>394</v>
      </c>
      <c r="P66" s="122" t="s">
        <v>365</v>
      </c>
      <c r="Q66" s="7">
        <v>1</v>
      </c>
      <c r="R66" s="8">
        <v>1</v>
      </c>
    </row>
    <row r="67" spans="1:51">
      <c r="A67" s="5" t="s">
        <v>244</v>
      </c>
      <c r="B67" s="5" t="s">
        <v>221</v>
      </c>
      <c r="C67" s="117">
        <v>45214</v>
      </c>
      <c r="D67" s="222" t="s">
        <v>395</v>
      </c>
      <c r="E67" s="5" t="s">
        <v>26</v>
      </c>
      <c r="F67" s="29" t="s">
        <v>223</v>
      </c>
      <c r="G67" s="8" t="s">
        <v>69</v>
      </c>
      <c r="H67" s="78" t="s">
        <v>396</v>
      </c>
      <c r="I67" s="43">
        <f>IF(SUM(Q67:AX67)=0,"-",SUM(Q67:AX67))</f>
        <v>2</v>
      </c>
      <c r="J67" s="62">
        <f>IF(SUMPRODUCT($Q$3:$AX$3,Q67:AX67)=0,"-",SUMPRODUCT($Q$3:$AX$3,Q67:AX67))</f>
        <v>430</v>
      </c>
      <c r="L67" s="188">
        <v>4200657843</v>
      </c>
      <c r="M67" s="145" t="s">
        <v>363</v>
      </c>
      <c r="N67" s="81" t="s">
        <v>249</v>
      </c>
      <c r="O67" s="81" t="s">
        <v>394</v>
      </c>
      <c r="P67" s="122" t="s">
        <v>365</v>
      </c>
      <c r="Z67" s="8">
        <v>1</v>
      </c>
      <c r="AA67" s="8">
        <v>1</v>
      </c>
    </row>
    <row r="68" spans="1:51">
      <c r="A68" s="5" t="s">
        <v>244</v>
      </c>
      <c r="B68" s="5" t="s">
        <v>221</v>
      </c>
      <c r="C68" s="117" t="s">
        <v>306</v>
      </c>
      <c r="D68" s="222" t="s">
        <v>397</v>
      </c>
      <c r="E68" s="5" t="s">
        <v>26</v>
      </c>
      <c r="F68" s="29" t="s">
        <v>223</v>
      </c>
      <c r="G68" s="8" t="s">
        <v>69</v>
      </c>
      <c r="H68" s="78" t="s">
        <v>398</v>
      </c>
      <c r="I68" s="43">
        <f>IF(SUM(Q68:AX68)=0,"-",SUM(Q68:AX68))</f>
        <v>14</v>
      </c>
      <c r="J68" s="62">
        <f>IF(SUMPRODUCT($Q$3:$AX$3,Q68:AX68)=0,"-",SUMPRODUCT($Q$3:$AX$3,Q68:AX68))</f>
        <v>575</v>
      </c>
      <c r="L68" s="188">
        <v>4200657843</v>
      </c>
      <c r="M68" s="145" t="s">
        <v>363</v>
      </c>
      <c r="N68" s="81" t="s">
        <v>249</v>
      </c>
      <c r="O68" s="81" t="s">
        <v>394</v>
      </c>
      <c r="P68" s="122" t="s">
        <v>365</v>
      </c>
      <c r="Q68" s="7">
        <v>1</v>
      </c>
      <c r="R68" s="8">
        <v>13</v>
      </c>
    </row>
    <row r="69" spans="1:51">
      <c r="A69" s="5" t="s">
        <v>244</v>
      </c>
      <c r="B69" s="5" t="s">
        <v>221</v>
      </c>
      <c r="C69" s="117" t="s">
        <v>399</v>
      </c>
      <c r="D69" s="112" t="s">
        <v>400</v>
      </c>
      <c r="E69" s="5" t="s">
        <v>32</v>
      </c>
      <c r="F69" s="29" t="s">
        <v>223</v>
      </c>
      <c r="G69" s="8" t="s">
        <v>69</v>
      </c>
      <c r="H69" s="78" t="s">
        <v>401</v>
      </c>
      <c r="I69" s="43">
        <f>IF(SUM(Q69:AX69)=0,"-",SUM(Q69:AX69))</f>
        <v>2</v>
      </c>
      <c r="J69" s="62">
        <f>IF(SUMPRODUCT($Q$3:$AX$3,Q69:AX69)=0,"-",SUMPRODUCT($Q$3:$AX$3,Q69:AX69))</f>
        <v>155</v>
      </c>
      <c r="L69" s="188">
        <v>4200657843</v>
      </c>
      <c r="M69" s="145" t="s">
        <v>363</v>
      </c>
      <c r="N69" s="81" t="s">
        <v>249</v>
      </c>
      <c r="O69" s="81" t="s">
        <v>394</v>
      </c>
      <c r="P69" s="122" t="s">
        <v>365</v>
      </c>
      <c r="Q69" s="7">
        <v>1</v>
      </c>
      <c r="R69" s="8">
        <v>1</v>
      </c>
    </row>
    <row r="70" spans="1:51">
      <c r="A70" s="5" t="s">
        <v>244</v>
      </c>
      <c r="B70" s="5" t="s">
        <v>221</v>
      </c>
      <c r="C70" s="117">
        <v>45242</v>
      </c>
      <c r="D70" s="55" t="s">
        <v>402</v>
      </c>
      <c r="E70" s="5" t="s">
        <v>31</v>
      </c>
      <c r="F70" s="29" t="s">
        <v>223</v>
      </c>
      <c r="G70" s="8" t="s">
        <v>69</v>
      </c>
      <c r="H70" s="78" t="s">
        <v>403</v>
      </c>
      <c r="I70" s="43">
        <f>IF(SUM(Q70:AX70)=0,"-",SUM(Q70:AX70))</f>
        <v>18</v>
      </c>
      <c r="J70" s="52">
        <f>IF(SUMPRODUCT('Sony France - CM'!$Q$3:$AX$3,Q70:AX70)=0,"-",SUMPRODUCT('Sony France - CM'!$Q$3:$AX$3,Q70:AX70))</f>
        <v>885</v>
      </c>
      <c r="L70" s="188">
        <v>4200657843</v>
      </c>
      <c r="M70" s="145" t="s">
        <v>363</v>
      </c>
      <c r="N70" s="81" t="s">
        <v>249</v>
      </c>
      <c r="O70" s="81" t="s">
        <v>394</v>
      </c>
      <c r="P70" s="122" t="s">
        <v>365</v>
      </c>
      <c r="Q70" s="7">
        <v>3</v>
      </c>
      <c r="R70" s="8">
        <f>18-Q70</f>
        <v>15</v>
      </c>
    </row>
    <row r="71" spans="1:51">
      <c r="A71" s="5" t="s">
        <v>244</v>
      </c>
      <c r="B71" s="5" t="s">
        <v>221</v>
      </c>
      <c r="C71" s="117">
        <v>45303</v>
      </c>
      <c r="D71" s="55" t="s">
        <v>404</v>
      </c>
      <c r="E71" s="5" t="s">
        <v>31</v>
      </c>
      <c r="F71" s="29" t="s">
        <v>223</v>
      </c>
      <c r="G71" s="8" t="s">
        <v>69</v>
      </c>
      <c r="H71" s="30" t="s">
        <v>405</v>
      </c>
      <c r="I71" s="43">
        <f>IF(SUM(Q71:AX71)=0,"-",SUM(Q71:AX71))</f>
        <v>1</v>
      </c>
      <c r="J71" s="52">
        <f>IF(SUMPRODUCT($Q$3:$AX$3,Q71:AX71)=0,"-",SUMPRODUCT($Q$3:$AX$3,Q71:AX71))</f>
        <v>35</v>
      </c>
      <c r="L71" s="81">
        <v>4200657843</v>
      </c>
      <c r="M71" s="145" t="s">
        <v>363</v>
      </c>
      <c r="N71" s="81" t="s">
        <v>228</v>
      </c>
      <c r="O71" s="81" t="s">
        <v>406</v>
      </c>
      <c r="P71" s="122" t="s">
        <v>365</v>
      </c>
      <c r="R71" s="8">
        <v>1</v>
      </c>
    </row>
    <row r="72" spans="1:51">
      <c r="A72" s="5" t="s">
        <v>244</v>
      </c>
      <c r="B72" s="5" t="s">
        <v>221</v>
      </c>
      <c r="C72" s="117" t="s">
        <v>407</v>
      </c>
      <c r="D72" s="220" t="s">
        <v>408</v>
      </c>
      <c r="E72" s="5" t="s">
        <v>26</v>
      </c>
      <c r="F72" s="29" t="s">
        <v>223</v>
      </c>
      <c r="G72" s="8" t="s">
        <v>130</v>
      </c>
      <c r="H72" s="30" t="s">
        <v>409</v>
      </c>
      <c r="I72" s="43">
        <f>IF(SUM(Q72:AX72)=0,"-",SUM(Q72:AX72))</f>
        <v>2</v>
      </c>
      <c r="J72" s="62">
        <f>IF(SUMPRODUCT($Q$3:$AX$3,Q72:AX72)=0,"-",SUMPRODUCT($Q$3:$AX$3,Q72:AX72))</f>
        <v>155</v>
      </c>
      <c r="L72" s="217">
        <v>4200657852</v>
      </c>
      <c r="M72" s="218" t="s">
        <v>309</v>
      </c>
      <c r="N72" s="81" t="s">
        <v>249</v>
      </c>
      <c r="O72" s="81" t="s">
        <v>410</v>
      </c>
      <c r="P72" s="182" t="s">
        <v>311</v>
      </c>
      <c r="Q72" s="7">
        <v>1</v>
      </c>
      <c r="R72" s="8">
        <v>1</v>
      </c>
    </row>
    <row r="73" spans="1:51">
      <c r="A73" s="5" t="s">
        <v>244</v>
      </c>
      <c r="B73" s="5" t="s">
        <v>221</v>
      </c>
      <c r="C73" s="117" t="s">
        <v>407</v>
      </c>
      <c r="D73" s="112" t="s">
        <v>411</v>
      </c>
      <c r="E73" s="5" t="s">
        <v>26</v>
      </c>
      <c r="F73" s="29" t="s">
        <v>223</v>
      </c>
      <c r="G73" s="8" t="s">
        <v>130</v>
      </c>
      <c r="H73" s="30" t="s">
        <v>412</v>
      </c>
      <c r="I73" s="43">
        <f>IF(SUM(Q73:AX73)=0,"-",SUM(Q73:AX73))</f>
        <v>2</v>
      </c>
      <c r="J73" s="62">
        <f>IF(SUMPRODUCT($Q$3:$AX$3,Q73:AX73)=0,"-",SUMPRODUCT($Q$3:$AX$3,Q73:AX73))</f>
        <v>70</v>
      </c>
      <c r="L73" s="217">
        <v>4200657852</v>
      </c>
      <c r="M73" s="218" t="s">
        <v>309</v>
      </c>
      <c r="N73" s="81" t="s">
        <v>249</v>
      </c>
      <c r="O73" s="81" t="s">
        <v>410</v>
      </c>
      <c r="P73" s="182" t="s">
        <v>311</v>
      </c>
      <c r="R73" s="8">
        <v>2</v>
      </c>
    </row>
    <row r="74" spans="1:51">
      <c r="A74" s="5" t="s">
        <v>244</v>
      </c>
      <c r="B74" s="5" t="s">
        <v>221</v>
      </c>
      <c r="C74" s="117">
        <v>45294</v>
      </c>
      <c r="D74" s="106" t="s">
        <v>413</v>
      </c>
      <c r="E74" s="5" t="s">
        <v>26</v>
      </c>
      <c r="F74" s="29" t="s">
        <v>223</v>
      </c>
      <c r="G74" s="8" t="s">
        <v>130</v>
      </c>
      <c r="H74" s="78" t="s">
        <v>414</v>
      </c>
      <c r="I74" s="43">
        <f>IF(SUM(Q74:AX74)=0,"-",SUM(Q74:AX74))</f>
        <v>7</v>
      </c>
      <c r="J74" s="62">
        <f>IF(SUMPRODUCT($Q$3:$AX$3,Q74:AX74)=0,"-",SUMPRODUCT($Q$3:$AX$3,Q74:AX74))</f>
        <v>245</v>
      </c>
      <c r="L74" s="81">
        <v>4200657852</v>
      </c>
      <c r="M74" s="211" t="s">
        <v>309</v>
      </c>
      <c r="N74" s="81" t="s">
        <v>249</v>
      </c>
      <c r="O74" s="81" t="s">
        <v>415</v>
      </c>
      <c r="P74" s="122" t="s">
        <v>365</v>
      </c>
      <c r="R74" s="8">
        <v>7</v>
      </c>
    </row>
    <row r="75" spans="1:51">
      <c r="A75" s="5" t="s">
        <v>244</v>
      </c>
      <c r="B75" s="5" t="s">
        <v>221</v>
      </c>
      <c r="C75" s="117">
        <v>45299</v>
      </c>
      <c r="D75" s="55" t="s">
        <v>416</v>
      </c>
      <c r="E75" s="5" t="s">
        <v>26</v>
      </c>
      <c r="F75" s="29" t="s">
        <v>223</v>
      </c>
      <c r="G75" s="8" t="s">
        <v>130</v>
      </c>
      <c r="I75" s="43">
        <f>IF(SUM(Q75:AX75)=0,"-",SUM(Q75:AX75))</f>
        <v>4</v>
      </c>
      <c r="J75" s="62">
        <f>IF(SUMPRODUCT($Q$3:$AX$3,Q75:AX75)=0,"-",SUMPRODUCT($Q$3:$AX$3,Q75:AX75))</f>
        <v>140</v>
      </c>
      <c r="L75" s="81">
        <v>4200657852</v>
      </c>
      <c r="M75" s="211" t="s">
        <v>309</v>
      </c>
      <c r="N75" s="81" t="s">
        <v>249</v>
      </c>
      <c r="O75" s="81" t="s">
        <v>415</v>
      </c>
      <c r="P75" s="122" t="s">
        <v>365</v>
      </c>
      <c r="R75" s="8">
        <v>4</v>
      </c>
    </row>
    <row r="76" spans="1:51">
      <c r="A76" s="5" t="s">
        <v>244</v>
      </c>
      <c r="B76" s="5" t="s">
        <v>221</v>
      </c>
      <c r="C76" s="117">
        <v>45301</v>
      </c>
      <c r="D76" s="55" t="s">
        <v>417</v>
      </c>
      <c r="E76" s="5" t="s">
        <v>26</v>
      </c>
      <c r="F76" s="29" t="s">
        <v>223</v>
      </c>
      <c r="G76" s="8" t="s">
        <v>130</v>
      </c>
      <c r="H76" s="78" t="s">
        <v>418</v>
      </c>
      <c r="I76" s="43">
        <f>IF(SUM(Q76:AX76)=0,"-",SUM(Q76:AX76))</f>
        <v>2</v>
      </c>
      <c r="J76" s="62">
        <f>IF(SUMPRODUCT($Q$3:$AX$3,Q76:AX76)=0,"-",SUMPRODUCT($Q$3:$AX$3,Q76:AX76))</f>
        <v>155</v>
      </c>
      <c r="L76" s="81">
        <v>4200657852</v>
      </c>
      <c r="M76" s="211" t="s">
        <v>309</v>
      </c>
      <c r="N76" s="81" t="s">
        <v>249</v>
      </c>
      <c r="O76" s="81" t="s">
        <v>415</v>
      </c>
      <c r="P76" s="122" t="s">
        <v>365</v>
      </c>
      <c r="Q76" s="7">
        <v>1</v>
      </c>
      <c r="R76" s="8">
        <v>1</v>
      </c>
    </row>
    <row r="77" spans="1:51">
      <c r="A77" s="5" t="s">
        <v>244</v>
      </c>
      <c r="B77" s="5" t="s">
        <v>221</v>
      </c>
      <c r="C77" s="117">
        <v>45119</v>
      </c>
      <c r="D77" s="55" t="s">
        <v>419</v>
      </c>
      <c r="E77" s="5" t="s">
        <v>35</v>
      </c>
      <c r="F77" s="29" t="s">
        <v>223</v>
      </c>
      <c r="G77" s="8" t="s">
        <v>420</v>
      </c>
      <c r="H77" s="78" t="s">
        <v>421</v>
      </c>
      <c r="I77" s="43">
        <f>IF(SUM(Q77:AX77)=0,"-",SUM(Q77:AX77))</f>
        <v>2</v>
      </c>
      <c r="J77" s="62">
        <f>IF(SUMPRODUCT($Q$3:$AX$3,Q77:AX77)=0,"-",SUMPRODUCT($Q$3:$AX$3,Q77:AX77))</f>
        <v>240</v>
      </c>
      <c r="M77" s="8"/>
      <c r="Y77" s="8">
        <v>1</v>
      </c>
      <c r="AB77" s="8">
        <v>1</v>
      </c>
    </row>
    <row r="78" spans="1:51">
      <c r="A78" s="5" t="s">
        <v>244</v>
      </c>
      <c r="B78" s="5" t="s">
        <v>221</v>
      </c>
      <c r="C78" s="117">
        <v>45306</v>
      </c>
      <c r="D78" s="55" t="s">
        <v>422</v>
      </c>
      <c r="E78" s="5" t="s">
        <v>31</v>
      </c>
      <c r="F78" s="29" t="s">
        <v>223</v>
      </c>
      <c r="G78" s="8" t="s">
        <v>129</v>
      </c>
      <c r="H78" s="78" t="s">
        <v>423</v>
      </c>
      <c r="I78" s="151">
        <f>IF(SUM(Q78:AX78)=0,"-",SUM(Q78:AX78))</f>
        <v>14</v>
      </c>
      <c r="J78" s="62">
        <f>IF(SUMPRODUCT('Sony France - CM'!$Q$3:$AX$3,Q78:AX78)=0,"-",SUMPRODUCT('Sony France - CM'!$Q$3:$AX$3,Q78:AX78))</f>
        <v>915</v>
      </c>
      <c r="K78" s="101"/>
      <c r="M78" s="8"/>
      <c r="P78" s="135"/>
      <c r="Q78" s="7">
        <v>5</v>
      </c>
      <c r="R78" s="8">
        <v>9</v>
      </c>
      <c r="AT78" s="7"/>
      <c r="AU78" s="8"/>
      <c r="AV78" s="7"/>
      <c r="AW78" s="8"/>
      <c r="AX78" s="9"/>
      <c r="AY78" s="5"/>
    </row>
    <row r="79" spans="1:51">
      <c r="A79" s="5" t="s">
        <v>244</v>
      </c>
      <c r="B79" s="5" t="s">
        <v>221</v>
      </c>
      <c r="C79" s="117">
        <v>45306</v>
      </c>
      <c r="D79" s="55" t="s">
        <v>424</v>
      </c>
      <c r="E79" s="5" t="s">
        <v>35</v>
      </c>
      <c r="F79" s="29" t="s">
        <v>223</v>
      </c>
      <c r="G79" s="8" t="s">
        <v>420</v>
      </c>
      <c r="H79" s="78" t="s">
        <v>425</v>
      </c>
      <c r="I79" s="43">
        <f>IF(SUM(Q79:AX79)=0,"-",SUM(Q79:AX79))</f>
        <v>1</v>
      </c>
      <c r="J79" s="52">
        <f>IF(SUMPRODUCT($Q$3:$AX$3,Q79:AX79)=0,"-",SUMPRODUCT($Q$3:$AX$3,Q79:AX79))</f>
        <v>40</v>
      </c>
      <c r="M79" s="8"/>
      <c r="Y79" s="8">
        <v>1</v>
      </c>
    </row>
    <row r="80" spans="1:51">
      <c r="A80" s="5" t="s">
        <v>244</v>
      </c>
      <c r="B80" s="5" t="s">
        <v>221</v>
      </c>
      <c r="C80" s="117">
        <v>45309</v>
      </c>
      <c r="D80" s="55" t="s">
        <v>426</v>
      </c>
      <c r="E80" s="5" t="s">
        <v>26</v>
      </c>
      <c r="F80" s="29" t="s">
        <v>223</v>
      </c>
      <c r="G80" s="8" t="s">
        <v>95</v>
      </c>
      <c r="I80" s="43">
        <f>IF(SUM(Q80:AX80)=0,"-",SUM(Q80:AX80))</f>
        <v>8</v>
      </c>
      <c r="J80" s="52">
        <f>IF(SUMPRODUCT($Q$3:$AX$3,Q80:AX80)=0,"-",SUMPRODUCT($Q$3:$AX$3,Q80:AX80))</f>
        <v>280</v>
      </c>
      <c r="M80" s="8"/>
      <c r="R80" s="8">
        <v>8</v>
      </c>
    </row>
    <row r="81" spans="1:49">
      <c r="A81" s="5" t="s">
        <v>244</v>
      </c>
      <c r="B81" s="5" t="s">
        <v>221</v>
      </c>
      <c r="C81" s="117">
        <v>45313</v>
      </c>
      <c r="D81" s="106" t="s">
        <v>402</v>
      </c>
      <c r="E81" s="5" t="s">
        <v>31</v>
      </c>
      <c r="F81" s="29" t="s">
        <v>223</v>
      </c>
      <c r="G81" s="8" t="s">
        <v>95</v>
      </c>
      <c r="H81" s="78" t="s">
        <v>423</v>
      </c>
      <c r="I81" s="43">
        <f>IF(SUM(Q81:AX81)=0,"-",SUM(Q81:AX81))</f>
        <v>2</v>
      </c>
      <c r="J81" s="52">
        <f>IF(SUMPRODUCT($Q$3:$AX$3,Q81:AX81)=0,"-",SUMPRODUCT($Q$3:$AX$3,Q81:AX81))</f>
        <v>155</v>
      </c>
      <c r="M81" s="8"/>
      <c r="Q81" s="7">
        <v>1</v>
      </c>
      <c r="R81" s="8">
        <v>1</v>
      </c>
    </row>
    <row r="82" spans="1:49">
      <c r="A82" s="5" t="s">
        <v>244</v>
      </c>
      <c r="B82" s="5" t="s">
        <v>221</v>
      </c>
      <c r="C82" s="117">
        <v>45537</v>
      </c>
      <c r="D82" s="112" t="s">
        <v>427</v>
      </c>
      <c r="E82" s="5" t="s">
        <v>31</v>
      </c>
      <c r="F82" s="29" t="s">
        <v>223</v>
      </c>
      <c r="G82" s="8" t="s">
        <v>95</v>
      </c>
      <c r="H82" s="78" t="s">
        <v>428</v>
      </c>
      <c r="I82" s="43">
        <f>IF(SUM(Q82:AX82)=0,"-",SUM(Q82:AX82))</f>
        <v>1</v>
      </c>
      <c r="J82" s="52">
        <f>IF(SUMPRODUCT($Q$3:$AX$3,Q82:AX82)=0,"-",SUMPRODUCT($Q$3:$AX$3,Q82:AX82))</f>
        <v>80</v>
      </c>
      <c r="M82" s="8"/>
      <c r="AN82" s="7">
        <v>1</v>
      </c>
    </row>
    <row r="83" spans="1:49">
      <c r="A83" s="5" t="s">
        <v>244</v>
      </c>
      <c r="B83" s="5" t="s">
        <v>221</v>
      </c>
      <c r="C83" s="117" t="s">
        <v>429</v>
      </c>
      <c r="D83" s="55" t="s">
        <v>430</v>
      </c>
      <c r="E83" s="5" t="s">
        <v>26</v>
      </c>
      <c r="F83" s="29" t="s">
        <v>223</v>
      </c>
      <c r="G83" s="8" t="s">
        <v>95</v>
      </c>
      <c r="H83" s="30" t="s">
        <v>431</v>
      </c>
      <c r="I83" s="43">
        <f>IF(SUM(Q83:AX83)=0,"-",SUM(Q83:AX83))</f>
        <v>2</v>
      </c>
      <c r="J83" s="52">
        <f>IF(SUMPRODUCT($Q$3:$AX$3,Q83:AX83)=0,"-",SUMPRODUCT($Q$3:$AX$3,Q83:AX83))</f>
        <v>155</v>
      </c>
      <c r="M83" s="8"/>
      <c r="Q83" s="7">
        <v>1</v>
      </c>
      <c r="R83" s="8">
        <v>1</v>
      </c>
    </row>
    <row r="84" spans="1:49">
      <c r="A84" s="5" t="s">
        <v>244</v>
      </c>
      <c r="B84" s="5" t="s">
        <v>221</v>
      </c>
      <c r="C84" s="117">
        <v>45334</v>
      </c>
      <c r="D84" s="55" t="s">
        <v>432</v>
      </c>
      <c r="E84" s="5" t="s">
        <v>26</v>
      </c>
      <c r="F84" s="8" t="s">
        <v>433</v>
      </c>
      <c r="G84" s="8" t="s">
        <v>130</v>
      </c>
      <c r="H84" s="78" t="s">
        <v>434</v>
      </c>
      <c r="I84" s="151">
        <f>IF(SUM(P84:AW84)=0,"-",SUM(P84:AW84))</f>
        <v>1</v>
      </c>
      <c r="J84" s="52">
        <f>IF(SUMPRODUCT('Sony France - CM'!$Q$3:$AX$3,P84:AW84)=0,"-",SUMPRODUCT('Sony France - CM'!$Q$3:$AX$3,P84:AW84))</f>
        <v>120</v>
      </c>
      <c r="K84" s="97"/>
      <c r="M84" s="8"/>
      <c r="O84" s="135"/>
      <c r="P84" s="7">
        <v>1</v>
      </c>
      <c r="Q84" s="8"/>
      <c r="W84" s="7"/>
      <c r="X84" s="8"/>
      <c r="AF84" s="7"/>
      <c r="AH84" s="8"/>
      <c r="AM84" s="7"/>
      <c r="AN84" s="8"/>
      <c r="AS84" s="7"/>
      <c r="AW84" s="9"/>
    </row>
    <row r="85" spans="1:49">
      <c r="I85" s="43" t="str">
        <f>IF(SUM(Q85:AX85)=0,"-",SUM(Q85:AX85))</f>
        <v>-</v>
      </c>
      <c r="J85" s="52" t="str">
        <f>IF(SUMPRODUCT($Q$3:$AX$3,Q85:AX85)=0,"-",SUMPRODUCT($Q$3:$AX$3,Q85:AX85))</f>
        <v>-</v>
      </c>
    </row>
    <row r="86" spans="1:49">
      <c r="I86" s="43" t="str">
        <f>IF(SUM(Q86:AX86)=0,"-",SUM(Q86:AX86))</f>
        <v>-</v>
      </c>
      <c r="J86" s="52" t="str">
        <f>IF(SUMPRODUCT($Q$3:$AX$3,Q86:AX86)=0,"-",SUMPRODUCT($Q$3:$AX$3,Q86:AX86))</f>
        <v>-</v>
      </c>
    </row>
    <row r="87" spans="1:49">
      <c r="I87" s="43" t="str">
        <f>IF(SUM(Q87:AX87)=0,"-",SUM(Q87:AX87))</f>
        <v>-</v>
      </c>
      <c r="J87" s="52" t="str">
        <f>IF(SUMPRODUCT($Q$3:$AX$3,Q87:AX87)=0,"-",SUMPRODUCT($Q$3:$AX$3,Q87:AX87))</f>
        <v>-</v>
      </c>
    </row>
    <row r="88" spans="1:49">
      <c r="I88" s="43" t="str">
        <f>IF(SUM(Q88:AX88)=0,"-",SUM(Q88:AX88))</f>
        <v>-</v>
      </c>
      <c r="J88" s="52" t="str">
        <f>IF(SUMPRODUCT($Q$3:$AX$3,Q88:AX88)=0,"-",SUMPRODUCT($Q$3:$AX$3,Q88:AX88))</f>
        <v>-</v>
      </c>
    </row>
    <row r="89" spans="1:49">
      <c r="I89" s="43" t="str">
        <f>IF(SUM(Q89:AX89)=0,"-",SUM(Q89:AX89))</f>
        <v>-</v>
      </c>
      <c r="J89" s="52" t="str">
        <f>IF(SUMPRODUCT($Q$3:$AX$3,Q89:AX89)=0,"-",SUMPRODUCT($Q$3:$AX$3,Q89:AX89))</f>
        <v>-</v>
      </c>
    </row>
    <row r="90" spans="1:49">
      <c r="I90" s="43" t="str">
        <f>IF(SUM(Q90:AX90)=0,"-",SUM(Q90:AX90))</f>
        <v>-</v>
      </c>
      <c r="J90" s="52" t="str">
        <f>IF(SUMPRODUCT($Q$3:$AX$3,Q90:AX90)=0,"-",SUMPRODUCT($Q$3:$AX$3,Q90:AX90))</f>
        <v>-</v>
      </c>
    </row>
    <row r="91" spans="1:49">
      <c r="I91" s="43" t="str">
        <f>IF(SUM(Q91:AX91)=0,"-",SUM(Q91:AX91))</f>
        <v>-</v>
      </c>
      <c r="J91" s="52" t="str">
        <f>IF(SUMPRODUCT($Q$3:$AX$3,Q91:AX91)=0,"-",SUMPRODUCT($Q$3:$AX$3,Q91:AX91))</f>
        <v>-</v>
      </c>
    </row>
    <row r="92" spans="1:49">
      <c r="I92" s="43" t="str">
        <f>IF(SUM(Q92:AX92)=0,"-",SUM(Q92:AX92))</f>
        <v>-</v>
      </c>
      <c r="J92" s="52" t="str">
        <f>IF(SUMPRODUCT($Q$3:$AX$3,Q92:AX92)=0,"-",SUMPRODUCT($Q$3:$AX$3,Q92:AX92))</f>
        <v>-</v>
      </c>
    </row>
    <row r="93" spans="1:49">
      <c r="I93" s="43" t="str">
        <f>IF(SUM(Q93:AX93)=0,"-",SUM(Q93:AX93))</f>
        <v>-</v>
      </c>
      <c r="J93" s="52" t="str">
        <f>IF(SUMPRODUCT($Q$3:$AX$3,Q93:AX93)=0,"-",SUMPRODUCT($Q$3:$AX$3,Q93:AX93))</f>
        <v>-</v>
      </c>
    </row>
    <row r="94" spans="1:49">
      <c r="I94" s="43" t="str">
        <f>IF(SUM(Q94:AX94)=0,"-",SUM(Q94:AX94))</f>
        <v>-</v>
      </c>
      <c r="J94" s="52" t="str">
        <f>IF(SUMPRODUCT($Q$3:$AX$3,Q94:AX94)=0,"-",SUMPRODUCT($Q$3:$AX$3,Q94:AX94))</f>
        <v>-</v>
      </c>
    </row>
    <row r="95" spans="1:49">
      <c r="I95" s="43" t="str">
        <f>IF(SUM(Q95:AX95)=0,"-",SUM(Q95:AX95))</f>
        <v>-</v>
      </c>
      <c r="J95" s="52" t="str">
        <f>IF(SUMPRODUCT($Q$3:$AX$3,Q95:AX95)=0,"-",SUMPRODUCT($Q$3:$AX$3,Q95:AX95))</f>
        <v>-</v>
      </c>
    </row>
  </sheetData>
  <autoFilter ref="A3:AX95" xr:uid="{EF6D707C-BDD5-416B-AAF3-2924671B11B3}">
    <sortState xmlns:xlrd2="http://schemas.microsoft.com/office/spreadsheetml/2017/richdata2" ref="A4:AX95">
      <sortCondition ref="L3:L95"/>
    </sortState>
  </autoFilter>
  <mergeCells count="7">
    <mergeCell ref="AU1:AV1"/>
    <mergeCell ref="AW1:AX1"/>
    <mergeCell ref="A2:D2"/>
    <mergeCell ref="Q1:W1"/>
    <mergeCell ref="X1:AF1"/>
    <mergeCell ref="AH1:AM1"/>
    <mergeCell ref="AN1:AT1"/>
  </mergeCells>
  <hyperlinks>
    <hyperlink ref="H7" r:id="rId1" xr:uid="{CC8CCB08-3F76-4A17-B829-45E9CFE12C57}"/>
    <hyperlink ref="H8" r:id="rId2" xr:uid="{7D8F3486-2A38-49E1-A53A-517985B70DC3}"/>
    <hyperlink ref="H21" r:id="rId3" xr:uid="{64B1815A-1E64-40E3-8350-2056F5296980}"/>
    <hyperlink ref="H10" r:id="rId4" xr:uid="{9EC2451B-6CCB-42D0-ABA6-B72F76F23ED7}"/>
    <hyperlink ref="H11" r:id="rId5" xr:uid="{3FF634D4-FCDF-4A74-A80D-84E2445C8BD3}"/>
    <hyperlink ref="H12" r:id="rId6" xr:uid="{45E41432-F772-43A3-9303-87426F90CE43}"/>
    <hyperlink ref="H13" r:id="rId7" xr:uid="{F13FFAB4-D722-4C52-A544-586C81267652}"/>
    <hyperlink ref="H22" r:id="rId8" xr:uid="{C0634749-A55C-4260-86A5-AE76D15A99BC}"/>
    <hyperlink ref="H4" r:id="rId9" xr:uid="{FA63CCC6-1522-4BBD-B7BC-F8C37B8C0AAC}"/>
    <hyperlink ref="H16" r:id="rId10" xr:uid="{3D0AC2B4-00F3-4882-8264-4CE25FD103EA}"/>
    <hyperlink ref="H6" r:id="rId11" xr:uid="{CFCB50B1-5198-41CC-AC34-9E624570B301}"/>
    <hyperlink ref="H23" r:id="rId12" xr:uid="{8DE78F42-2039-4E57-8835-7D32751E4B52}"/>
    <hyperlink ref="H60" r:id="rId13" xr:uid="{063A09C1-F493-472B-8C26-EDD7642D009D}"/>
    <hyperlink ref="H20" r:id="rId14" xr:uid="{07F5FF3C-23AA-4837-A8D5-511BA0F943A5}"/>
    <hyperlink ref="H61" r:id="rId15" xr:uid="{BA52CC09-10E9-473E-9B07-FDBD8F7639EA}"/>
    <hyperlink ref="H14" r:id="rId16" xr:uid="{2452C51A-B50C-4B10-BC0E-87CD94CE1852}"/>
    <hyperlink ref="H15" r:id="rId17" xr:uid="{28D4E619-BAA9-4A5E-98F0-72304729C9AF}"/>
    <hyperlink ref="H63" r:id="rId18" xr:uid="{367842F9-A80A-41D0-83B5-95FCD1049B6E}"/>
    <hyperlink ref="H5" r:id="rId19" xr:uid="{8A81A1D3-5934-469C-9090-EED20786A3E8}"/>
    <hyperlink ref="H19" r:id="rId20" xr:uid="{8B7C61A8-B055-451C-9A1C-CE9AA74B2AC2}"/>
    <hyperlink ref="H9" r:id="rId21" xr:uid="{4ADD957C-73BB-4F94-8A26-65295FB40E7D}"/>
    <hyperlink ref="H24" r:id="rId22" xr:uid="{92700A56-FAD9-4E51-8F14-6E62A3FE636C}"/>
    <hyperlink ref="H35" r:id="rId23" xr:uid="{536BF831-91BB-4EA6-83D9-F6804CF3D40F}"/>
    <hyperlink ref="H36" r:id="rId24" xr:uid="{37DA2634-0650-4B07-98E5-0BF54A02E4CF}"/>
    <hyperlink ref="H25" r:id="rId25" xr:uid="{019EDFC4-1D24-4FEF-A410-0DBCF4F8DCF0}"/>
    <hyperlink ref="H17" r:id="rId26" xr:uid="{CADE8505-150A-4868-8BA3-428A8F07569F}"/>
    <hyperlink ref="H37" r:id="rId27" xr:uid="{3F3F14CC-9DCA-4B57-AA6A-252F1773432E}"/>
    <hyperlink ref="H26" r:id="rId28" xr:uid="{6135C6B3-51F1-475A-BC0A-061C8A53A570}"/>
    <hyperlink ref="H42" r:id="rId29" xr:uid="{84B5B47D-4A6D-4708-8418-0C9C13F583A9}"/>
    <hyperlink ref="H38" r:id="rId30" xr:uid="{CE7E0A2A-964B-4D1E-B3FF-026B8AF8A71D}"/>
    <hyperlink ref="H39" r:id="rId31" xr:uid="{BA61632A-90B0-4FBE-A27E-C24AA70BB38B}"/>
    <hyperlink ref="H18" r:id="rId32" xr:uid="{E9BEDB6A-E5B8-462A-B063-BFFBB5EEC272}"/>
    <hyperlink ref="H27" r:id="rId33" xr:uid="{EC885451-66CA-4B2A-9F1C-AE71B87E2BAE}"/>
    <hyperlink ref="H43" r:id="rId34" xr:uid="{CC4E6823-4183-4149-9C73-F76C070B0ADB}"/>
    <hyperlink ref="H40" r:id="rId35" xr:uid="{C782EADE-3C06-413A-B9CB-0F4FFA85D04C}"/>
    <hyperlink ref="H41" r:id="rId36" xr:uid="{9F04161A-CC85-4478-B1FC-E2245B1DCC8B}"/>
    <hyperlink ref="H44" r:id="rId37" xr:uid="{A50C8206-F9DA-4635-96B6-2B2CBEBA8731}"/>
    <hyperlink ref="H28" r:id="rId38" xr:uid="{6AB46128-9EE9-4660-B6DD-C6ED123AEB1A}"/>
    <hyperlink ref="H29" r:id="rId39" xr:uid="{7AE7F694-D7EF-4705-A8B4-91BE31865CDE}"/>
    <hyperlink ref="H30" r:id="rId40" xr:uid="{29B89E99-0B70-4F0C-A1FF-BFE80AB636B3}"/>
    <hyperlink ref="H31" r:id="rId41" xr:uid="{56DCDF27-03A1-47FD-AEDF-E966F25BE9F5}"/>
    <hyperlink ref="H64" r:id="rId42" xr:uid="{8E0C92BF-AEEC-4D68-9502-3694F26752F6}"/>
    <hyperlink ref="H32" r:id="rId43" xr:uid="{EF1562B4-A3B2-45B2-8D59-9C2063914242}"/>
    <hyperlink ref="H45" r:id="rId44" xr:uid="{821CCA39-ED34-40CB-812F-498E2549DFA1}"/>
    <hyperlink ref="H62" r:id="rId45" xr:uid="{7C49CFB7-73B6-4478-9C0C-4CE91AD5B5D4}"/>
    <hyperlink ref="H46" r:id="rId46" xr:uid="{BD377560-F3BD-4AF5-A56A-7461AF1E7394}"/>
    <hyperlink ref="H47" r:id="rId47" xr:uid="{27A50524-A829-4263-A014-6F77DE9C2D3A}"/>
    <hyperlink ref="H66" r:id="rId48" xr:uid="{4B475F8B-4CD9-4651-ACCF-E5DC44E210F0}"/>
    <hyperlink ref="H33" r:id="rId49" xr:uid="{B66A57A2-47EA-45EE-ABB6-BC14D5CADA12}"/>
    <hyperlink ref="H48" r:id="rId50" xr:uid="{33651306-E06F-46A9-B9E0-11DFAE5F8E6A}"/>
    <hyperlink ref="H59" r:id="rId51" xr:uid="{68F07D17-D028-443F-97FE-B623220C5429}"/>
    <hyperlink ref="H49" r:id="rId52" xr:uid="{156B67B6-61E7-45D1-9E00-B239931E2D04}"/>
    <hyperlink ref="H50" r:id="rId53" xr:uid="{8CD6676E-B2D1-4EB0-ADB1-D2E609A0DCED}"/>
    <hyperlink ref="H67" r:id="rId54" xr:uid="{747209F8-A89B-4FFB-90B7-50D5345F4A59}"/>
    <hyperlink ref="H52" r:id="rId55" xr:uid="{1D6AD78C-F73E-4916-87B7-199D740B28E2}"/>
    <hyperlink ref="H68" r:id="rId56" xr:uid="{0BDCCC80-263F-4747-B8C4-97DF869A50D9}"/>
    <hyperlink ref="H65" r:id="rId57" xr:uid="{B7223152-9D03-4FD6-A5CD-9F2E9F6447A2}"/>
    <hyperlink ref="H51" r:id="rId58" xr:uid="{C787F4EA-0465-4458-AFD9-D1C37C94FFD4}"/>
    <hyperlink ref="H34" r:id="rId59" xr:uid="{48393CBB-DA40-4256-8E64-4E5106B2CB59}"/>
    <hyperlink ref="H55" r:id="rId60" xr:uid="{2294EF35-669D-46C6-B5D2-74593D40C9A7}"/>
    <hyperlink ref="H53" r:id="rId61" xr:uid="{B9F9350C-433D-4B4B-B895-21234F086BFD}"/>
    <hyperlink ref="H57" r:id="rId62" xr:uid="{237046A0-43D2-4E1D-AA65-E8508286C4D1}"/>
    <hyperlink ref="H54" r:id="rId63" xr:uid="{6333582F-CBF9-4C12-96B0-CE446920C989}"/>
    <hyperlink ref="H72" r:id="rId64" xr:uid="{2ADCA31E-02A4-4757-A262-9359A86E62AF}"/>
    <hyperlink ref="H73" r:id="rId65" xr:uid="{D8B8CA75-7A1C-4FFA-BC40-E09614668EDC}"/>
    <hyperlink ref="H69" r:id="rId66" xr:uid="{CBB02154-4577-4AAC-8C3E-02DB6EB0BCF2}"/>
    <hyperlink ref="H77" r:id="rId67" xr:uid="{98F03522-3F56-464D-8100-16969682656F}"/>
    <hyperlink ref="H70" r:id="rId68" xr:uid="{D2D6F48E-F81E-4AAE-BB77-AF5A2D1469FA}"/>
    <hyperlink ref="H58" r:id="rId69" xr:uid="{B3E5D3F8-850C-4510-8FB9-5F082CCCDA21}"/>
    <hyperlink ref="H56" r:id="rId70" xr:uid="{FF6FCD1B-F4F5-4B40-A634-3056668BFA3B}"/>
    <hyperlink ref="H74" r:id="rId71" xr:uid="{CB5D0F46-3371-4D9F-8D8D-C3A8D4A72B91}"/>
    <hyperlink ref="H76" r:id="rId72" xr:uid="{96C38032-9476-4E61-B464-BBFB4B7162F5}"/>
    <hyperlink ref="H71" r:id="rId73" xr:uid="{3FD90995-D4C1-4808-9592-B03F91F0DDCB}"/>
    <hyperlink ref="H78" r:id="rId74" xr:uid="{0B4DC1F6-EEC9-4A33-8C1A-0ACAD9A3561B}"/>
    <hyperlink ref="H79" r:id="rId75" xr:uid="{D4574DD7-AE80-4901-8A18-7AF7DC46077F}"/>
    <hyperlink ref="H81" r:id="rId76" xr:uid="{57EAE2B1-5500-42A1-A6A8-BD9304EA8130}"/>
    <hyperlink ref="H83" r:id="rId77" xr:uid="{D99AE2D1-DBF8-46BA-AC23-2357EFDADC4A}"/>
    <hyperlink ref="H82" r:id="rId78" xr:uid="{EC2130C7-F28A-45F7-ACB9-34C58B0501CA}"/>
    <hyperlink ref="H84" r:id="rId79" xr:uid="{0B3B2093-AAAE-45D9-A2A7-CD1A2D60E53C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9F542-F92F-4191-8F10-BEF8BF546805}">
  <dimension ref="A1:BC260"/>
  <sheetViews>
    <sheetView workbookViewId="0">
      <pane xSplit="4" ySplit="3" topLeftCell="E207" activePane="bottomRight" state="frozen"/>
      <selection pane="bottomRight" activeCell="X241" sqref="X241"/>
      <selection pane="bottomLeft" activeCell="A4" sqref="A4"/>
      <selection pane="topRight" activeCell="E1" sqref="E1"/>
    </sheetView>
  </sheetViews>
  <sheetFormatPr defaultColWidth="11.5703125" defaultRowHeight="15" outlineLevelRow="1"/>
  <cols>
    <col min="1" max="1" width="9" style="5" customWidth="1"/>
    <col min="2" max="2" width="8" style="5" customWidth="1"/>
    <col min="3" max="3" width="11.5703125" style="117"/>
    <col min="4" max="4" width="40.5703125" style="6" customWidth="1"/>
    <col min="5" max="5" width="16.42578125" style="5" customWidth="1"/>
    <col min="6" max="6" width="10.42578125" style="8" customWidth="1"/>
    <col min="7" max="7" width="13.85546875" style="8" customWidth="1"/>
    <col min="8" max="8" width="24.5703125" style="5" customWidth="1"/>
    <col min="9" max="9" width="11.5703125" style="105" customWidth="1"/>
    <col min="10" max="10" width="9.85546875" style="34" customWidth="1"/>
    <col min="11" max="11" width="11.85546875" style="97" customWidth="1"/>
    <col min="12" max="12" width="27.5703125" style="8" bestFit="1" customWidth="1"/>
    <col min="13" max="13" width="11.28515625" style="8" customWidth="1"/>
    <col min="14" max="14" width="14.28515625" style="8" customWidth="1"/>
    <col min="15" max="15" width="11.28515625" style="135" customWidth="1"/>
    <col min="16" max="16" width="15.5703125" style="7" customWidth="1"/>
    <col min="17" max="17" width="16.5703125" style="8" customWidth="1"/>
    <col min="18" max="18" width="15.5703125" style="8" customWidth="1"/>
    <col min="19" max="19" width="18.7109375" style="8" customWidth="1"/>
    <col min="20" max="22" width="15.5703125" style="8" customWidth="1"/>
    <col min="23" max="23" width="15.5703125" style="7" customWidth="1"/>
    <col min="24" max="31" width="15.5703125" style="8" customWidth="1"/>
    <col min="32" max="33" width="15.5703125" style="7" customWidth="1"/>
    <col min="34" max="38" width="15.5703125" style="8" customWidth="1"/>
    <col min="39" max="39" width="15.5703125" style="7" customWidth="1"/>
    <col min="40" max="44" width="15.5703125" style="8" customWidth="1"/>
    <col min="45" max="45" width="15.5703125" style="7" customWidth="1"/>
    <col min="46" max="46" width="15.5703125" style="8" customWidth="1"/>
    <col min="47" max="47" width="15.5703125" style="7" customWidth="1"/>
    <col min="48" max="48" width="15.5703125" style="8" customWidth="1"/>
    <col min="49" max="49" width="16.42578125" style="9" customWidth="1"/>
    <col min="50" max="50" width="16.42578125" style="5" customWidth="1"/>
    <col min="51" max="16384" width="11.5703125" style="5"/>
  </cols>
  <sheetData>
    <row r="1" spans="1:55" s="2" customFormat="1">
      <c r="A1" s="10" t="s">
        <v>165</v>
      </c>
      <c r="B1" s="10"/>
      <c r="C1" s="115"/>
      <c r="D1" s="11"/>
      <c r="E1" s="10"/>
      <c r="F1" s="1"/>
      <c r="G1" s="1"/>
      <c r="H1" s="10"/>
      <c r="I1" s="148"/>
      <c r="J1" s="31"/>
      <c r="K1" s="85"/>
      <c r="L1" s="1"/>
      <c r="M1" s="1"/>
      <c r="N1" s="1"/>
      <c r="O1" s="132"/>
      <c r="P1" s="526" t="s">
        <v>166</v>
      </c>
      <c r="Q1" s="526"/>
      <c r="R1" s="526"/>
      <c r="S1" s="526"/>
      <c r="T1" s="526"/>
      <c r="U1" s="526"/>
      <c r="V1" s="526"/>
      <c r="W1" s="526" t="s">
        <v>167</v>
      </c>
      <c r="X1" s="526"/>
      <c r="Y1" s="526"/>
      <c r="Z1" s="526"/>
      <c r="AA1" s="526"/>
      <c r="AB1" s="526"/>
      <c r="AC1" s="526"/>
      <c r="AD1" s="526"/>
      <c r="AE1" s="526"/>
      <c r="AF1" s="12" t="s">
        <v>168</v>
      </c>
      <c r="AG1" s="526" t="s">
        <v>169</v>
      </c>
      <c r="AH1" s="526"/>
      <c r="AI1" s="526"/>
      <c r="AJ1" s="526"/>
      <c r="AK1" s="526"/>
      <c r="AL1" s="526"/>
      <c r="AM1" s="526" t="s">
        <v>170</v>
      </c>
      <c r="AN1" s="526"/>
      <c r="AO1" s="526"/>
      <c r="AP1" s="526"/>
      <c r="AQ1" s="526"/>
      <c r="AR1" s="526"/>
      <c r="AS1" s="526" t="s">
        <v>171</v>
      </c>
      <c r="AT1" s="526"/>
      <c r="AU1" s="526" t="s">
        <v>172</v>
      </c>
      <c r="AV1" s="526"/>
      <c r="AW1" s="3"/>
    </row>
    <row r="2" spans="1:55" s="28" customFormat="1" ht="45.75">
      <c r="A2" s="527" t="s">
        <v>11</v>
      </c>
      <c r="B2" s="527"/>
      <c r="C2" s="527"/>
      <c r="D2" s="527"/>
      <c r="E2" s="25" t="s">
        <v>173</v>
      </c>
      <c r="F2" s="25"/>
      <c r="G2" s="25"/>
      <c r="H2" s="25"/>
      <c r="I2" s="149"/>
      <c r="J2" s="25"/>
      <c r="K2" s="86"/>
      <c r="L2" s="146" t="s">
        <v>220</v>
      </c>
      <c r="M2" s="528" t="s">
        <v>435</v>
      </c>
      <c r="N2" s="528"/>
      <c r="O2" s="529"/>
      <c r="P2" s="24" t="s">
        <v>174</v>
      </c>
      <c r="Q2" s="25" t="s">
        <v>175</v>
      </c>
      <c r="R2" s="25" t="s">
        <v>176</v>
      </c>
      <c r="S2" s="25" t="s">
        <v>177</v>
      </c>
      <c r="T2" s="25" t="s">
        <v>178</v>
      </c>
      <c r="U2" s="25" t="s">
        <v>179</v>
      </c>
      <c r="V2" s="25" t="s">
        <v>180</v>
      </c>
      <c r="W2" s="24" t="s">
        <v>181</v>
      </c>
      <c r="X2" s="25" t="s">
        <v>182</v>
      </c>
      <c r="Y2" s="25" t="s">
        <v>183</v>
      </c>
      <c r="Z2" s="25" t="s">
        <v>184</v>
      </c>
      <c r="AA2" s="41" t="s">
        <v>185</v>
      </c>
      <c r="AB2" s="41" t="s">
        <v>186</v>
      </c>
      <c r="AC2" s="25" t="s">
        <v>187</v>
      </c>
      <c r="AD2" s="25" t="s">
        <v>188</v>
      </c>
      <c r="AE2" s="25" t="s">
        <v>189</v>
      </c>
      <c r="AF2" s="24" t="s">
        <v>190</v>
      </c>
      <c r="AG2" s="40" t="s">
        <v>191</v>
      </c>
      <c r="AH2" s="41" t="s">
        <v>192</v>
      </c>
      <c r="AI2" s="25" t="s">
        <v>193</v>
      </c>
      <c r="AJ2" s="25" t="s">
        <v>194</v>
      </c>
      <c r="AK2" s="25" t="s">
        <v>195</v>
      </c>
      <c r="AL2" s="25" t="s">
        <v>196</v>
      </c>
      <c r="AM2" s="24" t="s">
        <v>197</v>
      </c>
      <c r="AN2" s="41" t="s">
        <v>199</v>
      </c>
      <c r="AO2" s="41" t="s">
        <v>200</v>
      </c>
      <c r="AP2" s="25" t="s">
        <v>201</v>
      </c>
      <c r="AQ2" s="25" t="s">
        <v>202</v>
      </c>
      <c r="AR2" s="25" t="s">
        <v>203</v>
      </c>
      <c r="AS2" s="24" t="s">
        <v>204</v>
      </c>
      <c r="AT2" s="25" t="s">
        <v>205</v>
      </c>
      <c r="AU2" s="24" t="s">
        <v>206</v>
      </c>
      <c r="AV2" s="25" t="s">
        <v>207</v>
      </c>
      <c r="AW2" s="26"/>
      <c r="AX2" s="27"/>
      <c r="AY2" s="27"/>
      <c r="AZ2" s="27"/>
      <c r="BA2" s="27"/>
      <c r="BB2" s="27"/>
      <c r="BC2" s="27"/>
    </row>
    <row r="3" spans="1:55" customFormat="1">
      <c r="A3" s="13" t="s">
        <v>208</v>
      </c>
      <c r="B3" s="13" t="s">
        <v>209</v>
      </c>
      <c r="C3" s="116" t="s">
        <v>210</v>
      </c>
      <c r="D3" s="14" t="s">
        <v>11</v>
      </c>
      <c r="E3" s="13" t="s">
        <v>10</v>
      </c>
      <c r="F3" s="13" t="s">
        <v>211</v>
      </c>
      <c r="G3" s="13" t="s">
        <v>24</v>
      </c>
      <c r="H3" s="13" t="s">
        <v>212</v>
      </c>
      <c r="I3" s="150" t="s">
        <v>213</v>
      </c>
      <c r="J3" s="32" t="s">
        <v>214</v>
      </c>
      <c r="K3" s="87" t="s">
        <v>215</v>
      </c>
      <c r="L3" s="13" t="s">
        <v>66</v>
      </c>
      <c r="M3" s="147" t="s">
        <v>217</v>
      </c>
      <c r="N3" s="147" t="s">
        <v>218</v>
      </c>
      <c r="O3" s="134" t="s">
        <v>211</v>
      </c>
      <c r="P3" s="15">
        <v>120</v>
      </c>
      <c r="Q3" s="16">
        <v>35</v>
      </c>
      <c r="R3" s="16">
        <v>220</v>
      </c>
      <c r="S3" s="16">
        <v>60</v>
      </c>
      <c r="T3" s="16">
        <v>250</v>
      </c>
      <c r="U3" s="16">
        <v>500</v>
      </c>
      <c r="V3" s="16">
        <v>100</v>
      </c>
      <c r="W3" s="15">
        <v>135</v>
      </c>
      <c r="X3" s="17">
        <v>40</v>
      </c>
      <c r="Y3" s="17">
        <v>180</v>
      </c>
      <c r="Z3" s="16">
        <v>250</v>
      </c>
      <c r="AA3" s="16">
        <v>200</v>
      </c>
      <c r="AB3" s="16">
        <v>250</v>
      </c>
      <c r="AC3" s="16">
        <v>180</v>
      </c>
      <c r="AD3" s="16">
        <v>400</v>
      </c>
      <c r="AE3" s="16">
        <v>2200</v>
      </c>
      <c r="AF3" s="15">
        <v>35</v>
      </c>
      <c r="AG3" s="15">
        <v>500</v>
      </c>
      <c r="AH3" s="15">
        <v>600</v>
      </c>
      <c r="AI3" s="15">
        <v>500</v>
      </c>
      <c r="AJ3" s="16">
        <v>1200</v>
      </c>
      <c r="AK3" s="16">
        <v>5000</v>
      </c>
      <c r="AL3" s="16">
        <v>7000</v>
      </c>
      <c r="AM3" s="15">
        <v>80</v>
      </c>
      <c r="AN3" s="17">
        <v>260</v>
      </c>
      <c r="AO3" s="17">
        <v>360</v>
      </c>
      <c r="AP3" s="16">
        <v>5000</v>
      </c>
      <c r="AQ3" s="16">
        <v>6500</v>
      </c>
      <c r="AR3" s="16">
        <v>10000</v>
      </c>
      <c r="AS3" s="15">
        <v>2500</v>
      </c>
      <c r="AT3" s="16">
        <v>10000</v>
      </c>
      <c r="AU3" s="18">
        <v>0.1</v>
      </c>
      <c r="AV3" s="19">
        <v>0.25</v>
      </c>
      <c r="AW3" s="4"/>
    </row>
    <row r="4" spans="1:55">
      <c r="A4" t="s">
        <v>220</v>
      </c>
      <c r="B4" t="s">
        <v>221</v>
      </c>
      <c r="C4" s="42">
        <v>44880</v>
      </c>
      <c r="D4" s="54" t="s">
        <v>436</v>
      </c>
      <c r="E4" t="s">
        <v>437</v>
      </c>
      <c r="F4" s="29" t="s">
        <v>223</v>
      </c>
      <c r="G4" s="21" t="s">
        <v>438</v>
      </c>
      <c r="H4" s="22" t="s">
        <v>439</v>
      </c>
      <c r="I4" s="151">
        <f>IF(SUM(P4:AV4)=0,"-",SUM(P4:AV4))</f>
        <v>3</v>
      </c>
      <c r="J4" s="33">
        <f>IF(SUMPRODUCT($P$3:$AV$3,P4:AV4)=0,"-",SUMPRODUCT($P$3:$AV$3,P4:AV4))</f>
        <v>405</v>
      </c>
      <c r="K4" s="88" t="s">
        <v>440</v>
      </c>
      <c r="L4" s="37" t="s">
        <v>441</v>
      </c>
      <c r="M4" s="38" t="s">
        <v>249</v>
      </c>
      <c r="N4" s="172"/>
      <c r="O4" s="173"/>
      <c r="P4" s="20"/>
      <c r="Q4" s="43"/>
      <c r="R4" s="21"/>
      <c r="S4" s="21"/>
      <c r="T4" s="21"/>
      <c r="U4" s="21"/>
      <c r="V4" s="21"/>
      <c r="W4" s="20">
        <v>3</v>
      </c>
      <c r="X4" s="21"/>
      <c r="Y4" s="21"/>
      <c r="Z4" s="21"/>
      <c r="AA4" s="21"/>
      <c r="AB4" s="21"/>
      <c r="AC4" s="21"/>
      <c r="AD4" s="43"/>
      <c r="AE4" s="43"/>
      <c r="AF4" s="20"/>
      <c r="AG4" s="20"/>
      <c r="AH4" s="21"/>
      <c r="AI4" s="21"/>
      <c r="AJ4" s="21"/>
      <c r="AK4" s="21"/>
      <c r="AL4" s="21"/>
      <c r="AM4" s="20"/>
      <c r="AN4" s="21"/>
      <c r="AO4" s="21"/>
      <c r="AP4" s="21"/>
      <c r="AQ4" s="21"/>
      <c r="AR4" s="21"/>
      <c r="AS4" s="20"/>
      <c r="AT4" s="21"/>
      <c r="AU4" s="20"/>
      <c r="AV4" s="21"/>
    </row>
    <row r="5" spans="1:55">
      <c r="A5" t="s">
        <v>220</v>
      </c>
      <c r="B5" t="s">
        <v>221</v>
      </c>
      <c r="C5" s="42">
        <v>44880</v>
      </c>
      <c r="D5" s="54" t="s">
        <v>442</v>
      </c>
      <c r="E5" t="s">
        <v>437</v>
      </c>
      <c r="F5" s="29" t="s">
        <v>223</v>
      </c>
      <c r="G5" s="21" t="s">
        <v>438</v>
      </c>
      <c r="H5" s="23" t="s">
        <v>443</v>
      </c>
      <c r="I5" s="151">
        <f>IF(SUM(P5:AV5)=0,"-",SUM(P5:AV5))</f>
        <v>1</v>
      </c>
      <c r="J5" s="33">
        <f>IF(SUMPRODUCT($P$3:$AV$3,P5:AV5)=0,"-",SUMPRODUCT($P$3:$AV$3,P5:AV5))</f>
        <v>135</v>
      </c>
      <c r="K5" s="88" t="s">
        <v>440</v>
      </c>
      <c r="L5" s="36" t="s">
        <v>444</v>
      </c>
      <c r="M5" s="38" t="s">
        <v>249</v>
      </c>
      <c r="N5" s="172"/>
      <c r="O5" s="173"/>
      <c r="P5" s="20"/>
      <c r="Q5" s="43"/>
      <c r="R5" s="21"/>
      <c r="S5" s="21"/>
      <c r="T5" s="21"/>
      <c r="U5" s="21"/>
      <c r="V5" s="21"/>
      <c r="W5" s="20">
        <v>1</v>
      </c>
      <c r="X5" s="21"/>
      <c r="Y5" s="21"/>
      <c r="Z5" s="21"/>
      <c r="AA5" s="21"/>
      <c r="AB5" s="21"/>
      <c r="AC5" s="21"/>
      <c r="AD5" s="43"/>
      <c r="AE5" s="43"/>
      <c r="AF5" s="20"/>
      <c r="AG5" s="20"/>
      <c r="AH5" s="21"/>
      <c r="AI5" s="21"/>
      <c r="AJ5" s="21"/>
      <c r="AK5" s="21"/>
      <c r="AL5" s="21"/>
      <c r="AM5" s="20"/>
      <c r="AN5" s="21"/>
      <c r="AO5" s="21"/>
      <c r="AP5" s="21"/>
      <c r="AQ5" s="21"/>
      <c r="AR5" s="21"/>
      <c r="AS5" s="20"/>
      <c r="AT5" s="21"/>
      <c r="AU5" s="20"/>
      <c r="AV5" s="21"/>
    </row>
    <row r="6" spans="1:55">
      <c r="A6" t="s">
        <v>220</v>
      </c>
      <c r="B6" t="s">
        <v>221</v>
      </c>
      <c r="C6" s="42">
        <v>44882</v>
      </c>
      <c r="D6" s="54" t="s">
        <v>445</v>
      </c>
      <c r="E6" t="s">
        <v>446</v>
      </c>
      <c r="F6" s="29" t="s">
        <v>223</v>
      </c>
      <c r="G6" s="21" t="s">
        <v>67</v>
      </c>
      <c r="H6" s="23" t="s">
        <v>447</v>
      </c>
      <c r="I6" s="151">
        <f>IF(SUM(P6:AV6)=0,"-",SUM(P6:AV6))</f>
        <v>19</v>
      </c>
      <c r="J6" s="33">
        <v>590</v>
      </c>
      <c r="K6" s="88" t="s">
        <v>448</v>
      </c>
      <c r="L6" s="37" t="s">
        <v>449</v>
      </c>
      <c r="M6" s="38" t="s">
        <v>249</v>
      </c>
      <c r="N6" s="172"/>
      <c r="O6" s="173"/>
      <c r="P6" s="20"/>
      <c r="Q6" s="43">
        <v>19</v>
      </c>
      <c r="R6" s="21"/>
      <c r="S6" s="21"/>
      <c r="T6" s="21"/>
      <c r="U6" s="21"/>
      <c r="V6" s="21"/>
      <c r="W6" s="20"/>
      <c r="X6" s="21"/>
      <c r="Y6" s="21"/>
      <c r="Z6" s="21"/>
      <c r="AA6" s="21"/>
      <c r="AB6" s="21"/>
      <c r="AC6" s="21"/>
      <c r="AD6" s="43"/>
      <c r="AE6" s="43"/>
      <c r="AF6" s="20"/>
      <c r="AG6" s="20"/>
      <c r="AH6" s="21"/>
      <c r="AI6" s="21"/>
      <c r="AJ6" s="21"/>
      <c r="AK6" s="21"/>
      <c r="AL6" s="21"/>
      <c r="AM6" s="20"/>
      <c r="AN6" s="21"/>
      <c r="AO6" s="21"/>
      <c r="AP6" s="21"/>
      <c r="AQ6" s="21"/>
      <c r="AR6" s="21"/>
      <c r="AS6" s="20"/>
      <c r="AT6" s="21"/>
      <c r="AU6" s="20"/>
      <c r="AV6" s="21"/>
    </row>
    <row r="7" spans="1:55">
      <c r="A7" t="s">
        <v>220</v>
      </c>
      <c r="B7" t="s">
        <v>221</v>
      </c>
      <c r="C7" s="42">
        <v>44883</v>
      </c>
      <c r="D7" s="54" t="s">
        <v>450</v>
      </c>
      <c r="E7" t="s">
        <v>437</v>
      </c>
      <c r="F7" s="29" t="s">
        <v>223</v>
      </c>
      <c r="G7" s="21" t="s">
        <v>438</v>
      </c>
      <c r="H7" s="23" t="s">
        <v>451</v>
      </c>
      <c r="I7" s="151">
        <f>IF(SUM(P7:AV7)=0,"-",SUM(P7:AV7))</f>
        <v>1</v>
      </c>
      <c r="J7" s="33">
        <f>IF(SUMPRODUCT($P$3:$AV$3,P7:AV7)=0,"-",SUMPRODUCT($P$3:$AV$3,P7:AV7))</f>
        <v>120</v>
      </c>
      <c r="K7" s="88" t="s">
        <v>440</v>
      </c>
      <c r="L7" s="36" t="s">
        <v>452</v>
      </c>
      <c r="M7" s="38" t="s">
        <v>249</v>
      </c>
      <c r="N7" s="172"/>
      <c r="O7" s="173"/>
      <c r="P7" s="20">
        <v>1</v>
      </c>
      <c r="Q7" s="43"/>
      <c r="R7" s="21"/>
      <c r="S7" s="21"/>
      <c r="T7" s="21"/>
      <c r="U7" s="21"/>
      <c r="V7" s="21"/>
      <c r="W7" s="20"/>
      <c r="X7" s="21"/>
      <c r="Y7" s="21"/>
      <c r="Z7" s="21"/>
      <c r="AA7" s="21"/>
      <c r="AB7" s="21"/>
      <c r="AC7" s="21"/>
      <c r="AD7" s="43"/>
      <c r="AE7" s="43"/>
      <c r="AF7" s="20"/>
      <c r="AG7" s="20"/>
      <c r="AH7" s="21"/>
      <c r="AI7" s="21"/>
      <c r="AJ7" s="21"/>
      <c r="AK7" s="21"/>
      <c r="AL7" s="21"/>
      <c r="AM7" s="20"/>
      <c r="AN7" s="21"/>
      <c r="AO7" s="21"/>
      <c r="AP7" s="21"/>
      <c r="AQ7" s="21"/>
      <c r="AR7" s="21"/>
      <c r="AS7" s="20"/>
      <c r="AT7" s="21"/>
      <c r="AU7" s="20"/>
      <c r="AV7" s="21"/>
    </row>
    <row r="8" spans="1:55">
      <c r="A8" t="s">
        <v>220</v>
      </c>
      <c r="B8" t="s">
        <v>221</v>
      </c>
      <c r="C8" s="42">
        <v>44883</v>
      </c>
      <c r="D8" s="54" t="s">
        <v>453</v>
      </c>
      <c r="E8" t="s">
        <v>437</v>
      </c>
      <c r="F8" s="29" t="s">
        <v>223</v>
      </c>
      <c r="G8" s="21" t="s">
        <v>438</v>
      </c>
      <c r="H8" s="23" t="s">
        <v>454</v>
      </c>
      <c r="I8" s="151">
        <f>IF(SUM(P8:AV8)=0,"-",SUM(P8:AV8))</f>
        <v>16</v>
      </c>
      <c r="J8" s="33">
        <f>IF(SUMPRODUCT($P$3:$AV$3,P8:AV8)=0,"-",SUMPRODUCT($P$3:$AV$3,P8:AV8))</f>
        <v>560</v>
      </c>
      <c r="K8" s="88" t="s">
        <v>440</v>
      </c>
      <c r="L8" s="37" t="s">
        <v>455</v>
      </c>
      <c r="M8" s="38" t="s">
        <v>249</v>
      </c>
      <c r="N8" s="172"/>
      <c r="O8" s="173"/>
      <c r="P8" s="20"/>
      <c r="Q8" s="43">
        <v>16</v>
      </c>
      <c r="R8" s="21"/>
      <c r="S8" s="21"/>
      <c r="T8" s="21"/>
      <c r="U8" s="21"/>
      <c r="V8" s="21"/>
      <c r="W8" s="20"/>
      <c r="X8" s="21"/>
      <c r="Y8" s="21"/>
      <c r="Z8" s="21"/>
      <c r="AA8" s="21"/>
      <c r="AB8" s="21"/>
      <c r="AC8" s="21"/>
      <c r="AD8" s="43"/>
      <c r="AE8" s="43"/>
      <c r="AF8" s="20"/>
      <c r="AG8" s="20"/>
      <c r="AH8" s="21"/>
      <c r="AI8" s="21"/>
      <c r="AJ8" s="21"/>
      <c r="AK8" s="21"/>
      <c r="AL8" s="21"/>
      <c r="AM8" s="20"/>
      <c r="AN8" s="21"/>
      <c r="AO8" s="21"/>
      <c r="AP8" s="21"/>
      <c r="AQ8" s="21"/>
      <c r="AR8" s="21"/>
      <c r="AS8" s="20"/>
      <c r="AT8" s="21"/>
      <c r="AU8" s="20"/>
      <c r="AV8" s="21"/>
    </row>
    <row r="9" spans="1:55">
      <c r="A9" t="s">
        <v>220</v>
      </c>
      <c r="B9" t="s">
        <v>221</v>
      </c>
      <c r="C9" s="42">
        <v>44883</v>
      </c>
      <c r="D9" s="54" t="s">
        <v>456</v>
      </c>
      <c r="E9" t="s">
        <v>437</v>
      </c>
      <c r="F9" s="29" t="s">
        <v>223</v>
      </c>
      <c r="G9" s="21" t="s">
        <v>438</v>
      </c>
      <c r="H9" s="23" t="s">
        <v>457</v>
      </c>
      <c r="I9" s="151">
        <f>IF(SUM(P9:AV9)=0,"-",SUM(P9:AV9))</f>
        <v>2</v>
      </c>
      <c r="J9" s="33">
        <f>IF(SUMPRODUCT($P$3:$AV$3,P9:AV9)=0,"-",SUMPRODUCT($P$3:$AV$3,P9:AV9))</f>
        <v>70</v>
      </c>
      <c r="K9" s="88" t="s">
        <v>440</v>
      </c>
      <c r="L9" s="36" t="s">
        <v>458</v>
      </c>
      <c r="M9" s="38" t="s">
        <v>249</v>
      </c>
      <c r="N9" s="172"/>
      <c r="O9" s="173"/>
      <c r="P9" s="20"/>
      <c r="Q9" s="43">
        <v>2</v>
      </c>
      <c r="R9" s="21"/>
      <c r="S9" s="21"/>
      <c r="T9" s="21"/>
      <c r="U9" s="21"/>
      <c r="V9" s="21"/>
      <c r="W9" s="20"/>
      <c r="X9" s="21"/>
      <c r="Y9" s="21"/>
      <c r="Z9" s="21"/>
      <c r="AA9" s="21"/>
      <c r="AB9" s="21"/>
      <c r="AC9" s="21"/>
      <c r="AD9" s="43"/>
      <c r="AE9" s="43"/>
      <c r="AF9" s="20"/>
      <c r="AG9" s="20"/>
      <c r="AH9" s="21"/>
      <c r="AI9" s="21"/>
      <c r="AJ9" s="21"/>
      <c r="AK9" s="21"/>
      <c r="AL9" s="21"/>
      <c r="AM9" s="20"/>
      <c r="AN9" s="21"/>
      <c r="AO9" s="21"/>
      <c r="AP9" s="21"/>
      <c r="AQ9" s="21"/>
      <c r="AR9" s="21"/>
      <c r="AS9" s="20"/>
      <c r="AT9" s="21"/>
      <c r="AU9" s="20"/>
      <c r="AV9" s="21"/>
    </row>
    <row r="10" spans="1:55">
      <c r="A10" t="s">
        <v>220</v>
      </c>
      <c r="B10" t="s">
        <v>221</v>
      </c>
      <c r="C10" s="42">
        <v>44888</v>
      </c>
      <c r="D10" s="54" t="s">
        <v>459</v>
      </c>
      <c r="E10" t="s">
        <v>46</v>
      </c>
      <c r="F10" s="29" t="s">
        <v>223</v>
      </c>
      <c r="G10" s="21" t="s">
        <v>130</v>
      </c>
      <c r="H10" s="30" t="s">
        <v>460</v>
      </c>
      <c r="I10" s="151">
        <f>IF(SUM(P10:AV10)=0,"-",SUM(P10:AV10))</f>
        <v>2</v>
      </c>
      <c r="J10" s="33">
        <f>IF(SUMPRODUCT($P$3:$AV$3,P10:AV10)=0,"-",SUMPRODUCT($P$3:$AV$3,P10:AV10))</f>
        <v>175</v>
      </c>
      <c r="K10" s="89">
        <v>44785</v>
      </c>
      <c r="L10" s="37" t="s">
        <v>461</v>
      </c>
      <c r="M10" s="38" t="s">
        <v>249</v>
      </c>
      <c r="N10" s="172"/>
      <c r="O10" s="173"/>
      <c r="P10" s="20"/>
      <c r="Q10" s="43"/>
      <c r="R10" s="21"/>
      <c r="S10" s="21"/>
      <c r="T10" s="21"/>
      <c r="U10" s="21"/>
      <c r="V10" s="21"/>
      <c r="W10" s="20">
        <v>1</v>
      </c>
      <c r="X10" s="21">
        <v>1</v>
      </c>
      <c r="Y10" s="21"/>
      <c r="Z10" s="21"/>
      <c r="AA10" s="21"/>
      <c r="AB10" s="21"/>
      <c r="AC10" s="21"/>
      <c r="AD10" s="43"/>
      <c r="AE10" s="43"/>
      <c r="AF10" s="20"/>
      <c r="AG10" s="20"/>
      <c r="AH10" s="21"/>
      <c r="AI10" s="21"/>
      <c r="AJ10" s="21"/>
      <c r="AK10" s="21"/>
      <c r="AL10" s="21"/>
      <c r="AM10" s="20"/>
      <c r="AN10" s="21"/>
      <c r="AO10" s="21"/>
      <c r="AP10" s="21"/>
      <c r="AQ10" s="21"/>
      <c r="AR10" s="21"/>
      <c r="AS10" s="20"/>
      <c r="AT10" s="21"/>
      <c r="AU10" s="20"/>
      <c r="AV10" s="21"/>
    </row>
    <row r="11" spans="1:55">
      <c r="A11" t="s">
        <v>220</v>
      </c>
      <c r="B11" t="s">
        <v>221</v>
      </c>
      <c r="C11" s="42">
        <v>44888</v>
      </c>
      <c r="D11" s="54" t="s">
        <v>462</v>
      </c>
      <c r="E11" t="s">
        <v>46</v>
      </c>
      <c r="F11" s="29" t="s">
        <v>223</v>
      </c>
      <c r="G11" s="21" t="s">
        <v>130</v>
      </c>
      <c r="H11" s="30" t="s">
        <v>463</v>
      </c>
      <c r="I11" s="151">
        <f>IF(SUM(P11:AV11)=0,"-",SUM(P11:AV11))</f>
        <v>5</v>
      </c>
      <c r="J11" s="33">
        <f>IF(SUMPRODUCT($P$3:$AV$3,P11:AV11)=0,"-",SUMPRODUCT($P$3:$AV$3,P11:AV11))</f>
        <v>175</v>
      </c>
      <c r="K11" s="88" t="s">
        <v>440</v>
      </c>
      <c r="L11" s="37" t="s">
        <v>464</v>
      </c>
      <c r="M11" s="38" t="s">
        <v>249</v>
      </c>
      <c r="N11" s="172"/>
      <c r="O11" s="173"/>
      <c r="P11" s="20"/>
      <c r="Q11" s="43">
        <v>5</v>
      </c>
      <c r="R11" s="21"/>
      <c r="S11" s="21"/>
      <c r="T11" s="21"/>
      <c r="U11" s="21"/>
      <c r="V11" s="21"/>
      <c r="W11" s="20"/>
      <c r="X11" s="21"/>
      <c r="Y11" s="21"/>
      <c r="Z11" s="21"/>
      <c r="AA11" s="21"/>
      <c r="AB11" s="21"/>
      <c r="AC11" s="21"/>
      <c r="AD11" s="43"/>
      <c r="AE11" s="43"/>
      <c r="AF11" s="20"/>
      <c r="AG11" s="20"/>
      <c r="AH11" s="21"/>
      <c r="AI11" s="21"/>
      <c r="AJ11" s="21"/>
      <c r="AK11" s="21"/>
      <c r="AL11" s="21"/>
      <c r="AM11" s="20"/>
      <c r="AN11" s="21"/>
      <c r="AO11" s="21"/>
      <c r="AP11" s="21"/>
      <c r="AQ11" s="21"/>
      <c r="AR11" s="21"/>
      <c r="AS11" s="20"/>
      <c r="AT11" s="21"/>
      <c r="AU11" s="20"/>
      <c r="AV11" s="21"/>
    </row>
    <row r="12" spans="1:55">
      <c r="A12" t="s">
        <v>220</v>
      </c>
      <c r="B12" t="s">
        <v>221</v>
      </c>
      <c r="C12" s="42">
        <v>44888</v>
      </c>
      <c r="D12" s="54" t="s">
        <v>465</v>
      </c>
      <c r="E12" t="s">
        <v>437</v>
      </c>
      <c r="F12" s="29" t="s">
        <v>223</v>
      </c>
      <c r="G12" s="21" t="s">
        <v>93</v>
      </c>
      <c r="H12" s="30" t="s">
        <v>466</v>
      </c>
      <c r="I12" s="151">
        <f>IF(SUM(P12:AV12)=0,"-",SUM(P12:AV12))</f>
        <v>2</v>
      </c>
      <c r="J12" s="33">
        <f>IF(SUMPRODUCT($P$3:$AV$3,P12:AV12)=0,"-",SUMPRODUCT($P$3:$AV$3,P12:AV12))</f>
        <v>175</v>
      </c>
      <c r="K12" s="88" t="s">
        <v>467</v>
      </c>
      <c r="L12" s="37" t="s">
        <v>468</v>
      </c>
      <c r="M12" s="38" t="s">
        <v>249</v>
      </c>
      <c r="N12" s="172"/>
      <c r="O12" s="173"/>
      <c r="P12" s="20"/>
      <c r="Q12" s="43"/>
      <c r="R12" s="21"/>
      <c r="S12" s="21"/>
      <c r="T12" s="21"/>
      <c r="U12" s="21"/>
      <c r="V12" s="21"/>
      <c r="W12" s="20">
        <v>1</v>
      </c>
      <c r="X12" s="21">
        <v>1</v>
      </c>
      <c r="Y12" s="21"/>
      <c r="Z12" s="21"/>
      <c r="AA12" s="21"/>
      <c r="AB12" s="21"/>
      <c r="AC12" s="21"/>
      <c r="AD12" s="43"/>
      <c r="AE12" s="43"/>
      <c r="AF12" s="20"/>
      <c r="AG12" s="20"/>
      <c r="AH12" s="21"/>
      <c r="AI12" s="21"/>
      <c r="AJ12" s="21"/>
      <c r="AK12" s="21"/>
      <c r="AL12" s="21"/>
      <c r="AM12" s="20"/>
      <c r="AN12" s="21"/>
      <c r="AO12" s="21"/>
      <c r="AP12" s="21"/>
      <c r="AQ12" s="21"/>
      <c r="AR12" s="21"/>
      <c r="AS12" s="20"/>
      <c r="AT12" s="21"/>
      <c r="AU12" s="20"/>
      <c r="AV12" s="21"/>
    </row>
    <row r="13" spans="1:55">
      <c r="A13" t="s">
        <v>220</v>
      </c>
      <c r="B13" t="s">
        <v>221</v>
      </c>
      <c r="C13" s="42">
        <v>44896</v>
      </c>
      <c r="D13" s="54" t="s">
        <v>469</v>
      </c>
      <c r="E13" t="s">
        <v>437</v>
      </c>
      <c r="F13" s="29" t="s">
        <v>223</v>
      </c>
      <c r="G13" s="21" t="s">
        <v>438</v>
      </c>
      <c r="H13" s="30" t="s">
        <v>470</v>
      </c>
      <c r="I13" s="151">
        <f>IF(SUM(P13:AV13)=0,"-",SUM(P13:AV13))</f>
        <v>5</v>
      </c>
      <c r="J13" s="33">
        <f>IF(SUMPRODUCT($P$3:$AV$3,P13:AV13)=0,"-",SUMPRODUCT($P$3:$AV$3,P13:AV13))</f>
        <v>175</v>
      </c>
      <c r="K13" s="89">
        <v>44785</v>
      </c>
      <c r="L13" s="37" t="s">
        <v>471</v>
      </c>
      <c r="M13" s="38" t="s">
        <v>249</v>
      </c>
      <c r="N13" s="172"/>
      <c r="O13" s="173"/>
      <c r="P13" s="20"/>
      <c r="Q13" s="43">
        <v>5</v>
      </c>
      <c r="R13" s="21"/>
      <c r="S13" s="21"/>
      <c r="T13" s="21"/>
      <c r="U13" s="21"/>
      <c r="V13" s="21"/>
      <c r="W13" s="20"/>
      <c r="X13" s="21"/>
      <c r="Y13" s="21"/>
      <c r="Z13" s="21"/>
      <c r="AA13" s="21"/>
      <c r="AB13" s="21"/>
      <c r="AC13" s="21"/>
      <c r="AD13" s="43"/>
      <c r="AE13" s="43"/>
      <c r="AF13" s="20"/>
      <c r="AG13" s="20"/>
      <c r="AH13" s="21"/>
      <c r="AI13" s="21"/>
      <c r="AJ13" s="21"/>
      <c r="AK13" s="21"/>
      <c r="AL13" s="21"/>
      <c r="AM13" s="20"/>
      <c r="AN13" s="21"/>
      <c r="AO13" s="21"/>
      <c r="AP13" s="21"/>
      <c r="AQ13" s="21"/>
      <c r="AR13" s="21"/>
      <c r="AS13" s="20"/>
      <c r="AT13" s="21"/>
      <c r="AU13" s="20"/>
      <c r="AV13" s="21"/>
    </row>
    <row r="14" spans="1:55">
      <c r="A14" t="s">
        <v>220</v>
      </c>
      <c r="B14" t="s">
        <v>221</v>
      </c>
      <c r="C14" s="42">
        <v>44896</v>
      </c>
      <c r="D14" s="54" t="s">
        <v>472</v>
      </c>
      <c r="E14" t="s">
        <v>37</v>
      </c>
      <c r="F14" s="29" t="s">
        <v>223</v>
      </c>
      <c r="G14" s="21" t="s">
        <v>67</v>
      </c>
      <c r="H14" s="30" t="s">
        <v>473</v>
      </c>
      <c r="I14" s="151">
        <f>IF(SUM(P14:AV14)=0,"-",SUM(P14:AV14))</f>
        <v>4</v>
      </c>
      <c r="J14" s="33">
        <f>IF(SUMPRODUCT($P$3:$AV$3,P14:AV14)=0,"-",SUMPRODUCT($P$3:$AV$3,P14:AV14))</f>
        <v>350</v>
      </c>
      <c r="K14" s="89" t="s">
        <v>474</v>
      </c>
      <c r="L14" s="38">
        <v>4200631419</v>
      </c>
      <c r="M14" s="38" t="s">
        <v>249</v>
      </c>
      <c r="N14" s="172"/>
      <c r="O14" s="173"/>
      <c r="P14" s="20"/>
      <c r="Q14" s="43"/>
      <c r="R14" s="21"/>
      <c r="S14" s="21"/>
      <c r="T14" s="21"/>
      <c r="U14" s="21"/>
      <c r="V14" s="21"/>
      <c r="W14" s="20">
        <v>2</v>
      </c>
      <c r="X14" s="21">
        <v>2</v>
      </c>
      <c r="Y14" s="21"/>
      <c r="Z14" s="21"/>
      <c r="AA14" s="21"/>
      <c r="AB14" s="21"/>
      <c r="AC14" s="21"/>
      <c r="AD14" s="43"/>
      <c r="AE14" s="43"/>
      <c r="AF14" s="20"/>
      <c r="AG14" s="20"/>
      <c r="AH14" s="21"/>
      <c r="AI14" s="21"/>
      <c r="AJ14" s="21"/>
      <c r="AK14" s="21"/>
      <c r="AL14" s="21"/>
      <c r="AM14" s="20"/>
      <c r="AN14" s="21"/>
      <c r="AO14" s="21"/>
      <c r="AP14" s="21"/>
      <c r="AQ14" s="21"/>
      <c r="AR14" s="21"/>
      <c r="AS14" s="20"/>
      <c r="AT14" s="21"/>
      <c r="AU14" s="20"/>
      <c r="AV14" s="21"/>
    </row>
    <row r="15" spans="1:55">
      <c r="A15" t="s">
        <v>220</v>
      </c>
      <c r="B15" t="s">
        <v>221</v>
      </c>
      <c r="C15" s="42">
        <v>44897</v>
      </c>
      <c r="D15" s="54" t="s">
        <v>475</v>
      </c>
      <c r="E15" t="s">
        <v>36</v>
      </c>
      <c r="F15" s="29" t="s">
        <v>223</v>
      </c>
      <c r="G15" s="21" t="s">
        <v>476</v>
      </c>
      <c r="H15" s="30" t="s">
        <v>477</v>
      </c>
      <c r="I15" s="151">
        <f>IF(SUM(P15:AV15)=0,"-",SUM(P15:AV15))</f>
        <v>8</v>
      </c>
      <c r="J15" s="33">
        <f>IF(SUMPRODUCT($P$3:$AV$3,P15:AV15)=0,"-",SUMPRODUCT($P$3:$AV$3,P15:AV15))</f>
        <v>280</v>
      </c>
      <c r="K15" s="89" t="s">
        <v>474</v>
      </c>
      <c r="L15" s="37" t="s">
        <v>478</v>
      </c>
      <c r="M15" s="38" t="s">
        <v>249</v>
      </c>
      <c r="N15" s="172"/>
      <c r="O15" s="173" t="s">
        <v>479</v>
      </c>
      <c r="P15" s="20"/>
      <c r="Q15" s="43">
        <v>8</v>
      </c>
      <c r="R15" s="21"/>
      <c r="S15" s="21"/>
      <c r="T15" s="21"/>
      <c r="U15" s="21"/>
      <c r="V15" s="21"/>
      <c r="W15" s="20"/>
      <c r="X15" s="21"/>
      <c r="Y15" s="21"/>
      <c r="Z15" s="21"/>
      <c r="AA15" s="21"/>
      <c r="AB15" s="21"/>
      <c r="AC15" s="21"/>
      <c r="AD15" s="43"/>
      <c r="AE15" s="43"/>
      <c r="AF15" s="20"/>
      <c r="AG15" s="20"/>
      <c r="AH15" s="21"/>
      <c r="AI15" s="21"/>
      <c r="AJ15" s="21"/>
      <c r="AK15" s="21"/>
      <c r="AL15" s="21"/>
      <c r="AM15" s="20"/>
      <c r="AN15" s="21"/>
      <c r="AO15" s="21"/>
      <c r="AP15" s="21"/>
      <c r="AQ15" s="21"/>
      <c r="AR15" s="21"/>
      <c r="AS15" s="20"/>
      <c r="AT15" s="21"/>
      <c r="AU15" s="20"/>
      <c r="AV15" s="21"/>
    </row>
    <row r="16" spans="1:55">
      <c r="A16" t="s">
        <v>220</v>
      </c>
      <c r="B16" t="s">
        <v>221</v>
      </c>
      <c r="C16" s="42">
        <v>44909</v>
      </c>
      <c r="D16" s="54" t="s">
        <v>480</v>
      </c>
      <c r="E16" t="s">
        <v>26</v>
      </c>
      <c r="F16" s="29" t="s">
        <v>223</v>
      </c>
      <c r="G16" s="21" t="s">
        <v>69</v>
      </c>
      <c r="H16" s="39" t="s">
        <v>481</v>
      </c>
      <c r="I16" s="151">
        <f>IF(SUM(P16:AV16)=0,"-",SUM(P16:AV16))</f>
        <v>1</v>
      </c>
      <c r="J16" s="33">
        <f>IF(SUMPRODUCT($P$3:$AV$3,P16:AV16)=0,"-",SUMPRODUCT($P$3:$AV$3,P16:AV16))</f>
        <v>600</v>
      </c>
      <c r="K16" s="89" t="s">
        <v>482</v>
      </c>
      <c r="L16" s="38">
        <v>4200639267</v>
      </c>
      <c r="M16" s="38" t="s">
        <v>249</v>
      </c>
      <c r="N16" s="172"/>
      <c r="O16" s="173"/>
      <c r="P16" s="20"/>
      <c r="Q16" s="43"/>
      <c r="R16" s="21"/>
      <c r="S16" s="21"/>
      <c r="T16" s="21"/>
      <c r="U16" s="21"/>
      <c r="V16" s="21"/>
      <c r="W16" s="20"/>
      <c r="X16" s="21"/>
      <c r="Y16" s="21"/>
      <c r="Z16" s="21"/>
      <c r="AA16" s="21"/>
      <c r="AB16" s="21"/>
      <c r="AC16" s="21"/>
      <c r="AD16" s="43"/>
      <c r="AE16" s="43"/>
      <c r="AF16" s="20"/>
      <c r="AG16" s="20"/>
      <c r="AH16" s="21">
        <v>1</v>
      </c>
      <c r="AI16" s="21"/>
      <c r="AJ16" s="21"/>
      <c r="AK16" s="21"/>
      <c r="AL16" s="21"/>
      <c r="AM16" s="20"/>
      <c r="AN16" s="21"/>
      <c r="AO16" s="21"/>
      <c r="AP16" s="21"/>
      <c r="AQ16" s="21"/>
      <c r="AR16" s="21"/>
      <c r="AS16" s="20"/>
      <c r="AT16" s="21"/>
      <c r="AU16" s="20"/>
      <c r="AV16" s="21"/>
    </row>
    <row r="17" spans="1:48">
      <c r="A17" t="s">
        <v>220</v>
      </c>
      <c r="B17" t="s">
        <v>221</v>
      </c>
      <c r="C17" s="42">
        <v>44914</v>
      </c>
      <c r="D17" s="54" t="s">
        <v>483</v>
      </c>
      <c r="E17" t="s">
        <v>36</v>
      </c>
      <c r="F17" s="29" t="s">
        <v>223</v>
      </c>
      <c r="G17" s="21" t="s">
        <v>69</v>
      </c>
      <c r="H17" s="30" t="s">
        <v>484</v>
      </c>
      <c r="I17" s="151">
        <f>IF(SUM(P17:AV17)=0,"-",SUM(P17:AV17))</f>
        <v>7</v>
      </c>
      <c r="J17" s="33">
        <f>IF(SUMPRODUCT($P$3:$AV$3,P17:AV17)=0,"-",SUMPRODUCT($P$3:$AV$3,P17:AV17))</f>
        <v>330</v>
      </c>
      <c r="K17" s="89">
        <v>44931</v>
      </c>
      <c r="L17" s="38">
        <v>4200633114</v>
      </c>
      <c r="M17" s="38" t="s">
        <v>249</v>
      </c>
      <c r="N17" s="172"/>
      <c r="O17" s="173" t="s">
        <v>479</v>
      </c>
      <c r="P17" s="20">
        <v>1</v>
      </c>
      <c r="Q17" s="43">
        <v>6</v>
      </c>
      <c r="R17" s="21"/>
      <c r="S17" s="21"/>
      <c r="T17" s="21"/>
      <c r="U17" s="21"/>
      <c r="V17" s="21"/>
      <c r="W17" s="20"/>
      <c r="X17" s="21"/>
      <c r="Y17" s="21"/>
      <c r="Z17" s="21"/>
      <c r="AA17" s="21"/>
      <c r="AB17" s="21"/>
      <c r="AC17" s="21"/>
      <c r="AD17" s="43"/>
      <c r="AE17" s="43"/>
      <c r="AF17" s="20"/>
      <c r="AG17" s="20"/>
      <c r="AH17" s="21"/>
      <c r="AI17" s="21"/>
      <c r="AJ17" s="21"/>
      <c r="AK17" s="21"/>
      <c r="AL17" s="21"/>
      <c r="AM17" s="20"/>
      <c r="AN17" s="21"/>
      <c r="AO17" s="21"/>
      <c r="AP17" s="21"/>
      <c r="AQ17" s="21"/>
      <c r="AR17" s="21"/>
      <c r="AS17" s="20"/>
      <c r="AT17" s="21"/>
      <c r="AU17" s="20"/>
      <c r="AV17" s="21"/>
    </row>
    <row r="18" spans="1:48">
      <c r="A18" t="s">
        <v>220</v>
      </c>
      <c r="B18" t="s">
        <v>221</v>
      </c>
      <c r="C18" s="42">
        <v>44914</v>
      </c>
      <c r="D18" s="54" t="s">
        <v>485</v>
      </c>
      <c r="E18" t="s">
        <v>36</v>
      </c>
      <c r="F18" s="29" t="s">
        <v>223</v>
      </c>
      <c r="G18" s="21" t="s">
        <v>69</v>
      </c>
      <c r="H18" s="30" t="s">
        <v>486</v>
      </c>
      <c r="I18" s="151">
        <f>IF(SUM(P18:AV18)=0,"-",SUM(P18:AV18))</f>
        <v>20</v>
      </c>
      <c r="J18" s="33">
        <f>IF(SUMPRODUCT($P$3:$AV$3,P18:AV18)=0,"-",SUMPRODUCT($P$3:$AV$3,P18:AV18))</f>
        <v>895</v>
      </c>
      <c r="K18" s="90">
        <v>44943</v>
      </c>
      <c r="L18" s="38">
        <v>4200633341</v>
      </c>
      <c r="M18" s="38" t="s">
        <v>249</v>
      </c>
      <c r="N18" s="172"/>
      <c r="O18" s="173" t="s">
        <v>479</v>
      </c>
      <c r="P18" s="20"/>
      <c r="Q18" s="43"/>
      <c r="R18" s="21"/>
      <c r="S18" s="21"/>
      <c r="T18" s="21"/>
      <c r="U18" s="21"/>
      <c r="V18" s="21"/>
      <c r="W18" s="20">
        <v>1</v>
      </c>
      <c r="X18" s="21">
        <v>19</v>
      </c>
      <c r="Y18" s="21"/>
      <c r="Z18" s="21"/>
      <c r="AA18" s="21"/>
      <c r="AB18" s="21"/>
      <c r="AC18" s="21"/>
      <c r="AD18" s="43"/>
      <c r="AE18" s="43"/>
      <c r="AF18" s="20"/>
      <c r="AG18" s="20"/>
      <c r="AH18" s="21"/>
      <c r="AI18" s="21"/>
      <c r="AJ18" s="21"/>
      <c r="AK18" s="21"/>
      <c r="AL18" s="21"/>
      <c r="AM18" s="20"/>
      <c r="AN18" s="21"/>
      <c r="AO18" s="21"/>
      <c r="AP18" s="21"/>
      <c r="AQ18" s="21"/>
      <c r="AR18" s="21"/>
      <c r="AS18" s="20"/>
      <c r="AT18" s="21"/>
      <c r="AU18" s="20"/>
      <c r="AV18" s="21"/>
    </row>
    <row r="19" spans="1:48">
      <c r="A19" t="s">
        <v>220</v>
      </c>
      <c r="B19" t="s">
        <v>221</v>
      </c>
      <c r="C19" s="42">
        <v>44914</v>
      </c>
      <c r="D19" s="54" t="s">
        <v>487</v>
      </c>
      <c r="E19" t="s">
        <v>36</v>
      </c>
      <c r="F19" s="29" t="s">
        <v>223</v>
      </c>
      <c r="G19" s="21" t="s">
        <v>69</v>
      </c>
      <c r="H19" s="30" t="s">
        <v>488</v>
      </c>
      <c r="I19" s="151">
        <f>IF(SUM(P19:AV19)=0,"-",SUM(P19:AV19))</f>
        <v>11</v>
      </c>
      <c r="J19" s="33">
        <f>IF(SUMPRODUCT($P$3:$AV$3,P19:AV19)=0,"-",SUMPRODUCT($P$3:$AV$3,P19:AV19))</f>
        <v>535</v>
      </c>
      <c r="K19" s="89">
        <v>44931</v>
      </c>
      <c r="L19" s="50">
        <v>4200633116</v>
      </c>
      <c r="M19" s="38" t="s">
        <v>249</v>
      </c>
      <c r="N19" s="172"/>
      <c r="O19" s="173" t="s">
        <v>479</v>
      </c>
      <c r="P19" s="20"/>
      <c r="Q19" s="43"/>
      <c r="R19" s="21"/>
      <c r="S19" s="21"/>
      <c r="T19" s="21"/>
      <c r="U19" s="21"/>
      <c r="V19" s="21"/>
      <c r="W19" s="20">
        <v>1</v>
      </c>
      <c r="X19" s="21">
        <v>10</v>
      </c>
      <c r="Y19" s="21"/>
      <c r="Z19" s="21"/>
      <c r="AA19" s="21"/>
      <c r="AB19" s="21"/>
      <c r="AC19" s="21"/>
      <c r="AD19" s="43"/>
      <c r="AE19" s="43"/>
      <c r="AF19" s="20"/>
      <c r="AG19" s="20"/>
      <c r="AH19" s="21"/>
      <c r="AI19" s="21"/>
      <c r="AJ19" s="21"/>
      <c r="AK19" s="21"/>
      <c r="AL19" s="21"/>
      <c r="AM19" s="20"/>
      <c r="AN19" s="21"/>
      <c r="AO19" s="21"/>
      <c r="AP19" s="21"/>
      <c r="AQ19" s="21"/>
      <c r="AR19" s="21"/>
      <c r="AS19" s="20"/>
      <c r="AT19" s="21"/>
      <c r="AU19" s="20"/>
      <c r="AV19" s="21"/>
    </row>
    <row r="20" spans="1:48">
      <c r="A20" t="s">
        <v>220</v>
      </c>
      <c r="B20" t="s">
        <v>221</v>
      </c>
      <c r="C20" s="42">
        <v>44914</v>
      </c>
      <c r="D20" s="54" t="s">
        <v>489</v>
      </c>
      <c r="E20" t="s">
        <v>37</v>
      </c>
      <c r="F20" s="29" t="s">
        <v>223</v>
      </c>
      <c r="G20" s="21" t="s">
        <v>67</v>
      </c>
      <c r="H20" s="30" t="s">
        <v>490</v>
      </c>
      <c r="I20" s="151">
        <f>IF(SUM(P20:AV20)=0,"-",SUM(P20:AV20))</f>
        <v>18</v>
      </c>
      <c r="J20" s="33">
        <v>590</v>
      </c>
      <c r="K20" s="91" t="s">
        <v>491</v>
      </c>
      <c r="L20" s="38">
        <v>4200641797</v>
      </c>
      <c r="M20" s="38" t="s">
        <v>249</v>
      </c>
      <c r="N20" s="172"/>
      <c r="O20" s="173"/>
      <c r="P20" s="20">
        <v>1</v>
      </c>
      <c r="Q20" s="43">
        <v>17</v>
      </c>
      <c r="R20" s="21"/>
      <c r="S20" s="21"/>
      <c r="T20" s="21"/>
      <c r="U20" s="21"/>
      <c r="V20" s="21"/>
      <c r="W20" s="20"/>
      <c r="X20" s="21"/>
      <c r="Y20" s="21"/>
      <c r="Z20" s="21"/>
      <c r="AA20" s="21"/>
      <c r="AB20" s="21"/>
      <c r="AC20" s="21"/>
      <c r="AD20" s="43"/>
      <c r="AE20" s="43"/>
      <c r="AF20" s="20"/>
      <c r="AG20" s="20"/>
      <c r="AH20" s="21"/>
      <c r="AI20" s="21"/>
      <c r="AJ20" s="21"/>
      <c r="AK20" s="21"/>
      <c r="AL20" s="21"/>
      <c r="AM20" s="20"/>
      <c r="AN20" s="21"/>
      <c r="AO20" s="21"/>
      <c r="AP20" s="21"/>
      <c r="AQ20" s="21"/>
      <c r="AR20" s="21"/>
      <c r="AS20" s="20"/>
      <c r="AT20" s="21"/>
      <c r="AU20" s="20"/>
      <c r="AV20" s="21"/>
    </row>
    <row r="21" spans="1:48">
      <c r="A21" t="s">
        <v>220</v>
      </c>
      <c r="B21" t="s">
        <v>221</v>
      </c>
      <c r="C21" s="42">
        <v>44916</v>
      </c>
      <c r="D21" s="54" t="s">
        <v>492</v>
      </c>
      <c r="E21" t="s">
        <v>36</v>
      </c>
      <c r="F21" s="29" t="s">
        <v>223</v>
      </c>
      <c r="G21" s="21" t="s">
        <v>69</v>
      </c>
      <c r="H21" s="30" t="s">
        <v>490</v>
      </c>
      <c r="I21" s="151">
        <f>IF(SUM(P21:AV21)=0,"-",SUM(P21:AV21))</f>
        <v>9</v>
      </c>
      <c r="J21" s="33">
        <f>190+4*35</f>
        <v>330</v>
      </c>
      <c r="K21" s="89">
        <v>44931</v>
      </c>
      <c r="L21" s="38">
        <v>4200632799</v>
      </c>
      <c r="M21" s="38" t="s">
        <v>249</v>
      </c>
      <c r="N21" s="172"/>
      <c r="O21" s="173" t="s">
        <v>479</v>
      </c>
      <c r="P21" s="20"/>
      <c r="Q21" s="43">
        <v>9</v>
      </c>
      <c r="R21" s="21"/>
      <c r="S21" s="21"/>
      <c r="T21" s="21"/>
      <c r="U21" s="21"/>
      <c r="V21" s="21"/>
      <c r="W21" s="20"/>
      <c r="X21" s="21"/>
      <c r="Y21" s="21"/>
      <c r="Z21" s="21"/>
      <c r="AA21" s="21"/>
      <c r="AB21" s="21"/>
      <c r="AC21" s="21"/>
      <c r="AD21" s="43"/>
      <c r="AE21" s="43"/>
      <c r="AF21" s="20"/>
      <c r="AG21" s="20"/>
      <c r="AH21" s="21"/>
      <c r="AI21" s="21"/>
      <c r="AJ21" s="21"/>
      <c r="AK21" s="21"/>
      <c r="AL21" s="21"/>
      <c r="AM21" s="20"/>
      <c r="AN21" s="21"/>
      <c r="AO21" s="21"/>
      <c r="AP21" s="21"/>
      <c r="AQ21" s="21"/>
      <c r="AR21" s="21"/>
      <c r="AS21" s="20"/>
      <c r="AT21" s="21"/>
      <c r="AU21" s="20"/>
      <c r="AV21" s="21"/>
    </row>
    <row r="22" spans="1:48">
      <c r="A22" t="s">
        <v>220</v>
      </c>
      <c r="B22" t="s">
        <v>221</v>
      </c>
      <c r="C22" s="42">
        <v>44917</v>
      </c>
      <c r="D22" s="54" t="s">
        <v>493</v>
      </c>
      <c r="E22" t="s">
        <v>26</v>
      </c>
      <c r="F22" s="29" t="s">
        <v>223</v>
      </c>
      <c r="G22" s="21" t="s">
        <v>494</v>
      </c>
      <c r="H22" s="30" t="s">
        <v>495</v>
      </c>
      <c r="I22" s="151">
        <f>IF(SUM(P22:AV22)=0,"-",SUM(P22:AV22))</f>
        <v>5</v>
      </c>
      <c r="J22" s="33">
        <f>IF(SUMPRODUCT($P$3:$AV$3,P22:AV22)=0,"-",SUMPRODUCT($P$3:$AV$3,P22:AV22))</f>
        <v>360</v>
      </c>
      <c r="K22" s="89">
        <v>44931</v>
      </c>
      <c r="L22" s="38">
        <v>4200635815</v>
      </c>
      <c r="M22" s="38" t="s">
        <v>249</v>
      </c>
      <c r="N22" s="172"/>
      <c r="O22" s="173"/>
      <c r="P22" s="20"/>
      <c r="Q22" s="43"/>
      <c r="R22" s="21"/>
      <c r="S22" s="21"/>
      <c r="T22" s="21"/>
      <c r="U22" s="21"/>
      <c r="V22" s="21"/>
      <c r="W22" s="47"/>
      <c r="X22" s="21">
        <v>4</v>
      </c>
      <c r="Y22" s="21"/>
      <c r="Z22" s="21"/>
      <c r="AA22" s="21">
        <v>1</v>
      </c>
      <c r="AB22" s="21"/>
      <c r="AC22" s="21"/>
      <c r="AD22" s="43"/>
      <c r="AE22" s="43"/>
      <c r="AF22" s="20"/>
      <c r="AG22" s="20"/>
      <c r="AH22" s="21"/>
      <c r="AI22" s="21"/>
      <c r="AJ22" s="21"/>
      <c r="AK22" s="21"/>
      <c r="AL22" s="21"/>
      <c r="AM22" s="20"/>
      <c r="AN22" s="21"/>
      <c r="AO22" s="21"/>
      <c r="AP22" s="21"/>
      <c r="AQ22" s="21"/>
      <c r="AR22" s="21"/>
      <c r="AS22" s="20"/>
      <c r="AT22" s="21"/>
      <c r="AU22" s="20"/>
      <c r="AV22" s="21"/>
    </row>
    <row r="23" spans="1:48">
      <c r="A23" t="s">
        <v>220</v>
      </c>
      <c r="B23" t="s">
        <v>221</v>
      </c>
      <c r="C23" s="42">
        <v>44923</v>
      </c>
      <c r="D23" s="54" t="s">
        <v>496</v>
      </c>
      <c r="E23" t="s">
        <v>38</v>
      </c>
      <c r="F23" s="29" t="s">
        <v>223</v>
      </c>
      <c r="G23" s="21" t="s">
        <v>67</v>
      </c>
      <c r="H23" s="30" t="s">
        <v>497</v>
      </c>
      <c r="I23" s="151">
        <f>IF(SUM(P23:AV23)=0,"-",SUM(P23:AV23))</f>
        <v>0.5</v>
      </c>
      <c r="J23" s="33">
        <f>IF(SUMPRODUCT($P$3:$AV$3,P23:AV23)=0,"-",SUMPRODUCT($P$3:$AV$3,P23:AV23))</f>
        <v>300</v>
      </c>
      <c r="K23" s="89">
        <v>44931</v>
      </c>
      <c r="L23" s="38">
        <v>4200634748</v>
      </c>
      <c r="M23" s="38" t="s">
        <v>249</v>
      </c>
      <c r="N23" s="172"/>
      <c r="O23" s="173"/>
      <c r="P23" s="20"/>
      <c r="Q23" s="43"/>
      <c r="R23" s="21"/>
      <c r="S23" s="21"/>
      <c r="T23" s="21"/>
      <c r="U23" s="21"/>
      <c r="V23" s="21"/>
      <c r="W23" s="20"/>
      <c r="X23" s="21"/>
      <c r="Y23" s="21"/>
      <c r="Z23" s="21"/>
      <c r="AA23" s="21"/>
      <c r="AB23" s="21"/>
      <c r="AC23" s="21"/>
      <c r="AD23" s="43"/>
      <c r="AE23" s="43"/>
      <c r="AF23" s="20"/>
      <c r="AG23" s="20"/>
      <c r="AH23" s="21">
        <v>0.5</v>
      </c>
      <c r="AI23" s="21"/>
      <c r="AJ23" s="21"/>
      <c r="AK23" s="21"/>
      <c r="AL23" s="21"/>
      <c r="AM23" s="20"/>
      <c r="AN23" s="21"/>
      <c r="AO23" s="21"/>
      <c r="AP23" s="21"/>
      <c r="AQ23" s="21"/>
      <c r="AR23" s="21"/>
      <c r="AS23" s="20"/>
      <c r="AT23" s="21"/>
      <c r="AU23" s="20"/>
      <c r="AV23" s="21"/>
    </row>
    <row r="24" spans="1:48">
      <c r="A24" t="s">
        <v>220</v>
      </c>
      <c r="B24" t="s">
        <v>221</v>
      </c>
      <c r="C24" s="42">
        <v>44928</v>
      </c>
      <c r="D24" s="55" t="s">
        <v>498</v>
      </c>
      <c r="E24" t="s">
        <v>46</v>
      </c>
      <c r="F24" s="29" t="s">
        <v>223</v>
      </c>
      <c r="G24" s="21" t="s">
        <v>130</v>
      </c>
      <c r="H24" s="78" t="s">
        <v>499</v>
      </c>
      <c r="I24" s="151">
        <f>IF(SUM(P24:AV24)=0,"-",SUM(P24:AV24))</f>
        <v>6</v>
      </c>
      <c r="J24" s="33">
        <f>IF(SUMPRODUCT($P$3:$AV$3,P24:AV24)=0,"-",SUMPRODUCT($P$3:$AV$3,P24:AV24))</f>
        <v>380</v>
      </c>
      <c r="K24" s="89">
        <v>44931</v>
      </c>
      <c r="L24" s="48">
        <v>4200633093</v>
      </c>
      <c r="M24" s="38" t="s">
        <v>249</v>
      </c>
      <c r="N24" s="172"/>
      <c r="O24" s="173"/>
      <c r="P24" s="7">
        <v>2</v>
      </c>
      <c r="Q24" s="44">
        <v>4</v>
      </c>
      <c r="AD24" s="44"/>
      <c r="AE24" s="44"/>
    </row>
    <row r="25" spans="1:48">
      <c r="A25" t="s">
        <v>220</v>
      </c>
      <c r="B25" t="s">
        <v>221</v>
      </c>
      <c r="C25" s="42">
        <v>44928</v>
      </c>
      <c r="D25" s="55" t="s">
        <v>500</v>
      </c>
      <c r="E25" t="s">
        <v>36</v>
      </c>
      <c r="F25" s="29" t="s">
        <v>223</v>
      </c>
      <c r="G25" s="21" t="s">
        <v>69</v>
      </c>
      <c r="H25" s="78" t="s">
        <v>501</v>
      </c>
      <c r="I25" s="151">
        <f>IF(SUM(P25:AV25)=0,"-",SUM(P25:AV25))</f>
        <v>6</v>
      </c>
      <c r="J25" s="33">
        <f>IF(SUMPRODUCT($P$3:$AV$3,P25:AV25)=0,"-",SUMPRODUCT($P$3:$AV$3,P25:AV25))</f>
        <v>295</v>
      </c>
      <c r="K25" s="89">
        <v>44931</v>
      </c>
      <c r="L25" s="48">
        <v>4200632673</v>
      </c>
      <c r="M25" s="38" t="s">
        <v>249</v>
      </c>
      <c r="N25" s="172"/>
      <c r="O25" s="173" t="s">
        <v>479</v>
      </c>
      <c r="P25" s="7">
        <v>1</v>
      </c>
      <c r="Q25" s="44">
        <v>5</v>
      </c>
      <c r="AD25" s="44"/>
      <c r="AE25" s="44"/>
    </row>
    <row r="26" spans="1:48">
      <c r="A26" t="s">
        <v>220</v>
      </c>
      <c r="B26" t="s">
        <v>221</v>
      </c>
      <c r="C26" s="42">
        <v>44928</v>
      </c>
      <c r="D26" s="55" t="s">
        <v>502</v>
      </c>
      <c r="E26" t="s">
        <v>36</v>
      </c>
      <c r="F26" s="29" t="s">
        <v>223</v>
      </c>
      <c r="G26" s="21" t="s">
        <v>69</v>
      </c>
      <c r="H26" s="78" t="s">
        <v>503</v>
      </c>
      <c r="I26" s="151">
        <f>IF(SUM(P26:AV26)=0,"-",SUM(P26:AV26))</f>
        <v>6</v>
      </c>
      <c r="J26" s="33">
        <f>IF(SUMPRODUCT($P$3:$AV$3,P26:AV26)=0,"-",SUMPRODUCT($P$3:$AV$3,P26:AV26))</f>
        <v>295</v>
      </c>
      <c r="K26" s="89">
        <v>44931</v>
      </c>
      <c r="L26" s="48">
        <v>4200632670</v>
      </c>
      <c r="M26" s="38" t="s">
        <v>249</v>
      </c>
      <c r="N26" s="172"/>
      <c r="O26" s="173" t="s">
        <v>479</v>
      </c>
      <c r="P26" s="7">
        <v>1</v>
      </c>
      <c r="Q26" s="44">
        <v>5</v>
      </c>
      <c r="AD26" s="44"/>
      <c r="AE26" s="44"/>
    </row>
    <row r="27" spans="1:48">
      <c r="A27" t="s">
        <v>220</v>
      </c>
      <c r="B27" t="s">
        <v>221</v>
      </c>
      <c r="C27" s="42">
        <v>44930</v>
      </c>
      <c r="D27" s="56" t="s">
        <v>504</v>
      </c>
      <c r="E27" t="s">
        <v>437</v>
      </c>
      <c r="F27" s="29" t="s">
        <v>223</v>
      </c>
      <c r="G27" s="21" t="s">
        <v>438</v>
      </c>
      <c r="H27" s="78" t="s">
        <v>505</v>
      </c>
      <c r="I27" s="151">
        <f>IF(SUM(P27:AV27)=0,"-",SUM(P27:AV27))</f>
        <v>9</v>
      </c>
      <c r="J27" s="33">
        <f>IF(SUMPRODUCT($P$3:$AV$3,P27:AV27)=0,"-",SUMPRODUCT($P$3:$AV$3,P27:AV27))</f>
        <v>315</v>
      </c>
      <c r="K27" s="89">
        <v>44943</v>
      </c>
      <c r="L27" s="48">
        <v>4200634882</v>
      </c>
      <c r="M27" s="38" t="s">
        <v>249</v>
      </c>
      <c r="N27" s="172"/>
      <c r="O27" s="173"/>
      <c r="Q27" s="8">
        <v>9</v>
      </c>
      <c r="AD27" s="44"/>
      <c r="AE27" s="44"/>
    </row>
    <row r="28" spans="1:48">
      <c r="A28" t="s">
        <v>220</v>
      </c>
      <c r="B28" t="s">
        <v>221</v>
      </c>
      <c r="C28" s="42">
        <v>44930</v>
      </c>
      <c r="D28" s="55" t="s">
        <v>506</v>
      </c>
      <c r="E28" t="s">
        <v>46</v>
      </c>
      <c r="F28" s="29" t="s">
        <v>223</v>
      </c>
      <c r="G28" s="21" t="s">
        <v>130</v>
      </c>
      <c r="H28" s="78" t="s">
        <v>507</v>
      </c>
      <c r="I28" s="151">
        <f>IF(SUM(P28:AV28)=0,"-",SUM(P28:AV28))</f>
        <v>4</v>
      </c>
      <c r="J28" s="33">
        <f>IF(SUMPRODUCT($P$3:$AV$3,P28:AV28)=0,"-",SUMPRODUCT($P$3:$AV$3,P28:AV28))</f>
        <v>300</v>
      </c>
      <c r="K28" s="89">
        <v>44941</v>
      </c>
      <c r="L28" s="38">
        <v>4200635620</v>
      </c>
      <c r="M28" s="38" t="s">
        <v>249</v>
      </c>
      <c r="N28" s="172"/>
      <c r="O28" s="173"/>
      <c r="X28" s="8">
        <v>3</v>
      </c>
      <c r="Y28" s="8">
        <v>1</v>
      </c>
      <c r="AD28" s="44"/>
      <c r="AE28" s="44"/>
    </row>
    <row r="29" spans="1:48">
      <c r="A29" t="s">
        <v>220</v>
      </c>
      <c r="B29" t="s">
        <v>221</v>
      </c>
      <c r="C29" s="42">
        <v>44931</v>
      </c>
      <c r="D29" s="55" t="s">
        <v>508</v>
      </c>
      <c r="E29" t="s">
        <v>37</v>
      </c>
      <c r="F29" s="29" t="s">
        <v>223</v>
      </c>
      <c r="G29" s="21" t="s">
        <v>438</v>
      </c>
      <c r="H29" s="78" t="s">
        <v>509</v>
      </c>
      <c r="I29" s="151">
        <f>IF(SUM(P29:AV29)=0,"-",SUM(P29:AV29))</f>
        <v>4</v>
      </c>
      <c r="J29" s="33">
        <f>IF(SUMPRODUCT($P$3:$AV$3,P29:AV29)=0,"-",SUMPRODUCT($P$3:$AV$3,P29:AV29))</f>
        <v>140</v>
      </c>
      <c r="K29" s="89">
        <v>44942</v>
      </c>
      <c r="L29" s="48">
        <v>4200633321</v>
      </c>
      <c r="M29" s="38" t="s">
        <v>249</v>
      </c>
      <c r="N29" s="172"/>
      <c r="O29" s="173"/>
      <c r="Q29" s="8">
        <v>4</v>
      </c>
      <c r="AD29" s="44"/>
      <c r="AE29" s="44"/>
    </row>
    <row r="30" spans="1:48">
      <c r="A30" t="s">
        <v>220</v>
      </c>
      <c r="B30" t="s">
        <v>221</v>
      </c>
      <c r="C30" s="42">
        <v>44936</v>
      </c>
      <c r="D30" s="55" t="s">
        <v>510</v>
      </c>
      <c r="E30" t="s">
        <v>26</v>
      </c>
      <c r="F30" s="29" t="s">
        <v>223</v>
      </c>
      <c r="G30" s="8" t="s">
        <v>69</v>
      </c>
      <c r="H30" s="78" t="s">
        <v>511</v>
      </c>
      <c r="I30" s="151">
        <f>IF(SUM(P30:AV30)=0,"-",SUM(P30:AV30))</f>
        <v>2</v>
      </c>
      <c r="J30" s="33">
        <v>250</v>
      </c>
      <c r="K30" s="90">
        <v>45006</v>
      </c>
      <c r="L30" s="48">
        <v>4200639269</v>
      </c>
      <c r="M30" s="38" t="s">
        <v>249</v>
      </c>
      <c r="N30" s="172"/>
      <c r="O30" s="173"/>
      <c r="AB30" s="8">
        <v>2</v>
      </c>
      <c r="AD30" s="44"/>
      <c r="AE30" s="44"/>
    </row>
    <row r="31" spans="1:48">
      <c r="A31" t="s">
        <v>220</v>
      </c>
      <c r="B31" t="s">
        <v>221</v>
      </c>
      <c r="C31" s="42">
        <v>44938</v>
      </c>
      <c r="D31" s="55" t="s">
        <v>512</v>
      </c>
      <c r="E31" t="s">
        <v>26</v>
      </c>
      <c r="F31" s="29" t="s">
        <v>223</v>
      </c>
      <c r="G31" s="8" t="s">
        <v>69</v>
      </c>
      <c r="H31" s="78" t="s">
        <v>490</v>
      </c>
      <c r="I31" s="151">
        <f>IF(SUM(P31:AV31)=0,"-",SUM(P31:AV31))</f>
        <v>4</v>
      </c>
      <c r="J31" s="33">
        <f>IF(SUMPRODUCT($P$3:$AV$3,P31:AV31)=0,"-",SUMPRODUCT($P$3:$AV$3,P31:AV31))</f>
        <v>145</v>
      </c>
      <c r="K31" s="89">
        <v>44941</v>
      </c>
      <c r="L31" s="48">
        <v>4200639281</v>
      </c>
      <c r="M31" s="38" t="s">
        <v>249</v>
      </c>
      <c r="N31" s="172"/>
      <c r="O31" s="173"/>
      <c r="Q31" s="8">
        <v>3</v>
      </c>
      <c r="X31" s="8">
        <v>1</v>
      </c>
      <c r="AD31" s="44"/>
      <c r="AE31" s="44"/>
    </row>
    <row r="32" spans="1:48">
      <c r="A32" t="s">
        <v>220</v>
      </c>
      <c r="B32" t="s">
        <v>221</v>
      </c>
      <c r="C32" s="42">
        <v>44938</v>
      </c>
      <c r="D32" s="55" t="s">
        <v>513</v>
      </c>
      <c r="E32" t="s">
        <v>437</v>
      </c>
      <c r="F32" s="29" t="s">
        <v>223</v>
      </c>
      <c r="G32" s="21" t="s">
        <v>438</v>
      </c>
      <c r="H32" s="78" t="s">
        <v>514</v>
      </c>
      <c r="I32" s="151">
        <f>IF(SUM(P32:AV32)=0,"-",SUM(P32:AV32))</f>
        <v>2</v>
      </c>
      <c r="J32" s="33">
        <f>IF(SUMPRODUCT($P$3:$AV$3,P32:AV32)=0,"-",SUMPRODUCT($P$3:$AV$3,P32:AV32))</f>
        <v>80</v>
      </c>
      <c r="K32" s="89">
        <v>44941</v>
      </c>
      <c r="L32" s="38">
        <v>4270024966</v>
      </c>
      <c r="M32" s="38" t="s">
        <v>249</v>
      </c>
      <c r="N32" s="172"/>
      <c r="O32" s="173"/>
      <c r="X32" s="8">
        <v>2</v>
      </c>
      <c r="AD32" s="44"/>
      <c r="AE32" s="44"/>
    </row>
    <row r="33" spans="1:45">
      <c r="A33" t="s">
        <v>220</v>
      </c>
      <c r="B33" t="s">
        <v>221</v>
      </c>
      <c r="C33" s="42">
        <v>44942</v>
      </c>
      <c r="D33" s="54" t="s">
        <v>515</v>
      </c>
      <c r="E33" t="s">
        <v>26</v>
      </c>
      <c r="F33" s="29" t="s">
        <v>223</v>
      </c>
      <c r="G33" s="8" t="s">
        <v>69</v>
      </c>
      <c r="H33" s="49" t="s">
        <v>481</v>
      </c>
      <c r="I33" s="151">
        <f>IF(SUM(P33:AV33)=0,"-",SUM(P33:AV33))</f>
        <v>1</v>
      </c>
      <c r="J33" s="33">
        <f>IF(SUMPRODUCT($P$3:$AV$3,P33:AV33)=0,"-",SUMPRODUCT($P$3:$AV$3,P33:AV33))</f>
        <v>600</v>
      </c>
      <c r="K33" s="90">
        <v>44950</v>
      </c>
      <c r="L33" s="48">
        <v>4200639268</v>
      </c>
      <c r="M33" s="38" t="s">
        <v>249</v>
      </c>
      <c r="N33" s="172"/>
      <c r="O33" s="173"/>
      <c r="AD33" s="44"/>
      <c r="AE33" s="44"/>
      <c r="AH33" s="8">
        <v>1</v>
      </c>
    </row>
    <row r="34" spans="1:45">
      <c r="A34" t="s">
        <v>220</v>
      </c>
      <c r="B34" t="s">
        <v>221</v>
      </c>
      <c r="C34" s="42">
        <v>44943</v>
      </c>
      <c r="D34" s="54" t="s">
        <v>516</v>
      </c>
      <c r="E34" t="s">
        <v>26</v>
      </c>
      <c r="F34" s="29" t="s">
        <v>223</v>
      </c>
      <c r="G34" s="8" t="s">
        <v>69</v>
      </c>
      <c r="H34" s="49" t="s">
        <v>481</v>
      </c>
      <c r="I34" s="151">
        <f>IF(SUM(P34:AV34)=0,"-",SUM(P34:AV34))</f>
        <v>1.2</v>
      </c>
      <c r="J34" s="33">
        <f>IF(SUMPRODUCT($P$3:$AV$3,P34:AV34)=0,"-",SUMPRODUCT($P$3:$AV$3,P34:AV34))</f>
        <v>3000</v>
      </c>
      <c r="K34" s="90">
        <v>44950</v>
      </c>
      <c r="L34" s="48">
        <v>4200639270</v>
      </c>
      <c r="M34" s="38" t="s">
        <v>249</v>
      </c>
      <c r="N34" s="172">
        <v>63659</v>
      </c>
      <c r="O34" s="173" t="s">
        <v>517</v>
      </c>
      <c r="AD34" s="44"/>
      <c r="AE34" s="44"/>
      <c r="AS34" s="7">
        <f>3000/2500</f>
        <v>1.2</v>
      </c>
    </row>
    <row r="35" spans="1:45">
      <c r="A35" t="s">
        <v>220</v>
      </c>
      <c r="B35" t="s">
        <v>221</v>
      </c>
      <c r="C35" s="42">
        <v>44943</v>
      </c>
      <c r="D35" s="55" t="s">
        <v>518</v>
      </c>
      <c r="E35" t="s">
        <v>36</v>
      </c>
      <c r="F35" s="29" t="s">
        <v>223</v>
      </c>
      <c r="G35" s="8" t="s">
        <v>69</v>
      </c>
      <c r="H35" s="53" t="s">
        <v>519</v>
      </c>
      <c r="I35" s="151">
        <f>IF(SUM(P35:AV35)=0,"-",SUM(P35:AV35))</f>
        <v>4</v>
      </c>
      <c r="J35" s="52">
        <f>IF(SUMPRODUCT($P$3:$AV$3,P35:AV35)=0,"-",SUMPRODUCT($P$3:$AV$3,P35:AV35))</f>
        <v>140</v>
      </c>
      <c r="K35" s="90">
        <v>44950</v>
      </c>
      <c r="L35" s="48">
        <v>4200633858</v>
      </c>
      <c r="M35" s="38" t="s">
        <v>249</v>
      </c>
      <c r="N35" s="172"/>
      <c r="O35" s="173" t="s">
        <v>479</v>
      </c>
      <c r="Q35" s="8">
        <v>4</v>
      </c>
      <c r="AD35" s="44"/>
      <c r="AE35" s="44"/>
    </row>
    <row r="36" spans="1:45">
      <c r="A36" t="s">
        <v>220</v>
      </c>
      <c r="B36" t="s">
        <v>221</v>
      </c>
      <c r="C36" s="42">
        <v>44944</v>
      </c>
      <c r="D36" s="55" t="s">
        <v>520</v>
      </c>
      <c r="E36" t="s">
        <v>437</v>
      </c>
      <c r="F36" s="29" t="s">
        <v>223</v>
      </c>
      <c r="G36" s="21" t="s">
        <v>438</v>
      </c>
      <c r="H36" s="78" t="s">
        <v>521</v>
      </c>
      <c r="I36" s="151">
        <f>IF(SUM(P36:AV36)=0,"-",SUM(P36:AV36))</f>
        <v>5</v>
      </c>
      <c r="J36" s="62">
        <f>IF(SUMPRODUCT($P$3:$AV$3,P36:AV36)=0,"-",SUMPRODUCT($P$3:$AV$3,P36:AV36))</f>
        <v>485</v>
      </c>
      <c r="K36" s="90">
        <v>44963</v>
      </c>
      <c r="L36" s="48">
        <v>4200634883</v>
      </c>
      <c r="M36" s="38" t="s">
        <v>249</v>
      </c>
      <c r="N36" s="172"/>
      <c r="O36" s="173"/>
      <c r="W36" s="7">
        <v>3</v>
      </c>
      <c r="X36" s="8">
        <v>2</v>
      </c>
      <c r="AD36" s="44"/>
      <c r="AE36" s="44"/>
    </row>
    <row r="37" spans="1:45">
      <c r="A37" t="s">
        <v>220</v>
      </c>
      <c r="B37" t="s">
        <v>221</v>
      </c>
      <c r="C37" s="42">
        <v>44951</v>
      </c>
      <c r="D37" s="55" t="s">
        <v>522</v>
      </c>
      <c r="E37" t="s">
        <v>38</v>
      </c>
      <c r="F37" s="29" t="s">
        <v>223</v>
      </c>
      <c r="G37" s="8" t="s">
        <v>67</v>
      </c>
      <c r="H37" s="78" t="s">
        <v>523</v>
      </c>
      <c r="I37" s="151">
        <f>IF(SUM(P37:AV37)=0,"-",SUM(P37:AV37))</f>
        <v>3</v>
      </c>
      <c r="J37" s="52">
        <f>IF(SUMPRODUCT($P$3:$AV$3,P37:AV37)=0,"-",SUMPRODUCT($P$3:$AV$3,P37:AV37))</f>
        <v>310</v>
      </c>
      <c r="K37" s="90">
        <v>44963</v>
      </c>
      <c r="L37" s="38">
        <v>4200635109</v>
      </c>
      <c r="M37" s="38" t="s">
        <v>249</v>
      </c>
      <c r="N37" s="172"/>
      <c r="O37" s="173"/>
      <c r="W37" s="7">
        <v>2</v>
      </c>
      <c r="X37" s="8">
        <v>1</v>
      </c>
      <c r="AD37" s="44"/>
      <c r="AE37" s="44"/>
    </row>
    <row r="38" spans="1:45">
      <c r="A38" t="s">
        <v>220</v>
      </c>
      <c r="B38" t="s">
        <v>221</v>
      </c>
      <c r="C38" s="42">
        <v>44951</v>
      </c>
      <c r="D38" s="55" t="s">
        <v>524</v>
      </c>
      <c r="E38" t="s">
        <v>46</v>
      </c>
      <c r="F38" s="29" t="s">
        <v>223</v>
      </c>
      <c r="G38" s="21" t="s">
        <v>130</v>
      </c>
      <c r="H38" s="78" t="s">
        <v>525</v>
      </c>
      <c r="I38" s="151">
        <f>IF(SUM(P38:AV38)=0,"-",SUM(P38:AV38))</f>
        <v>2</v>
      </c>
      <c r="J38" s="52">
        <f>IF(SUMPRODUCT($P$3:$AV$3,P38:AV38)=0,"-",SUMPRODUCT($P$3:$AV$3,P38:AV38))</f>
        <v>215</v>
      </c>
      <c r="K38" s="90">
        <v>44963</v>
      </c>
      <c r="L38" s="48">
        <v>4200638979</v>
      </c>
      <c r="M38" s="38" t="s">
        <v>249</v>
      </c>
      <c r="N38" s="172"/>
      <c r="O38" s="173"/>
      <c r="Q38" s="8">
        <v>1</v>
      </c>
      <c r="Y38" s="8">
        <v>1</v>
      </c>
      <c r="AD38" s="44"/>
      <c r="AE38" s="44"/>
    </row>
    <row r="39" spans="1:45">
      <c r="A39" t="s">
        <v>220</v>
      </c>
      <c r="B39" t="s">
        <v>221</v>
      </c>
      <c r="C39" s="42">
        <v>44956</v>
      </c>
      <c r="D39" s="55" t="s">
        <v>526</v>
      </c>
      <c r="E39" t="s">
        <v>36</v>
      </c>
      <c r="F39" s="29" t="s">
        <v>223</v>
      </c>
      <c r="G39" s="8" t="s">
        <v>69</v>
      </c>
      <c r="H39" s="78" t="s">
        <v>527</v>
      </c>
      <c r="I39" s="151">
        <f>IF(SUM(P39:AV39)=0,"-",SUM(P39:AV39))</f>
        <v>2</v>
      </c>
      <c r="J39" s="52">
        <f>IF(SUMPRODUCT($P$3:$AV$3,P39:AV39)=0,"-",SUMPRODUCT($P$3:$AV$3,P39:AV39))</f>
        <v>270</v>
      </c>
      <c r="K39" s="90">
        <v>44963</v>
      </c>
      <c r="L39" s="48">
        <v>4200636045</v>
      </c>
      <c r="M39" s="38" t="s">
        <v>249</v>
      </c>
      <c r="N39" s="172"/>
      <c r="O39" s="173" t="s">
        <v>479</v>
      </c>
      <c r="W39" s="7">
        <v>2</v>
      </c>
      <c r="AD39" s="44"/>
      <c r="AE39" s="44"/>
    </row>
    <row r="40" spans="1:45">
      <c r="A40" t="s">
        <v>220</v>
      </c>
      <c r="B40" t="s">
        <v>221</v>
      </c>
      <c r="C40" s="42">
        <v>44956</v>
      </c>
      <c r="D40" s="56" t="s">
        <v>528</v>
      </c>
      <c r="E40" t="s">
        <v>437</v>
      </c>
      <c r="F40" s="29" t="s">
        <v>223</v>
      </c>
      <c r="G40" s="21" t="s">
        <v>438</v>
      </c>
      <c r="H40" s="78" t="s">
        <v>529</v>
      </c>
      <c r="I40" s="151">
        <f>IF(SUM(P40:AV40)=0,"-",SUM(P40:AV40))</f>
        <v>27</v>
      </c>
      <c r="J40" s="62">
        <f>IF(SUMPRODUCT($P$3:$AV$3,P40:AV40)=0,"-",SUMPRODUCT($P$3:$AV$3,P40:AV40))</f>
        <v>945</v>
      </c>
      <c r="K40" s="90">
        <v>44963</v>
      </c>
      <c r="L40" s="38">
        <v>4200637328</v>
      </c>
      <c r="M40" s="38" t="s">
        <v>249</v>
      </c>
      <c r="N40" s="172"/>
      <c r="O40" s="173"/>
      <c r="Q40" s="8">
        <v>27</v>
      </c>
      <c r="AD40" s="44"/>
      <c r="AE40" s="44"/>
    </row>
    <row r="41" spans="1:45">
      <c r="A41" t="s">
        <v>220</v>
      </c>
      <c r="B41" t="s">
        <v>221</v>
      </c>
      <c r="C41" s="42">
        <v>44958</v>
      </c>
      <c r="D41" s="55" t="s">
        <v>530</v>
      </c>
      <c r="E41" t="s">
        <v>36</v>
      </c>
      <c r="F41" s="29" t="s">
        <v>223</v>
      </c>
      <c r="G41" s="8" t="s">
        <v>69</v>
      </c>
      <c r="H41" s="78" t="s">
        <v>531</v>
      </c>
      <c r="I41" s="151">
        <f>IF(SUM(P41:AV41)=0,"-",SUM(P41:AV41))</f>
        <v>6</v>
      </c>
      <c r="J41" s="52">
        <f>IF(SUMPRODUCT($P$3:$AV$3,P41:AV41)=0,"-",SUMPRODUCT($P$3:$AV$3,P41:AV41))</f>
        <v>295</v>
      </c>
      <c r="K41" s="93" t="s">
        <v>532</v>
      </c>
      <c r="L41" s="194" t="s">
        <v>481</v>
      </c>
      <c r="M41" s="194"/>
      <c r="N41" s="194"/>
      <c r="O41" s="195"/>
      <c r="P41" s="7">
        <v>1</v>
      </c>
      <c r="Q41" s="8">
        <v>5</v>
      </c>
      <c r="AD41" s="44"/>
      <c r="AE41" s="44"/>
    </row>
    <row r="42" spans="1:45">
      <c r="A42" t="s">
        <v>220</v>
      </c>
      <c r="B42" t="s">
        <v>221</v>
      </c>
      <c r="C42" s="42">
        <v>44958</v>
      </c>
      <c r="D42" s="55" t="s">
        <v>533</v>
      </c>
      <c r="E42" t="s">
        <v>36</v>
      </c>
      <c r="F42" s="29" t="s">
        <v>223</v>
      </c>
      <c r="G42" s="8" t="s">
        <v>69</v>
      </c>
      <c r="H42" s="78" t="s">
        <v>534</v>
      </c>
      <c r="I42" s="151">
        <f>IF(SUM(P42:AV42)=0,"-",SUM(P42:AV42))</f>
        <v>6</v>
      </c>
      <c r="J42" s="52">
        <f>IF(SUMPRODUCT($P$3:$AV$3,P42:AV42)=0,"-",SUMPRODUCT($P$3:$AV$3,P42:AV42))</f>
        <v>295</v>
      </c>
      <c r="K42" s="93" t="s">
        <v>535</v>
      </c>
      <c r="L42" s="208"/>
      <c r="M42" s="194"/>
      <c r="N42" s="194"/>
      <c r="O42" s="195"/>
      <c r="P42" s="7">
        <v>1</v>
      </c>
      <c r="Q42" s="8">
        <v>5</v>
      </c>
      <c r="AD42" s="44"/>
      <c r="AE42" s="44"/>
    </row>
    <row r="43" spans="1:45">
      <c r="A43" t="s">
        <v>220</v>
      </c>
      <c r="B43" t="s">
        <v>221</v>
      </c>
      <c r="C43" s="42">
        <v>44964</v>
      </c>
      <c r="D43" s="55" t="s">
        <v>536</v>
      </c>
      <c r="E43" t="s">
        <v>437</v>
      </c>
      <c r="F43" s="29" t="s">
        <v>223</v>
      </c>
      <c r="G43" s="21" t="s">
        <v>438</v>
      </c>
      <c r="H43" s="78" t="s">
        <v>537</v>
      </c>
      <c r="I43" s="151">
        <f>IF(SUM(P43:AV43)=0,"-",SUM(P43:AV43))</f>
        <v>2</v>
      </c>
      <c r="J43" s="62">
        <f>IF(SUMPRODUCT($P$3:$AV$3,P43:AV43)=0,"-",SUMPRODUCT($P$3:$AV$3,P43:AV43))</f>
        <v>500</v>
      </c>
      <c r="K43" s="90">
        <v>44978</v>
      </c>
      <c r="L43" s="48">
        <v>4200637327</v>
      </c>
      <c r="M43" s="38" t="s">
        <v>249</v>
      </c>
      <c r="N43" s="172"/>
      <c r="O43" s="173"/>
      <c r="Z43" s="8">
        <v>2</v>
      </c>
      <c r="AD43" s="44"/>
      <c r="AE43" s="44"/>
    </row>
    <row r="44" spans="1:45">
      <c r="A44" t="s">
        <v>220</v>
      </c>
      <c r="B44" t="s">
        <v>221</v>
      </c>
      <c r="C44" s="42">
        <v>44964</v>
      </c>
      <c r="D44" s="55" t="s">
        <v>538</v>
      </c>
      <c r="E44" t="s">
        <v>437</v>
      </c>
      <c r="F44" s="29" t="s">
        <v>223</v>
      </c>
      <c r="G44" s="21" t="s">
        <v>438</v>
      </c>
      <c r="H44" s="78" t="s">
        <v>539</v>
      </c>
      <c r="I44" s="151">
        <f>IF(SUM(P44:AV44)=0,"-",SUM(P44:AV44))</f>
        <v>5</v>
      </c>
      <c r="J44" s="62">
        <f>IF(SUMPRODUCT($P$3:$AV$3,P44:AV44)=0,"-",SUMPRODUCT($P$3:$AV$3,P44:AV44))</f>
        <v>200</v>
      </c>
      <c r="K44" s="90">
        <v>44978</v>
      </c>
      <c r="L44" s="48">
        <v>4200637329</v>
      </c>
      <c r="M44" s="38" t="s">
        <v>249</v>
      </c>
      <c r="N44" s="172"/>
      <c r="O44" s="173"/>
      <c r="X44" s="8">
        <v>5</v>
      </c>
      <c r="AD44" s="44"/>
      <c r="AE44" s="44"/>
    </row>
    <row r="45" spans="1:45">
      <c r="A45" t="s">
        <v>220</v>
      </c>
      <c r="B45" t="s">
        <v>221</v>
      </c>
      <c r="C45" s="42">
        <v>44965</v>
      </c>
      <c r="D45" s="55" t="s">
        <v>540</v>
      </c>
      <c r="E45" t="s">
        <v>36</v>
      </c>
      <c r="F45" s="29" t="s">
        <v>223</v>
      </c>
      <c r="G45" s="8" t="s">
        <v>69</v>
      </c>
      <c r="H45" s="78" t="s">
        <v>541</v>
      </c>
      <c r="I45" s="151">
        <f>IF(SUM(P45:AV45)=0,"-",SUM(P45:AV45))</f>
        <v>6</v>
      </c>
      <c r="J45" s="52">
        <f>IF(SUMPRODUCT($P$3:$AV$3,P45:AV45)=0,"-",SUMPRODUCT($P$3:$AV$3,P45:AV45))</f>
        <v>210</v>
      </c>
      <c r="K45" s="90">
        <v>44978</v>
      </c>
      <c r="L45" s="48">
        <v>4200639098</v>
      </c>
      <c r="M45" s="38" t="s">
        <v>249</v>
      </c>
      <c r="N45" s="172"/>
      <c r="O45" s="173" t="s">
        <v>479</v>
      </c>
      <c r="Q45" s="8">
        <v>6</v>
      </c>
      <c r="AD45" s="44"/>
      <c r="AE45" s="44"/>
    </row>
    <row r="46" spans="1:45">
      <c r="A46" t="s">
        <v>220</v>
      </c>
      <c r="B46" t="s">
        <v>221</v>
      </c>
      <c r="C46" s="42">
        <v>44970</v>
      </c>
      <c r="D46" s="55" t="s">
        <v>542</v>
      </c>
      <c r="E46" t="s">
        <v>437</v>
      </c>
      <c r="F46" s="29" t="s">
        <v>223</v>
      </c>
      <c r="G46" s="21" t="s">
        <v>438</v>
      </c>
      <c r="H46" s="78" t="s">
        <v>543</v>
      </c>
      <c r="I46" s="151">
        <f>IF(SUM(P46:AV46)=0,"-",SUM(P46:AV46))</f>
        <v>4</v>
      </c>
      <c r="J46" s="62">
        <f>IF(SUMPRODUCT($P$3:$AV$3,P46:AV46)=0,"-",SUMPRODUCT($P$3:$AV$3,P46:AV46))</f>
        <v>350</v>
      </c>
      <c r="K46" s="90">
        <v>44978</v>
      </c>
      <c r="L46" s="48">
        <v>4200639013</v>
      </c>
      <c r="M46" s="38" t="s">
        <v>249</v>
      </c>
      <c r="N46" s="172"/>
      <c r="O46" s="173"/>
      <c r="W46" s="7">
        <v>2</v>
      </c>
      <c r="X46" s="8">
        <v>2</v>
      </c>
      <c r="AD46" s="44"/>
      <c r="AE46" s="44"/>
    </row>
    <row r="47" spans="1:45">
      <c r="A47" t="s">
        <v>220</v>
      </c>
      <c r="B47" t="s">
        <v>221</v>
      </c>
      <c r="C47" s="42">
        <v>44970</v>
      </c>
      <c r="D47" s="55" t="s">
        <v>544</v>
      </c>
      <c r="E47" t="s">
        <v>36</v>
      </c>
      <c r="F47" s="29" t="s">
        <v>223</v>
      </c>
      <c r="G47" s="8" t="s">
        <v>69</v>
      </c>
      <c r="H47" s="78" t="s">
        <v>545</v>
      </c>
      <c r="I47" s="151">
        <f>IF(SUM(P47:AV47)=0,"-",SUM(P47:AV47))</f>
        <v>11</v>
      </c>
      <c r="J47" s="52">
        <f>IF(SUMPRODUCT($P$3:$AV$3,P47:AV47)=0,"-",SUMPRODUCT($P$3:$AV$3,P47:AV47))</f>
        <v>495</v>
      </c>
      <c r="K47" s="90">
        <v>44978</v>
      </c>
      <c r="L47" s="48">
        <v>4200636098</v>
      </c>
      <c r="M47" s="38" t="s">
        <v>249</v>
      </c>
      <c r="N47" s="172"/>
      <c r="O47" s="173" t="s">
        <v>479</v>
      </c>
      <c r="P47" s="7">
        <v>1</v>
      </c>
      <c r="Q47" s="8">
        <v>5</v>
      </c>
      <c r="X47" s="8">
        <v>5</v>
      </c>
      <c r="AD47" s="44"/>
      <c r="AE47" s="44"/>
    </row>
    <row r="48" spans="1:45">
      <c r="A48" t="s">
        <v>220</v>
      </c>
      <c r="B48" t="s">
        <v>221</v>
      </c>
      <c r="C48" s="42">
        <v>44971</v>
      </c>
      <c r="D48" s="55" t="s">
        <v>546</v>
      </c>
      <c r="E48" t="s">
        <v>36</v>
      </c>
      <c r="F48" s="29" t="s">
        <v>223</v>
      </c>
      <c r="G48" s="8" t="s">
        <v>69</v>
      </c>
      <c r="H48" s="78" t="s">
        <v>547</v>
      </c>
      <c r="I48" s="151">
        <f>IF(SUM(P48:AV48)=0,"-",SUM(P48:AV48))</f>
        <v>13</v>
      </c>
      <c r="J48" s="52">
        <f>IF(SUMPRODUCT($P$3:$AV$3,P48:AV48)=0,"-",SUMPRODUCT($P$3:$AV$3,P48:AV48))</f>
        <v>660</v>
      </c>
      <c r="K48" s="90">
        <v>44978</v>
      </c>
      <c r="L48" s="48">
        <v>4200639098</v>
      </c>
      <c r="M48" s="38" t="s">
        <v>249</v>
      </c>
      <c r="N48" s="172"/>
      <c r="O48" s="173" t="s">
        <v>479</v>
      </c>
      <c r="P48" s="7">
        <v>1</v>
      </c>
      <c r="Q48" s="8">
        <v>7</v>
      </c>
      <c r="W48" s="7">
        <v>1</v>
      </c>
      <c r="X48" s="8">
        <v>4</v>
      </c>
      <c r="AD48" s="44"/>
      <c r="AE48" s="44"/>
    </row>
    <row r="49" spans="1:49">
      <c r="A49" t="s">
        <v>220</v>
      </c>
      <c r="B49" t="s">
        <v>221</v>
      </c>
      <c r="C49" s="42">
        <v>44973</v>
      </c>
      <c r="D49" s="54" t="s">
        <v>548</v>
      </c>
      <c r="E49" t="s">
        <v>26</v>
      </c>
      <c r="F49" s="29" t="s">
        <v>223</v>
      </c>
      <c r="G49" s="8" t="s">
        <v>69</v>
      </c>
      <c r="H49" s="49" t="s">
        <v>481</v>
      </c>
      <c r="I49" s="151">
        <f>IF(SUM(P49:AV49)=0,"-",SUM(P49:AV49))</f>
        <v>1</v>
      </c>
      <c r="J49" s="52">
        <f>IF(SUMPRODUCT($P$3:$AV$3,P49:AV49)=0,"-",SUMPRODUCT($P$3:$AV$3,P49:AV49))</f>
        <v>600</v>
      </c>
      <c r="K49" s="90">
        <v>44973</v>
      </c>
      <c r="L49" s="48">
        <v>4200636262</v>
      </c>
      <c r="M49" s="48" t="s">
        <v>228</v>
      </c>
      <c r="N49" s="81"/>
      <c r="O49" s="131"/>
      <c r="AH49" s="8">
        <v>1</v>
      </c>
    </row>
    <row r="50" spans="1:49">
      <c r="A50" t="s">
        <v>220</v>
      </c>
      <c r="B50" t="s">
        <v>221</v>
      </c>
      <c r="C50" s="42">
        <v>44974</v>
      </c>
      <c r="D50" s="55" t="s">
        <v>549</v>
      </c>
      <c r="E50" s="5" t="s">
        <v>242</v>
      </c>
      <c r="F50" s="29" t="s">
        <v>223</v>
      </c>
      <c r="G50" s="8" t="s">
        <v>67</v>
      </c>
      <c r="H50" s="78" t="s">
        <v>550</v>
      </c>
      <c r="I50" s="151">
        <f>IF(SUM(P50:AV50)=0,"-",SUM(P50:AV50))</f>
        <v>2</v>
      </c>
      <c r="J50" s="52">
        <f>IF(SUMPRODUCT($P$3:$AV$3,P50:AV50)=0,"-",SUMPRODUCT($P$3:$AV$3,P50:AV50))</f>
        <v>240</v>
      </c>
      <c r="K50" s="90">
        <v>44981</v>
      </c>
      <c r="L50" s="48">
        <v>4200639291</v>
      </c>
      <c r="M50" s="48" t="s">
        <v>228</v>
      </c>
      <c r="N50" s="81"/>
      <c r="O50" s="131"/>
      <c r="P50" s="7">
        <v>2</v>
      </c>
    </row>
    <row r="51" spans="1:49">
      <c r="A51" t="s">
        <v>220</v>
      </c>
      <c r="B51" t="s">
        <v>221</v>
      </c>
      <c r="C51" s="42">
        <v>44977</v>
      </c>
      <c r="D51" s="55" t="s">
        <v>551</v>
      </c>
      <c r="E51" t="s">
        <v>437</v>
      </c>
      <c r="F51" s="29" t="s">
        <v>223</v>
      </c>
      <c r="G51" s="8" t="s">
        <v>438</v>
      </c>
      <c r="H51" s="78" t="s">
        <v>552</v>
      </c>
      <c r="I51" s="151">
        <f>IF(SUM(P51:AV51)=0,"-",SUM(P51:AV51))</f>
        <v>1</v>
      </c>
      <c r="J51" s="62">
        <f>IF(SUMPRODUCT($P$3:$AV$3,P51:AV51)=0,"-",SUMPRODUCT($P$3:$AV$3,P51:AV51))</f>
        <v>135</v>
      </c>
      <c r="K51" s="90">
        <v>44978</v>
      </c>
      <c r="L51" s="48">
        <v>4200638974</v>
      </c>
      <c r="M51" s="38" t="s">
        <v>249</v>
      </c>
      <c r="N51" s="172"/>
      <c r="O51" s="173"/>
      <c r="W51" s="7">
        <v>1</v>
      </c>
    </row>
    <row r="52" spans="1:49">
      <c r="A52" t="s">
        <v>220</v>
      </c>
      <c r="B52" t="s">
        <v>221</v>
      </c>
      <c r="C52" s="42">
        <v>44977</v>
      </c>
      <c r="D52" s="55" t="s">
        <v>553</v>
      </c>
      <c r="E52" s="5" t="s">
        <v>230</v>
      </c>
      <c r="F52" s="29" t="s">
        <v>223</v>
      </c>
      <c r="G52" s="8" t="s">
        <v>130</v>
      </c>
      <c r="H52" s="78" t="s">
        <v>554</v>
      </c>
      <c r="I52" s="151">
        <f>IF(SUM(P52:AV52)=0,"-",SUM(P52:AV52))</f>
        <v>1</v>
      </c>
      <c r="J52" s="52">
        <f>IF(SUMPRODUCT($P$3:$AV$3,P52:AV52)=0,"-",SUMPRODUCT($P$3:$AV$3,P52:AV52))</f>
        <v>120</v>
      </c>
      <c r="K52" s="90">
        <v>44981</v>
      </c>
      <c r="L52" s="48">
        <v>4200639008</v>
      </c>
      <c r="M52" s="48" t="s">
        <v>228</v>
      </c>
      <c r="N52" s="81"/>
      <c r="O52" s="131"/>
      <c r="P52" s="7">
        <v>1</v>
      </c>
    </row>
    <row r="53" spans="1:49">
      <c r="A53" t="s">
        <v>220</v>
      </c>
      <c r="B53" t="s">
        <v>221</v>
      </c>
      <c r="C53" s="42">
        <v>44979</v>
      </c>
      <c r="D53" s="56" t="s">
        <v>555</v>
      </c>
      <c r="E53" t="s">
        <v>437</v>
      </c>
      <c r="F53" s="29" t="s">
        <v>223</v>
      </c>
      <c r="G53" s="8" t="s">
        <v>438</v>
      </c>
      <c r="H53" s="78" t="s">
        <v>556</v>
      </c>
      <c r="I53" s="151">
        <f>IF(SUM(P53:AV53)=0,"-",SUM(P53:AV53))</f>
        <v>10</v>
      </c>
      <c r="J53" s="62">
        <f>IF(SUMPRODUCT($P$3:$AV$3,P53:AV53)=0,"-",SUMPRODUCT($P$3:$AV$3,P53:AV53))</f>
        <v>780</v>
      </c>
      <c r="K53" s="90">
        <v>44981</v>
      </c>
      <c r="L53" s="48">
        <v>4200639014</v>
      </c>
      <c r="M53" s="38" t="s">
        <v>249</v>
      </c>
      <c r="N53" s="172"/>
      <c r="O53" s="173"/>
      <c r="W53" s="7">
        <v>4</v>
      </c>
      <c r="X53" s="8">
        <v>6</v>
      </c>
    </row>
    <row r="54" spans="1:49">
      <c r="A54" t="s">
        <v>220</v>
      </c>
      <c r="B54" t="s">
        <v>221</v>
      </c>
      <c r="C54" s="42">
        <v>44986</v>
      </c>
      <c r="D54" s="55" t="s">
        <v>557</v>
      </c>
      <c r="E54" t="s">
        <v>437</v>
      </c>
      <c r="F54" s="29" t="s">
        <v>223</v>
      </c>
      <c r="G54" s="8" t="s">
        <v>93</v>
      </c>
      <c r="H54" s="78" t="s">
        <v>558</v>
      </c>
      <c r="I54" s="151">
        <f>IF(SUM(P54:AV54)=0,"-",SUM(P54:AV54))</f>
        <v>4</v>
      </c>
      <c r="J54" s="62">
        <f>IF(SUMPRODUCT($P$3:$AV$3,P54:AV54)=0,"-",SUMPRODUCT($P$3:$AV$3,P54:AV54))</f>
        <v>540</v>
      </c>
      <c r="K54" s="90">
        <v>44981</v>
      </c>
      <c r="L54" s="48">
        <v>4200639227</v>
      </c>
      <c r="M54" s="38" t="s">
        <v>249</v>
      </c>
      <c r="N54" s="172"/>
      <c r="O54" s="173"/>
      <c r="W54" s="7">
        <v>4</v>
      </c>
    </row>
    <row r="55" spans="1:49">
      <c r="A55" t="s">
        <v>220</v>
      </c>
      <c r="B55" t="s">
        <v>221</v>
      </c>
      <c r="C55" s="42">
        <v>44986</v>
      </c>
      <c r="D55" s="55" t="s">
        <v>559</v>
      </c>
      <c r="E55" t="s">
        <v>437</v>
      </c>
      <c r="F55" s="29" t="s">
        <v>223</v>
      </c>
      <c r="G55" s="8" t="s">
        <v>93</v>
      </c>
      <c r="H55" s="78" t="s">
        <v>560</v>
      </c>
      <c r="I55" s="151">
        <f>IF(SUM(P55:AV55)=0,"-",SUM(P55:AV55))</f>
        <v>11</v>
      </c>
      <c r="J55" s="62">
        <f>IF(SUMPRODUCT($P$3:$AV$3,P55:AV55)=0,"-",SUMPRODUCT($P$3:$AV$3,P55:AV55))</f>
        <v>470</v>
      </c>
      <c r="K55" s="90">
        <v>44981</v>
      </c>
      <c r="L55" s="48">
        <v>4200639226</v>
      </c>
      <c r="M55" s="48" t="s">
        <v>228</v>
      </c>
      <c r="N55" s="81"/>
      <c r="O55" s="131"/>
      <c r="P55" s="7">
        <v>1</v>
      </c>
      <c r="Q55" s="8">
        <v>10</v>
      </c>
    </row>
    <row r="56" spans="1:49">
      <c r="A56" t="s">
        <v>220</v>
      </c>
      <c r="B56" t="s">
        <v>221</v>
      </c>
      <c r="C56" s="42">
        <v>44994</v>
      </c>
      <c r="D56" s="55" t="s">
        <v>561</v>
      </c>
      <c r="E56" t="s">
        <v>36</v>
      </c>
      <c r="F56" s="29" t="s">
        <v>223</v>
      </c>
      <c r="G56" s="8" t="s">
        <v>69</v>
      </c>
      <c r="H56" s="78" t="s">
        <v>562</v>
      </c>
      <c r="I56" s="151">
        <f>IF(SUM(P56:AV56)=0,"-",SUM(P56:AV56))</f>
        <v>10</v>
      </c>
      <c r="J56" s="62">
        <f>IF(SUMPRODUCT($P$3:$AV$3,P56:AV56)=0,"-",SUMPRODUCT($P$3:$AV$3,P56:AV56))</f>
        <v>445</v>
      </c>
      <c r="K56" s="90">
        <v>45006</v>
      </c>
      <c r="L56" s="48">
        <v>4200640853</v>
      </c>
      <c r="M56" s="48" t="s">
        <v>228</v>
      </c>
      <c r="N56" s="81"/>
      <c r="O56" s="173" t="s">
        <v>479</v>
      </c>
      <c r="P56" s="7">
        <v>1</v>
      </c>
      <c r="Q56" s="8">
        <v>7</v>
      </c>
      <c r="X56" s="8">
        <v>2</v>
      </c>
    </row>
    <row r="57" spans="1:49">
      <c r="A57" t="s">
        <v>220</v>
      </c>
      <c r="B57" t="s">
        <v>221</v>
      </c>
      <c r="C57" s="42">
        <v>45001</v>
      </c>
      <c r="D57" s="55" t="s">
        <v>563</v>
      </c>
      <c r="E57" t="s">
        <v>437</v>
      </c>
      <c r="F57" s="29" t="s">
        <v>223</v>
      </c>
      <c r="G57" s="8" t="s">
        <v>438</v>
      </c>
      <c r="H57" s="78" t="s">
        <v>564</v>
      </c>
      <c r="I57" s="151">
        <f>IF(SUM(P57:AV57)=0,"-",SUM(P57:AV57))</f>
        <v>9</v>
      </c>
      <c r="J57" s="62">
        <f>IF(SUMPRODUCT($P$3:$AV$3,P57:AV57)=0,"-",SUMPRODUCT($P$3:$AV$3,P57:AV57))</f>
        <v>570</v>
      </c>
      <c r="K57" s="90">
        <v>44981</v>
      </c>
      <c r="L57" s="48">
        <v>4200640930</v>
      </c>
      <c r="M57" s="48" t="s">
        <v>228</v>
      </c>
      <c r="N57" s="81"/>
      <c r="O57" s="131"/>
      <c r="P57" s="7">
        <v>3</v>
      </c>
      <c r="Q57" s="8">
        <v>6</v>
      </c>
    </row>
    <row r="58" spans="1:49">
      <c r="A58" t="s">
        <v>220</v>
      </c>
      <c r="B58" t="s">
        <v>221</v>
      </c>
      <c r="C58" s="42">
        <v>45005</v>
      </c>
      <c r="D58" s="55" t="s">
        <v>565</v>
      </c>
      <c r="E58" s="5" t="s">
        <v>230</v>
      </c>
      <c r="F58" s="29" t="s">
        <v>223</v>
      </c>
      <c r="G58" s="8" t="s">
        <v>438</v>
      </c>
      <c r="H58" s="78" t="s">
        <v>566</v>
      </c>
      <c r="I58" s="151">
        <f>IF(SUM(P58:AV58)=0,"-",SUM(P58:AV58))</f>
        <v>2</v>
      </c>
      <c r="J58" s="62">
        <f>IF(SUMPRODUCT($P$3:$AV$3,P58:AV58)=0,"-",SUMPRODUCT($P$3:$AV$3,P58:AV58))</f>
        <v>240</v>
      </c>
      <c r="K58" s="90">
        <v>45005</v>
      </c>
      <c r="L58" s="48">
        <v>4200639051</v>
      </c>
      <c r="M58" s="48" t="s">
        <v>228</v>
      </c>
      <c r="N58" s="81"/>
      <c r="O58" s="131"/>
      <c r="P58" s="7">
        <v>2</v>
      </c>
    </row>
    <row r="59" spans="1:49">
      <c r="A59" t="s">
        <v>220</v>
      </c>
      <c r="B59" t="s">
        <v>221</v>
      </c>
      <c r="C59" s="42">
        <v>45005</v>
      </c>
      <c r="D59" s="55" t="s">
        <v>567</v>
      </c>
      <c r="E59" s="5" t="s">
        <v>230</v>
      </c>
      <c r="F59" s="64" t="s">
        <v>481</v>
      </c>
      <c r="G59" s="8" t="s">
        <v>130</v>
      </c>
      <c r="H59" s="49" t="s">
        <v>481</v>
      </c>
      <c r="I59" s="151">
        <f>IF(SUM(P59:AV59)=0,"-",SUM(P59:AV59))</f>
        <v>0.83333333333333337</v>
      </c>
      <c r="J59" s="62">
        <f>IF(SUMPRODUCT($P$3:$AV$3,P59:AV59)=0,"-",SUMPRODUCT($P$3:$AV$3,P59:AV59))</f>
        <v>1000</v>
      </c>
      <c r="K59" s="90">
        <v>45005</v>
      </c>
      <c r="L59" s="48">
        <v>4200639006</v>
      </c>
      <c r="M59" s="48" t="s">
        <v>228</v>
      </c>
      <c r="N59" s="81"/>
      <c r="O59" s="131"/>
      <c r="AJ59" s="63">
        <f>1/1.2</f>
        <v>0.83333333333333337</v>
      </c>
    </row>
    <row r="60" spans="1:49">
      <c r="A60" t="s">
        <v>220</v>
      </c>
      <c r="B60" t="s">
        <v>221</v>
      </c>
      <c r="C60" s="42">
        <v>45005</v>
      </c>
      <c r="D60" s="55" t="s">
        <v>568</v>
      </c>
      <c r="E60" s="5" t="s">
        <v>230</v>
      </c>
      <c r="F60" s="64" t="s">
        <v>481</v>
      </c>
      <c r="G60" s="8" t="s">
        <v>438</v>
      </c>
      <c r="H60" s="49" t="s">
        <v>481</v>
      </c>
      <c r="I60" s="151">
        <f>IF(SUM(P60:AV60)=0,"-",SUM(P60:AV60))</f>
        <v>0.6</v>
      </c>
      <c r="J60" s="62">
        <f>IF(SUMPRODUCT($P$3:$AV$3,P60:AV60)=0,"-",SUMPRODUCT($P$3:$AV$3,P60:AV60))</f>
        <v>720</v>
      </c>
      <c r="K60" s="90">
        <v>45005</v>
      </c>
      <c r="L60" s="175">
        <v>4200638728</v>
      </c>
      <c r="M60" s="175" t="s">
        <v>228</v>
      </c>
      <c r="N60" s="175" t="s">
        <v>569</v>
      </c>
      <c r="O60" s="176" t="s">
        <v>570</v>
      </c>
      <c r="AJ60" s="8">
        <f>0.6/1</f>
        <v>0.6</v>
      </c>
    </row>
    <row r="61" spans="1:49">
      <c r="A61" t="s">
        <v>220</v>
      </c>
      <c r="B61" t="s">
        <v>221</v>
      </c>
      <c r="C61" s="42">
        <v>45006</v>
      </c>
      <c r="D61" s="55" t="s">
        <v>571</v>
      </c>
      <c r="E61" t="s">
        <v>26</v>
      </c>
      <c r="F61" s="64" t="s">
        <v>481</v>
      </c>
      <c r="G61" s="8" t="s">
        <v>69</v>
      </c>
      <c r="H61" s="49" t="s">
        <v>481</v>
      </c>
      <c r="I61" s="151">
        <f>IF(SUM(P61:AV61)=0,"-",SUM(P61:AV61))</f>
        <v>0.83333333333333337</v>
      </c>
      <c r="J61" s="62">
        <f>IF(SUMPRODUCT($P$3:$AV$3,P61:AV61)=0,"-",SUMPRODUCT($P$3:$AV$3,P61:AV61))</f>
        <v>1000</v>
      </c>
      <c r="K61" s="90">
        <v>45006</v>
      </c>
      <c r="L61" s="48">
        <v>4200639353</v>
      </c>
      <c r="M61" s="48" t="s">
        <v>228</v>
      </c>
      <c r="N61" s="81"/>
      <c r="O61" s="131"/>
      <c r="AJ61" s="63">
        <f>1/1.2</f>
        <v>0.83333333333333337</v>
      </c>
    </row>
    <row r="62" spans="1:49">
      <c r="A62" t="s">
        <v>220</v>
      </c>
      <c r="B62" t="s">
        <v>221</v>
      </c>
      <c r="C62" s="42">
        <v>45006</v>
      </c>
      <c r="D62" s="54" t="s">
        <v>572</v>
      </c>
      <c r="E62" t="s">
        <v>26</v>
      </c>
      <c r="F62" s="64" t="s">
        <v>481</v>
      </c>
      <c r="G62" s="8" t="s">
        <v>69</v>
      </c>
      <c r="H62" s="49" t="s">
        <v>481</v>
      </c>
      <c r="I62" s="151">
        <f>IF(SUM(P62:AV62)=0,"-",SUM(P62:AV62))</f>
        <v>1</v>
      </c>
      <c r="J62" s="62">
        <f>IF(SUMPRODUCT($P$3:$AV$3,P62:AV62)=0,"-",SUMPRODUCT($P$3:$AV$3,P62:AV62))</f>
        <v>600</v>
      </c>
      <c r="K62" s="90">
        <v>45006</v>
      </c>
      <c r="L62" s="166"/>
      <c r="M62" s="166"/>
      <c r="N62" s="166"/>
      <c r="O62" s="193"/>
      <c r="AH62" s="8">
        <v>1</v>
      </c>
    </row>
    <row r="63" spans="1:49">
      <c r="A63" t="s">
        <v>220</v>
      </c>
      <c r="B63" t="s">
        <v>221</v>
      </c>
      <c r="C63" s="42">
        <v>45006</v>
      </c>
      <c r="D63" s="54" t="s">
        <v>573</v>
      </c>
      <c r="E63" s="57" t="s">
        <v>46</v>
      </c>
      <c r="F63" s="29" t="s">
        <v>223</v>
      </c>
      <c r="G63" s="8" t="s">
        <v>130</v>
      </c>
      <c r="H63" s="49" t="s">
        <v>481</v>
      </c>
      <c r="I63" s="151">
        <f>SUM(I64:I78)</f>
        <v>135</v>
      </c>
      <c r="J63" s="52">
        <f>SUM(J64:J78)</f>
        <v>6130</v>
      </c>
      <c r="K63" s="90">
        <v>45006</v>
      </c>
      <c r="L63" s="48">
        <v>4200639031</v>
      </c>
      <c r="M63" s="48" t="s">
        <v>228</v>
      </c>
      <c r="N63" s="81"/>
      <c r="O63" s="131"/>
    </row>
    <row r="64" spans="1:49" s="72" customFormat="1" outlineLevel="1">
      <c r="A64" s="57" t="s">
        <v>220</v>
      </c>
      <c r="B64" s="57" t="s">
        <v>221</v>
      </c>
      <c r="C64" s="42">
        <v>45006</v>
      </c>
      <c r="D64" s="58" t="s">
        <v>574</v>
      </c>
      <c r="E64" s="57" t="s">
        <v>46</v>
      </c>
      <c r="F64" s="59" t="s">
        <v>223</v>
      </c>
      <c r="G64" s="67" t="s">
        <v>130</v>
      </c>
      <c r="H64" s="68" t="s">
        <v>575</v>
      </c>
      <c r="I64" s="152">
        <f>IF(SUM(P64:AV64)=0,"-",SUM(P64:AV64))</f>
        <v>1</v>
      </c>
      <c r="J64" s="75">
        <f>IF(SUMPRODUCT($P$3:$AV$3,P64:AV64)=0,"-",SUMPRODUCT($P$3:$AV$3,P64:AV64))</f>
        <v>120</v>
      </c>
      <c r="K64" s="92" t="s">
        <v>481</v>
      </c>
      <c r="L64" s="67"/>
      <c r="M64" s="67"/>
      <c r="N64" s="67"/>
      <c r="O64" s="135"/>
      <c r="P64" s="70">
        <v>1</v>
      </c>
      <c r="Q64" s="67"/>
      <c r="R64" s="67"/>
      <c r="S64" s="67"/>
      <c r="T64" s="67"/>
      <c r="U64" s="67"/>
      <c r="V64" s="67"/>
      <c r="W64" s="70"/>
      <c r="X64" s="67"/>
      <c r="Y64" s="67"/>
      <c r="Z64" s="67"/>
      <c r="AA64" s="67"/>
      <c r="AB64" s="67"/>
      <c r="AC64" s="67"/>
      <c r="AD64" s="67"/>
      <c r="AE64" s="67"/>
      <c r="AF64" s="70"/>
      <c r="AG64" s="70"/>
      <c r="AH64" s="67"/>
      <c r="AI64" s="67"/>
      <c r="AJ64" s="67"/>
      <c r="AK64" s="67"/>
      <c r="AL64" s="67"/>
      <c r="AM64" s="70"/>
      <c r="AN64" s="67"/>
      <c r="AO64" s="67"/>
      <c r="AP64" s="67"/>
      <c r="AQ64" s="67"/>
      <c r="AR64" s="67"/>
      <c r="AS64" s="70"/>
      <c r="AT64" s="67"/>
      <c r="AU64" s="70"/>
      <c r="AV64" s="67"/>
      <c r="AW64" s="71"/>
    </row>
    <row r="65" spans="1:49" s="72" customFormat="1" outlineLevel="1">
      <c r="A65" s="57" t="s">
        <v>220</v>
      </c>
      <c r="B65" s="57" t="s">
        <v>221</v>
      </c>
      <c r="C65" s="42">
        <v>45006</v>
      </c>
      <c r="D65" s="58" t="s">
        <v>576</v>
      </c>
      <c r="E65" s="57" t="s">
        <v>46</v>
      </c>
      <c r="F65" s="59" t="s">
        <v>223</v>
      </c>
      <c r="G65" s="67" t="s">
        <v>130</v>
      </c>
      <c r="H65" s="68" t="s">
        <v>577</v>
      </c>
      <c r="I65" s="152">
        <f>IF(SUM(P65:AV65)=0,"-",SUM(P65:AV65))</f>
        <v>20</v>
      </c>
      <c r="J65" s="75">
        <f>IF(SUMPRODUCT($P$3:$AV$3,P65:AV65)=0,"-",SUMPRODUCT($P$3:$AV$3,P65:AV65))</f>
        <v>730</v>
      </c>
      <c r="K65" s="92" t="s">
        <v>481</v>
      </c>
      <c r="L65" s="67"/>
      <c r="M65" s="67"/>
      <c r="N65" s="67"/>
      <c r="O65" s="135"/>
      <c r="P65" s="70"/>
      <c r="Q65" s="67">
        <v>14</v>
      </c>
      <c r="R65" s="67"/>
      <c r="S65" s="67"/>
      <c r="T65" s="67"/>
      <c r="U65" s="67"/>
      <c r="V65" s="67"/>
      <c r="W65" s="70"/>
      <c r="X65" s="67">
        <v>6</v>
      </c>
      <c r="Y65" s="67"/>
      <c r="Z65" s="67"/>
      <c r="AA65" s="67"/>
      <c r="AB65" s="67"/>
      <c r="AC65" s="67"/>
      <c r="AD65" s="67"/>
      <c r="AE65" s="67"/>
      <c r="AF65" s="70"/>
      <c r="AG65" s="70"/>
      <c r="AH65" s="67"/>
      <c r="AI65" s="67"/>
      <c r="AJ65" s="67"/>
      <c r="AK65" s="67"/>
      <c r="AL65" s="67"/>
      <c r="AM65" s="70"/>
      <c r="AN65" s="67"/>
      <c r="AO65" s="67"/>
      <c r="AP65" s="67"/>
      <c r="AQ65" s="67"/>
      <c r="AR65" s="67"/>
      <c r="AS65" s="70"/>
      <c r="AT65" s="67"/>
      <c r="AU65" s="70"/>
      <c r="AV65" s="67"/>
      <c r="AW65" s="71"/>
    </row>
    <row r="66" spans="1:49" s="72" customFormat="1" outlineLevel="1">
      <c r="A66" s="57" t="s">
        <v>220</v>
      </c>
      <c r="B66" s="57" t="s">
        <v>221</v>
      </c>
      <c r="C66" s="42">
        <v>45006</v>
      </c>
      <c r="D66" s="58" t="s">
        <v>578</v>
      </c>
      <c r="E66" s="57" t="s">
        <v>46</v>
      </c>
      <c r="F66" s="59" t="s">
        <v>223</v>
      </c>
      <c r="G66" s="67" t="s">
        <v>130</v>
      </c>
      <c r="H66" s="68" t="s">
        <v>577</v>
      </c>
      <c r="I66" s="152">
        <f>IF(SUM(P66:AV66)=0,"-",SUM(P66:AV66))</f>
        <v>21</v>
      </c>
      <c r="J66" s="75">
        <f>IF(SUMPRODUCT($P$3:$AV$3,P66:AV66)=0,"-",SUMPRODUCT($P$3:$AV$3,P66:AV66))</f>
        <v>770</v>
      </c>
      <c r="K66" s="92" t="s">
        <v>481</v>
      </c>
      <c r="L66" s="67"/>
      <c r="M66" s="67"/>
      <c r="N66" s="67"/>
      <c r="O66" s="135"/>
      <c r="P66" s="70"/>
      <c r="Q66" s="67">
        <v>14</v>
      </c>
      <c r="R66" s="67"/>
      <c r="S66" s="67"/>
      <c r="T66" s="67"/>
      <c r="U66" s="67"/>
      <c r="V66" s="67"/>
      <c r="W66" s="70"/>
      <c r="X66" s="67">
        <v>7</v>
      </c>
      <c r="Y66" s="67"/>
      <c r="Z66" s="67"/>
      <c r="AA66" s="67"/>
      <c r="AB66" s="67"/>
      <c r="AC66" s="67"/>
      <c r="AD66" s="67"/>
      <c r="AE66" s="67"/>
      <c r="AF66" s="70"/>
      <c r="AG66" s="70"/>
      <c r="AH66" s="67"/>
      <c r="AI66" s="67"/>
      <c r="AJ66" s="67"/>
      <c r="AK66" s="67"/>
      <c r="AL66" s="67"/>
      <c r="AM66" s="70"/>
      <c r="AN66" s="67"/>
      <c r="AO66" s="67"/>
      <c r="AP66" s="67"/>
      <c r="AQ66" s="67"/>
      <c r="AR66" s="67"/>
      <c r="AS66" s="70"/>
      <c r="AT66" s="67"/>
      <c r="AU66" s="70"/>
      <c r="AV66" s="67"/>
      <c r="AW66" s="71"/>
    </row>
    <row r="67" spans="1:49" s="72" customFormat="1" outlineLevel="1">
      <c r="A67" s="57" t="s">
        <v>220</v>
      </c>
      <c r="B67" s="57" t="s">
        <v>221</v>
      </c>
      <c r="C67" s="42">
        <v>45006</v>
      </c>
      <c r="D67" s="58" t="s">
        <v>579</v>
      </c>
      <c r="E67" s="57" t="s">
        <v>46</v>
      </c>
      <c r="F67" s="59" t="s">
        <v>223</v>
      </c>
      <c r="G67" s="67" t="s">
        <v>130</v>
      </c>
      <c r="H67" s="68" t="s">
        <v>580</v>
      </c>
      <c r="I67" s="152">
        <f>IF(SUM(P67:AV67)=0,"-",SUM(P67:AV67))</f>
        <v>4</v>
      </c>
      <c r="J67" s="75">
        <f>IF(SUMPRODUCT($P$3:$AV$3,P67:AV67)=0,"-",SUMPRODUCT($P$3:$AV$3,P67:AV67))</f>
        <v>225</v>
      </c>
      <c r="K67" s="92" t="s">
        <v>481</v>
      </c>
      <c r="L67" s="67"/>
      <c r="M67" s="67"/>
      <c r="N67" s="67"/>
      <c r="O67" s="135"/>
      <c r="P67" s="70">
        <v>1</v>
      </c>
      <c r="Q67" s="67">
        <v>3</v>
      </c>
      <c r="R67" s="67"/>
      <c r="S67" s="67"/>
      <c r="T67" s="67"/>
      <c r="U67" s="67"/>
      <c r="V67" s="67"/>
      <c r="W67" s="70"/>
      <c r="X67" s="67"/>
      <c r="Y67" s="67"/>
      <c r="Z67" s="67"/>
      <c r="AA67" s="67"/>
      <c r="AB67" s="67"/>
      <c r="AC67" s="67"/>
      <c r="AD67" s="67"/>
      <c r="AE67" s="67"/>
      <c r="AF67" s="70"/>
      <c r="AG67" s="70"/>
      <c r="AH67" s="67"/>
      <c r="AI67" s="67"/>
      <c r="AJ67" s="67"/>
      <c r="AK67" s="67"/>
      <c r="AL67" s="67"/>
      <c r="AM67" s="70"/>
      <c r="AN67" s="67"/>
      <c r="AO67" s="67"/>
      <c r="AP67" s="67"/>
      <c r="AQ67" s="67"/>
      <c r="AR67" s="67"/>
      <c r="AS67" s="70"/>
      <c r="AT67" s="67"/>
      <c r="AU67" s="70"/>
      <c r="AV67" s="67"/>
      <c r="AW67" s="71"/>
    </row>
    <row r="68" spans="1:49" s="72" customFormat="1" outlineLevel="1">
      <c r="A68" s="57" t="s">
        <v>220</v>
      </c>
      <c r="B68" s="57" t="s">
        <v>221</v>
      </c>
      <c r="C68" s="42">
        <v>45006</v>
      </c>
      <c r="D68" s="58" t="s">
        <v>581</v>
      </c>
      <c r="E68" s="57" t="s">
        <v>46</v>
      </c>
      <c r="F68" s="59" t="s">
        <v>223</v>
      </c>
      <c r="G68" s="67" t="s">
        <v>130</v>
      </c>
      <c r="H68" s="68" t="s">
        <v>582</v>
      </c>
      <c r="I68" s="152">
        <f>IF(SUM(P68:AV68)=0,"-",SUM(P68:AV68))</f>
        <v>12</v>
      </c>
      <c r="J68" s="75">
        <f>IF(SUMPRODUCT($P$3:$AV$3,P68:AV68)=0,"-",SUMPRODUCT($P$3:$AV$3,P68:AV68))</f>
        <v>590</v>
      </c>
      <c r="K68" s="92" t="s">
        <v>481</v>
      </c>
      <c r="L68" s="67"/>
      <c r="M68" s="67"/>
      <c r="N68" s="67"/>
      <c r="O68" s="135"/>
      <c r="P68" s="70">
        <v>2</v>
      </c>
      <c r="Q68" s="67">
        <v>10</v>
      </c>
      <c r="R68" s="67"/>
      <c r="S68" s="67"/>
      <c r="T68" s="67"/>
      <c r="U68" s="67"/>
      <c r="V68" s="67"/>
      <c r="W68" s="70"/>
      <c r="X68" s="67"/>
      <c r="Y68" s="67"/>
      <c r="Z68" s="67"/>
      <c r="AA68" s="67"/>
      <c r="AB68" s="67"/>
      <c r="AC68" s="67"/>
      <c r="AD68" s="67"/>
      <c r="AE68" s="67"/>
      <c r="AF68" s="70"/>
      <c r="AG68" s="70"/>
      <c r="AH68" s="67"/>
      <c r="AI68" s="67"/>
      <c r="AJ68" s="67"/>
      <c r="AK68" s="67"/>
      <c r="AL68" s="67"/>
      <c r="AM68" s="70"/>
      <c r="AN68" s="67"/>
      <c r="AO68" s="67"/>
      <c r="AP68" s="67"/>
      <c r="AQ68" s="67"/>
      <c r="AR68" s="67"/>
      <c r="AS68" s="70"/>
      <c r="AT68" s="67"/>
      <c r="AU68" s="70"/>
      <c r="AV68" s="67"/>
      <c r="AW68" s="71"/>
    </row>
    <row r="69" spans="1:49" s="72" customFormat="1" outlineLevel="1">
      <c r="A69" s="57" t="s">
        <v>220</v>
      </c>
      <c r="B69" s="57" t="s">
        <v>221</v>
      </c>
      <c r="C69" s="42">
        <v>45006</v>
      </c>
      <c r="D69" s="58" t="s">
        <v>583</v>
      </c>
      <c r="E69" s="57" t="s">
        <v>46</v>
      </c>
      <c r="F69" s="59" t="s">
        <v>223</v>
      </c>
      <c r="G69" s="67" t="s">
        <v>130</v>
      </c>
      <c r="H69" s="68" t="s">
        <v>584</v>
      </c>
      <c r="I69" s="152">
        <f>IF(SUM(P69:AV69)=0,"-",SUM(P69:AV69))</f>
        <v>4</v>
      </c>
      <c r="J69" s="75">
        <f>IF(SUMPRODUCT($P$3:$AV$3,P69:AV69)=0,"-",SUMPRODUCT($P$3:$AV$3,P69:AV69))</f>
        <v>720</v>
      </c>
      <c r="K69" s="92" t="s">
        <v>481</v>
      </c>
      <c r="L69" s="67"/>
      <c r="M69" s="67"/>
      <c r="N69" s="67"/>
      <c r="O69" s="135"/>
      <c r="P69" s="70"/>
      <c r="Q69" s="67"/>
      <c r="R69" s="67"/>
      <c r="S69" s="67"/>
      <c r="T69" s="67"/>
      <c r="U69" s="67"/>
      <c r="V69" s="67"/>
      <c r="W69" s="70"/>
      <c r="X69" s="67"/>
      <c r="Y69" s="67">
        <v>4</v>
      </c>
      <c r="Z69" s="67"/>
      <c r="AA69" s="67"/>
      <c r="AB69" s="67"/>
      <c r="AC69" s="67"/>
      <c r="AD69" s="67"/>
      <c r="AE69" s="67"/>
      <c r="AF69" s="70"/>
      <c r="AG69" s="70"/>
      <c r="AH69" s="67"/>
      <c r="AI69" s="67"/>
      <c r="AJ69" s="67"/>
      <c r="AK69" s="67"/>
      <c r="AL69" s="67"/>
      <c r="AM69" s="70"/>
      <c r="AN69" s="67"/>
      <c r="AO69" s="67"/>
      <c r="AP69" s="67"/>
      <c r="AQ69" s="67"/>
      <c r="AR69" s="67"/>
      <c r="AS69" s="70"/>
      <c r="AT69" s="67"/>
      <c r="AU69" s="70"/>
      <c r="AV69" s="67"/>
      <c r="AW69" s="71"/>
    </row>
    <row r="70" spans="1:49" s="72" customFormat="1" outlineLevel="1">
      <c r="A70" s="57" t="s">
        <v>220</v>
      </c>
      <c r="B70" s="57" t="s">
        <v>221</v>
      </c>
      <c r="C70" s="42">
        <v>45006</v>
      </c>
      <c r="D70" s="58" t="s">
        <v>585</v>
      </c>
      <c r="E70" s="57" t="s">
        <v>46</v>
      </c>
      <c r="F70" s="59" t="s">
        <v>223</v>
      </c>
      <c r="G70" s="67" t="s">
        <v>130</v>
      </c>
      <c r="H70" s="68" t="s">
        <v>586</v>
      </c>
      <c r="I70" s="152">
        <f>IF(SUM(P70:AV70)=0,"-",SUM(P70:AV70))</f>
        <v>1</v>
      </c>
      <c r="J70" s="75">
        <f>IF(SUMPRODUCT($P$3:$AV$3,P70:AV70)=0,"-",SUMPRODUCT($P$3:$AV$3,P70:AV70))</f>
        <v>120</v>
      </c>
      <c r="K70" s="92" t="s">
        <v>481</v>
      </c>
      <c r="L70" s="67"/>
      <c r="M70" s="67"/>
      <c r="N70" s="67"/>
      <c r="O70" s="135"/>
      <c r="P70" s="70">
        <v>1</v>
      </c>
      <c r="Q70" s="67"/>
      <c r="R70" s="67"/>
      <c r="S70" s="67"/>
      <c r="T70" s="67"/>
      <c r="U70" s="67"/>
      <c r="V70" s="67"/>
      <c r="W70" s="70"/>
      <c r="X70" s="67"/>
      <c r="Y70" s="67"/>
      <c r="Z70" s="67"/>
      <c r="AA70" s="67"/>
      <c r="AB70" s="67"/>
      <c r="AC70" s="67"/>
      <c r="AD70" s="67"/>
      <c r="AE70" s="67"/>
      <c r="AF70" s="70"/>
      <c r="AG70" s="70"/>
      <c r="AH70" s="67"/>
      <c r="AI70" s="67"/>
      <c r="AJ70" s="67"/>
      <c r="AK70" s="67"/>
      <c r="AL70" s="67"/>
      <c r="AM70" s="70"/>
      <c r="AN70" s="67"/>
      <c r="AO70" s="67"/>
      <c r="AP70" s="67"/>
      <c r="AQ70" s="67"/>
      <c r="AR70" s="67"/>
      <c r="AS70" s="70"/>
      <c r="AT70" s="67"/>
      <c r="AU70" s="70"/>
      <c r="AV70" s="67"/>
      <c r="AW70" s="71"/>
    </row>
    <row r="71" spans="1:49" s="72" customFormat="1" outlineLevel="1">
      <c r="A71" s="57" t="s">
        <v>220</v>
      </c>
      <c r="B71" s="57" t="s">
        <v>221</v>
      </c>
      <c r="C71" s="42">
        <v>45006</v>
      </c>
      <c r="D71" s="73" t="s">
        <v>587</v>
      </c>
      <c r="E71" s="57" t="s">
        <v>46</v>
      </c>
      <c r="F71" s="59" t="s">
        <v>223</v>
      </c>
      <c r="G71" s="67" t="s">
        <v>130</v>
      </c>
      <c r="H71" s="68" t="s">
        <v>588</v>
      </c>
      <c r="I71" s="152">
        <f>IF(SUM(P71:AV71)=0,"-",SUM(P71:AV71))</f>
        <v>2</v>
      </c>
      <c r="J71" s="69">
        <f>IF(SUMPRODUCT($P$3:$AV$3,P71:AV71)=0,"-",SUMPRODUCT($P$3:$AV$3,P71:AV71))</f>
        <v>80</v>
      </c>
      <c r="K71" s="92" t="s">
        <v>481</v>
      </c>
      <c r="L71" s="67"/>
      <c r="M71" s="67"/>
      <c r="N71" s="67"/>
      <c r="O71" s="135"/>
      <c r="P71" s="70"/>
      <c r="Q71" s="67"/>
      <c r="R71" s="67"/>
      <c r="S71" s="67"/>
      <c r="T71" s="67"/>
      <c r="U71" s="67"/>
      <c r="V71" s="67"/>
      <c r="W71" s="70"/>
      <c r="X71" s="67">
        <v>2</v>
      </c>
      <c r="Y71" s="67"/>
      <c r="Z71" s="67"/>
      <c r="AA71" s="67"/>
      <c r="AB71" s="67"/>
      <c r="AC71" s="67"/>
      <c r="AD71" s="67"/>
      <c r="AE71" s="67"/>
      <c r="AF71" s="70"/>
      <c r="AG71" s="70"/>
      <c r="AH71" s="67"/>
      <c r="AI71" s="67"/>
      <c r="AJ71" s="67"/>
      <c r="AK71" s="67"/>
      <c r="AL71" s="67"/>
      <c r="AM71" s="70"/>
      <c r="AN71" s="67"/>
      <c r="AO71" s="67"/>
      <c r="AP71" s="67"/>
      <c r="AQ71" s="67"/>
      <c r="AR71" s="67"/>
      <c r="AS71" s="70"/>
      <c r="AT71" s="67"/>
      <c r="AU71" s="70"/>
      <c r="AV71" s="67"/>
      <c r="AW71" s="71"/>
    </row>
    <row r="72" spans="1:49" s="72" customFormat="1" outlineLevel="1">
      <c r="A72" s="57" t="s">
        <v>220</v>
      </c>
      <c r="B72" s="57" t="s">
        <v>221</v>
      </c>
      <c r="C72" s="42">
        <v>45006</v>
      </c>
      <c r="D72" s="58" t="s">
        <v>589</v>
      </c>
      <c r="E72" s="57" t="s">
        <v>46</v>
      </c>
      <c r="F72" s="74" t="s">
        <v>481</v>
      </c>
      <c r="G72" s="67" t="s">
        <v>130</v>
      </c>
      <c r="H72" s="68" t="s">
        <v>590</v>
      </c>
      <c r="I72" s="152">
        <f>IF(SUM(P72:AV72)=0,"-",SUM(P72:AV72))</f>
        <v>24</v>
      </c>
      <c r="J72" s="75">
        <f>IF(SUMPRODUCT($P$3:$AV$3,P72:AV72)=0,"-",SUMPRODUCT($P$3:$AV$3,P72:AV72))</f>
        <v>960</v>
      </c>
      <c r="K72" s="92" t="s">
        <v>481</v>
      </c>
      <c r="L72" s="67"/>
      <c r="M72" s="67"/>
      <c r="N72" s="67"/>
      <c r="O72" s="135"/>
      <c r="P72" s="70"/>
      <c r="Q72" s="67"/>
      <c r="R72" s="67"/>
      <c r="S72" s="67"/>
      <c r="T72" s="67"/>
      <c r="U72" s="67"/>
      <c r="V72" s="67"/>
      <c r="W72" s="70"/>
      <c r="X72" s="67">
        <v>24</v>
      </c>
      <c r="Y72" s="67"/>
      <c r="Z72" s="67"/>
      <c r="AA72" s="67"/>
      <c r="AB72" s="67"/>
      <c r="AC72" s="67"/>
      <c r="AD72" s="67"/>
      <c r="AE72" s="67"/>
      <c r="AF72" s="70"/>
      <c r="AG72" s="70"/>
      <c r="AH72" s="67"/>
      <c r="AI72" s="67"/>
      <c r="AJ72" s="67"/>
      <c r="AK72" s="67"/>
      <c r="AL72" s="67"/>
      <c r="AM72" s="70"/>
      <c r="AN72" s="67"/>
      <c r="AO72" s="67"/>
      <c r="AP72" s="67"/>
      <c r="AQ72" s="67"/>
      <c r="AR72" s="67"/>
      <c r="AS72" s="70"/>
      <c r="AT72" s="67"/>
      <c r="AU72" s="70"/>
      <c r="AV72" s="67"/>
      <c r="AW72" s="71"/>
    </row>
    <row r="73" spans="1:49" s="72" customFormat="1" outlineLevel="1">
      <c r="A73" s="57" t="s">
        <v>220</v>
      </c>
      <c r="B73" s="57" t="s">
        <v>221</v>
      </c>
      <c r="C73" s="42">
        <v>45006</v>
      </c>
      <c r="D73" s="73" t="s">
        <v>591</v>
      </c>
      <c r="E73" s="57" t="s">
        <v>46</v>
      </c>
      <c r="F73" s="74" t="s">
        <v>481</v>
      </c>
      <c r="G73" s="67" t="s">
        <v>130</v>
      </c>
      <c r="I73" s="152">
        <f>IF(SUM(P73:AV73)=0,"-",SUM(P73:AV73))</f>
        <v>7</v>
      </c>
      <c r="J73" s="75">
        <f>IF(SUMPRODUCT($P$3:$AV$3,P73:AV73)=0,"-",SUMPRODUCT($P$3:$AV$3,P73:AV73))</f>
        <v>280</v>
      </c>
      <c r="K73" s="92" t="s">
        <v>481</v>
      </c>
      <c r="L73" s="67"/>
      <c r="M73" s="67"/>
      <c r="N73" s="67"/>
      <c r="O73" s="135"/>
      <c r="P73" s="70"/>
      <c r="Q73" s="67"/>
      <c r="R73" s="67"/>
      <c r="S73" s="67"/>
      <c r="T73" s="67"/>
      <c r="U73" s="67"/>
      <c r="V73" s="67"/>
      <c r="W73" s="70"/>
      <c r="X73" s="67">
        <v>7</v>
      </c>
      <c r="Y73" s="67"/>
      <c r="Z73" s="67"/>
      <c r="AA73" s="67"/>
      <c r="AB73" s="67"/>
      <c r="AC73" s="67"/>
      <c r="AD73" s="67"/>
      <c r="AE73" s="67"/>
      <c r="AF73" s="70"/>
      <c r="AG73" s="70"/>
      <c r="AH73" s="67"/>
      <c r="AI73" s="67"/>
      <c r="AJ73" s="67"/>
      <c r="AK73" s="67"/>
      <c r="AL73" s="67"/>
      <c r="AM73" s="70"/>
      <c r="AN73" s="67"/>
      <c r="AO73" s="67"/>
      <c r="AP73" s="67"/>
      <c r="AQ73" s="67"/>
      <c r="AR73" s="67"/>
      <c r="AS73" s="70"/>
      <c r="AT73" s="67"/>
      <c r="AU73" s="70"/>
      <c r="AV73" s="67"/>
      <c r="AW73" s="71"/>
    </row>
    <row r="74" spans="1:49" s="72" customFormat="1" outlineLevel="1">
      <c r="A74" s="57" t="s">
        <v>220</v>
      </c>
      <c r="B74" s="57" t="s">
        <v>221</v>
      </c>
      <c r="C74" s="42">
        <v>45006</v>
      </c>
      <c r="D74" s="58" t="s">
        <v>592</v>
      </c>
      <c r="E74" s="57" t="s">
        <v>46</v>
      </c>
      <c r="F74" s="29" t="s">
        <v>223</v>
      </c>
      <c r="G74" s="67" t="s">
        <v>130</v>
      </c>
      <c r="I74" s="152">
        <f>IF(SUM(P74:AV74)=0,"-",SUM(P74:AV74))</f>
        <v>6</v>
      </c>
      <c r="J74" s="75">
        <f>IF(SUMPRODUCT($P$3:$AV$3,P74:AV74)=0,"-",SUMPRODUCT($P$3:$AV$3,P74:AV74))</f>
        <v>210</v>
      </c>
      <c r="K74" s="92" t="s">
        <v>481</v>
      </c>
      <c r="L74" s="67"/>
      <c r="M74" s="67"/>
      <c r="N74" s="67"/>
      <c r="O74" s="135"/>
      <c r="P74" s="70"/>
      <c r="Q74" s="67">
        <v>6</v>
      </c>
      <c r="R74" s="67"/>
      <c r="S74" s="67"/>
      <c r="T74" s="67"/>
      <c r="U74" s="67"/>
      <c r="V74" s="67"/>
      <c r="W74" s="70"/>
      <c r="X74" s="67"/>
      <c r="Y74" s="67"/>
      <c r="Z74" s="67"/>
      <c r="AA74" s="67"/>
      <c r="AB74" s="67"/>
      <c r="AC74" s="67"/>
      <c r="AD74" s="67"/>
      <c r="AE74" s="67"/>
      <c r="AF74" s="70"/>
      <c r="AG74" s="70"/>
      <c r="AH74" s="67"/>
      <c r="AI74" s="67"/>
      <c r="AJ74" s="67"/>
      <c r="AK74" s="67"/>
      <c r="AL74" s="67"/>
      <c r="AM74" s="70"/>
      <c r="AN74" s="67"/>
      <c r="AO74" s="67"/>
      <c r="AP74" s="67"/>
      <c r="AQ74" s="67"/>
      <c r="AR74" s="67"/>
      <c r="AS74" s="70"/>
      <c r="AT74" s="67"/>
      <c r="AU74" s="70"/>
      <c r="AV74" s="67"/>
      <c r="AW74" s="71"/>
    </row>
    <row r="75" spans="1:49" s="72" customFormat="1" outlineLevel="1">
      <c r="A75" s="57" t="s">
        <v>220</v>
      </c>
      <c r="B75" s="57" t="s">
        <v>221</v>
      </c>
      <c r="C75" s="42">
        <v>45006</v>
      </c>
      <c r="D75" s="58" t="s">
        <v>593</v>
      </c>
      <c r="E75" s="57" t="s">
        <v>46</v>
      </c>
      <c r="F75" s="74" t="s">
        <v>481</v>
      </c>
      <c r="G75" s="67" t="s">
        <v>130</v>
      </c>
      <c r="I75" s="152">
        <f>IF(SUM(P75:AV75)=0,"-",SUM(P75:AV75))</f>
        <v>11</v>
      </c>
      <c r="J75" s="75">
        <f>IF(SUMPRODUCT($P$3:$AV$3,P75:AV75)=0,"-",SUMPRODUCT($P$3:$AV$3,P75:AV75))</f>
        <v>385</v>
      </c>
      <c r="K75" s="92" t="s">
        <v>481</v>
      </c>
      <c r="L75" s="67"/>
      <c r="M75" s="67"/>
      <c r="N75" s="67"/>
      <c r="O75" s="135"/>
      <c r="P75" s="70"/>
      <c r="Q75" s="67">
        <v>11</v>
      </c>
      <c r="R75" s="67"/>
      <c r="S75" s="67"/>
      <c r="T75" s="67"/>
      <c r="U75" s="67"/>
      <c r="V75" s="67"/>
      <c r="W75" s="70"/>
      <c r="X75" s="67"/>
      <c r="Y75" s="67"/>
      <c r="Z75" s="67"/>
      <c r="AA75" s="67"/>
      <c r="AB75" s="67"/>
      <c r="AC75" s="67"/>
      <c r="AD75" s="67"/>
      <c r="AE75" s="67"/>
      <c r="AF75" s="70"/>
      <c r="AG75" s="70"/>
      <c r="AH75" s="67"/>
      <c r="AI75" s="67"/>
      <c r="AJ75" s="67"/>
      <c r="AK75" s="67"/>
      <c r="AL75" s="67"/>
      <c r="AM75" s="70"/>
      <c r="AN75" s="67"/>
      <c r="AO75" s="67"/>
      <c r="AP75" s="67"/>
      <c r="AQ75" s="67"/>
      <c r="AR75" s="67"/>
      <c r="AS75" s="70"/>
      <c r="AT75" s="67"/>
      <c r="AU75" s="70"/>
      <c r="AV75" s="67"/>
      <c r="AW75" s="71"/>
    </row>
    <row r="76" spans="1:49" s="72" customFormat="1" outlineLevel="1">
      <c r="A76" s="57" t="s">
        <v>220</v>
      </c>
      <c r="B76" s="57" t="s">
        <v>221</v>
      </c>
      <c r="C76" s="42">
        <v>45006</v>
      </c>
      <c r="D76" s="58" t="s">
        <v>594</v>
      </c>
      <c r="E76" s="57" t="s">
        <v>46</v>
      </c>
      <c r="F76" s="74" t="s">
        <v>481</v>
      </c>
      <c r="G76" s="67" t="s">
        <v>130</v>
      </c>
      <c r="I76" s="152">
        <f>IF(SUM(P76:AV76)=0,"-",SUM(P76:AV76))</f>
        <v>8</v>
      </c>
      <c r="J76" s="75">
        <f>IF(SUMPRODUCT($P$3:$AV$3,P76:AV76)=0,"-",SUMPRODUCT($P$3:$AV$3,P76:AV76))</f>
        <v>280</v>
      </c>
      <c r="K76" s="92" t="s">
        <v>481</v>
      </c>
      <c r="L76" s="67"/>
      <c r="M76" s="67"/>
      <c r="N76" s="67"/>
      <c r="O76" s="135"/>
      <c r="P76" s="70"/>
      <c r="Q76" s="67">
        <v>8</v>
      </c>
      <c r="R76" s="67"/>
      <c r="S76" s="67"/>
      <c r="T76" s="67"/>
      <c r="U76" s="67"/>
      <c r="V76" s="67"/>
      <c r="W76" s="70"/>
      <c r="X76" s="67"/>
      <c r="Y76" s="67"/>
      <c r="Z76" s="67"/>
      <c r="AA76" s="67"/>
      <c r="AB76" s="67"/>
      <c r="AC76" s="67"/>
      <c r="AD76" s="67"/>
      <c r="AE76" s="67"/>
      <c r="AF76" s="70"/>
      <c r="AG76" s="70"/>
      <c r="AH76" s="67"/>
      <c r="AI76" s="67"/>
      <c r="AJ76" s="67"/>
      <c r="AK76" s="67"/>
      <c r="AL76" s="67"/>
      <c r="AM76" s="70"/>
      <c r="AN76" s="67"/>
      <c r="AO76" s="67"/>
      <c r="AP76" s="67"/>
      <c r="AQ76" s="67"/>
      <c r="AR76" s="67"/>
      <c r="AS76" s="70"/>
      <c r="AT76" s="67"/>
      <c r="AU76" s="70"/>
      <c r="AV76" s="67"/>
      <c r="AW76" s="71"/>
    </row>
    <row r="77" spans="1:49" s="72" customFormat="1" outlineLevel="1">
      <c r="A77" s="57" t="s">
        <v>220</v>
      </c>
      <c r="B77" s="57" t="s">
        <v>221</v>
      </c>
      <c r="C77" s="42">
        <v>45006</v>
      </c>
      <c r="D77" s="58" t="s">
        <v>595</v>
      </c>
      <c r="E77" s="57" t="s">
        <v>46</v>
      </c>
      <c r="F77" s="74" t="s">
        <v>481</v>
      </c>
      <c r="G77" s="67" t="s">
        <v>130</v>
      </c>
      <c r="I77" s="152">
        <f>IF(SUM(P77:AV77)=0,"-",SUM(P77:AV77))</f>
        <v>9</v>
      </c>
      <c r="J77" s="75">
        <f>IF(SUMPRODUCT($P$3:$AV$3,P77:AV77)=0,"-",SUMPRODUCT($P$3:$AV$3,P77:AV77))</f>
        <v>315</v>
      </c>
      <c r="K77" s="92" t="s">
        <v>481</v>
      </c>
      <c r="L77" s="67"/>
      <c r="M77" s="67"/>
      <c r="N77" s="67"/>
      <c r="O77" s="135"/>
      <c r="P77" s="70"/>
      <c r="Q77" s="67">
        <v>9</v>
      </c>
      <c r="R77" s="67"/>
      <c r="S77" s="67"/>
      <c r="T77" s="67"/>
      <c r="U77" s="67"/>
      <c r="V77" s="67"/>
      <c r="W77" s="70"/>
      <c r="X77" s="67"/>
      <c r="Y77" s="67"/>
      <c r="Z77" s="67"/>
      <c r="AA77" s="67"/>
      <c r="AB77" s="67"/>
      <c r="AC77" s="67"/>
      <c r="AD77" s="67"/>
      <c r="AE77" s="67"/>
      <c r="AF77" s="70"/>
      <c r="AG77" s="70"/>
      <c r="AH77" s="67"/>
      <c r="AI77" s="67"/>
      <c r="AJ77" s="67"/>
      <c r="AK77" s="67"/>
      <c r="AL77" s="67"/>
      <c r="AM77" s="70"/>
      <c r="AN77" s="67"/>
      <c r="AO77" s="67"/>
      <c r="AP77" s="67"/>
      <c r="AQ77" s="67"/>
      <c r="AR77" s="67"/>
      <c r="AS77" s="70"/>
      <c r="AT77" s="67"/>
      <c r="AU77" s="70"/>
      <c r="AV77" s="67"/>
      <c r="AW77" s="71"/>
    </row>
    <row r="78" spans="1:49" s="72" customFormat="1" outlineLevel="1">
      <c r="A78" s="57" t="s">
        <v>220</v>
      </c>
      <c r="B78" s="57" t="s">
        <v>221</v>
      </c>
      <c r="C78" s="42">
        <v>45006</v>
      </c>
      <c r="D78" s="58" t="s">
        <v>596</v>
      </c>
      <c r="E78" s="57" t="s">
        <v>46</v>
      </c>
      <c r="F78" s="29" t="s">
        <v>223</v>
      </c>
      <c r="G78" s="67" t="s">
        <v>130</v>
      </c>
      <c r="I78" s="152">
        <f>IF(SUM(P78:AV78)=0,"-",SUM(P78:AV78))</f>
        <v>5</v>
      </c>
      <c r="J78" s="75">
        <f>IF(SUMPRODUCT($P$3:$AV$3,P78:AV78)=0,"-",SUMPRODUCT($P$3:$AV$3,P78:AV78))</f>
        <v>345</v>
      </c>
      <c r="K78" s="92" t="s">
        <v>481</v>
      </c>
      <c r="L78" s="202"/>
      <c r="M78" s="202"/>
      <c r="N78" s="202"/>
      <c r="O78" s="193" t="s">
        <v>597</v>
      </c>
      <c r="P78" s="70">
        <v>2</v>
      </c>
      <c r="Q78" s="67">
        <v>3</v>
      </c>
      <c r="R78" s="67"/>
      <c r="S78" s="67"/>
      <c r="T78" s="67"/>
      <c r="U78" s="67"/>
      <c r="V78" s="67"/>
      <c r="W78" s="70"/>
      <c r="X78" s="67"/>
      <c r="Y78" s="67"/>
      <c r="Z78" s="67"/>
      <c r="AA78" s="67"/>
      <c r="AB78" s="67"/>
      <c r="AC78" s="67"/>
      <c r="AD78" s="67"/>
      <c r="AE78" s="67"/>
      <c r="AF78" s="70"/>
      <c r="AG78" s="70"/>
      <c r="AH78" s="67"/>
      <c r="AI78" s="67"/>
      <c r="AJ78" s="67"/>
      <c r="AK78" s="67"/>
      <c r="AL78" s="67"/>
      <c r="AM78" s="70"/>
      <c r="AN78" s="67"/>
      <c r="AO78" s="67"/>
      <c r="AP78" s="67"/>
      <c r="AQ78" s="67"/>
      <c r="AR78" s="67"/>
      <c r="AS78" s="70"/>
      <c r="AT78" s="67"/>
      <c r="AU78" s="70"/>
      <c r="AV78" s="67"/>
      <c r="AW78" s="71"/>
    </row>
    <row r="79" spans="1:49">
      <c r="A79" t="s">
        <v>220</v>
      </c>
      <c r="B79" t="s">
        <v>221</v>
      </c>
      <c r="C79" s="42">
        <v>45008</v>
      </c>
      <c r="D79" s="55" t="s">
        <v>598</v>
      </c>
      <c r="E79" t="s">
        <v>437</v>
      </c>
      <c r="F79" s="29" t="s">
        <v>223</v>
      </c>
      <c r="G79" s="8" t="s">
        <v>438</v>
      </c>
      <c r="H79" s="78" t="s">
        <v>599</v>
      </c>
      <c r="I79" s="151">
        <f>IF(SUM(P79:AV79)=0,"-",SUM(P79:AV79))</f>
        <v>1</v>
      </c>
      <c r="J79" s="62">
        <f>IF(SUMPRODUCT($P$3:$AV$3,P79:AV79)=0,"-",SUMPRODUCT($P$3:$AV$3,P79:AV79))</f>
        <v>250</v>
      </c>
      <c r="K79" s="90">
        <v>45023</v>
      </c>
      <c r="L79" s="48">
        <v>4200640929</v>
      </c>
      <c r="M79" s="38" t="s">
        <v>249</v>
      </c>
      <c r="N79" s="172"/>
      <c r="O79" s="173"/>
      <c r="Z79" s="8">
        <v>1</v>
      </c>
    </row>
    <row r="80" spans="1:49">
      <c r="A80" t="s">
        <v>220</v>
      </c>
      <c r="B80" t="s">
        <v>221</v>
      </c>
      <c r="C80" s="42">
        <v>45008</v>
      </c>
      <c r="D80" s="55" t="s">
        <v>600</v>
      </c>
      <c r="E80" t="s">
        <v>46</v>
      </c>
      <c r="F80" s="29" t="s">
        <v>223</v>
      </c>
      <c r="G80" s="8" t="s">
        <v>130</v>
      </c>
      <c r="H80" s="78" t="s">
        <v>601</v>
      </c>
      <c r="I80" s="105">
        <v>15</v>
      </c>
      <c r="J80" s="34">
        <v>2190</v>
      </c>
      <c r="K80" s="90">
        <v>45008</v>
      </c>
      <c r="L80" s="48">
        <v>4200639284</v>
      </c>
      <c r="M80" s="38" t="s">
        <v>249</v>
      </c>
      <c r="N80" s="172"/>
      <c r="O80" s="173"/>
    </row>
    <row r="81" spans="1:26">
      <c r="A81" t="s">
        <v>220</v>
      </c>
      <c r="B81" t="s">
        <v>221</v>
      </c>
      <c r="C81" s="42">
        <v>45008</v>
      </c>
      <c r="D81" s="55" t="s">
        <v>602</v>
      </c>
      <c r="E81" t="s">
        <v>437</v>
      </c>
      <c r="F81" s="29" t="s">
        <v>223</v>
      </c>
      <c r="G81" s="8" t="s">
        <v>438</v>
      </c>
      <c r="H81" s="78" t="s">
        <v>603</v>
      </c>
      <c r="I81" s="151">
        <f>IF(SUM(P81:AV81)=0,"-",SUM(P81:AV81))</f>
        <v>21</v>
      </c>
      <c r="J81" s="62">
        <f>IF(SUMPRODUCT($P$3:$AV$3,P81:AV81)=0,"-",SUMPRODUCT($P$3:$AV$3,P81:AV81))</f>
        <v>1695</v>
      </c>
      <c r="K81" s="90">
        <v>45023</v>
      </c>
      <c r="L81" s="48">
        <v>4200640938</v>
      </c>
      <c r="M81" s="38" t="s">
        <v>249</v>
      </c>
      <c r="N81" s="172"/>
      <c r="O81" s="173"/>
      <c r="W81" s="7">
        <v>9</v>
      </c>
      <c r="X81" s="8">
        <v>12</v>
      </c>
    </row>
    <row r="82" spans="1:26">
      <c r="A82" s="5" t="s">
        <v>220</v>
      </c>
      <c r="B82" s="5" t="s">
        <v>221</v>
      </c>
      <c r="C82" s="42">
        <v>45012</v>
      </c>
      <c r="D82" s="55" t="s">
        <v>604</v>
      </c>
      <c r="E82" t="s">
        <v>36</v>
      </c>
      <c r="F82" s="29" t="s">
        <v>223</v>
      </c>
      <c r="G82" s="8" t="s">
        <v>69</v>
      </c>
      <c r="H82" s="78" t="s">
        <v>605</v>
      </c>
      <c r="I82" s="151">
        <f>IF(SUM(P82:AV82)=0,"-",SUM(P82:AV82))</f>
        <v>15</v>
      </c>
      <c r="J82" s="62">
        <f>IF(SUMPRODUCT($P$3:$AV$3,P82:AV82)=0,"-",SUMPRODUCT($P$3:$AV$3,P82:AV82))</f>
        <v>550</v>
      </c>
      <c r="K82" s="90">
        <v>45008</v>
      </c>
      <c r="L82" s="48">
        <v>4200639687</v>
      </c>
      <c r="M82" s="48" t="s">
        <v>249</v>
      </c>
      <c r="N82" s="81"/>
      <c r="O82" s="173" t="s">
        <v>479</v>
      </c>
      <c r="Q82" s="8">
        <v>14</v>
      </c>
      <c r="S82" s="8">
        <v>1</v>
      </c>
    </row>
    <row r="83" spans="1:26">
      <c r="A83" s="5" t="s">
        <v>220</v>
      </c>
      <c r="B83" s="5" t="s">
        <v>221</v>
      </c>
      <c r="C83" s="42">
        <v>45013</v>
      </c>
      <c r="D83" s="55" t="s">
        <v>606</v>
      </c>
      <c r="E83" t="s">
        <v>46</v>
      </c>
      <c r="F83" s="29" t="s">
        <v>223</v>
      </c>
      <c r="G83" s="8" t="s">
        <v>130</v>
      </c>
      <c r="H83" s="78" t="s">
        <v>607</v>
      </c>
      <c r="I83" s="151">
        <f>IF(SUM(P83:AV83)=0,"-",SUM(P83:AV83))</f>
        <v>7</v>
      </c>
      <c r="J83" s="62">
        <f>IF(SUMPRODUCT($P$3:$AV$3,P83:AV83)=0,"-",SUMPRODUCT($P$3:$AV$3,P83:AV83))</f>
        <v>330</v>
      </c>
      <c r="K83" s="90">
        <v>45084</v>
      </c>
      <c r="L83" s="81">
        <v>4200648470</v>
      </c>
      <c r="M83" s="48" t="s">
        <v>249</v>
      </c>
      <c r="N83" s="81" t="s">
        <v>608</v>
      </c>
      <c r="O83" s="131" t="s">
        <v>609</v>
      </c>
      <c r="P83" s="7">
        <v>1</v>
      </c>
      <c r="Q83" s="8">
        <v>6</v>
      </c>
    </row>
    <row r="84" spans="1:26">
      <c r="A84" s="5" t="s">
        <v>220</v>
      </c>
      <c r="B84" s="5" t="s">
        <v>221</v>
      </c>
      <c r="C84" s="42">
        <v>45022</v>
      </c>
      <c r="D84" s="55" t="s">
        <v>610</v>
      </c>
      <c r="E84" t="s">
        <v>437</v>
      </c>
      <c r="F84" s="29" t="s">
        <v>223</v>
      </c>
      <c r="G84" s="8" t="s">
        <v>438</v>
      </c>
      <c r="H84" s="78" t="s">
        <v>280</v>
      </c>
      <c r="I84" s="151">
        <f>IF(SUM(P84:AV84)=0,"-",SUM(P84:AV84))</f>
        <v>3</v>
      </c>
      <c r="J84" s="62">
        <f>IF(SUMPRODUCT($P$3:$AV$3,P84:AV84)=0,"-",SUMPRODUCT($P$3:$AV$3,P84:AV84))</f>
        <v>405</v>
      </c>
      <c r="K84" s="90">
        <v>45035</v>
      </c>
      <c r="L84" s="48">
        <v>4200640937</v>
      </c>
      <c r="M84" s="38" t="s">
        <v>249</v>
      </c>
      <c r="N84" s="172"/>
      <c r="O84" s="173"/>
      <c r="W84" s="7">
        <v>3</v>
      </c>
    </row>
    <row r="85" spans="1:26">
      <c r="A85" s="5" t="s">
        <v>220</v>
      </c>
      <c r="B85" s="5" t="s">
        <v>221</v>
      </c>
      <c r="C85" s="42">
        <v>45022</v>
      </c>
      <c r="D85" s="55" t="s">
        <v>611</v>
      </c>
      <c r="E85" t="s">
        <v>36</v>
      </c>
      <c r="F85" s="29" t="s">
        <v>223</v>
      </c>
      <c r="G85" s="8" t="s">
        <v>69</v>
      </c>
      <c r="H85" s="78" t="s">
        <v>612</v>
      </c>
      <c r="I85" s="151">
        <f>IF(SUM(P85:AV85)=0,"-",SUM(P85:AV85))</f>
        <v>29</v>
      </c>
      <c r="J85" s="62">
        <f>IF(SUMPRODUCT($P$3:$AV$3,P85:AV85)=0,"-",SUMPRODUCT($P$3:$AV$3,P85:AV85))</f>
        <v>1330</v>
      </c>
      <c r="K85" s="90">
        <v>45035</v>
      </c>
      <c r="L85" s="48">
        <v>4200644207</v>
      </c>
      <c r="M85" s="38" t="s">
        <v>249</v>
      </c>
      <c r="N85" s="172"/>
      <c r="O85" s="173" t="s">
        <v>479</v>
      </c>
      <c r="Q85" s="8">
        <v>13</v>
      </c>
      <c r="W85" s="7">
        <v>1</v>
      </c>
      <c r="X85" s="8">
        <v>14</v>
      </c>
      <c r="Y85" s="8">
        <v>1</v>
      </c>
    </row>
    <row r="86" spans="1:26">
      <c r="A86" s="5" t="s">
        <v>220</v>
      </c>
      <c r="B86" s="5" t="s">
        <v>221</v>
      </c>
      <c r="C86" s="42">
        <v>45027</v>
      </c>
      <c r="D86" s="55" t="s">
        <v>613</v>
      </c>
      <c r="E86" t="s">
        <v>36</v>
      </c>
      <c r="F86" s="29" t="s">
        <v>223</v>
      </c>
      <c r="G86" s="8" t="s">
        <v>69</v>
      </c>
      <c r="H86" s="78" t="s">
        <v>614</v>
      </c>
      <c r="I86" s="151">
        <f>IF(SUM(P86:AV86)=0,"-",SUM(P86:AV86))</f>
        <v>13</v>
      </c>
      <c r="J86" s="62">
        <f>IF(SUMPRODUCT($P$3:$AV$3,P86:AV86)=0,"-",SUMPRODUCT($P$3:$AV$3,P86:AV86))</f>
        <v>805</v>
      </c>
      <c r="K86" s="90">
        <v>45035</v>
      </c>
      <c r="L86" s="48">
        <v>4200642825</v>
      </c>
      <c r="M86" s="38" t="s">
        <v>249</v>
      </c>
      <c r="N86" s="172"/>
      <c r="O86" s="173" t="s">
        <v>479</v>
      </c>
      <c r="W86" s="7">
        <v>3</v>
      </c>
      <c r="X86" s="8">
        <v>10</v>
      </c>
    </row>
    <row r="87" spans="1:26">
      <c r="A87" s="5" t="s">
        <v>220</v>
      </c>
      <c r="B87" s="5" t="s">
        <v>221</v>
      </c>
      <c r="C87" s="42">
        <v>45033</v>
      </c>
      <c r="D87" s="55" t="s">
        <v>615</v>
      </c>
      <c r="E87" s="5" t="s">
        <v>37</v>
      </c>
      <c r="F87" s="29" t="s">
        <v>223</v>
      </c>
      <c r="G87" s="8" t="s">
        <v>67</v>
      </c>
      <c r="H87" s="78" t="s">
        <v>616</v>
      </c>
      <c r="I87" s="151">
        <f>IF(SUM(P87:AV87)=0,"-",SUM(P87:AV87))</f>
        <v>18</v>
      </c>
      <c r="J87" s="62">
        <f>IF(SUMPRODUCT($P$3:$AV$3,P87:AV87)=0,"-",SUMPRODUCT($P$3:$AV$3,P87:AV87))</f>
        <v>715</v>
      </c>
      <c r="K87" s="90">
        <v>45035</v>
      </c>
      <c r="L87" s="48">
        <v>4200641787</v>
      </c>
      <c r="M87" s="38" t="s">
        <v>249</v>
      </c>
      <c r="N87" s="172"/>
      <c r="O87" s="173"/>
      <c r="P87" s="7">
        <v>1</v>
      </c>
      <c r="Q87" s="8">
        <v>17</v>
      </c>
    </row>
    <row r="88" spans="1:26">
      <c r="A88" s="5" t="s">
        <v>220</v>
      </c>
      <c r="B88" s="5" t="s">
        <v>221</v>
      </c>
      <c r="C88" s="42">
        <v>45034</v>
      </c>
      <c r="D88" s="55" t="s">
        <v>617</v>
      </c>
      <c r="E88" t="s">
        <v>36</v>
      </c>
      <c r="F88" s="29" t="s">
        <v>223</v>
      </c>
      <c r="G88" s="8" t="s">
        <v>69</v>
      </c>
      <c r="H88" s="78" t="s">
        <v>605</v>
      </c>
      <c r="I88" s="151">
        <f>IF(SUM(P88:AV88)=0,"-",SUM(P88:AV88))</f>
        <v>7</v>
      </c>
      <c r="J88" s="62">
        <f>IF(SUMPRODUCT($P$3:$AV$3,P88:AV88)=0,"-",SUMPRODUCT($P$3:$AV$3,P88:AV88))</f>
        <v>375</v>
      </c>
      <c r="K88" s="90">
        <v>45035</v>
      </c>
      <c r="L88" s="48">
        <v>4200644224</v>
      </c>
      <c r="M88" s="38" t="s">
        <v>249</v>
      </c>
      <c r="N88" s="172"/>
      <c r="O88" s="173" t="s">
        <v>479</v>
      </c>
      <c r="W88" s="7">
        <v>1</v>
      </c>
      <c r="X88" s="8">
        <v>6</v>
      </c>
    </row>
    <row r="89" spans="1:26">
      <c r="A89" s="5" t="s">
        <v>220</v>
      </c>
      <c r="B89" s="5" t="s">
        <v>221</v>
      </c>
      <c r="C89" s="76" t="s">
        <v>233</v>
      </c>
      <c r="D89" s="55" t="s">
        <v>618</v>
      </c>
      <c r="E89" s="5" t="s">
        <v>437</v>
      </c>
      <c r="F89" s="29" t="s">
        <v>223</v>
      </c>
      <c r="G89" s="8" t="s">
        <v>93</v>
      </c>
      <c r="H89" s="78" t="s">
        <v>619</v>
      </c>
      <c r="I89" s="151">
        <f>IF(SUM(P89:AV89)=0,"-",SUM(P89:AV89))</f>
        <v>6</v>
      </c>
      <c r="J89" s="62">
        <f>IF(SUMPRODUCT($P$3:$AV$3,P89:AV89)=0,"-",SUMPRODUCT($P$3:$AV$3,P89:AV89))</f>
        <v>210</v>
      </c>
      <c r="K89" s="90">
        <v>45084</v>
      </c>
      <c r="L89" s="81">
        <v>4200645636</v>
      </c>
      <c r="M89" s="38" t="s">
        <v>249</v>
      </c>
      <c r="N89" s="172"/>
      <c r="O89" s="173"/>
      <c r="Q89" s="8">
        <v>6</v>
      </c>
    </row>
    <row r="90" spans="1:26">
      <c r="A90" s="5" t="s">
        <v>220</v>
      </c>
      <c r="B90" s="5" t="s">
        <v>221</v>
      </c>
      <c r="C90" s="76" t="s">
        <v>233</v>
      </c>
      <c r="D90" s="55" t="s">
        <v>620</v>
      </c>
      <c r="E90" s="5" t="s">
        <v>36</v>
      </c>
      <c r="F90" s="29" t="s">
        <v>223</v>
      </c>
      <c r="G90" s="8" t="s">
        <v>69</v>
      </c>
      <c r="H90" s="78" t="s">
        <v>621</v>
      </c>
      <c r="I90" s="151">
        <f>IF(SUM(P90:AV90)=0,"-",SUM(P90:AV90))</f>
        <v>5</v>
      </c>
      <c r="J90" s="62">
        <f>IF(SUMPRODUCT($P$3:$AV$3,P90:AV90)=0,"-",SUMPRODUCT($P$3:$AV$3,P90:AV90))</f>
        <v>365</v>
      </c>
      <c r="K90" s="90">
        <v>45071</v>
      </c>
      <c r="L90" s="48">
        <v>4200644333</v>
      </c>
      <c r="M90" s="48" t="s">
        <v>228</v>
      </c>
      <c r="N90" s="81"/>
      <c r="O90" s="173" t="s">
        <v>479</v>
      </c>
      <c r="P90" s="7">
        <v>1</v>
      </c>
      <c r="Q90" s="8">
        <v>2</v>
      </c>
      <c r="W90" s="7">
        <v>1</v>
      </c>
      <c r="X90" s="8">
        <v>1</v>
      </c>
    </row>
    <row r="91" spans="1:26">
      <c r="A91" s="5" t="s">
        <v>220</v>
      </c>
      <c r="B91" s="5" t="s">
        <v>221</v>
      </c>
      <c r="C91" s="76" t="s">
        <v>240</v>
      </c>
      <c r="D91" s="55" t="s">
        <v>622</v>
      </c>
      <c r="E91" s="5" t="s">
        <v>37</v>
      </c>
      <c r="F91" s="29" t="s">
        <v>223</v>
      </c>
      <c r="G91" s="8" t="s">
        <v>67</v>
      </c>
      <c r="H91" s="78" t="s">
        <v>623</v>
      </c>
      <c r="I91" s="151">
        <f>IF(SUM(P91:AV91)=0,"-",SUM(P91:AV91))</f>
        <v>2</v>
      </c>
      <c r="J91" s="62">
        <f>IF(SUMPRODUCT($P$3:$AV$3,P91:AV91)=0,"-",SUMPRODUCT($P$3:$AV$3,P91:AV91))</f>
        <v>70</v>
      </c>
      <c r="K91" s="93" t="s">
        <v>624</v>
      </c>
      <c r="L91" s="198" t="s">
        <v>481</v>
      </c>
      <c r="M91" s="199"/>
      <c r="N91" s="199"/>
      <c r="O91" s="200"/>
      <c r="Q91" s="8">
        <v>2</v>
      </c>
    </row>
    <row r="92" spans="1:26">
      <c r="A92" s="5" t="s">
        <v>220</v>
      </c>
      <c r="B92" s="5" t="s">
        <v>221</v>
      </c>
      <c r="C92" s="42">
        <v>45049</v>
      </c>
      <c r="D92" s="77" t="s">
        <v>625</v>
      </c>
      <c r="E92" s="5" t="s">
        <v>36</v>
      </c>
      <c r="F92" s="29" t="s">
        <v>223</v>
      </c>
      <c r="G92" s="8" t="s">
        <v>438</v>
      </c>
      <c r="H92" s="78" t="s">
        <v>626</v>
      </c>
      <c r="I92" s="151">
        <f>IF(SUM(P92:AV92)=0,"-",SUM(P92:AV92))</f>
        <v>1</v>
      </c>
      <c r="J92" s="62">
        <f>IF(SUMPRODUCT($P$3:$AV$3,P92:AV92)=0,"-",SUMPRODUCT($P$3:$AV$3,P92:AV92))</f>
        <v>250</v>
      </c>
      <c r="K92" s="90">
        <v>45084</v>
      </c>
      <c r="L92" s="81">
        <v>4200645668</v>
      </c>
      <c r="M92" s="48" t="s">
        <v>228</v>
      </c>
      <c r="N92" s="81"/>
      <c r="O92" s="173" t="s">
        <v>479</v>
      </c>
      <c r="Z92" s="8">
        <v>1</v>
      </c>
    </row>
    <row r="93" spans="1:26">
      <c r="A93" s="5" t="s">
        <v>244</v>
      </c>
      <c r="B93" s="5" t="s">
        <v>221</v>
      </c>
      <c r="C93" s="42">
        <v>45055</v>
      </c>
      <c r="D93" s="55" t="s">
        <v>627</v>
      </c>
      <c r="E93" s="5" t="s">
        <v>437</v>
      </c>
      <c r="F93" s="29" t="s">
        <v>223</v>
      </c>
      <c r="G93" s="8" t="s">
        <v>438</v>
      </c>
      <c r="H93" s="78" t="s">
        <v>628</v>
      </c>
      <c r="I93" s="151">
        <f>IF(SUM(P93:AV93)=0,"-",SUM(P93:AV93))</f>
        <v>10</v>
      </c>
      <c r="J93" s="62">
        <f>IF(SUMPRODUCT($P$3:$AV$3,P93:AV93)=0,"-",SUMPRODUCT($P$3:$AV$3,P93:AV93))</f>
        <v>365</v>
      </c>
      <c r="K93" s="90">
        <v>45084</v>
      </c>
      <c r="L93" s="81">
        <v>4200645628</v>
      </c>
      <c r="M93" s="48" t="s">
        <v>228</v>
      </c>
      <c r="N93" s="81"/>
      <c r="O93" s="131"/>
      <c r="Q93" s="8">
        <v>7</v>
      </c>
      <c r="X93" s="8">
        <v>3</v>
      </c>
    </row>
    <row r="94" spans="1:26">
      <c r="A94" s="5" t="s">
        <v>220</v>
      </c>
      <c r="B94" s="5" t="s">
        <v>221</v>
      </c>
      <c r="C94" s="42">
        <v>45056</v>
      </c>
      <c r="D94" s="77" t="s">
        <v>629</v>
      </c>
      <c r="E94" s="5" t="s">
        <v>437</v>
      </c>
      <c r="F94" s="29" t="s">
        <v>223</v>
      </c>
      <c r="G94" s="8" t="s">
        <v>438</v>
      </c>
      <c r="H94" s="78" t="s">
        <v>630</v>
      </c>
      <c r="I94" s="151">
        <f>IF(SUM(P94:AV94)=0,"-",SUM(P94:AV94))</f>
        <v>3</v>
      </c>
      <c r="J94" s="62">
        <f>IF(SUMPRODUCT($P$3:$AV$3,P94:AV94)=0,"-",SUMPRODUCT($P$3:$AV$3,P94:AV94))</f>
        <v>105</v>
      </c>
      <c r="K94" s="90">
        <v>45084</v>
      </c>
      <c r="L94" s="81">
        <v>4200645676</v>
      </c>
      <c r="M94" s="48" t="s">
        <v>228</v>
      </c>
      <c r="N94" s="81"/>
      <c r="O94" s="131"/>
      <c r="Q94" s="8">
        <v>3</v>
      </c>
    </row>
    <row r="95" spans="1:26">
      <c r="A95" s="5" t="s">
        <v>220</v>
      </c>
      <c r="B95" s="5" t="s">
        <v>221</v>
      </c>
      <c r="C95" s="76" t="s">
        <v>631</v>
      </c>
      <c r="D95" s="77" t="s">
        <v>632</v>
      </c>
      <c r="E95" s="5" t="s">
        <v>437</v>
      </c>
      <c r="F95" s="29" t="s">
        <v>223</v>
      </c>
      <c r="G95" s="8" t="s">
        <v>93</v>
      </c>
      <c r="H95" s="79" t="s">
        <v>633</v>
      </c>
      <c r="I95" s="151">
        <v>3</v>
      </c>
      <c r="J95" s="180" t="s">
        <v>634</v>
      </c>
      <c r="K95" s="178" t="s">
        <v>635</v>
      </c>
      <c r="L95" s="166">
        <v>4200645677</v>
      </c>
      <c r="M95" s="166" t="s">
        <v>249</v>
      </c>
      <c r="N95" s="166" t="s">
        <v>636</v>
      </c>
      <c r="O95" s="136" t="s">
        <v>365</v>
      </c>
      <c r="Q95" s="8">
        <v>3</v>
      </c>
    </row>
    <row r="96" spans="1:26">
      <c r="A96" s="5" t="s">
        <v>244</v>
      </c>
      <c r="B96" s="5" t="s">
        <v>221</v>
      </c>
      <c r="C96" s="76" t="s">
        <v>631</v>
      </c>
      <c r="D96" s="55" t="s">
        <v>637</v>
      </c>
      <c r="E96" s="5" t="s">
        <v>46</v>
      </c>
      <c r="F96" s="29" t="s">
        <v>223</v>
      </c>
      <c r="G96" s="8" t="s">
        <v>638</v>
      </c>
      <c r="H96" s="78" t="s">
        <v>639</v>
      </c>
      <c r="I96" s="151">
        <f>IF(SUM(P96:AV96)=0,"-",SUM(P96:AV96))</f>
        <v>1</v>
      </c>
      <c r="J96" s="62">
        <f>IF(SUMPRODUCT($P$3:$AV$3,P96:AV96)=0,"-",SUMPRODUCT($P$3:$AV$3,P96:AV96))</f>
        <v>120</v>
      </c>
      <c r="K96" s="90">
        <v>45084</v>
      </c>
      <c r="L96" s="187" t="s">
        <v>640</v>
      </c>
      <c r="M96" s="186"/>
      <c r="N96" s="186" t="s">
        <v>641</v>
      </c>
      <c r="O96" s="185"/>
      <c r="P96" s="7">
        <v>1</v>
      </c>
    </row>
    <row r="97" spans="1:34">
      <c r="A97" s="5" t="s">
        <v>244</v>
      </c>
      <c r="B97" s="5" t="s">
        <v>221</v>
      </c>
      <c r="C97" s="76" t="s">
        <v>631</v>
      </c>
      <c r="D97" s="55" t="s">
        <v>642</v>
      </c>
      <c r="E97" s="5" t="s">
        <v>437</v>
      </c>
      <c r="F97" s="29" t="s">
        <v>223</v>
      </c>
      <c r="G97" s="8" t="s">
        <v>438</v>
      </c>
      <c r="H97" s="78" t="s">
        <v>643</v>
      </c>
      <c r="I97" s="151">
        <f>IF(SUM(P97:AV97)=0,"-",SUM(P97:AV97))</f>
        <v>2</v>
      </c>
      <c r="J97" s="62">
        <f>IF(SUMPRODUCT($P$3:$AV$3,P97:AV97)=0,"-",SUMPRODUCT($P$3:$AV$3,P97:AV97))</f>
        <v>270</v>
      </c>
      <c r="K97" s="90">
        <v>45084</v>
      </c>
      <c r="L97" s="81">
        <v>4200645678</v>
      </c>
      <c r="M97" s="48" t="s">
        <v>228</v>
      </c>
      <c r="N97" s="81"/>
      <c r="O97" s="131"/>
      <c r="W97" s="7">
        <v>2</v>
      </c>
    </row>
    <row r="98" spans="1:34">
      <c r="A98" s="5" t="s">
        <v>220</v>
      </c>
      <c r="B98" s="5" t="s">
        <v>221</v>
      </c>
      <c r="C98" s="76" t="s">
        <v>644</v>
      </c>
      <c r="D98" s="55" t="s">
        <v>645</v>
      </c>
      <c r="E98" s="5" t="s">
        <v>36</v>
      </c>
      <c r="F98" s="29" t="s">
        <v>223</v>
      </c>
      <c r="G98" s="8" t="s">
        <v>476</v>
      </c>
      <c r="H98" s="78" t="s">
        <v>646</v>
      </c>
      <c r="I98" s="151">
        <f>IF(SUM(P98:AV98)=0,"-",SUM(P98:AV98))</f>
        <v>8</v>
      </c>
      <c r="J98" s="62">
        <f>IF(SUMPRODUCT($P$3:$AV$3,P98:AV98)=0,"-",SUMPRODUCT($P$3:$AV$3,P98:AV98))</f>
        <v>710</v>
      </c>
      <c r="K98" s="90">
        <v>45070</v>
      </c>
      <c r="L98" s="81">
        <v>4200646347</v>
      </c>
      <c r="M98" s="38" t="s">
        <v>249</v>
      </c>
      <c r="N98" s="172"/>
      <c r="O98" s="173" t="s">
        <v>479</v>
      </c>
      <c r="Q98" s="8">
        <v>6</v>
      </c>
      <c r="Z98" s="8">
        <v>2</v>
      </c>
    </row>
    <row r="99" spans="1:34">
      <c r="A99" s="5" t="s">
        <v>220</v>
      </c>
      <c r="B99" s="5" t="s">
        <v>221</v>
      </c>
      <c r="C99" s="76" t="s">
        <v>254</v>
      </c>
      <c r="D99" s="55" t="s">
        <v>647</v>
      </c>
      <c r="E99" s="5" t="s">
        <v>36</v>
      </c>
      <c r="F99" s="29" t="s">
        <v>223</v>
      </c>
      <c r="G99" s="8" t="s">
        <v>69</v>
      </c>
      <c r="H99" s="78" t="s">
        <v>648</v>
      </c>
      <c r="I99" s="151">
        <f>IF(SUM(P99:AV99)=0,"-",SUM(P99:AV99))</f>
        <v>9</v>
      </c>
      <c r="J99" s="62">
        <f>IF(SUMPRODUCT($P$3:$AV$3,P99:AV99)=0,"-",SUMPRODUCT($P$3:$AV$3,P99:AV99))</f>
        <v>510</v>
      </c>
      <c r="K99" s="93" t="s">
        <v>649</v>
      </c>
      <c r="L99" s="81">
        <v>4200651991</v>
      </c>
      <c r="M99" s="81" t="s">
        <v>650</v>
      </c>
      <c r="N99" s="81" t="s">
        <v>651</v>
      </c>
      <c r="O99" s="131" t="s">
        <v>652</v>
      </c>
      <c r="P99" s="7">
        <v>2</v>
      </c>
      <c r="Q99" s="8">
        <v>6</v>
      </c>
      <c r="S99" s="8">
        <v>1</v>
      </c>
    </row>
    <row r="100" spans="1:34">
      <c r="A100" s="5" t="s">
        <v>244</v>
      </c>
      <c r="B100" s="5" t="s">
        <v>221</v>
      </c>
      <c r="C100" s="76" t="s">
        <v>653</v>
      </c>
      <c r="D100" s="55" t="s">
        <v>654</v>
      </c>
      <c r="E100" s="5" t="s">
        <v>36</v>
      </c>
      <c r="F100" s="29" t="s">
        <v>223</v>
      </c>
      <c r="G100" s="8" t="s">
        <v>476</v>
      </c>
      <c r="H100" s="78" t="s">
        <v>655</v>
      </c>
      <c r="I100" s="151">
        <f>IF(SUM(P100:AV100)=0,"-",SUM(P100:AV100))</f>
        <v>17</v>
      </c>
      <c r="J100" s="62">
        <f>IF(SUMPRODUCT($P$3:$AV$3,P100:AV100)=0,"-",SUMPRODUCT($P$3:$AV$3,P100:AV100))</f>
        <v>595</v>
      </c>
      <c r="K100" s="90">
        <v>45070</v>
      </c>
      <c r="L100" s="81">
        <v>4200646326</v>
      </c>
      <c r="M100" s="48" t="s">
        <v>228</v>
      </c>
      <c r="N100" s="81"/>
      <c r="O100" s="173" t="s">
        <v>479</v>
      </c>
      <c r="Q100" s="8">
        <v>17</v>
      </c>
    </row>
    <row r="101" spans="1:34">
      <c r="A101" t="s">
        <v>220</v>
      </c>
      <c r="B101" t="s">
        <v>221</v>
      </c>
      <c r="C101" s="42">
        <v>45068</v>
      </c>
      <c r="D101" s="54" t="s">
        <v>656</v>
      </c>
      <c r="E101" t="s">
        <v>26</v>
      </c>
      <c r="F101" s="64" t="s">
        <v>481</v>
      </c>
      <c r="G101" s="8" t="s">
        <v>69</v>
      </c>
      <c r="H101" s="49" t="s">
        <v>481</v>
      </c>
      <c r="I101" s="151">
        <f>IF(SUM(P101:AV101)=0,"-",SUM(P101:AV101))</f>
        <v>1</v>
      </c>
      <c r="J101" s="62">
        <f>IF(SUMPRODUCT($P$3:$AV$3,P101:AV101)=0,"-",SUMPRODUCT($P$3:$AV$3,P101:AV101))</f>
        <v>600</v>
      </c>
      <c r="K101" s="90">
        <v>45070</v>
      </c>
      <c r="L101" s="48">
        <v>4200644208</v>
      </c>
      <c r="M101" s="48" t="s">
        <v>228</v>
      </c>
      <c r="N101" s="81"/>
      <c r="O101" s="131"/>
      <c r="AH101" s="8">
        <v>1</v>
      </c>
    </row>
    <row r="102" spans="1:34">
      <c r="A102" t="s">
        <v>220</v>
      </c>
      <c r="B102" t="s">
        <v>221</v>
      </c>
      <c r="C102" s="42">
        <v>45071</v>
      </c>
      <c r="D102" s="55" t="s">
        <v>49</v>
      </c>
      <c r="E102" s="5" t="s">
        <v>36</v>
      </c>
      <c r="F102" s="29" t="s">
        <v>223</v>
      </c>
      <c r="G102" s="8" t="s">
        <v>93</v>
      </c>
      <c r="H102" s="78" t="s">
        <v>657</v>
      </c>
      <c r="I102" s="151">
        <f t="shared" ref="I102:I146" si="0">IF(SUM(P102:AV102)=0,"-",SUM(P102:AV102))</f>
        <v>2</v>
      </c>
      <c r="J102" s="62">
        <f>IF(SUMPRODUCT($P$3:$AV$3,P102:AV102)=0,"-",SUMPRODUCT($P$3:$AV$3,P102:AV102))</f>
        <v>70</v>
      </c>
      <c r="K102" s="93" t="s">
        <v>658</v>
      </c>
      <c r="L102" s="196" t="s">
        <v>481</v>
      </c>
      <c r="M102" s="194"/>
      <c r="N102" s="194"/>
      <c r="O102" s="195"/>
      <c r="Q102" s="8">
        <v>2</v>
      </c>
    </row>
    <row r="103" spans="1:34">
      <c r="A103" s="5" t="s">
        <v>220</v>
      </c>
      <c r="B103" s="5" t="s">
        <v>221</v>
      </c>
      <c r="C103" s="76" t="s">
        <v>659</v>
      </c>
      <c r="D103" s="55" t="s">
        <v>660</v>
      </c>
      <c r="E103" s="5" t="s">
        <v>437</v>
      </c>
      <c r="F103" s="29" t="s">
        <v>223</v>
      </c>
      <c r="G103" s="8" t="s">
        <v>93</v>
      </c>
      <c r="H103" s="78" t="s">
        <v>661</v>
      </c>
      <c r="I103" s="151">
        <f t="shared" si="0"/>
        <v>2</v>
      </c>
      <c r="J103" s="62">
        <f t="shared" ref="J103:J146" si="1">IF(SUMPRODUCT($P$3:$AV$3,P103:AV103)=0,"-",SUMPRODUCT($P$3:$AV$3,P103:AV103))</f>
        <v>70</v>
      </c>
      <c r="K103" s="93" t="s">
        <v>662</v>
      </c>
      <c r="L103" s="64" t="s">
        <v>481</v>
      </c>
      <c r="Q103" s="8">
        <v>2</v>
      </c>
    </row>
    <row r="104" spans="1:34">
      <c r="A104" s="5" t="s">
        <v>220</v>
      </c>
      <c r="B104" s="5" t="s">
        <v>221</v>
      </c>
      <c r="C104" s="76" t="s">
        <v>659</v>
      </c>
      <c r="D104" s="55" t="s">
        <v>663</v>
      </c>
      <c r="E104" s="5" t="s">
        <v>36</v>
      </c>
      <c r="F104" s="29" t="s">
        <v>223</v>
      </c>
      <c r="G104" s="8" t="s">
        <v>69</v>
      </c>
      <c r="H104" s="78" t="s">
        <v>664</v>
      </c>
      <c r="I104" s="151">
        <f t="shared" si="0"/>
        <v>15</v>
      </c>
      <c r="J104" s="62">
        <f t="shared" si="1"/>
        <v>555</v>
      </c>
      <c r="K104" s="93" t="s">
        <v>665</v>
      </c>
      <c r="L104" s="81">
        <v>4200648695</v>
      </c>
      <c r="M104" s="48" t="s">
        <v>228</v>
      </c>
      <c r="N104" s="81"/>
      <c r="O104" s="173" t="s">
        <v>479</v>
      </c>
      <c r="Q104" s="8">
        <v>9</v>
      </c>
      <c r="X104" s="8">
        <v>6</v>
      </c>
    </row>
    <row r="105" spans="1:34">
      <c r="A105" s="5" t="s">
        <v>220</v>
      </c>
      <c r="B105" s="5" t="s">
        <v>221</v>
      </c>
      <c r="C105" s="76" t="s">
        <v>659</v>
      </c>
      <c r="D105" s="55" t="s">
        <v>666</v>
      </c>
      <c r="E105" s="5" t="s">
        <v>36</v>
      </c>
      <c r="F105" s="29" t="s">
        <v>223</v>
      </c>
      <c r="G105" s="8" t="s">
        <v>69</v>
      </c>
      <c r="H105" s="78" t="s">
        <v>667</v>
      </c>
      <c r="I105" s="151">
        <f t="shared" si="0"/>
        <v>1</v>
      </c>
      <c r="J105" s="62">
        <f t="shared" si="1"/>
        <v>135</v>
      </c>
      <c r="K105" s="90">
        <v>45084</v>
      </c>
      <c r="L105" s="81">
        <v>4200646100</v>
      </c>
      <c r="M105" s="48" t="s">
        <v>228</v>
      </c>
      <c r="N105" s="81"/>
      <c r="O105" s="173" t="s">
        <v>479</v>
      </c>
      <c r="W105" s="7">
        <v>1</v>
      </c>
    </row>
    <row r="106" spans="1:34">
      <c r="A106" s="5" t="s">
        <v>220</v>
      </c>
      <c r="B106" s="5" t="s">
        <v>221</v>
      </c>
      <c r="C106" s="76" t="s">
        <v>668</v>
      </c>
      <c r="D106" s="77" t="s">
        <v>669</v>
      </c>
      <c r="E106" s="5" t="s">
        <v>36</v>
      </c>
      <c r="F106" s="29" t="s">
        <v>223</v>
      </c>
      <c r="G106" s="8" t="s">
        <v>476</v>
      </c>
      <c r="H106" s="78" t="s">
        <v>670</v>
      </c>
      <c r="I106" s="151">
        <f t="shared" si="0"/>
        <v>9</v>
      </c>
      <c r="J106" s="62">
        <f t="shared" si="1"/>
        <v>850</v>
      </c>
      <c r="K106" s="90">
        <v>45084</v>
      </c>
      <c r="L106" s="81">
        <v>4200646327</v>
      </c>
      <c r="M106" s="48" t="s">
        <v>228</v>
      </c>
      <c r="N106" s="81"/>
      <c r="O106" s="173" t="s">
        <v>479</v>
      </c>
      <c r="Q106" s="8">
        <v>5</v>
      </c>
      <c r="W106" s="7">
        <v>1</v>
      </c>
      <c r="X106" s="8">
        <v>1</v>
      </c>
      <c r="Z106" s="8">
        <v>2</v>
      </c>
    </row>
    <row r="107" spans="1:34">
      <c r="A107" s="5" t="s">
        <v>220</v>
      </c>
      <c r="B107" s="5" t="s">
        <v>221</v>
      </c>
      <c r="C107" s="76" t="s">
        <v>671</v>
      </c>
      <c r="D107" s="55" t="s">
        <v>672</v>
      </c>
      <c r="E107" s="5" t="s">
        <v>46</v>
      </c>
      <c r="F107" s="29" t="s">
        <v>223</v>
      </c>
      <c r="G107" s="8" t="s">
        <v>638</v>
      </c>
      <c r="H107" s="78" t="s">
        <v>673</v>
      </c>
      <c r="I107" s="151">
        <f t="shared" si="0"/>
        <v>4</v>
      </c>
      <c r="J107" s="62">
        <f t="shared" si="1"/>
        <v>225</v>
      </c>
      <c r="K107" s="90">
        <v>45084</v>
      </c>
      <c r="L107" s="187" t="s">
        <v>640</v>
      </c>
      <c r="M107" s="186"/>
      <c r="N107" s="186" t="s">
        <v>641</v>
      </c>
      <c r="O107" s="185"/>
      <c r="P107" s="7">
        <v>1</v>
      </c>
      <c r="Q107" s="8">
        <v>3</v>
      </c>
    </row>
    <row r="108" spans="1:34">
      <c r="A108" s="5" t="s">
        <v>244</v>
      </c>
      <c r="B108" s="5" t="s">
        <v>221</v>
      </c>
      <c r="C108" s="76" t="s">
        <v>671</v>
      </c>
      <c r="D108" s="55" t="s">
        <v>674</v>
      </c>
      <c r="E108" s="5" t="s">
        <v>36</v>
      </c>
      <c r="F108" s="29" t="s">
        <v>223</v>
      </c>
      <c r="G108" s="8" t="s">
        <v>69</v>
      </c>
      <c r="H108" s="78" t="s">
        <v>675</v>
      </c>
      <c r="I108" s="151">
        <f t="shared" si="0"/>
        <v>5</v>
      </c>
      <c r="J108" s="62">
        <f t="shared" si="1"/>
        <v>260</v>
      </c>
      <c r="K108" s="90">
        <v>45084</v>
      </c>
      <c r="L108" s="81">
        <v>4200646074</v>
      </c>
      <c r="M108" s="48" t="s">
        <v>228</v>
      </c>
      <c r="N108" s="81"/>
      <c r="O108" s="173" t="s">
        <v>479</v>
      </c>
      <c r="P108" s="7">
        <v>1</v>
      </c>
      <c r="Q108" s="8">
        <v>4</v>
      </c>
    </row>
    <row r="109" spans="1:34">
      <c r="A109" s="5" t="s">
        <v>244</v>
      </c>
      <c r="B109" s="5" t="s">
        <v>221</v>
      </c>
      <c r="C109" s="76" t="s">
        <v>671</v>
      </c>
      <c r="D109" s="55" t="s">
        <v>676</v>
      </c>
      <c r="E109" s="5" t="s">
        <v>36</v>
      </c>
      <c r="F109" s="29" t="s">
        <v>223</v>
      </c>
      <c r="G109" s="8" t="s">
        <v>69</v>
      </c>
      <c r="H109" s="78" t="s">
        <v>677</v>
      </c>
      <c r="I109" s="151">
        <f t="shared" si="0"/>
        <v>5</v>
      </c>
      <c r="J109" s="62">
        <f t="shared" si="1"/>
        <v>175</v>
      </c>
      <c r="K109" s="90">
        <v>45084</v>
      </c>
      <c r="L109" s="81">
        <v>4200646074</v>
      </c>
      <c r="M109" s="48" t="s">
        <v>228</v>
      </c>
      <c r="N109" s="81"/>
      <c r="O109" s="173" t="s">
        <v>479</v>
      </c>
      <c r="Q109" s="8">
        <v>5</v>
      </c>
    </row>
    <row r="110" spans="1:34">
      <c r="A110" s="5" t="s">
        <v>244</v>
      </c>
      <c r="B110" s="5" t="s">
        <v>221</v>
      </c>
      <c r="C110" s="42">
        <v>45078</v>
      </c>
      <c r="D110" s="55" t="s">
        <v>678</v>
      </c>
      <c r="E110" s="5" t="s">
        <v>36</v>
      </c>
      <c r="F110" s="29" t="s">
        <v>223</v>
      </c>
      <c r="G110" s="8" t="s">
        <v>69</v>
      </c>
      <c r="H110" s="78" t="s">
        <v>679</v>
      </c>
      <c r="I110" s="151">
        <f t="shared" si="0"/>
        <v>1</v>
      </c>
      <c r="J110" s="62">
        <f t="shared" si="1"/>
        <v>40</v>
      </c>
      <c r="K110" s="94" t="s">
        <v>680</v>
      </c>
      <c r="L110" s="81">
        <v>4200648695</v>
      </c>
      <c r="M110" s="48" t="s">
        <v>228</v>
      </c>
      <c r="N110" s="81"/>
      <c r="O110" s="173" t="s">
        <v>479</v>
      </c>
      <c r="X110" s="8">
        <v>1</v>
      </c>
    </row>
    <row r="111" spans="1:34">
      <c r="A111" s="5" t="s">
        <v>244</v>
      </c>
      <c r="B111" s="5" t="s">
        <v>221</v>
      </c>
      <c r="C111" s="42">
        <v>45078</v>
      </c>
      <c r="D111" s="55" t="s">
        <v>681</v>
      </c>
      <c r="E111" s="5" t="s">
        <v>27</v>
      </c>
      <c r="F111" s="29" t="s">
        <v>223</v>
      </c>
      <c r="G111" s="8" t="s">
        <v>130</v>
      </c>
      <c r="H111" s="78" t="s">
        <v>682</v>
      </c>
      <c r="I111" s="151">
        <f t="shared" si="0"/>
        <v>1</v>
      </c>
      <c r="J111" s="62">
        <f>IF(SUMPRODUCT($P$3:$AV$3,P111:AV111)=0,"-",SUMPRODUCT($P$3:$AV$3,P111:AV111))</f>
        <v>40</v>
      </c>
      <c r="K111" s="94" t="s">
        <v>683</v>
      </c>
      <c r="L111" s="102">
        <v>4200657361</v>
      </c>
      <c r="M111" s="81" t="s">
        <v>249</v>
      </c>
      <c r="N111" s="81" t="s">
        <v>684</v>
      </c>
      <c r="O111" s="136" t="s">
        <v>365</v>
      </c>
      <c r="X111" s="8">
        <v>1</v>
      </c>
    </row>
    <row r="112" spans="1:34">
      <c r="A112" s="5" t="s">
        <v>244</v>
      </c>
      <c r="B112" s="5" t="s">
        <v>221</v>
      </c>
      <c r="C112" s="42">
        <v>45082</v>
      </c>
      <c r="D112" s="55" t="s">
        <v>685</v>
      </c>
      <c r="E112" s="5" t="s">
        <v>36</v>
      </c>
      <c r="F112" s="29" t="s">
        <v>223</v>
      </c>
      <c r="G112" s="8" t="s">
        <v>476</v>
      </c>
      <c r="H112" s="78" t="s">
        <v>686</v>
      </c>
      <c r="I112" s="151">
        <f t="shared" si="0"/>
        <v>1</v>
      </c>
      <c r="J112" s="62">
        <f t="shared" si="1"/>
        <v>40</v>
      </c>
      <c r="K112" s="90">
        <v>45084</v>
      </c>
      <c r="L112" s="81">
        <v>4200646327</v>
      </c>
      <c r="M112" s="48" t="s">
        <v>228</v>
      </c>
      <c r="N112" s="81"/>
      <c r="O112" s="173" t="s">
        <v>479</v>
      </c>
      <c r="X112" s="8">
        <v>1</v>
      </c>
    </row>
    <row r="113" spans="1:34">
      <c r="A113" s="5" t="s">
        <v>244</v>
      </c>
      <c r="B113" s="5" t="s">
        <v>221</v>
      </c>
      <c r="C113" s="42">
        <v>45082</v>
      </c>
      <c r="D113" s="55" t="s">
        <v>687</v>
      </c>
      <c r="E113" s="5" t="s">
        <v>36</v>
      </c>
      <c r="F113" s="29" t="s">
        <v>223</v>
      </c>
      <c r="G113" s="8" t="s">
        <v>476</v>
      </c>
      <c r="H113" s="78" t="s">
        <v>688</v>
      </c>
      <c r="I113" s="151">
        <f t="shared" si="0"/>
        <v>1</v>
      </c>
      <c r="J113" s="62">
        <f t="shared" si="1"/>
        <v>35</v>
      </c>
      <c r="K113" s="95">
        <v>45082</v>
      </c>
      <c r="L113" s="81">
        <v>4200646327</v>
      </c>
      <c r="M113" s="48" t="s">
        <v>228</v>
      </c>
      <c r="N113" s="81"/>
      <c r="O113" s="173" t="s">
        <v>479</v>
      </c>
      <c r="Q113" s="8">
        <v>1</v>
      </c>
    </row>
    <row r="114" spans="1:34">
      <c r="A114" s="5" t="s">
        <v>244</v>
      </c>
      <c r="B114" s="5" t="s">
        <v>221</v>
      </c>
      <c r="C114" s="42">
        <v>45082</v>
      </c>
      <c r="D114" s="55" t="s">
        <v>689</v>
      </c>
      <c r="E114" s="5" t="s">
        <v>36</v>
      </c>
      <c r="F114" s="29" t="s">
        <v>223</v>
      </c>
      <c r="G114" s="8" t="s">
        <v>69</v>
      </c>
      <c r="H114" s="78" t="s">
        <v>690</v>
      </c>
      <c r="I114" s="151">
        <f t="shared" si="0"/>
        <v>5</v>
      </c>
      <c r="J114" s="62">
        <f t="shared" si="1"/>
        <v>260</v>
      </c>
      <c r="K114" s="90">
        <v>45084</v>
      </c>
      <c r="L114" s="81">
        <v>4200646074</v>
      </c>
      <c r="M114" s="48" t="s">
        <v>228</v>
      </c>
      <c r="N114" s="81"/>
      <c r="O114" s="173" t="s">
        <v>479</v>
      </c>
      <c r="P114" s="7">
        <v>1</v>
      </c>
      <c r="Q114" s="8">
        <v>4</v>
      </c>
    </row>
    <row r="115" spans="1:34">
      <c r="A115" s="5" t="s">
        <v>244</v>
      </c>
      <c r="B115" s="5" t="s">
        <v>221</v>
      </c>
      <c r="C115" s="42">
        <v>45082</v>
      </c>
      <c r="D115" s="55" t="s">
        <v>691</v>
      </c>
      <c r="E115" s="5" t="s">
        <v>27</v>
      </c>
      <c r="F115" s="29" t="s">
        <v>223</v>
      </c>
      <c r="G115" s="8" t="s">
        <v>692</v>
      </c>
      <c r="H115" s="78" t="s">
        <v>693</v>
      </c>
      <c r="I115" s="151">
        <f t="shared" si="0"/>
        <v>21</v>
      </c>
      <c r="J115" s="62">
        <f t="shared" si="1"/>
        <v>820</v>
      </c>
      <c r="K115" s="94" t="s">
        <v>694</v>
      </c>
      <c r="L115" s="81">
        <v>4200648442</v>
      </c>
      <c r="M115" s="81" t="s">
        <v>249</v>
      </c>
      <c r="N115" s="81" t="s">
        <v>695</v>
      </c>
      <c r="O115" s="131" t="s">
        <v>696</v>
      </c>
      <c r="P115" s="7">
        <v>1</v>
      </c>
      <c r="Q115" s="8">
        <v>20</v>
      </c>
    </row>
    <row r="116" spans="1:34">
      <c r="A116" s="5" t="s">
        <v>244</v>
      </c>
      <c r="B116" s="5" t="s">
        <v>221</v>
      </c>
      <c r="C116" s="42">
        <v>45086</v>
      </c>
      <c r="D116" s="77" t="s">
        <v>697</v>
      </c>
      <c r="E116" s="5" t="s">
        <v>437</v>
      </c>
      <c r="F116" s="29" t="s">
        <v>223</v>
      </c>
      <c r="G116" s="8" t="s">
        <v>93</v>
      </c>
      <c r="H116" s="78" t="s">
        <v>698</v>
      </c>
      <c r="I116" s="151">
        <f t="shared" si="0"/>
        <v>1</v>
      </c>
      <c r="J116" s="179">
        <f t="shared" si="1"/>
        <v>180</v>
      </c>
      <c r="K116" s="94" t="s">
        <v>699</v>
      </c>
      <c r="L116" s="190">
        <v>4200645677</v>
      </c>
      <c r="M116" s="48" t="s">
        <v>228</v>
      </c>
      <c r="N116" s="81"/>
      <c r="O116" s="136" t="s">
        <v>365</v>
      </c>
      <c r="Y116" s="8">
        <v>1</v>
      </c>
    </row>
    <row r="117" spans="1:34">
      <c r="A117" s="5" t="s">
        <v>244</v>
      </c>
      <c r="B117" s="5" t="s">
        <v>221</v>
      </c>
      <c r="C117" s="42">
        <v>45089</v>
      </c>
      <c r="D117" s="55" t="s">
        <v>700</v>
      </c>
      <c r="E117" s="5" t="s">
        <v>36</v>
      </c>
      <c r="F117" s="29" t="s">
        <v>223</v>
      </c>
      <c r="G117" s="8" t="s">
        <v>476</v>
      </c>
      <c r="H117" s="78" t="s">
        <v>701</v>
      </c>
      <c r="I117" s="151">
        <f t="shared" si="0"/>
        <v>3</v>
      </c>
      <c r="J117" s="62">
        <f t="shared" si="1"/>
        <v>120</v>
      </c>
      <c r="K117" s="94" t="s">
        <v>702</v>
      </c>
      <c r="L117" s="81">
        <v>4200651983</v>
      </c>
      <c r="M117" s="81" t="s">
        <v>650</v>
      </c>
      <c r="N117" s="81" t="s">
        <v>703</v>
      </c>
      <c r="O117" s="131" t="s">
        <v>652</v>
      </c>
      <c r="X117" s="8">
        <v>3</v>
      </c>
    </row>
    <row r="118" spans="1:34">
      <c r="A118" s="5" t="s">
        <v>244</v>
      </c>
      <c r="B118" s="5" t="s">
        <v>221</v>
      </c>
      <c r="C118" s="42">
        <v>45089</v>
      </c>
      <c r="D118" s="55" t="s">
        <v>704</v>
      </c>
      <c r="E118" s="5" t="s">
        <v>27</v>
      </c>
      <c r="F118" s="29" t="s">
        <v>223</v>
      </c>
      <c r="G118" s="8" t="s">
        <v>130</v>
      </c>
      <c r="H118" s="78" t="s">
        <v>705</v>
      </c>
      <c r="I118" s="151">
        <f t="shared" si="0"/>
        <v>1</v>
      </c>
      <c r="J118" s="62">
        <f t="shared" si="1"/>
        <v>35</v>
      </c>
      <c r="K118" s="94" t="s">
        <v>706</v>
      </c>
      <c r="L118" s="102">
        <v>4200648442</v>
      </c>
      <c r="M118" s="81" t="s">
        <v>249</v>
      </c>
      <c r="N118" s="81" t="s">
        <v>695</v>
      </c>
      <c r="O118" s="131" t="s">
        <v>696</v>
      </c>
      <c r="Q118" s="8">
        <v>1</v>
      </c>
    </row>
    <row r="119" spans="1:34">
      <c r="A119" s="5" t="s">
        <v>244</v>
      </c>
      <c r="B119" s="5" t="s">
        <v>221</v>
      </c>
      <c r="C119" s="42">
        <v>45090</v>
      </c>
      <c r="D119" s="55" t="s">
        <v>707</v>
      </c>
      <c r="E119" s="5" t="s">
        <v>437</v>
      </c>
      <c r="F119" s="29" t="s">
        <v>223</v>
      </c>
      <c r="G119" s="8" t="s">
        <v>93</v>
      </c>
      <c r="H119" s="78" t="s">
        <v>708</v>
      </c>
      <c r="I119" s="151">
        <f t="shared" si="0"/>
        <v>3</v>
      </c>
      <c r="J119" s="62">
        <f t="shared" si="1"/>
        <v>215</v>
      </c>
      <c r="K119" s="95">
        <v>45097</v>
      </c>
      <c r="L119" s="81">
        <v>4200646668</v>
      </c>
      <c r="M119" s="48" t="s">
        <v>228</v>
      </c>
      <c r="N119" s="81"/>
      <c r="O119" s="131"/>
      <c r="W119" s="7">
        <v>1</v>
      </c>
      <c r="X119" s="8">
        <v>2</v>
      </c>
    </row>
    <row r="120" spans="1:34">
      <c r="A120" s="5" t="s">
        <v>244</v>
      </c>
      <c r="B120" s="5" t="s">
        <v>221</v>
      </c>
      <c r="C120" s="42">
        <v>45093</v>
      </c>
      <c r="D120" s="55" t="s">
        <v>709</v>
      </c>
      <c r="E120" s="5" t="s">
        <v>437</v>
      </c>
      <c r="F120" s="29" t="s">
        <v>223</v>
      </c>
      <c r="G120" s="8" t="s">
        <v>95</v>
      </c>
      <c r="H120" s="78" t="s">
        <v>710</v>
      </c>
      <c r="I120" s="151">
        <f t="shared" si="0"/>
        <v>1</v>
      </c>
      <c r="J120" s="62">
        <f t="shared" si="1"/>
        <v>250</v>
      </c>
      <c r="K120" s="95">
        <v>45097</v>
      </c>
      <c r="L120" s="81">
        <v>4200646679</v>
      </c>
      <c r="M120" s="48" t="s">
        <v>228</v>
      </c>
      <c r="N120" s="81"/>
      <c r="O120" s="131"/>
      <c r="Z120" s="8">
        <v>1</v>
      </c>
    </row>
    <row r="121" spans="1:34">
      <c r="A121" s="5" t="s">
        <v>244</v>
      </c>
      <c r="B121" s="5" t="s">
        <v>221</v>
      </c>
      <c r="C121" s="42">
        <v>45098</v>
      </c>
      <c r="D121" s="55" t="s">
        <v>711</v>
      </c>
      <c r="E121" s="5" t="s">
        <v>437</v>
      </c>
      <c r="F121" s="29" t="s">
        <v>223</v>
      </c>
      <c r="G121" s="8" t="s">
        <v>712</v>
      </c>
      <c r="H121" s="78" t="s">
        <v>713</v>
      </c>
      <c r="I121" s="151">
        <f t="shared" si="0"/>
        <v>3</v>
      </c>
      <c r="J121" s="62">
        <f t="shared" si="1"/>
        <v>120</v>
      </c>
      <c r="K121" s="96"/>
      <c r="L121" s="81">
        <v>4200646678</v>
      </c>
      <c r="M121" s="48" t="s">
        <v>228</v>
      </c>
      <c r="N121" s="81"/>
      <c r="O121" s="131"/>
      <c r="X121" s="8">
        <v>3</v>
      </c>
    </row>
    <row r="122" spans="1:34">
      <c r="A122" t="s">
        <v>220</v>
      </c>
      <c r="B122" t="s">
        <v>221</v>
      </c>
      <c r="C122" s="42">
        <v>45103</v>
      </c>
      <c r="D122" s="54" t="s">
        <v>714</v>
      </c>
      <c r="E122" t="s">
        <v>26</v>
      </c>
      <c r="F122" s="64" t="s">
        <v>481</v>
      </c>
      <c r="G122" s="8" t="s">
        <v>69</v>
      </c>
      <c r="H122" s="49" t="s">
        <v>481</v>
      </c>
      <c r="I122" s="151">
        <f>IF(SUM(P122:AV122)=0,"-",SUM(P122:AV122))</f>
        <v>1</v>
      </c>
      <c r="J122" s="62">
        <f>IF(SUMPRODUCT($P$3:$AV$3,P122:AV122)=0,"-",SUMPRODUCT($P$3:$AV$3,P122:AV122))</f>
        <v>600</v>
      </c>
      <c r="K122" s="95">
        <v>45097</v>
      </c>
      <c r="L122" s="81">
        <v>4200646594</v>
      </c>
      <c r="M122" s="48" t="s">
        <v>228</v>
      </c>
      <c r="N122" s="81"/>
      <c r="O122" s="131"/>
      <c r="AH122" s="8">
        <v>1</v>
      </c>
    </row>
    <row r="123" spans="1:34">
      <c r="A123" s="5" t="s">
        <v>244</v>
      </c>
      <c r="B123" s="5" t="s">
        <v>221</v>
      </c>
      <c r="C123" s="42">
        <v>45104</v>
      </c>
      <c r="D123" s="55" t="s">
        <v>715</v>
      </c>
      <c r="E123" s="5" t="s">
        <v>437</v>
      </c>
      <c r="F123" s="29" t="s">
        <v>223</v>
      </c>
      <c r="G123" s="8" t="s">
        <v>93</v>
      </c>
      <c r="I123" s="151" t="str">
        <f>IF(SUM(P123:AV123)=0,"-",SUM(P123:AV123))</f>
        <v>-</v>
      </c>
      <c r="J123" s="62">
        <v>250</v>
      </c>
      <c r="K123" s="96"/>
      <c r="L123" s="81">
        <v>4200646652</v>
      </c>
      <c r="M123" s="48" t="s">
        <v>228</v>
      </c>
      <c r="N123" s="81"/>
      <c r="O123" s="131"/>
    </row>
    <row r="124" spans="1:34">
      <c r="A124" s="5" t="s">
        <v>244</v>
      </c>
      <c r="B124" s="5" t="s">
        <v>221</v>
      </c>
      <c r="C124" s="42">
        <v>45104</v>
      </c>
      <c r="D124" s="55" t="s">
        <v>716</v>
      </c>
      <c r="E124" s="5" t="s">
        <v>437</v>
      </c>
      <c r="F124" s="29" t="s">
        <v>223</v>
      </c>
      <c r="G124" s="8" t="s">
        <v>438</v>
      </c>
      <c r="H124" s="78" t="s">
        <v>717</v>
      </c>
      <c r="I124" s="151">
        <f t="shared" si="0"/>
        <v>1</v>
      </c>
      <c r="J124" s="62">
        <f t="shared" si="1"/>
        <v>180</v>
      </c>
      <c r="K124" s="96"/>
      <c r="L124" s="81">
        <v>4200646852</v>
      </c>
      <c r="M124" s="48" t="s">
        <v>228</v>
      </c>
      <c r="N124" s="81"/>
      <c r="O124" s="131"/>
      <c r="Y124" s="8">
        <v>1</v>
      </c>
    </row>
    <row r="125" spans="1:34">
      <c r="A125" s="5" t="s">
        <v>244</v>
      </c>
      <c r="B125" s="5" t="s">
        <v>221</v>
      </c>
      <c r="C125" s="42">
        <v>45106</v>
      </c>
      <c r="D125" s="55" t="s">
        <v>718</v>
      </c>
      <c r="E125" s="5" t="s">
        <v>27</v>
      </c>
      <c r="F125" s="29" t="s">
        <v>223</v>
      </c>
      <c r="G125" s="8" t="s">
        <v>130</v>
      </c>
      <c r="H125" s="78" t="s">
        <v>719</v>
      </c>
      <c r="I125" s="151">
        <f t="shared" si="0"/>
        <v>1</v>
      </c>
      <c r="J125" s="62">
        <f t="shared" si="1"/>
        <v>35</v>
      </c>
      <c r="K125" s="94" t="s">
        <v>720</v>
      </c>
      <c r="L125" s="102">
        <v>4200657361</v>
      </c>
      <c r="M125" s="81" t="s">
        <v>249</v>
      </c>
      <c r="N125" s="81" t="s">
        <v>684</v>
      </c>
      <c r="O125" s="136" t="s">
        <v>365</v>
      </c>
      <c r="Q125" s="8">
        <v>1</v>
      </c>
    </row>
    <row r="126" spans="1:34">
      <c r="A126" s="5" t="s">
        <v>244</v>
      </c>
      <c r="B126" s="5" t="s">
        <v>221</v>
      </c>
      <c r="C126" s="42">
        <v>45106</v>
      </c>
      <c r="D126" s="77" t="s">
        <v>721</v>
      </c>
      <c r="E126" s="5" t="s">
        <v>27</v>
      </c>
      <c r="F126" s="29" t="s">
        <v>223</v>
      </c>
      <c r="G126" s="8" t="s">
        <v>130</v>
      </c>
      <c r="H126" s="78" t="s">
        <v>722</v>
      </c>
      <c r="I126" s="151">
        <f t="shared" si="0"/>
        <v>1</v>
      </c>
      <c r="J126" s="62">
        <f t="shared" si="1"/>
        <v>40</v>
      </c>
      <c r="K126" s="94" t="s">
        <v>723</v>
      </c>
      <c r="L126" s="102">
        <v>4200657361</v>
      </c>
      <c r="M126" s="81" t="s">
        <v>249</v>
      </c>
      <c r="N126" s="81" t="s">
        <v>684</v>
      </c>
      <c r="O126" s="136" t="s">
        <v>365</v>
      </c>
      <c r="X126" s="8">
        <v>1</v>
      </c>
    </row>
    <row r="127" spans="1:34">
      <c r="A127" s="5" t="s">
        <v>244</v>
      </c>
      <c r="B127" s="5" t="s">
        <v>221</v>
      </c>
      <c r="C127" s="42">
        <v>45106</v>
      </c>
      <c r="D127" s="55" t="s">
        <v>724</v>
      </c>
      <c r="E127" s="5" t="s">
        <v>36</v>
      </c>
      <c r="F127" s="29" t="s">
        <v>223</v>
      </c>
      <c r="G127" s="8" t="s">
        <v>69</v>
      </c>
      <c r="H127" s="78" t="s">
        <v>725</v>
      </c>
      <c r="I127" s="151">
        <f>IF(SUM(P127:AV127)=0,"-",SUM(P127:AV127))</f>
        <v>15</v>
      </c>
      <c r="J127" s="62">
        <f t="shared" si="1"/>
        <v>610</v>
      </c>
      <c r="K127" s="94" t="s">
        <v>726</v>
      </c>
      <c r="L127" s="102">
        <v>4200650334</v>
      </c>
      <c r="M127" s="81" t="s">
        <v>228</v>
      </c>
      <c r="N127" s="81"/>
      <c r="O127" s="173" t="s">
        <v>479</v>
      </c>
      <c r="P127" s="7">
        <v>1</v>
      </c>
      <c r="Q127" s="8">
        <v>14</v>
      </c>
    </row>
    <row r="128" spans="1:34">
      <c r="A128" s="5" t="s">
        <v>244</v>
      </c>
      <c r="B128" s="5" t="s">
        <v>221</v>
      </c>
      <c r="C128" s="42">
        <v>45106</v>
      </c>
      <c r="D128" s="55" t="s">
        <v>727</v>
      </c>
      <c r="E128" s="5" t="s">
        <v>36</v>
      </c>
      <c r="F128" s="29" t="s">
        <v>223</v>
      </c>
      <c r="G128" s="8" t="s">
        <v>69</v>
      </c>
      <c r="H128" s="78" t="s">
        <v>728</v>
      </c>
      <c r="I128" s="151">
        <f t="shared" si="0"/>
        <v>6</v>
      </c>
      <c r="J128" s="62">
        <f t="shared" si="1"/>
        <v>400</v>
      </c>
      <c r="K128" s="94" t="s">
        <v>729</v>
      </c>
      <c r="L128" s="102">
        <v>4200650334</v>
      </c>
      <c r="M128" s="81" t="s">
        <v>228</v>
      </c>
      <c r="N128" s="81" t="s">
        <v>730</v>
      </c>
      <c r="O128" s="131" t="s">
        <v>731</v>
      </c>
      <c r="P128" s="7">
        <v>1</v>
      </c>
      <c r="Q128" s="8">
        <v>3</v>
      </c>
      <c r="W128" s="7">
        <v>1</v>
      </c>
      <c r="X128" s="8">
        <v>1</v>
      </c>
    </row>
    <row r="129" spans="1:34">
      <c r="A129" s="5" t="s">
        <v>244</v>
      </c>
      <c r="B129" s="5" t="s">
        <v>221</v>
      </c>
      <c r="C129" s="76">
        <v>45105</v>
      </c>
      <c r="D129" s="55" t="s">
        <v>732</v>
      </c>
      <c r="E129" s="5" t="s">
        <v>437</v>
      </c>
      <c r="F129" s="29" t="s">
        <v>223</v>
      </c>
      <c r="G129" s="8" t="s">
        <v>93</v>
      </c>
      <c r="H129" s="78" t="s">
        <v>733</v>
      </c>
      <c r="I129" s="151">
        <v>10</v>
      </c>
      <c r="J129" s="62">
        <f>IF(SUMPRODUCT($P$3:$AV$3,P129:AV129)=0,"-",SUMPRODUCT($P$3:$AV$3,P129:AV129))</f>
        <v>660</v>
      </c>
      <c r="K129" s="90" t="s">
        <v>734</v>
      </c>
      <c r="L129" s="192" t="s">
        <v>481</v>
      </c>
      <c r="M129" s="166"/>
      <c r="N129" s="166"/>
      <c r="O129" s="201"/>
      <c r="P129" s="7">
        <v>1</v>
      </c>
      <c r="Q129" s="8">
        <v>6</v>
      </c>
      <c r="X129" s="8">
        <v>2</v>
      </c>
      <c r="Z129" s="8">
        <v>1</v>
      </c>
    </row>
    <row r="130" spans="1:34">
      <c r="A130" s="5" t="s">
        <v>244</v>
      </c>
      <c r="B130" s="5" t="s">
        <v>221</v>
      </c>
      <c r="C130" s="42">
        <v>45106</v>
      </c>
      <c r="D130" s="77" t="s">
        <v>735</v>
      </c>
      <c r="E130" s="5" t="s">
        <v>27</v>
      </c>
      <c r="F130" s="29" t="s">
        <v>223</v>
      </c>
      <c r="G130" s="8" t="s">
        <v>130</v>
      </c>
      <c r="H130" s="78" t="s">
        <v>736</v>
      </c>
      <c r="I130" s="105">
        <v>3</v>
      </c>
      <c r="J130" s="62">
        <f t="shared" si="1"/>
        <v>215</v>
      </c>
      <c r="K130" s="110" t="s">
        <v>737</v>
      </c>
      <c r="L130" s="187" t="s">
        <v>640</v>
      </c>
      <c r="M130" s="186"/>
      <c r="N130" s="186" t="s">
        <v>641</v>
      </c>
      <c r="O130" s="185"/>
      <c r="W130" s="7">
        <v>1</v>
      </c>
      <c r="X130" s="8">
        <v>2</v>
      </c>
    </row>
    <row r="131" spans="1:34">
      <c r="A131" s="5" t="s">
        <v>244</v>
      </c>
      <c r="B131" s="5" t="s">
        <v>221</v>
      </c>
      <c r="C131" s="76" t="s">
        <v>738</v>
      </c>
      <c r="D131" s="55" t="s">
        <v>739</v>
      </c>
      <c r="E131" s="5" t="s">
        <v>437</v>
      </c>
      <c r="F131" s="29" t="s">
        <v>223</v>
      </c>
      <c r="G131" s="8" t="s">
        <v>438</v>
      </c>
      <c r="J131" s="34">
        <v>250</v>
      </c>
      <c r="K131" s="94" t="s">
        <v>740</v>
      </c>
      <c r="L131" s="81">
        <v>4200646848</v>
      </c>
      <c r="M131" s="48" t="s">
        <v>228</v>
      </c>
      <c r="N131" s="81"/>
      <c r="O131" s="131"/>
    </row>
    <row r="132" spans="1:34">
      <c r="A132" t="s">
        <v>220</v>
      </c>
      <c r="B132" t="s">
        <v>221</v>
      </c>
      <c r="C132" s="42">
        <v>45118</v>
      </c>
      <c r="D132" s="54" t="s">
        <v>741</v>
      </c>
      <c r="E132" t="s">
        <v>26</v>
      </c>
      <c r="F132" s="64" t="s">
        <v>481</v>
      </c>
      <c r="G132" s="8" t="s">
        <v>69</v>
      </c>
      <c r="H132" s="49" t="s">
        <v>481</v>
      </c>
      <c r="I132" s="151">
        <f>IF(SUM(P132:AV132)=0,"-",SUM(P132:AV132))</f>
        <v>1</v>
      </c>
      <c r="J132" s="62">
        <f>IF(SUMPRODUCT($P$3:$AV$3,P132:AV132)=0,"-",SUMPRODUCT($P$3:$AV$3,P132:AV132))</f>
        <v>600</v>
      </c>
      <c r="K132" s="94" t="s">
        <v>742</v>
      </c>
      <c r="L132" s="48">
        <v>4200648422</v>
      </c>
      <c r="M132" s="48" t="s">
        <v>228</v>
      </c>
      <c r="N132" s="81"/>
      <c r="O132" s="131"/>
      <c r="AH132" s="8">
        <v>1</v>
      </c>
    </row>
    <row r="133" spans="1:34">
      <c r="A133" t="s">
        <v>220</v>
      </c>
      <c r="B133" t="s">
        <v>221</v>
      </c>
      <c r="C133" s="42">
        <v>45118</v>
      </c>
      <c r="D133" s="55" t="s">
        <v>743</v>
      </c>
      <c r="E133" s="5" t="s">
        <v>744</v>
      </c>
      <c r="F133" s="29" t="s">
        <v>223</v>
      </c>
      <c r="G133" s="8" t="s">
        <v>130</v>
      </c>
      <c r="H133" s="78" t="s">
        <v>745</v>
      </c>
      <c r="I133" s="151">
        <f t="shared" si="0"/>
        <v>6</v>
      </c>
      <c r="J133" s="62">
        <f t="shared" si="1"/>
        <v>530</v>
      </c>
      <c r="K133" s="94" t="s">
        <v>746</v>
      </c>
      <c r="L133" s="48">
        <v>4200648499</v>
      </c>
      <c r="M133" s="48" t="s">
        <v>228</v>
      </c>
      <c r="N133" s="81"/>
      <c r="O133" s="131"/>
      <c r="P133" s="7">
        <v>1</v>
      </c>
      <c r="Q133" s="8">
        <v>2</v>
      </c>
      <c r="R133" s="8">
        <v>1</v>
      </c>
      <c r="S133" s="8">
        <v>2</v>
      </c>
    </row>
    <row r="134" spans="1:34" ht="15.75" customHeight="1">
      <c r="A134" t="s">
        <v>220</v>
      </c>
      <c r="B134" t="s">
        <v>221</v>
      </c>
      <c r="C134" s="42">
        <v>45118</v>
      </c>
      <c r="D134" s="55" t="s">
        <v>747</v>
      </c>
      <c r="E134" s="5" t="s">
        <v>27</v>
      </c>
      <c r="F134" s="29" t="s">
        <v>223</v>
      </c>
      <c r="G134" s="8" t="s">
        <v>130</v>
      </c>
      <c r="H134" s="78" t="s">
        <v>748</v>
      </c>
      <c r="I134" s="151">
        <f t="shared" si="0"/>
        <v>10</v>
      </c>
      <c r="J134" s="62">
        <f t="shared" si="1"/>
        <v>355</v>
      </c>
      <c r="K134" s="94" t="s">
        <v>749</v>
      </c>
      <c r="L134" s="81">
        <v>4200650337</v>
      </c>
      <c r="M134" s="81" t="s">
        <v>249</v>
      </c>
      <c r="N134" s="81" t="s">
        <v>750</v>
      </c>
      <c r="O134" s="131" t="s">
        <v>652</v>
      </c>
      <c r="Q134" s="8">
        <v>9</v>
      </c>
      <c r="X134" s="8">
        <v>1</v>
      </c>
    </row>
    <row r="135" spans="1:34">
      <c r="A135" t="s">
        <v>220</v>
      </c>
      <c r="B135" t="s">
        <v>221</v>
      </c>
      <c r="C135" s="42">
        <v>45118</v>
      </c>
      <c r="D135" s="77" t="s">
        <v>751</v>
      </c>
      <c r="E135" s="5" t="s">
        <v>36</v>
      </c>
      <c r="F135" s="29" t="s">
        <v>223</v>
      </c>
      <c r="G135" s="8" t="s">
        <v>69</v>
      </c>
      <c r="H135" s="78" t="s">
        <v>752</v>
      </c>
      <c r="I135" s="151">
        <f t="shared" si="0"/>
        <v>46</v>
      </c>
      <c r="J135" s="62">
        <f t="shared" si="1"/>
        <v>1610</v>
      </c>
      <c r="K135" s="94" t="s">
        <v>753</v>
      </c>
      <c r="L135" s="48">
        <v>4200648411</v>
      </c>
      <c r="M135" s="48" t="s">
        <v>228</v>
      </c>
      <c r="N135" s="81"/>
      <c r="O135" s="173" t="s">
        <v>479</v>
      </c>
      <c r="Q135" s="8">
        <f>8+38</f>
        <v>46</v>
      </c>
    </row>
    <row r="136" spans="1:34">
      <c r="A136" t="s">
        <v>220</v>
      </c>
      <c r="B136" t="s">
        <v>221</v>
      </c>
      <c r="C136" s="42">
        <v>45118</v>
      </c>
      <c r="D136" s="77" t="s">
        <v>754</v>
      </c>
      <c r="E136" s="5" t="s">
        <v>36</v>
      </c>
      <c r="F136" s="29" t="s">
        <v>223</v>
      </c>
      <c r="G136" s="8" t="s">
        <v>69</v>
      </c>
      <c r="H136" s="78" t="s">
        <v>755</v>
      </c>
      <c r="I136" s="151">
        <f t="shared" si="0"/>
        <v>16</v>
      </c>
      <c r="J136" s="62">
        <f t="shared" si="1"/>
        <v>560</v>
      </c>
      <c r="K136" s="94" t="s">
        <v>756</v>
      </c>
      <c r="L136" s="102">
        <v>4200650333</v>
      </c>
      <c r="M136" s="81" t="s">
        <v>228</v>
      </c>
      <c r="N136" s="81" t="s">
        <v>757</v>
      </c>
      <c r="O136" s="131" t="s">
        <v>758</v>
      </c>
      <c r="Q136" s="8">
        <f>4+12</f>
        <v>16</v>
      </c>
    </row>
    <row r="137" spans="1:34">
      <c r="A137" t="s">
        <v>220</v>
      </c>
      <c r="B137" t="s">
        <v>221</v>
      </c>
      <c r="C137" s="76">
        <v>45118</v>
      </c>
      <c r="D137" s="55" t="s">
        <v>759</v>
      </c>
      <c r="E137" s="5" t="s">
        <v>27</v>
      </c>
      <c r="F137" s="29" t="s">
        <v>223</v>
      </c>
      <c r="G137" s="8" t="s">
        <v>130</v>
      </c>
      <c r="H137" s="78" t="s">
        <v>760</v>
      </c>
      <c r="I137" s="151">
        <f t="shared" si="0"/>
        <v>2</v>
      </c>
      <c r="J137" s="62">
        <f t="shared" si="1"/>
        <v>175</v>
      </c>
      <c r="K137" s="94" t="s">
        <v>761</v>
      </c>
      <c r="L137" s="81">
        <v>4200650337</v>
      </c>
      <c r="M137" s="81" t="s">
        <v>249</v>
      </c>
      <c r="N137" s="81" t="s">
        <v>750</v>
      </c>
      <c r="O137" s="131" t="s">
        <v>652</v>
      </c>
      <c r="W137" s="7">
        <v>1</v>
      </c>
      <c r="X137" s="8">
        <v>1</v>
      </c>
    </row>
    <row r="138" spans="1:34">
      <c r="A138" t="s">
        <v>220</v>
      </c>
      <c r="B138" t="s">
        <v>221</v>
      </c>
      <c r="C138" s="76" t="s">
        <v>762</v>
      </c>
      <c r="D138" s="55" t="s">
        <v>763</v>
      </c>
      <c r="E138" s="128" t="s">
        <v>764</v>
      </c>
      <c r="F138" s="29" t="s">
        <v>223</v>
      </c>
      <c r="G138" s="8" t="s">
        <v>438</v>
      </c>
      <c r="H138" s="78" t="s">
        <v>765</v>
      </c>
      <c r="I138" s="151">
        <f t="shared" si="0"/>
        <v>9</v>
      </c>
      <c r="J138" s="62">
        <f t="shared" si="1"/>
        <v>315</v>
      </c>
      <c r="K138" s="110" t="s">
        <v>766</v>
      </c>
      <c r="L138" s="196" t="s">
        <v>481</v>
      </c>
      <c r="M138" s="194"/>
      <c r="N138" s="194"/>
      <c r="O138" s="197" t="s">
        <v>365</v>
      </c>
      <c r="Q138" s="8">
        <v>9</v>
      </c>
    </row>
    <row r="139" spans="1:34">
      <c r="A139" t="s">
        <v>220</v>
      </c>
      <c r="B139" t="s">
        <v>221</v>
      </c>
      <c r="C139" s="76" t="s">
        <v>767</v>
      </c>
      <c r="D139" s="55" t="s">
        <v>768</v>
      </c>
      <c r="E139" s="5" t="s">
        <v>27</v>
      </c>
      <c r="F139" s="29" t="s">
        <v>223</v>
      </c>
      <c r="G139" s="8" t="s">
        <v>130</v>
      </c>
      <c r="H139" s="78" t="s">
        <v>760</v>
      </c>
      <c r="I139" s="151">
        <f t="shared" si="0"/>
        <v>11</v>
      </c>
      <c r="J139" s="62">
        <f t="shared" si="1"/>
        <v>470</v>
      </c>
      <c r="K139" s="110" t="s">
        <v>769</v>
      </c>
      <c r="L139" s="81">
        <v>4200654041</v>
      </c>
      <c r="M139" s="81" t="s">
        <v>249</v>
      </c>
      <c r="N139" s="81" t="s">
        <v>770</v>
      </c>
      <c r="O139" s="177" t="s">
        <v>517</v>
      </c>
      <c r="P139" s="7">
        <v>1</v>
      </c>
      <c r="Q139" s="8">
        <v>10</v>
      </c>
    </row>
    <row r="140" spans="1:34">
      <c r="A140" t="s">
        <v>220</v>
      </c>
      <c r="B140" t="s">
        <v>221</v>
      </c>
      <c r="C140" s="76" t="s">
        <v>771</v>
      </c>
      <c r="D140" s="55" t="s">
        <v>772</v>
      </c>
      <c r="E140" s="5" t="s">
        <v>36</v>
      </c>
      <c r="F140" s="29" t="s">
        <v>223</v>
      </c>
      <c r="G140" s="8" t="s">
        <v>69</v>
      </c>
      <c r="H140" s="78" t="s">
        <v>773</v>
      </c>
      <c r="I140" s="151">
        <f t="shared" si="0"/>
        <v>22</v>
      </c>
      <c r="J140" s="62">
        <f t="shared" si="1"/>
        <v>1005</v>
      </c>
      <c r="K140" s="110" t="s">
        <v>774</v>
      </c>
      <c r="L140" s="81">
        <v>4200651981</v>
      </c>
      <c r="M140" s="81" t="s">
        <v>650</v>
      </c>
      <c r="N140" s="81" t="s">
        <v>775</v>
      </c>
      <c r="O140" s="131" t="s">
        <v>652</v>
      </c>
      <c r="P140" s="7">
        <v>1</v>
      </c>
      <c r="Q140" s="8">
        <v>10</v>
      </c>
      <c r="W140" s="7">
        <v>1</v>
      </c>
      <c r="X140" s="8">
        <v>10</v>
      </c>
    </row>
    <row r="141" spans="1:34">
      <c r="A141" t="s">
        <v>220</v>
      </c>
      <c r="B141" t="s">
        <v>221</v>
      </c>
      <c r="C141" s="76" t="s">
        <v>771</v>
      </c>
      <c r="D141" s="55" t="s">
        <v>776</v>
      </c>
      <c r="E141" s="5" t="s">
        <v>36</v>
      </c>
      <c r="F141" s="29" t="s">
        <v>223</v>
      </c>
      <c r="G141" s="8" t="s">
        <v>69</v>
      </c>
      <c r="H141" s="78" t="s">
        <v>777</v>
      </c>
      <c r="I141" s="151">
        <f t="shared" si="0"/>
        <v>5</v>
      </c>
      <c r="J141" s="62">
        <f t="shared" si="1"/>
        <v>175</v>
      </c>
      <c r="K141" s="111" t="s">
        <v>778</v>
      </c>
      <c r="L141" s="196" t="s">
        <v>481</v>
      </c>
      <c r="M141" s="194"/>
      <c r="N141" s="194"/>
      <c r="O141" s="195"/>
      <c r="Q141" s="8">
        <v>5</v>
      </c>
    </row>
    <row r="142" spans="1:34">
      <c r="A142" t="s">
        <v>220</v>
      </c>
      <c r="B142" t="s">
        <v>221</v>
      </c>
      <c r="C142" s="76">
        <v>45142</v>
      </c>
      <c r="D142" s="55" t="s">
        <v>779</v>
      </c>
      <c r="E142" s="128" t="s">
        <v>780</v>
      </c>
      <c r="F142" s="29" t="s">
        <v>223</v>
      </c>
      <c r="G142" s="8" t="s">
        <v>438</v>
      </c>
      <c r="H142" s="78" t="s">
        <v>781</v>
      </c>
      <c r="I142" s="151">
        <f t="shared" si="0"/>
        <v>45</v>
      </c>
      <c r="J142" s="62">
        <f t="shared" si="1"/>
        <v>1575</v>
      </c>
      <c r="K142" s="111" t="s">
        <v>782</v>
      </c>
      <c r="L142" s="196" t="s">
        <v>481</v>
      </c>
      <c r="M142" s="194"/>
      <c r="N142" s="194"/>
      <c r="O142" s="197" t="s">
        <v>365</v>
      </c>
      <c r="Q142" s="8">
        <v>45</v>
      </c>
    </row>
    <row r="143" spans="1:34">
      <c r="A143" t="s">
        <v>220</v>
      </c>
      <c r="B143" t="s">
        <v>221</v>
      </c>
      <c r="C143" s="76">
        <v>45142</v>
      </c>
      <c r="D143" s="55" t="s">
        <v>783</v>
      </c>
      <c r="E143" s="5" t="s">
        <v>36</v>
      </c>
      <c r="F143" s="29" t="s">
        <v>223</v>
      </c>
      <c r="G143" s="8" t="s">
        <v>69</v>
      </c>
      <c r="H143" s="78" t="s">
        <v>784</v>
      </c>
      <c r="I143" s="151">
        <f t="shared" si="0"/>
        <v>2</v>
      </c>
      <c r="J143" s="62">
        <f t="shared" si="1"/>
        <v>175</v>
      </c>
      <c r="K143" s="100" t="s">
        <v>785</v>
      </c>
      <c r="L143" s="81">
        <v>4200651991</v>
      </c>
      <c r="M143" s="81" t="s">
        <v>249</v>
      </c>
      <c r="N143" s="81" t="s">
        <v>651</v>
      </c>
      <c r="O143" s="131" t="s">
        <v>652</v>
      </c>
      <c r="W143" s="7">
        <v>1</v>
      </c>
      <c r="X143" s="8">
        <v>1</v>
      </c>
    </row>
    <row r="144" spans="1:34">
      <c r="A144" t="s">
        <v>220</v>
      </c>
      <c r="B144" t="s">
        <v>221</v>
      </c>
      <c r="C144" s="76">
        <v>45145</v>
      </c>
      <c r="D144" s="55" t="s">
        <v>786</v>
      </c>
      <c r="E144" s="5" t="s">
        <v>27</v>
      </c>
      <c r="F144" s="29" t="s">
        <v>223</v>
      </c>
      <c r="G144" s="8" t="s">
        <v>130</v>
      </c>
      <c r="H144" s="78" t="s">
        <v>787</v>
      </c>
      <c r="I144" s="151">
        <f t="shared" si="0"/>
        <v>2</v>
      </c>
      <c r="J144" s="62">
        <f t="shared" si="1"/>
        <v>270</v>
      </c>
      <c r="K144" s="110" t="s">
        <v>788</v>
      </c>
      <c r="L144" s="81">
        <v>4200650337</v>
      </c>
      <c r="M144" s="81" t="s">
        <v>249</v>
      </c>
      <c r="N144" s="81" t="s">
        <v>750</v>
      </c>
      <c r="O144" s="131" t="s">
        <v>652</v>
      </c>
      <c r="W144" s="7">
        <v>2</v>
      </c>
    </row>
    <row r="145" spans="1:29">
      <c r="A145" t="s">
        <v>220</v>
      </c>
      <c r="B145" t="s">
        <v>221</v>
      </c>
      <c r="C145" s="76">
        <v>45145</v>
      </c>
      <c r="D145" s="55" t="s">
        <v>789</v>
      </c>
      <c r="E145" s="5" t="s">
        <v>27</v>
      </c>
      <c r="F145" s="29" t="s">
        <v>223</v>
      </c>
      <c r="G145" s="8" t="s">
        <v>130</v>
      </c>
      <c r="H145" s="78" t="s">
        <v>790</v>
      </c>
      <c r="I145" s="151">
        <f t="shared" si="0"/>
        <v>7</v>
      </c>
      <c r="J145" s="62">
        <f t="shared" si="1"/>
        <v>565</v>
      </c>
      <c r="K145" s="110" t="s">
        <v>791</v>
      </c>
      <c r="L145" s="81">
        <v>4200654041</v>
      </c>
      <c r="M145" s="81" t="s">
        <v>249</v>
      </c>
      <c r="N145" s="81" t="s">
        <v>770</v>
      </c>
      <c r="O145" s="177" t="s">
        <v>517</v>
      </c>
      <c r="W145" s="7">
        <v>3</v>
      </c>
      <c r="X145" s="8">
        <v>4</v>
      </c>
    </row>
    <row r="146" spans="1:29" ht="16.5" customHeight="1">
      <c r="A146" t="s">
        <v>220</v>
      </c>
      <c r="B146" t="s">
        <v>221</v>
      </c>
      <c r="C146" s="76">
        <v>45146</v>
      </c>
      <c r="D146" s="55" t="s">
        <v>792</v>
      </c>
      <c r="E146" s="5" t="s">
        <v>27</v>
      </c>
      <c r="F146" s="29" t="s">
        <v>223</v>
      </c>
      <c r="G146" s="8" t="s">
        <v>93</v>
      </c>
      <c r="H146" s="124" t="s">
        <v>793</v>
      </c>
      <c r="I146" s="151">
        <f t="shared" si="0"/>
        <v>11</v>
      </c>
      <c r="J146" s="62">
        <f t="shared" si="1"/>
        <v>690</v>
      </c>
      <c r="K146" s="110" t="s">
        <v>794</v>
      </c>
      <c r="L146" s="187" t="s">
        <v>640</v>
      </c>
      <c r="M146" s="186"/>
      <c r="N146" s="186" t="s">
        <v>641</v>
      </c>
      <c r="O146" s="185"/>
      <c r="P146" s="7">
        <v>1</v>
      </c>
      <c r="Q146" s="8">
        <v>8</v>
      </c>
      <c r="X146" s="8">
        <v>1</v>
      </c>
      <c r="Z146" s="8">
        <v>1</v>
      </c>
    </row>
    <row r="147" spans="1:29" ht="17.25" customHeight="1">
      <c r="A147" s="5" t="s">
        <v>244</v>
      </c>
      <c r="B147" s="5" t="s">
        <v>221</v>
      </c>
      <c r="C147" s="42">
        <v>45110</v>
      </c>
      <c r="D147" s="83" t="s">
        <v>795</v>
      </c>
      <c r="E147" s="156" t="s">
        <v>437</v>
      </c>
      <c r="F147" s="155" t="s">
        <v>223</v>
      </c>
      <c r="G147" s="8" t="s">
        <v>93</v>
      </c>
      <c r="H147" s="124" t="s">
        <v>796</v>
      </c>
      <c r="I147" s="151">
        <f t="shared" ref="I147:I159" si="2">IF(SUM(P147:AV147)=0,"-",SUM(P147:AV147))</f>
        <v>10</v>
      </c>
      <c r="J147" s="62">
        <f t="shared" ref="J147:J163" si="3">IF(SUMPRODUCT($P$3:$AV$3,P147:AV147)=0,"-",SUMPRODUCT($P$3:$AV$3,P147:AV147))</f>
        <v>755</v>
      </c>
      <c r="K147" s="110" t="s">
        <v>797</v>
      </c>
      <c r="L147" s="81">
        <v>4200650327</v>
      </c>
      <c r="M147" s="38" t="s">
        <v>249</v>
      </c>
      <c r="N147" s="81" t="s">
        <v>798</v>
      </c>
      <c r="O147" s="131" t="s">
        <v>799</v>
      </c>
      <c r="P147" s="7">
        <v>1</v>
      </c>
      <c r="Q147" s="8">
        <v>6</v>
      </c>
      <c r="W147" s="7">
        <v>1</v>
      </c>
      <c r="X147" s="8">
        <v>1</v>
      </c>
      <c r="Z147" s="8">
        <v>1</v>
      </c>
    </row>
    <row r="148" spans="1:29">
      <c r="A148" s="5" t="s">
        <v>244</v>
      </c>
      <c r="B148" s="5" t="s">
        <v>221</v>
      </c>
      <c r="C148" s="42">
        <v>45162</v>
      </c>
      <c r="D148" s="107" t="s">
        <v>800</v>
      </c>
      <c r="E148" s="5" t="s">
        <v>36</v>
      </c>
      <c r="F148" s="29" t="s">
        <v>223</v>
      </c>
      <c r="G148" s="8" t="s">
        <v>69</v>
      </c>
      <c r="H148" s="78" t="s">
        <v>801</v>
      </c>
      <c r="I148" s="151">
        <f t="shared" si="2"/>
        <v>47</v>
      </c>
      <c r="J148" s="62">
        <f t="shared" si="3"/>
        <v>1730</v>
      </c>
      <c r="K148" s="110" t="s">
        <v>802</v>
      </c>
      <c r="L148" s="81">
        <v>4200651991</v>
      </c>
      <c r="M148" s="81" t="s">
        <v>249</v>
      </c>
      <c r="N148" s="81" t="s">
        <v>651</v>
      </c>
      <c r="O148" s="131" t="s">
        <v>652</v>
      </c>
      <c r="P148" s="7">
        <v>1</v>
      </c>
      <c r="Q148" s="8">
        <v>46</v>
      </c>
    </row>
    <row r="149" spans="1:29">
      <c r="A149" s="5" t="s">
        <v>244</v>
      </c>
      <c r="B149" s="5" t="s">
        <v>221</v>
      </c>
      <c r="C149" s="42">
        <v>45162</v>
      </c>
      <c r="D149" s="55" t="s">
        <v>803</v>
      </c>
      <c r="E149" s="5" t="s">
        <v>27</v>
      </c>
      <c r="F149" s="29" t="s">
        <v>223</v>
      </c>
      <c r="G149" s="8" t="s">
        <v>130</v>
      </c>
      <c r="H149" s="78" t="s">
        <v>804</v>
      </c>
      <c r="I149" s="151">
        <f t="shared" si="2"/>
        <v>1</v>
      </c>
      <c r="J149" s="62">
        <f t="shared" si="3"/>
        <v>120</v>
      </c>
      <c r="K149" s="110" t="s">
        <v>805</v>
      </c>
      <c r="L149" s="81">
        <v>4200654041</v>
      </c>
      <c r="M149" s="81" t="s">
        <v>249</v>
      </c>
      <c r="N149" s="81" t="s">
        <v>770</v>
      </c>
      <c r="O149" s="177" t="s">
        <v>517</v>
      </c>
      <c r="P149" s="7">
        <v>1</v>
      </c>
    </row>
    <row r="150" spans="1:29">
      <c r="A150" s="5" t="s">
        <v>244</v>
      </c>
      <c r="B150" s="5" t="s">
        <v>221</v>
      </c>
      <c r="C150" s="42">
        <v>45162</v>
      </c>
      <c r="D150" s="55" t="s">
        <v>806</v>
      </c>
      <c r="E150" s="5" t="s">
        <v>27</v>
      </c>
      <c r="F150" s="29" t="s">
        <v>223</v>
      </c>
      <c r="G150" s="8" t="s">
        <v>93</v>
      </c>
      <c r="H150" s="49" t="s">
        <v>481</v>
      </c>
      <c r="I150" s="151">
        <f t="shared" si="2"/>
        <v>1</v>
      </c>
      <c r="J150" s="62">
        <f t="shared" si="3"/>
        <v>35</v>
      </c>
      <c r="K150" s="110" t="s">
        <v>807</v>
      </c>
      <c r="L150" s="187" t="s">
        <v>640</v>
      </c>
      <c r="M150" s="186"/>
      <c r="N150" s="186" t="s">
        <v>641</v>
      </c>
      <c r="O150" s="185"/>
      <c r="Q150" s="8">
        <v>1</v>
      </c>
    </row>
    <row r="151" spans="1:29">
      <c r="A151" s="5" t="s">
        <v>244</v>
      </c>
      <c r="B151" s="5" t="s">
        <v>221</v>
      </c>
      <c r="C151" s="42">
        <v>45162</v>
      </c>
      <c r="D151" s="55" t="s">
        <v>808</v>
      </c>
      <c r="E151" s="5" t="s">
        <v>27</v>
      </c>
      <c r="F151" s="29" t="s">
        <v>223</v>
      </c>
      <c r="G151" s="8" t="s">
        <v>692</v>
      </c>
      <c r="H151" s="78" t="s">
        <v>809</v>
      </c>
      <c r="I151" s="151">
        <f t="shared" si="2"/>
        <v>9</v>
      </c>
      <c r="J151" s="62">
        <f t="shared" si="3"/>
        <v>400</v>
      </c>
      <c r="K151" s="110" t="s">
        <v>810</v>
      </c>
      <c r="L151" s="81">
        <v>4200654054</v>
      </c>
      <c r="M151" s="81" t="s">
        <v>249</v>
      </c>
      <c r="N151" s="81" t="s">
        <v>811</v>
      </c>
      <c r="O151" s="177" t="s">
        <v>517</v>
      </c>
      <c r="P151" s="7">
        <v>1</v>
      </c>
      <c r="Q151" s="8">
        <v>8</v>
      </c>
    </row>
    <row r="152" spans="1:29">
      <c r="A152" s="5" t="s">
        <v>244</v>
      </c>
      <c r="B152" s="5" t="s">
        <v>221</v>
      </c>
      <c r="C152" s="117">
        <v>45170</v>
      </c>
      <c r="D152" s="106" t="s">
        <v>812</v>
      </c>
      <c r="E152" s="5" t="s">
        <v>35</v>
      </c>
      <c r="F152" s="118" t="s">
        <v>223</v>
      </c>
      <c r="G152" s="8" t="s">
        <v>130</v>
      </c>
      <c r="H152" s="124" t="s">
        <v>813</v>
      </c>
      <c r="I152" s="151">
        <f t="shared" si="2"/>
        <v>19</v>
      </c>
      <c r="J152" s="62">
        <v>507</v>
      </c>
      <c r="K152" s="110" t="s">
        <v>814</v>
      </c>
      <c r="L152" s="81">
        <v>4200653899</v>
      </c>
      <c r="M152" s="81" t="s">
        <v>249</v>
      </c>
      <c r="N152" s="81" t="s">
        <v>815</v>
      </c>
      <c r="O152" s="177" t="s">
        <v>517</v>
      </c>
      <c r="P152" s="7">
        <v>1</v>
      </c>
      <c r="Q152" s="8">
        <v>14</v>
      </c>
      <c r="X152" s="8">
        <v>3</v>
      </c>
      <c r="Y152" s="8">
        <v>1</v>
      </c>
    </row>
    <row r="153" spans="1:29">
      <c r="A153" s="5" t="s">
        <v>244</v>
      </c>
      <c r="B153" s="5" t="s">
        <v>221</v>
      </c>
      <c r="C153" s="117">
        <v>45173</v>
      </c>
      <c r="D153" s="55" t="s">
        <v>816</v>
      </c>
      <c r="E153" s="5" t="s">
        <v>27</v>
      </c>
      <c r="F153" s="29" t="s">
        <v>223</v>
      </c>
      <c r="G153" s="8" t="s">
        <v>130</v>
      </c>
      <c r="H153" s="53" t="s">
        <v>817</v>
      </c>
      <c r="I153" s="151">
        <f>IF(SUM(P153:AV153)=0,"-",SUM(P153:AV153))</f>
        <v>4</v>
      </c>
      <c r="J153" s="62">
        <f t="shared" si="3"/>
        <v>140</v>
      </c>
      <c r="K153" s="110" t="s">
        <v>818</v>
      </c>
      <c r="L153" s="81">
        <v>4200654041</v>
      </c>
      <c r="M153" s="81" t="s">
        <v>249</v>
      </c>
      <c r="N153" s="81" t="s">
        <v>770</v>
      </c>
      <c r="O153" s="177" t="s">
        <v>517</v>
      </c>
      <c r="Q153" s="8">
        <v>4</v>
      </c>
    </row>
    <row r="154" spans="1:29">
      <c r="A154" s="5" t="s">
        <v>244</v>
      </c>
      <c r="B154" s="5" t="s">
        <v>221</v>
      </c>
      <c r="C154" s="117">
        <v>45175</v>
      </c>
      <c r="D154" s="106" t="s">
        <v>819</v>
      </c>
      <c r="E154" s="5" t="s">
        <v>43</v>
      </c>
      <c r="F154" s="29" t="s">
        <v>223</v>
      </c>
      <c r="G154" s="8" t="s">
        <v>476</v>
      </c>
      <c r="H154" s="78" t="s">
        <v>820</v>
      </c>
      <c r="I154" s="151">
        <f t="shared" ref="I154:I157" si="4">IF(SUM(P154:AV154)=0,"-",SUM(P154:AV154))</f>
        <v>28</v>
      </c>
      <c r="J154" s="62">
        <f t="shared" ref="J154:J157" si="5">IF(SUMPRODUCT($P$3:$AV$3,P154:AV154)=0,"-",SUMPRODUCT($P$3:$AV$3,P154:AV154))</f>
        <v>1275</v>
      </c>
      <c r="K154" s="110" t="s">
        <v>821</v>
      </c>
      <c r="L154" s="81">
        <v>4200651960</v>
      </c>
      <c r="M154" s="81" t="s">
        <v>249</v>
      </c>
      <c r="N154" s="81" t="s">
        <v>822</v>
      </c>
      <c r="O154" s="131" t="s">
        <v>652</v>
      </c>
      <c r="Q154" s="8">
        <v>25</v>
      </c>
      <c r="X154" s="8">
        <v>1</v>
      </c>
      <c r="Y154" s="8">
        <v>2</v>
      </c>
    </row>
    <row r="155" spans="1:29">
      <c r="A155" s="5" t="s">
        <v>244</v>
      </c>
      <c r="B155" s="5" t="s">
        <v>221</v>
      </c>
      <c r="C155" s="117">
        <v>45182</v>
      </c>
      <c r="D155" s="106" t="s">
        <v>823</v>
      </c>
      <c r="E155" s="5" t="s">
        <v>27</v>
      </c>
      <c r="F155" s="29" t="s">
        <v>223</v>
      </c>
      <c r="G155" s="8" t="s">
        <v>692</v>
      </c>
      <c r="H155" s="78" t="s">
        <v>824</v>
      </c>
      <c r="I155" s="151">
        <f t="shared" ref="I155:I156" si="6">IF(SUM(P155:AV155)=0,"-",SUM(P155:AV155))</f>
        <v>11</v>
      </c>
      <c r="J155" s="62">
        <f t="shared" ref="J155:J156" si="7">IF(SUMPRODUCT($P$3:$AV$3,P155:AV155)=0,"-",SUMPRODUCT($P$3:$AV$3,P155:AV155))</f>
        <v>470</v>
      </c>
      <c r="K155" s="110" t="s">
        <v>825</v>
      </c>
      <c r="L155" s="81">
        <v>4200652038</v>
      </c>
      <c r="M155" s="81" t="s">
        <v>249</v>
      </c>
      <c r="N155" s="81" t="s">
        <v>826</v>
      </c>
      <c r="O155" s="131" t="s">
        <v>652</v>
      </c>
      <c r="P155" s="7">
        <v>1</v>
      </c>
      <c r="Q155" s="8">
        <v>10</v>
      </c>
    </row>
    <row r="156" spans="1:29">
      <c r="A156" s="5" t="s">
        <v>244</v>
      </c>
      <c r="B156" s="5" t="s">
        <v>221</v>
      </c>
      <c r="C156" s="117">
        <v>45182</v>
      </c>
      <c r="D156" s="106" t="s">
        <v>827</v>
      </c>
      <c r="E156" s="5" t="s">
        <v>35</v>
      </c>
      <c r="F156" s="118" t="s">
        <v>223</v>
      </c>
      <c r="G156" s="8" t="s">
        <v>93</v>
      </c>
      <c r="H156" s="124" t="s">
        <v>828</v>
      </c>
      <c r="I156" s="151">
        <f t="shared" si="6"/>
        <v>2</v>
      </c>
      <c r="J156" s="62">
        <v>673</v>
      </c>
      <c r="K156" s="110" t="s">
        <v>829</v>
      </c>
      <c r="L156" s="81">
        <v>4200653894</v>
      </c>
      <c r="M156" s="81" t="s">
        <v>249</v>
      </c>
      <c r="N156" s="81" t="s">
        <v>830</v>
      </c>
      <c r="O156" s="177" t="s">
        <v>517</v>
      </c>
      <c r="W156" s="7">
        <v>2</v>
      </c>
    </row>
    <row r="157" spans="1:29">
      <c r="A157" s="5" t="s">
        <v>244</v>
      </c>
      <c r="B157" s="5" t="s">
        <v>221</v>
      </c>
      <c r="C157" s="117">
        <v>45183</v>
      </c>
      <c r="D157" s="55" t="s">
        <v>44</v>
      </c>
      <c r="E157" s="5" t="s">
        <v>43</v>
      </c>
      <c r="F157" s="29" t="s">
        <v>223</v>
      </c>
      <c r="G157" s="8" t="s">
        <v>69</v>
      </c>
      <c r="H157" s="78" t="s">
        <v>831</v>
      </c>
      <c r="I157" s="151">
        <f t="shared" si="4"/>
        <v>1</v>
      </c>
      <c r="J157" s="62">
        <f t="shared" si="5"/>
        <v>180</v>
      </c>
      <c r="K157" s="110" t="s">
        <v>832</v>
      </c>
      <c r="L157" s="196" t="s">
        <v>481</v>
      </c>
      <c r="M157" s="194"/>
      <c r="N157" s="194"/>
      <c r="O157" s="195"/>
      <c r="Y157" s="8">
        <v>1</v>
      </c>
    </row>
    <row r="158" spans="1:29">
      <c r="A158" s="5" t="s">
        <v>244</v>
      </c>
      <c r="B158" s="5" t="s">
        <v>221</v>
      </c>
      <c r="C158" s="117">
        <v>45183</v>
      </c>
      <c r="D158" s="55" t="s">
        <v>833</v>
      </c>
      <c r="E158" s="5" t="s">
        <v>36</v>
      </c>
      <c r="F158" s="29" t="s">
        <v>223</v>
      </c>
      <c r="G158" s="8" t="s">
        <v>69</v>
      </c>
      <c r="H158" s="78" t="s">
        <v>834</v>
      </c>
      <c r="I158" s="151">
        <f t="shared" si="2"/>
        <v>2</v>
      </c>
      <c r="J158" s="62">
        <f t="shared" si="3"/>
        <v>360</v>
      </c>
      <c r="K158" s="110" t="s">
        <v>835</v>
      </c>
      <c r="L158" s="81">
        <v>4200651982</v>
      </c>
      <c r="M158" s="81" t="s">
        <v>249</v>
      </c>
      <c r="N158" s="81" t="s">
        <v>836</v>
      </c>
      <c r="O158" s="131" t="s">
        <v>652</v>
      </c>
      <c r="AC158" s="8">
        <v>2</v>
      </c>
    </row>
    <row r="159" spans="1:29">
      <c r="A159" s="5" t="s">
        <v>244</v>
      </c>
      <c r="B159" s="5" t="s">
        <v>221</v>
      </c>
      <c r="C159" s="117">
        <v>45183</v>
      </c>
      <c r="D159" s="55" t="s">
        <v>837</v>
      </c>
      <c r="E159" s="5" t="s">
        <v>36</v>
      </c>
      <c r="F159" s="29" t="s">
        <v>223</v>
      </c>
      <c r="G159" s="8" t="s">
        <v>69</v>
      </c>
      <c r="H159" s="78" t="s">
        <v>838</v>
      </c>
      <c r="I159" s="151">
        <f t="shared" si="2"/>
        <v>9</v>
      </c>
      <c r="J159" s="84">
        <f t="shared" si="3"/>
        <v>410</v>
      </c>
      <c r="K159" s="110" t="s">
        <v>839</v>
      </c>
      <c r="L159" s="81">
        <v>4200651986</v>
      </c>
      <c r="M159" s="81" t="s">
        <v>249</v>
      </c>
      <c r="N159" s="81" t="s">
        <v>840</v>
      </c>
      <c r="O159" s="131" t="s">
        <v>652</v>
      </c>
      <c r="P159" s="7">
        <v>1</v>
      </c>
      <c r="Q159" s="8">
        <v>6</v>
      </c>
      <c r="X159" s="8">
        <v>2</v>
      </c>
    </row>
    <row r="160" spans="1:29">
      <c r="A160" s="5" t="s">
        <v>244</v>
      </c>
      <c r="B160" s="5" t="s">
        <v>221</v>
      </c>
      <c r="C160" s="117">
        <v>45184</v>
      </c>
      <c r="D160" s="55" t="s">
        <v>841</v>
      </c>
      <c r="E160" s="5" t="s">
        <v>27</v>
      </c>
      <c r="F160" s="29" t="s">
        <v>223</v>
      </c>
      <c r="G160" s="8" t="s">
        <v>127</v>
      </c>
      <c r="H160" s="78" t="s">
        <v>842</v>
      </c>
      <c r="I160" s="151">
        <f t="shared" ref="I160:I163" si="8">IF(SUM(P160:AV160)=0,"-",SUM(P160:AV160))</f>
        <v>2</v>
      </c>
      <c r="J160" s="62">
        <f t="shared" si="3"/>
        <v>70</v>
      </c>
      <c r="K160" s="110" t="s">
        <v>843</v>
      </c>
      <c r="L160" s="81">
        <v>4270026854</v>
      </c>
      <c r="M160" s="81" t="s">
        <v>249</v>
      </c>
      <c r="N160" s="81" t="s">
        <v>844</v>
      </c>
      <c r="O160" s="174" t="s">
        <v>517</v>
      </c>
      <c r="Q160" s="8">
        <v>2</v>
      </c>
    </row>
    <row r="161" spans="1:50">
      <c r="A161" s="5" t="s">
        <v>244</v>
      </c>
      <c r="B161" s="5" t="s">
        <v>221</v>
      </c>
      <c r="C161" s="117">
        <v>45184</v>
      </c>
      <c r="D161" s="55" t="s">
        <v>845</v>
      </c>
      <c r="E161" s="5" t="s">
        <v>36</v>
      </c>
      <c r="F161" s="29" t="s">
        <v>223</v>
      </c>
      <c r="G161" s="8" t="s">
        <v>69</v>
      </c>
      <c r="H161" s="78" t="s">
        <v>846</v>
      </c>
      <c r="I161" s="151">
        <f t="shared" si="8"/>
        <v>1</v>
      </c>
      <c r="J161" s="62">
        <f t="shared" si="3"/>
        <v>180</v>
      </c>
      <c r="K161" s="109" t="s">
        <v>847</v>
      </c>
      <c r="L161" s="81">
        <v>4200651982</v>
      </c>
      <c r="M161" s="81" t="s">
        <v>249</v>
      </c>
      <c r="N161" s="81" t="s">
        <v>836</v>
      </c>
      <c r="O161" s="131" t="s">
        <v>652</v>
      </c>
      <c r="Y161" s="8">
        <v>1</v>
      </c>
    </row>
    <row r="162" spans="1:50">
      <c r="A162" s="157" t="s">
        <v>244</v>
      </c>
      <c r="B162" s="157" t="s">
        <v>221</v>
      </c>
      <c r="C162" s="158">
        <v>45188</v>
      </c>
      <c r="D162" s="159" t="s">
        <v>341</v>
      </c>
      <c r="E162" s="157" t="s">
        <v>27</v>
      </c>
      <c r="F162" s="160" t="s">
        <v>223</v>
      </c>
      <c r="G162" s="161" t="s">
        <v>130</v>
      </c>
      <c r="H162" s="162" t="s">
        <v>848</v>
      </c>
      <c r="I162" s="163">
        <f>IF(SUM(P162:AW162)=0,"-",SUM(P162:AW162))</f>
        <v>3</v>
      </c>
      <c r="J162" s="164">
        <f>IF(SUMPRODUCT($P$3:$AW$3,P162:AW162)=0,"-",SUMPRODUCT($P$3:$AW$3,P162:AW162))</f>
        <v>540</v>
      </c>
      <c r="K162" s="98" t="s">
        <v>849</v>
      </c>
      <c r="L162" s="167" t="s">
        <v>850</v>
      </c>
      <c r="M162" s="123" t="s">
        <v>249</v>
      </c>
      <c r="N162" s="123" t="s">
        <v>335</v>
      </c>
      <c r="O162" s="136" t="s">
        <v>365</v>
      </c>
      <c r="AC162" s="8">
        <v>3</v>
      </c>
      <c r="AS162" s="8"/>
      <c r="AT162" s="7"/>
      <c r="AU162" s="8"/>
      <c r="AV162" s="7"/>
      <c r="AW162" s="8"/>
      <c r="AX162" s="9"/>
    </row>
    <row r="163" spans="1:50">
      <c r="A163" s="5" t="s">
        <v>244</v>
      </c>
      <c r="B163" s="5" t="s">
        <v>221</v>
      </c>
      <c r="C163" s="117">
        <v>45189</v>
      </c>
      <c r="D163" s="55" t="s">
        <v>851</v>
      </c>
      <c r="E163" s="5" t="s">
        <v>27</v>
      </c>
      <c r="F163" s="29" t="s">
        <v>223</v>
      </c>
      <c r="G163" s="8" t="s">
        <v>130</v>
      </c>
      <c r="H163" s="78" t="s">
        <v>852</v>
      </c>
      <c r="I163" s="151">
        <f t="shared" si="8"/>
        <v>3</v>
      </c>
      <c r="J163" s="62">
        <f t="shared" si="3"/>
        <v>105</v>
      </c>
      <c r="K163" s="110" t="s">
        <v>853</v>
      </c>
      <c r="L163" s="81">
        <v>4200654041</v>
      </c>
      <c r="M163" s="81" t="s">
        <v>249</v>
      </c>
      <c r="N163" s="81" t="s">
        <v>770</v>
      </c>
      <c r="O163" s="177" t="s">
        <v>517</v>
      </c>
      <c r="Q163" s="8">
        <v>3</v>
      </c>
    </row>
    <row r="164" spans="1:50" ht="17.25" customHeight="1">
      <c r="A164" s="5" t="s">
        <v>244</v>
      </c>
      <c r="B164" s="5" t="s">
        <v>221</v>
      </c>
      <c r="C164" s="117">
        <v>45190</v>
      </c>
      <c r="D164" s="56" t="s">
        <v>45</v>
      </c>
      <c r="E164" s="5" t="s">
        <v>43</v>
      </c>
      <c r="F164" s="29" t="s">
        <v>223</v>
      </c>
      <c r="G164" s="8" t="s">
        <v>476</v>
      </c>
      <c r="H164" s="78" t="s">
        <v>854</v>
      </c>
      <c r="I164" s="105">
        <v>1</v>
      </c>
      <c r="J164" s="62">
        <f t="shared" ref="J164:J165" si="9">IF(SUMPRODUCT($P$3:$AW$3,P164:AW164)=0,"-",SUMPRODUCT($P$3:$AW$3,P164:AW164))</f>
        <v>135</v>
      </c>
      <c r="K164" s="110" t="s">
        <v>855</v>
      </c>
      <c r="L164" s="196" t="s">
        <v>481</v>
      </c>
      <c r="M164" s="194"/>
      <c r="N164" s="194"/>
      <c r="O164" s="195"/>
      <c r="W164" s="7">
        <v>1</v>
      </c>
    </row>
    <row r="165" spans="1:50">
      <c r="A165" s="5" t="s">
        <v>244</v>
      </c>
      <c r="B165" s="5" t="s">
        <v>221</v>
      </c>
      <c r="C165" s="117">
        <v>45191</v>
      </c>
      <c r="D165" s="55" t="s">
        <v>856</v>
      </c>
      <c r="E165" s="5" t="s">
        <v>38</v>
      </c>
      <c r="F165" s="29" t="s">
        <v>223</v>
      </c>
      <c r="G165" s="8" t="s">
        <v>438</v>
      </c>
      <c r="H165" s="78" t="s">
        <v>857</v>
      </c>
      <c r="I165" s="105">
        <v>1</v>
      </c>
      <c r="J165" s="62">
        <f t="shared" si="9"/>
        <v>40</v>
      </c>
      <c r="K165" s="101" t="s">
        <v>858</v>
      </c>
      <c r="L165" s="102">
        <v>4270026671</v>
      </c>
      <c r="M165" s="81" t="s">
        <v>249</v>
      </c>
      <c r="N165" s="81" t="s">
        <v>859</v>
      </c>
      <c r="O165" s="136" t="s">
        <v>365</v>
      </c>
      <c r="X165" s="8">
        <v>1</v>
      </c>
    </row>
    <row r="166" spans="1:50">
      <c r="A166" s="5" t="s">
        <v>244</v>
      </c>
      <c r="B166" s="5" t="s">
        <v>221</v>
      </c>
      <c r="C166" s="117">
        <v>45194</v>
      </c>
      <c r="D166" s="55" t="s">
        <v>860</v>
      </c>
      <c r="E166" s="5" t="s">
        <v>35</v>
      </c>
      <c r="F166" s="118" t="s">
        <v>223</v>
      </c>
      <c r="G166" s="8" t="s">
        <v>438</v>
      </c>
      <c r="H166" s="124" t="s">
        <v>861</v>
      </c>
      <c r="I166" s="151">
        <f t="shared" ref="I166" si="10">IF(SUM(P166:AW166)=0,"-",SUM(P166:AW166))</f>
        <v>2</v>
      </c>
      <c r="J166" s="62">
        <f t="shared" ref="J166" si="11">IF(SUMPRODUCT($P$3:$AW$3,P166:AW166)=0,"-",SUMPRODUCT($P$3:$AW$3,P166:AW166))</f>
        <v>155</v>
      </c>
      <c r="K166" s="110" t="s">
        <v>862</v>
      </c>
      <c r="L166" s="81">
        <v>4200653974</v>
      </c>
      <c r="M166" s="81" t="s">
        <v>249</v>
      </c>
      <c r="N166" s="81" t="s">
        <v>863</v>
      </c>
      <c r="O166" s="177" t="s">
        <v>517</v>
      </c>
      <c r="P166" s="7">
        <v>1</v>
      </c>
      <c r="Q166" s="8">
        <v>1</v>
      </c>
    </row>
    <row r="167" spans="1:50">
      <c r="A167" s="5" t="s">
        <v>244</v>
      </c>
      <c r="B167" s="5" t="s">
        <v>221</v>
      </c>
      <c r="C167" s="117">
        <v>45195</v>
      </c>
      <c r="D167" s="55" t="s">
        <v>864</v>
      </c>
      <c r="E167" s="5" t="s">
        <v>36</v>
      </c>
      <c r="F167" s="29" t="s">
        <v>223</v>
      </c>
      <c r="G167" s="8" t="s">
        <v>69</v>
      </c>
      <c r="H167" s="124" t="s">
        <v>865</v>
      </c>
      <c r="I167" s="151">
        <f t="shared" ref="I167:I174" si="12">IF(SUM(P167:AV167)=0,"-",SUM(P167:AV167))</f>
        <v>22</v>
      </c>
      <c r="J167" s="62">
        <f t="shared" ref="J167:J174" si="13">IF(SUMPRODUCT($P$3:$AV$3,P167:AV167)=0,"-",SUMPRODUCT($P$3:$AV$3,P167:AV167))</f>
        <v>770</v>
      </c>
      <c r="K167" s="110" t="s">
        <v>866</v>
      </c>
      <c r="L167" s="102">
        <v>4200655684</v>
      </c>
      <c r="M167" s="81" t="s">
        <v>249</v>
      </c>
      <c r="N167" s="81" t="s">
        <v>867</v>
      </c>
      <c r="O167" s="136" t="s">
        <v>365</v>
      </c>
      <c r="Q167" s="8">
        <v>22</v>
      </c>
    </row>
    <row r="168" spans="1:50">
      <c r="A168" s="5" t="s">
        <v>244</v>
      </c>
      <c r="B168" s="5" t="s">
        <v>221</v>
      </c>
      <c r="C168" s="117">
        <v>45195</v>
      </c>
      <c r="D168" s="55" t="s">
        <v>868</v>
      </c>
      <c r="E168" s="5" t="s">
        <v>35</v>
      </c>
      <c r="F168" s="118" t="s">
        <v>223</v>
      </c>
      <c r="G168" s="8" t="s">
        <v>93</v>
      </c>
      <c r="H168" s="124" t="s">
        <v>869</v>
      </c>
      <c r="I168" s="151">
        <f t="shared" si="12"/>
        <v>1</v>
      </c>
      <c r="J168" s="62">
        <f t="shared" si="13"/>
        <v>180</v>
      </c>
      <c r="K168" s="110" t="s">
        <v>870</v>
      </c>
      <c r="L168" s="102">
        <v>4200653949</v>
      </c>
      <c r="M168" s="81" t="s">
        <v>249</v>
      </c>
      <c r="N168" s="81" t="s">
        <v>871</v>
      </c>
      <c r="O168" s="177" t="s">
        <v>517</v>
      </c>
      <c r="Y168" s="8">
        <v>1</v>
      </c>
    </row>
    <row r="169" spans="1:50">
      <c r="A169" s="5" t="s">
        <v>244</v>
      </c>
      <c r="B169" s="5" t="s">
        <v>221</v>
      </c>
      <c r="C169" s="117">
        <v>45198</v>
      </c>
      <c r="D169" s="55" t="s">
        <v>872</v>
      </c>
      <c r="E169" s="5" t="s">
        <v>27</v>
      </c>
      <c r="F169" s="29" t="s">
        <v>223</v>
      </c>
      <c r="G169" s="8" t="s">
        <v>130</v>
      </c>
      <c r="H169" s="78" t="s">
        <v>873</v>
      </c>
      <c r="I169" s="151">
        <f t="shared" si="12"/>
        <v>1</v>
      </c>
      <c r="J169" s="62">
        <f t="shared" si="13"/>
        <v>120</v>
      </c>
      <c r="K169" s="110" t="s">
        <v>874</v>
      </c>
      <c r="L169" s="102">
        <v>4200655672</v>
      </c>
      <c r="M169" s="81" t="s">
        <v>249</v>
      </c>
      <c r="N169" s="81" t="s">
        <v>875</v>
      </c>
      <c r="O169" s="185" t="s">
        <v>876</v>
      </c>
      <c r="P169" s="7">
        <v>1</v>
      </c>
    </row>
    <row r="170" spans="1:50">
      <c r="A170" s="5" t="s">
        <v>244</v>
      </c>
      <c r="B170" s="5" t="s">
        <v>221</v>
      </c>
      <c r="C170" s="117">
        <v>45198</v>
      </c>
      <c r="D170" s="55" t="s">
        <v>877</v>
      </c>
      <c r="E170" s="5" t="s">
        <v>27</v>
      </c>
      <c r="F170" s="29" t="s">
        <v>223</v>
      </c>
      <c r="G170" s="8" t="s">
        <v>130</v>
      </c>
      <c r="H170" s="78" t="s">
        <v>878</v>
      </c>
      <c r="I170" s="151">
        <f t="shared" si="12"/>
        <v>6</v>
      </c>
      <c r="J170" s="62">
        <f t="shared" si="13"/>
        <v>410</v>
      </c>
      <c r="K170" s="110" t="s">
        <v>879</v>
      </c>
      <c r="L170" s="102">
        <v>4200655672</v>
      </c>
      <c r="M170" s="81" t="s">
        <v>249</v>
      </c>
      <c r="N170" s="81" t="s">
        <v>875</v>
      </c>
      <c r="O170" s="185" t="s">
        <v>876</v>
      </c>
      <c r="P170" s="7">
        <v>1</v>
      </c>
      <c r="Q170" s="8">
        <v>1</v>
      </c>
      <c r="W170" s="7">
        <v>1</v>
      </c>
      <c r="X170" s="8">
        <v>3</v>
      </c>
    </row>
    <row r="171" spans="1:50">
      <c r="A171" s="5" t="s">
        <v>244</v>
      </c>
      <c r="B171" s="5" t="s">
        <v>221</v>
      </c>
      <c r="C171" s="117">
        <v>45189</v>
      </c>
      <c r="D171" s="55" t="s">
        <v>880</v>
      </c>
      <c r="E171" s="5" t="s">
        <v>33</v>
      </c>
      <c r="F171" s="29" t="s">
        <v>223</v>
      </c>
      <c r="G171" s="8" t="s">
        <v>130</v>
      </c>
      <c r="H171" s="78" t="s">
        <v>881</v>
      </c>
      <c r="I171" s="151">
        <f>IF(SUM(P171:AW171)=0,"-",SUM(P171:AW171))</f>
        <v>3</v>
      </c>
      <c r="J171" s="62">
        <f>IF(SUMPRODUCT('Sony France - CM'!$Q$3:$AX$3,P171:AW171)=0,"-",SUMPRODUCT('Sony France - CM'!$Q$3:$AX$3,P171:AW171))</f>
        <v>195</v>
      </c>
      <c r="K171" s="98" t="s">
        <v>882</v>
      </c>
      <c r="L171" s="203" t="s">
        <v>481</v>
      </c>
      <c r="M171" s="183"/>
      <c r="N171" s="183"/>
      <c r="O171" s="184"/>
      <c r="P171" s="7">
        <v>1</v>
      </c>
      <c r="Q171" s="8">
        <v>1</v>
      </c>
      <c r="X171" s="8">
        <v>1</v>
      </c>
      <c r="AS171" s="8"/>
      <c r="AT171" s="7"/>
      <c r="AU171" s="8"/>
      <c r="AV171" s="7"/>
      <c r="AW171" s="8"/>
      <c r="AX171" s="9"/>
    </row>
    <row r="172" spans="1:50">
      <c r="A172" s="5" t="s">
        <v>883</v>
      </c>
      <c r="B172" s="5" t="s">
        <v>221</v>
      </c>
      <c r="C172" s="117">
        <v>45201</v>
      </c>
      <c r="D172" s="55" t="s">
        <v>884</v>
      </c>
      <c r="E172" s="5" t="s">
        <v>36</v>
      </c>
      <c r="F172" s="29" t="s">
        <v>223</v>
      </c>
      <c r="G172" s="8" t="s">
        <v>69</v>
      </c>
      <c r="H172" s="78" t="s">
        <v>885</v>
      </c>
      <c r="I172" s="151">
        <f t="shared" si="12"/>
        <v>14</v>
      </c>
      <c r="J172" s="62">
        <f t="shared" si="13"/>
        <v>685</v>
      </c>
      <c r="K172" s="110" t="s">
        <v>886</v>
      </c>
      <c r="L172" s="102" t="s">
        <v>887</v>
      </c>
      <c r="M172" s="81" t="s">
        <v>249</v>
      </c>
      <c r="N172" s="81" t="s">
        <v>888</v>
      </c>
      <c r="O172" s="136" t="s">
        <v>365</v>
      </c>
      <c r="P172" s="7">
        <v>1</v>
      </c>
      <c r="Q172" s="8">
        <v>10</v>
      </c>
      <c r="W172" s="7">
        <v>1</v>
      </c>
      <c r="X172" s="8">
        <v>2</v>
      </c>
    </row>
    <row r="173" spans="1:50" ht="21" customHeight="1">
      <c r="A173" s="138" t="s">
        <v>244</v>
      </c>
      <c r="B173" s="138" t="s">
        <v>221</v>
      </c>
      <c r="C173" s="140">
        <v>45201</v>
      </c>
      <c r="D173" s="141" t="s">
        <v>889</v>
      </c>
      <c r="E173" s="138" t="s">
        <v>33</v>
      </c>
      <c r="F173" s="138" t="s">
        <v>433</v>
      </c>
      <c r="G173" s="138" t="s">
        <v>69</v>
      </c>
      <c r="H173" s="142" t="s">
        <v>481</v>
      </c>
      <c r="I173" s="153" t="str">
        <f t="shared" si="12"/>
        <v>-</v>
      </c>
      <c r="J173" s="143" t="s">
        <v>890</v>
      </c>
      <c r="K173" s="144" t="s">
        <v>891</v>
      </c>
      <c r="L173" s="145">
        <v>4200652895</v>
      </c>
      <c r="M173" s="121" t="s">
        <v>892</v>
      </c>
      <c r="N173" s="139" t="s">
        <v>893</v>
      </c>
      <c r="O173" s="137" t="s">
        <v>894</v>
      </c>
    </row>
    <row r="174" spans="1:50">
      <c r="A174" s="5" t="s">
        <v>244</v>
      </c>
      <c r="B174" s="5" t="s">
        <v>221</v>
      </c>
      <c r="C174" s="117">
        <v>45203</v>
      </c>
      <c r="D174" s="55" t="s">
        <v>120</v>
      </c>
      <c r="E174" s="5" t="s">
        <v>35</v>
      </c>
      <c r="F174" s="29" t="s">
        <v>223</v>
      </c>
      <c r="G174" s="8" t="s">
        <v>438</v>
      </c>
      <c r="H174" s="78" t="s">
        <v>895</v>
      </c>
      <c r="I174" s="151">
        <f t="shared" si="12"/>
        <v>3</v>
      </c>
      <c r="J174" s="62">
        <f t="shared" si="13"/>
        <v>540</v>
      </c>
      <c r="K174" s="98" t="s">
        <v>896</v>
      </c>
      <c r="L174" s="192" t="s">
        <v>481</v>
      </c>
      <c r="M174" s="166"/>
      <c r="N174" s="166"/>
      <c r="O174" s="193"/>
      <c r="X174" s="8">
        <v>1</v>
      </c>
      <c r="Z174" s="8">
        <v>2</v>
      </c>
      <c r="AS174" s="8"/>
      <c r="AT174" s="7"/>
      <c r="AU174" s="8"/>
      <c r="AV174" s="7"/>
      <c r="AW174" s="8"/>
      <c r="AX174" s="9"/>
    </row>
    <row r="175" spans="1:50">
      <c r="A175" s="5" t="s">
        <v>244</v>
      </c>
      <c r="B175" s="5" t="s">
        <v>221</v>
      </c>
      <c r="C175" s="117">
        <v>45203</v>
      </c>
      <c r="D175" s="55" t="s">
        <v>897</v>
      </c>
      <c r="E175" s="5" t="s">
        <v>36</v>
      </c>
      <c r="F175" s="29" t="s">
        <v>223</v>
      </c>
      <c r="G175" s="8" t="s">
        <v>69</v>
      </c>
      <c r="H175" s="78" t="s">
        <v>898</v>
      </c>
      <c r="I175" s="151">
        <f t="shared" ref="I175:I191" si="14">IF(SUM(P175:AV175)=0,"-",SUM(P175:AV175))</f>
        <v>12</v>
      </c>
      <c r="J175" s="62">
        <f t="shared" ref="J175:J191" si="15">IF(SUMPRODUCT($P$3:$AV$3,P175:AV175)=0,"-",SUMPRODUCT($P$3:$AV$3,P175:AV175))</f>
        <v>450</v>
      </c>
      <c r="K175" s="110" t="s">
        <v>899</v>
      </c>
      <c r="L175" s="196"/>
      <c r="M175" s="194"/>
      <c r="N175" s="194"/>
      <c r="O175" s="195"/>
      <c r="Q175" s="8">
        <v>10</v>
      </c>
      <c r="S175" s="8">
        <v>1</v>
      </c>
      <c r="X175" s="8">
        <v>1</v>
      </c>
    </row>
    <row r="176" spans="1:50">
      <c r="A176" s="5" t="s">
        <v>244</v>
      </c>
      <c r="B176" s="5" t="s">
        <v>221</v>
      </c>
      <c r="C176" s="117">
        <v>45204</v>
      </c>
      <c r="D176" s="112" t="s">
        <v>900</v>
      </c>
      <c r="E176" s="5" t="s">
        <v>901</v>
      </c>
      <c r="F176" s="29" t="s">
        <v>223</v>
      </c>
      <c r="G176" s="8" t="s">
        <v>69</v>
      </c>
      <c r="H176" s="78" t="s">
        <v>902</v>
      </c>
      <c r="I176" s="151">
        <f t="shared" si="14"/>
        <v>3</v>
      </c>
      <c r="J176" s="62">
        <f t="shared" si="15"/>
        <v>465</v>
      </c>
      <c r="K176" s="110" t="s">
        <v>903</v>
      </c>
      <c r="L176" s="192" t="s">
        <v>481</v>
      </c>
      <c r="M176" s="166"/>
      <c r="N176" s="166"/>
      <c r="O176" s="193" t="s">
        <v>597</v>
      </c>
      <c r="Q176" s="8">
        <v>1</v>
      </c>
      <c r="Y176" s="8">
        <v>1</v>
      </c>
      <c r="Z176" s="8">
        <v>1</v>
      </c>
    </row>
    <row r="177" spans="1:41">
      <c r="A177" s="5" t="s">
        <v>244</v>
      </c>
      <c r="B177" s="5" t="s">
        <v>221</v>
      </c>
      <c r="C177" s="117">
        <v>45204</v>
      </c>
      <c r="D177" s="55" t="s">
        <v>904</v>
      </c>
      <c r="E177" s="5" t="s">
        <v>36</v>
      </c>
      <c r="F177" s="29" t="s">
        <v>223</v>
      </c>
      <c r="G177" s="8" t="s">
        <v>69</v>
      </c>
      <c r="H177" s="78" t="s">
        <v>905</v>
      </c>
      <c r="I177" s="151">
        <f t="shared" si="14"/>
        <v>35</v>
      </c>
      <c r="J177" s="62">
        <f t="shared" si="15"/>
        <v>1355</v>
      </c>
      <c r="K177" s="110" t="s">
        <v>906</v>
      </c>
      <c r="L177" s="102" t="s">
        <v>887</v>
      </c>
      <c r="M177" s="81" t="s">
        <v>249</v>
      </c>
      <c r="N177" s="81" t="s">
        <v>888</v>
      </c>
      <c r="O177" s="136" t="s">
        <v>365</v>
      </c>
      <c r="Q177" s="8">
        <v>28</v>
      </c>
      <c r="W177" s="7">
        <v>1</v>
      </c>
      <c r="X177" s="8">
        <v>6</v>
      </c>
    </row>
    <row r="178" spans="1:41">
      <c r="A178" s="5" t="s">
        <v>244</v>
      </c>
      <c r="B178" s="5" t="s">
        <v>221</v>
      </c>
      <c r="C178" s="117">
        <v>45205</v>
      </c>
      <c r="D178" s="207" t="s">
        <v>907</v>
      </c>
      <c r="E178" s="5" t="s">
        <v>36</v>
      </c>
      <c r="F178" s="29" t="s">
        <v>223</v>
      </c>
      <c r="G178" s="8" t="s">
        <v>69</v>
      </c>
      <c r="H178" s="78" t="s">
        <v>908</v>
      </c>
      <c r="I178" s="151">
        <f t="shared" si="14"/>
        <v>7</v>
      </c>
      <c r="J178" s="62">
        <f t="shared" si="15"/>
        <v>435</v>
      </c>
      <c r="K178" s="110" t="s">
        <v>909</v>
      </c>
      <c r="L178" s="196" t="s">
        <v>910</v>
      </c>
      <c r="M178" s="194"/>
      <c r="N178" s="194"/>
      <c r="O178" s="195"/>
      <c r="P178" s="7">
        <v>1</v>
      </c>
      <c r="Q178" s="8">
        <v>4</v>
      </c>
      <c r="W178" s="7">
        <v>1</v>
      </c>
      <c r="X178" s="8">
        <v>1</v>
      </c>
    </row>
    <row r="179" spans="1:41">
      <c r="A179" s="5" t="s">
        <v>244</v>
      </c>
      <c r="B179" s="5" t="s">
        <v>221</v>
      </c>
      <c r="C179" s="117">
        <v>45205</v>
      </c>
      <c r="D179" s="55" t="s">
        <v>911</v>
      </c>
      <c r="E179" s="113" t="s">
        <v>26</v>
      </c>
      <c r="F179" s="29" t="s">
        <v>223</v>
      </c>
      <c r="G179" s="8" t="s">
        <v>438</v>
      </c>
      <c r="H179" s="78" t="s">
        <v>912</v>
      </c>
      <c r="I179" s="151">
        <f t="shared" si="14"/>
        <v>16</v>
      </c>
      <c r="J179" s="62">
        <f t="shared" si="15"/>
        <v>645</v>
      </c>
      <c r="K179" s="110" t="s">
        <v>913</v>
      </c>
      <c r="L179" s="192" t="s">
        <v>481</v>
      </c>
      <c r="M179" s="166"/>
      <c r="N179" s="166"/>
      <c r="O179" s="193"/>
      <c r="P179" s="7">
        <v>1</v>
      </c>
      <c r="Q179" s="8">
        <v>15</v>
      </c>
    </row>
    <row r="180" spans="1:41">
      <c r="A180" s="5" t="s">
        <v>244</v>
      </c>
      <c r="B180" s="5" t="s">
        <v>221</v>
      </c>
      <c r="C180" s="117">
        <v>45208</v>
      </c>
      <c r="D180" s="112" t="s">
        <v>914</v>
      </c>
      <c r="E180" s="5" t="s">
        <v>35</v>
      </c>
      <c r="F180" s="118" t="s">
        <v>223</v>
      </c>
      <c r="G180" s="8" t="s">
        <v>438</v>
      </c>
      <c r="H180" s="124" t="s">
        <v>915</v>
      </c>
      <c r="I180" s="151">
        <f t="shared" si="14"/>
        <v>3</v>
      </c>
      <c r="J180" s="62">
        <f t="shared" si="15"/>
        <v>355</v>
      </c>
      <c r="K180" s="110" t="s">
        <v>916</v>
      </c>
      <c r="L180" s="102">
        <v>4200655224</v>
      </c>
      <c r="M180" s="81" t="s">
        <v>249</v>
      </c>
      <c r="N180" s="81" t="s">
        <v>917</v>
      </c>
      <c r="O180" s="185" t="s">
        <v>311</v>
      </c>
      <c r="W180" s="7">
        <v>1</v>
      </c>
      <c r="X180" s="8">
        <v>1</v>
      </c>
      <c r="AC180" s="8">
        <v>1</v>
      </c>
    </row>
    <row r="181" spans="1:41">
      <c r="A181" s="5" t="s">
        <v>244</v>
      </c>
      <c r="B181" s="5" t="s">
        <v>221</v>
      </c>
      <c r="C181" s="117">
        <v>45209</v>
      </c>
      <c r="D181" s="55" t="s">
        <v>918</v>
      </c>
      <c r="E181" s="5" t="s">
        <v>27</v>
      </c>
      <c r="F181" s="29" t="s">
        <v>223</v>
      </c>
      <c r="G181" s="8" t="s">
        <v>130</v>
      </c>
      <c r="H181" s="78" t="s">
        <v>919</v>
      </c>
      <c r="I181" s="151">
        <f>IF(SUM(P181:AV181)=0,"-",SUM(P181:AV181))</f>
        <v>2</v>
      </c>
      <c r="J181" s="62">
        <f>IF(SUMPRODUCT($P$3:$AV$3,P181:AV181)=0,"-",SUMPRODUCT($P$3:$AV$3,P181:AV181))</f>
        <v>80</v>
      </c>
      <c r="K181" s="110" t="s">
        <v>920</v>
      </c>
      <c r="L181" s="187" t="s">
        <v>640</v>
      </c>
      <c r="M181" s="186"/>
      <c r="N181" s="186" t="s">
        <v>641</v>
      </c>
      <c r="O181" s="185"/>
      <c r="X181" s="8">
        <v>2</v>
      </c>
    </row>
    <row r="182" spans="1:41">
      <c r="A182" s="5" t="s">
        <v>244</v>
      </c>
      <c r="B182" s="5" t="s">
        <v>221</v>
      </c>
      <c r="C182" s="117">
        <v>45211</v>
      </c>
      <c r="D182" s="55" t="s">
        <v>921</v>
      </c>
      <c r="E182" s="5" t="s">
        <v>27</v>
      </c>
      <c r="F182" s="29" t="s">
        <v>223</v>
      </c>
      <c r="G182" s="8" t="s">
        <v>127</v>
      </c>
      <c r="H182" s="78" t="s">
        <v>922</v>
      </c>
      <c r="I182" s="151">
        <f t="shared" si="14"/>
        <v>4</v>
      </c>
      <c r="J182" s="62">
        <f t="shared" si="15"/>
        <v>255</v>
      </c>
      <c r="K182" s="110" t="s">
        <v>923</v>
      </c>
      <c r="L182" s="102">
        <v>4200655508</v>
      </c>
      <c r="M182" s="81" t="s">
        <v>249</v>
      </c>
      <c r="N182" s="81" t="s">
        <v>924</v>
      </c>
      <c r="O182" s="136" t="s">
        <v>365</v>
      </c>
      <c r="W182" s="7">
        <v>1</v>
      </c>
      <c r="X182" s="8">
        <v>3</v>
      </c>
    </row>
    <row r="183" spans="1:41" ht="30.75">
      <c r="A183" s="5" t="s">
        <v>220</v>
      </c>
      <c r="B183" s="5" t="s">
        <v>221</v>
      </c>
      <c r="C183" s="117">
        <v>45212</v>
      </c>
      <c r="D183" s="130" t="s">
        <v>925</v>
      </c>
      <c r="E183" s="165" t="s">
        <v>27</v>
      </c>
      <c r="F183" s="29" t="s">
        <v>223</v>
      </c>
      <c r="G183" s="166" t="s">
        <v>926</v>
      </c>
      <c r="H183" s="78" t="s">
        <v>927</v>
      </c>
      <c r="I183" s="151">
        <f>IF(SUM(P183:AV183)=0,"-",SUM(P183:AV183))</f>
        <v>2</v>
      </c>
      <c r="J183" s="62">
        <f>IF(SUMPRODUCT($P$3:$AV$3,P183:AV183)=0,"-",SUMPRODUCT($P$3:$AV$3,P183:AV183))</f>
        <v>480</v>
      </c>
      <c r="K183" s="110" t="s">
        <v>928</v>
      </c>
      <c r="L183" s="168" t="s">
        <v>929</v>
      </c>
      <c r="M183" s="169" t="s">
        <v>930</v>
      </c>
      <c r="N183" s="171" t="s">
        <v>931</v>
      </c>
      <c r="O183" s="170" t="s">
        <v>932</v>
      </c>
      <c r="P183" s="7">
        <v>1</v>
      </c>
      <c r="AO183" s="8">
        <v>1</v>
      </c>
    </row>
    <row r="184" spans="1:41">
      <c r="A184" s="5" t="s">
        <v>220</v>
      </c>
      <c r="B184" s="5" t="s">
        <v>221</v>
      </c>
      <c r="C184" s="117">
        <v>45215</v>
      </c>
      <c r="D184" s="55" t="s">
        <v>933</v>
      </c>
      <c r="E184" s="5" t="s">
        <v>35</v>
      </c>
      <c r="F184" s="118" t="s">
        <v>223</v>
      </c>
      <c r="G184" s="8" t="s">
        <v>438</v>
      </c>
      <c r="H184" s="124" t="s">
        <v>934</v>
      </c>
      <c r="I184" s="151">
        <f t="shared" si="14"/>
        <v>1</v>
      </c>
      <c r="J184" s="62">
        <f t="shared" si="15"/>
        <v>40</v>
      </c>
      <c r="K184" s="110" t="s">
        <v>935</v>
      </c>
      <c r="L184" s="102">
        <v>4270027058</v>
      </c>
      <c r="M184" s="81" t="s">
        <v>249</v>
      </c>
      <c r="N184" s="81" t="s">
        <v>936</v>
      </c>
      <c r="O184" s="185" t="s">
        <v>311</v>
      </c>
      <c r="X184" s="8">
        <v>1</v>
      </c>
    </row>
    <row r="185" spans="1:41">
      <c r="A185" s="5" t="s">
        <v>220</v>
      </c>
      <c r="B185" s="5" t="s">
        <v>221</v>
      </c>
      <c r="C185" s="117">
        <v>45216</v>
      </c>
      <c r="D185" s="55" t="s">
        <v>937</v>
      </c>
      <c r="E185" s="5" t="s">
        <v>27</v>
      </c>
      <c r="F185" s="29" t="s">
        <v>223</v>
      </c>
      <c r="G185" s="8" t="s">
        <v>130</v>
      </c>
      <c r="H185" s="78" t="s">
        <v>938</v>
      </c>
      <c r="I185" s="151">
        <f t="shared" si="14"/>
        <v>2</v>
      </c>
      <c r="J185" s="62">
        <f t="shared" si="15"/>
        <v>155</v>
      </c>
      <c r="K185" s="110" t="s">
        <v>939</v>
      </c>
      <c r="L185" s="102">
        <v>4200655672</v>
      </c>
      <c r="M185" s="81" t="s">
        <v>249</v>
      </c>
      <c r="N185" s="81" t="s">
        <v>875</v>
      </c>
      <c r="O185" s="185" t="s">
        <v>876</v>
      </c>
      <c r="P185" s="7">
        <v>1</v>
      </c>
      <c r="Q185" s="8">
        <v>1</v>
      </c>
    </row>
    <row r="186" spans="1:41">
      <c r="A186" s="5" t="s">
        <v>220</v>
      </c>
      <c r="B186" s="5" t="s">
        <v>221</v>
      </c>
      <c r="C186" s="117">
        <v>45222</v>
      </c>
      <c r="D186" s="55" t="s">
        <v>940</v>
      </c>
      <c r="E186" s="5" t="s">
        <v>35</v>
      </c>
      <c r="F186" s="118" t="s">
        <v>223</v>
      </c>
      <c r="G186" s="8" t="s">
        <v>438</v>
      </c>
      <c r="H186" s="124" t="s">
        <v>941</v>
      </c>
      <c r="I186" s="151">
        <f t="shared" si="14"/>
        <v>1</v>
      </c>
      <c r="J186" s="62">
        <f t="shared" si="15"/>
        <v>135</v>
      </c>
      <c r="K186" s="110" t="s">
        <v>942</v>
      </c>
      <c r="L186" s="102">
        <v>4200655349</v>
      </c>
      <c r="M186" s="81" t="s">
        <v>249</v>
      </c>
      <c r="N186" s="81" t="s">
        <v>943</v>
      </c>
      <c r="O186" s="185" t="s">
        <v>311</v>
      </c>
      <c r="W186" s="7">
        <v>1</v>
      </c>
    </row>
    <row r="187" spans="1:41">
      <c r="A187" s="5" t="s">
        <v>220</v>
      </c>
      <c r="B187" s="5" t="s">
        <v>221</v>
      </c>
      <c r="C187" s="117">
        <v>45223</v>
      </c>
      <c r="D187" s="112" t="s">
        <v>944</v>
      </c>
      <c r="E187" s="5" t="s">
        <v>27</v>
      </c>
      <c r="F187" s="29" t="s">
        <v>223</v>
      </c>
      <c r="G187" s="8" t="s">
        <v>130</v>
      </c>
      <c r="H187" s="78" t="s">
        <v>945</v>
      </c>
      <c r="I187" s="151">
        <f t="shared" si="14"/>
        <v>1</v>
      </c>
      <c r="J187" s="62">
        <f t="shared" si="15"/>
        <v>135</v>
      </c>
      <c r="K187" s="101" t="s">
        <v>946</v>
      </c>
      <c r="L187" s="102">
        <v>4200655672</v>
      </c>
      <c r="M187" s="81" t="s">
        <v>249</v>
      </c>
      <c r="N187" s="81" t="s">
        <v>875</v>
      </c>
      <c r="O187" s="185" t="s">
        <v>876</v>
      </c>
      <c r="W187" s="7">
        <v>1</v>
      </c>
    </row>
    <row r="188" spans="1:41">
      <c r="A188" s="5" t="s">
        <v>220</v>
      </c>
      <c r="B188" s="5" t="s">
        <v>221</v>
      </c>
      <c r="C188" s="117">
        <v>45223</v>
      </c>
      <c r="D188" s="55" t="s">
        <v>947</v>
      </c>
      <c r="E188" s="5" t="s">
        <v>27</v>
      </c>
      <c r="F188" s="29" t="s">
        <v>223</v>
      </c>
      <c r="G188" s="8" t="s">
        <v>130</v>
      </c>
      <c r="H188" s="78" t="s">
        <v>948</v>
      </c>
      <c r="I188" s="151">
        <f>IF(SUM(P188:AV188)=0,"-",SUM(P188:AV188))</f>
        <v>3</v>
      </c>
      <c r="J188" s="62">
        <f>IF(SUMPRODUCT($P$3:$AV$3,P188:AV188)=0,"-",SUMPRODUCT($P$3:$AV$3,P188:AV188))</f>
        <v>120</v>
      </c>
      <c r="K188" s="101" t="s">
        <v>949</v>
      </c>
      <c r="L188" s="187" t="s">
        <v>640</v>
      </c>
      <c r="M188" s="186"/>
      <c r="N188" s="186" t="s">
        <v>641</v>
      </c>
      <c r="O188" s="185"/>
      <c r="X188" s="8">
        <v>3</v>
      </c>
    </row>
    <row r="189" spans="1:41">
      <c r="A189" s="5" t="s">
        <v>220</v>
      </c>
      <c r="B189" s="5" t="s">
        <v>221</v>
      </c>
      <c r="C189" s="117">
        <v>45223</v>
      </c>
      <c r="D189" s="55" t="s">
        <v>950</v>
      </c>
      <c r="E189" s="5" t="s">
        <v>36</v>
      </c>
      <c r="F189" s="29" t="s">
        <v>223</v>
      </c>
      <c r="G189" s="8" t="s">
        <v>130</v>
      </c>
      <c r="H189" s="78" t="s">
        <v>951</v>
      </c>
      <c r="I189" s="151">
        <f>IF(SUM(P189:AV189)=0,"-",SUM(P189:AV189))</f>
        <v>23</v>
      </c>
      <c r="J189" s="62">
        <f>IF(SUMPRODUCT($P$3:$AV$3,P189:AV189)=0,"-",SUMPRODUCT($P$3:$AV$3,P189:AV189))</f>
        <v>885</v>
      </c>
      <c r="K189" s="101" t="s">
        <v>952</v>
      </c>
      <c r="L189" s="196" t="s">
        <v>481</v>
      </c>
      <c r="M189" s="194"/>
      <c r="N189" s="194"/>
      <c r="O189" s="195"/>
      <c r="Q189" s="8">
        <v>7</v>
      </c>
      <c r="X189" s="8">
        <v>16</v>
      </c>
    </row>
    <row r="190" spans="1:41">
      <c r="A190" s="5" t="s">
        <v>220</v>
      </c>
      <c r="B190" s="5" t="s">
        <v>221</v>
      </c>
      <c r="C190" s="117">
        <v>45224</v>
      </c>
      <c r="D190" s="112" t="s">
        <v>953</v>
      </c>
      <c r="E190" s="5" t="s">
        <v>954</v>
      </c>
      <c r="F190" s="29" t="s">
        <v>223</v>
      </c>
      <c r="G190" s="8" t="s">
        <v>438</v>
      </c>
      <c r="H190" s="78" t="s">
        <v>955</v>
      </c>
      <c r="I190" s="151">
        <v>3</v>
      </c>
      <c r="J190" s="62">
        <v>465</v>
      </c>
      <c r="K190" s="110" t="s">
        <v>956</v>
      </c>
      <c r="L190" s="102">
        <v>4200653933</v>
      </c>
      <c r="M190" s="81" t="s">
        <v>249</v>
      </c>
      <c r="N190" s="81" t="s">
        <v>957</v>
      </c>
      <c r="O190" s="177" t="s">
        <v>517</v>
      </c>
      <c r="P190" s="7">
        <v>1</v>
      </c>
      <c r="Y190" s="8">
        <v>1</v>
      </c>
      <c r="AC190" s="8">
        <v>1</v>
      </c>
    </row>
    <row r="191" spans="1:41">
      <c r="A191" s="5" t="s">
        <v>220</v>
      </c>
      <c r="B191" s="5" t="s">
        <v>221</v>
      </c>
      <c r="C191" s="117">
        <v>45224</v>
      </c>
      <c r="D191" s="55" t="s">
        <v>958</v>
      </c>
      <c r="E191" s="5" t="s">
        <v>27</v>
      </c>
      <c r="F191" s="29" t="s">
        <v>223</v>
      </c>
      <c r="G191" s="8" t="s">
        <v>130</v>
      </c>
      <c r="H191" s="78" t="s">
        <v>959</v>
      </c>
      <c r="I191" s="151">
        <f t="shared" si="14"/>
        <v>1</v>
      </c>
      <c r="J191" s="62">
        <f t="shared" si="15"/>
        <v>40</v>
      </c>
      <c r="K191" s="101" t="s">
        <v>960</v>
      </c>
      <c r="L191" s="187" t="s">
        <v>640</v>
      </c>
      <c r="M191" s="186"/>
      <c r="N191" s="186" t="s">
        <v>641</v>
      </c>
      <c r="O191" s="185"/>
      <c r="X191" s="8">
        <v>1</v>
      </c>
    </row>
    <row r="192" spans="1:41">
      <c r="A192" s="5" t="s">
        <v>220</v>
      </c>
      <c r="B192" s="5" t="s">
        <v>221</v>
      </c>
      <c r="C192" s="117" t="s">
        <v>961</v>
      </c>
      <c r="D192" s="55" t="s">
        <v>962</v>
      </c>
      <c r="E192" s="5" t="s">
        <v>35</v>
      </c>
      <c r="F192" s="118" t="s">
        <v>223</v>
      </c>
      <c r="G192" s="8" t="s">
        <v>438</v>
      </c>
      <c r="H192" s="124" t="s">
        <v>963</v>
      </c>
      <c r="I192" s="151">
        <f t="shared" ref="I192" si="16">IF(SUM(P192:AV192)=0,"-",SUM(P192:AV192))</f>
        <v>1</v>
      </c>
      <c r="J192" s="62">
        <f t="shared" ref="J192" si="17">IF(SUMPRODUCT($P$3:$AV$3,P192:AV192)=0,"-",SUMPRODUCT($P$3:$AV$3,P192:AV192))</f>
        <v>80</v>
      </c>
      <c r="K192" s="110" t="s">
        <v>964</v>
      </c>
      <c r="L192" s="102">
        <v>4270027042</v>
      </c>
      <c r="M192" s="81" t="s">
        <v>249</v>
      </c>
      <c r="N192" s="81" t="s">
        <v>965</v>
      </c>
      <c r="O192" s="185" t="s">
        <v>311</v>
      </c>
      <c r="AM192" s="7">
        <v>1</v>
      </c>
    </row>
    <row r="193" spans="1:29">
      <c r="A193" s="5" t="s">
        <v>220</v>
      </c>
      <c r="B193" s="5" t="s">
        <v>221</v>
      </c>
      <c r="C193" s="117" t="s">
        <v>966</v>
      </c>
      <c r="D193" s="112" t="s">
        <v>967</v>
      </c>
      <c r="E193" s="5" t="s">
        <v>27</v>
      </c>
      <c r="F193" s="29" t="s">
        <v>223</v>
      </c>
      <c r="G193" s="8" t="s">
        <v>128</v>
      </c>
      <c r="H193" s="124" t="s">
        <v>968</v>
      </c>
      <c r="I193" s="151">
        <f>IF(SUM(P193:AV193)=0,"-",SUM(P193:AV193))</f>
        <v>1</v>
      </c>
      <c r="J193" s="62">
        <f>IF(SUMPRODUCT($P$3:$AV$3,P193:AV193)=0,"-",SUMPRODUCT($P$3:$AV$3,P193:AV193))</f>
        <v>120</v>
      </c>
      <c r="K193" s="110" t="s">
        <v>969</v>
      </c>
      <c r="L193" s="102">
        <v>4200655673</v>
      </c>
      <c r="M193" s="81" t="s">
        <v>249</v>
      </c>
      <c r="N193" s="81" t="s">
        <v>970</v>
      </c>
      <c r="O193" s="185" t="s">
        <v>876</v>
      </c>
      <c r="P193" s="7">
        <v>1</v>
      </c>
    </row>
    <row r="194" spans="1:29">
      <c r="A194" s="5" t="s">
        <v>220</v>
      </c>
      <c r="B194" s="5" t="s">
        <v>221</v>
      </c>
      <c r="C194" s="117" t="s">
        <v>966</v>
      </c>
      <c r="D194" s="55" t="s">
        <v>971</v>
      </c>
      <c r="E194" s="5" t="s">
        <v>33</v>
      </c>
      <c r="F194" s="118" t="s">
        <v>223</v>
      </c>
      <c r="G194" s="8" t="s">
        <v>69</v>
      </c>
      <c r="H194" s="124" t="s">
        <v>972</v>
      </c>
      <c r="I194" s="151">
        <f>IF(SUM(P194:AV194)=0,"-",SUM(P194:AV194))</f>
        <v>12</v>
      </c>
      <c r="J194" s="62">
        <f>IF(SUMPRODUCT($P$3:$AV$3,P194:AV194)=0,"-",SUMPRODUCT($P$3:$AV$3,P194:AV194))</f>
        <v>420</v>
      </c>
      <c r="K194" s="110" t="s">
        <v>973</v>
      </c>
      <c r="L194" s="102">
        <v>4200655681</v>
      </c>
      <c r="M194" s="81" t="s">
        <v>249</v>
      </c>
      <c r="N194" s="81" t="s">
        <v>974</v>
      </c>
      <c r="O194" s="136" t="s">
        <v>365</v>
      </c>
      <c r="Q194" s="8">
        <v>12</v>
      </c>
    </row>
    <row r="195" spans="1:29">
      <c r="A195" s="5" t="s">
        <v>220</v>
      </c>
      <c r="B195" s="5" t="s">
        <v>221</v>
      </c>
      <c r="C195" s="117" t="s">
        <v>966</v>
      </c>
      <c r="D195" s="207" t="s">
        <v>975</v>
      </c>
      <c r="E195" s="5" t="s">
        <v>36</v>
      </c>
      <c r="F195" s="29" t="s">
        <v>223</v>
      </c>
      <c r="G195" s="8" t="s">
        <v>69</v>
      </c>
      <c r="H195" s="78" t="s">
        <v>976</v>
      </c>
      <c r="I195" s="151">
        <f>IF(SUM(P195:AV195)=0,"-",SUM(P195:AV195))</f>
        <v>2</v>
      </c>
      <c r="J195" s="62">
        <f>IF(SUMPRODUCT($P$3:$AV$3,P195:AV195)=0,"-",SUMPRODUCT($P$3:$AV$3,P195:AV195))</f>
        <v>175</v>
      </c>
      <c r="K195" s="101" t="s">
        <v>977</v>
      </c>
      <c r="L195" s="196"/>
      <c r="M195" s="194"/>
      <c r="N195" s="194"/>
      <c r="O195" s="195"/>
      <c r="W195" s="7">
        <v>1</v>
      </c>
      <c r="X195" s="8">
        <v>1</v>
      </c>
    </row>
    <row r="196" spans="1:29">
      <c r="A196" s="5" t="s">
        <v>220</v>
      </c>
      <c r="B196" s="5" t="s">
        <v>221</v>
      </c>
      <c r="C196" s="117" t="s">
        <v>966</v>
      </c>
      <c r="D196" s="112" t="s">
        <v>978</v>
      </c>
      <c r="E196" s="5" t="s">
        <v>27</v>
      </c>
      <c r="F196" s="29" t="s">
        <v>223</v>
      </c>
      <c r="G196" s="8" t="s">
        <v>692</v>
      </c>
      <c r="H196" s="78" t="s">
        <v>979</v>
      </c>
      <c r="I196" s="151">
        <f t="shared" ref="I196" si="18">IF(SUM(P196:AV196)=0,"-",SUM(P196:AV196))</f>
        <v>5</v>
      </c>
      <c r="J196" s="62">
        <f t="shared" ref="J196" si="19">IF(SUMPRODUCT($P$3:$AV$3,P196:AV196)=0,"-",SUMPRODUCT($P$3:$AV$3,P196:AV196))</f>
        <v>260</v>
      </c>
      <c r="K196" s="101" t="s">
        <v>980</v>
      </c>
      <c r="L196" s="102">
        <v>4200657327</v>
      </c>
      <c r="M196" s="81" t="s">
        <v>249</v>
      </c>
      <c r="N196" s="81" t="s">
        <v>981</v>
      </c>
      <c r="O196" s="136" t="s">
        <v>365</v>
      </c>
      <c r="P196" s="7">
        <v>1</v>
      </c>
      <c r="Q196" s="8">
        <v>4</v>
      </c>
    </row>
    <row r="197" spans="1:29">
      <c r="A197" s="5" t="s">
        <v>244</v>
      </c>
      <c r="B197" s="5" t="s">
        <v>221</v>
      </c>
      <c r="C197" s="117" t="s">
        <v>982</v>
      </c>
      <c r="D197" s="55" t="s">
        <v>983</v>
      </c>
      <c r="E197" s="5" t="s">
        <v>35</v>
      </c>
      <c r="F197" s="29" t="s">
        <v>223</v>
      </c>
      <c r="G197" s="8" t="s">
        <v>438</v>
      </c>
      <c r="H197" s="78" t="s">
        <v>984</v>
      </c>
      <c r="I197" s="151">
        <f>IF(SUM(P197:AW197)=0,"-",SUM(P197:AW197))</f>
        <v>9</v>
      </c>
      <c r="J197" s="62">
        <f>IF(SUMPRODUCT('Sony France - CM'!$Q$3:$AX$3,P197:AW197)=0,"-",SUMPRODUCT('Sony France - CM'!$Q$3:$AX$3,P197:AW197))</f>
        <v>640</v>
      </c>
      <c r="K197" s="101" t="s">
        <v>985</v>
      </c>
      <c r="L197" s="102">
        <v>4200658466</v>
      </c>
      <c r="M197" s="81" t="s">
        <v>249</v>
      </c>
      <c r="N197" s="81" t="s">
        <v>986</v>
      </c>
      <c r="O197" s="136" t="s">
        <v>379</v>
      </c>
      <c r="X197" s="8">
        <v>7</v>
      </c>
      <c r="AC197" s="8">
        <v>2</v>
      </c>
    </row>
    <row r="198" spans="1:29">
      <c r="A198" s="5" t="s">
        <v>244</v>
      </c>
      <c r="B198" s="5" t="s">
        <v>221</v>
      </c>
      <c r="C198" s="117" t="s">
        <v>306</v>
      </c>
      <c r="D198" s="112" t="s">
        <v>987</v>
      </c>
      <c r="E198" s="5" t="s">
        <v>27</v>
      </c>
      <c r="F198" s="29" t="s">
        <v>223</v>
      </c>
      <c r="G198" s="8" t="s">
        <v>130</v>
      </c>
      <c r="H198" s="124" t="s">
        <v>988</v>
      </c>
      <c r="I198" s="151">
        <f>IF(SUM(P198:AW198)=0,"-",SUM(P198:AW198))</f>
        <v>1</v>
      </c>
      <c r="J198" s="62">
        <f>IF(SUMPRODUCT('Sony France - CM'!$Q$3:$AX$3,P198:AW198)=0,"-",SUMPRODUCT('Sony France - CM'!$Q$3:$AX$3,P198:AW198))</f>
        <v>120</v>
      </c>
      <c r="K198" s="110" t="s">
        <v>989</v>
      </c>
      <c r="L198" s="102">
        <v>4200655672</v>
      </c>
      <c r="M198" s="81" t="s">
        <v>249</v>
      </c>
      <c r="N198" s="81" t="s">
        <v>875</v>
      </c>
      <c r="O198" s="185" t="s">
        <v>876</v>
      </c>
      <c r="P198" s="7">
        <v>1</v>
      </c>
    </row>
    <row r="199" spans="1:29">
      <c r="A199" s="5" t="s">
        <v>244</v>
      </c>
      <c r="B199" s="5" t="s">
        <v>221</v>
      </c>
      <c r="C199" s="117" t="s">
        <v>306</v>
      </c>
      <c r="D199" s="55" t="s">
        <v>990</v>
      </c>
      <c r="E199" s="5" t="s">
        <v>27</v>
      </c>
      <c r="F199" s="29" t="s">
        <v>223</v>
      </c>
      <c r="G199" s="8" t="s">
        <v>130</v>
      </c>
      <c r="H199" s="78" t="s">
        <v>991</v>
      </c>
      <c r="I199" s="151">
        <f>IF(SUM(P199:AW199)=0,"-",SUM(P199:AW199))</f>
        <v>1</v>
      </c>
      <c r="J199" s="62">
        <f>IF(SUMPRODUCT('Sony France - CM'!$Q$3:$AX$3,P199:AW199)=0,"-",SUMPRODUCT('Sony France - CM'!$Q$3:$AX$3,P199:AW199))</f>
        <v>120</v>
      </c>
      <c r="K199" s="101" t="s">
        <v>992</v>
      </c>
      <c r="L199" s="187" t="s">
        <v>640</v>
      </c>
      <c r="M199" s="186"/>
      <c r="N199" s="186" t="s">
        <v>641</v>
      </c>
      <c r="O199" s="185"/>
      <c r="P199" s="7">
        <v>1</v>
      </c>
    </row>
    <row r="200" spans="1:29">
      <c r="A200" s="5" t="s">
        <v>244</v>
      </c>
      <c r="B200" s="5" t="s">
        <v>221</v>
      </c>
      <c r="C200" s="117">
        <v>45237</v>
      </c>
      <c r="D200" s="55" t="s">
        <v>993</v>
      </c>
      <c r="E200" s="5" t="s">
        <v>33</v>
      </c>
      <c r="F200" s="118" t="s">
        <v>223</v>
      </c>
      <c r="G200" s="8" t="s">
        <v>69</v>
      </c>
      <c r="H200" s="124" t="s">
        <v>994</v>
      </c>
      <c r="I200" s="151">
        <f>IF(SUM(P200:AW200)=0,"-",SUM(P200:AW200))</f>
        <v>12</v>
      </c>
      <c r="J200" s="62">
        <f>IF(SUMPRODUCT('Sony France - CM'!$Q$3:$AX$3,P200:AW200)=0,"-",SUMPRODUCT('Sony France - CM'!$Q$3:$AX$3,P200:AW200))</f>
        <v>420</v>
      </c>
      <c r="K200" s="110" t="s">
        <v>995</v>
      </c>
      <c r="L200" s="102">
        <v>4200655681</v>
      </c>
      <c r="M200" s="81" t="s">
        <v>249</v>
      </c>
      <c r="N200" s="81" t="s">
        <v>974</v>
      </c>
      <c r="O200" s="136" t="s">
        <v>365</v>
      </c>
      <c r="Q200" s="8">
        <v>12</v>
      </c>
    </row>
    <row r="201" spans="1:29">
      <c r="A201" s="5" t="s">
        <v>244</v>
      </c>
      <c r="B201" s="5" t="s">
        <v>221</v>
      </c>
      <c r="C201" s="117">
        <v>45237</v>
      </c>
      <c r="D201" s="207" t="s">
        <v>996</v>
      </c>
      <c r="E201" s="5" t="s">
        <v>36</v>
      </c>
      <c r="F201" s="29" t="s">
        <v>223</v>
      </c>
      <c r="G201" s="8" t="s">
        <v>69</v>
      </c>
      <c r="H201" s="78" t="s">
        <v>997</v>
      </c>
      <c r="I201" s="151">
        <f>IF(SUM(P201:AW201)=0,"-",SUM(P201:AW201))</f>
        <v>7</v>
      </c>
      <c r="J201" s="52">
        <f>IF(SUMPRODUCT('Sony France - CM'!$Q$3:$AX$3,P201:AW201)=0,"-",SUMPRODUCT('Sony France - CM'!$Q$3:$AX$3,P201:AW201))</f>
        <v>435</v>
      </c>
      <c r="K201" s="101" t="s">
        <v>998</v>
      </c>
      <c r="L201" s="196"/>
      <c r="M201" s="194"/>
      <c r="N201" s="194"/>
      <c r="O201" s="195"/>
      <c r="P201" s="7">
        <v>1</v>
      </c>
      <c r="Q201" s="8">
        <v>4</v>
      </c>
      <c r="W201" s="7">
        <v>1</v>
      </c>
      <c r="X201" s="8">
        <v>1</v>
      </c>
    </row>
    <row r="202" spans="1:29">
      <c r="A202" s="5" t="s">
        <v>244</v>
      </c>
      <c r="B202" s="5" t="s">
        <v>221</v>
      </c>
      <c r="C202" s="117">
        <v>45238</v>
      </c>
      <c r="D202" s="55" t="s">
        <v>999</v>
      </c>
      <c r="E202" s="5" t="s">
        <v>35</v>
      </c>
      <c r="F202" s="118" t="s">
        <v>223</v>
      </c>
      <c r="G202" s="8" t="s">
        <v>130</v>
      </c>
      <c r="H202" s="124" t="s">
        <v>1000</v>
      </c>
      <c r="I202" s="151">
        <f>IF(SUM(P202:AW202)=0,"-",SUM(P202:AW202))</f>
        <v>4</v>
      </c>
      <c r="J202" s="62">
        <f>IF(SUMPRODUCT('Sony France - CM'!$Q$3:$AX$3,P202:AW202)=0,"-",SUMPRODUCT('Sony France - CM'!$Q$3:$AX$3,P202:AW202))</f>
        <v>720</v>
      </c>
      <c r="K202" s="125" t="s">
        <v>1001</v>
      </c>
      <c r="L202" s="81">
        <v>4200655370</v>
      </c>
      <c r="M202" s="81" t="s">
        <v>249</v>
      </c>
      <c r="N202" s="81" t="s">
        <v>1002</v>
      </c>
      <c r="O202" s="185" t="s">
        <v>311</v>
      </c>
      <c r="Y202" s="8">
        <v>4</v>
      </c>
    </row>
    <row r="203" spans="1:29">
      <c r="A203" s="5" t="s">
        <v>244</v>
      </c>
      <c r="B203" s="5" t="s">
        <v>221</v>
      </c>
      <c r="C203" s="117">
        <v>45238</v>
      </c>
      <c r="D203" s="55" t="s">
        <v>1003</v>
      </c>
      <c r="E203" s="5" t="s">
        <v>36</v>
      </c>
      <c r="F203" s="29" t="s">
        <v>223</v>
      </c>
      <c r="G203" s="8" t="s">
        <v>69</v>
      </c>
      <c r="H203" s="124" t="s">
        <v>1004</v>
      </c>
      <c r="I203" s="151">
        <f>IF(SUM(P203:AW203)=0,"-",SUM(P203:AW203))</f>
        <v>5</v>
      </c>
      <c r="J203" s="62">
        <f>IF(SUMPRODUCT('Sony France - CM'!$Q$3:$AX$3,P203:AW203)=0,"-",SUMPRODUCT('Sony France - CM'!$Q$3:$AX$3,P203:AW203))</f>
        <v>260</v>
      </c>
      <c r="K203" s="125" t="s">
        <v>1005</v>
      </c>
      <c r="L203" s="102">
        <v>4200655684</v>
      </c>
      <c r="M203" s="81" t="s">
        <v>249</v>
      </c>
      <c r="N203" s="81" t="s">
        <v>867</v>
      </c>
      <c r="O203" s="136" t="s">
        <v>365</v>
      </c>
      <c r="P203" s="7">
        <v>1</v>
      </c>
      <c r="Q203" s="8">
        <v>4</v>
      </c>
    </row>
    <row r="204" spans="1:29">
      <c r="A204" s="5" t="s">
        <v>244</v>
      </c>
      <c r="B204" s="5" t="s">
        <v>221</v>
      </c>
      <c r="C204" s="117">
        <v>45239</v>
      </c>
      <c r="D204" s="55" t="s">
        <v>1006</v>
      </c>
      <c r="E204" s="5" t="s">
        <v>33</v>
      </c>
      <c r="F204" s="29" t="s">
        <v>223</v>
      </c>
      <c r="G204" s="8" t="s">
        <v>67</v>
      </c>
      <c r="H204" s="124" t="s">
        <v>1007</v>
      </c>
      <c r="I204" s="151">
        <f>IF(SUM(P204:AW204)=0,"-",SUM(P204:AW204))</f>
        <v>3</v>
      </c>
      <c r="J204" s="62">
        <f>IF(SUMPRODUCT('Sony France - CM'!$Q$3:$AX$3,P204:AW204)=0,"-",SUMPRODUCT('Sony France - CM'!$Q$3:$AX$3,P204:AW204))</f>
        <v>105</v>
      </c>
      <c r="K204" s="125" t="s">
        <v>1008</v>
      </c>
      <c r="L204" s="203" t="s">
        <v>481</v>
      </c>
      <c r="M204" s="183"/>
      <c r="N204" s="183"/>
      <c r="O204" s="184"/>
      <c r="Q204" s="8">
        <v>3</v>
      </c>
    </row>
    <row r="205" spans="1:29">
      <c r="A205" s="5" t="s">
        <v>244</v>
      </c>
      <c r="B205" s="5" t="s">
        <v>221</v>
      </c>
      <c r="C205" s="117">
        <v>45240</v>
      </c>
      <c r="D205" s="55" t="s">
        <v>1009</v>
      </c>
      <c r="E205" s="5" t="s">
        <v>33</v>
      </c>
      <c r="F205" s="29" t="s">
        <v>223</v>
      </c>
      <c r="G205" s="8" t="s">
        <v>130</v>
      </c>
      <c r="H205" s="124" t="s">
        <v>1010</v>
      </c>
      <c r="I205" s="151">
        <f>IF(SUM(P205:AW205)=0,"-",SUM(P205:AW205))</f>
        <v>2</v>
      </c>
      <c r="J205" s="62">
        <f>IF(SUMPRODUCT('Sony France - CM'!$Q$3:$AX$3,P205:AW205)=0,"-",SUMPRODUCT('Sony France - CM'!$Q$3:$AX$3,P205:AW205))</f>
        <v>155</v>
      </c>
      <c r="K205" s="125" t="s">
        <v>1011</v>
      </c>
      <c r="L205" s="203" t="s">
        <v>481</v>
      </c>
      <c r="M205" s="183"/>
      <c r="N205" s="183"/>
      <c r="O205" s="184"/>
      <c r="P205" s="7">
        <v>1</v>
      </c>
      <c r="Q205" s="8">
        <v>1</v>
      </c>
    </row>
    <row r="206" spans="1:29">
      <c r="A206" s="5" t="s">
        <v>244</v>
      </c>
      <c r="B206" s="5" t="s">
        <v>221</v>
      </c>
      <c r="C206" s="117">
        <v>45240</v>
      </c>
      <c r="D206" s="55" t="s">
        <v>1012</v>
      </c>
      <c r="E206" s="5" t="s">
        <v>35</v>
      </c>
      <c r="F206" s="118" t="s">
        <v>223</v>
      </c>
      <c r="G206" s="8" t="s">
        <v>130</v>
      </c>
      <c r="H206" s="124" t="s">
        <v>1013</v>
      </c>
      <c r="I206" s="151">
        <f>IF(SUM(P206:AW206)=0,"-",SUM(P206:AW206))</f>
        <v>4</v>
      </c>
      <c r="J206" s="62">
        <f>IF(SUMPRODUCT('Sony France - CM'!$Q$3:$AX$3,P206:AW206)=0,"-",SUMPRODUCT('Sony France - CM'!$Q$3:$AX$3,P206:AW206))</f>
        <v>225</v>
      </c>
      <c r="L206" s="81">
        <v>4200655370</v>
      </c>
      <c r="M206" s="81" t="s">
        <v>249</v>
      </c>
      <c r="N206" s="81" t="s">
        <v>1002</v>
      </c>
      <c r="O206" s="185" t="s">
        <v>311</v>
      </c>
      <c r="P206" s="7">
        <v>1</v>
      </c>
      <c r="Q206" s="8">
        <v>3</v>
      </c>
    </row>
    <row r="207" spans="1:29">
      <c r="A207" s="5" t="s">
        <v>244</v>
      </c>
      <c r="B207" s="5" t="s">
        <v>221</v>
      </c>
      <c r="C207" s="117">
        <v>45240</v>
      </c>
      <c r="D207" s="55" t="s">
        <v>1014</v>
      </c>
      <c r="E207" s="5" t="s">
        <v>47</v>
      </c>
      <c r="F207" s="29" t="s">
        <v>223</v>
      </c>
      <c r="G207" s="8" t="s">
        <v>130</v>
      </c>
      <c r="H207" s="126" t="s">
        <v>1015</v>
      </c>
      <c r="I207" s="151">
        <f>IF(SUM(P207:AW207)=0,"-",SUM(P207:AW207))</f>
        <v>3</v>
      </c>
      <c r="J207" s="62">
        <f>IF(SUMPRODUCT('Sony France - CM'!$Q$3:$AX$3,P207:AW207)=0,"-",SUMPRODUCT('Sony France - CM'!$Q$3:$AX$3,P207:AW207))</f>
        <v>105</v>
      </c>
      <c r="K207" s="101" t="s">
        <v>1016</v>
      </c>
      <c r="L207" s="192" t="s">
        <v>481</v>
      </c>
      <c r="M207" s="166"/>
      <c r="N207" s="166"/>
      <c r="O207" s="193" t="s">
        <v>1017</v>
      </c>
      <c r="Q207" s="8">
        <v>3</v>
      </c>
    </row>
    <row r="208" spans="1:29">
      <c r="A208" s="5" t="s">
        <v>244</v>
      </c>
      <c r="B208" s="5" t="s">
        <v>221</v>
      </c>
      <c r="C208" s="117" t="s">
        <v>1018</v>
      </c>
      <c r="D208" s="55" t="s">
        <v>1019</v>
      </c>
      <c r="E208" s="5" t="s">
        <v>33</v>
      </c>
      <c r="F208" s="29" t="s">
        <v>223</v>
      </c>
      <c r="G208" s="8" t="s">
        <v>130</v>
      </c>
      <c r="H208" s="124" t="s">
        <v>1010</v>
      </c>
      <c r="I208" s="151">
        <f>IF(SUM(P208:AW208)=0,"-",SUM(P208:AW208))</f>
        <v>3</v>
      </c>
      <c r="J208" s="62">
        <f>IF(SUMPRODUCT('Sony France - CM'!$Q$3:$AX$3,P208:AW208)=0,"-",SUMPRODUCT('Sony France - CM'!$Q$3:$AX$3,P208:AW208))</f>
        <v>105</v>
      </c>
      <c r="K208" s="125" t="s">
        <v>1020</v>
      </c>
      <c r="L208" s="203" t="s">
        <v>481</v>
      </c>
      <c r="M208" s="183"/>
      <c r="N208" s="183"/>
      <c r="O208" s="184"/>
      <c r="Q208" s="8">
        <v>3</v>
      </c>
    </row>
    <row r="209" spans="1:39">
      <c r="A209" s="5" t="s">
        <v>244</v>
      </c>
      <c r="B209" s="5" t="s">
        <v>221</v>
      </c>
      <c r="C209" s="117" t="s">
        <v>1018</v>
      </c>
      <c r="D209" s="55" t="s">
        <v>1021</v>
      </c>
      <c r="E209" s="5" t="s">
        <v>35</v>
      </c>
      <c r="F209" s="118" t="s">
        <v>223</v>
      </c>
      <c r="G209" s="8" t="s">
        <v>438</v>
      </c>
      <c r="H209" s="124" t="s">
        <v>1022</v>
      </c>
      <c r="I209" s="151">
        <f>IF(SUM(P209:AW209)=0,"-",SUM(P209:AW209))</f>
        <v>6</v>
      </c>
      <c r="J209" s="62">
        <f>IF(SUMPRODUCT('Sony France - CM'!$Q$3:$AX$3,P209:AW209)=0,"-",SUMPRODUCT('Sony France - CM'!$Q$3:$AX$3,P209:AW209))</f>
        <v>295</v>
      </c>
      <c r="K209" s="97" t="s">
        <v>1023</v>
      </c>
      <c r="L209" s="81">
        <v>4200655370</v>
      </c>
      <c r="M209" s="81" t="s">
        <v>249</v>
      </c>
      <c r="N209" s="81" t="s">
        <v>1002</v>
      </c>
      <c r="O209" s="185" t="s">
        <v>311</v>
      </c>
      <c r="P209" s="7">
        <v>1</v>
      </c>
      <c r="Q209" s="8">
        <v>5</v>
      </c>
    </row>
    <row r="210" spans="1:39">
      <c r="A210" s="5" t="s">
        <v>244</v>
      </c>
      <c r="B210" s="5" t="s">
        <v>221</v>
      </c>
      <c r="C210" s="117" t="s">
        <v>1024</v>
      </c>
      <c r="D210" s="55" t="s">
        <v>1025</v>
      </c>
      <c r="E210" s="5" t="s">
        <v>27</v>
      </c>
      <c r="F210" s="29" t="s">
        <v>223</v>
      </c>
      <c r="G210" s="8" t="s">
        <v>130</v>
      </c>
      <c r="I210" s="151">
        <f>IF(SUM(P210:AW210)=0,"-",SUM(P210:AW210))</f>
        <v>2</v>
      </c>
      <c r="J210" s="62">
        <f>IF(SUMPRODUCT('Sony France - CM'!$Q$3:$AX$3,P210:AW210)=0,"-",SUMPRODUCT('Sony France - CM'!$Q$3:$AX$3,P210:AW210))</f>
        <v>255</v>
      </c>
      <c r="K210" s="101" t="s">
        <v>1026</v>
      </c>
      <c r="L210" s="187" t="s">
        <v>640</v>
      </c>
      <c r="M210" s="186"/>
      <c r="N210" s="186" t="s">
        <v>641</v>
      </c>
      <c r="O210" s="185"/>
      <c r="Q210" s="8">
        <v>1</v>
      </c>
      <c r="R210" s="8">
        <v>1</v>
      </c>
    </row>
    <row r="211" spans="1:39">
      <c r="A211" s="5" t="s">
        <v>244</v>
      </c>
      <c r="B211" s="5" t="s">
        <v>221</v>
      </c>
      <c r="C211" s="117" t="s">
        <v>1024</v>
      </c>
      <c r="D211" s="55" t="s">
        <v>1027</v>
      </c>
      <c r="E211" s="5" t="s">
        <v>35</v>
      </c>
      <c r="F211" s="118" t="s">
        <v>223</v>
      </c>
      <c r="G211" s="8" t="s">
        <v>130</v>
      </c>
      <c r="H211" s="78" t="s">
        <v>1028</v>
      </c>
      <c r="I211" s="151">
        <f>IF(SUM(P211:AW211)=0,"-",SUM(P211:AW211))</f>
        <v>18</v>
      </c>
      <c r="J211" s="62">
        <f>IF(SUMPRODUCT('Sony France - CM'!$Q$3:$AX$3,P211:AW211)=0,"-",SUMPRODUCT('Sony France - CM'!$Q$3:$AX$3,P211:AW211))</f>
        <v>630</v>
      </c>
      <c r="K211" s="97" t="s">
        <v>1023</v>
      </c>
      <c r="L211" s="81">
        <v>4200655370</v>
      </c>
      <c r="M211" s="81" t="s">
        <v>249</v>
      </c>
      <c r="N211" s="81" t="s">
        <v>1002</v>
      </c>
      <c r="O211" s="185" t="s">
        <v>311</v>
      </c>
      <c r="Q211" s="8">
        <v>18</v>
      </c>
    </row>
    <row r="212" spans="1:39">
      <c r="A212" s="5" t="s">
        <v>244</v>
      </c>
      <c r="B212" s="5" t="s">
        <v>221</v>
      </c>
      <c r="C212" s="117" t="s">
        <v>1029</v>
      </c>
      <c r="D212" s="55" t="s">
        <v>1030</v>
      </c>
      <c r="E212" s="5" t="s">
        <v>27</v>
      </c>
      <c r="F212" s="29" t="s">
        <v>223</v>
      </c>
      <c r="G212" s="8" t="s">
        <v>127</v>
      </c>
      <c r="H212" s="78" t="s">
        <v>1031</v>
      </c>
      <c r="I212" s="151">
        <f t="shared" ref="I212:I235" si="20">IF(SUM(P212:AW212)=0,"-",SUM(P212:AW212))</f>
        <v>1</v>
      </c>
      <c r="J212" s="62">
        <f>IF(SUMPRODUCT('Sony France - CM'!$Q$3:$AX$3,P212:AW212)=0,"-",SUMPRODUCT('Sony France - CM'!$Q$3:$AX$3,P212:AW212))</f>
        <v>135</v>
      </c>
      <c r="K212" s="101" t="s">
        <v>1032</v>
      </c>
      <c r="L212" s="102">
        <v>4200655508</v>
      </c>
      <c r="M212" s="81" t="s">
        <v>249</v>
      </c>
      <c r="N212" s="81" t="s">
        <v>924</v>
      </c>
      <c r="O212" s="136" t="s">
        <v>365</v>
      </c>
      <c r="W212" s="7">
        <v>1</v>
      </c>
    </row>
    <row r="213" spans="1:39">
      <c r="A213" s="5" t="s">
        <v>244</v>
      </c>
      <c r="B213" s="5" t="s">
        <v>221</v>
      </c>
      <c r="C213" s="117" t="s">
        <v>1029</v>
      </c>
      <c r="D213" s="55" t="s">
        <v>1033</v>
      </c>
      <c r="E213" s="5" t="s">
        <v>27</v>
      </c>
      <c r="F213" s="29" t="s">
        <v>223</v>
      </c>
      <c r="G213" s="8" t="s">
        <v>130</v>
      </c>
      <c r="H213" s="78" t="s">
        <v>1034</v>
      </c>
      <c r="I213" s="151">
        <f t="shared" si="20"/>
        <v>2</v>
      </c>
      <c r="J213" s="62">
        <f>IF(SUMPRODUCT('Sony France - CM'!$Q$3:$AX$3,P213:AW213)=0,"-",SUMPRODUCT('Sony France - CM'!$Q$3:$AX$3,P213:AW213))</f>
        <v>80</v>
      </c>
      <c r="K213" s="101" t="s">
        <v>1035</v>
      </c>
      <c r="L213" s="187" t="s">
        <v>640</v>
      </c>
      <c r="M213" s="186"/>
      <c r="N213" s="186" t="s">
        <v>641</v>
      </c>
      <c r="O213" s="185"/>
      <c r="X213" s="8">
        <v>2</v>
      </c>
    </row>
    <row r="214" spans="1:39">
      <c r="A214" s="5" t="s">
        <v>244</v>
      </c>
      <c r="B214" s="5" t="s">
        <v>221</v>
      </c>
      <c r="C214" s="117" t="s">
        <v>1029</v>
      </c>
      <c r="D214" s="55" t="s">
        <v>1036</v>
      </c>
      <c r="E214" s="5" t="s">
        <v>33</v>
      </c>
      <c r="F214" s="29" t="s">
        <v>223</v>
      </c>
      <c r="G214" s="8" t="s">
        <v>130</v>
      </c>
      <c r="I214" s="151">
        <f t="shared" si="20"/>
        <v>9</v>
      </c>
      <c r="J214" s="62">
        <f>IF(SUMPRODUCT('Sony France - CM'!$Q$3:$AX$3,P214:AW214)=0,"-",SUMPRODUCT('Sony France - CM'!$Q$3:$AX$3,P214:AW214))</f>
        <v>315</v>
      </c>
      <c r="K214" s="101" t="s">
        <v>1037</v>
      </c>
      <c r="L214" s="203" t="s">
        <v>481</v>
      </c>
      <c r="M214" s="183"/>
      <c r="N214" s="183"/>
      <c r="O214" s="184"/>
      <c r="Q214" s="8">
        <v>9</v>
      </c>
    </row>
    <row r="215" spans="1:39">
      <c r="A215" s="5" t="s">
        <v>244</v>
      </c>
      <c r="B215" s="5" t="s">
        <v>221</v>
      </c>
      <c r="C215" s="117" t="s">
        <v>399</v>
      </c>
      <c r="D215" s="55" t="s">
        <v>1038</v>
      </c>
      <c r="E215" s="5" t="s">
        <v>36</v>
      </c>
      <c r="F215" s="29" t="s">
        <v>223</v>
      </c>
      <c r="G215" s="8" t="s">
        <v>69</v>
      </c>
      <c r="H215" s="78" t="s">
        <v>1039</v>
      </c>
      <c r="I215" s="151">
        <f t="shared" si="20"/>
        <v>6</v>
      </c>
      <c r="J215" s="62">
        <f>IF(SUMPRODUCT('Sony France - CM'!$Q$3:$AX$3,P215:AW215)=0,"-",SUMPRODUCT('Sony France - CM'!$Q$3:$AX$3,P215:AW215))</f>
        <v>295</v>
      </c>
      <c r="K215" s="101" t="s">
        <v>1040</v>
      </c>
      <c r="L215" s="102">
        <v>4200655684</v>
      </c>
      <c r="M215" s="81" t="s">
        <v>249</v>
      </c>
      <c r="N215" s="81" t="s">
        <v>867</v>
      </c>
      <c r="O215" s="136" t="s">
        <v>365</v>
      </c>
      <c r="P215" s="7">
        <v>1</v>
      </c>
      <c r="Q215" s="8">
        <v>5</v>
      </c>
    </row>
    <row r="216" spans="1:39">
      <c r="A216" s="5" t="s">
        <v>244</v>
      </c>
      <c r="B216" s="5" t="s">
        <v>221</v>
      </c>
      <c r="C216" s="117" t="s">
        <v>399</v>
      </c>
      <c r="D216" s="55" t="s">
        <v>1041</v>
      </c>
      <c r="E216" s="5" t="s">
        <v>36</v>
      </c>
      <c r="F216" s="29" t="s">
        <v>223</v>
      </c>
      <c r="G216" s="8" t="s">
        <v>476</v>
      </c>
      <c r="H216" s="78" t="s">
        <v>1042</v>
      </c>
      <c r="I216" s="151">
        <f t="shared" si="20"/>
        <v>2</v>
      </c>
      <c r="J216" s="62">
        <f>IF(SUMPRODUCT('Sony France - CM'!$Q$3:$AX$3,P216:AW216)=0,"-",SUMPRODUCT('Sony France - CM'!$Q$3:$AX$3,P216:AW216))</f>
        <v>300</v>
      </c>
      <c r="K216" s="101" t="s">
        <v>1043</v>
      </c>
      <c r="L216" s="102">
        <v>4200658481</v>
      </c>
      <c r="M216" s="81" t="s">
        <v>650</v>
      </c>
      <c r="N216" s="81" t="s">
        <v>1044</v>
      </c>
      <c r="O216" s="136" t="s">
        <v>365</v>
      </c>
      <c r="P216" s="7">
        <v>1</v>
      </c>
      <c r="Y216" s="8">
        <v>1</v>
      </c>
    </row>
    <row r="217" spans="1:39">
      <c r="A217" s="5" t="s">
        <v>244</v>
      </c>
      <c r="B217" s="5" t="s">
        <v>221</v>
      </c>
      <c r="C217" s="117" t="s">
        <v>1045</v>
      </c>
      <c r="D217" s="55" t="s">
        <v>1046</v>
      </c>
      <c r="E217" s="129" t="s">
        <v>36</v>
      </c>
      <c r="F217" s="29" t="s">
        <v>223</v>
      </c>
      <c r="G217" s="8" t="s">
        <v>69</v>
      </c>
      <c r="H217" s="78" t="s">
        <v>1039</v>
      </c>
      <c r="I217" s="151">
        <f t="shared" si="20"/>
        <v>4</v>
      </c>
      <c r="J217" s="62">
        <f>IF(SUMPRODUCT('Sony France - CM'!$Q$3:$AX$3,P217:AW217)=0,"-",SUMPRODUCT('Sony France - CM'!$Q$3:$AX$3,P217:AW217))</f>
        <v>140</v>
      </c>
      <c r="K217" s="101" t="s">
        <v>1047</v>
      </c>
      <c r="L217" s="196" t="s">
        <v>1048</v>
      </c>
      <c r="M217" s="194"/>
      <c r="N217" s="194"/>
      <c r="O217" s="195"/>
      <c r="Q217" s="8">
        <v>4</v>
      </c>
    </row>
    <row r="218" spans="1:39">
      <c r="A218" s="5" t="s">
        <v>244</v>
      </c>
      <c r="B218" s="5" t="s">
        <v>221</v>
      </c>
      <c r="C218" s="117" t="s">
        <v>1045</v>
      </c>
      <c r="D218" s="55" t="s">
        <v>1049</v>
      </c>
      <c r="E218" s="5" t="s">
        <v>27</v>
      </c>
      <c r="F218" s="29" t="s">
        <v>223</v>
      </c>
      <c r="G218" s="8" t="s">
        <v>692</v>
      </c>
      <c r="H218" s="78" t="s">
        <v>1050</v>
      </c>
      <c r="I218" s="151">
        <f t="shared" si="20"/>
        <v>4</v>
      </c>
      <c r="J218" s="62">
        <f>IF(SUMPRODUCT('Sony France - CM'!$Q$3:$AX$3,P218:AW218)=0,"-",SUMPRODUCT('Sony France - CM'!$Q$3:$AX$3,P218:AW218))</f>
        <v>225</v>
      </c>
      <c r="K218" s="101" t="s">
        <v>1051</v>
      </c>
      <c r="L218" s="102">
        <v>4200657327</v>
      </c>
      <c r="M218" s="81" t="s">
        <v>249</v>
      </c>
      <c r="N218" s="81" t="s">
        <v>981</v>
      </c>
      <c r="O218" s="136" t="s">
        <v>365</v>
      </c>
      <c r="P218" s="7">
        <v>1</v>
      </c>
      <c r="Q218" s="8">
        <v>3</v>
      </c>
    </row>
    <row r="219" spans="1:39">
      <c r="A219" s="5" t="s">
        <v>244</v>
      </c>
      <c r="B219" s="5" t="s">
        <v>221</v>
      </c>
      <c r="C219" s="117" t="s">
        <v>360</v>
      </c>
      <c r="D219" s="55" t="s">
        <v>1052</v>
      </c>
      <c r="E219" s="5" t="s">
        <v>27</v>
      </c>
      <c r="F219" s="29" t="s">
        <v>223</v>
      </c>
      <c r="G219" s="8" t="s">
        <v>127</v>
      </c>
      <c r="H219" s="78" t="s">
        <v>1053</v>
      </c>
      <c r="I219" s="151">
        <f t="shared" si="20"/>
        <v>2</v>
      </c>
      <c r="J219" s="62">
        <f>IF(SUMPRODUCT('Sony France - CM'!$Q$3:$AX$3,P219:AW219)=0,"-",SUMPRODUCT('Sony France - CM'!$Q$3:$AX$3,P219:AW219))</f>
        <v>240</v>
      </c>
      <c r="K219" s="101" t="s">
        <v>1054</v>
      </c>
      <c r="L219" s="102">
        <v>4200657385</v>
      </c>
      <c r="M219" s="81" t="s">
        <v>249</v>
      </c>
      <c r="N219" s="81" t="s">
        <v>1055</v>
      </c>
      <c r="O219" s="136" t="s">
        <v>365</v>
      </c>
      <c r="P219" s="7">
        <v>2</v>
      </c>
    </row>
    <row r="220" spans="1:39">
      <c r="A220" s="5" t="s">
        <v>244</v>
      </c>
      <c r="B220" s="5" t="s">
        <v>221</v>
      </c>
      <c r="C220" s="117" t="s">
        <v>1056</v>
      </c>
      <c r="D220" s="55" t="s">
        <v>1057</v>
      </c>
      <c r="E220" s="5" t="s">
        <v>27</v>
      </c>
      <c r="F220" s="29" t="s">
        <v>223</v>
      </c>
      <c r="G220" s="8" t="s">
        <v>130</v>
      </c>
      <c r="H220" s="78" t="s">
        <v>1058</v>
      </c>
      <c r="I220" s="151">
        <f t="shared" si="20"/>
        <v>14</v>
      </c>
      <c r="J220" s="62">
        <f>IF(SUMPRODUCT('Sony France - CM'!$Q$3:$AX$3,P220:AW220)=0,"-",SUMPRODUCT('Sony France - CM'!$Q$3:$AX$3,P220:AW220))</f>
        <v>695</v>
      </c>
      <c r="K220" s="101" t="s">
        <v>1059</v>
      </c>
      <c r="L220" s="102">
        <v>4200657361</v>
      </c>
      <c r="M220" s="81" t="s">
        <v>249</v>
      </c>
      <c r="N220" s="81" t="s">
        <v>684</v>
      </c>
      <c r="O220" s="136" t="s">
        <v>365</v>
      </c>
      <c r="P220" s="7">
        <v>1</v>
      </c>
      <c r="Q220" s="8">
        <v>8</v>
      </c>
      <c r="W220" s="7">
        <v>1</v>
      </c>
      <c r="X220" s="8">
        <v>4</v>
      </c>
    </row>
    <row r="221" spans="1:39">
      <c r="A221" s="5" t="s">
        <v>244</v>
      </c>
      <c r="B221" s="5" t="s">
        <v>221</v>
      </c>
      <c r="C221" s="117" t="s">
        <v>1056</v>
      </c>
      <c r="D221" s="55" t="s">
        <v>1060</v>
      </c>
      <c r="E221" s="129" t="s">
        <v>43</v>
      </c>
      <c r="F221" s="29" t="s">
        <v>223</v>
      </c>
      <c r="G221" s="8" t="s">
        <v>476</v>
      </c>
      <c r="H221" s="78" t="s">
        <v>1061</v>
      </c>
      <c r="I221" s="151">
        <f t="shared" si="20"/>
        <v>1</v>
      </c>
      <c r="J221" s="62">
        <f>IF(SUMPRODUCT('Sony France - CM'!$Q$3:$AX$3,P221:AW221)=0,"-",SUMPRODUCT('Sony France - CM'!$Q$3:$AX$3,P221:AW221))</f>
        <v>35</v>
      </c>
      <c r="K221" s="101" t="s">
        <v>1062</v>
      </c>
      <c r="L221" s="102">
        <v>4270027413</v>
      </c>
      <c r="M221" s="81" t="s">
        <v>249</v>
      </c>
      <c r="N221" s="81" t="s">
        <v>1063</v>
      </c>
      <c r="O221" s="136" t="s">
        <v>379</v>
      </c>
      <c r="Q221" s="8">
        <v>1</v>
      </c>
    </row>
    <row r="222" spans="1:39">
      <c r="A222" s="5" t="s">
        <v>244</v>
      </c>
      <c r="B222" s="5" t="s">
        <v>221</v>
      </c>
      <c r="C222" s="117" t="s">
        <v>1064</v>
      </c>
      <c r="D222" s="112" t="s">
        <v>1065</v>
      </c>
      <c r="E222" s="5" t="s">
        <v>36</v>
      </c>
      <c r="F222" s="29" t="s">
        <v>223</v>
      </c>
      <c r="G222" s="8" t="s">
        <v>476</v>
      </c>
      <c r="H222" s="78" t="s">
        <v>1066</v>
      </c>
      <c r="I222" s="151">
        <f t="shared" si="20"/>
        <v>1</v>
      </c>
      <c r="J222" s="62">
        <f>IF(SUMPRODUCT('Sony France - CM'!$Q$3:$AX$3,P222:AW222)=0,"-",SUMPRODUCT('Sony France - CM'!$Q$3:$AX$3,P222:AW222))</f>
        <v>35</v>
      </c>
      <c r="K222" s="101" t="s">
        <v>1067</v>
      </c>
      <c r="L222" s="102">
        <v>4270027413</v>
      </c>
      <c r="M222" s="81" t="s">
        <v>249</v>
      </c>
      <c r="N222" s="81" t="s">
        <v>1063</v>
      </c>
      <c r="O222" s="136" t="s">
        <v>379</v>
      </c>
      <c r="Q222" s="8">
        <v>1</v>
      </c>
    </row>
    <row r="223" spans="1:39">
      <c r="A223" s="5" t="s">
        <v>244</v>
      </c>
      <c r="B223" s="5" t="s">
        <v>221</v>
      </c>
      <c r="C223" s="117" t="s">
        <v>1068</v>
      </c>
      <c r="D223" s="55" t="s">
        <v>1069</v>
      </c>
      <c r="E223" s="5" t="s">
        <v>27</v>
      </c>
      <c r="F223" s="29" t="s">
        <v>223</v>
      </c>
      <c r="G223" s="8" t="s">
        <v>128</v>
      </c>
      <c r="H223" s="78" t="s">
        <v>1070</v>
      </c>
      <c r="I223" s="151">
        <f t="shared" si="20"/>
        <v>2</v>
      </c>
      <c r="J223" s="62">
        <f>IF(SUMPRODUCT('Sony France - CM'!$Q$3:$AX$3,P223:AW223)=0,"-",SUMPRODUCT('Sony France - CM'!$Q$3:$AX$3,P223:AW223))</f>
        <v>115</v>
      </c>
      <c r="K223" s="101" t="s">
        <v>1071</v>
      </c>
      <c r="L223" s="102">
        <v>4200657357</v>
      </c>
      <c r="M223" s="81" t="s">
        <v>249</v>
      </c>
      <c r="N223" s="81" t="s">
        <v>1072</v>
      </c>
      <c r="O223" s="136" t="s">
        <v>365</v>
      </c>
      <c r="Q223" s="8">
        <v>1</v>
      </c>
      <c r="AM223" s="7">
        <v>1</v>
      </c>
    </row>
    <row r="224" spans="1:39">
      <c r="A224" s="5" t="s">
        <v>244</v>
      </c>
      <c r="B224" s="5" t="s">
        <v>221</v>
      </c>
      <c r="C224" s="117" t="s">
        <v>1068</v>
      </c>
      <c r="D224" s="55" t="s">
        <v>1073</v>
      </c>
      <c r="E224" s="5" t="s">
        <v>33</v>
      </c>
      <c r="F224" s="29" t="s">
        <v>223</v>
      </c>
      <c r="G224" s="8" t="s">
        <v>69</v>
      </c>
      <c r="H224" s="78" t="s">
        <v>1074</v>
      </c>
      <c r="I224" s="151">
        <f t="shared" si="20"/>
        <v>1</v>
      </c>
      <c r="J224" s="62">
        <f>IF(SUMPRODUCT('Sony France - CM'!$Q$3:$AX$3,P224:AW224)=0,"-",SUMPRODUCT('Sony France - CM'!$Q$3:$AX$3,P224:AW224))</f>
        <v>250</v>
      </c>
      <c r="K224" s="101" t="s">
        <v>1075</v>
      </c>
      <c r="L224" s="203" t="s">
        <v>481</v>
      </c>
      <c r="M224" s="183"/>
      <c r="N224" s="183"/>
      <c r="O224" s="184"/>
      <c r="Z224" s="8">
        <v>1</v>
      </c>
    </row>
    <row r="225" spans="1:25">
      <c r="A225" s="5" t="s">
        <v>244</v>
      </c>
      <c r="B225" s="5" t="s">
        <v>221</v>
      </c>
      <c r="C225" s="117" t="s">
        <v>1068</v>
      </c>
      <c r="D225" s="55" t="s">
        <v>1076</v>
      </c>
      <c r="E225" s="5" t="s">
        <v>27</v>
      </c>
      <c r="F225" s="29" t="s">
        <v>223</v>
      </c>
      <c r="G225" s="8" t="s">
        <v>130</v>
      </c>
      <c r="H225" s="78" t="s">
        <v>1077</v>
      </c>
      <c r="I225" s="151">
        <f t="shared" si="20"/>
        <v>3</v>
      </c>
      <c r="J225" s="62">
        <f>IF(SUMPRODUCT('Sony France - CM'!$Q$3:$AX$3,P225:AW225)=0,"-",SUMPRODUCT('Sony France - CM'!$Q$3:$AX$3,P225:AW225))</f>
        <v>190</v>
      </c>
      <c r="K225" s="101" t="s">
        <v>1078</v>
      </c>
      <c r="L225" s="187" t="s">
        <v>640</v>
      </c>
      <c r="M225" s="186"/>
      <c r="N225" s="186" t="s">
        <v>641</v>
      </c>
      <c r="O225" s="185"/>
      <c r="P225" s="7">
        <v>1</v>
      </c>
      <c r="Q225" s="8">
        <v>2</v>
      </c>
    </row>
    <row r="226" spans="1:25">
      <c r="A226" s="5" t="s">
        <v>244</v>
      </c>
      <c r="B226" s="5" t="s">
        <v>221</v>
      </c>
      <c r="C226" s="117" t="s">
        <v>1079</v>
      </c>
      <c r="D226" s="55" t="s">
        <v>1080</v>
      </c>
      <c r="E226" s="5" t="s">
        <v>27</v>
      </c>
      <c r="F226" s="29" t="s">
        <v>223</v>
      </c>
      <c r="G226" s="8" t="s">
        <v>128</v>
      </c>
      <c r="H226" s="78" t="s">
        <v>1081</v>
      </c>
      <c r="I226" s="151">
        <f t="shared" si="20"/>
        <v>2</v>
      </c>
      <c r="J226" s="62">
        <f>IF(SUMPRODUCT('Sony France - CM'!$Q$3:$AX$3,P226:AW226)=0,"-",SUMPRODUCT('Sony France - CM'!$Q$3:$AX$3,P226:AW226))</f>
        <v>70</v>
      </c>
      <c r="K226" s="101" t="s">
        <v>1082</v>
      </c>
      <c r="L226" s="102">
        <v>4200657357</v>
      </c>
      <c r="M226" s="81" t="s">
        <v>249</v>
      </c>
      <c r="N226" s="81" t="s">
        <v>1072</v>
      </c>
      <c r="O226" s="136" t="s">
        <v>365</v>
      </c>
      <c r="Q226" s="8">
        <v>2</v>
      </c>
    </row>
    <row r="227" spans="1:25">
      <c r="A227" s="5" t="s">
        <v>244</v>
      </c>
      <c r="B227" s="5" t="s">
        <v>221</v>
      </c>
      <c r="C227" s="117" t="s">
        <v>1056</v>
      </c>
      <c r="D227" s="55" t="s">
        <v>1083</v>
      </c>
      <c r="E227" s="5" t="s">
        <v>27</v>
      </c>
      <c r="F227" s="29" t="s">
        <v>1084</v>
      </c>
      <c r="G227" s="8" t="s">
        <v>127</v>
      </c>
      <c r="H227" s="78"/>
      <c r="I227" s="151" t="str">
        <f t="shared" si="20"/>
        <v>-</v>
      </c>
      <c r="J227" s="62" t="str">
        <f>IF(SUMPRODUCT('Sony France - CM'!$Q$3:$AX$3,P227:AW227)=0,"-",SUMPRODUCT('Sony France - CM'!$Q$3:$AX$3,P227:AW227))</f>
        <v>-</v>
      </c>
      <c r="K227" s="101"/>
      <c r="L227" s="102">
        <v>4200655525</v>
      </c>
      <c r="M227" s="81" t="s">
        <v>249</v>
      </c>
      <c r="N227" s="81" t="s">
        <v>1085</v>
      </c>
      <c r="O227" s="136" t="s">
        <v>365</v>
      </c>
    </row>
    <row r="228" spans="1:25">
      <c r="A228" s="5" t="s">
        <v>244</v>
      </c>
      <c r="B228" s="5" t="s">
        <v>221</v>
      </c>
      <c r="C228" s="117">
        <v>45275</v>
      </c>
      <c r="D228" s="207" t="s">
        <v>1086</v>
      </c>
      <c r="E228" s="5" t="s">
        <v>36</v>
      </c>
      <c r="F228" s="29" t="s">
        <v>223</v>
      </c>
      <c r="G228" s="8" t="s">
        <v>69</v>
      </c>
      <c r="H228" s="78" t="s">
        <v>1087</v>
      </c>
      <c r="I228" s="151">
        <f t="shared" si="20"/>
        <v>28</v>
      </c>
      <c r="J228" s="62">
        <f>IF(SUMPRODUCT('Sony France - CM'!$Q$3:$AX$3,P228:AW228)=0,"-",SUMPRODUCT('Sony France - CM'!$Q$3:$AX$3,P228:AW228))</f>
        <v>1535</v>
      </c>
      <c r="K228" s="101" t="s">
        <v>1088</v>
      </c>
      <c r="L228" s="196"/>
      <c r="M228" s="194"/>
      <c r="N228" s="194"/>
      <c r="O228" s="195"/>
      <c r="P228" s="7">
        <v>3</v>
      </c>
      <c r="Q228" s="8">
        <f>9*3-6</f>
        <v>21</v>
      </c>
      <c r="X228" s="8">
        <v>2</v>
      </c>
      <c r="Y228" s="8">
        <v>2</v>
      </c>
    </row>
    <row r="229" spans="1:25">
      <c r="A229" s="5" t="s">
        <v>244</v>
      </c>
      <c r="B229" s="5" t="s">
        <v>221</v>
      </c>
      <c r="C229" s="117">
        <v>45278</v>
      </c>
      <c r="D229" s="106" t="s">
        <v>1089</v>
      </c>
      <c r="E229" s="5" t="s">
        <v>27</v>
      </c>
      <c r="F229" s="29" t="s">
        <v>223</v>
      </c>
      <c r="G229" s="8" t="s">
        <v>692</v>
      </c>
      <c r="H229" s="78" t="s">
        <v>1090</v>
      </c>
      <c r="I229" s="151">
        <f t="shared" si="20"/>
        <v>8</v>
      </c>
      <c r="J229" s="62">
        <f>IF(SUMPRODUCT('Sony France - CM'!$Q$3:$AX$3,P229:AW229)=0,"-",SUMPRODUCT('Sony France - CM'!$Q$3:$AX$3,P229:AW229))</f>
        <v>365</v>
      </c>
      <c r="K229" s="101" t="s">
        <v>1091</v>
      </c>
      <c r="L229" s="102">
        <v>4200657327</v>
      </c>
      <c r="M229" s="81" t="s">
        <v>249</v>
      </c>
      <c r="N229" s="81" t="s">
        <v>981</v>
      </c>
      <c r="O229" s="136" t="s">
        <v>365</v>
      </c>
      <c r="P229" s="7">
        <v>1</v>
      </c>
      <c r="Q229" s="8">
        <v>7</v>
      </c>
    </row>
    <row r="230" spans="1:25">
      <c r="A230" s="5" t="s">
        <v>244</v>
      </c>
      <c r="B230" s="5" t="s">
        <v>221</v>
      </c>
      <c r="C230" s="117">
        <v>45280</v>
      </c>
      <c r="D230" s="55" t="s">
        <v>1092</v>
      </c>
      <c r="E230" s="5" t="s">
        <v>27</v>
      </c>
      <c r="F230" s="29" t="s">
        <v>223</v>
      </c>
      <c r="G230" s="8" t="s">
        <v>128</v>
      </c>
      <c r="H230" s="78" t="s">
        <v>1093</v>
      </c>
      <c r="I230" s="151">
        <f t="shared" si="20"/>
        <v>1</v>
      </c>
      <c r="J230" s="62">
        <f>IF(SUMPRODUCT('Sony France - CM'!$Q$3:$AX$3,P230:AW230)=0,"-",SUMPRODUCT('Sony France - CM'!$Q$3:$AX$3,P230:AW230))</f>
        <v>35</v>
      </c>
      <c r="K230" s="101" t="s">
        <v>1094</v>
      </c>
      <c r="L230" s="102">
        <v>4200657357</v>
      </c>
      <c r="M230" s="81" t="s">
        <v>249</v>
      </c>
      <c r="N230" s="81" t="s">
        <v>1072</v>
      </c>
      <c r="O230" s="136" t="s">
        <v>365</v>
      </c>
      <c r="Q230" s="8">
        <v>1</v>
      </c>
    </row>
    <row r="231" spans="1:25">
      <c r="A231" s="5" t="s">
        <v>244</v>
      </c>
      <c r="B231" s="5" t="s">
        <v>221</v>
      </c>
      <c r="C231" s="117">
        <v>45280</v>
      </c>
      <c r="D231" s="154" t="s">
        <v>1095</v>
      </c>
      <c r="E231" s="5" t="s">
        <v>27</v>
      </c>
      <c r="F231" s="29" t="s">
        <v>223</v>
      </c>
      <c r="G231" s="8" t="s">
        <v>926</v>
      </c>
      <c r="H231" s="78" t="s">
        <v>1096</v>
      </c>
      <c r="I231" s="151">
        <f t="shared" si="20"/>
        <v>1</v>
      </c>
      <c r="J231" s="62">
        <f>IF(SUMPRODUCT('Sony France - CM'!$Q$3:$AX$3,P231:AW231)=0,"-",SUMPRODUCT('Sony France - CM'!$Q$3:$AX$3,P231:AW231))</f>
        <v>220</v>
      </c>
      <c r="K231" s="101" t="s">
        <v>1097</v>
      </c>
      <c r="L231" s="102">
        <v>4200657347</v>
      </c>
      <c r="M231" s="81" t="s">
        <v>249</v>
      </c>
      <c r="N231" s="81" t="s">
        <v>1098</v>
      </c>
      <c r="O231" s="136" t="s">
        <v>365</v>
      </c>
      <c r="R231" s="8">
        <v>1</v>
      </c>
    </row>
    <row r="232" spans="1:25">
      <c r="A232" s="5" t="s">
        <v>244</v>
      </c>
      <c r="B232" s="5" t="s">
        <v>221</v>
      </c>
      <c r="C232" s="117">
        <v>45280</v>
      </c>
      <c r="D232" s="55" t="s">
        <v>1099</v>
      </c>
      <c r="E232" s="5" t="s">
        <v>36</v>
      </c>
      <c r="F232" s="29" t="s">
        <v>223</v>
      </c>
      <c r="G232" s="8" t="s">
        <v>69</v>
      </c>
      <c r="H232" s="78" t="s">
        <v>1100</v>
      </c>
      <c r="I232" s="151">
        <f t="shared" si="20"/>
        <v>11</v>
      </c>
      <c r="J232" s="62">
        <f>IF(SUMPRODUCT('Sony France - CM'!$Q$3:$AX$3,P232:AW232)=0,"-",SUMPRODUCT('Sony France - CM'!$Q$3:$AX$3,P232:AW232))</f>
        <v>880</v>
      </c>
      <c r="K232" s="101" t="s">
        <v>1101</v>
      </c>
      <c r="L232" s="194" t="s">
        <v>1048</v>
      </c>
      <c r="M232" s="194"/>
      <c r="N232" s="194"/>
      <c r="O232" s="195"/>
      <c r="P232" s="7">
        <v>1</v>
      </c>
      <c r="Q232" s="8">
        <v>4</v>
      </c>
      <c r="W232" s="7">
        <v>4</v>
      </c>
      <c r="X232" s="8">
        <v>2</v>
      </c>
    </row>
    <row r="233" spans="1:25">
      <c r="A233" s="5" t="s">
        <v>244</v>
      </c>
      <c r="B233" s="5" t="s">
        <v>221</v>
      </c>
      <c r="C233" s="117">
        <v>45286</v>
      </c>
      <c r="D233" s="55" t="s">
        <v>1102</v>
      </c>
      <c r="E233" s="113" t="s">
        <v>27</v>
      </c>
      <c r="F233" s="29" t="s">
        <v>223</v>
      </c>
      <c r="G233" s="8" t="s">
        <v>692</v>
      </c>
      <c r="H233" s="78" t="s">
        <v>1103</v>
      </c>
      <c r="I233" s="151">
        <f t="shared" si="20"/>
        <v>1</v>
      </c>
      <c r="J233" s="62">
        <f>IF(SUMPRODUCT('Sony France - CM'!$Q$3:$AX$3,P233:AW233)=0,"-",SUMPRODUCT('Sony France - CM'!$Q$3:$AX$3,P233:AW233))</f>
        <v>220</v>
      </c>
      <c r="K233" s="101" t="s">
        <v>1104</v>
      </c>
      <c r="L233" s="102">
        <v>4200657327</v>
      </c>
      <c r="M233" s="81" t="s">
        <v>249</v>
      </c>
      <c r="N233" s="81" t="s">
        <v>981</v>
      </c>
      <c r="O233" s="136" t="s">
        <v>365</v>
      </c>
      <c r="R233" s="8">
        <v>1</v>
      </c>
    </row>
    <row r="234" spans="1:25">
      <c r="A234" s="5" t="s">
        <v>244</v>
      </c>
      <c r="B234" s="5" t="s">
        <v>221</v>
      </c>
      <c r="C234" s="117">
        <v>45288</v>
      </c>
      <c r="D234" s="55" t="s">
        <v>1105</v>
      </c>
      <c r="E234" s="5" t="s">
        <v>35</v>
      </c>
      <c r="F234" s="29" t="s">
        <v>223</v>
      </c>
      <c r="G234" s="8" t="s">
        <v>1106</v>
      </c>
      <c r="H234" s="78" t="s">
        <v>1107</v>
      </c>
      <c r="I234" s="151">
        <f t="shared" si="20"/>
        <v>4</v>
      </c>
      <c r="J234" s="62">
        <f>IF(SUMPRODUCT('Sony France - CM'!$Q$3:$AX$3,P234:AW234)=0,"-",SUMPRODUCT('Sony France - CM'!$Q$3:$AX$3,P234:AW234))</f>
        <v>160</v>
      </c>
      <c r="K234" s="101" t="s">
        <v>1108</v>
      </c>
      <c r="L234" s="81">
        <v>4200658460</v>
      </c>
      <c r="M234" s="81" t="s">
        <v>249</v>
      </c>
      <c r="N234" s="81" t="s">
        <v>1109</v>
      </c>
      <c r="O234" s="136" t="s">
        <v>365</v>
      </c>
      <c r="X234" s="8">
        <v>4</v>
      </c>
    </row>
    <row r="235" spans="1:25">
      <c r="A235" s="5" t="s">
        <v>244</v>
      </c>
      <c r="B235" s="5" t="s">
        <v>221</v>
      </c>
      <c r="C235" s="117">
        <v>45289</v>
      </c>
      <c r="D235" s="106" t="s">
        <v>1110</v>
      </c>
      <c r="E235" s="5" t="s">
        <v>27</v>
      </c>
      <c r="F235" s="29" t="s">
        <v>223</v>
      </c>
      <c r="G235" s="8" t="s">
        <v>127</v>
      </c>
      <c r="H235" s="78" t="s">
        <v>1111</v>
      </c>
      <c r="I235" s="151">
        <f t="shared" si="20"/>
        <v>10</v>
      </c>
      <c r="J235" s="62">
        <f>IF(SUMPRODUCT('Sony France - CM'!$Q$3:$AX$3,P235:AW235)=0,"-",SUMPRODUCT('Sony France - CM'!$Q$3:$AX$3,P235:AW235))</f>
        <v>605</v>
      </c>
      <c r="L235" s="102">
        <v>4200655525</v>
      </c>
      <c r="M235" s="81" t="s">
        <v>249</v>
      </c>
      <c r="N235" s="81" t="s">
        <v>1085</v>
      </c>
      <c r="O235" s="136" t="s">
        <v>365</v>
      </c>
      <c r="P235" s="7">
        <v>3</v>
      </c>
      <c r="Q235" s="8">
        <v>7</v>
      </c>
    </row>
    <row r="236" spans="1:25">
      <c r="A236" s="5" t="s">
        <v>244</v>
      </c>
      <c r="B236" s="5" t="s">
        <v>221</v>
      </c>
      <c r="C236" s="117">
        <v>45294</v>
      </c>
      <c r="D236" s="55" t="s">
        <v>1112</v>
      </c>
      <c r="E236" s="5" t="s">
        <v>31</v>
      </c>
      <c r="F236" s="29" t="s">
        <v>223</v>
      </c>
      <c r="G236" s="8" t="s">
        <v>69</v>
      </c>
      <c r="H236" s="78" t="s">
        <v>1113</v>
      </c>
      <c r="I236" s="151">
        <f t="shared" ref="I236:I256" si="21">IF(SUM(P236:AW236)=0,"-",SUM(P236:AW236))</f>
        <v>4</v>
      </c>
      <c r="J236" s="62">
        <f>IF(SUMPRODUCT('Sony France - CM'!$Q$3:$AX$3,P236:AW236)=0,"-",SUMPRODUCT('Sony France - CM'!$Q$3:$AX$3,P236:AW236))</f>
        <v>140</v>
      </c>
      <c r="K236" s="101" t="s">
        <v>1114</v>
      </c>
      <c r="L236" s="183" t="s">
        <v>1023</v>
      </c>
      <c r="M236" s="204"/>
      <c r="N236" s="204"/>
      <c r="O236" s="184"/>
      <c r="Q236" s="8">
        <v>4</v>
      </c>
    </row>
    <row r="237" spans="1:25">
      <c r="A237" s="5" t="s">
        <v>244</v>
      </c>
      <c r="B237" s="5" t="s">
        <v>221</v>
      </c>
      <c r="C237" s="117">
        <v>45294</v>
      </c>
      <c r="D237" s="106" t="s">
        <v>1115</v>
      </c>
      <c r="E237" s="5" t="s">
        <v>31</v>
      </c>
      <c r="F237" s="29" t="s">
        <v>223</v>
      </c>
      <c r="G237" s="8" t="s">
        <v>130</v>
      </c>
      <c r="H237" s="78" t="s">
        <v>1116</v>
      </c>
      <c r="I237" s="151">
        <f t="shared" si="21"/>
        <v>2</v>
      </c>
      <c r="J237" s="62">
        <f>IF(SUMPRODUCT('Sony France - CM'!$Q$3:$AX$3,P237:AW237)=0,"-",SUMPRODUCT('Sony France - CM'!$Q$3:$AX$3,P237:AW237))</f>
        <v>155</v>
      </c>
      <c r="K237" s="101" t="s">
        <v>1117</v>
      </c>
      <c r="L237" s="183" t="s">
        <v>1023</v>
      </c>
      <c r="M237" s="183"/>
      <c r="N237" s="183"/>
      <c r="O237" s="184"/>
      <c r="P237" s="7">
        <v>1</v>
      </c>
      <c r="Q237" s="8">
        <v>1</v>
      </c>
    </row>
    <row r="238" spans="1:25">
      <c r="A238" s="5" t="s">
        <v>244</v>
      </c>
      <c r="B238" s="5" t="s">
        <v>221</v>
      </c>
      <c r="C238" s="117">
        <v>45294</v>
      </c>
      <c r="D238" s="55" t="s">
        <v>1118</v>
      </c>
      <c r="E238" s="5" t="s">
        <v>31</v>
      </c>
      <c r="F238" s="29" t="s">
        <v>223</v>
      </c>
      <c r="G238" s="8" t="s">
        <v>67</v>
      </c>
      <c r="H238" s="78" t="s">
        <v>1119</v>
      </c>
      <c r="I238" s="151">
        <f t="shared" si="21"/>
        <v>4</v>
      </c>
      <c r="J238" s="62">
        <f>IF(SUMPRODUCT('Sony France - CM'!$Q$3:$AX$3,P238:AW238)=0,"-",SUMPRODUCT('Sony France - CM'!$Q$3:$AX$3,P238:AW238))</f>
        <v>140</v>
      </c>
      <c r="K238" s="101" t="s">
        <v>1120</v>
      </c>
      <c r="L238" s="183" t="s">
        <v>1023</v>
      </c>
      <c r="M238" s="183"/>
      <c r="N238" s="183"/>
      <c r="O238" s="184"/>
      <c r="Q238" s="8">
        <v>4</v>
      </c>
    </row>
    <row r="239" spans="1:25">
      <c r="A239" s="5" t="s">
        <v>244</v>
      </c>
      <c r="B239" s="5" t="s">
        <v>221</v>
      </c>
      <c r="C239" s="117">
        <v>45296</v>
      </c>
      <c r="D239" s="106" t="s">
        <v>1121</v>
      </c>
      <c r="E239" s="5" t="s">
        <v>27</v>
      </c>
      <c r="F239" s="29" t="s">
        <v>223</v>
      </c>
      <c r="G239" s="8" t="s">
        <v>130</v>
      </c>
      <c r="H239" s="78" t="s">
        <v>1122</v>
      </c>
      <c r="I239" s="151">
        <f t="shared" si="21"/>
        <v>1</v>
      </c>
      <c r="J239" s="62">
        <f>IF(SUMPRODUCT('Sony France - CM'!$Q$3:$AX$3,P239:AW239)=0,"-",SUMPRODUCT('Sony France - CM'!$Q$3:$AX$3,P239:AW239))</f>
        <v>180</v>
      </c>
      <c r="K239" s="101" t="s">
        <v>1123</v>
      </c>
      <c r="L239" s="8" t="s">
        <v>481</v>
      </c>
      <c r="Y239" s="8">
        <v>1</v>
      </c>
    </row>
    <row r="240" spans="1:25">
      <c r="A240" s="5" t="s">
        <v>244</v>
      </c>
      <c r="B240" s="5" t="s">
        <v>221</v>
      </c>
      <c r="C240" s="117">
        <v>45296</v>
      </c>
      <c r="D240" s="106" t="s">
        <v>1124</v>
      </c>
      <c r="E240" s="5" t="s">
        <v>27</v>
      </c>
      <c r="F240" s="29" t="s">
        <v>223</v>
      </c>
      <c r="G240" s="8" t="s">
        <v>127</v>
      </c>
      <c r="H240" s="78" t="s">
        <v>1125</v>
      </c>
      <c r="I240" s="151">
        <f t="shared" si="21"/>
        <v>1</v>
      </c>
      <c r="J240" s="62">
        <f>IF(SUMPRODUCT('Sony France - CM'!$Q$3:$AX$3,P240:AW240)=0,"-",SUMPRODUCT('Sony France - CM'!$Q$3:$AX$3,P240:AW240))</f>
        <v>135</v>
      </c>
      <c r="K240" s="101" t="s">
        <v>1126</v>
      </c>
      <c r="L240" s="8" t="s">
        <v>481</v>
      </c>
      <c r="W240" s="7">
        <v>1</v>
      </c>
    </row>
    <row r="241" spans="1:39">
      <c r="A241" s="5" t="s">
        <v>244</v>
      </c>
      <c r="B241" s="5" t="s">
        <v>221</v>
      </c>
      <c r="C241" s="117">
        <v>45296</v>
      </c>
      <c r="D241" s="55" t="s">
        <v>1127</v>
      </c>
      <c r="E241" s="5" t="s">
        <v>36</v>
      </c>
      <c r="F241" s="29" t="s">
        <v>223</v>
      </c>
      <c r="G241" s="8" t="s">
        <v>69</v>
      </c>
      <c r="H241" s="30" t="s">
        <v>405</v>
      </c>
      <c r="I241" s="151">
        <f>IF(SUM(P241:AW241)=0,"-",SUM(P241:AW241))</f>
        <v>7</v>
      </c>
      <c r="J241" s="62">
        <f>IF(SUMPRODUCT('Sony France - CM'!$Q$3:$AX$3,P241:AW241)=0,"-",SUMPRODUCT('Sony France - CM'!$Q$3:$AX$3,P241:AW241))</f>
        <v>475</v>
      </c>
      <c r="K241" s="101" t="s">
        <v>1128</v>
      </c>
      <c r="L241" s="194" t="s">
        <v>1048</v>
      </c>
      <c r="M241" s="194"/>
      <c r="N241" s="194"/>
      <c r="O241" s="195"/>
      <c r="P241" s="7">
        <v>1</v>
      </c>
      <c r="Q241" s="8">
        <v>5</v>
      </c>
      <c r="Y241" s="8">
        <v>1</v>
      </c>
    </row>
    <row r="242" spans="1:39">
      <c r="A242" s="5" t="s">
        <v>244</v>
      </c>
      <c r="B242" s="5" t="s">
        <v>221</v>
      </c>
      <c r="C242" s="117">
        <v>45300</v>
      </c>
      <c r="D242" s="55" t="s">
        <v>1129</v>
      </c>
      <c r="E242" s="5" t="s">
        <v>36</v>
      </c>
      <c r="F242" s="29" t="s">
        <v>223</v>
      </c>
      <c r="G242" s="8" t="s">
        <v>69</v>
      </c>
      <c r="H242" s="78" t="s">
        <v>1130</v>
      </c>
      <c r="I242" s="151">
        <f>IF(SUM(P242:AW242)=0,"-",SUM(P242:AW242))</f>
        <v>1</v>
      </c>
      <c r="J242" s="62">
        <f>IF(SUMPRODUCT('Sony France - CM'!$Q$3:$AX$3,P242:AW242)=0,"-",SUMPRODUCT('Sony France - CM'!$Q$3:$AX$3,P242:AW242))</f>
        <v>135</v>
      </c>
      <c r="K242" s="101" t="s">
        <v>1131</v>
      </c>
      <c r="L242" s="194" t="s">
        <v>1023</v>
      </c>
      <c r="M242" s="194"/>
      <c r="N242" s="194"/>
      <c r="O242" s="195"/>
      <c r="W242" s="7">
        <v>1</v>
      </c>
    </row>
    <row r="243" spans="1:39">
      <c r="A243" s="5" t="s">
        <v>244</v>
      </c>
      <c r="B243" s="5" t="s">
        <v>221</v>
      </c>
      <c r="C243" s="117">
        <v>45301</v>
      </c>
      <c r="D243" s="55" t="s">
        <v>1132</v>
      </c>
      <c r="E243" s="5" t="s">
        <v>36</v>
      </c>
      <c r="F243" s="29" t="s">
        <v>223</v>
      </c>
      <c r="G243" s="8" t="s">
        <v>69</v>
      </c>
      <c r="H243" s="78" t="s">
        <v>1133</v>
      </c>
      <c r="I243" s="151">
        <f t="shared" si="21"/>
        <v>2</v>
      </c>
      <c r="J243" s="62">
        <f>IF(SUMPRODUCT('Sony France - CM'!$Q$3:$AX$3,P243:AW243)=0,"-",SUMPRODUCT('Sony France - CM'!$Q$3:$AX$3,P243:AW243))</f>
        <v>155</v>
      </c>
      <c r="K243" s="101" t="s">
        <v>1134</v>
      </c>
      <c r="L243" s="194" t="s">
        <v>1048</v>
      </c>
      <c r="M243" s="194"/>
      <c r="N243" s="194"/>
      <c r="O243" s="195"/>
      <c r="P243" s="7">
        <v>1</v>
      </c>
      <c r="Q243" s="8">
        <v>1</v>
      </c>
    </row>
    <row r="244" spans="1:39">
      <c r="A244" s="5" t="s">
        <v>244</v>
      </c>
      <c r="B244" s="5" t="s">
        <v>221</v>
      </c>
      <c r="C244" s="117">
        <v>45301</v>
      </c>
      <c r="D244" s="55" t="s">
        <v>1135</v>
      </c>
      <c r="E244" s="5" t="s">
        <v>27</v>
      </c>
      <c r="F244" s="29" t="s">
        <v>223</v>
      </c>
      <c r="G244" s="8" t="s">
        <v>926</v>
      </c>
      <c r="H244" s="78" t="s">
        <v>1136</v>
      </c>
      <c r="I244" s="151">
        <f t="shared" si="21"/>
        <v>1</v>
      </c>
      <c r="J244" s="62">
        <f>IF(SUMPRODUCT('Sony France - CM'!$Q$3:$AX$3,P244:AW244)=0,"-",SUMPRODUCT('Sony France - CM'!$Q$3:$AX$3,P244:AW244))</f>
        <v>80</v>
      </c>
      <c r="K244" s="101" t="s">
        <v>1137</v>
      </c>
      <c r="L244" s="8" t="s">
        <v>481</v>
      </c>
      <c r="AM244" s="7">
        <v>1</v>
      </c>
    </row>
    <row r="245" spans="1:39">
      <c r="A245" s="5" t="s">
        <v>244</v>
      </c>
      <c r="B245" s="5" t="s">
        <v>221</v>
      </c>
      <c r="C245" s="117">
        <v>45301</v>
      </c>
      <c r="D245" s="55" t="s">
        <v>1138</v>
      </c>
      <c r="E245" s="5" t="s">
        <v>36</v>
      </c>
      <c r="F245" s="29" t="s">
        <v>223</v>
      </c>
      <c r="G245" s="8" t="s">
        <v>69</v>
      </c>
      <c r="H245" s="78" t="s">
        <v>1139</v>
      </c>
      <c r="I245" s="151">
        <f t="shared" si="21"/>
        <v>2</v>
      </c>
      <c r="J245" s="62">
        <f>IF(SUMPRODUCT('Sony France - CM'!$Q$3:$AX$3,P245:AW245)=0,"-",SUMPRODUCT('Sony France - CM'!$Q$3:$AX$3,P245:AW245))</f>
        <v>500</v>
      </c>
      <c r="K245" s="101" t="s">
        <v>1140</v>
      </c>
      <c r="L245" s="194" t="s">
        <v>1141</v>
      </c>
      <c r="M245" s="194"/>
      <c r="N245" s="194"/>
      <c r="O245" s="195"/>
      <c r="Z245" s="8">
        <v>2</v>
      </c>
    </row>
    <row r="246" spans="1:39">
      <c r="A246" s="5" t="s">
        <v>244</v>
      </c>
      <c r="B246" s="5" t="s">
        <v>221</v>
      </c>
      <c r="C246" s="117">
        <v>45302</v>
      </c>
      <c r="D246" s="55" t="s">
        <v>1142</v>
      </c>
      <c r="E246" s="5" t="s">
        <v>27</v>
      </c>
      <c r="F246" s="29" t="s">
        <v>223</v>
      </c>
      <c r="G246" s="8" t="s">
        <v>130</v>
      </c>
      <c r="H246" s="78" t="s">
        <v>1143</v>
      </c>
      <c r="I246" s="151">
        <f t="shared" si="21"/>
        <v>7</v>
      </c>
      <c r="J246" s="62">
        <f>IF(SUMPRODUCT('Sony France - CM'!$Q$3:$AX$3,P246:AW246)=0,"-",SUMPRODUCT('Sony France - CM'!$Q$3:$AX$3,P246:AW246))</f>
        <v>245</v>
      </c>
      <c r="K246" s="101" t="s">
        <v>1144</v>
      </c>
      <c r="L246" s="8" t="s">
        <v>481</v>
      </c>
      <c r="Q246" s="8">
        <v>7</v>
      </c>
    </row>
    <row r="247" spans="1:39">
      <c r="A247" s="5" t="s">
        <v>244</v>
      </c>
      <c r="B247" s="5" t="s">
        <v>221</v>
      </c>
      <c r="C247" s="117">
        <v>45302</v>
      </c>
      <c r="D247" s="55" t="s">
        <v>88</v>
      </c>
      <c r="E247" s="5" t="s">
        <v>31</v>
      </c>
      <c r="F247" s="29" t="s">
        <v>223</v>
      </c>
      <c r="G247" s="8" t="s">
        <v>69</v>
      </c>
      <c r="H247" s="53" t="s">
        <v>481</v>
      </c>
      <c r="I247" s="151">
        <f t="shared" si="21"/>
        <v>1</v>
      </c>
      <c r="J247" s="62">
        <f>IF(SUMPRODUCT('Sony France - CM'!$Q$3:$AX$3,P247:AW247)=0,"-",SUMPRODUCT('Sony France - CM'!$Q$3:$AX$3,P247:AW247))</f>
        <v>600</v>
      </c>
      <c r="K247" s="101" t="s">
        <v>1145</v>
      </c>
      <c r="L247" s="183" t="s">
        <v>481</v>
      </c>
      <c r="M247" s="183"/>
      <c r="N247" s="183"/>
      <c r="O247" s="184"/>
      <c r="AH247" s="8">
        <v>1</v>
      </c>
    </row>
    <row r="248" spans="1:39">
      <c r="A248" s="5" t="s">
        <v>244</v>
      </c>
      <c r="B248" s="5" t="s">
        <v>221</v>
      </c>
      <c r="C248" s="117">
        <v>45309</v>
      </c>
      <c r="D248" s="181" t="s">
        <v>1146</v>
      </c>
      <c r="E248" s="5" t="s">
        <v>27</v>
      </c>
      <c r="F248" s="29" t="s">
        <v>223</v>
      </c>
      <c r="G248" s="8" t="s">
        <v>926</v>
      </c>
      <c r="H248" s="78" t="s">
        <v>1147</v>
      </c>
      <c r="I248" s="151">
        <f t="shared" si="21"/>
        <v>1</v>
      </c>
      <c r="J248" s="62">
        <f>IF(SUMPRODUCT('Sony France - CM'!$Q$3:$AX$3,P248:AW248)=0,"-",SUMPRODUCT('Sony France - CM'!$Q$3:$AX$3,P248:AW248))</f>
        <v>35</v>
      </c>
      <c r="K248" s="101" t="s">
        <v>1148</v>
      </c>
      <c r="L248" s="8" t="s">
        <v>481</v>
      </c>
      <c r="Q248" s="8">
        <v>1</v>
      </c>
    </row>
    <row r="249" spans="1:39">
      <c r="A249" s="5" t="s">
        <v>244</v>
      </c>
      <c r="B249" s="5" t="s">
        <v>221</v>
      </c>
      <c r="C249" s="117">
        <v>45310</v>
      </c>
      <c r="D249" s="55" t="s">
        <v>1149</v>
      </c>
      <c r="E249" s="5" t="s">
        <v>31</v>
      </c>
      <c r="F249" s="29" t="s">
        <v>223</v>
      </c>
      <c r="G249" s="8" t="s">
        <v>69</v>
      </c>
      <c r="H249" s="78" t="s">
        <v>1150</v>
      </c>
      <c r="I249" s="151">
        <f t="shared" si="21"/>
        <v>1</v>
      </c>
      <c r="J249" s="62">
        <f>IF(SUMPRODUCT('Sony France - CM'!$Q$3:$AX$3,P249:AW249)=0,"-",SUMPRODUCT('Sony France - CM'!$Q$3:$AX$3,P249:AW249))</f>
        <v>40</v>
      </c>
      <c r="K249" s="101" t="s">
        <v>1151</v>
      </c>
      <c r="L249" s="183" t="s">
        <v>481</v>
      </c>
      <c r="M249" s="183"/>
      <c r="N249" s="183"/>
      <c r="O249" s="184"/>
      <c r="X249" s="8">
        <v>1</v>
      </c>
    </row>
    <row r="250" spans="1:39">
      <c r="A250" s="5" t="s">
        <v>244</v>
      </c>
      <c r="B250" s="5" t="s">
        <v>221</v>
      </c>
      <c r="C250" s="117">
        <v>45313</v>
      </c>
      <c r="D250" s="55" t="s">
        <v>1152</v>
      </c>
      <c r="E250" s="5" t="s">
        <v>27</v>
      </c>
      <c r="F250" s="29" t="s">
        <v>223</v>
      </c>
      <c r="G250" s="8" t="s">
        <v>127</v>
      </c>
      <c r="H250" s="78" t="s">
        <v>1153</v>
      </c>
      <c r="I250" s="151">
        <f t="shared" si="21"/>
        <v>3</v>
      </c>
      <c r="J250" s="62">
        <f>IF(SUMPRODUCT('Sony France - CM'!$Q$3:$AX$3,P250:AW250)=0,"-",SUMPRODUCT('Sony France - CM'!$Q$3:$AX$3,P250:AW250))</f>
        <v>405</v>
      </c>
      <c r="K250" s="101" t="s">
        <v>1154</v>
      </c>
      <c r="L250" s="8" t="s">
        <v>481</v>
      </c>
      <c r="W250" s="7">
        <v>3</v>
      </c>
    </row>
    <row r="251" spans="1:39">
      <c r="A251" s="5" t="s">
        <v>244</v>
      </c>
      <c r="B251" s="5" t="s">
        <v>221</v>
      </c>
      <c r="C251" s="117">
        <v>45314</v>
      </c>
      <c r="D251" s="55" t="s">
        <v>1155</v>
      </c>
      <c r="E251" s="5" t="s">
        <v>36</v>
      </c>
      <c r="F251" s="29" t="s">
        <v>223</v>
      </c>
      <c r="G251" s="8" t="s">
        <v>69</v>
      </c>
      <c r="H251" s="78" t="s">
        <v>1156</v>
      </c>
      <c r="I251" s="151">
        <f t="shared" si="21"/>
        <v>3</v>
      </c>
      <c r="J251" s="62">
        <f>IF(SUMPRODUCT('Sony France - CM'!$Q$3:$AX$3,P251:AW251)=0,"-",SUMPRODUCT('Sony France - CM'!$Q$3:$AX$3,P251:AW251))</f>
        <v>215</v>
      </c>
      <c r="K251" s="101" t="s">
        <v>1157</v>
      </c>
      <c r="L251" s="194" t="s">
        <v>1158</v>
      </c>
      <c r="M251" s="194"/>
      <c r="N251" s="194"/>
      <c r="O251" s="195"/>
      <c r="W251" s="7">
        <v>1</v>
      </c>
      <c r="X251" s="8">
        <v>2</v>
      </c>
    </row>
    <row r="252" spans="1:39">
      <c r="A252" s="5" t="s">
        <v>244</v>
      </c>
      <c r="B252" s="5" t="s">
        <v>221</v>
      </c>
      <c r="C252" s="117">
        <v>45315</v>
      </c>
      <c r="D252" s="106" t="s">
        <v>1159</v>
      </c>
      <c r="E252" s="5" t="s">
        <v>27</v>
      </c>
      <c r="F252" s="29" t="s">
        <v>223</v>
      </c>
      <c r="G252" s="8" t="s">
        <v>926</v>
      </c>
      <c r="H252" s="78" t="s">
        <v>1160</v>
      </c>
      <c r="I252" s="151">
        <f t="shared" si="21"/>
        <v>1</v>
      </c>
      <c r="J252" s="62">
        <f>IF(SUMPRODUCT('Sony France - CM'!$Q$3:$AX$3,P252:AW252)=0,"-",SUMPRODUCT('Sony France - CM'!$Q$3:$AX$3,P252:AW252))</f>
        <v>120</v>
      </c>
      <c r="K252" s="101" t="s">
        <v>1161</v>
      </c>
      <c r="L252" s="8" t="s">
        <v>481</v>
      </c>
      <c r="P252" s="7">
        <v>1</v>
      </c>
    </row>
    <row r="253" spans="1:39">
      <c r="A253" s="5" t="s">
        <v>244</v>
      </c>
      <c r="B253" s="5" t="s">
        <v>221</v>
      </c>
      <c r="C253" s="117">
        <v>45317</v>
      </c>
      <c r="D253" s="55" t="s">
        <v>1162</v>
      </c>
      <c r="E253" s="5" t="s">
        <v>36</v>
      </c>
      <c r="F253" s="29" t="s">
        <v>223</v>
      </c>
      <c r="G253" s="8" t="s">
        <v>69</v>
      </c>
      <c r="H253" s="78" t="s">
        <v>1163</v>
      </c>
      <c r="I253" s="151">
        <f t="shared" si="21"/>
        <v>8</v>
      </c>
      <c r="J253" s="62">
        <f>IF(SUMPRODUCT('Sony France - CM'!$Q$3:$AX$3,P253:AW253)=0,"-",SUMPRODUCT('Sony France - CM'!$Q$3:$AX$3,P253:AW253))</f>
        <v>375</v>
      </c>
      <c r="K253" s="101" t="s">
        <v>1164</v>
      </c>
      <c r="L253" s="194">
        <v>4200636098</v>
      </c>
      <c r="M253" s="194"/>
      <c r="N253" s="194"/>
      <c r="O253" s="195"/>
      <c r="P253" s="7">
        <v>1</v>
      </c>
      <c r="Q253" s="8">
        <v>5</v>
      </c>
      <c r="X253" s="8">
        <v>2</v>
      </c>
    </row>
    <row r="254" spans="1:39">
      <c r="A254" s="5" t="s">
        <v>244</v>
      </c>
      <c r="B254" s="5" t="s">
        <v>221</v>
      </c>
      <c r="C254" s="117">
        <v>45320</v>
      </c>
      <c r="D254" s="55" t="s">
        <v>1165</v>
      </c>
      <c r="E254" s="5" t="s">
        <v>36</v>
      </c>
      <c r="F254" s="29" t="s">
        <v>223</v>
      </c>
      <c r="G254" s="8" t="s">
        <v>69</v>
      </c>
      <c r="H254" s="78" t="s">
        <v>1166</v>
      </c>
      <c r="I254" s="151">
        <f t="shared" si="21"/>
        <v>6</v>
      </c>
      <c r="J254" s="62">
        <f>IF(SUMPRODUCT('Sony France - CM'!$Q$3:$AX$3,P254:AW254)=0,"-",SUMPRODUCT('Sony France - CM'!$Q$3:$AX$3,P254:AW254))</f>
        <v>210</v>
      </c>
      <c r="K254" s="101" t="s">
        <v>1167</v>
      </c>
      <c r="L254" s="194" t="s">
        <v>1168</v>
      </c>
      <c r="M254" s="194"/>
      <c r="N254" s="194"/>
      <c r="O254" s="195"/>
      <c r="Q254" s="8">
        <v>6</v>
      </c>
    </row>
    <row r="255" spans="1:39">
      <c r="A255" s="5" t="s">
        <v>244</v>
      </c>
      <c r="B255" s="5" t="s">
        <v>221</v>
      </c>
      <c r="C255" s="117">
        <v>45320</v>
      </c>
      <c r="D255" s="55" t="s">
        <v>1169</v>
      </c>
      <c r="E255" s="5" t="s">
        <v>35</v>
      </c>
      <c r="F255" s="29" t="s">
        <v>223</v>
      </c>
      <c r="G255" s="8" t="s">
        <v>438</v>
      </c>
      <c r="H255" s="78" t="s">
        <v>1170</v>
      </c>
      <c r="I255" s="151">
        <f t="shared" si="21"/>
        <v>2</v>
      </c>
      <c r="J255" s="62">
        <f>IF(SUMPRODUCT('Sony France - CM'!$Q$3:$AX$3,P255:AW255)=0,"-",SUMPRODUCT('Sony France - CM'!$Q$3:$AX$3,P255:AW255))</f>
        <v>70</v>
      </c>
      <c r="K255" s="101" t="s">
        <v>1171</v>
      </c>
      <c r="L255" s="8" t="s">
        <v>481</v>
      </c>
      <c r="Q255" s="8">
        <v>2</v>
      </c>
    </row>
    <row r="256" spans="1:39">
      <c r="A256" s="5" t="s">
        <v>244</v>
      </c>
      <c r="B256" s="5" t="s">
        <v>221</v>
      </c>
      <c r="C256" s="117">
        <v>45321</v>
      </c>
      <c r="D256" s="55" t="s">
        <v>1172</v>
      </c>
      <c r="E256" s="5" t="s">
        <v>36</v>
      </c>
      <c r="F256" s="8" t="s">
        <v>433</v>
      </c>
      <c r="G256" s="8" t="s">
        <v>69</v>
      </c>
      <c r="H256" s="78" t="s">
        <v>1173</v>
      </c>
      <c r="I256" s="151">
        <f t="shared" si="21"/>
        <v>11</v>
      </c>
      <c r="J256" s="62">
        <f>IF(SUMPRODUCT('Sony France - CM'!$Q$3:$AX$3,P256:AW256)=0,"-",SUMPRODUCT('Sony France - CM'!$Q$3:$AX$3,P256:AW256))</f>
        <v>470</v>
      </c>
      <c r="L256" s="194" t="s">
        <v>1168</v>
      </c>
      <c r="M256" s="194"/>
      <c r="N256" s="194"/>
      <c r="O256" s="195"/>
      <c r="P256" s="7">
        <v>1</v>
      </c>
      <c r="Q256" s="8">
        <v>10</v>
      </c>
    </row>
    <row r="257" spans="1:25">
      <c r="A257" s="5" t="s">
        <v>244</v>
      </c>
      <c r="B257" s="5" t="s">
        <v>221</v>
      </c>
      <c r="C257" s="117">
        <v>45326</v>
      </c>
      <c r="D257" s="55" t="s">
        <v>1174</v>
      </c>
      <c r="E257" s="5" t="s">
        <v>38</v>
      </c>
      <c r="F257" s="29" t="s">
        <v>223</v>
      </c>
      <c r="G257" s="8" t="s">
        <v>67</v>
      </c>
      <c r="I257" s="151">
        <f t="shared" ref="I257" si="22">IF(SUM(P257:AW257)=0,"-",SUM(P257:AW257))</f>
        <v>1</v>
      </c>
      <c r="J257" s="62">
        <v>150</v>
      </c>
      <c r="K257" s="101" t="s">
        <v>1175</v>
      </c>
      <c r="L257" s="8" t="s">
        <v>481</v>
      </c>
      <c r="Y257" s="8">
        <v>1</v>
      </c>
    </row>
    <row r="258" spans="1:25">
      <c r="A258" s="5" t="s">
        <v>244</v>
      </c>
      <c r="B258" s="5" t="s">
        <v>221</v>
      </c>
      <c r="C258" s="117">
        <v>45326</v>
      </c>
      <c r="D258" s="55" t="s">
        <v>1176</v>
      </c>
      <c r="E258" s="5" t="s">
        <v>36</v>
      </c>
      <c r="F258" s="8" t="s">
        <v>433</v>
      </c>
      <c r="G258" s="8" t="s">
        <v>69</v>
      </c>
      <c r="I258" s="151">
        <f>IF(SUM(P258:AW258)=0,"-",SUM(P258:AW258))</f>
        <v>8</v>
      </c>
      <c r="J258" s="52">
        <f>IF(SUMPRODUCT('Sony France - CM'!$Q$3:$AX$3,P258:AW258)=0,"-",SUMPRODUCT('Sony France - CM'!$Q$3:$AX$3,P258:AW258))</f>
        <v>415</v>
      </c>
      <c r="L258" s="194" t="s">
        <v>1158</v>
      </c>
      <c r="M258" s="194"/>
      <c r="N258" s="194"/>
      <c r="O258" s="195"/>
      <c r="W258" s="7">
        <v>1</v>
      </c>
      <c r="X258" s="8">
        <v>7</v>
      </c>
    </row>
    <row r="259" spans="1:25">
      <c r="A259" s="5" t="s">
        <v>244</v>
      </c>
      <c r="B259" s="5" t="s">
        <v>221</v>
      </c>
      <c r="C259" s="117">
        <v>45330</v>
      </c>
      <c r="D259" s="55" t="s">
        <v>1177</v>
      </c>
      <c r="E259" s="5" t="s">
        <v>36</v>
      </c>
      <c r="F259" s="29" t="s">
        <v>223</v>
      </c>
      <c r="G259" s="8" t="s">
        <v>69</v>
      </c>
      <c r="H259" s="78" t="s">
        <v>1178</v>
      </c>
      <c r="I259" s="151">
        <f>IF(SUM(P259:AW259)=0,"-",SUM(P259:AW259))</f>
        <v>1</v>
      </c>
      <c r="J259" s="52">
        <f>IF(SUMPRODUCT('Sony France - CM'!$Q$3:$AX$3,P259:AW259)=0,"-",SUMPRODUCT('Sony France - CM'!$Q$3:$AX$3,P259:AW259))</f>
        <v>120</v>
      </c>
      <c r="P259" s="7">
        <v>1</v>
      </c>
    </row>
    <row r="260" spans="1:25">
      <c r="D260" s="55"/>
      <c r="H260" s="78"/>
      <c r="I260" s="151"/>
      <c r="J260" s="52"/>
    </row>
  </sheetData>
  <autoFilter ref="A3:AV259" xr:uid="{EF6D707C-BDD5-416B-AAF3-2924671B11B3}"/>
  <mergeCells count="8">
    <mergeCell ref="AM1:AR1"/>
    <mergeCell ref="AS1:AT1"/>
    <mergeCell ref="AU1:AV1"/>
    <mergeCell ref="A2:D2"/>
    <mergeCell ref="P1:V1"/>
    <mergeCell ref="W1:AE1"/>
    <mergeCell ref="AG1:AL1"/>
    <mergeCell ref="M2:O2"/>
  </mergeCells>
  <hyperlinks>
    <hyperlink ref="H4" r:id="rId1" xr:uid="{6DB9DFE8-0670-4F48-95AF-2B1361986831}"/>
    <hyperlink ref="H8" r:id="rId2" xr:uid="{522B361D-F0D4-4C14-A1E2-8C46B6842088}"/>
    <hyperlink ref="H9" r:id="rId3" xr:uid="{74CAD98D-4A0B-475A-BE8A-C7C0BCBFE220}"/>
    <hyperlink ref="H5" r:id="rId4" xr:uid="{60C8FADF-D726-4D77-B3F3-7C499596DEDB}"/>
    <hyperlink ref="H7" r:id="rId5" xr:uid="{27A7E9AB-DD5B-47DB-8FB9-7F59897DBFCF}"/>
    <hyperlink ref="H6" r:id="rId6" xr:uid="{F78CCF8E-82FA-467D-8F40-F034C9EFB53E}"/>
    <hyperlink ref="H10" r:id="rId7" xr:uid="{545BB3C5-C0A2-42DA-BD6E-C1705658BD09}"/>
    <hyperlink ref="H11" r:id="rId8" xr:uid="{CC53EE69-A50E-466E-9358-D59F270DD701}"/>
    <hyperlink ref="H12" r:id="rId9" xr:uid="{6BEE3DF9-DB4A-41E1-85A2-98243E7E18E7}"/>
    <hyperlink ref="H13" r:id="rId10" xr:uid="{75640EFB-69FE-4B27-B9C1-C13385214AE9}"/>
    <hyperlink ref="H15" r:id="rId11" xr:uid="{E6532732-77AC-4649-8774-4AFC7AE8F96D}"/>
    <hyperlink ref="H14" r:id="rId12" xr:uid="{AC1ACE67-EEFC-4E30-BF7D-8A1055462271}"/>
    <hyperlink ref="H20" r:id="rId13" xr:uid="{C978D75D-1555-4005-82AF-B9955834C562}"/>
    <hyperlink ref="H17" r:id="rId14" xr:uid="{DE119049-5136-4392-8994-86540DBFDDC4}"/>
    <hyperlink ref="H18" r:id="rId15" xr:uid="{88BF7D54-7D48-4C06-ABA9-2A2BF3BB5E4E}"/>
    <hyperlink ref="H19" r:id="rId16" xr:uid="{E6B74600-43D6-4B28-95D9-9FC3D111447A}"/>
    <hyperlink ref="H21" r:id="rId17" xr:uid="{084550AC-2091-45A7-B31E-3575A2BDF8AF}"/>
    <hyperlink ref="H22" r:id="rId18" xr:uid="{350D88BE-0862-44B4-AEBD-09CAD67BF8E7}"/>
    <hyperlink ref="H23" r:id="rId19" xr:uid="{96C25222-98FE-4725-9C42-6EF1ED93AE46}"/>
    <hyperlink ref="H24" r:id="rId20" xr:uid="{0301A1AE-B373-496D-AC3A-65B9D5501407}"/>
    <hyperlink ref="H25" r:id="rId21" xr:uid="{F16676B4-70F4-470A-B05B-A5BF9C91BF12}"/>
    <hyperlink ref="H26" r:id="rId22" xr:uid="{7156EFB3-F13C-4B05-AE18-11E6457D05FC}"/>
    <hyperlink ref="H27" r:id="rId23" xr:uid="{062840E8-DCF0-4E19-8A08-6F26CF521BA1}"/>
    <hyperlink ref="H28" r:id="rId24" xr:uid="{B268433B-3699-4480-9754-89D5DA914A56}"/>
    <hyperlink ref="H29" r:id="rId25" xr:uid="{322D28D6-6F4E-4844-80F9-9679AC4C643A}"/>
    <hyperlink ref="H30" r:id="rId26" xr:uid="{6144EF72-595D-45B7-A087-893DCCAAC34A}"/>
    <hyperlink ref="H31" r:id="rId27" xr:uid="{1AB3C6C8-B97F-4857-A32D-360223E00485}"/>
    <hyperlink ref="H32" r:id="rId28" xr:uid="{67A2076A-F7F0-45BE-9DB5-6C067CD6C30D}"/>
    <hyperlink ref="H35" r:id="rId29" xr:uid="{8ECAF32B-C0F5-448E-9872-089F405F808F}"/>
    <hyperlink ref="H36" r:id="rId30" xr:uid="{AD078D82-99AC-4EB1-87BE-CA657B6717A0}"/>
    <hyperlink ref="H38" r:id="rId31" xr:uid="{B983A444-29D8-4FC8-80DA-66B4CF2C96C7}"/>
    <hyperlink ref="H41" r:id="rId32" xr:uid="{034D2D9F-817E-4DAD-BCEE-90FBEF7868FF}"/>
    <hyperlink ref="H39" r:id="rId33" xr:uid="{5A8FE7D9-7BF1-47C0-BB09-5624C050F271}"/>
    <hyperlink ref="H42" r:id="rId34" xr:uid="{6A8FE4A8-CE46-4742-8FD1-814889189773}"/>
    <hyperlink ref="H64" r:id="rId35" xr:uid="{A1B8F512-2538-46D0-9376-0EBE4A83E8EE}"/>
    <hyperlink ref="H40" r:id="rId36" xr:uid="{1103118B-7493-48B9-B48E-FC162FD504A9}"/>
    <hyperlink ref="H37" r:id="rId37" xr:uid="{FFA711F6-3E3B-4202-BE02-E8971CD6B7D6}"/>
    <hyperlink ref="H43" r:id="rId38" xr:uid="{6A733A5B-77C9-4485-A212-2F4521F4F0A7}"/>
    <hyperlink ref="H44" r:id="rId39" xr:uid="{CBF3441B-134B-4D0F-8B9D-6A922D7CDEFD}"/>
    <hyperlink ref="H45" r:id="rId40" xr:uid="{10208721-F773-471D-B507-021EEE57498E}"/>
    <hyperlink ref="H65" r:id="rId41" xr:uid="{BCF48DEA-B39D-46D5-BC11-187A98AA6379}"/>
    <hyperlink ref="H47" r:id="rId42" xr:uid="{5F9C6CD0-6A01-4FDC-B249-0228E3DAF1E9}"/>
    <hyperlink ref="H46" r:id="rId43" xr:uid="{ED6A31A6-B7F7-416F-BAB0-0DA18C36380F}"/>
    <hyperlink ref="H48" r:id="rId44" xr:uid="{8669F7DF-32CB-4F8B-AB61-2358398D811E}"/>
    <hyperlink ref="H50" r:id="rId45" xr:uid="{B06ED9C4-3600-4F5D-8050-9A43E991071B}"/>
    <hyperlink ref="H52" r:id="rId46" xr:uid="{F7894E65-B427-49AF-80D6-63E4075E09A6}"/>
    <hyperlink ref="H51" r:id="rId47" xr:uid="{9821A9A6-CFB2-4723-A83F-21D84A33E69C}"/>
    <hyperlink ref="H53" r:id="rId48" xr:uid="{A1CFC97D-D83A-4112-AEA4-FCC7CDA71068}"/>
    <hyperlink ref="H66" r:id="rId49" xr:uid="{A7711A45-7716-4B2D-850A-066C02DE3BFF}"/>
    <hyperlink ref="H67" r:id="rId50" xr:uid="{93168E23-FA16-4672-BE86-2E046B4596B9}"/>
    <hyperlink ref="H55" r:id="rId51" xr:uid="{99A70BE1-55DE-4377-B19F-EEDBB6CC49BB}"/>
    <hyperlink ref="H68" r:id="rId52" xr:uid="{EDF75595-6B76-4448-90E1-AB7B47D62374}"/>
    <hyperlink ref="H54" r:id="rId53" xr:uid="{A400E2D0-576F-4AB3-BE03-8C2EDAD54A3E}"/>
    <hyperlink ref="H69" r:id="rId54" xr:uid="{C520CD62-BA12-417F-B4BF-E0388E5EEF87}"/>
    <hyperlink ref="H56" r:id="rId55" xr:uid="{64B02C43-6E54-4FFF-A205-4555CA2ACD59}"/>
    <hyperlink ref="H70" r:id="rId56" xr:uid="{FC5AA525-868D-4222-8AF8-975BAC5299C5}"/>
    <hyperlink ref="H58" r:id="rId57" xr:uid="{37295683-F3C2-4806-8A99-03E116F1F4F3}"/>
    <hyperlink ref="H57" r:id="rId58" xr:uid="{D19BA8AF-C5D6-4FFF-81F2-815956920C9D}"/>
    <hyperlink ref="H71" r:id="rId59" xr:uid="{60DB47FA-D038-4007-BE4E-0A7B04638D07}"/>
    <hyperlink ref="H72" r:id="rId60" xr:uid="{04EF03BE-A054-404A-B47E-294932A55CC4}"/>
    <hyperlink ref="H81" r:id="rId61" xr:uid="{AFBB2F03-E3B5-4FAF-B53F-A034F931270B}"/>
    <hyperlink ref="H79" r:id="rId62" xr:uid="{3AF49567-2C4D-45BD-ABF5-2DA307CB00C4}"/>
    <hyperlink ref="H82" r:id="rId63" xr:uid="{CCFED029-79E0-4416-92AD-44699C8D7491}"/>
    <hyperlink ref="H83" r:id="rId64" xr:uid="{FE2E2930-141C-4C0C-85E0-19E81F56E2CE}"/>
    <hyperlink ref="H85" r:id="rId65" xr:uid="{0A4CD171-6EAE-486B-9698-CC918056A566}"/>
    <hyperlink ref="H80" r:id="rId66" xr:uid="{F61330BB-EBF9-4F17-B613-BAF07DB643B2}"/>
    <hyperlink ref="H86" r:id="rId67" xr:uid="{D300E863-6AEF-4491-B3C8-2A8C59A29BA2}"/>
    <hyperlink ref="H88" r:id="rId68" xr:uid="{6C9A8A0B-9209-4188-B278-3D087A21DD42}"/>
    <hyperlink ref="H84" r:id="rId69" xr:uid="{4F608A60-8277-42F3-98A0-BF0A85994E5E}"/>
    <hyperlink ref="H87" r:id="rId70" xr:uid="{DE604811-B4FF-4169-AF14-B0A7735704AE}"/>
    <hyperlink ref="H89" r:id="rId71" xr:uid="{646580DC-EA9B-4A13-A51D-CB0E16A131EF}"/>
    <hyperlink ref="H90" r:id="rId72" xr:uid="{E5480417-20BF-4E73-AD6B-D3D08DDFDBA3}"/>
    <hyperlink ref="H91" r:id="rId73" xr:uid="{4BC6ECFA-4B45-4734-9575-85AAAD7A0A1D}"/>
    <hyperlink ref="H92" r:id="rId74" xr:uid="{8BEA00CF-3E5A-480B-BEDD-F6C433E4C498}"/>
    <hyperlink ref="H93" r:id="rId75" xr:uid="{8158C6AF-B37B-4DB9-8DA7-BC83DE018DE4}"/>
    <hyperlink ref="H94" r:id="rId76" xr:uid="{8B648566-0CD1-45EB-91AB-6F8F2BDB6A0C}"/>
    <hyperlink ref="H95" r:id="rId77" xr:uid="{85A1E3CD-DF99-40DF-9F0D-2C21CB87F7D8}"/>
    <hyperlink ref="H96" r:id="rId78" xr:uid="{26629A29-51D2-4578-BBF2-018897DBD87A}"/>
    <hyperlink ref="H97" r:id="rId79" xr:uid="{6F096BE5-B0FE-48F4-AC3D-6C095F2FE18B}"/>
    <hyperlink ref="H98" r:id="rId80" xr:uid="{96E17C42-8A46-4B55-989E-7956631FD05E}"/>
    <hyperlink ref="H99" r:id="rId81" xr:uid="{1F053821-7161-4BFA-99AE-AF5D8C4393CD}"/>
    <hyperlink ref="H100" r:id="rId82" xr:uid="{27513566-AEAC-4D23-BDFC-3AD1FE7C990E}"/>
    <hyperlink ref="H102" r:id="rId83" xr:uid="{63D4B1E6-2E23-44BB-8F33-C9F27A58A838}"/>
    <hyperlink ref="H103" r:id="rId84" xr:uid="{A9905DA0-CB02-4098-864B-34B5FAC6282A}"/>
    <hyperlink ref="H104" r:id="rId85" xr:uid="{DFEE1DF0-8D08-4844-A26E-4D92E8038EE8}"/>
    <hyperlink ref="H105" r:id="rId86" xr:uid="{29ABA12C-4E96-42DC-AC62-A253607BC0DF}"/>
    <hyperlink ref="H106" r:id="rId87" xr:uid="{77C02DD5-DB17-416E-A15B-72B769DD661C}"/>
    <hyperlink ref="H107" r:id="rId88" xr:uid="{122DF891-E3C2-4F61-B06B-43A996CFFD53}"/>
    <hyperlink ref="H108" r:id="rId89" xr:uid="{8B446B24-DF94-4E33-BBE3-EC7CE3064EF4}"/>
    <hyperlink ref="H109" r:id="rId90" xr:uid="{91E10FAE-F150-49D7-97A9-4A4AB5D50436}"/>
    <hyperlink ref="H110" r:id="rId91" xr:uid="{4A456E81-84FA-4CFF-8824-6E36E55C2161}"/>
    <hyperlink ref="H111" r:id="rId92" xr:uid="{6A4C1E39-50A2-4D38-8511-EBBE966C918C}"/>
    <hyperlink ref="H112" r:id="rId93" xr:uid="{E1F8CF35-FA3C-454A-948B-915226023A68}"/>
    <hyperlink ref="H113" r:id="rId94" xr:uid="{845DE2CC-C87C-4D42-B908-9943B7281657}"/>
    <hyperlink ref="H114" r:id="rId95" xr:uid="{25695F74-575B-4E58-9CE8-E66849463BF9}"/>
    <hyperlink ref="H115" r:id="rId96" xr:uid="{9CA913B2-8B36-4282-AE43-20B22E2F14A3}"/>
    <hyperlink ref="H116" r:id="rId97" xr:uid="{2F83B6AA-C6E3-4F78-B0A7-09C9E554AE01}"/>
    <hyperlink ref="H117" r:id="rId98" xr:uid="{1BC2BA95-23C7-4AF9-809C-593032E0F17C}"/>
    <hyperlink ref="H118" r:id="rId99" xr:uid="{17EB828A-E873-4DBA-9B38-B727F8A196FF}"/>
    <hyperlink ref="H119" r:id="rId100" xr:uid="{1E8E03DC-9BC9-4AFF-BE20-6361B0C4A6AC}"/>
    <hyperlink ref="H120" r:id="rId101" xr:uid="{4777664A-67E3-4D7B-90CE-2128848CCD02}"/>
    <hyperlink ref="H121" r:id="rId102" xr:uid="{CC01369D-F463-4450-9A21-E6DFE359AAFC}"/>
    <hyperlink ref="H124" r:id="rId103" xr:uid="{2D3979C9-086B-4948-9B3D-6B2EEB15E344}"/>
    <hyperlink ref="H129" r:id="rId104" xr:uid="{88900B20-AE6C-4700-BCED-4146046B853E}"/>
    <hyperlink ref="H125" r:id="rId105" xr:uid="{6A688A7A-D3AD-43E3-977B-106DBB4D3647}"/>
    <hyperlink ref="H126" r:id="rId106" xr:uid="{FCC8F393-EDF8-497F-8251-A15B07A7597B}"/>
    <hyperlink ref="H128" r:id="rId107" xr:uid="{A603E19D-46C9-4854-BFE6-07871D195549}"/>
    <hyperlink ref="H127" r:id="rId108" xr:uid="{2318B149-D231-4E68-AE75-96511ED9F8B8}"/>
    <hyperlink ref="H147" r:id="rId109" xr:uid="{7B8811EC-9AA1-4815-9AB2-7ABCD5534535}"/>
    <hyperlink ref="H130" r:id="rId110" xr:uid="{434EC9E1-E0A4-49C9-8D00-6FEEEB3625C1}"/>
    <hyperlink ref="H133" r:id="rId111" xr:uid="{5E5B5609-077E-44DD-9C9A-2AEAC61AE337}"/>
    <hyperlink ref="H134" r:id="rId112" xr:uid="{EF9BC82D-0AD7-4662-8F60-E3C15488C2E4}"/>
    <hyperlink ref="H135" r:id="rId113" xr:uid="{0E8AE289-EB89-4F37-9FB1-38E485B019E2}"/>
    <hyperlink ref="H136" r:id="rId114" xr:uid="{1D44F6B6-B116-4AC3-9D2E-9E5FEA32A6FF}"/>
    <hyperlink ref="H137" r:id="rId115" xr:uid="{5CC8A0CF-DF27-4D37-AE20-3914EFD4E2B3}"/>
    <hyperlink ref="K136" r:id="rId116" xr:uid="{750F535B-C83A-44F0-9586-9B4FA8A72FD2}"/>
    <hyperlink ref="K135" r:id="rId117" xr:uid="{639BCF08-829B-4CA1-9175-3608B3EC27DB}"/>
    <hyperlink ref="K127" r:id="rId118" xr:uid="{6E98DB55-0735-4EE4-B53E-C60679490A02}"/>
    <hyperlink ref="K128" r:id="rId119" xr:uid="{C4473F48-25BD-4737-9E15-B7FD2A0449F0}"/>
    <hyperlink ref="K133" r:id="rId120" xr:uid="{52508DFC-50AD-4B9B-9D88-8F1B39602B76}"/>
    <hyperlink ref="K131" r:id="rId121" xr:uid="{118F6E15-0421-43C3-AE34-A0384B16AD2E}"/>
    <hyperlink ref="K129" r:id="rId122" xr:uid="{DF87D6DF-269B-4C13-872B-B6D05424A7D4}"/>
    <hyperlink ref="K126" r:id="rId123" xr:uid="{6577C61D-76EF-45BE-A2EA-97BC06CBB728}"/>
    <hyperlink ref="K125" r:id="rId124" xr:uid="{B596C449-2D15-42A2-978B-1DA37CE6854E}"/>
    <hyperlink ref="K134" r:id="rId125" xr:uid="{A42B6A0E-AFAA-48B2-8E5D-0788658D6F8E}"/>
    <hyperlink ref="K137" r:id="rId126" xr:uid="{11ED48E9-A932-4C47-901B-76E303D1CC66}"/>
    <hyperlink ref="K118" r:id="rId127" xr:uid="{928F32E0-F20D-4A30-A7BF-6E30D9FC1BF3}"/>
    <hyperlink ref="K99" r:id="rId128" xr:uid="{E3A4158D-705A-41C0-BF8F-C92FDE04ED48}"/>
    <hyperlink ref="K102" r:id="rId129" xr:uid="{D17AD70D-747E-4B39-8CD9-D427E0989CD3}"/>
    <hyperlink ref="K104" r:id="rId130" xr:uid="{43F31ED0-6EE9-4D3B-8534-88F8BF6C0003}"/>
    <hyperlink ref="K132" r:id="rId131" xr:uid="{ACEA1550-9D33-4C2B-8D31-6BE61F7A033B}"/>
    <hyperlink ref="K117" r:id="rId132" xr:uid="{00E0FC29-5FFD-4C58-AB10-CF9B19879D97}"/>
    <hyperlink ref="K115" r:id="rId133" xr:uid="{C44F1F5C-CE15-435A-9540-F48BFF0A0547}"/>
    <hyperlink ref="K103" r:id="rId134" xr:uid="{8B54CF9C-4071-4040-BB85-28DED9B3E839}"/>
    <hyperlink ref="K95" r:id="rId135" xr:uid="{56C4A13D-306D-4E47-B70C-8D3D9B8AC478}"/>
    <hyperlink ref="K91" r:id="rId136" xr:uid="{8BBC5C41-82B2-45E8-8921-DD3CD9E099AF}"/>
    <hyperlink ref="K111" r:id="rId137" xr:uid="{51BFA6CB-B677-497A-A374-D48D2870C7B5}"/>
    <hyperlink ref="K110" r:id="rId138" xr:uid="{B72B8DF1-FED6-4382-ABDD-03D8C930CED5}"/>
    <hyperlink ref="H138" r:id="rId139" xr:uid="{229C8E97-8555-4D37-A119-D50FE29FE908}"/>
    <hyperlink ref="H139" r:id="rId140" xr:uid="{FD4DF388-3238-47BA-957F-14A63ABCF458}"/>
    <hyperlink ref="K138" r:id="rId141" xr:uid="{2A5240A6-C826-42A6-A2B7-A94517EFA5D5}"/>
    <hyperlink ref="H140" r:id="rId142" xr:uid="{6A701CFD-3F59-4AE7-94E3-685CBE45D413}"/>
    <hyperlink ref="H141" r:id="rId143" xr:uid="{6E2D4C8A-A7D2-4BDA-8C19-FBE0040832A2}"/>
    <hyperlink ref="K140" r:id="rId144" xr:uid="{02565FA2-E127-490D-8328-3E134739D69A}"/>
    <hyperlink ref="H142" r:id="rId145" xr:uid="{715DB07A-4101-4726-8358-2616E61B4142}"/>
    <hyperlink ref="H143" r:id="rId146" xr:uid="{7E3EAE1F-C98C-4343-9529-7F4F461CCF24}"/>
    <hyperlink ref="H145" r:id="rId147" xr:uid="{F7C96DF3-564F-4357-9AA6-3D7F6D389838}"/>
    <hyperlink ref="H144" r:id="rId148" xr:uid="{80956C00-110A-410F-B7D7-C77A2AAC597A}"/>
    <hyperlink ref="H146" r:id="rId149" xr:uid="{BF0EA240-2378-4CC5-AB07-19D9FCB271F2}"/>
    <hyperlink ref="K130" r:id="rId150" xr:uid="{7B73080F-B03A-4982-8B2E-1082B8B291DE}"/>
    <hyperlink ref="K139" r:id="rId151" xr:uid="{5E7D8BFD-15CE-4C92-B356-7A95C4B95B9E}"/>
    <hyperlink ref="K141" r:id="rId152" xr:uid="{CEA5418F-4BD9-42B8-958D-D5A5797E95FA}"/>
    <hyperlink ref="K143" r:id="rId153" xr:uid="{33684E54-C84D-49B7-A029-FFB7E6E2BDA6}"/>
    <hyperlink ref="K144" r:id="rId154" xr:uid="{8039670D-E075-461E-9A8F-A09CDA2D3ED0}"/>
    <hyperlink ref="K145" r:id="rId155" xr:uid="{049CFB1D-40CF-498F-BF48-38FBC362637B}"/>
    <hyperlink ref="K146" r:id="rId156" xr:uid="{2A8DD91C-ADED-46A9-9B98-F2E50ED891E6}"/>
    <hyperlink ref="K142" r:id="rId157" xr:uid="{15C1E088-3406-49DB-A8A9-80EBF79AAA92}"/>
    <hyperlink ref="H149" r:id="rId158" xr:uid="{88FE47B9-28FF-4131-A3DB-F0C60EA01D8E}"/>
    <hyperlink ref="H148" r:id="rId159" xr:uid="{C0759894-1084-41C6-84A7-6F9F7E9FDDB5}"/>
    <hyperlink ref="H151" r:id="rId160" xr:uid="{F157D907-E5CE-4D5A-A8AA-01A113A9FFAE}"/>
    <hyperlink ref="H152" r:id="rId161" xr:uid="{634DE3D1-FA45-4230-9A9B-532FF84A9016}"/>
    <hyperlink ref="H153" r:id="rId162" xr:uid="{5CA99613-3592-4272-8436-DF68945AA1F0}"/>
    <hyperlink ref="H154" r:id="rId163" xr:uid="{FDCAD0C2-5F18-43C6-8005-D9C3F2E3F94D}"/>
    <hyperlink ref="K148" r:id="rId164" xr:uid="{72526E7C-0B32-4F9A-AE35-BF50015EAC70}"/>
    <hyperlink ref="K154" r:id="rId165" xr:uid="{1FFEBF50-A934-4478-A24C-8D2F39382A10}"/>
    <hyperlink ref="K153" r:id="rId166" xr:uid="{2605EC39-5686-49BE-9CBE-F841745423F7}"/>
    <hyperlink ref="K151" r:id="rId167" xr:uid="{FE137B94-BDBA-4E1E-8861-B01F9881842B}"/>
    <hyperlink ref="K149" r:id="rId168" xr:uid="{98EAB1D0-AE6D-4272-A2D2-8BB3C8318687}"/>
    <hyperlink ref="K150" r:id="rId169" xr:uid="{57550A65-588B-485D-8E7D-02B56805DC1A}"/>
    <hyperlink ref="K147" r:id="rId170" xr:uid="{6C211AD6-5CDE-443B-8A64-7A61E30ACDF3}"/>
    <hyperlink ref="H157" r:id="rId171" xr:uid="{AB7610B0-B6F2-4FBD-B2AF-A608227FC7AF}"/>
    <hyperlink ref="H158" r:id="rId172" xr:uid="{9404A009-52DE-45FB-B474-0843A5690A26}"/>
    <hyperlink ref="H155" r:id="rId173" xr:uid="{672A8D37-039E-4DB0-9C99-B9839F2314C1}"/>
    <hyperlink ref="H159" r:id="rId174" xr:uid="{71B85947-8745-48A5-8550-1467609BBD4D}"/>
    <hyperlink ref="H156" r:id="rId175" xr:uid="{AD10E0A6-C0E1-4660-8325-A4D0BEE5D694}"/>
    <hyperlink ref="H160" r:id="rId176" xr:uid="{F758B92D-AFCC-4096-B760-D01116857692}"/>
    <hyperlink ref="H161" r:id="rId177" xr:uid="{8B127C72-7E88-453A-A4E7-856A1EA24F28}"/>
    <hyperlink ref="H163" r:id="rId178" xr:uid="{96EA414C-78C5-43D8-AE48-CE56814D9272}"/>
    <hyperlink ref="K155" r:id="rId179" xr:uid="{5C2E00E4-96FD-4011-888B-6CEE29C5B7BD}"/>
    <hyperlink ref="K160" r:id="rId180" xr:uid="{C1F259CA-1CDE-4A0F-B9C7-5EA38510FFCA}"/>
    <hyperlink ref="K163" r:id="rId181" xr:uid="{82D87E9A-629A-48D0-A09D-4F0A9D0585A3}"/>
    <hyperlink ref="K158" r:id="rId182" xr:uid="{B483DD4C-47F1-425B-81F9-C914C2F4E53E}"/>
    <hyperlink ref="K159" r:id="rId183" xr:uid="{66192C19-E916-441A-A642-6C16C30AA75C}"/>
    <hyperlink ref="K161" r:id="rId184" xr:uid="{CF561E0C-6201-4181-B74E-7F229CD130FB}"/>
    <hyperlink ref="K157" r:id="rId185" xr:uid="{4DC9BD44-004F-40F9-9E87-A367762F3445}"/>
    <hyperlink ref="K41" r:id="rId186" xr:uid="{41179EC7-A8A7-4E2E-A8E4-7D246EA0E1B0}"/>
    <hyperlink ref="K42" r:id="rId187" xr:uid="{3424341F-B941-4F2D-88F9-CB7BDC094BD7}"/>
    <hyperlink ref="H165" r:id="rId188" xr:uid="{1556B4B5-D5C8-4060-8212-B649B3F6C1C4}"/>
    <hyperlink ref="H162" r:id="rId189" xr:uid="{1B621B5B-2668-4140-A149-3976D94BF68E}"/>
    <hyperlink ref="H164" r:id="rId190" xr:uid="{A919A458-0ECF-407E-B265-76AC18CA9C30}"/>
    <hyperlink ref="H166" r:id="rId191" xr:uid="{ED0F6486-95E5-4DC9-B98E-D159DE511585}"/>
    <hyperlink ref="H167" r:id="rId192" xr:uid="{F82D0A1A-6687-43B1-9B45-571BCFE8AEE7}"/>
    <hyperlink ref="H168" r:id="rId193" xr:uid="{32D8AFE3-2788-456E-8FA3-B8AC4E7BC0F3}"/>
    <hyperlink ref="K164" r:id="rId194" xr:uid="{C87689F4-2633-4401-B1D9-D44796A7F87B}"/>
    <hyperlink ref="K166" r:id="rId195" xr:uid="{D2D58B84-F020-4E86-9C86-D66795571611}"/>
    <hyperlink ref="K168" r:id="rId196" xr:uid="{2151CDA3-3014-4C58-94B6-CCA7B496370C}"/>
    <hyperlink ref="K162" r:id="rId197" xr:uid="{C766DDF0-FD03-460F-8497-69079CE21D6A}"/>
    <hyperlink ref="K169" r:id="rId198" xr:uid="{4B630825-E536-4E70-A1E8-653AE9C36D72}"/>
    <hyperlink ref="K167" r:id="rId199" xr:uid="{C870C8BC-1FB4-4D23-8603-33C2AC84B9D4}"/>
    <hyperlink ref="K165" r:id="rId200" xr:uid="{7E184C86-51AD-46CD-A6EC-ED90E5E5C898}"/>
    <hyperlink ref="H171" r:id="rId201" xr:uid="{167E8A09-7F28-4EC1-BF57-6A34BB46791F}"/>
    <hyperlink ref="H170" r:id="rId202" xr:uid="{6D320ACD-BB61-43D7-938B-802F272EFFFC}"/>
    <hyperlink ref="K171" r:id="rId203" xr:uid="{6837B2FC-3CEF-4EF1-A93A-59C215B12D0D}"/>
    <hyperlink ref="K152" r:id="rId204" xr:uid="{4477EBE8-F063-4B78-A108-7132A65EA4A4}"/>
    <hyperlink ref="K156" r:id="rId205" xr:uid="{C9A5E023-C946-4C8A-BAAA-C27369AF478B}"/>
    <hyperlink ref="K173" r:id="rId206" xr:uid="{747D5E07-FE6D-4244-9C65-80B9368AA794}"/>
    <hyperlink ref="H174" r:id="rId207" xr:uid="{57A27453-30A9-49CF-8C4E-C0D3B936A45C}"/>
    <hyperlink ref="H172" r:id="rId208" xr:uid="{B3B99D2F-A9B4-431C-9D6F-34BB80ABA8A0}"/>
    <hyperlink ref="H176" r:id="rId209" xr:uid="{F12742DB-90ED-4C8E-B399-230C95894893}"/>
    <hyperlink ref="H180" r:id="rId210" xr:uid="{37F87D7F-EC8D-49CE-8153-E6A5AD4E504C}"/>
    <hyperlink ref="H181" r:id="rId211" xr:uid="{4FB97A93-398F-4AD9-80D0-82C5D23A0EAA}"/>
    <hyperlink ref="H182" r:id="rId212" xr:uid="{04E532D9-04D6-4218-8E22-278B089149E6}"/>
    <hyperlink ref="K174" r:id="rId213" xr:uid="{7DC99ABC-8C33-4A14-85CD-0AEE07329C77}"/>
    <hyperlink ref="K172" r:id="rId214" xr:uid="{2A7158C9-D03E-4F39-A72C-2C871805571B}"/>
    <hyperlink ref="K175" r:id="rId215" xr:uid="{F25FA537-2873-461F-88D3-B02DB968B21D}"/>
    <hyperlink ref="K170" r:id="rId216" xr:uid="{BD101CE8-B61D-4405-82D4-EB6AFA681E17}"/>
    <hyperlink ref="K176" r:id="rId217" xr:uid="{79FDD44F-FFFE-4B75-AC8E-C60F21F9362E}"/>
    <hyperlink ref="K177" r:id="rId218" xr:uid="{82B3F49F-4F18-47DB-B41C-24505DFBFDB9}"/>
    <hyperlink ref="K179" r:id="rId219" xr:uid="{B769D2F8-95DD-4733-ACE9-189D1E48D0B8}"/>
    <hyperlink ref="K180" r:id="rId220" xr:uid="{6790D343-C404-48D9-8E5E-5E2D8570CC98}"/>
    <hyperlink ref="K181" r:id="rId221" xr:uid="{A3CBF2A6-593A-4577-89D5-32CE3AAEA0D1}"/>
    <hyperlink ref="H184" r:id="rId222" xr:uid="{01A8A7C0-6EE5-44BE-BAFA-61319202E0CA}"/>
    <hyperlink ref="H185" r:id="rId223" xr:uid="{970F41D5-462D-4724-9573-09CCCF5CE133}"/>
    <hyperlink ref="H183" r:id="rId224" xr:uid="{11EB8701-0AEA-4EC8-8632-C380D75B73EB}"/>
    <hyperlink ref="K182" r:id="rId225" xr:uid="{1E4F9E0E-86C0-4AB6-98E2-5E352AE7999C}"/>
    <hyperlink ref="K184" r:id="rId226" xr:uid="{5889CA49-C76C-4B4C-81CD-C3C8642D1021}"/>
    <hyperlink ref="H175" r:id="rId227" xr:uid="{658169DA-EA30-40B0-8BAA-7F3CD69C15FB}"/>
    <hyperlink ref="H177" r:id="rId228" xr:uid="{E804ABE1-2112-4A4F-8A7B-64BF976D6139}"/>
    <hyperlink ref="H178" r:id="rId229" xr:uid="{F521B47D-04E3-4B21-B154-4748FC723835}"/>
    <hyperlink ref="H179" r:id="rId230" xr:uid="{55FE3872-9C49-472B-A75F-49BA872C14AC}"/>
    <hyperlink ref="H169" r:id="rId231" xr:uid="{49CF03DF-CA80-4656-85A6-DBB0D624ACCC}"/>
    <hyperlink ref="K178" r:id="rId232" xr:uid="{34B9527F-3BED-4DBD-8D5C-7F49AA8FA5F3}"/>
    <hyperlink ref="K185" r:id="rId233" xr:uid="{53C346FC-B1C1-4945-B98B-027FD3DD66EE}"/>
    <hyperlink ref="H192" r:id="rId234" xr:uid="{788822F1-4376-4721-BAD4-1A251EBCB11E}"/>
    <hyperlink ref="H194" r:id="rId235" xr:uid="{9876B64D-323A-4C5A-91F3-63EFDB6B90B6}"/>
    <hyperlink ref="H195" r:id="rId236" xr:uid="{39159E87-597D-43E2-9358-824347C3056D}"/>
    <hyperlink ref="H196" r:id="rId237" xr:uid="{094653FA-1E81-4BF7-A31F-8199B2CA96C9}"/>
    <hyperlink ref="H187" r:id="rId238" xr:uid="{C55A3172-6BC8-44BB-88FC-4AE846BA7342}"/>
    <hyperlink ref="H186" r:id="rId239" xr:uid="{1B770E4E-DBB3-465E-8A16-3113EE831214}"/>
    <hyperlink ref="H188" r:id="rId240" xr:uid="{B693E60C-51E3-4284-AF1E-78586A5E78D2}"/>
    <hyperlink ref="H190" r:id="rId241" xr:uid="{86322445-2E28-42ED-A0E6-D2932A58D8EB}"/>
    <hyperlink ref="H191" r:id="rId242" xr:uid="{DC10D013-A8C1-4F53-97BB-F0F189881722}"/>
    <hyperlink ref="H189" r:id="rId243" xr:uid="{AC8121C0-689D-434C-9DFD-42905CC4A31F}"/>
    <hyperlink ref="H197" r:id="rId244" xr:uid="{A5D3535C-2B1F-46F9-BA8F-BEA5D1E1510E}"/>
    <hyperlink ref="H198" r:id="rId245" xr:uid="{B347EB58-BD34-40B2-A02B-0E627ACE820C}"/>
    <hyperlink ref="H193" r:id="rId246" xr:uid="{1011E911-2A27-4CC8-9C96-C9FCD9D46328}"/>
    <hyperlink ref="H199" r:id="rId247" xr:uid="{F49B10D0-2BBD-40E8-B83C-ABBD89A4136A}"/>
    <hyperlink ref="K186" r:id="rId248" xr:uid="{8F101D4A-BAAF-4FBD-A9EB-0A4F4C10ECEB}"/>
    <hyperlink ref="K187" r:id="rId249" xr:uid="{926BC095-0409-426D-9ECC-C9CED382655D}"/>
    <hyperlink ref="K188" r:id="rId250" xr:uid="{554021C1-E92C-4470-9C49-CEA7EB6ACA2C}"/>
    <hyperlink ref="K189" r:id="rId251" xr:uid="{20360B0F-DB87-46F0-A3F4-1C37C2447F9C}"/>
    <hyperlink ref="K191" r:id="rId252" xr:uid="{C56244C1-80B3-45C8-B349-FB6BF6E3531F}"/>
    <hyperlink ref="K192" r:id="rId253" xr:uid="{536926AC-FE37-4744-A11C-1406D70DB4EB}"/>
    <hyperlink ref="K197" r:id="rId254" xr:uid="{372A1996-5EE6-40D9-A590-1A78F787EC26}"/>
    <hyperlink ref="K194" r:id="rId255" xr:uid="{DA894290-18C8-4289-BBF1-153C83CCBD18}"/>
    <hyperlink ref="K183" r:id="rId256" xr:uid="{753D22FF-C2DA-4CB3-B879-36E1235AE24D}"/>
    <hyperlink ref="H202" r:id="rId257" xr:uid="{B52D46B7-5C0B-4FDB-BFC0-90C971246399}"/>
    <hyperlink ref="H203" r:id="rId258" xr:uid="{9F0A2A47-A1CD-4699-87F5-C914711CD7B7}"/>
    <hyperlink ref="H204" r:id="rId259" xr:uid="{908AE47F-BE3B-458A-A723-C55EA499966E}"/>
    <hyperlink ref="K200" r:id="rId260" xr:uid="{54BBE6DC-49C4-4B32-BE6D-6A2C55A0CD28}"/>
    <hyperlink ref="K203" r:id="rId261" xr:uid="{631E36E7-F6E3-41F2-BEC4-538B2E8A2894}"/>
    <hyperlink ref="K195" r:id="rId262" xr:uid="{2D4A6136-0CB1-4ECD-B5E5-343DC3F865A7}"/>
    <hyperlink ref="K196" r:id="rId263" xr:uid="{C2BA35D9-8B2C-4A5E-8243-B029381410C8}"/>
    <hyperlink ref="K198" r:id="rId264" xr:uid="{AFB300B6-2319-497A-A0A3-02F0134BDC46}"/>
    <hyperlink ref="K199" r:id="rId265" xr:uid="{55B08729-EA6B-4FDF-BAB2-4EF568F2D5F1}"/>
    <hyperlink ref="K193" r:id="rId266" xr:uid="{63FBE590-BC13-486D-84BB-5391BDE49BEA}"/>
    <hyperlink ref="K204" r:id="rId267" xr:uid="{E28D0741-83F1-412A-A3AC-409CE9B0BEDD}"/>
    <hyperlink ref="K201" r:id="rId268" xr:uid="{38524E50-1997-49C7-A346-8DEE492B7FE2}"/>
    <hyperlink ref="H201" r:id="rId269" xr:uid="{772036A1-BD70-44C5-8FB0-5B824E8A51EE}"/>
    <hyperlink ref="H200" r:id="rId270" xr:uid="{B2CA1829-8A4F-4C1D-87A1-39601148CE04}"/>
    <hyperlink ref="H207" r:id="rId271" xr:uid="{5D82D56E-0EC9-415E-ABF0-A90E639D33B5}"/>
    <hyperlink ref="H209" r:id="rId272" xr:uid="{FCDAC252-C5F7-4719-9B7F-8B9D6C222084}"/>
    <hyperlink ref="H208" r:id="rId273" xr:uid="{AB579560-AEFF-4EFF-B01D-A387A207EAB2}"/>
    <hyperlink ref="H206" r:id="rId274" xr:uid="{C70F7764-F690-4E9D-BA65-DB069464E5A4}"/>
    <hyperlink ref="H205" r:id="rId275" xr:uid="{388AEFC7-13C7-4B60-8BB3-F4C5EFFF193F}"/>
    <hyperlink ref="H212" r:id="rId276" xr:uid="{BD8BA396-81F5-4F44-AEA2-428C10D7CC09}"/>
    <hyperlink ref="K190" r:id="rId277" xr:uid="{8DD714A2-32E4-481B-9736-28800CC9631B}"/>
    <hyperlink ref="H213" r:id="rId278" xr:uid="{5D0D5E84-F431-4E54-8E8C-07561F22E4EA}"/>
    <hyperlink ref="H215" r:id="rId279" xr:uid="{40236E25-A2DE-45FB-8435-C7A9B4F1457C}"/>
    <hyperlink ref="H216" r:id="rId280" xr:uid="{4D9FCC2A-A43A-4015-8DDD-486ED1E361B9}"/>
    <hyperlink ref="K202" r:id="rId281" xr:uid="{5E3C2BCC-AF01-4456-9A83-6D51D3616EDD}"/>
    <hyperlink ref="K205" r:id="rId282" xr:uid="{93B64D14-6215-44EB-B13D-2E7B75277C2C}"/>
    <hyperlink ref="K208" r:id="rId283" xr:uid="{7E61D664-91DB-421D-946F-D1B812A70819}"/>
    <hyperlink ref="K214" r:id="rId284" xr:uid="{1B7B876E-6651-4364-BA5A-6E61D120C852}"/>
    <hyperlink ref="H217" r:id="rId285" xr:uid="{C246F2F9-9C90-4510-B356-227F367EDCCB}"/>
    <hyperlink ref="K215" r:id="rId286" xr:uid="{1D17C848-C2F8-4FA6-A2BB-F0170829832C}"/>
    <hyperlink ref="K216" r:id="rId287" xr:uid="{65139238-FE89-426D-AED0-345B449D2A9F}"/>
    <hyperlink ref="H218" r:id="rId288" xr:uid="{F38FB1DC-3935-4A88-9F2E-BA146A41BDF3}"/>
    <hyperlink ref="H219" r:id="rId289" xr:uid="{26FBBED1-5353-4BE4-B24C-1A0CAB361775}"/>
    <hyperlink ref="H211" r:id="rId290" xr:uid="{1D2876F3-BCA9-4DE7-B36C-F4DA112FC7E5}"/>
    <hyperlink ref="K213" r:id="rId291" xr:uid="{BF368DA3-11F4-4DCB-9D86-1046CE1E2498}"/>
    <hyperlink ref="K212" r:id="rId292" xr:uid="{8014ADB4-CC79-424C-8317-D7E32A8815C9}"/>
    <hyperlink ref="K210" r:id="rId293" xr:uid="{79F3266F-6263-4BC7-891B-188BD1FC83F7}"/>
    <hyperlink ref="K218" r:id="rId294" xr:uid="{BEF3492A-E4D5-48DF-9F20-15811B115057}"/>
    <hyperlink ref="K207" r:id="rId295" xr:uid="{7ADEDFEE-0661-4512-84F9-87EADC10B93D}"/>
    <hyperlink ref="K217" r:id="rId296" xr:uid="{B614CC84-9929-4EBE-9999-04DCAEB3DD4F}"/>
    <hyperlink ref="H220" r:id="rId297" xr:uid="{100FA01B-F6BE-4B5F-84E8-412373608EC9}"/>
    <hyperlink ref="H221" r:id="rId298" xr:uid="{22CA0609-B453-4674-B68F-B74D243AB1A8}"/>
    <hyperlink ref="H222" r:id="rId299" xr:uid="{72E42C7B-140B-48EF-B504-4C38602CD954}"/>
    <hyperlink ref="K219" r:id="rId300" xr:uid="{FDA99972-6FA6-4086-916E-15B233F7C835}"/>
    <hyperlink ref="K221" r:id="rId301" xr:uid="{206DBD78-B8EF-4809-9EDB-A64295CE8B02}"/>
    <hyperlink ref="H225" r:id="rId302" xr:uid="{790024E6-51EA-4D7C-9796-34EC248BC318}"/>
    <hyperlink ref="H223" r:id="rId303" xr:uid="{9D5FF640-01D7-4C01-9E2F-5AF92B823CE6}"/>
    <hyperlink ref="K220" r:id="rId304" xr:uid="{84789F1A-81AE-4658-9E2D-5888ED9972D3}"/>
    <hyperlink ref="K222" r:id="rId305" xr:uid="{CA40D421-1859-48A4-AD91-F9E2D4E86B1B}"/>
    <hyperlink ref="K223" r:id="rId306" xr:uid="{DA0EACC7-70E3-4D46-B2A0-863F4A80767E}"/>
    <hyperlink ref="K225" r:id="rId307" xr:uid="{EE8228E7-DA67-4009-8863-76CEE63A8F78}"/>
    <hyperlink ref="H226" r:id="rId308" xr:uid="{09F53335-1584-48CC-B484-F722098241A1}"/>
    <hyperlink ref="K224" r:id="rId309" xr:uid="{5E46FC45-9335-49B7-B7FB-60734CA560DF}"/>
    <hyperlink ref="H224" r:id="rId310" xr:uid="{D7FA032C-1588-44F9-9E98-663F1BE49146}"/>
    <hyperlink ref="H228" r:id="rId311" xr:uid="{F582D544-0DC2-4645-BC80-1DA69C21A97C}"/>
    <hyperlink ref="H229" r:id="rId312" xr:uid="{9C46C8B3-F7EA-435B-9479-37B6E02C5DC5}"/>
    <hyperlink ref="H230" r:id="rId313" xr:uid="{0B37225A-3A0B-4357-9002-DCA3CA2E5EC9}"/>
    <hyperlink ref="H231" r:id="rId314" xr:uid="{20187336-BD5A-4955-A859-E9293B6C2115}"/>
    <hyperlink ref="H232" r:id="rId315" xr:uid="{E64D09BD-2846-4100-8182-DA7D4A2857FC}"/>
    <hyperlink ref="K226" r:id="rId316" xr:uid="{2C7D3CB0-7494-46E4-B433-9C77E3B760BE}"/>
    <hyperlink ref="K229" r:id="rId317" xr:uid="{5036E0EB-B5A8-46F3-8489-D04D27756E30}"/>
    <hyperlink ref="K230" r:id="rId318" xr:uid="{220CC762-B12A-49E8-8C2E-4B68AAD998CB}"/>
    <hyperlink ref="K231" r:id="rId319" xr:uid="{E2832C00-C0CC-4380-8F7E-25F4D1973621}"/>
    <hyperlink ref="K228" r:id="rId320" xr:uid="{DE52286D-AE2E-426A-A6BC-D798A5C59AE6}"/>
    <hyperlink ref="H233" r:id="rId321" xr:uid="{2F440072-A12B-4129-85F4-91B67033885B}"/>
    <hyperlink ref="H234" r:id="rId322" xr:uid="{384DB248-99F0-4D57-BD65-D68AFE00088C}"/>
    <hyperlink ref="H235" r:id="rId323" xr:uid="{B9528741-0A4E-4CE7-ABA3-CE51DBA5C426}"/>
    <hyperlink ref="H236" r:id="rId324" xr:uid="{6FF679A9-272C-49B5-BDD5-460F6AA58D40}"/>
    <hyperlink ref="K233" r:id="rId325" xr:uid="{93E6ECF0-A07C-4839-979D-BB85CD4A1352}"/>
    <hyperlink ref="H237" r:id="rId326" xr:uid="{A3E3E23F-9015-44FF-8969-F64E4B6ABE36}"/>
    <hyperlink ref="H238" r:id="rId327" xr:uid="{641D5F5F-1F65-4676-B7E0-A2737E4625A9}"/>
    <hyperlink ref="H239" r:id="rId328" xr:uid="{BC9CDB5C-1741-4FDD-B4B5-A51387797F5E}"/>
    <hyperlink ref="H240" r:id="rId329" xr:uid="{8666F745-8324-4C8B-9431-BAA49D0AB879}"/>
    <hyperlink ref="H241" r:id="rId330" xr:uid="{EC7C61C5-C1B2-478E-9A1E-6CF3ADAD7DD1}"/>
    <hyperlink ref="H242" r:id="rId331" xr:uid="{C785FEF3-AE99-451C-A2E2-FD854DF114CC}"/>
    <hyperlink ref="H243" r:id="rId332" xr:uid="{23428D03-EE85-4730-836F-AEE7DF8077ED}"/>
    <hyperlink ref="H244" r:id="rId333" xr:uid="{7B8206DE-2D3D-4C38-B11F-3F2651D05B03}"/>
    <hyperlink ref="H245" r:id="rId334" xr:uid="{FE1B2904-D97F-4601-B31B-D8B1BE7B1EA8}"/>
    <hyperlink ref="H246" r:id="rId335" xr:uid="{636C9441-7F2F-4932-B573-B3F8A996E4B5}"/>
    <hyperlink ref="K232" r:id="rId336" xr:uid="{59263FF8-9831-4E89-B46E-051910C966FF}"/>
    <hyperlink ref="K241" r:id="rId337" xr:uid="{C5AC5969-1434-464D-8D46-FC66442D9CC2}"/>
    <hyperlink ref="K242" r:id="rId338" xr:uid="{4B178C9F-F927-414B-8E44-39EB31986139}"/>
    <hyperlink ref="K243" r:id="rId339" xr:uid="{42CB1B96-78BB-443A-8F7A-16D6CD251422}"/>
    <hyperlink ref="K245" r:id="rId340" xr:uid="{A2D70168-2962-40E9-AA6F-28637B90F516}"/>
    <hyperlink ref="K236" r:id="rId341" xr:uid="{BA5219F5-4A3C-4463-B7BF-C2A1B90B6A43}"/>
    <hyperlink ref="K237" r:id="rId342" xr:uid="{9B8EE71B-9234-49EA-9D8B-EA517A5BB5F9}"/>
    <hyperlink ref="K238" r:id="rId343" xr:uid="{4101F8A0-1BA4-4C62-B57A-C1890D1C4373}"/>
    <hyperlink ref="K239" r:id="rId344" xr:uid="{6DD2BCBF-6D75-4687-8D25-526E741DBA36}"/>
    <hyperlink ref="K240" r:id="rId345" xr:uid="{0CD3EC96-FA12-4524-8082-A8A76FA03CE7}"/>
    <hyperlink ref="K244" r:id="rId346" xr:uid="{802EF332-3E25-43AF-86B2-56D99FED5D26}"/>
    <hyperlink ref="K234" r:id="rId347" xr:uid="{CD52295A-9FE4-4268-B9C8-95408D5CFE41}"/>
    <hyperlink ref="K116" r:id="rId348" xr:uid="{1326A8F7-9684-4864-9707-0040164B1572}"/>
    <hyperlink ref="H248" r:id="rId349" xr:uid="{C564B64C-9BDA-4C1E-B3FC-952D5EB2BC64}"/>
    <hyperlink ref="H250" r:id="rId350" xr:uid="{26B0E1E6-E7EB-4A11-8A59-16208052E8D2}"/>
    <hyperlink ref="H249" r:id="rId351" xr:uid="{6E259C59-2E5B-4D6A-9CBB-DFF601B1C197}"/>
    <hyperlink ref="H251" r:id="rId352" xr:uid="{6822838A-7990-4CEA-BC76-30F7D05587B9}"/>
    <hyperlink ref="H252" r:id="rId353" xr:uid="{F8A30EF5-5D22-43A2-A644-E95A45A539C1}"/>
    <hyperlink ref="H253" r:id="rId354" xr:uid="{28C154A8-AD10-4C76-93C3-6958F0CE5B8C}"/>
    <hyperlink ref="H254" r:id="rId355" xr:uid="{59D050FB-403B-464E-8956-4A36DD0B027E}"/>
    <hyperlink ref="H255" r:id="rId356" xr:uid="{2C10E8D9-E782-43AF-8F41-C608A267F812}"/>
    <hyperlink ref="H256" r:id="rId357" xr:uid="{7615775D-CBCB-4A23-9E8A-2FE6357C92EB}"/>
    <hyperlink ref="K248" r:id="rId358" xr:uid="{5A179192-80BB-445F-9CF3-92239D09A95F}"/>
    <hyperlink ref="K246" r:id="rId359" xr:uid="{CF5DA8D8-38AF-4E04-81C3-5DF667B69610}"/>
    <hyperlink ref="K250" r:id="rId360" xr:uid="{F8C1DBF4-3EB7-4646-B355-07DA2C1EE778}"/>
    <hyperlink ref="K252" r:id="rId361" xr:uid="{81AB7758-D59A-4E27-A43C-3598877A4DFC}"/>
    <hyperlink ref="K251" r:id="rId362" xr:uid="{63B28CC1-FEB2-4537-9664-830F6E6FE830}"/>
    <hyperlink ref="K253" r:id="rId363" xr:uid="{29498739-28A9-4758-BC23-0B7D3C10826B}"/>
    <hyperlink ref="K254" r:id="rId364" xr:uid="{81F51C71-862A-4D33-B1D8-FC76F80AF963}"/>
    <hyperlink ref="K247" r:id="rId365" xr:uid="{AE5A2A32-0963-432E-94EA-F3C7C1158AE9}"/>
    <hyperlink ref="K249" r:id="rId366" xr:uid="{64E2B06C-343F-490C-836A-B06BE7B196D4}"/>
    <hyperlink ref="K255" r:id="rId367" xr:uid="{DDF5EDF9-403D-4EFD-8F8B-3885A83255FE}"/>
    <hyperlink ref="H259" r:id="rId368" xr:uid="{2C01254D-A05D-41A5-9970-CC0A04141A4A}"/>
    <hyperlink ref="K257" r:id="rId369" xr:uid="{B12D6975-E94B-4660-B2C5-56D2F761F6E9}"/>
  </hyperlinks>
  <pageMargins left="0.7" right="0.7" top="0.75" bottom="0.75" header="0.3" footer="0.3"/>
  <pageSetup paperSize="9" orientation="portrait" r:id="rId370"/>
  <legacyDrawing r:id="rId37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F9F3-B0B9-4C0A-9D1B-1339E6DD5765}">
  <dimension ref="A1:V39"/>
  <sheetViews>
    <sheetView workbookViewId="0">
      <pane xSplit="1" ySplit="4" topLeftCell="B5" activePane="bottomRight" state="frozen"/>
      <selection pane="bottomRight" activeCell="B11" sqref="B11:E97"/>
      <selection pane="bottomLeft"/>
      <selection pane="topRight"/>
    </sheetView>
  </sheetViews>
  <sheetFormatPr defaultRowHeight="15"/>
  <cols>
    <col min="1" max="1" width="28.5703125" customWidth="1"/>
    <col min="2" max="21" width="16.140625" customWidth="1"/>
  </cols>
  <sheetData>
    <row r="1" spans="1:22" ht="18" customHeight="1">
      <c r="A1" s="497" t="s">
        <v>1179</v>
      </c>
      <c r="B1" s="498"/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8"/>
      <c r="N1" s="498"/>
      <c r="O1" s="498"/>
      <c r="P1" s="498"/>
      <c r="Q1" s="498"/>
      <c r="R1" s="498"/>
      <c r="S1" s="498"/>
      <c r="T1" s="498"/>
      <c r="U1" s="498"/>
      <c r="V1" s="489"/>
    </row>
    <row r="2" spans="1:22" ht="12" customHeight="1">
      <c r="A2" s="495"/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  <c r="R2" s="495"/>
      <c r="S2" s="495"/>
      <c r="T2" s="495"/>
      <c r="U2" s="495"/>
      <c r="V2" s="489"/>
    </row>
    <row r="3" spans="1:22" ht="18" customHeight="1">
      <c r="A3" s="500" t="s">
        <v>1180</v>
      </c>
      <c r="B3" s="530">
        <v>2022</v>
      </c>
      <c r="C3" s="536"/>
      <c r="D3" s="536"/>
      <c r="E3" s="536"/>
      <c r="F3" s="530">
        <v>2023</v>
      </c>
      <c r="G3" s="536"/>
      <c r="H3" s="536"/>
      <c r="I3" s="536"/>
      <c r="J3" s="530">
        <v>2024</v>
      </c>
      <c r="K3" s="536"/>
      <c r="L3" s="536"/>
      <c r="M3" s="536"/>
      <c r="N3" s="530">
        <v>2025</v>
      </c>
      <c r="O3" s="536"/>
      <c r="P3" s="536"/>
      <c r="Q3" s="536"/>
      <c r="R3" s="530">
        <v>2026</v>
      </c>
      <c r="S3" s="536"/>
      <c r="T3" s="536"/>
      <c r="U3" s="536"/>
      <c r="V3" s="489"/>
    </row>
    <row r="4" spans="1:22" s="491" customFormat="1" ht="18" customHeight="1">
      <c r="A4" s="499"/>
      <c r="B4" s="499" t="s">
        <v>70</v>
      </c>
      <c r="C4" s="499" t="s">
        <v>68</v>
      </c>
      <c r="D4" s="499" t="s">
        <v>86</v>
      </c>
      <c r="E4" s="499" t="s">
        <v>87</v>
      </c>
      <c r="F4" s="499" t="s">
        <v>70</v>
      </c>
      <c r="G4" s="499" t="s">
        <v>68</v>
      </c>
      <c r="H4" s="499" t="s">
        <v>86</v>
      </c>
      <c r="I4" s="499" t="s">
        <v>87</v>
      </c>
      <c r="J4" s="499" t="s">
        <v>70</v>
      </c>
      <c r="K4" s="499" t="s">
        <v>68</v>
      </c>
      <c r="L4" s="499" t="s">
        <v>86</v>
      </c>
      <c r="M4" s="499" t="s">
        <v>87</v>
      </c>
      <c r="N4" s="499" t="s">
        <v>70</v>
      </c>
      <c r="O4" s="499" t="s">
        <v>68</v>
      </c>
      <c r="P4" s="499" t="s">
        <v>86</v>
      </c>
      <c r="Q4" s="499" t="s">
        <v>87</v>
      </c>
      <c r="R4" s="499" t="s">
        <v>70</v>
      </c>
      <c r="S4" s="499" t="s">
        <v>68</v>
      </c>
      <c r="T4" s="499" t="s">
        <v>86</v>
      </c>
      <c r="U4" s="499" t="s">
        <v>87</v>
      </c>
      <c r="V4" s="490"/>
    </row>
    <row r="5" spans="1:22" s="494" customFormat="1" ht="18" customHeight="1">
      <c r="A5" s="513" t="s">
        <v>0</v>
      </c>
      <c r="B5" s="514">
        <f>SUMIFS('Sony France'!$N$4:$N$5001,'Sony France'!$F$4:$F$5001,"&gt;="&amp;DATE(2022,1,1),'Sony France'!$F$4:$F$5001,"&lt;="&amp;DATE(2022,3,31))</f>
        <v>0</v>
      </c>
      <c r="C5" s="514">
        <f>SUMIFS('Sony France'!$N$4:$N$5001,'Sony France'!$F$4:$F$5001,"&gt;="&amp;DATE(2022,4,1),'Sony France'!$F$4:$F$5001,"&lt;="&amp;DATE(2022,6,30))</f>
        <v>0</v>
      </c>
      <c r="D5" s="514">
        <f>SUMIFS('Sony France'!$N$4:$N$5001,'Sony France'!$F$4:$F$5001,"&gt;="&amp;DATE(2022,7,1),'Sony France'!$F$4:$F$5001,"&lt;="&amp;DATE(2022,9,30))</f>
        <v>0</v>
      </c>
      <c r="E5" s="514">
        <f>SUMIFS('Sony France'!$N$4:$N$5001,'Sony France'!$F$4:$F$5001,"&gt;="&amp;DATE(2022,10,1),'Sony France'!$F$4:$F$5001,"&lt;="&amp;DATE(2022,12,31))</f>
        <v>7475</v>
      </c>
      <c r="F5" s="514">
        <f>SUMIFS('Sony France'!$N$4:$N$5001,'Sony France'!$F$4:$F$5001,"&gt;="&amp;DATE(2023,1,1),'Sony France'!$F$4:$F$5001,"&lt;="&amp;DATE(2023,3,31))</f>
        <v>27760</v>
      </c>
      <c r="G5" s="514">
        <f>SUMIFS('Sony France'!$N$4:$N$5001,'Sony France'!$F$4:$F$5001,"&gt;="&amp;DATE(2023,4,1),'Sony France'!$F$4:$F$5001,"&lt;="&amp;DATE(2023,6,30))</f>
        <v>21464.17</v>
      </c>
      <c r="H5" s="514">
        <f>SUMIFS('Sony France'!$N$4:$N$5001,'Sony France'!$F$4:$F$5001,"&gt;="&amp;DATE(2023,7,1),'Sony France'!$F$4:$F$5001,"&lt;="&amp;DATE(2023,9,30))</f>
        <v>23035</v>
      </c>
      <c r="I5" s="514">
        <f>SUMIFS('Sony France'!$N$4:$N$5001,'Sony France'!$F$4:$F$5001,"&gt;="&amp;DATE(2023,10,1),'Sony France'!$F$4:$F$5001,"&lt;="&amp;DATE(2023,12,31))</f>
        <v>25643</v>
      </c>
      <c r="J5" s="514">
        <f>SUMIFS('Sony France'!$N$4:$N$5001,'Sony France'!$F$4:$F$5001,"&gt;="&amp;DATE(2024,1,1),'Sony France'!$F$4:$F$5001,"&lt;="&amp;DATE(2024,3,31))</f>
        <v>18193</v>
      </c>
      <c r="K5" s="514">
        <f>SUMIFS('Sony France'!$N$4:$N$5001,'Sony France'!$F$4:$F$5001,"&gt;="&amp;DATE(2024,4,1),'Sony France'!$F$4:$F$5001,"&lt;="&amp;DATE(2024,6,30))</f>
        <v>30285</v>
      </c>
      <c r="L5" s="514">
        <f>SUMIFS('Sony France'!$N$4:$N$5001,'Sony France'!$F$4:$F$5001,"&gt;="&amp;DATE(2024,7,1),'Sony France'!$F$4:$F$5001,"&lt;="&amp;DATE(2024,9,30))</f>
        <v>23042</v>
      </c>
      <c r="M5" s="514">
        <f>SUMIFS('Sony France'!$N$4:$N$5001,'Sony France'!$F$4:$F$5001,"&gt;="&amp;DATE(2024,10,1),'Sony France'!$F$4:$F$5001,"&lt;="&amp;DATE(2024,12,31))</f>
        <v>26065</v>
      </c>
      <c r="N5" s="514">
        <f>SUMIFS('Sony France'!$N$4:$N$5001,'Sony France'!$F$4:$F$5001,"&gt;="&amp;DATE(2025,1,1),'Sony France'!$F$4:$F$5001,"&lt;="&amp;DATE(2025,3,31))</f>
        <v>20260</v>
      </c>
      <c r="O5" s="514">
        <f>SUMIFS('Sony France'!$N$4:$N$5001,'Sony France'!$F$4:$F$5001,"&gt;="&amp;DATE(2025,4,1),'Sony France'!$F$4:$F$5001,"&lt;="&amp;DATE(2025,6,30))</f>
        <v>19590</v>
      </c>
      <c r="P5" s="514">
        <f>SUMIFS('Sony France'!$N$4:$N$5001,'Sony France'!$F$4:$F$5001,"&gt;="&amp;DATE(2025,7,1),'Sony France'!$F$4:$F$5001,"&lt;="&amp;DATE(2025,9,30))</f>
        <v>21940</v>
      </c>
      <c r="Q5" s="514">
        <f>SUMIFS('Sony France'!$N$4:$N$5001,'Sony France'!$F$4:$F$5001,"&gt;="&amp;DATE(2025,10,1),'Sony France'!$F$4:$F$5001,"&lt;="&amp;DATE(2025,12,31))</f>
        <v>22713</v>
      </c>
      <c r="R5" s="514">
        <f>SUMIFS('Sony France'!$N$4:$N$5001,'Sony France'!$F$4:$F$5001,"&gt;="&amp;DATE(2026,1,1),'Sony France'!$F$4:$F$5001,"&lt;="&amp;DATE(2026,3,31))</f>
        <v>10105</v>
      </c>
      <c r="S5" s="514">
        <f>SUMIFS('Sony France'!$N$4:$N$5001,'Sony France'!$F$4:$F$5001,"&gt;="&amp;DATE(2026,4,1),'Sony France'!$F$4:$F$5001,"&lt;="&amp;DATE(2026,6,30))</f>
        <v>0</v>
      </c>
      <c r="T5" s="514">
        <f>SUMIFS('Sony France'!$N$4:$N$5001,'Sony France'!$F$4:$F$5001,"&gt;="&amp;DATE(2026,7,1),'Sony France'!$F$4:$F$5001,"&lt;="&amp;DATE(2026,9,30))</f>
        <v>0</v>
      </c>
      <c r="U5" s="514">
        <f>SUMIFS('Sony France'!$N$4:$N$5001,'Sony France'!$F$4:$F$5001,"&gt;="&amp;DATE(2026,10,1),'Sony France'!$F$4:$F$5001,"&lt;="&amp;DATE(2026,12,31))</f>
        <v>0</v>
      </c>
      <c r="V5" s="493"/>
    </row>
    <row r="6" spans="1:22" s="494" customFormat="1" ht="18" customHeight="1">
      <c r="A6" s="515" t="s">
        <v>1181</v>
      </c>
      <c r="B6" s="516">
        <f>SUMIFS('Sony Europe - Manu'!$J$6:$J$5000,'Sony Europe - Manu'!$C$6:$C$5000,"&gt;="&amp;DATE(2022,1,1),'Sony Europe - Manu'!$C$6:$C$5000,"&lt;="&amp;DATE(2022,3,31))</f>
        <v>0</v>
      </c>
      <c r="C6" s="516">
        <f>SUMIFS('Sony Europe - Manu'!$J$6:$J$5000,'Sony Europe - Manu'!$C$6:$C$5000,"&gt;="&amp;DATE(2022,4,1),'Sony Europe - Manu'!$C$6:$C$5000,"&lt;="&amp;DATE(2022,6,30))</f>
        <v>0</v>
      </c>
      <c r="D6" s="516">
        <f>SUMIFS('Sony Europe - Manu'!$J$6:$J$5000,'Sony Europe - Manu'!$C$6:$C$5000,"&gt;="&amp;DATE(2022,7,1),'Sony Europe - Manu'!$C$6:$C$5000,"&lt;="&amp;DATE(2022,9,30))</f>
        <v>0</v>
      </c>
      <c r="E6" s="516">
        <f>SUMIFS('Sony Europe - Manu'!$J$6:$J$5000,'Sony Europe - Manu'!$C$6:$C$5000,"&gt;="&amp;DATE(2022,10,1),'Sony Europe - Manu'!$C$6:$C$5000,"&lt;="&amp;DATE(2022,12,31))</f>
        <v>1995</v>
      </c>
      <c r="F6" s="516">
        <f>SUMIFS('Sony Europe - Manu'!$J$6:$J$5000,'Sony Europe - Manu'!$C$6:$C$5000,"&gt;="&amp;DATE(2023,1,1),'Sony Europe - Manu'!$C$6:$C$5000,"&lt;="&amp;DATE(2023,3,31))</f>
        <v>41025</v>
      </c>
      <c r="G6" s="516">
        <f>SUMIFS('Sony Europe - Manu'!$J$6:$J$5000,'Sony Europe - Manu'!$C$6:$C$5000,"&gt;="&amp;DATE(2023,4,1),'Sony Europe - Manu'!$C$6:$C$5000,"&lt;="&amp;DATE(2023,6,30))</f>
        <v>6315</v>
      </c>
      <c r="H6" s="516">
        <f>SUMIFS('Sony Europe - Manu'!$J$6:$J$5000,'Sony Europe - Manu'!$C$6:$C$5000,"&gt;="&amp;DATE(2023,7,1),'Sony Europe - Manu'!$C$6:$C$5000,"&lt;="&amp;DATE(2023,9,30))</f>
        <v>20620</v>
      </c>
      <c r="I6" s="516">
        <f>SUMIFS('Sony Europe - Manu'!$J$6:$J$5000,'Sony Europe - Manu'!$C$6:$C$5000,"&gt;="&amp;DATE(2023,10,1),'Sony Europe - Manu'!$C$6:$C$5000,"&lt;="&amp;DATE(2023,12,31))</f>
        <v>10440</v>
      </c>
      <c r="J6" s="516">
        <f>SUMIFS('Sony Europe - Manu'!$J$6:$J$5000,'Sony Europe - Manu'!$C$6:$C$5000,"&gt;="&amp;DATE(2024,1,1),'Sony Europe - Manu'!$C$6:$C$5000,"&lt;="&amp;DATE(2024,3,31))</f>
        <v>18965</v>
      </c>
      <c r="K6" s="516">
        <f>SUMIFS('Sony Europe - Manu'!$J$6:$J$5000,'Sony Europe - Manu'!$C$6:$C$5000,"&gt;="&amp;DATE(2024,4,1),'Sony Europe - Manu'!$C$6:$C$5000,"&lt;="&amp;DATE(2024,6,30))</f>
        <v>4925</v>
      </c>
      <c r="L6" s="516">
        <f>SUMIFS('Sony Europe - Manu'!$J$6:$J$5000,'Sony Europe - Manu'!$C$6:$C$5000,"&gt;="&amp;DATE(2024,7,1),'Sony Europe - Manu'!$C$6:$C$5000,"&lt;="&amp;DATE(2024,9,30))</f>
        <v>8620</v>
      </c>
      <c r="M6" s="516">
        <f>SUMIFS('Sony Europe - Manu'!$J$6:$J$5000,'Sony Europe - Manu'!$C$6:$C$5000,"&gt;="&amp;DATE(2024,10,1),'Sony Europe - Manu'!$C$6:$C$5000,"&lt;="&amp;DATE(2024,12,31))</f>
        <v>10709.25</v>
      </c>
      <c r="N6" s="516">
        <f>SUMIFS('Sony Europe - Manu'!$J$6:$J$5000,'Sony Europe - Manu'!$C$6:$C$5000,"&gt;="&amp;DATE(2025,1,1),'Sony Europe - Manu'!$C$6:$C$5000,"&lt;="&amp;DATE(2025,3,31))</f>
        <v>5078</v>
      </c>
      <c r="O6" s="516">
        <f>SUMIFS('Sony Europe - Manu'!$J$6:$J$5000,'Sony Europe - Manu'!$C$6:$C$5000,"&gt;="&amp;DATE(2025,4,1),'Sony Europe - Manu'!$C$6:$C$5000,"&lt;="&amp;DATE(2025,6,30))</f>
        <v>0</v>
      </c>
      <c r="P6" s="516">
        <f>SUMIFS('Sony Europe - Manu'!$J$6:$J$5000,'Sony Europe - Manu'!$C$6:$C$5000,"&gt;="&amp;DATE(2025,7,1),'Sony Europe - Manu'!$C$6:$C$5000,"&lt;="&amp;DATE(2025,9,30))</f>
        <v>0</v>
      </c>
      <c r="Q6" s="516">
        <f>SUMIFS('Sony Europe - Manu'!$J$6:$J$5000,'Sony Europe - Manu'!$C$6:$C$5000,"&gt;="&amp;DATE(2025,10,1),'Sony Europe - Manu'!$C$6:$C$5000,"&lt;="&amp;DATE(2025,12,31))</f>
        <v>0</v>
      </c>
      <c r="R6" s="516">
        <f>SUMIFS('Sony Europe - Manu'!$J$6:$J$5000,'Sony Europe - Manu'!$C$6:$C$5000,"&gt;="&amp;DATE(2026,1,1),'Sony Europe - Manu'!$C$6:$C$5000,"&lt;="&amp;DATE(2026,3,31))</f>
        <v>0</v>
      </c>
      <c r="S6" s="516">
        <f>SUMIFS('Sony Europe - Manu'!$J$6:$J$5000,'Sony Europe - Manu'!$C$6:$C$5000,"&gt;="&amp;DATE(2026,4,1),'Sony Europe - Manu'!$C$6:$C$5000,"&lt;="&amp;DATE(2026,6,30))</f>
        <v>0</v>
      </c>
      <c r="T6" s="516">
        <f>SUMIFS('Sony Europe - Manu'!$J$6:$J$5000,'Sony Europe - Manu'!$C$6:$C$5000,"&gt;="&amp;DATE(2026,7,1),'Sony Europe - Manu'!$C$6:$C$5000,"&lt;="&amp;DATE(2026,9,30))</f>
        <v>0</v>
      </c>
      <c r="U6" s="516">
        <f>SUMIFS('Sony Europe - Manu'!$J$6:$J$5000,'Sony Europe - Manu'!$C$6:$C$5000,"&gt;="&amp;DATE(2026,10,1),'Sony Europe - Manu'!$C$6:$C$5000,"&lt;="&amp;DATE(2026,12,31))</f>
        <v>0</v>
      </c>
      <c r="V6" s="493"/>
    </row>
    <row r="7" spans="1:22" s="494" customFormat="1" ht="18" customHeight="1">
      <c r="A7" s="513" t="s">
        <v>1182</v>
      </c>
      <c r="B7" s="514">
        <f>SUMIFS('Sony Professional'!$J$4:$J$5000,'Sony Professional'!$C$4:$C$5000,"&gt;="&amp;DATE(2022,1,1),'Sony Professional'!$C$4:$C$5000,"&lt;="&amp;DATE(2022,3,31))</f>
        <v>0</v>
      </c>
      <c r="C7" s="514">
        <f>SUMIFS('Sony Professional'!$J$4:$J$5000,'Sony Professional'!$C$4:$C$5000,"&gt;="&amp;DATE(2022,4,1),'Sony Professional'!$C$4:$C$5000,"&lt;="&amp;DATE(2022,6,30))</f>
        <v>0</v>
      </c>
      <c r="D7" s="514">
        <f>SUMIFS('Sony Professional'!$J$4:$J$5000,'Sony Professional'!$C$4:$C$5000,"&gt;="&amp;DATE(2022,7,1),'Sony Professional'!$C$4:$C$5000,"&lt;="&amp;DATE(2022,9,30))</f>
        <v>0</v>
      </c>
      <c r="E7" s="514">
        <f>SUMIFS('Sony Professional'!$J$4:$J$5000,'Sony Professional'!$C$4:$C$5000,"&gt;="&amp;DATE(2022,10,1),'Sony Professional'!$C$4:$C$5000,"&lt;="&amp;DATE(2022,12,31))</f>
        <v>0</v>
      </c>
      <c r="F7" s="514">
        <f>SUMIFS('Sony Professional'!$J$4:$J$5000,'Sony Professional'!$C$4:$C$5000,"&gt;="&amp;DATE(2023,1,1),'Sony Professional'!$C$4:$C$5000,"&lt;="&amp;DATE(2023,3,31))</f>
        <v>10600</v>
      </c>
      <c r="G7" s="514">
        <f>SUMIFS('Sony Professional'!$J$4:$J$5000,'Sony Professional'!$C$4:$C$5000,"&gt;="&amp;DATE(2023,4,1),'Sony Professional'!$C$4:$C$5000,"&lt;="&amp;DATE(2023,6,30))</f>
        <v>25219.935000000001</v>
      </c>
      <c r="H7" s="514">
        <f>SUMIFS('Sony Professional'!$J$4:$J$5000,'Sony Professional'!$C$4:$C$5000,"&gt;="&amp;DATE(2023,7,1),'Sony Professional'!$C$4:$C$5000,"&lt;="&amp;DATE(2023,9,30))</f>
        <v>14970</v>
      </c>
      <c r="I7" s="514">
        <f>SUMIFS('Sony Professional'!$J$4:$J$5000,'Sony Professional'!$C$4:$C$5000,"&gt;="&amp;DATE(2023,10,1),'Sony Professional'!$C$4:$C$5000,"&lt;="&amp;DATE(2023,12,31))</f>
        <v>27151.467999999997</v>
      </c>
      <c r="J7" s="514">
        <f>SUMIFS('Sony Professional'!$J$4:$J$5000,'Sony Professional'!$C$4:$C$5000,"&gt;="&amp;DATE(2024,1,1),'Sony Professional'!$C$4:$C$5000,"&lt;="&amp;DATE(2024,3,31))</f>
        <v>33576.400000000001</v>
      </c>
      <c r="K7" s="514">
        <f>SUMIFS('Sony Professional'!$J$4:$J$5000,'Sony Professional'!$C$4:$C$5000,"&gt;="&amp;DATE(2024,4,1),'Sony Professional'!$C$4:$C$5000,"&lt;="&amp;DATE(2024,6,30))</f>
        <v>7100</v>
      </c>
      <c r="L7" s="514">
        <f>SUMIFS('Sony Professional'!$J$4:$J$5000,'Sony Professional'!$C$4:$C$5000,"&gt;="&amp;DATE(2024,7,1),'Sony Professional'!$C$4:$C$5000,"&lt;="&amp;DATE(2024,9,30))</f>
        <v>5308</v>
      </c>
      <c r="M7" s="514">
        <f>SUMIFS('Sony Professional'!$J$4:$J$5000,'Sony Professional'!$C$4:$C$5000,"&gt;="&amp;DATE(2024,10,1),'Sony Professional'!$C$4:$C$5000,"&lt;="&amp;DATE(2024,12,31))</f>
        <v>11327.2</v>
      </c>
      <c r="N7" s="514">
        <f>SUMIFS('Sony Professional'!$J$4:$J$5000,'Sony Professional'!$C$4:$C$5000,"&gt;="&amp;DATE(2025,1,1),'Sony Professional'!$C$4:$C$5000,"&lt;="&amp;DATE(2025,3,31))</f>
        <v>9327</v>
      </c>
      <c r="O7" s="514">
        <f>SUMIFS('Sony Professional'!$J$4:$J$5000,'Sony Professional'!$C$4:$C$5000,"&gt;="&amp;DATE(2025,4,1),'Sony Professional'!$C$4:$C$5000,"&lt;="&amp;DATE(2025,6,30))</f>
        <v>9853.4219999999987</v>
      </c>
      <c r="P7" s="514">
        <f>SUMIFS('Sony Professional'!$J$4:$J$5000,'Sony Professional'!$C$4:$C$5000,"&gt;="&amp;DATE(2025,7,1),'Sony Professional'!$C$4:$C$5000,"&lt;="&amp;DATE(2025,9,30))</f>
        <v>2320</v>
      </c>
      <c r="Q7" s="514">
        <f>SUMIFS('Sony Professional'!$J$4:$J$5000,'Sony Professional'!$C$4:$C$5000,"&gt;="&amp;DATE(2025,10,1),'Sony Professional'!$C$4:$C$5000,"&lt;="&amp;DATE(2025,12,31))</f>
        <v>9190.25</v>
      </c>
      <c r="R7" s="514">
        <f>SUMIFS('Sony Professional'!$J$4:$J$5000,'Sony Professional'!$C$4:$C$5000,"&gt;="&amp;DATE(2026,1,1),'Sony Professional'!$C$4:$C$5000,"&lt;="&amp;DATE(2026,3,31))</f>
        <v>1265</v>
      </c>
      <c r="S7" s="514">
        <f>SUMIFS('Sony Professional'!$J$4:$J$5000,'Sony Professional'!$C$4:$C$5000,"&gt;="&amp;DATE(2026,4,1),'Sony Professional'!$C$4:$C$5000,"&lt;="&amp;DATE(2026,6,30))</f>
        <v>0</v>
      </c>
      <c r="T7" s="514">
        <f>SUMIFS('Sony Professional'!$J$4:$J$5000,'Sony Professional'!$C$4:$C$5000,"&gt;="&amp;DATE(2026,7,1),'Sony Professional'!$C$4:$C$5000,"&lt;="&amp;DATE(2026,9,30))</f>
        <v>0</v>
      </c>
      <c r="U7" s="514">
        <f>SUMIFS('Sony Professional'!$J$4:$J$5000,'Sony Professional'!$C$4:$C$5000,"&gt;="&amp;DATE(2026,10,1),'Sony Professional'!$C$4:$C$5000,"&lt;="&amp;DATE(2026,12,31))</f>
        <v>0</v>
      </c>
      <c r="V7" s="493"/>
    </row>
    <row r="8" spans="1:22" s="494" customFormat="1" ht="18" customHeight="1">
      <c r="A8" s="515" t="s">
        <v>1183</v>
      </c>
      <c r="B8" s="516">
        <f>SUMIFS('Sony Europe - Other'!$J$4:$J$5000,'Sony Europe - Other'!$C$4:$C$5000,"&gt;="&amp;DATE(2022,1,1),'Sony Europe - Other'!$C$4:$C$5000,"&lt;="&amp;DATE(2022,3,31))</f>
        <v>0</v>
      </c>
      <c r="C8" s="516">
        <f>SUMIFS('Sony Europe - Other'!$J$4:$J$5000,'Sony Europe - Other'!$C$4:$C$5000,"&gt;="&amp;DATE(2022,4,1),'Sony Europe - Other'!$C$4:$C$5000,"&lt;="&amp;DATE(2022,6,30))</f>
        <v>0</v>
      </c>
      <c r="D8" s="516">
        <f>SUMIFS('Sony Europe - Other'!$J$4:$J$5000,'Sony Europe - Other'!$C$4:$C$5000,"&gt;="&amp;DATE(2022,7,1),'Sony Europe - Other'!$C$4:$C$5000,"&lt;="&amp;DATE(2022,9,30))</f>
        <v>0</v>
      </c>
      <c r="E8" s="516">
        <f>SUMIFS('Sony Europe - Other'!$J$4:$J$5000,'Sony Europe - Other'!$C$4:$C$5000,"&gt;="&amp;DATE(2022,10,1),'Sony Europe - Other'!$C$4:$C$5000,"&lt;="&amp;DATE(2022,12,31))</f>
        <v>0</v>
      </c>
      <c r="F8" s="516">
        <f>SUMIFS('Sony Europe - Other'!$J$4:$J$5000,'Sony Europe - Other'!$C$4:$C$5000,"&gt;="&amp;DATE(2023,1,1),'Sony Europe - Other'!$C$4:$C$5000,"&lt;="&amp;DATE(2023,3,31))</f>
        <v>0</v>
      </c>
      <c r="G8" s="516">
        <f>SUMIFS('Sony Europe - Other'!$J$4:$J$5000,'Sony Europe - Other'!$C$4:$C$5000,"&gt;="&amp;DATE(2023,4,1),'Sony Europe - Other'!$C$4:$C$5000,"&lt;="&amp;DATE(2023,6,30))</f>
        <v>0</v>
      </c>
      <c r="H8" s="516">
        <f>SUMIFS('Sony Europe - Other'!$J$4:$J$5000,'Sony Europe - Other'!$C$4:$C$5000,"&gt;="&amp;DATE(2023,7,1),'Sony Europe - Other'!$C$4:$C$5000,"&lt;="&amp;DATE(2023,9,30))</f>
        <v>0</v>
      </c>
      <c r="I8" s="516">
        <f>SUMIFS('Sony Europe - Other'!$J$4:$J$5000,'Sony Europe - Other'!$C$4:$C$5000,"&gt;="&amp;DATE(2023,10,1),'Sony Europe - Other'!$C$4:$C$5000,"&lt;="&amp;DATE(2023,12,31))</f>
        <v>0</v>
      </c>
      <c r="J8" s="516">
        <f>SUMIFS('Sony Europe - Other'!$J$4:$J$5000,'Sony Europe - Other'!$C$4:$C$5000,"&gt;="&amp;DATE(2024,1,1),'Sony Europe - Other'!$C$4:$C$5000,"&lt;="&amp;DATE(2024,3,31))</f>
        <v>0</v>
      </c>
      <c r="K8" s="516">
        <f>SUMIFS('Sony Europe - Other'!$J$4:$J$5000,'Sony Europe - Other'!$C$4:$C$5000,"&gt;="&amp;DATE(2024,4,1),'Sony Europe - Other'!$C$4:$C$5000,"&lt;="&amp;DATE(2024,6,30))</f>
        <v>6300</v>
      </c>
      <c r="L8" s="516">
        <f>SUMIFS('Sony Europe - Other'!$J$4:$J$5000,'Sony Europe - Other'!$C$4:$C$5000,"&gt;="&amp;DATE(2024,7,1),'Sony Europe - Other'!$C$4:$C$5000,"&lt;="&amp;DATE(2024,9,30))</f>
        <v>24955</v>
      </c>
      <c r="M8" s="516">
        <f>SUMIFS('Sony Europe - Other'!$J$4:$J$5000,'Sony Europe - Other'!$C$4:$C$5000,"&gt;="&amp;DATE(2024,10,1),'Sony Europe - Other'!$C$4:$C$5000,"&lt;="&amp;DATE(2024,12,31))</f>
        <v>5814.6</v>
      </c>
      <c r="N8" s="516">
        <f>SUMIFS('Sony Europe - Other'!$J$4:$J$5000,'Sony Europe - Other'!$C$4:$C$5000,"&gt;="&amp;DATE(2025,1,1),'Sony Europe - Other'!$C$4:$C$5000,"&lt;="&amp;DATE(2025,3,31))</f>
        <v>6615</v>
      </c>
      <c r="O8" s="516">
        <f>SUMIFS('Sony Europe - Other'!$J$4:$J$5000,'Sony Europe - Other'!$C$4:$C$5000,"&gt;="&amp;DATE(2025,4,1),'Sony Europe - Other'!$C$4:$C$5000,"&lt;="&amp;DATE(2025,6,30))</f>
        <v>20403.8</v>
      </c>
      <c r="P8" s="516">
        <f>SUMIFS('Sony Europe - Other'!$J$4:$J$5000,'Sony Europe - Other'!$C$4:$C$5000,"&gt;="&amp;DATE(2025,7,1),'Sony Europe - Other'!$C$4:$C$5000,"&lt;="&amp;DATE(2025,9,30))</f>
        <v>18978.080000000002</v>
      </c>
      <c r="Q8" s="516">
        <f>SUMIFS('Sony Europe - Other'!$J$4:$J$5000,'Sony Europe - Other'!$C$4:$C$5000,"&gt;="&amp;DATE(2025,10,1),'Sony Europe - Other'!$C$4:$C$5000,"&lt;="&amp;DATE(2025,12,31))</f>
        <v>23261.600000000002</v>
      </c>
      <c r="R8" s="516">
        <f>SUMIFS('Sony Europe - Other'!$J$4:$J$5000,'Sony Europe - Other'!$C$4:$C$5000,"&gt;="&amp;DATE(2026,1,1),'Sony Europe - Other'!$C$4:$C$5000,"&lt;="&amp;DATE(2026,3,31))</f>
        <v>8382.2000000000007</v>
      </c>
      <c r="S8" s="516">
        <f>SUMIFS('Sony Europe - Other'!$J$4:$J$5000,'Sony Europe - Other'!$C$4:$C$5000,"&gt;="&amp;DATE(2026,4,1),'Sony Europe - Other'!$C$4:$C$5000,"&lt;="&amp;DATE(2026,6,30))</f>
        <v>0</v>
      </c>
      <c r="T8" s="516">
        <f>SUMIFS('Sony Europe - Other'!$J$4:$J$5000,'Sony Europe - Other'!$C$4:$C$5000,"&gt;="&amp;DATE(2026,7,1),'Sony Europe - Other'!$C$4:$C$5000,"&lt;="&amp;DATE(2026,9,30))</f>
        <v>0</v>
      </c>
      <c r="U8" s="516">
        <f>SUMIFS('Sony Europe - Other'!$J$4:$J$5000,'Sony Europe - Other'!$C$4:$C$5000,"&gt;="&amp;DATE(2026,10,1),'Sony Europe - Other'!$C$4:$C$5000,"&lt;="&amp;DATE(2026,12,31))</f>
        <v>0</v>
      </c>
      <c r="V8" s="493"/>
    </row>
    <row r="9" spans="1:22" s="494" customFormat="1" ht="18" customHeight="1">
      <c r="A9" s="502" t="s">
        <v>1184</v>
      </c>
      <c r="B9" s="508">
        <f>SUMIFS('Sony Europe - New'!$J$4:$J$5000,'Sony Europe - New'!$C$4:$C$5000,"&gt;="&amp;DATE(2022,1,1),'Sony Europe - New'!$C$4:$C$5000,"&lt;="&amp;DATE(2022,3,31))</f>
        <v>0</v>
      </c>
      <c r="C9" s="508">
        <f>SUMIFS('Sony Europe - New'!$J$4:$J$5000,'Sony Europe - New'!$C$4:$C$5000,"&gt;="&amp;DATE(2022,4,1),'Sony Europe - New'!$C$4:$C$5000,"&lt;="&amp;DATE(2022,6,30))</f>
        <v>0</v>
      </c>
      <c r="D9" s="508">
        <f>SUMIFS('Sony Europe - New'!$J$4:$J$5000,'Sony Europe - New'!$C$4:$C$5000,"&gt;="&amp;DATE(2022,7,1),'Sony Europe - New'!$C$4:$C$5000,"&lt;="&amp;DATE(2022,9,30))</f>
        <v>0</v>
      </c>
      <c r="E9" s="508">
        <f>SUMIFS('Sony Europe - New'!$J$4:$J$5000,'Sony Europe - New'!$C$4:$C$5000,"&gt;="&amp;DATE(2022,10,1),'Sony Europe - New'!$C$4:$C$5000,"&lt;="&amp;DATE(2022,12,31))</f>
        <v>0</v>
      </c>
      <c r="F9" s="508">
        <f>SUMIFS('Sony Europe - New'!$J$4:$J$5000,'Sony Europe - New'!$C$4:$C$5000,"&gt;="&amp;DATE(2023,1,1),'Sony Europe - New'!$C$4:$C$5000,"&lt;="&amp;DATE(2023,3,31))</f>
        <v>0</v>
      </c>
      <c r="G9" s="508">
        <f>SUMIFS('Sony Europe - New'!$J$4:$J$5000,'Sony Europe - New'!$C$4:$C$5000,"&gt;="&amp;DATE(2023,4,1),'Sony Europe - New'!$C$4:$C$5000,"&lt;="&amp;DATE(2023,6,30))</f>
        <v>0</v>
      </c>
      <c r="H9" s="508">
        <f>SUMIFS('Sony Europe - New'!$J$4:$J$5000,'Sony Europe - New'!$C$4:$C$5000,"&gt;="&amp;DATE(2023,7,1),'Sony Europe - New'!$C$4:$C$5000,"&lt;="&amp;DATE(2023,9,30))</f>
        <v>0</v>
      </c>
      <c r="I9" s="508">
        <f>SUMIFS('Sony Europe - New'!$J$4:$J$5000,'Sony Europe - New'!$C$4:$C$5000,"&gt;="&amp;DATE(2023,10,1),'Sony Europe - New'!$C$4:$C$5000,"&lt;="&amp;DATE(2023,12,31))</f>
        <v>0</v>
      </c>
      <c r="J9" s="508">
        <f>SUMIFS('Sony Europe - New'!$J$4:$J$5000,'Sony Europe - New'!$C$4:$C$5000,"&gt;="&amp;DATE(2024,1,1),'Sony Europe - New'!$C$4:$C$5000,"&lt;="&amp;DATE(2024,3,31))</f>
        <v>0</v>
      </c>
      <c r="K9" s="508">
        <f>SUMIFS('Sony Europe - New'!$J$4:$J$5000,'Sony Europe - New'!$C$4:$C$5000,"&gt;="&amp;DATE(2024,4,1),'Sony Europe - New'!$C$4:$C$5000,"&lt;="&amp;DATE(2024,6,30))</f>
        <v>0</v>
      </c>
      <c r="L9" s="508">
        <f>SUMIFS('Sony Europe - New'!$J$4:$J$5000,'Sony Europe - New'!$C$4:$C$5000,"&gt;="&amp;DATE(2024,7,1),'Sony Europe - New'!$C$4:$C$5000,"&lt;="&amp;DATE(2024,9,30))</f>
        <v>0</v>
      </c>
      <c r="M9" s="508">
        <f>SUMIFS('Sony Europe - New'!$J$4:$J$5000,'Sony Europe - New'!$C$4:$C$5000,"&gt;="&amp;DATE(2024,10,1),'Sony Europe - New'!$C$4:$C$5000,"&lt;="&amp;DATE(2024,12,31))</f>
        <v>0</v>
      </c>
      <c r="N9" s="508">
        <f>SUMIFS('Sony Europe - New'!$J$4:$J$5000,'Sony Europe - New'!$C$4:$C$5000,"&gt;="&amp;DATE(2025,1,1),'Sony Europe - New'!$C$4:$C$5000,"&lt;="&amp;DATE(2025,3,31))</f>
        <v>0</v>
      </c>
      <c r="O9" s="508">
        <f>SUMIFS('Sony Europe - New'!$J$4:$J$5000,'Sony Europe - New'!$C$4:$C$5000,"&gt;="&amp;DATE(2025,4,1),'Sony Europe - New'!$C$4:$C$5000,"&lt;="&amp;DATE(2025,6,30))</f>
        <v>6325</v>
      </c>
      <c r="P9" s="508">
        <f>SUMIFS('Sony Europe - New'!$J$4:$J$5000,'Sony Europe - New'!$C$4:$C$5000,"&gt;="&amp;DATE(2025,7,1),'Sony Europe - New'!$C$4:$C$5000,"&lt;="&amp;DATE(2025,9,30))</f>
        <v>0</v>
      </c>
      <c r="Q9" s="508">
        <f>SUMIFS('Sony Europe - New'!$J$4:$J$5000,'Sony Europe - New'!$C$4:$C$5000,"&gt;="&amp;DATE(2025,10,1),'Sony Europe - New'!$C$4:$C$5000,"&lt;="&amp;DATE(2025,12,31))</f>
        <v>0</v>
      </c>
      <c r="R9" s="508">
        <f>SUMIFS('Sony Europe - New'!$J$4:$J$5000,'Sony Europe - New'!$C$4:$C$5000,"&gt;="&amp;DATE(2026,1,1),'Sony Europe - New'!$C$4:$C$5000,"&lt;="&amp;DATE(2026,3,31))</f>
        <v>0</v>
      </c>
      <c r="S9" s="508">
        <f>SUMIFS('Sony Europe - New'!$J$4:$J$5000,'Sony Europe - New'!$C$4:$C$5000,"&gt;="&amp;DATE(2026,4,1),'Sony Europe - New'!$C$4:$C$5000,"&lt;="&amp;DATE(2026,6,30))</f>
        <v>0</v>
      </c>
      <c r="T9" s="508">
        <f>SUMIFS('Sony Europe - New'!$J$4:$J$5000,'Sony Europe - New'!$C$4:$C$5000,"&gt;="&amp;DATE(2026,7,1),'Sony Europe - New'!$C$4:$C$5000,"&lt;="&amp;DATE(2026,9,30))</f>
        <v>0</v>
      </c>
      <c r="U9" s="508">
        <f>SUMIFS('Sony Europe - New'!$J$4:$J$5000,'Sony Europe - New'!$C$4:$C$5000,"&gt;="&amp;DATE(2026,10,1),'Sony Europe - New'!$C$4:$C$5000,"&lt;="&amp;DATE(2026,12,31))</f>
        <v>0</v>
      </c>
      <c r="V9" s="493"/>
    </row>
    <row r="10" spans="1:22" s="494" customFormat="1" ht="12" customHeight="1">
      <c r="A10" s="496"/>
      <c r="B10" s="496"/>
      <c r="C10" s="496"/>
      <c r="D10" s="496"/>
      <c r="E10" s="496"/>
      <c r="F10" s="496"/>
      <c r="G10" s="496"/>
      <c r="H10" s="496"/>
      <c r="I10" s="496"/>
      <c r="J10" s="496"/>
      <c r="K10" s="496"/>
      <c r="L10" s="496"/>
      <c r="M10" s="496"/>
      <c r="N10" s="496"/>
      <c r="O10" s="496"/>
      <c r="P10" s="496"/>
      <c r="Q10" s="496"/>
      <c r="R10" s="496"/>
      <c r="S10" s="496"/>
      <c r="T10" s="496"/>
      <c r="U10" s="496"/>
      <c r="V10" s="493"/>
    </row>
    <row r="11" spans="1:22" s="494" customFormat="1" ht="18" customHeight="1">
      <c r="A11" s="503" t="s">
        <v>1185</v>
      </c>
      <c r="B11" s="509">
        <f>SUM(B5:B9)</f>
        <v>0</v>
      </c>
      <c r="C11" s="509">
        <f>SUM(C5:C9)</f>
        <v>0</v>
      </c>
      <c r="D11" s="509">
        <f>SUM(D5:D9)</f>
        <v>0</v>
      </c>
      <c r="E11" s="509">
        <f>SUM(E5:E9)</f>
        <v>9470</v>
      </c>
      <c r="F11" s="509">
        <f>SUM(F5:F9)</f>
        <v>79385</v>
      </c>
      <c r="G11" s="509">
        <f>SUM(G5:G9)</f>
        <v>52999.104999999996</v>
      </c>
      <c r="H11" s="509">
        <f>SUM(H5:H9)</f>
        <v>58625</v>
      </c>
      <c r="I11" s="509">
        <f>SUM(I5:I9)</f>
        <v>63234.467999999993</v>
      </c>
      <c r="J11" s="509">
        <f>SUM(J5:J9)</f>
        <v>70734.399999999994</v>
      </c>
      <c r="K11" s="509">
        <f>SUM(K5:K9)</f>
        <v>48610</v>
      </c>
      <c r="L11" s="509">
        <f>SUM(L5:L9)</f>
        <v>61925</v>
      </c>
      <c r="M11" s="509">
        <f>SUM(M5:M9)</f>
        <v>53916.049999999996</v>
      </c>
      <c r="N11" s="509">
        <f>SUM(N5:N9)</f>
        <v>41280</v>
      </c>
      <c r="O11" s="509">
        <f>SUM(O5:O9)</f>
        <v>56172.221999999994</v>
      </c>
      <c r="P11" s="509">
        <f>SUM(P5:P9)</f>
        <v>43238.080000000002</v>
      </c>
      <c r="Q11" s="509">
        <f>SUM(Q5:Q9)</f>
        <v>55164.850000000006</v>
      </c>
      <c r="R11" s="509">
        <f>SUM(R5:R9)</f>
        <v>19752.2</v>
      </c>
      <c r="S11" s="509">
        <f>SUM(S5:S9)</f>
        <v>0</v>
      </c>
      <c r="T11" s="509">
        <f>SUM(T5:T9)</f>
        <v>0</v>
      </c>
      <c r="U11" s="509">
        <f>SUM(U5:U9)</f>
        <v>0</v>
      </c>
      <c r="V11" s="493"/>
    </row>
    <row r="12" spans="1:22" ht="12" customHeight="1">
      <c r="A12" s="495"/>
      <c r="B12" s="495"/>
      <c r="C12" s="495"/>
      <c r="D12" s="495"/>
      <c r="E12" s="495"/>
      <c r="F12" s="495"/>
      <c r="G12" s="495"/>
      <c r="H12" s="495"/>
      <c r="I12" s="495"/>
      <c r="J12" s="495"/>
      <c r="K12" s="495"/>
      <c r="L12" s="495"/>
      <c r="M12" s="495"/>
      <c r="N12" s="495"/>
      <c r="O12" s="495"/>
      <c r="P12" s="495"/>
      <c r="Q12" s="495"/>
      <c r="R12" s="495"/>
      <c r="S12" s="495"/>
      <c r="T12" s="495"/>
      <c r="U12" s="495"/>
      <c r="V12" s="489"/>
    </row>
    <row r="13" spans="1:22" ht="18" customHeight="1">
      <c r="A13" s="500" t="s">
        <v>1186</v>
      </c>
      <c r="B13" s="530">
        <v>2022</v>
      </c>
      <c r="C13" s="536"/>
      <c r="D13" s="536"/>
      <c r="E13" s="536"/>
      <c r="F13" s="530">
        <v>2023</v>
      </c>
      <c r="G13" s="536"/>
      <c r="H13" s="536"/>
      <c r="I13" s="536"/>
      <c r="J13" s="530">
        <v>2024</v>
      </c>
      <c r="K13" s="536"/>
      <c r="L13" s="536"/>
      <c r="M13" s="536"/>
      <c r="N13" s="530">
        <v>2025</v>
      </c>
      <c r="O13" s="536"/>
      <c r="P13" s="536"/>
      <c r="Q13" s="536"/>
      <c r="R13" s="530">
        <v>2026</v>
      </c>
      <c r="S13" s="536"/>
      <c r="T13" s="536"/>
      <c r="U13" s="536"/>
      <c r="V13" s="489"/>
    </row>
    <row r="14" spans="1:22" s="491" customFormat="1" ht="18" customHeight="1">
      <c r="A14" s="499"/>
      <c r="B14" s="499" t="s">
        <v>70</v>
      </c>
      <c r="C14" s="499" t="s">
        <v>68</v>
      </c>
      <c r="D14" s="499" t="s">
        <v>86</v>
      </c>
      <c r="E14" s="499" t="s">
        <v>87</v>
      </c>
      <c r="F14" s="499" t="s">
        <v>70</v>
      </c>
      <c r="G14" s="499" t="s">
        <v>68</v>
      </c>
      <c r="H14" s="499" t="s">
        <v>86</v>
      </c>
      <c r="I14" s="499" t="s">
        <v>87</v>
      </c>
      <c r="J14" s="499" t="s">
        <v>70</v>
      </c>
      <c r="K14" s="499" t="s">
        <v>68</v>
      </c>
      <c r="L14" s="499" t="s">
        <v>86</v>
      </c>
      <c r="M14" s="499" t="s">
        <v>87</v>
      </c>
      <c r="N14" s="499" t="s">
        <v>70</v>
      </c>
      <c r="O14" s="499" t="s">
        <v>68</v>
      </c>
      <c r="P14" s="499" t="s">
        <v>86</v>
      </c>
      <c r="Q14" s="499" t="s">
        <v>87</v>
      </c>
      <c r="R14" s="499" t="s">
        <v>70</v>
      </c>
      <c r="S14" s="499" t="s">
        <v>68</v>
      </c>
      <c r="T14" s="499" t="s">
        <v>86</v>
      </c>
      <c r="U14" s="499" t="s">
        <v>87</v>
      </c>
      <c r="V14" s="490"/>
    </row>
    <row r="15" spans="1:22" ht="18" customHeight="1">
      <c r="A15" s="517" t="s">
        <v>0</v>
      </c>
      <c r="B15" s="518">
        <f>COUNTIFS('Sony France'!$F$4:$F$5001,"&gt;="&amp;DATE(2022,1,1),'Sony France'!$F$4:$F$5001,"&lt;="&amp;DATE(2022,3,31))</f>
        <v>0</v>
      </c>
      <c r="C15" s="518">
        <f>COUNTIFS('Sony France'!$F$4:$F$5001,"&gt;="&amp;DATE(2022,4,1),'Sony France'!$F$4:$F$5001,"&lt;="&amp;DATE(2022,6,30))</f>
        <v>0</v>
      </c>
      <c r="D15" s="518">
        <f>COUNTIFS('Sony France'!$F$4:$F$5001,"&gt;="&amp;DATE(2022,7,1),'Sony France'!$F$4:$F$5001,"&lt;="&amp;DATE(2022,9,30))</f>
        <v>0</v>
      </c>
      <c r="E15" s="518">
        <f>COUNTIFS('Sony France'!$F$4:$F$5001,"&gt;="&amp;DATE(2022,10,1),'Sony France'!$F$4:$F$5001,"&lt;="&amp;DATE(2022,12,31))</f>
        <v>21</v>
      </c>
      <c r="F15" s="518">
        <f>COUNTIFS('Sony France'!$F$4:$F$5001,"&gt;="&amp;DATE(2023,1,1),'Sony France'!$F$4:$F$5001,"&lt;="&amp;DATE(2023,3,31))</f>
        <v>48</v>
      </c>
      <c r="G15" s="518">
        <f>COUNTIFS('Sony France'!$F$4:$F$5001,"&gt;="&amp;DATE(2023,4,1),'Sony France'!$F$4:$F$5001,"&lt;="&amp;DATE(2023,6,30))</f>
        <v>76</v>
      </c>
      <c r="H15" s="518">
        <f>COUNTIFS('Sony France'!$F$4:$F$5001,"&gt;="&amp;DATE(2023,7,1),'Sony France'!$F$4:$F$5001,"&lt;="&amp;DATE(2023,9,30))</f>
        <v>58</v>
      </c>
      <c r="I15" s="518">
        <f>COUNTIFS('Sony France'!$F$4:$F$5001,"&gt;="&amp;DATE(2023,10,1),'Sony France'!$F$4:$F$5001,"&lt;="&amp;DATE(2023,12,31))</f>
        <v>83</v>
      </c>
      <c r="J15" s="518">
        <f>COUNTIFS('Sony France'!$F$4:$F$5001,"&gt;="&amp;DATE(2024,1,1),'Sony France'!$F$4:$F$5001,"&lt;="&amp;DATE(2024,3,31))</f>
        <v>65</v>
      </c>
      <c r="K15" s="518">
        <f>COUNTIFS('Sony France'!$F$4:$F$5001,"&gt;="&amp;DATE(2024,4,1),'Sony France'!$F$4:$F$5001,"&lt;="&amp;DATE(2024,6,30))</f>
        <v>92</v>
      </c>
      <c r="L15" s="518">
        <f>COUNTIFS('Sony France'!$F$4:$F$5001,"&gt;="&amp;DATE(2024,7,1),'Sony France'!$F$4:$F$5001,"&lt;="&amp;DATE(2024,9,30))</f>
        <v>78</v>
      </c>
      <c r="M15" s="518">
        <f>COUNTIFS('Sony France'!$F$4:$F$5001,"&gt;="&amp;DATE(2024,10,1),'Sony France'!$F$4:$F$5001,"&lt;="&amp;DATE(2024,12,31))</f>
        <v>88</v>
      </c>
      <c r="N15" s="518">
        <f>COUNTIFS('Sony France'!$F$4:$F$5001,"&gt;="&amp;DATE(2025,1,1),'Sony France'!$F$4:$F$5001,"&lt;="&amp;DATE(2025,3,31))</f>
        <v>67</v>
      </c>
      <c r="O15" s="518">
        <f>COUNTIFS('Sony France'!$F$4:$F$5001,"&gt;="&amp;DATE(2025,4,1),'Sony France'!$F$4:$F$5001,"&lt;="&amp;DATE(2025,6,30))</f>
        <v>69</v>
      </c>
      <c r="P15" s="518">
        <f>COUNTIFS('Sony France'!$F$4:$F$5001,"&gt;="&amp;DATE(2025,7,1),'Sony France'!$F$4:$F$5001,"&lt;="&amp;DATE(2025,9,30))</f>
        <v>70</v>
      </c>
      <c r="Q15" s="518">
        <f>COUNTIFS('Sony France'!$F$4:$F$5001,"&gt;="&amp;DATE(2025,10,1),'Sony France'!$F$4:$F$5001,"&lt;="&amp;DATE(2025,12,31))</f>
        <v>62</v>
      </c>
      <c r="R15" s="518">
        <f>COUNTIFS('Sony France'!$F$4:$F$5001,"&gt;="&amp;DATE(2026,1,1),'Sony France'!$F$4:$F$5001,"&lt;="&amp;DATE(2026,3,31))</f>
        <v>36</v>
      </c>
      <c r="S15" s="518">
        <f>COUNTIFS('Sony France'!$F$4:$F$5001,"&gt;="&amp;DATE(2026,4,1),'Sony France'!$F$4:$F$5001,"&lt;="&amp;DATE(2026,6,30))</f>
        <v>0</v>
      </c>
      <c r="T15" s="518">
        <f>COUNTIFS('Sony France'!$F$4:$F$5001,"&gt;="&amp;DATE(2026,7,1),'Sony France'!$F$4:$F$5001,"&lt;="&amp;DATE(2026,9,30))</f>
        <v>0</v>
      </c>
      <c r="U15" s="518">
        <f>COUNTIFS('Sony France'!$F$4:$F$5001,"&gt;="&amp;DATE(2026,10,1),'Sony France'!$F$4:$F$5001,"&lt;="&amp;DATE(2026,12,31))</f>
        <v>0</v>
      </c>
      <c r="V15" s="489"/>
    </row>
    <row r="16" spans="1:22" ht="18" customHeight="1">
      <c r="A16" s="519" t="s">
        <v>1181</v>
      </c>
      <c r="B16" s="520">
        <f>COUNTIFS('Sony Europe - Manu'!$C$6:$C$5000,"&gt;="&amp;DATE(2022,1,1),'Sony Europe - Manu'!$C$6:$C$5000,"&lt;="&amp;DATE(2022,3,31))</f>
        <v>0</v>
      </c>
      <c r="C16" s="520">
        <f>COUNTIFS('Sony Europe - Manu'!$C$6:$C$5000,"&gt;="&amp;DATE(2022,4,1),'Sony Europe - Manu'!$C$6:$C$5000,"&lt;="&amp;DATE(2022,6,30))</f>
        <v>0</v>
      </c>
      <c r="D16" s="520">
        <f>COUNTIFS('Sony Europe - Manu'!$C$6:$C$5000,"&gt;="&amp;DATE(2022,7,1),'Sony Europe - Manu'!$C$6:$C$5000,"&lt;="&amp;DATE(2022,9,30))</f>
        <v>0</v>
      </c>
      <c r="E16" s="520">
        <f>COUNTIFS('Sony Europe - Manu'!$C$6:$C$5000,"&gt;="&amp;DATE(2022,10,1),'Sony Europe - Manu'!$C$6:$C$5000,"&lt;="&amp;DATE(2022,12,31))</f>
        <v>3</v>
      </c>
      <c r="F16" s="520">
        <f>COUNTIFS('Sony Europe - Manu'!$C$6:$C$5000,"&gt;="&amp;DATE(2023,1,1),'Sony Europe - Manu'!$C$6:$C$5000,"&lt;="&amp;DATE(2023,3,31))</f>
        <v>18</v>
      </c>
      <c r="G16" s="520">
        <f>COUNTIFS('Sony Europe - Manu'!$C$6:$C$5000,"&gt;="&amp;DATE(2023,4,1),'Sony Europe - Manu'!$C$6:$C$5000,"&lt;="&amp;DATE(2023,6,30))</f>
        <v>21</v>
      </c>
      <c r="H16" s="520">
        <f>COUNTIFS('Sony Europe - Manu'!$C$6:$C$5000,"&gt;="&amp;DATE(2023,7,1),'Sony Europe - Manu'!$C$6:$C$5000,"&lt;="&amp;DATE(2023,9,30))</f>
        <v>26</v>
      </c>
      <c r="I16" s="520">
        <f>COUNTIFS('Sony Europe - Manu'!$C$6:$C$5000,"&gt;="&amp;DATE(2023,10,1),'Sony Europe - Manu'!$C$6:$C$5000,"&lt;="&amp;DATE(2023,12,31))</f>
        <v>13</v>
      </c>
      <c r="J16" s="520">
        <f>COUNTIFS('Sony Europe - Manu'!$C$6:$C$5000,"&gt;="&amp;DATE(2024,1,1),'Sony Europe - Manu'!$C$6:$C$5000,"&lt;="&amp;DATE(2024,3,31))</f>
        <v>19</v>
      </c>
      <c r="K16" s="520">
        <f>COUNTIFS('Sony Europe - Manu'!$C$6:$C$5000,"&gt;="&amp;DATE(2024,4,1),'Sony Europe - Manu'!$C$6:$C$5000,"&lt;="&amp;DATE(2024,6,30))</f>
        <v>9</v>
      </c>
      <c r="L16" s="520">
        <f>COUNTIFS('Sony Europe - Manu'!$C$6:$C$5000,"&gt;="&amp;DATE(2024,7,1),'Sony Europe - Manu'!$C$6:$C$5000,"&lt;="&amp;DATE(2024,9,30))</f>
        <v>13</v>
      </c>
      <c r="M16" s="520">
        <f>COUNTIFS('Sony Europe - Manu'!$C$6:$C$5000,"&gt;="&amp;DATE(2024,10,1),'Sony Europe - Manu'!$C$6:$C$5000,"&lt;="&amp;DATE(2024,12,31))</f>
        <v>12</v>
      </c>
      <c r="N16" s="520">
        <f>COUNTIFS('Sony Europe - Manu'!$C$6:$C$5000,"&gt;="&amp;DATE(2025,1,1),'Sony Europe - Manu'!$C$6:$C$5000,"&lt;="&amp;DATE(2025,3,31))</f>
        <v>6</v>
      </c>
      <c r="O16" s="520">
        <f>COUNTIFS('Sony Europe - Manu'!$C$6:$C$5000,"&gt;="&amp;DATE(2025,4,1),'Sony Europe - Manu'!$C$6:$C$5000,"&lt;="&amp;DATE(2025,6,30))</f>
        <v>0</v>
      </c>
      <c r="P16" s="520">
        <f>COUNTIFS('Sony Europe - Manu'!$C$6:$C$5000,"&gt;="&amp;DATE(2025,7,1),'Sony Europe - Manu'!$C$6:$C$5000,"&lt;="&amp;DATE(2025,9,30))</f>
        <v>0</v>
      </c>
      <c r="Q16" s="520">
        <f>COUNTIFS('Sony Europe - Manu'!$C$6:$C$5000,"&gt;="&amp;DATE(2025,10,1),'Sony Europe - Manu'!$C$6:$C$5000,"&lt;="&amp;DATE(2025,12,31))</f>
        <v>0</v>
      </c>
      <c r="R16" s="520">
        <f>COUNTIFS('Sony Europe - Manu'!$C$6:$C$5000,"&gt;="&amp;DATE(2026,1,1),'Sony Europe - Manu'!$C$6:$C$5000,"&lt;="&amp;DATE(2026,3,31))</f>
        <v>0</v>
      </c>
      <c r="S16" s="520">
        <f>COUNTIFS('Sony Europe - Manu'!$C$6:$C$5000,"&gt;="&amp;DATE(2026,4,1),'Sony Europe - Manu'!$C$6:$C$5000,"&lt;="&amp;DATE(2026,6,30))</f>
        <v>0</v>
      </c>
      <c r="T16" s="520">
        <f>COUNTIFS('Sony Europe - Manu'!$C$6:$C$5000,"&gt;="&amp;DATE(2026,7,1),'Sony Europe - Manu'!$C$6:$C$5000,"&lt;="&amp;DATE(2026,9,30))</f>
        <v>0</v>
      </c>
      <c r="U16" s="520">
        <f>COUNTIFS('Sony Europe - Manu'!$C$6:$C$5000,"&gt;="&amp;DATE(2026,10,1),'Sony Europe - Manu'!$C$6:$C$5000,"&lt;="&amp;DATE(2026,12,31))</f>
        <v>0</v>
      </c>
      <c r="V16" s="489"/>
    </row>
    <row r="17" spans="1:22" ht="18" customHeight="1">
      <c r="A17" s="517" t="s">
        <v>1182</v>
      </c>
      <c r="B17" s="518">
        <f>COUNTIFS('Sony Professional'!$C$4:$C$5000,"&gt;="&amp;DATE(2022,1,1),'Sony Professional'!$C$4:$C$5000,"&lt;="&amp;DATE(2022,3,31))</f>
        <v>0</v>
      </c>
      <c r="C17" s="518">
        <f>COUNTIFS('Sony Professional'!$C$4:$C$5000,"&gt;="&amp;DATE(2022,4,1),'Sony Professional'!$C$4:$C$5000,"&lt;="&amp;DATE(2022,6,30))</f>
        <v>0</v>
      </c>
      <c r="D17" s="518">
        <f>COUNTIFS('Sony Professional'!$C$4:$C$5000,"&gt;="&amp;DATE(2022,7,1),'Sony Professional'!$C$4:$C$5000,"&lt;="&amp;DATE(2022,9,30))</f>
        <v>0</v>
      </c>
      <c r="E17" s="518">
        <f>COUNTIFS('Sony Professional'!$C$4:$C$5000,"&gt;="&amp;DATE(2022,10,1),'Sony Professional'!$C$4:$C$5000,"&lt;="&amp;DATE(2022,12,31))</f>
        <v>0</v>
      </c>
      <c r="F17" s="518">
        <f>COUNTIFS('Sony Professional'!$C$4:$C$5000,"&gt;="&amp;DATE(2023,1,1),'Sony Professional'!$C$4:$C$5000,"&lt;="&amp;DATE(2023,3,31))</f>
        <v>4</v>
      </c>
      <c r="G17" s="518">
        <f>COUNTIFS('Sony Professional'!$C$4:$C$5000,"&gt;="&amp;DATE(2023,4,1),'Sony Professional'!$C$4:$C$5000,"&lt;="&amp;DATE(2023,6,30))</f>
        <v>14</v>
      </c>
      <c r="H17" s="518">
        <f>COUNTIFS('Sony Professional'!$C$4:$C$5000,"&gt;="&amp;DATE(2023,7,1),'Sony Professional'!$C$4:$C$5000,"&lt;="&amp;DATE(2023,9,30))</f>
        <v>19</v>
      </c>
      <c r="I17" s="518">
        <f>COUNTIFS('Sony Professional'!$C$4:$C$5000,"&gt;="&amp;DATE(2023,10,1),'Sony Professional'!$C$4:$C$5000,"&lt;="&amp;DATE(2023,12,31))</f>
        <v>26</v>
      </c>
      <c r="J17" s="518">
        <f>COUNTIFS('Sony Professional'!$C$4:$C$5000,"&gt;="&amp;DATE(2024,1,1),'Sony Professional'!$C$4:$C$5000,"&lt;="&amp;DATE(2024,3,31))</f>
        <v>19</v>
      </c>
      <c r="K17" s="518">
        <f>COUNTIFS('Sony Professional'!$C$4:$C$5000,"&gt;="&amp;DATE(2024,4,1),'Sony Professional'!$C$4:$C$5000,"&lt;="&amp;DATE(2024,6,30))</f>
        <v>15</v>
      </c>
      <c r="L17" s="518">
        <f>COUNTIFS('Sony Professional'!$C$4:$C$5000,"&gt;="&amp;DATE(2024,7,1),'Sony Professional'!$C$4:$C$5000,"&lt;="&amp;DATE(2024,9,30))</f>
        <v>15</v>
      </c>
      <c r="M17" s="518">
        <f>COUNTIFS('Sony Professional'!$C$4:$C$5000,"&gt;="&amp;DATE(2024,10,1),'Sony Professional'!$C$4:$C$5000,"&lt;="&amp;DATE(2024,12,31))</f>
        <v>11</v>
      </c>
      <c r="N17" s="518">
        <f>COUNTIFS('Sony Professional'!$C$4:$C$5000,"&gt;="&amp;DATE(2025,1,1),'Sony Professional'!$C$4:$C$5000,"&lt;="&amp;DATE(2025,3,31))</f>
        <v>9</v>
      </c>
      <c r="O17" s="518">
        <f>COUNTIFS('Sony Professional'!$C$4:$C$5000,"&gt;="&amp;DATE(2025,4,1),'Sony Professional'!$C$4:$C$5000,"&lt;="&amp;DATE(2025,6,30))</f>
        <v>7</v>
      </c>
      <c r="P17" s="518">
        <f>COUNTIFS('Sony Professional'!$C$4:$C$5000,"&gt;="&amp;DATE(2025,7,1),'Sony Professional'!$C$4:$C$5000,"&lt;="&amp;DATE(2025,9,30))</f>
        <v>6</v>
      </c>
      <c r="Q17" s="518">
        <f>COUNTIFS('Sony Professional'!$C$4:$C$5000,"&gt;="&amp;DATE(2025,10,1),'Sony Professional'!$C$4:$C$5000,"&lt;="&amp;DATE(2025,12,31))</f>
        <v>8</v>
      </c>
      <c r="R17" s="518">
        <f>COUNTIFS('Sony Professional'!$C$4:$C$5000,"&gt;="&amp;DATE(2026,1,1),'Sony Professional'!$C$4:$C$5000,"&lt;="&amp;DATE(2026,3,31))</f>
        <v>2</v>
      </c>
      <c r="S17" s="518">
        <f>COUNTIFS('Sony Professional'!$C$4:$C$5000,"&gt;="&amp;DATE(2026,4,1),'Sony Professional'!$C$4:$C$5000,"&lt;="&amp;DATE(2026,6,30))</f>
        <v>0</v>
      </c>
      <c r="T17" s="518">
        <f>COUNTIFS('Sony Professional'!$C$4:$C$5000,"&gt;="&amp;DATE(2026,7,1),'Sony Professional'!$C$4:$C$5000,"&lt;="&amp;DATE(2026,9,30))</f>
        <v>0</v>
      </c>
      <c r="U17" s="518">
        <f>COUNTIFS('Sony Professional'!$C$4:$C$5000,"&gt;="&amp;DATE(2026,10,1),'Sony Professional'!$C$4:$C$5000,"&lt;="&amp;DATE(2026,12,31))</f>
        <v>0</v>
      </c>
      <c r="V17" s="489"/>
    </row>
    <row r="18" spans="1:22" ht="18" customHeight="1">
      <c r="A18" s="519" t="s">
        <v>1183</v>
      </c>
      <c r="B18" s="520">
        <f>COUNTIFS('Sony Europe - Other'!$C$4:$C$5000,"&gt;="&amp;DATE(2022,1,1),'Sony Europe - Other'!$C$4:$C$5000,"&lt;="&amp;DATE(2022,3,31))</f>
        <v>0</v>
      </c>
      <c r="C18" s="520">
        <f>COUNTIFS('Sony Europe - Other'!$C$4:$C$5000,"&gt;="&amp;DATE(2022,4,1),'Sony Europe - Other'!$C$4:$C$5000,"&lt;="&amp;DATE(2022,6,30))</f>
        <v>0</v>
      </c>
      <c r="D18" s="520">
        <f>COUNTIFS('Sony Europe - Other'!$C$4:$C$5000,"&gt;="&amp;DATE(2022,7,1),'Sony Europe - Other'!$C$4:$C$5000,"&lt;="&amp;DATE(2022,9,30))</f>
        <v>0</v>
      </c>
      <c r="E18" s="520">
        <f>COUNTIFS('Sony Europe - Other'!$C$4:$C$5000,"&gt;="&amp;DATE(2022,10,1),'Sony Europe - Other'!$C$4:$C$5000,"&lt;="&amp;DATE(2022,12,31))</f>
        <v>0</v>
      </c>
      <c r="F18" s="520">
        <f>COUNTIFS('Sony Europe - Other'!$C$4:$C$5000,"&gt;="&amp;DATE(2023,1,1),'Sony Europe - Other'!$C$4:$C$5000,"&lt;="&amp;DATE(2023,3,31))</f>
        <v>0</v>
      </c>
      <c r="G18" s="520">
        <f>COUNTIFS('Sony Europe - Other'!$C$4:$C$5000,"&gt;="&amp;DATE(2023,4,1),'Sony Europe - Other'!$C$4:$C$5000,"&lt;="&amp;DATE(2023,6,30))</f>
        <v>0</v>
      </c>
      <c r="H18" s="520">
        <f>COUNTIFS('Sony Europe - Other'!$C$4:$C$5000,"&gt;="&amp;DATE(2023,7,1),'Sony Europe - Other'!$C$4:$C$5000,"&lt;="&amp;DATE(2023,9,30))</f>
        <v>0</v>
      </c>
      <c r="I18" s="520">
        <f>COUNTIFS('Sony Europe - Other'!$C$4:$C$5000,"&gt;="&amp;DATE(2023,10,1),'Sony Europe - Other'!$C$4:$C$5000,"&lt;="&amp;DATE(2023,12,31))</f>
        <v>0</v>
      </c>
      <c r="J18" s="520">
        <f>COUNTIFS('Sony Europe - Other'!$C$4:$C$5000,"&gt;="&amp;DATE(2024,1,1),'Sony Europe - Other'!$C$4:$C$5000,"&lt;="&amp;DATE(2024,3,31))</f>
        <v>0</v>
      </c>
      <c r="K18" s="520">
        <f>COUNTIFS('Sony Europe - Other'!$C$4:$C$5000,"&gt;="&amp;DATE(2024,4,1),'Sony Europe - Other'!$C$4:$C$5000,"&lt;="&amp;DATE(2024,6,30))</f>
        <v>3</v>
      </c>
      <c r="L18" s="520">
        <f>COUNTIFS('Sony Europe - Other'!$C$4:$C$5000,"&gt;="&amp;DATE(2024,7,1),'Sony Europe - Other'!$C$4:$C$5000,"&lt;="&amp;DATE(2024,9,30))</f>
        <v>10</v>
      </c>
      <c r="M18" s="520">
        <f>COUNTIFS('Sony Europe - Other'!$C$4:$C$5000,"&gt;="&amp;DATE(2024,10,1),'Sony Europe - Other'!$C$4:$C$5000,"&lt;="&amp;DATE(2024,12,31))</f>
        <v>3</v>
      </c>
      <c r="N18" s="520">
        <f>COUNTIFS('Sony Europe - Other'!$C$4:$C$5000,"&gt;="&amp;DATE(2025,1,1),'Sony Europe - Other'!$C$4:$C$5000,"&lt;="&amp;DATE(2025,3,31))</f>
        <v>6</v>
      </c>
      <c r="O18" s="520">
        <f>COUNTIFS('Sony Europe - Other'!$C$4:$C$5000,"&gt;="&amp;DATE(2025,4,1),'Sony Europe - Other'!$C$4:$C$5000,"&lt;="&amp;DATE(2025,6,30))</f>
        <v>17</v>
      </c>
      <c r="P18" s="520">
        <f>COUNTIFS('Sony Europe - Other'!$C$4:$C$5000,"&gt;="&amp;DATE(2025,7,1),'Sony Europe - Other'!$C$4:$C$5000,"&lt;="&amp;DATE(2025,9,30))</f>
        <v>15</v>
      </c>
      <c r="Q18" s="520">
        <f>COUNTIFS('Sony Europe - Other'!$C$4:$C$5000,"&gt;="&amp;DATE(2025,10,1),'Sony Europe - Other'!$C$4:$C$5000,"&lt;="&amp;DATE(2025,12,31))</f>
        <v>14</v>
      </c>
      <c r="R18" s="520">
        <f>COUNTIFS('Sony Europe - Other'!$C$4:$C$5000,"&gt;="&amp;DATE(2026,1,1),'Sony Europe - Other'!$C$4:$C$5000,"&lt;="&amp;DATE(2026,3,31))</f>
        <v>9</v>
      </c>
      <c r="S18" s="520">
        <f>COUNTIFS('Sony Europe - Other'!$C$4:$C$5000,"&gt;="&amp;DATE(2026,4,1),'Sony Europe - Other'!$C$4:$C$5000,"&lt;="&amp;DATE(2026,6,30))</f>
        <v>0</v>
      </c>
      <c r="T18" s="520">
        <f>COUNTIFS('Sony Europe - Other'!$C$4:$C$5000,"&gt;="&amp;DATE(2026,7,1),'Sony Europe - Other'!$C$4:$C$5000,"&lt;="&amp;DATE(2026,9,30))</f>
        <v>0</v>
      </c>
      <c r="U18" s="520">
        <f>COUNTIFS('Sony Europe - Other'!$C$4:$C$5000,"&gt;="&amp;DATE(2026,10,1),'Sony Europe - Other'!$C$4:$C$5000,"&lt;="&amp;DATE(2026,12,31))</f>
        <v>0</v>
      </c>
      <c r="V18" s="489"/>
    </row>
    <row r="19" spans="1:22" ht="18" customHeight="1">
      <c r="A19" s="504" t="s">
        <v>1184</v>
      </c>
      <c r="B19" s="511">
        <f>COUNTIFS('Sony Europe - New'!$C$4:$C$5000,"&gt;="&amp;DATE(2022,1,1),'Sony Europe - New'!$C$4:$C$5000,"&lt;="&amp;DATE(2022,3,31))</f>
        <v>0</v>
      </c>
      <c r="C19" s="511">
        <f>COUNTIFS('Sony Europe - New'!$C$4:$C$5000,"&gt;="&amp;DATE(2022,4,1),'Sony Europe - New'!$C$4:$C$5000,"&lt;="&amp;DATE(2022,6,30))</f>
        <v>0</v>
      </c>
      <c r="D19" s="511">
        <f>COUNTIFS('Sony Europe - New'!$C$4:$C$5000,"&gt;="&amp;DATE(2022,7,1),'Sony Europe - New'!$C$4:$C$5000,"&lt;="&amp;DATE(2022,9,30))</f>
        <v>0</v>
      </c>
      <c r="E19" s="511">
        <f>COUNTIFS('Sony Europe - New'!$C$4:$C$5000,"&gt;="&amp;DATE(2022,10,1),'Sony Europe - New'!$C$4:$C$5000,"&lt;="&amp;DATE(2022,12,31))</f>
        <v>0</v>
      </c>
      <c r="F19" s="511">
        <f>COUNTIFS('Sony Europe - New'!$C$4:$C$5000,"&gt;="&amp;DATE(2023,1,1),'Sony Europe - New'!$C$4:$C$5000,"&lt;="&amp;DATE(2023,3,31))</f>
        <v>0</v>
      </c>
      <c r="G19" s="511">
        <f>COUNTIFS('Sony Europe - New'!$C$4:$C$5000,"&gt;="&amp;DATE(2023,4,1),'Sony Europe - New'!$C$4:$C$5000,"&lt;="&amp;DATE(2023,6,30))</f>
        <v>0</v>
      </c>
      <c r="H19" s="511">
        <f>COUNTIFS('Sony Europe - New'!$C$4:$C$5000,"&gt;="&amp;DATE(2023,7,1),'Sony Europe - New'!$C$4:$C$5000,"&lt;="&amp;DATE(2023,9,30))</f>
        <v>0</v>
      </c>
      <c r="I19" s="511">
        <f>COUNTIFS('Sony Europe - New'!$C$4:$C$5000,"&gt;="&amp;DATE(2023,10,1),'Sony Europe - New'!$C$4:$C$5000,"&lt;="&amp;DATE(2023,12,31))</f>
        <v>0</v>
      </c>
      <c r="J19" s="511">
        <f>COUNTIFS('Sony Europe - New'!$C$4:$C$5000,"&gt;="&amp;DATE(2024,1,1),'Sony Europe - New'!$C$4:$C$5000,"&lt;="&amp;DATE(2024,3,31))</f>
        <v>0</v>
      </c>
      <c r="K19" s="511">
        <f>COUNTIFS('Sony Europe - New'!$C$4:$C$5000,"&gt;="&amp;DATE(2024,4,1),'Sony Europe - New'!$C$4:$C$5000,"&lt;="&amp;DATE(2024,6,30))</f>
        <v>0</v>
      </c>
      <c r="L19" s="511">
        <f>COUNTIFS('Sony Europe - New'!$C$4:$C$5000,"&gt;="&amp;DATE(2024,7,1),'Sony Europe - New'!$C$4:$C$5000,"&lt;="&amp;DATE(2024,9,30))</f>
        <v>0</v>
      </c>
      <c r="M19" s="511">
        <f>COUNTIFS('Sony Europe - New'!$C$4:$C$5000,"&gt;="&amp;DATE(2024,10,1),'Sony Europe - New'!$C$4:$C$5000,"&lt;="&amp;DATE(2024,12,31))</f>
        <v>0</v>
      </c>
      <c r="N19" s="511">
        <f>COUNTIFS('Sony Europe - New'!$C$4:$C$5000,"&gt;="&amp;DATE(2025,1,1),'Sony Europe - New'!$C$4:$C$5000,"&lt;="&amp;DATE(2025,3,31))</f>
        <v>0</v>
      </c>
      <c r="O19" s="511">
        <f>COUNTIFS('Sony Europe - New'!$C$4:$C$5000,"&gt;="&amp;DATE(2025,4,1),'Sony Europe - New'!$C$4:$C$5000,"&lt;="&amp;DATE(2025,6,30))</f>
        <v>6</v>
      </c>
      <c r="P19" s="511">
        <f>COUNTIFS('Sony Europe - New'!$C$4:$C$5000,"&gt;="&amp;DATE(2025,7,1),'Sony Europe - New'!$C$4:$C$5000,"&lt;="&amp;DATE(2025,9,30))</f>
        <v>0</v>
      </c>
      <c r="Q19" s="511">
        <f>COUNTIFS('Sony Europe - New'!$C$4:$C$5000,"&gt;="&amp;DATE(2025,10,1),'Sony Europe - New'!$C$4:$C$5000,"&lt;="&amp;DATE(2025,12,31))</f>
        <v>0</v>
      </c>
      <c r="R19" s="511">
        <f>COUNTIFS('Sony Europe - New'!$C$4:$C$5000,"&gt;="&amp;DATE(2026,1,1),'Sony Europe - New'!$C$4:$C$5000,"&lt;="&amp;DATE(2026,3,31))</f>
        <v>0</v>
      </c>
      <c r="S19" s="511">
        <f>COUNTIFS('Sony Europe - New'!$C$4:$C$5000,"&gt;="&amp;DATE(2026,4,1),'Sony Europe - New'!$C$4:$C$5000,"&lt;="&amp;DATE(2026,6,30))</f>
        <v>0</v>
      </c>
      <c r="T19" s="511">
        <f>COUNTIFS('Sony Europe - New'!$C$4:$C$5000,"&gt;="&amp;DATE(2026,7,1),'Sony Europe - New'!$C$4:$C$5000,"&lt;="&amp;DATE(2026,9,30))</f>
        <v>0</v>
      </c>
      <c r="U19" s="511">
        <f>COUNTIFS('Sony Europe - New'!$C$4:$C$5000,"&gt;="&amp;DATE(2026,10,1),'Sony Europe - New'!$C$4:$C$5000,"&lt;="&amp;DATE(2026,12,31))</f>
        <v>0</v>
      </c>
      <c r="V19" s="489"/>
    </row>
    <row r="20" spans="1:22" ht="12" customHeight="1">
      <c r="A20" s="495"/>
      <c r="B20" s="495"/>
      <c r="C20" s="495"/>
      <c r="D20" s="495"/>
      <c r="E20" s="495"/>
      <c r="F20" s="495"/>
      <c r="G20" s="495"/>
      <c r="H20" s="495"/>
      <c r="I20" s="495"/>
      <c r="J20" s="495"/>
      <c r="K20" s="495"/>
      <c r="L20" s="495"/>
      <c r="M20" s="495"/>
      <c r="N20" s="495"/>
      <c r="O20" s="495"/>
      <c r="P20" s="495"/>
      <c r="Q20" s="495"/>
      <c r="R20" s="495"/>
      <c r="S20" s="495"/>
      <c r="T20" s="495"/>
      <c r="U20" s="495"/>
      <c r="V20" s="489"/>
    </row>
    <row r="21" spans="1:22" ht="18" customHeight="1">
      <c r="A21" s="505" t="s">
        <v>1185</v>
      </c>
      <c r="B21" s="512">
        <f>SUM(B15:B19)</f>
        <v>0</v>
      </c>
      <c r="C21" s="512">
        <f>SUM(C15:C19)</f>
        <v>0</v>
      </c>
      <c r="D21" s="512">
        <f>SUM(D15:D19)</f>
        <v>0</v>
      </c>
      <c r="E21" s="512">
        <f>SUM(E15:E19)</f>
        <v>24</v>
      </c>
      <c r="F21" s="512">
        <f>SUM(F15:F19)</f>
        <v>70</v>
      </c>
      <c r="G21" s="512">
        <f>SUM(G15:G19)</f>
        <v>111</v>
      </c>
      <c r="H21" s="512">
        <f>SUM(H15:H19)</f>
        <v>103</v>
      </c>
      <c r="I21" s="512">
        <f>SUM(I15:I19)</f>
        <v>122</v>
      </c>
      <c r="J21" s="512">
        <f>SUM(J15:J19)</f>
        <v>103</v>
      </c>
      <c r="K21" s="512">
        <f>SUM(K15:K19)</f>
        <v>119</v>
      </c>
      <c r="L21" s="512">
        <f>SUM(L15:L19)</f>
        <v>116</v>
      </c>
      <c r="M21" s="512">
        <f>SUM(M15:M19)</f>
        <v>114</v>
      </c>
      <c r="N21" s="512">
        <f>SUM(N15:N19)</f>
        <v>88</v>
      </c>
      <c r="O21" s="512">
        <f>SUM(O15:O19)</f>
        <v>99</v>
      </c>
      <c r="P21" s="512">
        <f>SUM(P15:P19)</f>
        <v>91</v>
      </c>
      <c r="Q21" s="512">
        <f>SUM(Q15:Q19)</f>
        <v>84</v>
      </c>
      <c r="R21" s="512">
        <f>SUM(R15:R19)</f>
        <v>47</v>
      </c>
      <c r="S21" s="512">
        <f>SUM(S15:S19)</f>
        <v>0</v>
      </c>
      <c r="T21" s="512">
        <f>SUM(T15:T19)</f>
        <v>0</v>
      </c>
      <c r="U21" s="512">
        <f>SUM(U15:U19)</f>
        <v>0</v>
      </c>
      <c r="V21" s="489"/>
    </row>
    <row r="22" spans="1:22" ht="12" customHeight="1">
      <c r="A22" s="495"/>
      <c r="B22" s="495"/>
      <c r="C22" s="495"/>
      <c r="D22" s="495"/>
      <c r="E22" s="495"/>
      <c r="F22" s="495"/>
      <c r="G22" s="495"/>
      <c r="H22" s="495"/>
      <c r="I22" s="495"/>
      <c r="J22" s="495"/>
      <c r="K22" s="495"/>
      <c r="L22" s="495"/>
      <c r="M22" s="495"/>
      <c r="N22" s="495"/>
      <c r="O22" s="495"/>
      <c r="P22" s="495"/>
      <c r="Q22" s="495"/>
      <c r="R22" s="495"/>
      <c r="S22" s="495"/>
      <c r="T22" s="495"/>
      <c r="U22" s="495"/>
      <c r="V22" s="489"/>
    </row>
    <row r="23" spans="1:22" ht="18" customHeight="1">
      <c r="A23" s="500" t="s">
        <v>1187</v>
      </c>
      <c r="B23" s="501">
        <v>2022</v>
      </c>
      <c r="C23" s="501">
        <v>2023</v>
      </c>
      <c r="D23" s="501">
        <v>2024</v>
      </c>
      <c r="E23" s="501">
        <v>2025</v>
      </c>
      <c r="F23" s="501">
        <v>2026</v>
      </c>
      <c r="G23" s="500"/>
      <c r="H23" s="500"/>
      <c r="I23" s="500"/>
      <c r="J23" s="500"/>
      <c r="K23" s="500"/>
      <c r="L23" s="500"/>
      <c r="M23" s="500"/>
      <c r="N23" s="500"/>
      <c r="O23" s="500"/>
      <c r="P23" s="500"/>
      <c r="Q23" s="500"/>
      <c r="R23" s="500"/>
      <c r="S23" s="500"/>
      <c r="T23" s="500"/>
      <c r="U23" s="500"/>
      <c r="V23" s="489"/>
    </row>
    <row r="24" spans="1:22" s="494" customFormat="1" ht="18" customHeight="1">
      <c r="A24" s="513" t="s">
        <v>1188</v>
      </c>
      <c r="B24" s="521">
        <f>SUM(B11:E11)</f>
        <v>9470</v>
      </c>
      <c r="C24" s="521">
        <f>SUM(F11:I11)</f>
        <v>254243.57299999997</v>
      </c>
      <c r="D24" s="521">
        <f>SUM(J11:M11)</f>
        <v>235185.44999999998</v>
      </c>
      <c r="E24" s="521">
        <f>SUM(N11:Q11)</f>
        <v>195855.152</v>
      </c>
      <c r="F24" s="521">
        <f>SUM(R11:U11)</f>
        <v>19752.2</v>
      </c>
      <c r="G24" s="521"/>
      <c r="H24" s="521"/>
      <c r="I24" s="521"/>
      <c r="J24" s="521"/>
      <c r="K24" s="521"/>
      <c r="L24" s="521"/>
      <c r="M24" s="521"/>
      <c r="N24" s="521"/>
      <c r="O24" s="521"/>
      <c r="P24" s="521"/>
      <c r="Q24" s="521"/>
      <c r="R24" s="521"/>
      <c r="S24" s="521"/>
      <c r="T24" s="521"/>
      <c r="U24" s="521"/>
      <c r="V24" s="493"/>
    </row>
    <row r="25" spans="1:22" ht="18" customHeight="1">
      <c r="A25" s="519" t="s">
        <v>1189</v>
      </c>
      <c r="B25" s="522">
        <f>SUM(B21:E21)</f>
        <v>24</v>
      </c>
      <c r="C25" s="522">
        <f>SUM(F21:I21)</f>
        <v>406</v>
      </c>
      <c r="D25" s="522">
        <f>SUM(J21:M21)</f>
        <v>452</v>
      </c>
      <c r="E25" s="522">
        <f>SUM(N21:Q21)</f>
        <v>362</v>
      </c>
      <c r="F25" s="522">
        <f>SUM(R21:U21)</f>
        <v>47</v>
      </c>
      <c r="G25" s="522"/>
      <c r="H25" s="522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489"/>
    </row>
    <row r="26" spans="1:22" s="494" customFormat="1" ht="18" customHeight="1">
      <c r="A26" s="506" t="s">
        <v>1190</v>
      </c>
      <c r="B26" s="510">
        <f>IFERROR(B24/B25,"—")</f>
        <v>394.58333333333331</v>
      </c>
      <c r="C26" s="510">
        <f>IFERROR(C24/C25,"—")</f>
        <v>626.21569704433489</v>
      </c>
      <c r="D26" s="510">
        <f>IFERROR(D24/D25,"—")</f>
        <v>520.32179203539818</v>
      </c>
      <c r="E26" s="510">
        <f>IFERROR(E24/E25,"—")</f>
        <v>541.03633149171276</v>
      </c>
      <c r="F26" s="510">
        <f>IFERROR(F24/F25,"—")</f>
        <v>420.25957446808513</v>
      </c>
      <c r="G26" s="510"/>
      <c r="H26" s="510"/>
      <c r="I26" s="510"/>
      <c r="J26" s="510"/>
      <c r="K26" s="510"/>
      <c r="L26" s="510"/>
      <c r="M26" s="510"/>
      <c r="N26" s="510"/>
      <c r="O26" s="510"/>
      <c r="P26" s="510"/>
      <c r="Q26" s="510"/>
      <c r="R26" s="510"/>
      <c r="S26" s="510"/>
      <c r="T26" s="510"/>
      <c r="U26" s="510"/>
      <c r="V26" s="493"/>
    </row>
    <row r="27" spans="1:22" ht="12" customHeight="1">
      <c r="A27" s="507" t="s">
        <v>1191</v>
      </c>
      <c r="B27" s="507"/>
      <c r="C27" s="507"/>
      <c r="D27" s="507"/>
      <c r="E27" s="507"/>
      <c r="F27" s="507"/>
      <c r="G27" s="507"/>
      <c r="H27" s="507"/>
      <c r="I27" s="507"/>
      <c r="J27" s="507"/>
      <c r="K27" s="507"/>
      <c r="L27" s="507"/>
      <c r="M27" s="507"/>
      <c r="N27" s="507"/>
      <c r="O27" s="507"/>
      <c r="P27" s="507"/>
      <c r="Q27" s="507"/>
      <c r="R27" s="507"/>
      <c r="S27" s="507"/>
      <c r="T27" s="507"/>
      <c r="U27" s="507"/>
      <c r="V27" s="489"/>
    </row>
    <row r="28" spans="1:22">
      <c r="A28" s="489"/>
      <c r="B28" s="489"/>
      <c r="C28" s="489"/>
      <c r="D28" s="489"/>
      <c r="E28" s="489"/>
      <c r="F28" s="489"/>
      <c r="G28" s="489"/>
      <c r="H28" s="489"/>
      <c r="I28" s="489"/>
      <c r="J28" s="489"/>
      <c r="K28" s="489"/>
      <c r="L28" s="489"/>
      <c r="M28" s="489"/>
      <c r="N28" s="489"/>
      <c r="O28" s="489"/>
      <c r="P28" s="489"/>
      <c r="Q28" s="489"/>
      <c r="R28" s="489"/>
      <c r="S28" s="489"/>
      <c r="T28" s="489"/>
      <c r="U28" s="489"/>
      <c r="V28" s="489"/>
    </row>
    <row r="29" spans="1:22">
      <c r="A29" s="489"/>
      <c r="B29" s="489"/>
      <c r="C29" s="489"/>
      <c r="D29" s="489"/>
      <c r="E29" s="489"/>
      <c r="F29" s="489"/>
      <c r="G29" s="489"/>
      <c r="H29" s="489"/>
      <c r="I29" s="489"/>
      <c r="J29" s="489"/>
      <c r="K29" s="489"/>
      <c r="L29" s="489"/>
      <c r="M29" s="489"/>
      <c r="N29" s="489"/>
      <c r="O29" s="489"/>
      <c r="P29" s="489"/>
      <c r="Q29" s="489"/>
      <c r="R29" s="489"/>
      <c r="S29" s="489"/>
      <c r="T29" s="489"/>
      <c r="U29" s="489"/>
      <c r="V29" s="489"/>
    </row>
    <row r="30" spans="1:22">
      <c r="A30" s="489"/>
      <c r="B30" s="489"/>
      <c r="C30" s="489"/>
      <c r="D30" s="489"/>
      <c r="E30" s="489"/>
      <c r="F30" s="489"/>
      <c r="G30" s="489"/>
      <c r="H30" s="489"/>
      <c r="I30" s="489"/>
      <c r="J30" s="489"/>
      <c r="K30" s="489"/>
      <c r="L30" s="489"/>
      <c r="M30" s="489"/>
      <c r="N30" s="489"/>
      <c r="O30" s="489"/>
      <c r="P30" s="489"/>
      <c r="Q30" s="489"/>
      <c r="R30" s="489"/>
      <c r="S30" s="492"/>
      <c r="T30" s="492"/>
      <c r="U30" s="492"/>
      <c r="V30" s="492"/>
    </row>
    <row r="31" spans="1:22">
      <c r="A31" s="489"/>
      <c r="B31" s="489"/>
      <c r="C31" s="489"/>
      <c r="D31" s="489"/>
      <c r="E31" s="489"/>
      <c r="F31" s="489"/>
      <c r="G31" s="489"/>
      <c r="H31" s="489"/>
      <c r="I31" s="489"/>
      <c r="J31" s="489"/>
      <c r="K31" s="489"/>
      <c r="L31" s="489"/>
      <c r="M31" s="489"/>
      <c r="N31" s="489"/>
      <c r="O31" s="489"/>
      <c r="P31" s="489"/>
      <c r="Q31" s="489"/>
      <c r="R31" s="489"/>
      <c r="S31" s="492"/>
      <c r="T31" s="492"/>
      <c r="U31" s="492"/>
      <c r="V31" s="492"/>
    </row>
    <row r="32" spans="1:22">
      <c r="A32" s="489"/>
      <c r="B32" s="489"/>
      <c r="C32" s="489"/>
      <c r="D32" s="489"/>
      <c r="E32" s="489"/>
      <c r="F32" s="489"/>
      <c r="G32" s="489"/>
      <c r="H32" s="489"/>
      <c r="I32" s="489"/>
      <c r="J32" s="489"/>
      <c r="K32" s="489"/>
      <c r="L32" s="489"/>
      <c r="M32" s="489"/>
      <c r="N32" s="489"/>
      <c r="O32" s="489"/>
      <c r="P32" s="489"/>
      <c r="Q32" s="489"/>
      <c r="R32" s="489"/>
      <c r="S32" s="492"/>
      <c r="T32" s="492"/>
      <c r="U32" s="492"/>
      <c r="V32" s="492"/>
    </row>
    <row r="33" spans="1:22">
      <c r="A33" s="489"/>
      <c r="B33" s="489"/>
      <c r="C33" s="489"/>
      <c r="D33" s="489"/>
      <c r="E33" s="489"/>
      <c r="F33" s="489"/>
      <c r="G33" s="489"/>
      <c r="H33" s="489"/>
      <c r="I33" s="489"/>
      <c r="J33" s="489"/>
      <c r="K33" s="489"/>
      <c r="L33" s="489"/>
      <c r="M33" s="489"/>
      <c r="N33" s="489"/>
      <c r="O33" s="489"/>
      <c r="P33" s="489"/>
      <c r="Q33" s="489"/>
      <c r="R33" s="489"/>
      <c r="S33" s="492"/>
      <c r="T33" s="492"/>
      <c r="U33" s="492"/>
      <c r="V33" s="492"/>
    </row>
    <row r="34" spans="1:22">
      <c r="A34" s="489"/>
      <c r="B34" s="489"/>
      <c r="C34" s="489"/>
      <c r="D34" s="489"/>
      <c r="E34" s="489"/>
      <c r="F34" s="489"/>
      <c r="G34" s="489"/>
      <c r="H34" s="489"/>
      <c r="I34" s="489"/>
      <c r="J34" s="489"/>
      <c r="K34" s="489"/>
      <c r="L34" s="489"/>
      <c r="M34" s="489"/>
      <c r="N34" s="489"/>
      <c r="O34" s="489"/>
      <c r="P34" s="489"/>
      <c r="Q34" s="489"/>
      <c r="R34" s="489"/>
      <c r="S34" s="492"/>
      <c r="T34" s="492"/>
      <c r="U34" s="492"/>
      <c r="V34" s="492"/>
    </row>
    <row r="35" spans="1:22">
      <c r="A35" s="489"/>
      <c r="B35" s="489"/>
      <c r="C35" s="489"/>
      <c r="D35" s="489"/>
      <c r="E35" s="489"/>
      <c r="F35" s="489"/>
      <c r="G35" s="489"/>
      <c r="H35" s="489"/>
      <c r="I35" s="489"/>
      <c r="J35" s="489"/>
      <c r="K35" s="489"/>
      <c r="L35" s="489"/>
      <c r="M35" s="489"/>
      <c r="N35" s="489"/>
      <c r="O35" s="489"/>
      <c r="P35" s="489"/>
      <c r="Q35" s="489"/>
      <c r="R35" s="489"/>
      <c r="S35" s="492"/>
      <c r="T35" s="492"/>
      <c r="U35" s="492"/>
      <c r="V35" s="492"/>
    </row>
    <row r="36" spans="1:22">
      <c r="A36" s="489"/>
      <c r="B36" s="489"/>
      <c r="C36" s="489"/>
      <c r="D36" s="489"/>
      <c r="E36" s="489"/>
      <c r="F36" s="489"/>
      <c r="G36" s="489"/>
      <c r="H36" s="489"/>
      <c r="I36" s="489"/>
      <c r="J36" s="489"/>
      <c r="K36" s="489"/>
      <c r="L36" s="489"/>
      <c r="M36" s="489"/>
      <c r="N36" s="489"/>
      <c r="O36" s="489"/>
      <c r="P36" s="489"/>
      <c r="Q36" s="489"/>
      <c r="R36" s="489"/>
      <c r="S36" s="492"/>
      <c r="T36" s="492"/>
      <c r="U36" s="492"/>
      <c r="V36" s="492"/>
    </row>
    <row r="37" spans="1:22">
      <c r="A37" s="489"/>
      <c r="B37" s="489"/>
      <c r="C37" s="489"/>
      <c r="D37" s="489"/>
      <c r="E37" s="489"/>
      <c r="F37" s="489"/>
      <c r="G37" s="489"/>
      <c r="H37" s="489"/>
      <c r="I37" s="489"/>
      <c r="J37" s="489"/>
      <c r="K37" s="489"/>
      <c r="L37" s="489"/>
      <c r="M37" s="489"/>
      <c r="N37" s="489"/>
      <c r="O37" s="489"/>
      <c r="P37" s="489"/>
      <c r="Q37" s="489"/>
      <c r="R37" s="489"/>
      <c r="S37" s="492"/>
      <c r="T37" s="492"/>
      <c r="U37" s="492"/>
      <c r="V37" s="492"/>
    </row>
    <row r="38" spans="1:22">
      <c r="A38" s="489"/>
      <c r="B38" s="489"/>
      <c r="C38" s="489"/>
      <c r="D38" s="489"/>
      <c r="E38" s="489"/>
      <c r="F38" s="489"/>
      <c r="G38" s="489"/>
      <c r="H38" s="489"/>
      <c r="I38" s="489"/>
      <c r="J38" s="489"/>
      <c r="K38" s="489"/>
      <c r="L38" s="489"/>
      <c r="M38" s="489"/>
      <c r="N38" s="489"/>
      <c r="O38" s="489"/>
      <c r="P38" s="489"/>
      <c r="Q38" s="489"/>
      <c r="R38" s="489"/>
      <c r="S38" s="492"/>
      <c r="T38" s="492"/>
      <c r="U38" s="492"/>
      <c r="V38" s="492"/>
    </row>
    <row r="39" spans="1:22">
      <c r="A39" s="489"/>
      <c r="B39" s="489"/>
      <c r="C39" s="489"/>
      <c r="D39" s="489"/>
      <c r="E39" s="489"/>
      <c r="F39" s="489"/>
      <c r="G39" s="489"/>
      <c r="H39" s="489"/>
      <c r="I39" s="489"/>
      <c r="J39" s="489"/>
      <c r="K39" s="489"/>
      <c r="L39" s="489"/>
      <c r="M39" s="489"/>
      <c r="N39" s="489"/>
      <c r="O39" s="489"/>
      <c r="P39" s="489"/>
      <c r="Q39" s="489"/>
      <c r="R39" s="489"/>
      <c r="S39" s="492"/>
      <c r="T39" s="492"/>
      <c r="U39" s="492"/>
      <c r="V39" s="492"/>
    </row>
  </sheetData>
  <mergeCells count="10">
    <mergeCell ref="B13:E13"/>
    <mergeCell ref="F13:I13"/>
    <mergeCell ref="J13:M13"/>
    <mergeCell ref="N13:Q13"/>
    <mergeCell ref="R13:U13"/>
    <mergeCell ref="B3:E3"/>
    <mergeCell ref="F3:I3"/>
    <mergeCell ref="J3:M3"/>
    <mergeCell ref="N3:Q3"/>
    <mergeCell ref="R3:U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DAF91-7F01-45A0-BFC9-D1719D9D0BD1}">
  <sheetPr filterMode="1"/>
  <dimension ref="A1:XFD1023"/>
  <sheetViews>
    <sheetView tabSelected="1" workbookViewId="0">
      <pane ySplit="3" topLeftCell="A908" activePane="bottomLeft" state="frozen"/>
      <selection pane="bottomLeft" activeCell="I912" sqref="I912:I913"/>
      <selection activeCell="A4" sqref="A4"/>
    </sheetView>
  </sheetViews>
  <sheetFormatPr defaultColWidth="9.140625" defaultRowHeight="15" outlineLevelRow="1"/>
  <cols>
    <col min="1" max="1" width="13.140625" style="286" customWidth="1"/>
    <col min="2" max="2" width="10.28515625" style="286" customWidth="1"/>
    <col min="3" max="3" width="5.28515625" style="280" customWidth="1"/>
    <col min="4" max="4" width="10.140625" style="280" customWidth="1"/>
    <col min="5" max="5" width="10.7109375" style="280" customWidth="1"/>
    <col min="6" max="6" width="11.5703125" style="242" customWidth="1"/>
    <col min="7" max="7" width="57.85546875" style="238" customWidth="1"/>
    <col min="8" max="8" width="20.42578125" style="5" customWidth="1"/>
    <col min="9" max="9" width="11.5703125" style="8" customWidth="1"/>
    <col min="10" max="10" width="14.140625" style="8" bestFit="1" customWidth="1"/>
    <col min="11" max="11" width="10.140625" style="280" customWidth="1"/>
    <col min="12" max="12" width="27" style="5" customWidth="1"/>
    <col min="13" max="13" width="9.140625" style="105" bestFit="1" customWidth="1"/>
    <col min="14" max="14" width="11.42578125" style="66" customWidth="1"/>
    <col min="15" max="15" width="15.42578125" style="8" customWidth="1"/>
    <col min="16" max="16" width="13.7109375" style="280" customWidth="1"/>
    <col min="17" max="17" width="24.28515625" style="138" bestFit="1" customWidth="1"/>
    <col min="18" max="18" width="22.140625" style="138" customWidth="1"/>
    <col min="19" max="19" width="12.28515625" style="138" customWidth="1"/>
    <col min="20" max="20" width="15.42578125" style="138" customWidth="1"/>
    <col min="21" max="21" width="30.7109375" style="255" bestFit="1" customWidth="1"/>
    <col min="22" max="22" width="9.140625" style="7" customWidth="1"/>
    <col min="23" max="28" width="9.140625" style="8" customWidth="1"/>
    <col min="29" max="29" width="9.140625" style="7" customWidth="1"/>
    <col min="30" max="37" width="9.140625" style="8" customWidth="1"/>
    <col min="38" max="39" width="9.140625" style="7" customWidth="1"/>
    <col min="40" max="44" width="9.140625" style="8" customWidth="1"/>
    <col min="45" max="45" width="9.140625" style="7" customWidth="1"/>
    <col min="46" max="51" width="9.140625" style="8" customWidth="1"/>
    <col min="52" max="52" width="9.140625" style="7" customWidth="1"/>
    <col min="53" max="53" width="9.140625" style="8" customWidth="1"/>
    <col min="54" max="54" width="9.140625" style="7" customWidth="1"/>
    <col min="55" max="55" width="9.140625" style="8" customWidth="1"/>
    <col min="56" max="56" width="9.140625" style="9" customWidth="1"/>
    <col min="57" max="57" width="9.140625" style="5" customWidth="1"/>
    <col min="58" max="16384" width="9.140625" style="5"/>
  </cols>
  <sheetData>
    <row r="1" spans="1:62" s="2" customFormat="1">
      <c r="A1" s="10" t="s">
        <v>165</v>
      </c>
      <c r="B1" s="10"/>
      <c r="C1" s="1"/>
      <c r="D1" s="1"/>
      <c r="E1" s="1"/>
      <c r="F1" s="244"/>
      <c r="G1" s="11"/>
      <c r="H1" s="10"/>
      <c r="I1" s="1"/>
      <c r="J1" s="1"/>
      <c r="K1" s="1"/>
      <c r="L1" s="10"/>
      <c r="M1" s="148"/>
      <c r="N1" s="239"/>
      <c r="O1" s="1"/>
      <c r="P1" s="1"/>
      <c r="Q1" s="209"/>
      <c r="R1" s="209"/>
      <c r="S1" s="209"/>
      <c r="T1" s="209"/>
      <c r="U1" s="245"/>
      <c r="V1" s="526" t="s">
        <v>166</v>
      </c>
      <c r="W1" s="526"/>
      <c r="X1" s="526"/>
      <c r="Y1" s="526"/>
      <c r="Z1" s="526"/>
      <c r="AA1" s="526"/>
      <c r="AB1" s="526"/>
      <c r="AC1" s="526" t="s">
        <v>167</v>
      </c>
      <c r="AD1" s="526"/>
      <c r="AE1" s="526"/>
      <c r="AF1" s="526"/>
      <c r="AG1" s="526"/>
      <c r="AH1" s="526"/>
      <c r="AI1" s="526"/>
      <c r="AJ1" s="526"/>
      <c r="AK1" s="531"/>
      <c r="AL1" s="12" t="s">
        <v>168</v>
      </c>
      <c r="AM1" s="526" t="s">
        <v>169</v>
      </c>
      <c r="AN1" s="526"/>
      <c r="AO1" s="526"/>
      <c r="AP1" s="526"/>
      <c r="AQ1" s="526"/>
      <c r="AR1" s="526"/>
      <c r="AS1" s="526" t="s">
        <v>170</v>
      </c>
      <c r="AT1" s="526"/>
      <c r="AU1" s="526"/>
      <c r="AV1" s="526"/>
      <c r="AW1" s="526"/>
      <c r="AX1" s="526"/>
      <c r="AY1" s="526"/>
      <c r="AZ1" s="526" t="s">
        <v>171</v>
      </c>
      <c r="BA1" s="526"/>
      <c r="BB1" s="526" t="s">
        <v>172</v>
      </c>
      <c r="BC1" s="531"/>
      <c r="BD1" s="3"/>
    </row>
    <row r="2" spans="1:62" s="28" customFormat="1" ht="76.5" outlineLevel="1">
      <c r="A2" s="527" t="s">
        <v>11</v>
      </c>
      <c r="B2" s="527"/>
      <c r="C2" s="527"/>
      <c r="D2" s="527"/>
      <c r="E2" s="527"/>
      <c r="F2" s="527"/>
      <c r="G2" s="527"/>
      <c r="H2" s="25" t="s">
        <v>173</v>
      </c>
      <c r="I2" s="25"/>
      <c r="J2" s="25"/>
      <c r="K2" s="25"/>
      <c r="L2" s="25"/>
      <c r="M2" s="149"/>
      <c r="N2" s="25"/>
      <c r="O2" s="25"/>
      <c r="P2" s="25"/>
      <c r="Q2" s="528" t="s">
        <v>220</v>
      </c>
      <c r="R2" s="534"/>
      <c r="S2" s="532" t="s">
        <v>435</v>
      </c>
      <c r="T2" s="528"/>
      <c r="U2" s="533"/>
      <c r="V2" s="24" t="s">
        <v>174</v>
      </c>
      <c r="W2" s="25" t="s">
        <v>175</v>
      </c>
      <c r="X2" s="383" t="s">
        <v>1192</v>
      </c>
      <c r="Y2" s="383" t="s">
        <v>1193</v>
      </c>
      <c r="Z2" s="25" t="s">
        <v>178</v>
      </c>
      <c r="AA2" s="25" t="s">
        <v>179</v>
      </c>
      <c r="AB2" s="25" t="s">
        <v>180</v>
      </c>
      <c r="AC2" s="24" t="s">
        <v>181</v>
      </c>
      <c r="AD2" s="25" t="s">
        <v>182</v>
      </c>
      <c r="AE2" s="25" t="s">
        <v>183</v>
      </c>
      <c r="AF2" s="25" t="s">
        <v>184</v>
      </c>
      <c r="AG2" s="41" t="s">
        <v>185</v>
      </c>
      <c r="AH2" s="41" t="s">
        <v>186</v>
      </c>
      <c r="AI2" s="25" t="s">
        <v>187</v>
      </c>
      <c r="AJ2" s="25" t="s">
        <v>188</v>
      </c>
      <c r="AK2" s="25" t="s">
        <v>189</v>
      </c>
      <c r="AL2" s="24" t="s">
        <v>190</v>
      </c>
      <c r="AM2" s="40" t="s">
        <v>191</v>
      </c>
      <c r="AN2" s="41" t="s">
        <v>192</v>
      </c>
      <c r="AO2" s="25" t="s">
        <v>193</v>
      </c>
      <c r="AP2" s="25" t="s">
        <v>194</v>
      </c>
      <c r="AQ2" s="25" t="s">
        <v>195</v>
      </c>
      <c r="AR2" s="25" t="s">
        <v>196</v>
      </c>
      <c r="AS2" s="24" t="s">
        <v>197</v>
      </c>
      <c r="AT2" s="25" t="s">
        <v>1194</v>
      </c>
      <c r="AU2" s="41" t="s">
        <v>199</v>
      </c>
      <c r="AV2" s="41" t="s">
        <v>200</v>
      </c>
      <c r="AW2" s="25" t="s">
        <v>201</v>
      </c>
      <c r="AX2" s="25" t="s">
        <v>202</v>
      </c>
      <c r="AY2" s="25" t="s">
        <v>203</v>
      </c>
      <c r="AZ2" s="24" t="s">
        <v>204</v>
      </c>
      <c r="BA2" s="25" t="s">
        <v>205</v>
      </c>
      <c r="BB2" s="24" t="s">
        <v>206</v>
      </c>
      <c r="BC2" s="25" t="s">
        <v>207</v>
      </c>
      <c r="BD2" s="26"/>
      <c r="BE2" s="27"/>
      <c r="BF2" s="27"/>
      <c r="BG2" s="27"/>
      <c r="BH2" s="27"/>
      <c r="BI2" s="27"/>
      <c r="BJ2" s="27"/>
    </row>
    <row r="3" spans="1:62" customFormat="1">
      <c r="A3" s="13" t="s">
        <v>208</v>
      </c>
      <c r="B3" s="13" t="s">
        <v>209</v>
      </c>
      <c r="C3" s="13" t="s">
        <v>1</v>
      </c>
      <c r="D3" s="13" t="s">
        <v>65</v>
      </c>
      <c r="E3" s="13" t="s">
        <v>8</v>
      </c>
      <c r="F3" s="116" t="s">
        <v>210</v>
      </c>
      <c r="G3" s="14" t="s">
        <v>11</v>
      </c>
      <c r="H3" s="13" t="s">
        <v>10</v>
      </c>
      <c r="I3" s="13" t="s">
        <v>211</v>
      </c>
      <c r="J3" s="13" t="s">
        <v>24</v>
      </c>
      <c r="K3" s="13" t="s">
        <v>9</v>
      </c>
      <c r="L3" s="13" t="s">
        <v>212</v>
      </c>
      <c r="M3" s="150" t="s">
        <v>213</v>
      </c>
      <c r="N3" s="240" t="s">
        <v>214</v>
      </c>
      <c r="O3" s="13" t="s">
        <v>215</v>
      </c>
      <c r="P3" s="13" t="s">
        <v>4</v>
      </c>
      <c r="Q3" s="210" t="s">
        <v>66</v>
      </c>
      <c r="R3" s="210" t="s">
        <v>1195</v>
      </c>
      <c r="S3" s="303" t="s">
        <v>217</v>
      </c>
      <c r="T3" s="304" t="s">
        <v>218</v>
      </c>
      <c r="U3" s="305" t="s">
        <v>211</v>
      </c>
      <c r="V3" s="15">
        <v>120</v>
      </c>
      <c r="W3" s="16">
        <v>35</v>
      </c>
      <c r="X3" s="16">
        <v>220</v>
      </c>
      <c r="Y3" s="16">
        <v>60</v>
      </c>
      <c r="Z3" s="16">
        <v>250</v>
      </c>
      <c r="AA3" s="16">
        <v>500</v>
      </c>
      <c r="AB3" s="16">
        <v>100</v>
      </c>
      <c r="AC3" s="15">
        <v>135</v>
      </c>
      <c r="AD3" s="17">
        <v>40</v>
      </c>
      <c r="AE3" s="17">
        <v>180</v>
      </c>
      <c r="AF3" s="16">
        <v>250</v>
      </c>
      <c r="AG3" s="16">
        <v>200</v>
      </c>
      <c r="AH3" s="16">
        <v>250</v>
      </c>
      <c r="AI3" s="16">
        <v>180</v>
      </c>
      <c r="AJ3" s="16">
        <v>400</v>
      </c>
      <c r="AK3" s="16">
        <v>2200</v>
      </c>
      <c r="AL3" s="15">
        <v>35</v>
      </c>
      <c r="AM3" s="15">
        <v>500</v>
      </c>
      <c r="AN3" s="15">
        <v>600</v>
      </c>
      <c r="AO3" s="15">
        <v>500</v>
      </c>
      <c r="AP3" s="16">
        <v>1200</v>
      </c>
      <c r="AQ3" s="16">
        <v>5000</v>
      </c>
      <c r="AR3" s="16">
        <v>7000</v>
      </c>
      <c r="AS3" s="15">
        <v>80</v>
      </c>
      <c r="AT3" s="17">
        <v>150</v>
      </c>
      <c r="AU3" s="17">
        <v>260</v>
      </c>
      <c r="AV3" s="17">
        <v>360</v>
      </c>
      <c r="AW3" s="16">
        <v>5000</v>
      </c>
      <c r="AX3" s="16">
        <v>6500</v>
      </c>
      <c r="AY3" s="16">
        <v>10000</v>
      </c>
      <c r="AZ3" s="15">
        <v>2500</v>
      </c>
      <c r="BA3" s="16">
        <v>10000</v>
      </c>
      <c r="BB3" s="18">
        <v>0.1</v>
      </c>
      <c r="BC3" s="19">
        <v>0.25</v>
      </c>
      <c r="BD3" s="4"/>
    </row>
    <row r="4" spans="1:62" hidden="1">
      <c r="A4" s="285" t="s">
        <v>220</v>
      </c>
      <c r="B4" s="285" t="s">
        <v>221</v>
      </c>
      <c r="C4" s="281" t="s">
        <v>1196</v>
      </c>
      <c r="D4" s="281" t="str">
        <f>IF(F4="","",CHOOSE(MONTH(F4),"Q4","Q4","Q4","Q1","Q1","Q1","Q2","Q2","Q2","Q3","Q3","Q3"))</f>
        <v>Q3</v>
      </c>
      <c r="E4" s="282" t="str">
        <f>IF(F4="","",CHOOSE(MONTH(F4),"10-JAN","11-FEB","12-MAR","01-APR","02-MAY","03-JUN","04-JUL","05-AUG","06-SEP","07-OCT","08-NOV","09-DEC"))</f>
        <v>08-NOV</v>
      </c>
      <c r="F4" s="76">
        <v>44880</v>
      </c>
      <c r="G4" s="230" t="s">
        <v>436</v>
      </c>
      <c r="H4" t="s">
        <v>437</v>
      </c>
      <c r="I4" s="29" t="s">
        <v>223</v>
      </c>
      <c r="J4" s="21" t="s">
        <v>95</v>
      </c>
      <c r="K4" s="281" t="s">
        <v>34</v>
      </c>
      <c r="L4" s="22" t="s">
        <v>1197</v>
      </c>
      <c r="M4" s="151">
        <f>IF(SUM(V4:BC4)=0,"-",SUM(V4:BC4))</f>
        <v>3</v>
      </c>
      <c r="N4" s="241">
        <f>IF(SUMPRODUCT($V$3:$BC$3,V4:BC4)=0,"-",SUMPRODUCT($V$3:$BC$3,V4:BC4))</f>
        <v>405</v>
      </c>
      <c r="O4" s="269" t="s">
        <v>440</v>
      </c>
      <c r="P4" s="279" t="str">
        <f>IF(G4="","",IFERROR(IF(S4="Sent","",IF(I4="Delivered","PO en attente","Projet en cours")),""))</f>
        <v/>
      </c>
      <c r="Q4" s="246" t="s">
        <v>441</v>
      </c>
      <c r="R4" s="246"/>
      <c r="S4" s="247" t="s">
        <v>249</v>
      </c>
      <c r="T4" s="248" t="s">
        <v>481</v>
      </c>
      <c r="U4" s="249" t="s">
        <v>517</v>
      </c>
      <c r="V4" s="20"/>
      <c r="W4" s="43"/>
      <c r="X4" s="21"/>
      <c r="Y4" s="21"/>
      <c r="Z4" s="21"/>
      <c r="AA4" s="21"/>
      <c r="AB4" s="21"/>
      <c r="AC4" s="20">
        <v>3</v>
      </c>
      <c r="AD4" s="21"/>
      <c r="AE4" s="21"/>
      <c r="AF4" s="21"/>
      <c r="AG4" s="21"/>
      <c r="AH4" s="21"/>
      <c r="AI4" s="21"/>
      <c r="AJ4" s="43"/>
      <c r="AK4" s="43"/>
      <c r="AL4" s="20"/>
      <c r="AM4" s="20"/>
      <c r="AN4" s="21"/>
      <c r="AO4" s="21"/>
      <c r="AP4" s="21"/>
      <c r="AQ4" s="21"/>
      <c r="AR4" s="21"/>
      <c r="AS4" s="20"/>
      <c r="AT4" s="21"/>
      <c r="AU4" s="21"/>
      <c r="AV4" s="21"/>
      <c r="AW4" s="21"/>
      <c r="AX4" s="21"/>
      <c r="AY4" s="21"/>
      <c r="AZ4" s="20"/>
      <c r="BA4" s="21"/>
      <c r="BB4" s="20"/>
      <c r="BC4" s="21"/>
    </row>
    <row r="5" spans="1:62" hidden="1">
      <c r="A5" s="285" t="s">
        <v>220</v>
      </c>
      <c r="B5" s="285" t="s">
        <v>221</v>
      </c>
      <c r="C5" s="281" t="s">
        <v>1196</v>
      </c>
      <c r="D5" s="281" t="str">
        <f>IF(F5="","",CHOOSE(MONTH(F5),"Q4","Q4","Q4","Q1","Q1","Q1","Q2","Q2","Q2","Q3","Q3","Q3"))</f>
        <v>Q3</v>
      </c>
      <c r="E5" s="282" t="str">
        <f>IF(F5="","",CHOOSE(MONTH(F5),"10-JAN","11-FEB","12-MAR","01-APR","02-MAY","03-JUN","04-JUL","05-AUG","06-SEP","07-OCT","08-NOV","09-DEC"))</f>
        <v>08-NOV</v>
      </c>
      <c r="F5" s="76">
        <v>44880</v>
      </c>
      <c r="G5" s="230" t="s">
        <v>442</v>
      </c>
      <c r="H5" t="s">
        <v>437</v>
      </c>
      <c r="I5" s="29" t="s">
        <v>223</v>
      </c>
      <c r="J5" s="21" t="s">
        <v>95</v>
      </c>
      <c r="K5" s="281" t="s">
        <v>34</v>
      </c>
      <c r="L5" s="23" t="s">
        <v>1198</v>
      </c>
      <c r="M5" s="151">
        <f>IF(SUM(V5:BC5)=0,"-",SUM(V5:BC5))</f>
        <v>1</v>
      </c>
      <c r="N5" s="241">
        <f>IF(SUMPRODUCT($V$3:$BC$3,V5:BC5)=0,"-",SUMPRODUCT($V$3:$BC$3,V5:BC5))</f>
        <v>135</v>
      </c>
      <c r="O5" s="269" t="s">
        <v>440</v>
      </c>
      <c r="P5" s="279" t="str">
        <f>IF(G5="","",IFERROR(IF(S5="Sent","",IF(I5="Delivered","PO en attente","Projet en cours")),""))</f>
        <v/>
      </c>
      <c r="Q5" s="250" t="s">
        <v>444</v>
      </c>
      <c r="R5" s="250"/>
      <c r="S5" s="247" t="s">
        <v>249</v>
      </c>
      <c r="T5" s="248" t="s">
        <v>481</v>
      </c>
      <c r="U5" s="249" t="s">
        <v>517</v>
      </c>
      <c r="V5" s="20"/>
      <c r="W5" s="43"/>
      <c r="X5" s="21"/>
      <c r="Y5" s="21"/>
      <c r="Z5" s="21"/>
      <c r="AA5" s="21"/>
      <c r="AB5" s="21"/>
      <c r="AC5" s="20">
        <v>1</v>
      </c>
      <c r="AD5" s="21"/>
      <c r="AE5" s="21"/>
      <c r="AF5" s="21"/>
      <c r="AG5" s="21"/>
      <c r="AH5" s="21"/>
      <c r="AI5" s="21"/>
      <c r="AJ5" s="43"/>
      <c r="AK5" s="43"/>
      <c r="AL5" s="20"/>
      <c r="AM5" s="20"/>
      <c r="AN5" s="21"/>
      <c r="AO5" s="21"/>
      <c r="AP5" s="21"/>
      <c r="AQ5" s="21"/>
      <c r="AR5" s="21"/>
      <c r="AS5" s="20"/>
      <c r="AT5" s="21"/>
      <c r="AU5" s="21"/>
      <c r="AV5" s="21"/>
      <c r="AW5" s="21"/>
      <c r="AX5" s="21"/>
      <c r="AY5" s="21"/>
      <c r="AZ5" s="20"/>
      <c r="BA5" s="21"/>
      <c r="BB5" s="20"/>
      <c r="BC5" s="21"/>
    </row>
    <row r="6" spans="1:62" hidden="1">
      <c r="A6" s="285" t="s">
        <v>220</v>
      </c>
      <c r="B6" s="285" t="s">
        <v>221</v>
      </c>
      <c r="C6" s="281" t="s">
        <v>1196</v>
      </c>
      <c r="D6" s="281" t="str">
        <f>IF(F6="","",CHOOSE(MONTH(F6),"Q4","Q4","Q4","Q1","Q1","Q1","Q2","Q2","Q2","Q3","Q3","Q3"))</f>
        <v>Q3</v>
      </c>
      <c r="E6" s="282" t="str">
        <f>IF(F6="","",CHOOSE(MONTH(F6),"10-JAN","11-FEB","12-MAR","01-APR","02-MAY","03-JUN","04-JUL","05-AUG","06-SEP","07-OCT","08-NOV","09-DEC"))</f>
        <v>08-NOV</v>
      </c>
      <c r="F6" s="76">
        <v>44882</v>
      </c>
      <c r="G6" s="230" t="s">
        <v>445</v>
      </c>
      <c r="H6" t="s">
        <v>446</v>
      </c>
      <c r="I6" s="29" t="s">
        <v>223</v>
      </c>
      <c r="J6" s="21" t="s">
        <v>67</v>
      </c>
      <c r="K6" s="281" t="s">
        <v>34</v>
      </c>
      <c r="L6" s="23" t="s">
        <v>447</v>
      </c>
      <c r="M6" s="151">
        <f>IF(SUM(V6:BC6)=0,"-",SUM(V6:BC6))</f>
        <v>19</v>
      </c>
      <c r="N6" s="241">
        <f>IF(SUMPRODUCT($V$3:$BC$3,V6:BC6)=0,"-",SUMPRODUCT($V$3:$BC$3,V6:BC6))</f>
        <v>665</v>
      </c>
      <c r="O6" s="269" t="s">
        <v>448</v>
      </c>
      <c r="P6" s="279" t="str">
        <f>IF(G6="","",IFERROR(IF(S6="Sent","",IF(I6="Delivered","PO en attente","Projet en cours")),""))</f>
        <v/>
      </c>
      <c r="Q6" s="246" t="s">
        <v>449</v>
      </c>
      <c r="R6" s="246"/>
      <c r="S6" s="247" t="s">
        <v>249</v>
      </c>
      <c r="T6" s="248" t="s">
        <v>481</v>
      </c>
      <c r="U6" s="249" t="s">
        <v>517</v>
      </c>
      <c r="V6" s="20"/>
      <c r="W6" s="43">
        <v>19</v>
      </c>
      <c r="X6" s="21"/>
      <c r="Y6" s="21"/>
      <c r="Z6" s="21"/>
      <c r="AA6" s="21"/>
      <c r="AB6" s="21"/>
      <c r="AC6" s="20"/>
      <c r="AD6" s="21"/>
      <c r="AE6" s="21"/>
      <c r="AF6" s="21"/>
      <c r="AG6" s="21"/>
      <c r="AH6" s="21"/>
      <c r="AI6" s="21"/>
      <c r="AJ6" s="43"/>
      <c r="AK6" s="43"/>
      <c r="AL6" s="20"/>
      <c r="AM6" s="20"/>
      <c r="AN6" s="21"/>
      <c r="AO6" s="21"/>
      <c r="AP6" s="21"/>
      <c r="AQ6" s="21"/>
      <c r="AR6" s="21"/>
      <c r="AS6" s="20"/>
      <c r="AT6" s="21"/>
      <c r="AU6" s="21"/>
      <c r="AV6" s="21"/>
      <c r="AW6" s="21"/>
      <c r="AX6" s="21"/>
      <c r="AY6" s="21"/>
      <c r="AZ6" s="20"/>
      <c r="BA6" s="21"/>
      <c r="BB6" s="20"/>
      <c r="BC6" s="21"/>
    </row>
    <row r="7" spans="1:62" hidden="1">
      <c r="A7" s="285" t="s">
        <v>220</v>
      </c>
      <c r="B7" s="285" t="s">
        <v>221</v>
      </c>
      <c r="C7" s="281" t="s">
        <v>1196</v>
      </c>
      <c r="D7" s="281" t="str">
        <f>IF(F7="","",CHOOSE(MONTH(F7),"Q4","Q4","Q4","Q1","Q1","Q1","Q2","Q2","Q2","Q3","Q3","Q3"))</f>
        <v>Q3</v>
      </c>
      <c r="E7" s="282" t="str">
        <f>IF(F7="","",CHOOSE(MONTH(F7),"10-JAN","11-FEB","12-MAR","01-APR","02-MAY","03-JUN","04-JUL","05-AUG","06-SEP","07-OCT","08-NOV","09-DEC"))</f>
        <v>08-NOV</v>
      </c>
      <c r="F7" s="76">
        <v>44883</v>
      </c>
      <c r="G7" s="230" t="s">
        <v>450</v>
      </c>
      <c r="H7" t="s">
        <v>437</v>
      </c>
      <c r="I7" s="29" t="s">
        <v>223</v>
      </c>
      <c r="J7" s="21" t="s">
        <v>95</v>
      </c>
      <c r="K7" s="281" t="s">
        <v>34</v>
      </c>
      <c r="L7" s="23" t="s">
        <v>451</v>
      </c>
      <c r="M7" s="151">
        <f>IF(SUM(V7:BC7)=0,"-",SUM(V7:BC7))</f>
        <v>1</v>
      </c>
      <c r="N7" s="241">
        <f>IF(SUMPRODUCT($V$3:$BC$3,V7:BC7)=0,"-",SUMPRODUCT($V$3:$BC$3,V7:BC7))</f>
        <v>120</v>
      </c>
      <c r="O7" s="269" t="s">
        <v>440</v>
      </c>
      <c r="P7" s="279" t="str">
        <f>IF(G7="","",IFERROR(IF(S7="Sent","",IF(I7="Delivered","PO en attente","Projet en cours")),""))</f>
        <v/>
      </c>
      <c r="Q7" s="250" t="s">
        <v>452</v>
      </c>
      <c r="R7" s="250"/>
      <c r="S7" s="247" t="s">
        <v>249</v>
      </c>
      <c r="T7" s="248" t="s">
        <v>481</v>
      </c>
      <c r="U7" s="249" t="s">
        <v>517</v>
      </c>
      <c r="V7" s="20">
        <v>1</v>
      </c>
      <c r="W7" s="43"/>
      <c r="X7" s="21"/>
      <c r="Y7" s="21"/>
      <c r="Z7" s="21"/>
      <c r="AA7" s="21"/>
      <c r="AB7" s="21"/>
      <c r="AC7" s="20"/>
      <c r="AD7" s="21"/>
      <c r="AE7" s="21"/>
      <c r="AF7" s="21"/>
      <c r="AG7" s="21"/>
      <c r="AH7" s="21"/>
      <c r="AI7" s="21"/>
      <c r="AJ7" s="43"/>
      <c r="AK7" s="43"/>
      <c r="AL7" s="20"/>
      <c r="AM7" s="20"/>
      <c r="AN7" s="21"/>
      <c r="AO7" s="21"/>
      <c r="AP7" s="21"/>
      <c r="AQ7" s="21"/>
      <c r="AR7" s="21"/>
      <c r="AS7" s="20"/>
      <c r="AT7" s="21"/>
      <c r="AU7" s="21"/>
      <c r="AV7" s="21"/>
      <c r="AW7" s="21"/>
      <c r="AX7" s="21"/>
      <c r="AY7" s="21"/>
      <c r="AZ7" s="20"/>
      <c r="BA7" s="21"/>
      <c r="BB7" s="20"/>
      <c r="BC7" s="21"/>
    </row>
    <row r="8" spans="1:62" hidden="1">
      <c r="A8" s="285" t="s">
        <v>220</v>
      </c>
      <c r="B8" s="285" t="s">
        <v>221</v>
      </c>
      <c r="C8" s="281" t="s">
        <v>1196</v>
      </c>
      <c r="D8" s="281" t="str">
        <f>IF(F8="","",CHOOSE(MONTH(F8),"Q4","Q4","Q4","Q1","Q1","Q1","Q2","Q2","Q2","Q3","Q3","Q3"))</f>
        <v>Q3</v>
      </c>
      <c r="E8" s="282" t="str">
        <f>IF(F8="","",CHOOSE(MONTH(F8),"10-JAN","11-FEB","12-MAR","01-APR","02-MAY","03-JUN","04-JUL","05-AUG","06-SEP","07-OCT","08-NOV","09-DEC"))</f>
        <v>08-NOV</v>
      </c>
      <c r="F8" s="76">
        <v>44883</v>
      </c>
      <c r="G8" s="230" t="s">
        <v>453</v>
      </c>
      <c r="H8" t="s">
        <v>437</v>
      </c>
      <c r="I8" s="29" t="s">
        <v>223</v>
      </c>
      <c r="J8" s="21" t="s">
        <v>129</v>
      </c>
      <c r="K8" s="281" t="s">
        <v>34</v>
      </c>
      <c r="L8" s="23" t="s">
        <v>454</v>
      </c>
      <c r="M8" s="151">
        <f>IF(SUM(V8:BC8)=0,"-",SUM(V8:BC8))</f>
        <v>16</v>
      </c>
      <c r="N8" s="241">
        <f>IF(SUMPRODUCT($V$3:$BC$3,V8:BC8)=0,"-",SUMPRODUCT($V$3:$BC$3,V8:BC8))</f>
        <v>560</v>
      </c>
      <c r="O8" s="269" t="s">
        <v>440</v>
      </c>
      <c r="P8" s="279" t="str">
        <f>IF(G8="","",IFERROR(IF(S8="Sent","",IF(I8="Delivered","PO en attente","Projet en cours")),""))</f>
        <v/>
      </c>
      <c r="Q8" s="246" t="s">
        <v>455</v>
      </c>
      <c r="R8" s="246"/>
      <c r="S8" s="247" t="s">
        <v>249</v>
      </c>
      <c r="T8" s="248" t="s">
        <v>481</v>
      </c>
      <c r="U8" s="249" t="s">
        <v>517</v>
      </c>
      <c r="V8" s="20"/>
      <c r="W8" s="43">
        <v>16</v>
      </c>
      <c r="X8" s="21"/>
      <c r="Y8" s="21"/>
      <c r="Z8" s="21"/>
      <c r="AA8" s="21"/>
      <c r="AB8" s="21"/>
      <c r="AC8" s="20"/>
      <c r="AD8" s="21"/>
      <c r="AE8" s="21"/>
      <c r="AF8" s="21"/>
      <c r="AG8" s="21"/>
      <c r="AH8" s="21"/>
      <c r="AI8" s="21"/>
      <c r="AJ8" s="43"/>
      <c r="AK8" s="43"/>
      <c r="AL8" s="20"/>
      <c r="AM8" s="20"/>
      <c r="AN8" s="21"/>
      <c r="AO8" s="21"/>
      <c r="AP8" s="21"/>
      <c r="AQ8" s="21"/>
      <c r="AR8" s="21"/>
      <c r="AS8" s="20"/>
      <c r="AT8" s="21"/>
      <c r="AU8" s="21"/>
      <c r="AV8" s="21"/>
      <c r="AW8" s="21"/>
      <c r="AX8" s="21"/>
      <c r="AY8" s="21"/>
      <c r="AZ8" s="20"/>
      <c r="BA8" s="21"/>
      <c r="BB8" s="20"/>
      <c r="BC8" s="21"/>
    </row>
    <row r="9" spans="1:62" hidden="1">
      <c r="A9" s="285" t="s">
        <v>220</v>
      </c>
      <c r="B9" s="285" t="s">
        <v>221</v>
      </c>
      <c r="C9" s="281" t="s">
        <v>1196</v>
      </c>
      <c r="D9" s="281" t="str">
        <f>IF(F9="","",CHOOSE(MONTH(F9),"Q4","Q4","Q4","Q1","Q1","Q1","Q2","Q2","Q2","Q3","Q3","Q3"))</f>
        <v>Q3</v>
      </c>
      <c r="E9" s="282" t="str">
        <f>IF(F9="","",CHOOSE(MONTH(F9),"10-JAN","11-FEB","12-MAR","01-APR","02-MAY","03-JUN","04-JUL","05-AUG","06-SEP","07-OCT","08-NOV","09-DEC"))</f>
        <v>08-NOV</v>
      </c>
      <c r="F9" s="76">
        <v>44883</v>
      </c>
      <c r="G9" s="230" t="s">
        <v>456</v>
      </c>
      <c r="H9" t="s">
        <v>437</v>
      </c>
      <c r="I9" s="29" t="s">
        <v>223</v>
      </c>
      <c r="J9" s="21" t="s">
        <v>95</v>
      </c>
      <c r="K9" s="281" t="s">
        <v>34</v>
      </c>
      <c r="L9" s="23" t="s">
        <v>457</v>
      </c>
      <c r="M9" s="151">
        <f>IF(SUM(V9:BC9)=0,"-",SUM(V9:BC9))</f>
        <v>2</v>
      </c>
      <c r="N9" s="241">
        <f>IF(SUMPRODUCT($V$3:$BC$3,V9:BC9)=0,"-",SUMPRODUCT($V$3:$BC$3,V9:BC9))</f>
        <v>70</v>
      </c>
      <c r="O9" s="269" t="s">
        <v>440</v>
      </c>
      <c r="P9" s="279" t="str">
        <f>IF(G9="","",IFERROR(IF(S9="Sent","",IF(I9="Delivered","PO en attente","Projet en cours")),""))</f>
        <v/>
      </c>
      <c r="Q9" s="250" t="s">
        <v>458</v>
      </c>
      <c r="R9" s="250"/>
      <c r="S9" s="247" t="s">
        <v>249</v>
      </c>
      <c r="T9" s="248" t="s">
        <v>481</v>
      </c>
      <c r="U9" s="249" t="s">
        <v>517</v>
      </c>
      <c r="V9" s="20"/>
      <c r="W9" s="43">
        <v>2</v>
      </c>
      <c r="X9" s="21"/>
      <c r="Y9" s="21"/>
      <c r="Z9" s="21"/>
      <c r="AA9" s="21"/>
      <c r="AB9" s="21"/>
      <c r="AC9" s="20"/>
      <c r="AD9" s="21"/>
      <c r="AE9" s="21"/>
      <c r="AF9" s="21"/>
      <c r="AG9" s="21"/>
      <c r="AH9" s="21"/>
      <c r="AI9" s="21"/>
      <c r="AJ9" s="43"/>
      <c r="AK9" s="43"/>
      <c r="AL9" s="20"/>
      <c r="AM9" s="20"/>
      <c r="AN9" s="21"/>
      <c r="AO9" s="21"/>
      <c r="AP9" s="21"/>
      <c r="AQ9" s="21"/>
      <c r="AR9" s="21"/>
      <c r="AS9" s="20"/>
      <c r="AT9" s="21"/>
      <c r="AU9" s="21"/>
      <c r="AV9" s="21"/>
      <c r="AW9" s="21"/>
      <c r="AX9" s="21"/>
      <c r="AY9" s="21"/>
      <c r="AZ9" s="20"/>
      <c r="BA9" s="21"/>
      <c r="BB9" s="20"/>
      <c r="BC9" s="21"/>
    </row>
    <row r="10" spans="1:62" hidden="1">
      <c r="A10" s="285" t="s">
        <v>220</v>
      </c>
      <c r="B10" s="285" t="s">
        <v>221</v>
      </c>
      <c r="C10" s="281" t="s">
        <v>1196</v>
      </c>
      <c r="D10" s="281" t="str">
        <f>IF(F10="","",CHOOSE(MONTH(F10),"Q4","Q4","Q4","Q1","Q1","Q1","Q2","Q2","Q2","Q3","Q3","Q3"))</f>
        <v>Q3</v>
      </c>
      <c r="E10" s="282" t="str">
        <f>IF(F10="","",CHOOSE(MONTH(F10),"10-JAN","11-FEB","12-MAR","01-APR","02-MAY","03-JUN","04-JUL","05-AUG","06-SEP","07-OCT","08-NOV","09-DEC"))</f>
        <v>08-NOV</v>
      </c>
      <c r="F10" s="76">
        <v>44888</v>
      </c>
      <c r="G10" s="230" t="s">
        <v>465</v>
      </c>
      <c r="H10" t="s">
        <v>437</v>
      </c>
      <c r="I10" s="29" t="s">
        <v>223</v>
      </c>
      <c r="J10" s="21" t="s">
        <v>93</v>
      </c>
      <c r="K10" s="281" t="s">
        <v>34</v>
      </c>
      <c r="L10" s="30" t="s">
        <v>466</v>
      </c>
      <c r="M10" s="151">
        <f>IF(SUM(V10:BC10)=0,"-",SUM(V10:BC10))</f>
        <v>2</v>
      </c>
      <c r="N10" s="241">
        <f>IF(SUMPRODUCT($V$3:$BC$3,V10:BC10)=0,"-",SUMPRODUCT($V$3:$BC$3,V10:BC10))</f>
        <v>175</v>
      </c>
      <c r="O10" s="269" t="s">
        <v>467</v>
      </c>
      <c r="P10" s="279" t="str">
        <f>IF(G10="","",IFERROR(IF(S10="Sent","",IF(I10="Delivered","PO en attente","Projet en cours")),""))</f>
        <v/>
      </c>
      <c r="Q10" s="246" t="s">
        <v>468</v>
      </c>
      <c r="R10" s="246"/>
      <c r="S10" s="247" t="s">
        <v>249</v>
      </c>
      <c r="T10" s="248" t="s">
        <v>481</v>
      </c>
      <c r="U10" s="249" t="s">
        <v>517</v>
      </c>
      <c r="V10" s="20"/>
      <c r="W10" s="43"/>
      <c r="X10" s="21"/>
      <c r="Y10" s="21"/>
      <c r="Z10" s="21"/>
      <c r="AA10" s="21"/>
      <c r="AB10" s="21"/>
      <c r="AC10" s="20">
        <v>1</v>
      </c>
      <c r="AD10" s="21">
        <v>1</v>
      </c>
      <c r="AE10" s="21"/>
      <c r="AF10" s="21"/>
      <c r="AG10" s="21"/>
      <c r="AH10" s="21"/>
      <c r="AI10" s="21"/>
      <c r="AJ10" s="43"/>
      <c r="AK10" s="43"/>
      <c r="AL10" s="20"/>
      <c r="AM10" s="20"/>
      <c r="AN10" s="21"/>
      <c r="AO10" s="21"/>
      <c r="AP10" s="21"/>
      <c r="AQ10" s="21"/>
      <c r="AR10" s="21"/>
      <c r="AS10" s="20"/>
      <c r="AT10" s="21"/>
      <c r="AU10" s="21"/>
      <c r="AV10" s="21"/>
      <c r="AW10" s="21"/>
      <c r="AX10" s="21"/>
      <c r="AY10" s="21"/>
      <c r="AZ10" s="20"/>
      <c r="BA10" s="21"/>
      <c r="BB10" s="20"/>
      <c r="BC10" s="21"/>
    </row>
    <row r="11" spans="1:62" hidden="1">
      <c r="A11" s="285" t="s">
        <v>220</v>
      </c>
      <c r="B11" s="285" t="s">
        <v>221</v>
      </c>
      <c r="C11" s="281" t="s">
        <v>1196</v>
      </c>
      <c r="D11" s="281" t="str">
        <f>IF(F11="","",CHOOSE(MONTH(F11),"Q4","Q4","Q4","Q1","Q1","Q1","Q2","Q2","Q2","Q3","Q3","Q3"))</f>
        <v>Q3</v>
      </c>
      <c r="E11" s="282" t="str">
        <f>IF(F11="","",CHOOSE(MONTH(F11),"10-JAN","11-FEB","12-MAR","01-APR","02-MAY","03-JUN","04-JUL","05-AUG","06-SEP","07-OCT","08-NOV","09-DEC"))</f>
        <v>08-NOV</v>
      </c>
      <c r="F11" s="76">
        <v>44888</v>
      </c>
      <c r="G11" s="230" t="s">
        <v>459</v>
      </c>
      <c r="H11" t="s">
        <v>46</v>
      </c>
      <c r="I11" s="29" t="s">
        <v>223</v>
      </c>
      <c r="J11" s="21" t="s">
        <v>130</v>
      </c>
      <c r="K11" s="281" t="s">
        <v>34</v>
      </c>
      <c r="L11" s="30" t="s">
        <v>460</v>
      </c>
      <c r="M11" s="151">
        <f>IF(SUM(V11:BC11)=0,"-",SUM(V11:BC11))</f>
        <v>2</v>
      </c>
      <c r="N11" s="241">
        <f>IF(SUMPRODUCT($V$3:$BC$3,V11:BC11)=0,"-",SUMPRODUCT($V$3:$BC$3,V11:BC11))</f>
        <v>175</v>
      </c>
      <c r="O11" s="270">
        <v>44785</v>
      </c>
      <c r="P11" s="279" t="str">
        <f>IF(G11="","",IFERROR(IF(S11="Sent","",IF(I11="Delivered","PO en attente","Projet en cours")),""))</f>
        <v/>
      </c>
      <c r="Q11" s="246" t="s">
        <v>461</v>
      </c>
      <c r="R11" s="246"/>
      <c r="S11" s="247" t="s">
        <v>249</v>
      </c>
      <c r="T11" s="248" t="s">
        <v>481</v>
      </c>
      <c r="U11" s="249" t="s">
        <v>517</v>
      </c>
      <c r="V11" s="20"/>
      <c r="W11" s="43"/>
      <c r="X11" s="21"/>
      <c r="Y11" s="21"/>
      <c r="Z11" s="21"/>
      <c r="AA11" s="21"/>
      <c r="AB11" s="21"/>
      <c r="AC11" s="20">
        <v>1</v>
      </c>
      <c r="AD11" s="21">
        <v>1</v>
      </c>
      <c r="AE11" s="21"/>
      <c r="AF11" s="21"/>
      <c r="AG11" s="21"/>
      <c r="AH11" s="21"/>
      <c r="AI11" s="21"/>
      <c r="AJ11" s="43"/>
      <c r="AK11" s="43"/>
      <c r="AL11" s="20"/>
      <c r="AM11" s="20"/>
      <c r="AN11" s="21"/>
      <c r="AO11" s="21"/>
      <c r="AP11" s="21"/>
      <c r="AQ11" s="21"/>
      <c r="AR11" s="21"/>
      <c r="AS11" s="20"/>
      <c r="AT11" s="21"/>
      <c r="AU11" s="21"/>
      <c r="AV11" s="21"/>
      <c r="AW11" s="21"/>
      <c r="AX11" s="21"/>
      <c r="AY11" s="21"/>
      <c r="AZ11" s="20"/>
      <c r="BA11" s="21"/>
      <c r="BB11" s="20"/>
      <c r="BC11" s="21"/>
    </row>
    <row r="12" spans="1:62" hidden="1">
      <c r="A12" s="285" t="s">
        <v>220</v>
      </c>
      <c r="B12" s="285" t="s">
        <v>221</v>
      </c>
      <c r="C12" s="281" t="s">
        <v>1196</v>
      </c>
      <c r="D12" s="281" t="str">
        <f>IF(F12="","",CHOOSE(MONTH(F12),"Q4","Q4","Q4","Q1","Q1","Q1","Q2","Q2","Q2","Q3","Q3","Q3"))</f>
        <v>Q3</v>
      </c>
      <c r="E12" s="282" t="str">
        <f>IF(F12="","",CHOOSE(MONTH(F12),"10-JAN","11-FEB","12-MAR","01-APR","02-MAY","03-JUN","04-JUL","05-AUG","06-SEP","07-OCT","08-NOV","09-DEC"))</f>
        <v>08-NOV</v>
      </c>
      <c r="F12" s="76">
        <v>44888</v>
      </c>
      <c r="G12" s="230" t="s">
        <v>462</v>
      </c>
      <c r="H12" t="s">
        <v>46</v>
      </c>
      <c r="I12" s="29" t="s">
        <v>223</v>
      </c>
      <c r="J12" s="21" t="s">
        <v>130</v>
      </c>
      <c r="K12" s="281" t="s">
        <v>34</v>
      </c>
      <c r="L12" s="30" t="s">
        <v>463</v>
      </c>
      <c r="M12" s="151">
        <f>IF(SUM(V12:BC12)=0,"-",SUM(V12:BC12))</f>
        <v>5</v>
      </c>
      <c r="N12" s="241">
        <f>IF(SUMPRODUCT($V$3:$BC$3,V12:BC12)=0,"-",SUMPRODUCT($V$3:$BC$3,V12:BC12))</f>
        <v>175</v>
      </c>
      <c r="O12" s="269" t="s">
        <v>440</v>
      </c>
      <c r="P12" s="279" t="str">
        <f>IF(G12="","",IFERROR(IF(S12="Sent","",IF(I12="Delivered","PO en attente","Projet en cours")),""))</f>
        <v/>
      </c>
      <c r="Q12" s="246" t="s">
        <v>464</v>
      </c>
      <c r="R12" s="246"/>
      <c r="S12" s="247" t="s">
        <v>249</v>
      </c>
      <c r="T12" s="248" t="s">
        <v>481</v>
      </c>
      <c r="U12" s="249" t="s">
        <v>517</v>
      </c>
      <c r="V12" s="20"/>
      <c r="W12" s="43">
        <v>5</v>
      </c>
      <c r="X12" s="21"/>
      <c r="Y12" s="21"/>
      <c r="Z12" s="21"/>
      <c r="AA12" s="21"/>
      <c r="AB12" s="21"/>
      <c r="AC12" s="20"/>
      <c r="AD12" s="21"/>
      <c r="AE12" s="21"/>
      <c r="AF12" s="21"/>
      <c r="AG12" s="21"/>
      <c r="AH12" s="21"/>
      <c r="AI12" s="21"/>
      <c r="AJ12" s="43"/>
      <c r="AK12" s="43"/>
      <c r="AL12" s="20"/>
      <c r="AM12" s="20"/>
      <c r="AN12" s="21"/>
      <c r="AO12" s="21"/>
      <c r="AP12" s="21"/>
      <c r="AQ12" s="21"/>
      <c r="AR12" s="21"/>
      <c r="AS12" s="20"/>
      <c r="AT12" s="21"/>
      <c r="AU12" s="21"/>
      <c r="AV12" s="21"/>
      <c r="AW12" s="21"/>
      <c r="AX12" s="21"/>
      <c r="AY12" s="21"/>
      <c r="AZ12" s="20"/>
      <c r="BA12" s="21"/>
      <c r="BB12" s="20"/>
      <c r="BC12" s="21"/>
    </row>
    <row r="13" spans="1:62" hidden="1">
      <c r="A13" s="285" t="s">
        <v>220</v>
      </c>
      <c r="B13" s="285" t="s">
        <v>221</v>
      </c>
      <c r="C13" s="281" t="s">
        <v>1196</v>
      </c>
      <c r="D13" s="281" t="str">
        <f>IF(F13="","",CHOOSE(MONTH(F13),"Q4","Q4","Q4","Q1","Q1","Q1","Q2","Q2","Q2","Q3","Q3","Q3"))</f>
        <v>Q3</v>
      </c>
      <c r="E13" s="282" t="str">
        <f>IF(F13="","",CHOOSE(MONTH(F13),"10-JAN","11-FEB","12-MAR","01-APR","02-MAY","03-JUN","04-JUL","05-AUG","06-SEP","07-OCT","08-NOV","09-DEC"))</f>
        <v>09-DEC</v>
      </c>
      <c r="F13" s="76">
        <v>44896</v>
      </c>
      <c r="G13" s="230" t="s">
        <v>472</v>
      </c>
      <c r="H13" t="s">
        <v>37</v>
      </c>
      <c r="I13" s="29" t="s">
        <v>223</v>
      </c>
      <c r="J13" s="21" t="s">
        <v>67</v>
      </c>
      <c r="K13" s="281" t="s">
        <v>34</v>
      </c>
      <c r="L13" s="30" t="s">
        <v>473</v>
      </c>
      <c r="M13" s="151">
        <f>IF(SUM(V13:BC13)=0,"-",SUM(V13:BC13))</f>
        <v>4</v>
      </c>
      <c r="N13" s="241">
        <f>IF(SUMPRODUCT($V$3:$BC$3,V13:BC13)=0,"-",SUMPRODUCT($V$3:$BC$3,V13:BC13))</f>
        <v>350</v>
      </c>
      <c r="O13" s="270" t="s">
        <v>474</v>
      </c>
      <c r="P13" s="279" t="str">
        <f>IF(G13="","",IFERROR(IF(S13="Sent","",IF(I13="Delivered","PO en attente","Projet en cours")),""))</f>
        <v/>
      </c>
      <c r="Q13" s="247">
        <v>4200631419</v>
      </c>
      <c r="R13" s="247"/>
      <c r="S13" s="247" t="s">
        <v>249</v>
      </c>
      <c r="T13" s="248" t="s">
        <v>481</v>
      </c>
      <c r="U13" s="249" t="s">
        <v>517</v>
      </c>
      <c r="V13" s="20"/>
      <c r="W13" s="43"/>
      <c r="X13" s="21"/>
      <c r="Y13" s="21"/>
      <c r="Z13" s="21"/>
      <c r="AA13" s="21"/>
      <c r="AB13" s="21"/>
      <c r="AC13" s="20">
        <v>2</v>
      </c>
      <c r="AD13" s="21">
        <v>2</v>
      </c>
      <c r="AE13" s="21"/>
      <c r="AF13" s="21"/>
      <c r="AG13" s="21"/>
      <c r="AH13" s="21"/>
      <c r="AI13" s="21"/>
      <c r="AJ13" s="43"/>
      <c r="AK13" s="43"/>
      <c r="AL13" s="20"/>
      <c r="AM13" s="20"/>
      <c r="AN13" s="21"/>
      <c r="AO13" s="21"/>
      <c r="AP13" s="21"/>
      <c r="AQ13" s="21"/>
      <c r="AR13" s="21"/>
      <c r="AS13" s="20"/>
      <c r="AT13" s="21"/>
      <c r="AU13" s="21"/>
      <c r="AV13" s="21"/>
      <c r="AW13" s="21"/>
      <c r="AX13" s="21"/>
      <c r="AY13" s="21"/>
      <c r="AZ13" s="20"/>
      <c r="BA13" s="21"/>
      <c r="BB13" s="20"/>
      <c r="BC13" s="21"/>
    </row>
    <row r="14" spans="1:62" hidden="1">
      <c r="A14" s="285" t="s">
        <v>220</v>
      </c>
      <c r="B14" s="285" t="s">
        <v>221</v>
      </c>
      <c r="C14" s="281" t="s">
        <v>1196</v>
      </c>
      <c r="D14" s="281" t="str">
        <f>IF(F14="","",CHOOSE(MONTH(F14),"Q4","Q4","Q4","Q1","Q1","Q1","Q2","Q2","Q2","Q3","Q3","Q3"))</f>
        <v>Q3</v>
      </c>
      <c r="E14" s="282" t="str">
        <f>IF(F14="","",CHOOSE(MONTH(F14),"10-JAN","11-FEB","12-MAR","01-APR","02-MAY","03-JUN","04-JUL","05-AUG","06-SEP","07-OCT","08-NOV","09-DEC"))</f>
        <v>09-DEC</v>
      </c>
      <c r="F14" s="76">
        <v>44896</v>
      </c>
      <c r="G14" s="230" t="s">
        <v>469</v>
      </c>
      <c r="H14" t="s">
        <v>437</v>
      </c>
      <c r="I14" s="29" t="s">
        <v>223</v>
      </c>
      <c r="J14" s="21" t="s">
        <v>95</v>
      </c>
      <c r="K14" s="281" t="s">
        <v>34</v>
      </c>
      <c r="L14" s="30" t="s">
        <v>470</v>
      </c>
      <c r="M14" s="151">
        <f>IF(SUM(V14:BC14)=0,"-",SUM(V14:BC14))</f>
        <v>5</v>
      </c>
      <c r="N14" s="241">
        <f>IF(SUMPRODUCT($V$3:$BC$3,V14:BC14)=0,"-",SUMPRODUCT($V$3:$BC$3,V14:BC14))</f>
        <v>175</v>
      </c>
      <c r="O14" s="270">
        <v>44785</v>
      </c>
      <c r="P14" s="279" t="str">
        <f>IF(G14="","",IFERROR(IF(S14="Sent","",IF(I14="Delivered","PO en attente","Projet en cours")),""))</f>
        <v/>
      </c>
      <c r="Q14" s="246" t="s">
        <v>471</v>
      </c>
      <c r="R14" s="246"/>
      <c r="S14" s="247" t="s">
        <v>249</v>
      </c>
      <c r="T14" s="248" t="s">
        <v>481</v>
      </c>
      <c r="U14" s="249" t="s">
        <v>517</v>
      </c>
      <c r="V14" s="20"/>
      <c r="W14" s="43">
        <v>5</v>
      </c>
      <c r="X14" s="21"/>
      <c r="Y14" s="21"/>
      <c r="Z14" s="21"/>
      <c r="AA14" s="21"/>
      <c r="AB14" s="21"/>
      <c r="AC14" s="20"/>
      <c r="AD14" s="21"/>
      <c r="AE14" s="21"/>
      <c r="AF14" s="21"/>
      <c r="AG14" s="21"/>
      <c r="AH14" s="21"/>
      <c r="AI14" s="21"/>
      <c r="AJ14" s="43"/>
      <c r="AK14" s="43"/>
      <c r="AL14" s="20"/>
      <c r="AM14" s="20"/>
      <c r="AN14" s="21"/>
      <c r="AO14" s="21"/>
      <c r="AP14" s="21"/>
      <c r="AQ14" s="21"/>
      <c r="AR14" s="21"/>
      <c r="AS14" s="20"/>
      <c r="AT14" s="21"/>
      <c r="AU14" s="21"/>
      <c r="AV14" s="21"/>
      <c r="AW14" s="21"/>
      <c r="AX14" s="21"/>
      <c r="AY14" s="21"/>
      <c r="AZ14" s="20"/>
      <c r="BA14" s="21"/>
      <c r="BB14" s="20"/>
      <c r="BC14" s="21"/>
    </row>
    <row r="15" spans="1:62" hidden="1">
      <c r="A15" s="285" t="s">
        <v>220</v>
      </c>
      <c r="B15" s="285" t="s">
        <v>221</v>
      </c>
      <c r="C15" s="281" t="s">
        <v>1196</v>
      </c>
      <c r="D15" s="281" t="str">
        <f>IF(F15="","",CHOOSE(MONTH(F15),"Q4","Q4","Q4","Q1","Q1","Q1","Q2","Q2","Q2","Q3","Q3","Q3"))</f>
        <v>Q3</v>
      </c>
      <c r="E15" s="282" t="str">
        <f>IF(F15="","",CHOOSE(MONTH(F15),"10-JAN","11-FEB","12-MAR","01-APR","02-MAY","03-JUN","04-JUL","05-AUG","06-SEP","07-OCT","08-NOV","09-DEC"))</f>
        <v>09-DEC</v>
      </c>
      <c r="F15" s="76">
        <v>44897</v>
      </c>
      <c r="G15" s="230" t="s">
        <v>475</v>
      </c>
      <c r="H15" t="s">
        <v>36</v>
      </c>
      <c r="I15" s="29" t="s">
        <v>223</v>
      </c>
      <c r="J15" s="21" t="s">
        <v>69</v>
      </c>
      <c r="K15" s="281" t="s">
        <v>34</v>
      </c>
      <c r="L15" s="30" t="s">
        <v>477</v>
      </c>
      <c r="M15" s="151">
        <f>IF(SUM(V15:BC15)=0,"-",SUM(V15:BC15))</f>
        <v>8</v>
      </c>
      <c r="N15" s="241">
        <f>IF(SUMPRODUCT($V$3:$BC$3,V15:BC15)=0,"-",SUMPRODUCT($V$3:$BC$3,V15:BC15))</f>
        <v>280</v>
      </c>
      <c r="O15" s="270" t="s">
        <v>474</v>
      </c>
      <c r="P15" s="279" t="str">
        <f>IF(G15="","",IFERROR(IF(S15="Sent","",IF(I15="Delivered","PO en attente","Projet en cours")),""))</f>
        <v/>
      </c>
      <c r="Q15" s="246" t="s">
        <v>478</v>
      </c>
      <c r="R15" s="246"/>
      <c r="S15" s="247" t="s">
        <v>249</v>
      </c>
      <c r="T15" s="248" t="s">
        <v>481</v>
      </c>
      <c r="U15" s="249" t="s">
        <v>517</v>
      </c>
      <c r="V15" s="20"/>
      <c r="W15" s="43">
        <v>8</v>
      </c>
      <c r="X15" s="21"/>
      <c r="Y15" s="21"/>
      <c r="Z15" s="21"/>
      <c r="AA15" s="21"/>
      <c r="AB15" s="21"/>
      <c r="AC15" s="20"/>
      <c r="AD15" s="21"/>
      <c r="AE15" s="21"/>
      <c r="AF15" s="21"/>
      <c r="AG15" s="21"/>
      <c r="AH15" s="21"/>
      <c r="AI15" s="21"/>
      <c r="AJ15" s="43"/>
      <c r="AK15" s="43"/>
      <c r="AL15" s="20"/>
      <c r="AM15" s="20"/>
      <c r="AN15" s="21"/>
      <c r="AO15" s="21"/>
      <c r="AP15" s="21"/>
      <c r="AQ15" s="21"/>
      <c r="AR15" s="21"/>
      <c r="AS15" s="20"/>
      <c r="AT15" s="21"/>
      <c r="AU15" s="21"/>
      <c r="AV15" s="21"/>
      <c r="AW15" s="21"/>
      <c r="AX15" s="21"/>
      <c r="AY15" s="21"/>
      <c r="AZ15" s="20"/>
      <c r="BA15" s="21"/>
      <c r="BB15" s="20"/>
      <c r="BC15" s="21"/>
    </row>
    <row r="16" spans="1:62" hidden="1">
      <c r="A16" s="285" t="s">
        <v>220</v>
      </c>
      <c r="B16" s="285" t="s">
        <v>221</v>
      </c>
      <c r="C16" s="281" t="s">
        <v>1196</v>
      </c>
      <c r="D16" s="281" t="str">
        <f>IF(F16="","",CHOOSE(MONTH(F16),"Q4","Q4","Q4","Q1","Q1","Q1","Q2","Q2","Q2","Q3","Q3","Q3"))</f>
        <v>Q3</v>
      </c>
      <c r="E16" s="282" t="str">
        <f>IF(F16="","",CHOOSE(MONTH(F16),"10-JAN","11-FEB","12-MAR","01-APR","02-MAY","03-JUN","04-JUL","05-AUG","06-SEP","07-OCT","08-NOV","09-DEC"))</f>
        <v>09-DEC</v>
      </c>
      <c r="F16" s="76">
        <v>44909</v>
      </c>
      <c r="G16" s="230" t="s">
        <v>480</v>
      </c>
      <c r="H16" t="s">
        <v>26</v>
      </c>
      <c r="I16" s="29" t="s">
        <v>223</v>
      </c>
      <c r="J16" s="21" t="s">
        <v>69</v>
      </c>
      <c r="K16" s="281" t="s">
        <v>34</v>
      </c>
      <c r="L16" s="39" t="s">
        <v>481</v>
      </c>
      <c r="M16" s="151">
        <f>IF(SUM(V16:BC16)=0,"-",SUM(V16:BC16))</f>
        <v>1</v>
      </c>
      <c r="N16" s="241">
        <f>IF(SUMPRODUCT($V$3:$BC$3,V16:BC16)=0,"-",SUMPRODUCT($V$3:$BC$3,V16:BC16))</f>
        <v>600</v>
      </c>
      <c r="O16" s="270" t="s">
        <v>482</v>
      </c>
      <c r="P16" s="279" t="str">
        <f>IF(G16="","",IFERROR(IF(S16="Sent","",IF(I16="Delivered","PO en attente","Projet en cours")),""))</f>
        <v/>
      </c>
      <c r="Q16" s="247">
        <v>4200639267</v>
      </c>
      <c r="R16" s="247"/>
      <c r="S16" s="247" t="s">
        <v>249</v>
      </c>
      <c r="T16" s="248" t="s">
        <v>481</v>
      </c>
      <c r="U16" s="249" t="s">
        <v>517</v>
      </c>
      <c r="V16" s="20"/>
      <c r="W16" s="43"/>
      <c r="X16" s="21"/>
      <c r="Y16" s="21"/>
      <c r="Z16" s="21"/>
      <c r="AA16" s="21"/>
      <c r="AB16" s="21"/>
      <c r="AC16" s="20"/>
      <c r="AD16" s="21"/>
      <c r="AE16" s="21"/>
      <c r="AF16" s="21"/>
      <c r="AG16" s="21"/>
      <c r="AH16" s="21"/>
      <c r="AI16" s="21"/>
      <c r="AJ16" s="43"/>
      <c r="AK16" s="43"/>
      <c r="AL16" s="20"/>
      <c r="AM16" s="20"/>
      <c r="AN16" s="21">
        <v>1</v>
      </c>
      <c r="AO16" s="21"/>
      <c r="AP16" s="21"/>
      <c r="AQ16" s="21"/>
      <c r="AR16" s="21"/>
      <c r="AS16" s="20"/>
      <c r="AT16" s="21"/>
      <c r="AU16" s="21"/>
      <c r="AV16" s="21"/>
      <c r="AW16" s="21"/>
      <c r="AX16" s="21"/>
      <c r="AY16" s="21"/>
      <c r="AZ16" s="20"/>
      <c r="BA16" s="21"/>
      <c r="BB16" s="20"/>
      <c r="BC16" s="21"/>
    </row>
    <row r="17" spans="1:55" hidden="1">
      <c r="A17" s="285" t="s">
        <v>220</v>
      </c>
      <c r="B17" s="285" t="s">
        <v>221</v>
      </c>
      <c r="C17" s="281" t="s">
        <v>1196</v>
      </c>
      <c r="D17" s="281" t="str">
        <f>IF(F17="","",CHOOSE(MONTH(F17),"Q4","Q4","Q4","Q1","Q1","Q1","Q2","Q2","Q2","Q3","Q3","Q3"))</f>
        <v>Q3</v>
      </c>
      <c r="E17" s="282" t="str">
        <f>IF(F17="","",CHOOSE(MONTH(F17),"10-JAN","11-FEB","12-MAR","01-APR","02-MAY","03-JUN","04-JUL","05-AUG","06-SEP","07-OCT","08-NOV","09-DEC"))</f>
        <v>09-DEC</v>
      </c>
      <c r="F17" s="76">
        <v>44914</v>
      </c>
      <c r="G17" s="230" t="s">
        <v>483</v>
      </c>
      <c r="H17" t="s">
        <v>36</v>
      </c>
      <c r="I17" s="29" t="s">
        <v>223</v>
      </c>
      <c r="J17" s="21" t="s">
        <v>69</v>
      </c>
      <c r="K17" s="281" t="s">
        <v>34</v>
      </c>
      <c r="L17" s="30" t="s">
        <v>484</v>
      </c>
      <c r="M17" s="151">
        <f>IF(SUM(V17:BC17)=0,"-",SUM(V17:BC17))</f>
        <v>7</v>
      </c>
      <c r="N17" s="241">
        <f>IF(SUMPRODUCT($V$3:$BC$3,V17:BC17)=0,"-",SUMPRODUCT($V$3:$BC$3,V17:BC17))</f>
        <v>330</v>
      </c>
      <c r="O17" s="270">
        <v>44931</v>
      </c>
      <c r="P17" s="279" t="str">
        <f>IF(G17="","",IFERROR(IF(S17="Sent","",IF(I17="Delivered","PO en attente","Projet en cours")),""))</f>
        <v/>
      </c>
      <c r="Q17" s="247">
        <v>4200633114</v>
      </c>
      <c r="R17" s="247"/>
      <c r="S17" s="247" t="s">
        <v>249</v>
      </c>
      <c r="T17" s="248" t="s">
        <v>481</v>
      </c>
      <c r="U17" s="249" t="s">
        <v>517</v>
      </c>
      <c r="V17" s="20">
        <v>1</v>
      </c>
      <c r="W17" s="43">
        <v>6</v>
      </c>
      <c r="X17" s="21"/>
      <c r="Y17" s="21"/>
      <c r="Z17" s="21"/>
      <c r="AA17" s="21"/>
      <c r="AB17" s="21"/>
      <c r="AC17" s="20"/>
      <c r="AD17" s="21"/>
      <c r="AE17" s="21"/>
      <c r="AF17" s="21"/>
      <c r="AG17" s="21"/>
      <c r="AH17" s="21"/>
      <c r="AI17" s="21"/>
      <c r="AJ17" s="43"/>
      <c r="AK17" s="43"/>
      <c r="AL17" s="20"/>
      <c r="AM17" s="20"/>
      <c r="AN17" s="21"/>
      <c r="AO17" s="21"/>
      <c r="AP17" s="21"/>
      <c r="AQ17" s="21"/>
      <c r="AR17" s="21"/>
      <c r="AS17" s="20"/>
      <c r="AT17" s="21"/>
      <c r="AU17" s="21"/>
      <c r="AV17" s="21"/>
      <c r="AW17" s="21"/>
      <c r="AX17" s="21"/>
      <c r="AY17" s="21"/>
      <c r="AZ17" s="20"/>
      <c r="BA17" s="21"/>
      <c r="BB17" s="20"/>
      <c r="BC17" s="21"/>
    </row>
    <row r="18" spans="1:55" hidden="1">
      <c r="A18" s="285" t="s">
        <v>220</v>
      </c>
      <c r="B18" s="285" t="s">
        <v>221</v>
      </c>
      <c r="C18" s="281" t="s">
        <v>1196</v>
      </c>
      <c r="D18" s="281" t="str">
        <f>IF(F18="","",CHOOSE(MONTH(F18),"Q4","Q4","Q4","Q1","Q1","Q1","Q2","Q2","Q2","Q3","Q3","Q3"))</f>
        <v>Q3</v>
      </c>
      <c r="E18" s="282" t="str">
        <f>IF(F18="","",CHOOSE(MONTH(F18),"10-JAN","11-FEB","12-MAR","01-APR","02-MAY","03-JUN","04-JUL","05-AUG","06-SEP","07-OCT","08-NOV","09-DEC"))</f>
        <v>09-DEC</v>
      </c>
      <c r="F18" s="76">
        <v>44914</v>
      </c>
      <c r="G18" s="230" t="s">
        <v>485</v>
      </c>
      <c r="H18" t="s">
        <v>36</v>
      </c>
      <c r="I18" s="29" t="s">
        <v>223</v>
      </c>
      <c r="J18" s="21" t="s">
        <v>69</v>
      </c>
      <c r="K18" s="281" t="s">
        <v>34</v>
      </c>
      <c r="L18" s="30" t="s">
        <v>486</v>
      </c>
      <c r="M18" s="151">
        <f>IF(SUM(V18:BC18)=0,"-",SUM(V18:BC18))</f>
        <v>20</v>
      </c>
      <c r="N18" s="241">
        <f>IF(SUMPRODUCT($V$3:$BC$3,V18:BC18)=0,"-",SUMPRODUCT($V$3:$BC$3,V18:BC18))</f>
        <v>895</v>
      </c>
      <c r="O18" s="271">
        <v>44943</v>
      </c>
      <c r="P18" s="279" t="str">
        <f>IF(G18="","",IFERROR(IF(S18="Sent","",IF(I18="Delivered","PO en attente","Projet en cours")),""))</f>
        <v/>
      </c>
      <c r="Q18" s="247">
        <v>4200633341</v>
      </c>
      <c r="R18" s="247"/>
      <c r="S18" s="247" t="s">
        <v>249</v>
      </c>
      <c r="T18" s="248" t="s">
        <v>481</v>
      </c>
      <c r="U18" s="249" t="s">
        <v>517</v>
      </c>
      <c r="V18" s="20"/>
      <c r="W18" s="43"/>
      <c r="X18" s="21"/>
      <c r="Y18" s="21"/>
      <c r="Z18" s="21"/>
      <c r="AA18" s="21"/>
      <c r="AB18" s="21"/>
      <c r="AC18" s="20">
        <v>1</v>
      </c>
      <c r="AD18" s="21">
        <v>19</v>
      </c>
      <c r="AE18" s="21"/>
      <c r="AF18" s="21"/>
      <c r="AG18" s="21"/>
      <c r="AH18" s="21"/>
      <c r="AI18" s="21"/>
      <c r="AJ18" s="43"/>
      <c r="AK18" s="43"/>
      <c r="AL18" s="20"/>
      <c r="AM18" s="20"/>
      <c r="AN18" s="21"/>
      <c r="AO18" s="21"/>
      <c r="AP18" s="21"/>
      <c r="AQ18" s="21"/>
      <c r="AR18" s="21"/>
      <c r="AS18" s="20"/>
      <c r="AT18" s="21"/>
      <c r="AU18" s="21"/>
      <c r="AV18" s="21"/>
      <c r="AW18" s="21"/>
      <c r="AX18" s="21"/>
      <c r="AY18" s="21"/>
      <c r="AZ18" s="20"/>
      <c r="BA18" s="21"/>
      <c r="BB18" s="20"/>
      <c r="BC18" s="21"/>
    </row>
    <row r="19" spans="1:55" hidden="1">
      <c r="A19" s="285" t="s">
        <v>220</v>
      </c>
      <c r="B19" s="285" t="s">
        <v>221</v>
      </c>
      <c r="C19" s="281" t="s">
        <v>1196</v>
      </c>
      <c r="D19" s="281" t="str">
        <f>IF(F19="","",CHOOSE(MONTH(F19),"Q4","Q4","Q4","Q1","Q1","Q1","Q2","Q2","Q2","Q3","Q3","Q3"))</f>
        <v>Q3</v>
      </c>
      <c r="E19" s="282" t="str">
        <f>IF(F19="","",CHOOSE(MONTH(F19),"10-JAN","11-FEB","12-MAR","01-APR","02-MAY","03-JUN","04-JUL","05-AUG","06-SEP","07-OCT","08-NOV","09-DEC"))</f>
        <v>09-DEC</v>
      </c>
      <c r="F19" s="76">
        <v>44914</v>
      </c>
      <c r="G19" s="230" t="s">
        <v>487</v>
      </c>
      <c r="H19" t="s">
        <v>36</v>
      </c>
      <c r="I19" s="29" t="s">
        <v>223</v>
      </c>
      <c r="J19" s="21" t="s">
        <v>69</v>
      </c>
      <c r="K19" s="281" t="s">
        <v>34</v>
      </c>
      <c r="L19" s="30" t="s">
        <v>488</v>
      </c>
      <c r="M19" s="151">
        <f>IF(SUM(V19:BC19)=0,"-",SUM(V19:BC19))</f>
        <v>11</v>
      </c>
      <c r="N19" s="241">
        <f>IF(SUMPRODUCT($V$3:$BC$3,V19:BC19)=0,"-",SUMPRODUCT($V$3:$BC$3,V19:BC19))</f>
        <v>535</v>
      </c>
      <c r="O19" s="270">
        <v>44931</v>
      </c>
      <c r="P19" s="279" t="str">
        <f>IF(G19="","",IFERROR(IF(S19="Sent","",IF(I19="Delivered","PO en attente","Projet en cours")),""))</f>
        <v/>
      </c>
      <c r="Q19" s="251">
        <v>4200633116</v>
      </c>
      <c r="R19" s="251"/>
      <c r="S19" s="247" t="s">
        <v>249</v>
      </c>
      <c r="T19" s="248" t="s">
        <v>481</v>
      </c>
      <c r="U19" s="249" t="s">
        <v>517</v>
      </c>
      <c r="V19" s="20"/>
      <c r="W19" s="43"/>
      <c r="X19" s="21"/>
      <c r="Y19" s="21"/>
      <c r="Z19" s="21"/>
      <c r="AA19" s="21"/>
      <c r="AB19" s="21"/>
      <c r="AC19" s="20">
        <v>1</v>
      </c>
      <c r="AD19" s="21">
        <v>10</v>
      </c>
      <c r="AE19" s="21"/>
      <c r="AF19" s="21"/>
      <c r="AG19" s="21"/>
      <c r="AH19" s="21"/>
      <c r="AI19" s="21"/>
      <c r="AJ19" s="43"/>
      <c r="AK19" s="43"/>
      <c r="AL19" s="20"/>
      <c r="AM19" s="20"/>
      <c r="AN19" s="21"/>
      <c r="AO19" s="21"/>
      <c r="AP19" s="21"/>
      <c r="AQ19" s="21"/>
      <c r="AR19" s="21"/>
      <c r="AS19" s="20"/>
      <c r="AT19" s="21"/>
      <c r="AU19" s="21"/>
      <c r="AV19" s="21"/>
      <c r="AW19" s="21"/>
      <c r="AX19" s="21"/>
      <c r="AY19" s="21"/>
      <c r="AZ19" s="20"/>
      <c r="BA19" s="21"/>
      <c r="BB19" s="20"/>
      <c r="BC19" s="21"/>
    </row>
    <row r="20" spans="1:55" hidden="1">
      <c r="A20" s="285" t="s">
        <v>220</v>
      </c>
      <c r="B20" s="285" t="s">
        <v>221</v>
      </c>
      <c r="C20" s="281" t="s">
        <v>1196</v>
      </c>
      <c r="D20" s="281" t="str">
        <f>IF(F20="","",CHOOSE(MONTH(F20),"Q4","Q4","Q4","Q1","Q1","Q1","Q2","Q2","Q2","Q3","Q3","Q3"))</f>
        <v>Q3</v>
      </c>
      <c r="E20" s="282" t="str">
        <f>IF(F20="","",CHOOSE(MONTH(F20),"10-JAN","11-FEB","12-MAR","01-APR","02-MAY","03-JUN","04-JUL","05-AUG","06-SEP","07-OCT","08-NOV","09-DEC"))</f>
        <v>09-DEC</v>
      </c>
      <c r="F20" s="76">
        <v>44916</v>
      </c>
      <c r="G20" s="230" t="s">
        <v>492</v>
      </c>
      <c r="H20" t="s">
        <v>36</v>
      </c>
      <c r="I20" s="29" t="s">
        <v>223</v>
      </c>
      <c r="J20" s="21" t="s">
        <v>69</v>
      </c>
      <c r="K20" s="281" t="s">
        <v>34</v>
      </c>
      <c r="L20" s="30" t="s">
        <v>490</v>
      </c>
      <c r="M20" s="151">
        <f>IF(SUM(V20:BC20)=0,"-",SUM(V20:BC20))</f>
        <v>9</v>
      </c>
      <c r="N20" s="241">
        <f>IF(SUMPRODUCT($V$3:$BC$3,V20:BC20)=0,"-",SUMPRODUCT($V$3:$BC$3,V20:BC20))</f>
        <v>315</v>
      </c>
      <c r="O20" s="270">
        <v>44931</v>
      </c>
      <c r="P20" s="279" t="str">
        <f>IF(G20="","",IFERROR(IF(S20="Sent","",IF(I20="Delivered","PO en attente","Projet en cours")),""))</f>
        <v/>
      </c>
      <c r="Q20" s="247">
        <v>4200632799</v>
      </c>
      <c r="R20" s="247"/>
      <c r="S20" s="247" t="s">
        <v>249</v>
      </c>
      <c r="T20" s="248" t="s">
        <v>481</v>
      </c>
      <c r="U20" s="249" t="s">
        <v>517</v>
      </c>
      <c r="V20" s="20"/>
      <c r="W20" s="43">
        <v>9</v>
      </c>
      <c r="X20" s="21"/>
      <c r="Y20" s="21"/>
      <c r="Z20" s="21"/>
      <c r="AA20" s="21"/>
      <c r="AB20" s="21"/>
      <c r="AC20" s="20"/>
      <c r="AD20" s="21"/>
      <c r="AE20" s="21"/>
      <c r="AF20" s="21"/>
      <c r="AG20" s="21"/>
      <c r="AH20" s="21"/>
      <c r="AI20" s="21"/>
      <c r="AJ20" s="43"/>
      <c r="AK20" s="43"/>
      <c r="AL20" s="20"/>
      <c r="AM20" s="20"/>
      <c r="AN20" s="21"/>
      <c r="AO20" s="21"/>
      <c r="AP20" s="21"/>
      <c r="AQ20" s="21"/>
      <c r="AR20" s="21"/>
      <c r="AS20" s="20"/>
      <c r="AT20" s="21"/>
      <c r="AU20" s="21"/>
      <c r="AV20" s="21"/>
      <c r="AW20" s="21"/>
      <c r="AX20" s="21"/>
      <c r="AY20" s="21"/>
      <c r="AZ20" s="20"/>
      <c r="BA20" s="21"/>
      <c r="BB20" s="20"/>
      <c r="BC20" s="21"/>
    </row>
    <row r="21" spans="1:55" hidden="1">
      <c r="A21" s="285" t="s">
        <v>220</v>
      </c>
      <c r="B21" s="285" t="s">
        <v>221</v>
      </c>
      <c r="C21" s="281" t="s">
        <v>1196</v>
      </c>
      <c r="D21" s="281" t="str">
        <f>IF(F21="","",CHOOSE(MONTH(F21),"Q4","Q4","Q4","Q1","Q1","Q1","Q2","Q2","Q2","Q3","Q3","Q3"))</f>
        <v>Q3</v>
      </c>
      <c r="E21" s="282" t="str">
        <f>IF(F21="","",CHOOSE(MONTH(F21),"10-JAN","11-FEB","12-MAR","01-APR","02-MAY","03-JUN","04-JUL","05-AUG","06-SEP","07-OCT","08-NOV","09-DEC"))</f>
        <v>09-DEC</v>
      </c>
      <c r="F21" s="76">
        <v>44917</v>
      </c>
      <c r="G21" s="230" t="s">
        <v>493</v>
      </c>
      <c r="H21" t="s">
        <v>26</v>
      </c>
      <c r="I21" s="29" t="s">
        <v>223</v>
      </c>
      <c r="J21" s="21" t="s">
        <v>95</v>
      </c>
      <c r="K21" s="281" t="s">
        <v>30</v>
      </c>
      <c r="L21" s="30" t="s">
        <v>495</v>
      </c>
      <c r="M21" s="151">
        <f>IF(SUM(V21:BC21)=0,"-",SUM(V21:BC21))</f>
        <v>5</v>
      </c>
      <c r="N21" s="241">
        <f>IF(SUMPRODUCT($V$3:$BC$3,V21:BC21)=0,"-",SUMPRODUCT($V$3:$BC$3,V21:BC21))</f>
        <v>360</v>
      </c>
      <c r="O21" s="270">
        <v>44931</v>
      </c>
      <c r="P21" s="279" t="str">
        <f>IF(G21="","",IFERROR(IF(S21="Sent","",IF(I21="Delivered","PO en attente","Projet en cours")),""))</f>
        <v/>
      </c>
      <c r="Q21" s="247">
        <v>4200635815</v>
      </c>
      <c r="R21" s="247"/>
      <c r="S21" s="247" t="s">
        <v>249</v>
      </c>
      <c r="T21" s="248" t="s">
        <v>481</v>
      </c>
      <c r="U21" s="249" t="s">
        <v>517</v>
      </c>
      <c r="V21" s="20"/>
      <c r="W21" s="43"/>
      <c r="X21" s="21"/>
      <c r="Y21" s="21"/>
      <c r="Z21" s="21"/>
      <c r="AA21" s="21"/>
      <c r="AB21" s="21"/>
      <c r="AC21" s="47"/>
      <c r="AD21" s="21">
        <v>4</v>
      </c>
      <c r="AE21" s="21"/>
      <c r="AF21" s="21"/>
      <c r="AG21" s="21">
        <v>1</v>
      </c>
      <c r="AH21" s="21"/>
      <c r="AI21" s="21"/>
      <c r="AJ21" s="43"/>
      <c r="AK21" s="43"/>
      <c r="AL21" s="20"/>
      <c r="AM21" s="20"/>
      <c r="AN21" s="21"/>
      <c r="AO21" s="21"/>
      <c r="AP21" s="21"/>
      <c r="AQ21" s="21"/>
      <c r="AR21" s="21"/>
      <c r="AS21" s="20"/>
      <c r="AT21" s="21"/>
      <c r="AU21" s="21"/>
      <c r="AV21" s="21"/>
      <c r="AW21" s="21"/>
      <c r="AX21" s="21"/>
      <c r="AY21" s="21"/>
      <c r="AZ21" s="20"/>
      <c r="BA21" s="21"/>
      <c r="BB21" s="20"/>
      <c r="BC21" s="21"/>
    </row>
    <row r="22" spans="1:55" hidden="1">
      <c r="A22" s="285" t="s">
        <v>220</v>
      </c>
      <c r="B22" s="285" t="s">
        <v>221</v>
      </c>
      <c r="C22" s="281" t="s">
        <v>1196</v>
      </c>
      <c r="D22" s="281" t="str">
        <f>IF(F22="","",CHOOSE(MONTH(F22),"Q4","Q4","Q4","Q1","Q1","Q1","Q2","Q2","Q2","Q3","Q3","Q3"))</f>
        <v>Q3</v>
      </c>
      <c r="E22" s="282" t="str">
        <f>IF(F22="","",CHOOSE(MONTH(F22),"10-JAN","11-FEB","12-MAR","01-APR","02-MAY","03-JUN","04-JUL","05-AUG","06-SEP","07-OCT","08-NOV","09-DEC"))</f>
        <v>09-DEC</v>
      </c>
      <c r="F22" s="76">
        <v>44923</v>
      </c>
      <c r="G22" s="230" t="s">
        <v>496</v>
      </c>
      <c r="H22" t="s">
        <v>38</v>
      </c>
      <c r="I22" s="29" t="s">
        <v>223</v>
      </c>
      <c r="J22" s="21" t="s">
        <v>67</v>
      </c>
      <c r="K22" s="281" t="s">
        <v>34</v>
      </c>
      <c r="L22" s="30" t="s">
        <v>497</v>
      </c>
      <c r="M22" s="151">
        <f>IF(SUM(V22:BC22)=0,"-",SUM(V22:BC22))</f>
        <v>0.5</v>
      </c>
      <c r="N22" s="241">
        <f>IF(SUMPRODUCT($V$3:$BC$3,V22:BC22)=0,"-",SUMPRODUCT($V$3:$BC$3,V22:BC22))</f>
        <v>300</v>
      </c>
      <c r="O22" s="270">
        <v>44931</v>
      </c>
      <c r="P22" s="279" t="str">
        <f>IF(G22="","",IFERROR(IF(S22="Sent","",IF(I22="Delivered","PO en attente","Projet en cours")),""))</f>
        <v/>
      </c>
      <c r="Q22" s="247">
        <v>4200634748</v>
      </c>
      <c r="R22" s="247"/>
      <c r="S22" s="247" t="s">
        <v>249</v>
      </c>
      <c r="T22" s="248" t="s">
        <v>481</v>
      </c>
      <c r="U22" s="249" t="s">
        <v>517</v>
      </c>
      <c r="V22" s="20"/>
      <c r="W22" s="43"/>
      <c r="X22" s="21"/>
      <c r="Y22" s="21"/>
      <c r="Z22" s="21"/>
      <c r="AA22" s="21"/>
      <c r="AB22" s="21"/>
      <c r="AC22" s="20"/>
      <c r="AD22" s="21"/>
      <c r="AE22" s="21"/>
      <c r="AF22" s="21"/>
      <c r="AG22" s="21"/>
      <c r="AH22" s="21"/>
      <c r="AI22" s="21"/>
      <c r="AJ22" s="43"/>
      <c r="AK22" s="43"/>
      <c r="AL22" s="20"/>
      <c r="AM22" s="20"/>
      <c r="AN22" s="21">
        <v>0.5</v>
      </c>
      <c r="AO22" s="21"/>
      <c r="AP22" s="21"/>
      <c r="AQ22" s="21"/>
      <c r="AR22" s="21"/>
      <c r="AS22" s="20"/>
      <c r="AT22" s="21"/>
      <c r="AU22" s="21"/>
      <c r="AV22" s="21"/>
      <c r="AW22" s="21"/>
      <c r="AX22" s="21"/>
      <c r="AY22" s="21"/>
      <c r="AZ22" s="20"/>
      <c r="BA22" s="21"/>
      <c r="BB22" s="20"/>
      <c r="BC22" s="21"/>
    </row>
    <row r="23" spans="1:55" hidden="1">
      <c r="A23" s="285" t="s">
        <v>220</v>
      </c>
      <c r="B23" s="285" t="s">
        <v>221</v>
      </c>
      <c r="C23" s="281" t="s">
        <v>1196</v>
      </c>
      <c r="D23" s="281" t="str">
        <f>IF(F23="","",CHOOSE(MONTH(F23),"Q4","Q4","Q4","Q1","Q1","Q1","Q2","Q2","Q2","Q3","Q3","Q3"))</f>
        <v>Q4</v>
      </c>
      <c r="E23" s="282" t="str">
        <f>IF(F23="","",CHOOSE(MONTH(F23),"10-JAN","11-FEB","12-MAR","01-APR","02-MAY","03-JUN","04-JUL","05-AUG","06-SEP","07-OCT","08-NOV","09-DEC"))</f>
        <v>10-JAN</v>
      </c>
      <c r="F23" s="76">
        <v>44928</v>
      </c>
      <c r="G23" s="231" t="s">
        <v>500</v>
      </c>
      <c r="H23" t="s">
        <v>36</v>
      </c>
      <c r="I23" s="29" t="s">
        <v>223</v>
      </c>
      <c r="J23" s="21" t="s">
        <v>69</v>
      </c>
      <c r="K23" s="281" t="s">
        <v>34</v>
      </c>
      <c r="L23" s="78" t="s">
        <v>501</v>
      </c>
      <c r="M23" s="151">
        <f>IF(SUM(V23:BC23)=0,"-",SUM(V23:BC23))</f>
        <v>6</v>
      </c>
      <c r="N23" s="241">
        <f>IF(SUMPRODUCT($V$3:$BC$3,V23:BC23)=0,"-",SUMPRODUCT($V$3:$BC$3,V23:BC23))</f>
        <v>295</v>
      </c>
      <c r="O23" s="270">
        <v>44931</v>
      </c>
      <c r="P23" s="279" t="str">
        <f>IF(G23="","",IFERROR(IF(S23="Sent","",IF(I23="Delivered","PO en attente","Projet en cours")),""))</f>
        <v/>
      </c>
      <c r="Q23" s="252">
        <v>4200632673</v>
      </c>
      <c r="R23" s="252"/>
      <c r="S23" s="247" t="s">
        <v>249</v>
      </c>
      <c r="T23" s="248" t="s">
        <v>481</v>
      </c>
      <c r="U23" s="249" t="s">
        <v>517</v>
      </c>
      <c r="V23" s="7">
        <v>1</v>
      </c>
      <c r="W23" s="44">
        <v>5</v>
      </c>
      <c r="AJ23" s="44"/>
      <c r="AK23" s="44"/>
    </row>
    <row r="24" spans="1:55" hidden="1">
      <c r="A24" s="285" t="s">
        <v>220</v>
      </c>
      <c r="B24" s="285" t="s">
        <v>221</v>
      </c>
      <c r="C24" s="281" t="s">
        <v>1196</v>
      </c>
      <c r="D24" s="281" t="str">
        <f>IF(F24="","",CHOOSE(MONTH(F24),"Q4","Q4","Q4","Q1","Q1","Q1","Q2","Q2","Q2","Q3","Q3","Q3"))</f>
        <v>Q4</v>
      </c>
      <c r="E24" s="282" t="str">
        <f>IF(F24="","",CHOOSE(MONTH(F24),"10-JAN","11-FEB","12-MAR","01-APR","02-MAY","03-JUN","04-JUL","05-AUG","06-SEP","07-OCT","08-NOV","09-DEC"))</f>
        <v>10-JAN</v>
      </c>
      <c r="F24" s="76">
        <v>44928</v>
      </c>
      <c r="G24" s="231" t="s">
        <v>502</v>
      </c>
      <c r="H24" t="s">
        <v>36</v>
      </c>
      <c r="I24" s="29" t="s">
        <v>223</v>
      </c>
      <c r="J24" s="21" t="s">
        <v>69</v>
      </c>
      <c r="K24" s="281" t="s">
        <v>34</v>
      </c>
      <c r="L24" s="78" t="s">
        <v>503</v>
      </c>
      <c r="M24" s="151">
        <f>IF(SUM(V24:BC24)=0,"-",SUM(V24:BC24))</f>
        <v>6</v>
      </c>
      <c r="N24" s="241">
        <f>IF(SUMPRODUCT($V$3:$BC$3,V24:BC24)=0,"-",SUMPRODUCT($V$3:$BC$3,V24:BC24))</f>
        <v>295</v>
      </c>
      <c r="O24" s="270">
        <v>44931</v>
      </c>
      <c r="P24" s="279" t="str">
        <f>IF(G24="","",IFERROR(IF(S24="Sent","",IF(I24="Delivered","PO en attente","Projet en cours")),""))</f>
        <v/>
      </c>
      <c r="Q24" s="252">
        <v>4200632670</v>
      </c>
      <c r="R24" s="252"/>
      <c r="S24" s="247" t="s">
        <v>249</v>
      </c>
      <c r="T24" s="248" t="s">
        <v>481</v>
      </c>
      <c r="U24" s="249" t="s">
        <v>517</v>
      </c>
      <c r="V24" s="7">
        <v>1</v>
      </c>
      <c r="W24" s="44">
        <v>5</v>
      </c>
      <c r="AJ24" s="44"/>
      <c r="AK24" s="44"/>
    </row>
    <row r="25" spans="1:55" hidden="1">
      <c r="A25" s="285" t="s">
        <v>220</v>
      </c>
      <c r="B25" s="285" t="s">
        <v>221</v>
      </c>
      <c r="C25" s="281" t="s">
        <v>1196</v>
      </c>
      <c r="D25" s="281" t="str">
        <f>IF(F25="","",CHOOSE(MONTH(F25),"Q4","Q4","Q4","Q1","Q1","Q1","Q2","Q2","Q2","Q3","Q3","Q3"))</f>
        <v>Q4</v>
      </c>
      <c r="E25" s="282" t="str">
        <f>IF(F25="","",CHOOSE(MONTH(F25),"10-JAN","11-FEB","12-MAR","01-APR","02-MAY","03-JUN","04-JUL","05-AUG","06-SEP","07-OCT","08-NOV","09-DEC"))</f>
        <v>10-JAN</v>
      </c>
      <c r="F25" s="76">
        <v>44928</v>
      </c>
      <c r="G25" s="230" t="s">
        <v>498</v>
      </c>
      <c r="H25" t="s">
        <v>46</v>
      </c>
      <c r="I25" s="29" t="s">
        <v>223</v>
      </c>
      <c r="J25" s="21" t="s">
        <v>95</v>
      </c>
      <c r="K25" s="281" t="s">
        <v>34</v>
      </c>
      <c r="L25" s="78" t="s">
        <v>499</v>
      </c>
      <c r="M25" s="151">
        <f>IF(SUM(V25:BC25)=0,"-",SUM(V25:BC25))</f>
        <v>6</v>
      </c>
      <c r="N25" s="241">
        <f>IF(SUMPRODUCT($V$3:$BC$3,V25:BC25)=0,"-",SUMPRODUCT($V$3:$BC$3,V25:BC25))</f>
        <v>380</v>
      </c>
      <c r="O25" s="270">
        <v>44931</v>
      </c>
      <c r="P25" s="279" t="str">
        <f>IF(G25="","",IFERROR(IF(S25="Sent","",IF(I25="Delivered","PO en attente","Projet en cours")),""))</f>
        <v/>
      </c>
      <c r="Q25" s="252">
        <v>4200633093</v>
      </c>
      <c r="R25" s="252"/>
      <c r="S25" s="247" t="s">
        <v>249</v>
      </c>
      <c r="T25" s="248" t="s">
        <v>481</v>
      </c>
      <c r="U25" s="249" t="s">
        <v>517</v>
      </c>
      <c r="V25" s="7">
        <v>2</v>
      </c>
      <c r="W25" s="44">
        <v>4</v>
      </c>
      <c r="AJ25" s="44"/>
      <c r="AK25" s="44"/>
    </row>
    <row r="26" spans="1:55" hidden="1">
      <c r="A26" s="285" t="s">
        <v>220</v>
      </c>
      <c r="B26" s="285" t="s">
        <v>221</v>
      </c>
      <c r="C26" s="281" t="s">
        <v>1196</v>
      </c>
      <c r="D26" s="281" t="str">
        <f>IF(F26="","",CHOOSE(MONTH(F26),"Q4","Q4","Q4","Q1","Q1","Q1","Q2","Q2","Q2","Q3","Q3","Q3"))</f>
        <v>Q4</v>
      </c>
      <c r="E26" s="282" t="str">
        <f>IF(F26="","",CHOOSE(MONTH(F26),"10-JAN","11-FEB","12-MAR","01-APR","02-MAY","03-JUN","04-JUL","05-AUG","06-SEP","07-OCT","08-NOV","09-DEC"))</f>
        <v>10-JAN</v>
      </c>
      <c r="F26" s="76">
        <v>44930</v>
      </c>
      <c r="G26" s="231" t="s">
        <v>504</v>
      </c>
      <c r="H26" t="s">
        <v>437</v>
      </c>
      <c r="I26" s="29" t="s">
        <v>223</v>
      </c>
      <c r="J26" s="21" t="s">
        <v>95</v>
      </c>
      <c r="K26" s="281" t="s">
        <v>34</v>
      </c>
      <c r="L26" s="78" t="s">
        <v>505</v>
      </c>
      <c r="M26" s="151">
        <f>IF(SUM(V26:BC26)=0,"-",SUM(V26:BC26))</f>
        <v>9</v>
      </c>
      <c r="N26" s="241">
        <f>IF(SUMPRODUCT($V$3:$BC$3,V26:BC26)=0,"-",SUMPRODUCT($V$3:$BC$3,V26:BC26))</f>
        <v>315</v>
      </c>
      <c r="O26" s="270">
        <v>44943</v>
      </c>
      <c r="P26" s="279" t="str">
        <f>IF(G26="","",IFERROR(IF(S26="Sent","",IF(I26="Delivered","PO en attente","Projet en cours")),""))</f>
        <v/>
      </c>
      <c r="Q26" s="252">
        <v>4200634882</v>
      </c>
      <c r="R26" s="252"/>
      <c r="S26" s="247" t="s">
        <v>249</v>
      </c>
      <c r="T26" s="248" t="s">
        <v>481</v>
      </c>
      <c r="U26" s="249" t="s">
        <v>517</v>
      </c>
      <c r="W26" s="8">
        <v>9</v>
      </c>
      <c r="AJ26" s="44"/>
      <c r="AK26" s="44"/>
    </row>
    <row r="27" spans="1:55" hidden="1">
      <c r="A27" s="285" t="s">
        <v>220</v>
      </c>
      <c r="B27" s="285" t="s">
        <v>221</v>
      </c>
      <c r="C27" s="281" t="s">
        <v>1196</v>
      </c>
      <c r="D27" s="281" t="str">
        <f>IF(F27="","",CHOOSE(MONTH(F27),"Q4","Q4","Q4","Q1","Q1","Q1","Q2","Q2","Q2","Q3","Q3","Q3"))</f>
        <v>Q4</v>
      </c>
      <c r="E27" s="282" t="str">
        <f>IF(F27="","",CHOOSE(MONTH(F27),"10-JAN","11-FEB","12-MAR","01-APR","02-MAY","03-JUN","04-JUL","05-AUG","06-SEP","07-OCT","08-NOV","09-DEC"))</f>
        <v>10-JAN</v>
      </c>
      <c r="F27" s="76">
        <v>44930</v>
      </c>
      <c r="G27" s="232" t="s">
        <v>506</v>
      </c>
      <c r="H27" t="s">
        <v>46</v>
      </c>
      <c r="I27" s="29" t="s">
        <v>223</v>
      </c>
      <c r="J27" s="21" t="s">
        <v>130</v>
      </c>
      <c r="K27" s="281" t="s">
        <v>34</v>
      </c>
      <c r="L27" s="78" t="s">
        <v>507</v>
      </c>
      <c r="M27" s="151">
        <f>IF(SUM(V27:BC27)=0,"-",SUM(V27:BC27))</f>
        <v>4</v>
      </c>
      <c r="N27" s="241">
        <f>IF(SUMPRODUCT($V$3:$BC$3,V27:BC27)=0,"-",SUMPRODUCT($V$3:$BC$3,V27:BC27))</f>
        <v>300</v>
      </c>
      <c r="O27" s="270">
        <v>44941</v>
      </c>
      <c r="P27" s="279" t="str">
        <f>IF(G27="","",IFERROR(IF(S27="Sent","",IF(I27="Delivered","PO en attente","Projet en cours")),""))</f>
        <v/>
      </c>
      <c r="Q27" s="247">
        <v>4200635620</v>
      </c>
      <c r="R27" s="247"/>
      <c r="S27" s="247" t="s">
        <v>249</v>
      </c>
      <c r="T27" s="248" t="s">
        <v>481</v>
      </c>
      <c r="U27" s="249" t="s">
        <v>517</v>
      </c>
      <c r="AD27" s="8">
        <v>3</v>
      </c>
      <c r="AE27" s="8">
        <v>1</v>
      </c>
      <c r="AJ27" s="44"/>
      <c r="AK27" s="44"/>
    </row>
    <row r="28" spans="1:55" hidden="1">
      <c r="A28" s="285" t="s">
        <v>220</v>
      </c>
      <c r="B28" s="285" t="s">
        <v>221</v>
      </c>
      <c r="C28" s="281" t="s">
        <v>1196</v>
      </c>
      <c r="D28" s="281" t="str">
        <f>IF(F28="","",CHOOSE(MONTH(F28),"Q4","Q4","Q4","Q1","Q1","Q1","Q2","Q2","Q2","Q3","Q3","Q3"))</f>
        <v>Q4</v>
      </c>
      <c r="E28" s="282" t="str">
        <f>IF(F28="","",CHOOSE(MONTH(F28),"10-JAN","11-FEB","12-MAR","01-APR","02-MAY","03-JUN","04-JUL","05-AUG","06-SEP","07-OCT","08-NOV","09-DEC"))</f>
        <v>10-JAN</v>
      </c>
      <c r="F28" s="76">
        <v>44931</v>
      </c>
      <c r="G28" s="231" t="s">
        <v>508</v>
      </c>
      <c r="H28" t="s">
        <v>37</v>
      </c>
      <c r="I28" s="29" t="s">
        <v>223</v>
      </c>
      <c r="J28" s="21" t="s">
        <v>129</v>
      </c>
      <c r="K28" s="281" t="s">
        <v>34</v>
      </c>
      <c r="L28" s="78" t="s">
        <v>509</v>
      </c>
      <c r="M28" s="151">
        <f>IF(SUM(V28:BC28)=0,"-",SUM(V28:BC28))</f>
        <v>4</v>
      </c>
      <c r="N28" s="241">
        <f>IF(SUMPRODUCT($V$3:$BC$3,V28:BC28)=0,"-",SUMPRODUCT($V$3:$BC$3,V28:BC28))</f>
        <v>140</v>
      </c>
      <c r="O28" s="270">
        <v>44942</v>
      </c>
      <c r="P28" s="279" t="str">
        <f>IF(G28="","",IFERROR(IF(S28="Sent","",IF(I28="Delivered","PO en attente","Projet en cours")),""))</f>
        <v/>
      </c>
      <c r="Q28" s="252">
        <v>4200633321</v>
      </c>
      <c r="R28" s="252"/>
      <c r="S28" s="247" t="s">
        <v>249</v>
      </c>
      <c r="T28" s="248" t="s">
        <v>481</v>
      </c>
      <c r="U28" s="249" t="s">
        <v>517</v>
      </c>
      <c r="W28" s="8">
        <v>4</v>
      </c>
      <c r="AJ28" s="44"/>
      <c r="AK28" s="44"/>
    </row>
    <row r="29" spans="1:55" hidden="1">
      <c r="A29" s="285" t="s">
        <v>220</v>
      </c>
      <c r="B29" s="285" t="s">
        <v>221</v>
      </c>
      <c r="C29" s="281" t="s">
        <v>1196</v>
      </c>
      <c r="D29" s="281" t="str">
        <f>IF(F29="","",CHOOSE(MONTH(F29),"Q4","Q4","Q4","Q1","Q1","Q1","Q2","Q2","Q2","Q3","Q3","Q3"))</f>
        <v>Q4</v>
      </c>
      <c r="E29" s="282" t="str">
        <f>IF(F29="","",CHOOSE(MONTH(F29),"10-JAN","11-FEB","12-MAR","01-APR","02-MAY","03-JUN","04-JUL","05-AUG","06-SEP","07-OCT","08-NOV","09-DEC"))</f>
        <v>10-JAN</v>
      </c>
      <c r="F29" s="76">
        <v>44936</v>
      </c>
      <c r="G29" s="231" t="s">
        <v>510</v>
      </c>
      <c r="H29" t="s">
        <v>26</v>
      </c>
      <c r="I29" s="29" t="s">
        <v>223</v>
      </c>
      <c r="J29" s="8" t="s">
        <v>69</v>
      </c>
      <c r="K29" s="281" t="s">
        <v>30</v>
      </c>
      <c r="L29" s="78" t="s">
        <v>511</v>
      </c>
      <c r="M29" s="151">
        <f>IF(SUM(V29:BC29)=0,"-",SUM(V29:BC29))</f>
        <v>2</v>
      </c>
      <c r="N29" s="241">
        <f>IF(SUMPRODUCT($V$3:$BC$3,V29:BC29)=0,"-",SUMPRODUCT($V$3:$BC$3,V29:BC29))</f>
        <v>500</v>
      </c>
      <c r="O29" s="271">
        <v>45006</v>
      </c>
      <c r="P29" s="279" t="str">
        <f>IF(G29="","",IFERROR(IF(S29="Sent","",IF(I29="Delivered","PO en attente","Projet en cours")),""))</f>
        <v/>
      </c>
      <c r="Q29" s="252">
        <v>4200639269</v>
      </c>
      <c r="R29" s="252"/>
      <c r="S29" s="247" t="s">
        <v>249</v>
      </c>
      <c r="T29" s="248" t="s">
        <v>481</v>
      </c>
      <c r="U29" s="249" t="s">
        <v>517</v>
      </c>
      <c r="AH29" s="8">
        <v>2</v>
      </c>
      <c r="AJ29" s="44"/>
      <c r="AK29" s="44"/>
    </row>
    <row r="30" spans="1:55" hidden="1">
      <c r="A30" s="285" t="s">
        <v>220</v>
      </c>
      <c r="B30" s="285" t="s">
        <v>221</v>
      </c>
      <c r="C30" s="281" t="s">
        <v>1196</v>
      </c>
      <c r="D30" s="281" t="str">
        <f>IF(F30="","",CHOOSE(MONTH(F30),"Q4","Q4","Q4","Q1","Q1","Q1","Q2","Q2","Q2","Q3","Q3","Q3"))</f>
        <v>Q4</v>
      </c>
      <c r="E30" s="282" t="str">
        <f>IF(F30="","",CHOOSE(MONTH(F30),"10-JAN","11-FEB","12-MAR","01-APR","02-MAY","03-JUN","04-JUL","05-AUG","06-SEP","07-OCT","08-NOV","09-DEC"))</f>
        <v>10-JAN</v>
      </c>
      <c r="F30" s="76">
        <v>44938</v>
      </c>
      <c r="G30" s="231" t="s">
        <v>512</v>
      </c>
      <c r="H30" t="s">
        <v>26</v>
      </c>
      <c r="I30" s="29" t="s">
        <v>223</v>
      </c>
      <c r="J30" s="8" t="s">
        <v>69</v>
      </c>
      <c r="K30" s="281" t="s">
        <v>30</v>
      </c>
      <c r="L30" s="78" t="s">
        <v>490</v>
      </c>
      <c r="M30" s="151">
        <f>IF(SUM(V30:BC30)=0,"-",SUM(V30:BC30))</f>
        <v>4</v>
      </c>
      <c r="N30" s="241">
        <f>IF(SUMPRODUCT($V$3:$BC$3,V30:BC30)=0,"-",SUMPRODUCT($V$3:$BC$3,V30:BC30))</f>
        <v>145</v>
      </c>
      <c r="O30" s="270">
        <v>44941</v>
      </c>
      <c r="P30" s="279" t="str">
        <f>IF(G30="","",IFERROR(IF(S30="Sent","",IF(I30="Delivered","PO en attente","Projet en cours")),""))</f>
        <v/>
      </c>
      <c r="Q30" s="252">
        <v>4200639281</v>
      </c>
      <c r="R30" s="252"/>
      <c r="S30" s="247" t="s">
        <v>249</v>
      </c>
      <c r="T30" s="248" t="s">
        <v>481</v>
      </c>
      <c r="U30" s="249" t="s">
        <v>517</v>
      </c>
      <c r="W30" s="8">
        <v>3</v>
      </c>
      <c r="AD30" s="8">
        <v>1</v>
      </c>
      <c r="AJ30" s="44"/>
      <c r="AK30" s="44"/>
    </row>
    <row r="31" spans="1:55" hidden="1">
      <c r="A31" s="285" t="s">
        <v>220</v>
      </c>
      <c r="B31" s="285" t="s">
        <v>221</v>
      </c>
      <c r="C31" s="281" t="s">
        <v>1196</v>
      </c>
      <c r="D31" s="281" t="str">
        <f>IF(F31="","",CHOOSE(MONTH(F31),"Q4","Q4","Q4","Q1","Q1","Q1","Q2","Q2","Q2","Q3","Q3","Q3"))</f>
        <v>Q4</v>
      </c>
      <c r="E31" s="282" t="str">
        <f>IF(F31="","",CHOOSE(MONTH(F31),"10-JAN","11-FEB","12-MAR","01-APR","02-MAY","03-JUN","04-JUL","05-AUG","06-SEP","07-OCT","08-NOV","09-DEC"))</f>
        <v>10-JAN</v>
      </c>
      <c r="F31" s="76">
        <v>44938</v>
      </c>
      <c r="G31" s="231" t="s">
        <v>513</v>
      </c>
      <c r="H31" t="s">
        <v>437</v>
      </c>
      <c r="I31" s="29" t="s">
        <v>223</v>
      </c>
      <c r="J31" s="21" t="s">
        <v>129</v>
      </c>
      <c r="K31" s="281" t="s">
        <v>34</v>
      </c>
      <c r="L31" s="78" t="s">
        <v>514</v>
      </c>
      <c r="M31" s="151">
        <f>IF(SUM(V31:BC31)=0,"-",SUM(V31:BC31))</f>
        <v>2</v>
      </c>
      <c r="N31" s="241">
        <f>IF(SUMPRODUCT($V$3:$BC$3,V31:BC31)=0,"-",SUMPRODUCT($V$3:$BC$3,V31:BC31))</f>
        <v>80</v>
      </c>
      <c r="O31" s="270">
        <v>44941</v>
      </c>
      <c r="P31" s="279" t="str">
        <f>IF(G31="","",IFERROR(IF(S31="Sent","",IF(I31="Delivered","PO en attente","Projet en cours")),""))</f>
        <v/>
      </c>
      <c r="Q31" s="247">
        <v>4270024966</v>
      </c>
      <c r="R31" s="247"/>
      <c r="S31" s="247" t="s">
        <v>249</v>
      </c>
      <c r="T31" s="248" t="s">
        <v>481</v>
      </c>
      <c r="U31" s="249" t="s">
        <v>517</v>
      </c>
      <c r="AD31" s="8">
        <v>2</v>
      </c>
      <c r="AJ31" s="44"/>
      <c r="AK31" s="44"/>
    </row>
    <row r="32" spans="1:55" hidden="1">
      <c r="A32" s="285" t="s">
        <v>220</v>
      </c>
      <c r="B32" s="285" t="s">
        <v>221</v>
      </c>
      <c r="C32" s="281" t="s">
        <v>1196</v>
      </c>
      <c r="D32" s="281" t="str">
        <f>IF(F32="","",CHOOSE(MONTH(F32),"Q4","Q4","Q4","Q1","Q1","Q1","Q2","Q2","Q2","Q3","Q3","Q3"))</f>
        <v>Q4</v>
      </c>
      <c r="E32" s="282" t="str">
        <f>IF(F32="","",CHOOSE(MONTH(F32),"10-JAN","11-FEB","12-MAR","01-APR","02-MAY","03-JUN","04-JUL","05-AUG","06-SEP","07-OCT","08-NOV","09-DEC"))</f>
        <v>10-JAN</v>
      </c>
      <c r="F32" s="76">
        <v>44942</v>
      </c>
      <c r="G32" s="231" t="s">
        <v>515</v>
      </c>
      <c r="H32" t="s">
        <v>26</v>
      </c>
      <c r="I32" s="29" t="s">
        <v>223</v>
      </c>
      <c r="J32" s="8" t="s">
        <v>69</v>
      </c>
      <c r="K32" s="281" t="s">
        <v>34</v>
      </c>
      <c r="L32" s="49" t="s">
        <v>481</v>
      </c>
      <c r="M32" s="151">
        <f>IF(SUM(V32:BC32)=0,"-",SUM(V32:BC32))</f>
        <v>1</v>
      </c>
      <c r="N32" s="241">
        <f>IF(SUMPRODUCT($V$3:$BC$3,V32:BC32)=0,"-",SUMPRODUCT($V$3:$BC$3,V32:BC32))</f>
        <v>600</v>
      </c>
      <c r="O32" s="271">
        <v>44950</v>
      </c>
      <c r="P32" s="279" t="str">
        <f>IF(G32="","",IFERROR(IF(S32="Sent","",IF(I32="Delivered","PO en attente","Projet en cours")),""))</f>
        <v/>
      </c>
      <c r="Q32" s="252">
        <v>4200639268</v>
      </c>
      <c r="R32" s="252"/>
      <c r="S32" s="247" t="s">
        <v>249</v>
      </c>
      <c r="T32" s="248" t="s">
        <v>481</v>
      </c>
      <c r="U32" s="249" t="s">
        <v>517</v>
      </c>
      <c r="AJ32" s="44"/>
      <c r="AK32" s="44"/>
      <c r="AN32" s="8">
        <v>1</v>
      </c>
    </row>
    <row r="33" spans="1:52" hidden="1">
      <c r="A33" s="285" t="s">
        <v>220</v>
      </c>
      <c r="B33" s="285" t="s">
        <v>221</v>
      </c>
      <c r="C33" s="281" t="s">
        <v>1196</v>
      </c>
      <c r="D33" s="281" t="str">
        <f>IF(F33="","",CHOOSE(MONTH(F33),"Q4","Q4","Q4","Q1","Q1","Q1","Q2","Q2","Q2","Q3","Q3","Q3"))</f>
        <v>Q4</v>
      </c>
      <c r="E33" s="282" t="str">
        <f>IF(F33="","",CHOOSE(MONTH(F33),"10-JAN","11-FEB","12-MAR","01-APR","02-MAY","03-JUN","04-JUL","05-AUG","06-SEP","07-OCT","08-NOV","09-DEC"))</f>
        <v>10-JAN</v>
      </c>
      <c r="F33" s="76">
        <v>44943</v>
      </c>
      <c r="G33" s="230" t="s">
        <v>516</v>
      </c>
      <c r="H33" t="s">
        <v>26</v>
      </c>
      <c r="I33" s="29" t="s">
        <v>223</v>
      </c>
      <c r="J33" s="8" t="s">
        <v>69</v>
      </c>
      <c r="K33" s="281" t="s">
        <v>30</v>
      </c>
      <c r="L33" s="49" t="s">
        <v>481</v>
      </c>
      <c r="M33" s="151">
        <f>IF(SUM(V33:BC33)=0,"-",SUM(V33:BC33))</f>
        <v>1.2</v>
      </c>
      <c r="N33" s="241">
        <f>IF(SUMPRODUCT($V$3:$BC$3,V33:BC33)=0,"-",SUMPRODUCT($V$3:$BC$3,V33:BC33))</f>
        <v>3000</v>
      </c>
      <c r="O33" s="271">
        <v>44950</v>
      </c>
      <c r="P33" s="279" t="str">
        <f>IF(G33="","",IFERROR(IF(S33="Sent","",IF(I33="Delivered","PO en attente","Projet en cours")),""))</f>
        <v/>
      </c>
      <c r="Q33" s="252">
        <v>4200639270</v>
      </c>
      <c r="R33" s="252"/>
      <c r="S33" s="247" t="s">
        <v>249</v>
      </c>
      <c r="T33" s="248" t="s">
        <v>481</v>
      </c>
      <c r="U33" s="249" t="s">
        <v>517</v>
      </c>
      <c r="AJ33" s="44"/>
      <c r="AK33" s="44"/>
      <c r="AZ33" s="7">
        <f>3000/2500</f>
        <v>1.2</v>
      </c>
    </row>
    <row r="34" spans="1:52" hidden="1">
      <c r="A34" s="285" t="s">
        <v>220</v>
      </c>
      <c r="B34" s="285" t="s">
        <v>221</v>
      </c>
      <c r="C34" s="281" t="s">
        <v>1196</v>
      </c>
      <c r="D34" s="281" t="str">
        <f>IF(F34="","",CHOOSE(MONTH(F34),"Q4","Q4","Q4","Q1","Q1","Q1","Q2","Q2","Q2","Q3","Q3","Q3"))</f>
        <v>Q4</v>
      </c>
      <c r="E34" s="282" t="str">
        <f>IF(F34="","",CHOOSE(MONTH(F34),"10-JAN","11-FEB","12-MAR","01-APR","02-MAY","03-JUN","04-JUL","05-AUG","06-SEP","07-OCT","08-NOV","09-DEC"))</f>
        <v>10-JAN</v>
      </c>
      <c r="F34" s="76">
        <v>44943</v>
      </c>
      <c r="G34" s="230" t="s">
        <v>518</v>
      </c>
      <c r="H34" t="s">
        <v>36</v>
      </c>
      <c r="I34" s="29" t="s">
        <v>223</v>
      </c>
      <c r="J34" s="8" t="s">
        <v>69</v>
      </c>
      <c r="K34" s="281" t="s">
        <v>34</v>
      </c>
      <c r="L34" s="53" t="s">
        <v>519</v>
      </c>
      <c r="M34" s="151">
        <f>IF(SUM(V34:BC34)=0,"-",SUM(V34:BC34))</f>
        <v>4</v>
      </c>
      <c r="N34" s="241">
        <f>IF(SUMPRODUCT($V$3:$BC$3,V34:BC34)=0,"-",SUMPRODUCT($V$3:$BC$3,V34:BC34))</f>
        <v>140</v>
      </c>
      <c r="O34" s="271">
        <v>44950</v>
      </c>
      <c r="P34" s="279" t="str">
        <f>IF(G34="","",IFERROR(IF(S34="Sent","",IF(I34="Delivered","PO en attente","Projet en cours")),""))</f>
        <v/>
      </c>
      <c r="Q34" s="252">
        <v>4200633858</v>
      </c>
      <c r="R34" s="252"/>
      <c r="S34" s="247" t="s">
        <v>249</v>
      </c>
      <c r="T34" s="248" t="s">
        <v>481</v>
      </c>
      <c r="U34" s="249" t="s">
        <v>517</v>
      </c>
      <c r="W34" s="8">
        <v>4</v>
      </c>
      <c r="AJ34" s="44"/>
      <c r="AK34" s="44"/>
    </row>
    <row r="35" spans="1:52" hidden="1">
      <c r="A35" s="285" t="s">
        <v>220</v>
      </c>
      <c r="B35" s="285" t="s">
        <v>221</v>
      </c>
      <c r="C35" s="281" t="s">
        <v>1196</v>
      </c>
      <c r="D35" s="281" t="str">
        <f>IF(F35="","",CHOOSE(MONTH(F35),"Q4","Q4","Q4","Q1","Q1","Q1","Q2","Q2","Q2","Q3","Q3","Q3"))</f>
        <v>Q4</v>
      </c>
      <c r="E35" s="282" t="str">
        <f>IF(F35="","",CHOOSE(MONTH(F35),"10-JAN","11-FEB","12-MAR","01-APR","02-MAY","03-JUN","04-JUL","05-AUG","06-SEP","07-OCT","08-NOV","09-DEC"))</f>
        <v>10-JAN</v>
      </c>
      <c r="F35" s="76">
        <v>44944</v>
      </c>
      <c r="G35" s="231" t="s">
        <v>520</v>
      </c>
      <c r="H35" t="s">
        <v>437</v>
      </c>
      <c r="I35" s="29" t="s">
        <v>223</v>
      </c>
      <c r="J35" s="21" t="s">
        <v>129</v>
      </c>
      <c r="K35" s="281" t="s">
        <v>34</v>
      </c>
      <c r="L35" s="78" t="s">
        <v>521</v>
      </c>
      <c r="M35" s="151">
        <f>IF(SUM(V35:BC35)=0,"-",SUM(V35:BC35))</f>
        <v>5</v>
      </c>
      <c r="N35" s="241">
        <f>IF(SUMPRODUCT($V$3:$BC$3,V35:BC35)=0,"-",SUMPRODUCT($V$3:$BC$3,V35:BC35))</f>
        <v>485</v>
      </c>
      <c r="O35" s="271">
        <v>44963</v>
      </c>
      <c r="P35" s="279" t="str">
        <f>IF(G35="","",IFERROR(IF(S35="Sent","",IF(I35="Delivered","PO en attente","Projet en cours")),""))</f>
        <v/>
      </c>
      <c r="Q35" s="252">
        <v>4200634883</v>
      </c>
      <c r="R35" s="252"/>
      <c r="S35" s="247" t="s">
        <v>249</v>
      </c>
      <c r="T35" s="248" t="s">
        <v>481</v>
      </c>
      <c r="U35" s="249" t="s">
        <v>517</v>
      </c>
      <c r="AC35" s="7">
        <v>3</v>
      </c>
      <c r="AD35" s="8">
        <v>2</v>
      </c>
      <c r="AJ35" s="44"/>
      <c r="AK35" s="44"/>
    </row>
    <row r="36" spans="1:52" hidden="1">
      <c r="A36" s="285" t="s">
        <v>220</v>
      </c>
      <c r="B36" s="285" t="s">
        <v>221</v>
      </c>
      <c r="C36" s="281" t="s">
        <v>1196</v>
      </c>
      <c r="D36" s="281" t="str">
        <f>IF(F36="","",CHOOSE(MONTH(F36),"Q4","Q4","Q4","Q1","Q1","Q1","Q2","Q2","Q2","Q3","Q3","Q3"))</f>
        <v>Q4</v>
      </c>
      <c r="E36" s="282" t="str">
        <f>IF(F36="","",CHOOSE(MONTH(F36),"10-JAN","11-FEB","12-MAR","01-APR","02-MAY","03-JUN","04-JUL","05-AUG","06-SEP","07-OCT","08-NOV","09-DEC"))</f>
        <v>10-JAN</v>
      </c>
      <c r="F36" s="76">
        <v>44951</v>
      </c>
      <c r="G36" s="231" t="s">
        <v>522</v>
      </c>
      <c r="H36" t="s">
        <v>38</v>
      </c>
      <c r="I36" s="29" t="s">
        <v>223</v>
      </c>
      <c r="J36" s="8" t="s">
        <v>69</v>
      </c>
      <c r="K36" s="281" t="s">
        <v>34</v>
      </c>
      <c r="L36" s="78" t="s">
        <v>523</v>
      </c>
      <c r="M36" s="151">
        <f>IF(SUM(V36:BC36)=0,"-",SUM(V36:BC36))</f>
        <v>3</v>
      </c>
      <c r="N36" s="241">
        <f>IF(SUMPRODUCT($V$3:$BC$3,V36:BC36)=0,"-",SUMPRODUCT($V$3:$BC$3,V36:BC36))</f>
        <v>310</v>
      </c>
      <c r="O36" s="271">
        <v>44963</v>
      </c>
      <c r="P36" s="279" t="str">
        <f>IF(G36="","",IFERROR(IF(S36="Sent","",IF(I36="Delivered","PO en attente","Projet en cours")),""))</f>
        <v/>
      </c>
      <c r="Q36" s="247">
        <v>4200635109</v>
      </c>
      <c r="R36" s="247"/>
      <c r="S36" s="247" t="s">
        <v>249</v>
      </c>
      <c r="T36" s="248" t="s">
        <v>481</v>
      </c>
      <c r="U36" s="249" t="s">
        <v>517</v>
      </c>
      <c r="AC36" s="7">
        <v>2</v>
      </c>
      <c r="AD36" s="8">
        <v>1</v>
      </c>
      <c r="AJ36" s="44"/>
      <c r="AK36" s="44"/>
    </row>
    <row r="37" spans="1:52" hidden="1">
      <c r="A37" s="285" t="s">
        <v>220</v>
      </c>
      <c r="B37" s="285" t="s">
        <v>221</v>
      </c>
      <c r="C37" s="281" t="s">
        <v>1196</v>
      </c>
      <c r="D37" s="281" t="str">
        <f>IF(F37="","",CHOOSE(MONTH(F37),"Q4","Q4","Q4","Q1","Q1","Q1","Q2","Q2","Q2","Q3","Q3","Q3"))</f>
        <v>Q4</v>
      </c>
      <c r="E37" s="282" t="str">
        <f>IF(F37="","",CHOOSE(MONTH(F37),"10-JAN","11-FEB","12-MAR","01-APR","02-MAY","03-JUN","04-JUL","05-AUG","06-SEP","07-OCT","08-NOV","09-DEC"))</f>
        <v>10-JAN</v>
      </c>
      <c r="F37" s="76">
        <v>44951</v>
      </c>
      <c r="G37" s="231" t="s">
        <v>524</v>
      </c>
      <c r="H37" t="s">
        <v>46</v>
      </c>
      <c r="I37" s="29" t="s">
        <v>223</v>
      </c>
      <c r="J37" s="21" t="s">
        <v>130</v>
      </c>
      <c r="K37" s="281" t="s">
        <v>34</v>
      </c>
      <c r="L37" s="78" t="s">
        <v>1199</v>
      </c>
      <c r="M37" s="151">
        <f>IF(SUM(V37:BC37)=0,"-",SUM(V37:BC37))</f>
        <v>2</v>
      </c>
      <c r="N37" s="241">
        <f>IF(SUMPRODUCT($V$3:$BC$3,V37:BC37)=0,"-",SUMPRODUCT($V$3:$BC$3,V37:BC37))</f>
        <v>215</v>
      </c>
      <c r="O37" s="271">
        <v>44963</v>
      </c>
      <c r="P37" s="279" t="str">
        <f>IF(G37="","",IFERROR(IF(S37="Sent","",IF(I37="Delivered","PO en attente","Projet en cours")),""))</f>
        <v/>
      </c>
      <c r="Q37" s="252">
        <v>4200638979</v>
      </c>
      <c r="R37" s="252"/>
      <c r="S37" s="247" t="s">
        <v>249</v>
      </c>
      <c r="T37" s="248" t="s">
        <v>481</v>
      </c>
      <c r="U37" s="249" t="s">
        <v>517</v>
      </c>
      <c r="W37" s="8">
        <v>1</v>
      </c>
      <c r="AE37" s="8">
        <v>1</v>
      </c>
      <c r="AJ37" s="44"/>
      <c r="AK37" s="44"/>
    </row>
    <row r="38" spans="1:52" hidden="1">
      <c r="A38" s="285" t="s">
        <v>220</v>
      </c>
      <c r="B38" s="285" t="s">
        <v>221</v>
      </c>
      <c r="C38" s="281" t="s">
        <v>1196</v>
      </c>
      <c r="D38" s="281" t="str">
        <f>IF(F38="","",CHOOSE(MONTH(F38),"Q4","Q4","Q4","Q1","Q1","Q1","Q2","Q2","Q2","Q3","Q3","Q3"))</f>
        <v>Q4</v>
      </c>
      <c r="E38" s="282" t="str">
        <f>IF(F38="","",CHOOSE(MONTH(F38),"10-JAN","11-FEB","12-MAR","01-APR","02-MAY","03-JUN","04-JUL","05-AUG","06-SEP","07-OCT","08-NOV","09-DEC"))</f>
        <v>10-JAN</v>
      </c>
      <c r="F38" s="76">
        <v>44956</v>
      </c>
      <c r="G38" s="231" t="s">
        <v>526</v>
      </c>
      <c r="H38" t="s">
        <v>36</v>
      </c>
      <c r="I38" s="29" t="s">
        <v>223</v>
      </c>
      <c r="J38" s="8" t="s">
        <v>69</v>
      </c>
      <c r="K38" s="281" t="s">
        <v>34</v>
      </c>
      <c r="L38" s="78" t="s">
        <v>527</v>
      </c>
      <c r="M38" s="151">
        <f>IF(SUM(V38:BC38)=0,"-",SUM(V38:BC38))</f>
        <v>2</v>
      </c>
      <c r="N38" s="241">
        <f>IF(SUMPRODUCT($V$3:$BC$3,V38:BC38)=0,"-",SUMPRODUCT($V$3:$BC$3,V38:BC38))</f>
        <v>270</v>
      </c>
      <c r="O38" s="271">
        <v>44963</v>
      </c>
      <c r="P38" s="279" t="str">
        <f>IF(G38="","",IFERROR(IF(S38="Sent","",IF(I38="Delivered","PO en attente","Projet en cours")),""))</f>
        <v/>
      </c>
      <c r="Q38" s="252">
        <v>4200636045</v>
      </c>
      <c r="R38" s="252"/>
      <c r="S38" s="247" t="s">
        <v>249</v>
      </c>
      <c r="T38" s="248" t="s">
        <v>481</v>
      </c>
      <c r="U38" s="249" t="s">
        <v>517</v>
      </c>
      <c r="AC38" s="7">
        <v>2</v>
      </c>
      <c r="AJ38" s="44"/>
      <c r="AK38" s="44"/>
    </row>
    <row r="39" spans="1:52" hidden="1">
      <c r="A39" s="285" t="s">
        <v>220</v>
      </c>
      <c r="B39" s="285" t="s">
        <v>221</v>
      </c>
      <c r="C39" s="281" t="s">
        <v>1196</v>
      </c>
      <c r="D39" s="281" t="str">
        <f>IF(F39="","",CHOOSE(MONTH(F39),"Q4","Q4","Q4","Q1","Q1","Q1","Q2","Q2","Q2","Q3","Q3","Q3"))</f>
        <v>Q4</v>
      </c>
      <c r="E39" s="282" t="str">
        <f>IF(F39="","",CHOOSE(MONTH(F39),"10-JAN","11-FEB","12-MAR","01-APR","02-MAY","03-JUN","04-JUL","05-AUG","06-SEP","07-OCT","08-NOV","09-DEC"))</f>
        <v>10-JAN</v>
      </c>
      <c r="F39" s="76">
        <v>44956</v>
      </c>
      <c r="G39" s="231" t="s">
        <v>528</v>
      </c>
      <c r="H39" t="s">
        <v>437</v>
      </c>
      <c r="I39" s="29" t="s">
        <v>223</v>
      </c>
      <c r="J39" s="21" t="s">
        <v>95</v>
      </c>
      <c r="K39" s="281" t="s">
        <v>34</v>
      </c>
      <c r="L39" s="78" t="s">
        <v>529</v>
      </c>
      <c r="M39" s="151">
        <f>IF(SUM(V39:BC39)=0,"-",SUM(V39:BC39))</f>
        <v>27</v>
      </c>
      <c r="N39" s="241">
        <f>IF(SUMPRODUCT($V$3:$BC$3,V39:BC39)=0,"-",SUMPRODUCT($V$3:$BC$3,V39:BC39))</f>
        <v>945</v>
      </c>
      <c r="O39" s="271">
        <v>44963</v>
      </c>
      <c r="P39" s="279" t="str">
        <f>IF(G39="","",IFERROR(IF(S39="Sent","",IF(I39="Delivered","PO en attente","Projet en cours")),""))</f>
        <v/>
      </c>
      <c r="Q39" s="247">
        <v>4200637328</v>
      </c>
      <c r="R39" s="247"/>
      <c r="S39" s="247" t="s">
        <v>249</v>
      </c>
      <c r="T39" s="248" t="s">
        <v>481</v>
      </c>
      <c r="U39" s="249" t="s">
        <v>517</v>
      </c>
      <c r="W39" s="8">
        <v>27</v>
      </c>
      <c r="AJ39" s="44"/>
      <c r="AK39" s="44"/>
    </row>
    <row r="40" spans="1:52" hidden="1">
      <c r="A40" s="285" t="s">
        <v>220</v>
      </c>
      <c r="B40" s="285" t="s">
        <v>221</v>
      </c>
      <c r="C40" s="281" t="s">
        <v>1196</v>
      </c>
      <c r="D40" s="281" t="str">
        <f>IF(F40="","",CHOOSE(MONTH(F40),"Q4","Q4","Q4","Q1","Q1","Q1","Q2","Q2","Q2","Q3","Q3","Q3"))</f>
        <v>Q4</v>
      </c>
      <c r="E40" s="282" t="str">
        <f>IF(F40="","",CHOOSE(MONTH(F40),"10-JAN","11-FEB","12-MAR","01-APR","02-MAY","03-JUN","04-JUL","05-AUG","06-SEP","07-OCT","08-NOV","09-DEC"))</f>
        <v>11-FEB</v>
      </c>
      <c r="F40" s="76">
        <v>44964</v>
      </c>
      <c r="G40" s="231" t="s">
        <v>536</v>
      </c>
      <c r="H40" t="s">
        <v>437</v>
      </c>
      <c r="I40" s="29" t="s">
        <v>223</v>
      </c>
      <c r="J40" s="21" t="s">
        <v>95</v>
      </c>
      <c r="K40" s="281" t="s">
        <v>34</v>
      </c>
      <c r="L40" s="78" t="s">
        <v>537</v>
      </c>
      <c r="M40" s="151">
        <f>IF(SUM(V40:BC40)=0,"-",SUM(V40:BC40))</f>
        <v>2</v>
      </c>
      <c r="N40" s="241">
        <f>IF(SUMPRODUCT($V$3:$BC$3,V40:BC40)=0,"-",SUMPRODUCT($V$3:$BC$3,V40:BC40))</f>
        <v>500</v>
      </c>
      <c r="O40" s="271">
        <v>44978</v>
      </c>
      <c r="P40" s="279" t="str">
        <f>IF(G40="","",IFERROR(IF(S40="Sent","",IF(I40="Delivered","PO en attente","Projet en cours")),""))</f>
        <v/>
      </c>
      <c r="Q40" s="252">
        <v>4200637327</v>
      </c>
      <c r="R40" s="252"/>
      <c r="S40" s="247" t="s">
        <v>249</v>
      </c>
      <c r="T40" s="248" t="s">
        <v>481</v>
      </c>
      <c r="U40" s="249" t="s">
        <v>517</v>
      </c>
      <c r="AF40" s="8">
        <v>2</v>
      </c>
      <c r="AJ40" s="44"/>
      <c r="AK40" s="44"/>
    </row>
    <row r="41" spans="1:52" hidden="1">
      <c r="A41" s="285" t="s">
        <v>220</v>
      </c>
      <c r="B41" s="285" t="s">
        <v>221</v>
      </c>
      <c r="C41" s="281" t="s">
        <v>1196</v>
      </c>
      <c r="D41" s="281" t="str">
        <f>IF(F41="","",CHOOSE(MONTH(F41),"Q4","Q4","Q4","Q1","Q1","Q1","Q2","Q2","Q2","Q3","Q3","Q3"))</f>
        <v>Q4</v>
      </c>
      <c r="E41" s="282" t="str">
        <f>IF(F41="","",CHOOSE(MONTH(F41),"10-JAN","11-FEB","12-MAR","01-APR","02-MAY","03-JUN","04-JUL","05-AUG","06-SEP","07-OCT","08-NOV","09-DEC"))</f>
        <v>11-FEB</v>
      </c>
      <c r="F41" s="76">
        <v>44964</v>
      </c>
      <c r="G41" s="231" t="s">
        <v>538</v>
      </c>
      <c r="H41" t="s">
        <v>437</v>
      </c>
      <c r="I41" s="29" t="s">
        <v>223</v>
      </c>
      <c r="J41" s="21" t="s">
        <v>95</v>
      </c>
      <c r="K41" s="281" t="s">
        <v>34</v>
      </c>
      <c r="L41" s="78" t="s">
        <v>539</v>
      </c>
      <c r="M41" s="151">
        <f>IF(SUM(V41:BC41)=0,"-",SUM(V41:BC41))</f>
        <v>5</v>
      </c>
      <c r="N41" s="241">
        <f>IF(SUMPRODUCT($V$3:$BC$3,V41:BC41)=0,"-",SUMPRODUCT($V$3:$BC$3,V41:BC41))</f>
        <v>200</v>
      </c>
      <c r="O41" s="271">
        <v>44978</v>
      </c>
      <c r="P41" s="279" t="str">
        <f>IF(G41="","",IFERROR(IF(S41="Sent","",IF(I41="Delivered","PO en attente","Projet en cours")),""))</f>
        <v/>
      </c>
      <c r="Q41" s="252">
        <v>4200637329</v>
      </c>
      <c r="R41" s="252"/>
      <c r="S41" s="247" t="s">
        <v>249</v>
      </c>
      <c r="T41" s="248" t="s">
        <v>481</v>
      </c>
      <c r="U41" s="249" t="s">
        <v>517</v>
      </c>
      <c r="AD41" s="8">
        <v>5</v>
      </c>
      <c r="AJ41" s="44"/>
      <c r="AK41" s="44"/>
    </row>
    <row r="42" spans="1:52" hidden="1">
      <c r="A42" s="285" t="s">
        <v>220</v>
      </c>
      <c r="B42" s="285" t="s">
        <v>221</v>
      </c>
      <c r="C42" s="281" t="s">
        <v>1196</v>
      </c>
      <c r="D42" s="281" t="str">
        <f>IF(F42="","",CHOOSE(MONTH(F42),"Q4","Q4","Q4","Q1","Q1","Q1","Q2","Q2","Q2","Q3","Q3","Q3"))</f>
        <v>Q4</v>
      </c>
      <c r="E42" s="282" t="str">
        <f>IF(F42="","",CHOOSE(MONTH(F42),"10-JAN","11-FEB","12-MAR","01-APR","02-MAY","03-JUN","04-JUL","05-AUG","06-SEP","07-OCT","08-NOV","09-DEC"))</f>
        <v>11-FEB</v>
      </c>
      <c r="F42" s="76">
        <v>44965</v>
      </c>
      <c r="G42" s="231" t="s">
        <v>540</v>
      </c>
      <c r="H42" t="s">
        <v>36</v>
      </c>
      <c r="I42" s="29" t="s">
        <v>223</v>
      </c>
      <c r="J42" s="8" t="s">
        <v>69</v>
      </c>
      <c r="K42" s="281" t="s">
        <v>34</v>
      </c>
      <c r="L42" s="78" t="s">
        <v>541</v>
      </c>
      <c r="M42" s="151">
        <f>IF(SUM(V42:BC42)=0,"-",SUM(V42:BC42))</f>
        <v>6</v>
      </c>
      <c r="N42" s="241">
        <f>IF(SUMPRODUCT($V$3:$BC$3,V42:BC42)=0,"-",SUMPRODUCT($V$3:$BC$3,V42:BC42))</f>
        <v>210</v>
      </c>
      <c r="O42" s="271">
        <v>44978</v>
      </c>
      <c r="P42" s="279" t="str">
        <f>IF(G42="","",IFERROR(IF(S42="Sent","",IF(I42="Delivered","PO en attente","Projet en cours")),""))</f>
        <v/>
      </c>
      <c r="Q42" s="252">
        <v>4200639098</v>
      </c>
      <c r="R42" s="252"/>
      <c r="S42" s="247" t="s">
        <v>249</v>
      </c>
      <c r="T42" s="248" t="s">
        <v>481</v>
      </c>
      <c r="U42" s="249" t="s">
        <v>517</v>
      </c>
      <c r="W42" s="8">
        <v>6</v>
      </c>
      <c r="AJ42" s="44"/>
      <c r="AK42" s="44"/>
    </row>
    <row r="43" spans="1:52" hidden="1">
      <c r="A43" s="285" t="s">
        <v>220</v>
      </c>
      <c r="B43" s="285" t="s">
        <v>221</v>
      </c>
      <c r="C43" s="281" t="s">
        <v>1196</v>
      </c>
      <c r="D43" s="281" t="str">
        <f>IF(F43="","",CHOOSE(MONTH(F43),"Q4","Q4","Q4","Q1","Q1","Q1","Q2","Q2","Q2","Q3","Q3","Q3"))</f>
        <v>Q4</v>
      </c>
      <c r="E43" s="282" t="str">
        <f>IF(F43="","",CHOOSE(MONTH(F43),"10-JAN","11-FEB","12-MAR","01-APR","02-MAY","03-JUN","04-JUL","05-AUG","06-SEP","07-OCT","08-NOV","09-DEC"))</f>
        <v>11-FEB</v>
      </c>
      <c r="F43" s="76">
        <v>44970</v>
      </c>
      <c r="G43" s="231" t="s">
        <v>544</v>
      </c>
      <c r="H43" t="s">
        <v>36</v>
      </c>
      <c r="I43" s="29" t="s">
        <v>223</v>
      </c>
      <c r="J43" s="8" t="s">
        <v>69</v>
      </c>
      <c r="K43" s="281" t="s">
        <v>34</v>
      </c>
      <c r="L43" s="78" t="s">
        <v>545</v>
      </c>
      <c r="M43" s="151">
        <f>IF(SUM(V43:BC43)=0,"-",SUM(V43:BC43))</f>
        <v>11</v>
      </c>
      <c r="N43" s="241">
        <f>IF(SUMPRODUCT($V$3:$BC$3,V43:BC43)=0,"-",SUMPRODUCT($V$3:$BC$3,V43:BC43))</f>
        <v>495</v>
      </c>
      <c r="O43" s="271">
        <v>44978</v>
      </c>
      <c r="P43" s="279" t="str">
        <f>IF(G43="","",IFERROR(IF(S43="Sent","",IF(I43="Delivered","PO en attente","Projet en cours")),""))</f>
        <v/>
      </c>
      <c r="Q43" s="252">
        <v>4200636098</v>
      </c>
      <c r="R43" s="252"/>
      <c r="S43" s="247" t="s">
        <v>249</v>
      </c>
      <c r="T43" s="248" t="s">
        <v>481</v>
      </c>
      <c r="U43" s="249" t="s">
        <v>517</v>
      </c>
      <c r="V43" s="7">
        <v>1</v>
      </c>
      <c r="W43" s="8">
        <v>5</v>
      </c>
      <c r="AD43" s="8">
        <v>5</v>
      </c>
      <c r="AJ43" s="44"/>
      <c r="AK43" s="44"/>
    </row>
    <row r="44" spans="1:52" hidden="1">
      <c r="A44" s="285" t="s">
        <v>220</v>
      </c>
      <c r="B44" s="285" t="s">
        <v>221</v>
      </c>
      <c r="C44" s="281" t="s">
        <v>1196</v>
      </c>
      <c r="D44" s="281" t="str">
        <f>IF(F44="","",CHOOSE(MONTH(F44),"Q4","Q4","Q4","Q1","Q1","Q1","Q2","Q2","Q2","Q3","Q3","Q3"))</f>
        <v>Q4</v>
      </c>
      <c r="E44" s="282" t="str">
        <f>IF(F44="","",CHOOSE(MONTH(F44),"10-JAN","11-FEB","12-MAR","01-APR","02-MAY","03-JUN","04-JUL","05-AUG","06-SEP","07-OCT","08-NOV","09-DEC"))</f>
        <v>11-FEB</v>
      </c>
      <c r="F44" s="76">
        <v>44970</v>
      </c>
      <c r="G44" s="231" t="s">
        <v>542</v>
      </c>
      <c r="H44" t="s">
        <v>437</v>
      </c>
      <c r="I44" s="29" t="s">
        <v>223</v>
      </c>
      <c r="J44" s="21" t="s">
        <v>95</v>
      </c>
      <c r="K44" s="281" t="s">
        <v>34</v>
      </c>
      <c r="L44" s="78" t="s">
        <v>543</v>
      </c>
      <c r="M44" s="151">
        <f>IF(SUM(V44:BC44)=0,"-",SUM(V44:BC44))</f>
        <v>4</v>
      </c>
      <c r="N44" s="241">
        <f>IF(SUMPRODUCT($V$3:$BC$3,V44:BC44)=0,"-",SUMPRODUCT($V$3:$BC$3,V44:BC44))</f>
        <v>350</v>
      </c>
      <c r="O44" s="271">
        <v>44978</v>
      </c>
      <c r="P44" s="279" t="str">
        <f>IF(G44="","",IFERROR(IF(S44="Sent","",IF(I44="Delivered","PO en attente","Projet en cours")),""))</f>
        <v/>
      </c>
      <c r="Q44" s="252">
        <v>4200639013</v>
      </c>
      <c r="R44" s="252"/>
      <c r="S44" s="247" t="s">
        <v>249</v>
      </c>
      <c r="T44" s="248" t="s">
        <v>481</v>
      </c>
      <c r="U44" s="249" t="s">
        <v>517</v>
      </c>
      <c r="AC44" s="7">
        <v>2</v>
      </c>
      <c r="AD44" s="8">
        <v>2</v>
      </c>
      <c r="AJ44" s="44"/>
      <c r="AK44" s="44"/>
    </row>
    <row r="45" spans="1:52" hidden="1">
      <c r="A45" s="285" t="s">
        <v>220</v>
      </c>
      <c r="B45" s="285" t="s">
        <v>221</v>
      </c>
      <c r="C45" s="281" t="s">
        <v>1196</v>
      </c>
      <c r="D45" s="281" t="str">
        <f>IF(F45="","",CHOOSE(MONTH(F45),"Q4","Q4","Q4","Q1","Q1","Q1","Q2","Q2","Q2","Q3","Q3","Q3"))</f>
        <v>Q4</v>
      </c>
      <c r="E45" s="282" t="str">
        <f>IF(F45="","",CHOOSE(MONTH(F45),"10-JAN","11-FEB","12-MAR","01-APR","02-MAY","03-JUN","04-JUL","05-AUG","06-SEP","07-OCT","08-NOV","09-DEC"))</f>
        <v>11-FEB</v>
      </c>
      <c r="F45" s="76">
        <v>44971</v>
      </c>
      <c r="G45" s="231" t="s">
        <v>546</v>
      </c>
      <c r="H45" t="s">
        <v>36</v>
      </c>
      <c r="I45" s="29" t="s">
        <v>223</v>
      </c>
      <c r="J45" s="8" t="s">
        <v>69</v>
      </c>
      <c r="K45" s="281" t="s">
        <v>34</v>
      </c>
      <c r="L45" s="78" t="s">
        <v>547</v>
      </c>
      <c r="M45" s="151">
        <f>IF(SUM(V45:BC45)=0,"-",SUM(V45:BC45))</f>
        <v>13</v>
      </c>
      <c r="N45" s="241">
        <f>IF(SUMPRODUCT($V$3:$BC$3,V45:BC45)=0,"-",SUMPRODUCT($V$3:$BC$3,V45:BC45))</f>
        <v>660</v>
      </c>
      <c r="O45" s="271">
        <v>44978</v>
      </c>
      <c r="P45" s="279" t="str">
        <f>IF(G45="","",IFERROR(IF(S45="Sent","",IF(I45="Delivered","PO en attente","Projet en cours")),""))</f>
        <v/>
      </c>
      <c r="Q45" s="252">
        <v>4200639098</v>
      </c>
      <c r="R45" s="252"/>
      <c r="S45" s="247" t="s">
        <v>249</v>
      </c>
      <c r="T45" s="248" t="s">
        <v>481</v>
      </c>
      <c r="U45" s="249" t="s">
        <v>517</v>
      </c>
      <c r="V45" s="7">
        <v>1</v>
      </c>
      <c r="W45" s="8">
        <v>7</v>
      </c>
      <c r="AC45" s="7">
        <v>1</v>
      </c>
      <c r="AD45" s="8">
        <v>4</v>
      </c>
      <c r="AJ45" s="44"/>
      <c r="AK45" s="44"/>
    </row>
    <row r="46" spans="1:52" hidden="1">
      <c r="A46" s="285" t="s">
        <v>220</v>
      </c>
      <c r="B46" s="285" t="s">
        <v>221</v>
      </c>
      <c r="C46" s="281" t="s">
        <v>1196</v>
      </c>
      <c r="D46" s="281" t="str">
        <f>IF(F46="","",CHOOSE(MONTH(F46),"Q4","Q4","Q4","Q1","Q1","Q1","Q2","Q2","Q2","Q3","Q3","Q3"))</f>
        <v>Q4</v>
      </c>
      <c r="E46" s="282" t="str">
        <f>IF(F46="","",CHOOSE(MONTH(F46),"10-JAN","11-FEB","12-MAR","01-APR","02-MAY","03-JUN","04-JUL","05-AUG","06-SEP","07-OCT","08-NOV","09-DEC"))</f>
        <v>11-FEB</v>
      </c>
      <c r="F46" s="76">
        <v>44973</v>
      </c>
      <c r="G46" s="231" t="s">
        <v>548</v>
      </c>
      <c r="H46" t="s">
        <v>26</v>
      </c>
      <c r="I46" s="29" t="s">
        <v>223</v>
      </c>
      <c r="J46" s="8" t="s">
        <v>69</v>
      </c>
      <c r="K46" s="281" t="s">
        <v>34</v>
      </c>
      <c r="L46" s="49" t="s">
        <v>481</v>
      </c>
      <c r="M46" s="151">
        <f>IF(SUM(V46:BC46)=0,"-",SUM(V46:BC46))</f>
        <v>1</v>
      </c>
      <c r="N46" s="241">
        <f>IF(SUMPRODUCT($V$3:$BC$3,V46:BC46)=0,"-",SUMPRODUCT($V$3:$BC$3,V46:BC46))</f>
        <v>600</v>
      </c>
      <c r="O46" s="271">
        <v>44973</v>
      </c>
      <c r="P46" s="279" t="str">
        <f>IF(G46="","",IFERROR(IF(S46="Sent","",IF(I46="Delivered","PO en attente","Projet en cours")),""))</f>
        <v/>
      </c>
      <c r="Q46" s="252">
        <v>4200636262</v>
      </c>
      <c r="R46" s="252"/>
      <c r="S46" s="252" t="s">
        <v>228</v>
      </c>
      <c r="T46" s="211" t="s">
        <v>481</v>
      </c>
      <c r="U46" s="249" t="s">
        <v>517</v>
      </c>
      <c r="AN46" s="8">
        <v>1</v>
      </c>
    </row>
    <row r="47" spans="1:52" hidden="1">
      <c r="A47" s="285" t="s">
        <v>220</v>
      </c>
      <c r="B47" s="285" t="s">
        <v>221</v>
      </c>
      <c r="C47" s="281" t="s">
        <v>1196</v>
      </c>
      <c r="D47" s="281" t="str">
        <f>IF(F47="","",CHOOSE(MONTH(F47),"Q4","Q4","Q4","Q1","Q1","Q1","Q2","Q2","Q2","Q3","Q3","Q3"))</f>
        <v>Q4</v>
      </c>
      <c r="E47" s="282" t="str">
        <f>IF(F47="","",CHOOSE(MONTH(F47),"10-JAN","11-FEB","12-MAR","01-APR","02-MAY","03-JUN","04-JUL","05-AUG","06-SEP","07-OCT","08-NOV","09-DEC"))</f>
        <v>11-FEB</v>
      </c>
      <c r="F47" s="76">
        <v>44974</v>
      </c>
      <c r="G47" s="230" t="s">
        <v>549</v>
      </c>
      <c r="H47" t="s">
        <v>242</v>
      </c>
      <c r="I47" s="29" t="s">
        <v>223</v>
      </c>
      <c r="J47" s="8" t="s">
        <v>67</v>
      </c>
      <c r="K47" s="281" t="s">
        <v>30</v>
      </c>
      <c r="L47" s="78" t="s">
        <v>550</v>
      </c>
      <c r="M47" s="151">
        <f>IF(SUM(V47:BC47)=0,"-",SUM(V47:BC47))</f>
        <v>2</v>
      </c>
      <c r="N47" s="241">
        <f>IF(SUMPRODUCT($V$3:$BC$3,V47:BC47)=0,"-",SUMPRODUCT($V$3:$BC$3,V47:BC47))</f>
        <v>240</v>
      </c>
      <c r="O47" s="271">
        <v>44981</v>
      </c>
      <c r="P47" s="279" t="str">
        <f>IF(G47="","",IFERROR(IF(S47="Sent","",IF(I47="Delivered","PO en attente","Projet en cours")),""))</f>
        <v/>
      </c>
      <c r="Q47" s="252">
        <v>4200639291</v>
      </c>
      <c r="R47" s="252"/>
      <c r="S47" s="252" t="s">
        <v>228</v>
      </c>
      <c r="T47" s="211" t="s">
        <v>481</v>
      </c>
      <c r="U47" s="249" t="s">
        <v>517</v>
      </c>
      <c r="V47" s="7">
        <v>2</v>
      </c>
    </row>
    <row r="48" spans="1:52" hidden="1">
      <c r="A48" s="285" t="s">
        <v>220</v>
      </c>
      <c r="B48" s="285" t="s">
        <v>221</v>
      </c>
      <c r="C48" s="281" t="s">
        <v>1196</v>
      </c>
      <c r="D48" s="281" t="str">
        <f>IF(F48="","",CHOOSE(MONTH(F48),"Q4","Q4","Q4","Q1","Q1","Q1","Q2","Q2","Q2","Q3","Q3","Q3"))</f>
        <v>Q4</v>
      </c>
      <c r="E48" s="282" t="str">
        <f>IF(F48="","",CHOOSE(MONTH(F48),"10-JAN","11-FEB","12-MAR","01-APR","02-MAY","03-JUN","04-JUL","05-AUG","06-SEP","07-OCT","08-NOV","09-DEC"))</f>
        <v>11-FEB</v>
      </c>
      <c r="F48" s="76">
        <v>44977</v>
      </c>
      <c r="G48" s="231" t="s">
        <v>551</v>
      </c>
      <c r="H48" s="5" t="s">
        <v>437</v>
      </c>
      <c r="I48" s="29" t="s">
        <v>223</v>
      </c>
      <c r="J48" s="21" t="s">
        <v>95</v>
      </c>
      <c r="K48" s="281" t="s">
        <v>34</v>
      </c>
      <c r="L48" s="78" t="s">
        <v>552</v>
      </c>
      <c r="M48" s="151">
        <f>IF(SUM(V48:BC48)=0,"-",SUM(V48:BC48))</f>
        <v>1</v>
      </c>
      <c r="N48" s="241">
        <f>IF(SUMPRODUCT($V$3:$BC$3,V48:BC48)=0,"-",SUMPRODUCT($V$3:$BC$3,V48:BC48))</f>
        <v>135</v>
      </c>
      <c r="O48" s="271">
        <v>44978</v>
      </c>
      <c r="P48" s="279" t="str">
        <f>IF(G48="","",IFERROR(IF(S48="Sent","",IF(I48="Delivered","PO en attente","Projet en cours")),""))</f>
        <v/>
      </c>
      <c r="Q48" s="252">
        <v>4200638974</v>
      </c>
      <c r="R48" s="252"/>
      <c r="S48" s="247" t="s">
        <v>249</v>
      </c>
      <c r="T48" s="248" t="s">
        <v>481</v>
      </c>
      <c r="U48" s="249" t="s">
        <v>517</v>
      </c>
      <c r="AC48" s="7">
        <v>1</v>
      </c>
    </row>
    <row r="49" spans="1:56" hidden="1">
      <c r="A49" s="285" t="s">
        <v>220</v>
      </c>
      <c r="B49" s="285" t="s">
        <v>221</v>
      </c>
      <c r="C49" s="281" t="s">
        <v>1196</v>
      </c>
      <c r="D49" s="281" t="str">
        <f>IF(F49="","",CHOOSE(MONTH(F49),"Q4","Q4","Q4","Q1","Q1","Q1","Q2","Q2","Q2","Q3","Q3","Q3"))</f>
        <v>Q4</v>
      </c>
      <c r="E49" s="282" t="str">
        <f>IF(F49="","",CHOOSE(MONTH(F49),"10-JAN","11-FEB","12-MAR","01-APR","02-MAY","03-JUN","04-JUL","05-AUG","06-SEP","07-OCT","08-NOV","09-DEC"))</f>
        <v>11-FEB</v>
      </c>
      <c r="F49" s="76">
        <v>44977</v>
      </c>
      <c r="G49" s="231" t="s">
        <v>553</v>
      </c>
      <c r="H49" t="s">
        <v>230</v>
      </c>
      <c r="I49" s="29" t="s">
        <v>223</v>
      </c>
      <c r="J49" s="8" t="s">
        <v>130</v>
      </c>
      <c r="K49" s="281" t="s">
        <v>30</v>
      </c>
      <c r="L49" s="78" t="s">
        <v>554</v>
      </c>
      <c r="M49" s="151">
        <f>IF(SUM(V49:BC49)=0,"-",SUM(V49:BC49))</f>
        <v>1</v>
      </c>
      <c r="N49" s="241">
        <f>IF(SUMPRODUCT($V$3:$BC$3,V49:BC49)=0,"-",SUMPRODUCT($V$3:$BC$3,V49:BC49))</f>
        <v>120</v>
      </c>
      <c r="O49" s="271">
        <v>44981</v>
      </c>
      <c r="P49" s="279" t="str">
        <f>IF(G49="","",IFERROR(IF(S49="Sent","",IF(I49="Delivered","PO en attente","Projet en cours")),""))</f>
        <v/>
      </c>
      <c r="Q49" s="252">
        <v>4200639008</v>
      </c>
      <c r="R49" s="252"/>
      <c r="S49" s="252" t="s">
        <v>228</v>
      </c>
      <c r="T49" s="211" t="s">
        <v>481</v>
      </c>
      <c r="U49" s="249" t="s">
        <v>517</v>
      </c>
      <c r="V49" s="7">
        <v>1</v>
      </c>
    </row>
    <row r="50" spans="1:56" hidden="1">
      <c r="A50" s="285" t="s">
        <v>220</v>
      </c>
      <c r="B50" s="285" t="s">
        <v>221</v>
      </c>
      <c r="C50" s="281" t="s">
        <v>1196</v>
      </c>
      <c r="D50" s="281" t="str">
        <f>IF(F50="","",CHOOSE(MONTH(F50),"Q4","Q4","Q4","Q1","Q1","Q1","Q2","Q2","Q2","Q3","Q3","Q3"))</f>
        <v>Q4</v>
      </c>
      <c r="E50" s="282" t="str">
        <f>IF(F50="","",CHOOSE(MONTH(F50),"10-JAN","11-FEB","12-MAR","01-APR","02-MAY","03-JUN","04-JUL","05-AUG","06-SEP","07-OCT","08-NOV","09-DEC"))</f>
        <v>11-FEB</v>
      </c>
      <c r="F50" s="76">
        <v>44979</v>
      </c>
      <c r="G50" s="231" t="s">
        <v>555</v>
      </c>
      <c r="H50" s="5" t="s">
        <v>437</v>
      </c>
      <c r="I50" s="29" t="s">
        <v>223</v>
      </c>
      <c r="J50" s="21" t="s">
        <v>95</v>
      </c>
      <c r="K50" s="281" t="s">
        <v>34</v>
      </c>
      <c r="L50" s="78" t="s">
        <v>556</v>
      </c>
      <c r="M50" s="151">
        <f>IF(SUM(V50:BC50)=0,"-",SUM(V50:BC50))</f>
        <v>10</v>
      </c>
      <c r="N50" s="241">
        <f>IF(SUMPRODUCT($V$3:$BC$3,V50:BC50)=0,"-",SUMPRODUCT($V$3:$BC$3,V50:BC50))</f>
        <v>780</v>
      </c>
      <c r="O50" s="271">
        <v>44981</v>
      </c>
      <c r="P50" s="279" t="str">
        <f>IF(G50="","",IFERROR(IF(S50="Sent","",IF(I50="Delivered","PO en attente","Projet en cours")),""))</f>
        <v/>
      </c>
      <c r="Q50" s="252">
        <v>4200639014</v>
      </c>
      <c r="R50" s="252"/>
      <c r="S50" s="247" t="s">
        <v>249</v>
      </c>
      <c r="T50" s="248" t="s">
        <v>481</v>
      </c>
      <c r="U50" s="249" t="s">
        <v>517</v>
      </c>
      <c r="AC50" s="7">
        <v>4</v>
      </c>
      <c r="AD50" s="8">
        <v>6</v>
      </c>
    </row>
    <row r="51" spans="1:56" hidden="1">
      <c r="A51" s="285" t="s">
        <v>220</v>
      </c>
      <c r="B51" s="285" t="s">
        <v>221</v>
      </c>
      <c r="C51" s="281" t="s">
        <v>1196</v>
      </c>
      <c r="D51" s="281" t="str">
        <f>IF(F51="","",CHOOSE(MONTH(F51),"Q4","Q4","Q4","Q1","Q1","Q1","Q2","Q2","Q2","Q3","Q3","Q3"))</f>
        <v>Q4</v>
      </c>
      <c r="E51" s="282" t="str">
        <f>IF(F51="","",CHOOSE(MONTH(F51),"10-JAN","11-FEB","12-MAR","01-APR","02-MAY","03-JUN","04-JUL","05-AUG","06-SEP","07-OCT","08-NOV","09-DEC"))</f>
        <v>12-MAR</v>
      </c>
      <c r="F51" s="76">
        <v>44986</v>
      </c>
      <c r="G51" s="232" t="s">
        <v>557</v>
      </c>
      <c r="H51" t="s">
        <v>437</v>
      </c>
      <c r="I51" s="29" t="s">
        <v>223</v>
      </c>
      <c r="J51" s="8" t="s">
        <v>93</v>
      </c>
      <c r="K51" s="281" t="s">
        <v>34</v>
      </c>
      <c r="L51" s="78" t="s">
        <v>558</v>
      </c>
      <c r="M51" s="151">
        <f>IF(SUM(V51:BC51)=0,"-",SUM(V51:BC51))</f>
        <v>4</v>
      </c>
      <c r="N51" s="241">
        <f>IF(SUMPRODUCT($V$3:$BC$3,V51:BC51)=0,"-",SUMPRODUCT($V$3:$BC$3,V51:BC51))</f>
        <v>540</v>
      </c>
      <c r="O51" s="271">
        <v>44981</v>
      </c>
      <c r="P51" s="279" t="str">
        <f>IF(G51="","",IFERROR(IF(S51="Sent","",IF(I51="Delivered","PO en attente","Projet en cours")),""))</f>
        <v/>
      </c>
      <c r="Q51" s="252">
        <v>4200639227</v>
      </c>
      <c r="R51" s="252"/>
      <c r="S51" s="247" t="s">
        <v>249</v>
      </c>
      <c r="T51" s="248" t="s">
        <v>481</v>
      </c>
      <c r="U51" s="249" t="s">
        <v>517</v>
      </c>
      <c r="AC51" s="7">
        <v>4</v>
      </c>
    </row>
    <row r="52" spans="1:56" s="72" customFormat="1" hidden="1">
      <c r="A52" s="285" t="s">
        <v>220</v>
      </c>
      <c r="B52" s="285" t="s">
        <v>221</v>
      </c>
      <c r="C52" s="281" t="s">
        <v>1196</v>
      </c>
      <c r="D52" s="281" t="str">
        <f>IF(F52="","",CHOOSE(MONTH(F52),"Q4","Q4","Q4","Q1","Q1","Q1","Q2","Q2","Q2","Q3","Q3","Q3"))</f>
        <v>Q4</v>
      </c>
      <c r="E52" s="282" t="str">
        <f>IF(F52="","",CHOOSE(MONTH(F52),"10-JAN","11-FEB","12-MAR","01-APR","02-MAY","03-JUN","04-JUL","05-AUG","06-SEP","07-OCT","08-NOV","09-DEC"))</f>
        <v>12-MAR</v>
      </c>
      <c r="F52" s="76">
        <v>44986</v>
      </c>
      <c r="G52" s="231" t="s">
        <v>559</v>
      </c>
      <c r="H52" t="s">
        <v>437</v>
      </c>
      <c r="I52" s="29" t="s">
        <v>223</v>
      </c>
      <c r="J52" s="8" t="s">
        <v>93</v>
      </c>
      <c r="K52" s="281" t="s">
        <v>34</v>
      </c>
      <c r="L52" s="78" t="s">
        <v>560</v>
      </c>
      <c r="M52" s="151">
        <f>IF(SUM(V52:BC52)=0,"-",SUM(V52:BC52))</f>
        <v>11</v>
      </c>
      <c r="N52" s="241">
        <f>IF(SUMPRODUCT($V$3:$BC$3,V52:BC52)=0,"-",SUMPRODUCT($V$3:$BC$3,V52:BC52))</f>
        <v>470</v>
      </c>
      <c r="O52" s="271">
        <v>44981</v>
      </c>
      <c r="P52" s="279" t="str">
        <f>IF(G52="","",IFERROR(IF(S52="Sent","",IF(I52="Delivered","PO en attente","Projet en cours")),""))</f>
        <v/>
      </c>
      <c r="Q52" s="252">
        <v>4200639226</v>
      </c>
      <c r="R52" s="252"/>
      <c r="S52" s="252" t="s">
        <v>228</v>
      </c>
      <c r="T52" s="211" t="s">
        <v>481</v>
      </c>
      <c r="U52" s="249" t="s">
        <v>517</v>
      </c>
      <c r="V52" s="7">
        <v>1</v>
      </c>
      <c r="W52" s="8">
        <v>10</v>
      </c>
      <c r="X52" s="8"/>
      <c r="Y52" s="8"/>
      <c r="Z52" s="8"/>
      <c r="AA52" s="8"/>
      <c r="AB52" s="8"/>
      <c r="AC52" s="7"/>
      <c r="AD52" s="8"/>
      <c r="AE52" s="8"/>
      <c r="AF52" s="8"/>
      <c r="AG52" s="8"/>
      <c r="AH52" s="8"/>
      <c r="AI52" s="8"/>
      <c r="AJ52" s="8"/>
      <c r="AK52" s="8"/>
      <c r="AL52" s="7"/>
      <c r="AM52" s="7"/>
      <c r="AN52" s="8"/>
      <c r="AO52" s="8"/>
      <c r="AP52" s="8"/>
      <c r="AQ52" s="8"/>
      <c r="AR52" s="8"/>
      <c r="AS52" s="7"/>
      <c r="AT52" s="8"/>
      <c r="AU52" s="8"/>
      <c r="AV52" s="8"/>
      <c r="AW52" s="8"/>
      <c r="AX52" s="8"/>
      <c r="AY52" s="8"/>
      <c r="AZ52" s="7"/>
      <c r="BA52" s="8"/>
      <c r="BB52" s="7"/>
      <c r="BC52" s="8"/>
      <c r="BD52" s="71"/>
    </row>
    <row r="53" spans="1:56" hidden="1">
      <c r="A53" s="285" t="s">
        <v>220</v>
      </c>
      <c r="B53" s="285" t="s">
        <v>221</v>
      </c>
      <c r="C53" s="281" t="s">
        <v>1196</v>
      </c>
      <c r="D53" s="281" t="str">
        <f>IF(F53="","",CHOOSE(MONTH(F53),"Q4","Q4","Q4","Q1","Q1","Q1","Q2","Q2","Q2","Q3","Q3","Q3"))</f>
        <v>Q4</v>
      </c>
      <c r="E53" s="282" t="str">
        <f>IF(F53="","",CHOOSE(MONTH(F53),"10-JAN","11-FEB","12-MAR","01-APR","02-MAY","03-JUN","04-JUL","05-AUG","06-SEP","07-OCT","08-NOV","09-DEC"))</f>
        <v>12-MAR</v>
      </c>
      <c r="F53" s="76">
        <v>44994</v>
      </c>
      <c r="G53" s="231" t="s">
        <v>561</v>
      </c>
      <c r="H53" t="s">
        <v>36</v>
      </c>
      <c r="I53" s="29" t="s">
        <v>223</v>
      </c>
      <c r="J53" s="8" t="s">
        <v>69</v>
      </c>
      <c r="K53" s="281" t="s">
        <v>34</v>
      </c>
      <c r="L53" s="78" t="s">
        <v>562</v>
      </c>
      <c r="M53" s="151">
        <f>IF(SUM(V53:BC53)=0,"-",SUM(V53:BC53))</f>
        <v>10</v>
      </c>
      <c r="N53" s="241">
        <f>IF(SUMPRODUCT($V$3:$BC$3,V53:BC53)=0,"-",SUMPRODUCT($V$3:$BC$3,V53:BC53))</f>
        <v>445</v>
      </c>
      <c r="O53" s="271">
        <v>45006</v>
      </c>
      <c r="P53" s="279" t="str">
        <f>IF(G53="","",IFERROR(IF(S53="Sent","",IF(I53="Delivered","PO en attente","Projet en cours")),""))</f>
        <v/>
      </c>
      <c r="Q53" s="252">
        <v>4200640853</v>
      </c>
      <c r="R53" s="252"/>
      <c r="S53" s="252" t="s">
        <v>228</v>
      </c>
      <c r="T53" s="211" t="s">
        <v>481</v>
      </c>
      <c r="U53" s="249" t="s">
        <v>517</v>
      </c>
      <c r="V53" s="7">
        <v>1</v>
      </c>
      <c r="W53" s="8">
        <v>7</v>
      </c>
      <c r="AD53" s="8">
        <v>2</v>
      </c>
    </row>
    <row r="54" spans="1:56" hidden="1">
      <c r="A54" s="285" t="s">
        <v>220</v>
      </c>
      <c r="B54" s="285" t="s">
        <v>221</v>
      </c>
      <c r="C54" s="281" t="s">
        <v>1196</v>
      </c>
      <c r="D54" s="281" t="str">
        <f>IF(F54="","",CHOOSE(MONTH(F54),"Q4","Q4","Q4","Q1","Q1","Q1","Q2","Q2","Q2","Q3","Q3","Q3"))</f>
        <v>Q4</v>
      </c>
      <c r="E54" s="282" t="str">
        <f>IF(F54="","",CHOOSE(MONTH(F54),"10-JAN","11-FEB","12-MAR","01-APR","02-MAY","03-JUN","04-JUL","05-AUG","06-SEP","07-OCT","08-NOV","09-DEC"))</f>
        <v>12-MAR</v>
      </c>
      <c r="F54" s="76">
        <v>45001</v>
      </c>
      <c r="G54" s="231" t="s">
        <v>563</v>
      </c>
      <c r="H54" t="s">
        <v>437</v>
      </c>
      <c r="I54" s="29" t="s">
        <v>223</v>
      </c>
      <c r="J54" s="21" t="s">
        <v>95</v>
      </c>
      <c r="K54" s="281" t="s">
        <v>34</v>
      </c>
      <c r="L54" s="78" t="s">
        <v>564</v>
      </c>
      <c r="M54" s="151">
        <f>IF(SUM(V54:BC54)=0,"-",SUM(V54:BC54))</f>
        <v>9</v>
      </c>
      <c r="N54" s="241">
        <f>IF(SUMPRODUCT($V$3:$BC$3,V54:BC54)=0,"-",SUMPRODUCT($V$3:$BC$3,V54:BC54))</f>
        <v>570</v>
      </c>
      <c r="O54" s="271">
        <v>44981</v>
      </c>
      <c r="P54" s="279" t="str">
        <f>IF(G54="","",IFERROR(IF(S54="Sent","",IF(I54="Delivered","PO en attente","Projet en cours")),""))</f>
        <v/>
      </c>
      <c r="Q54" s="252">
        <v>4200640930</v>
      </c>
      <c r="R54" s="252"/>
      <c r="S54" s="252" t="s">
        <v>228</v>
      </c>
      <c r="T54" s="211" t="s">
        <v>481</v>
      </c>
      <c r="U54" s="249" t="s">
        <v>517</v>
      </c>
      <c r="V54" s="7">
        <v>3</v>
      </c>
      <c r="W54" s="8">
        <v>6</v>
      </c>
    </row>
    <row r="55" spans="1:56" hidden="1">
      <c r="A55" s="285" t="s">
        <v>220</v>
      </c>
      <c r="B55" s="285" t="s">
        <v>221</v>
      </c>
      <c r="C55" s="281" t="s">
        <v>1196</v>
      </c>
      <c r="D55" s="281" t="str">
        <f>IF(F55="","",CHOOSE(MONTH(F55),"Q4","Q4","Q4","Q1","Q1","Q1","Q2","Q2","Q2","Q3","Q3","Q3"))</f>
        <v>Q4</v>
      </c>
      <c r="E55" s="282" t="str">
        <f>IF(F55="","",CHOOSE(MONTH(F55),"10-JAN","11-FEB","12-MAR","01-APR","02-MAY","03-JUN","04-JUL","05-AUG","06-SEP","07-OCT","08-NOV","09-DEC"))</f>
        <v>12-MAR</v>
      </c>
      <c r="F55" s="76">
        <v>45005</v>
      </c>
      <c r="G55" s="231" t="s">
        <v>567</v>
      </c>
      <c r="H55" s="5" t="s">
        <v>230</v>
      </c>
      <c r="I55" s="29" t="s">
        <v>481</v>
      </c>
      <c r="J55" s="8" t="s">
        <v>130</v>
      </c>
      <c r="K55" s="281" t="s">
        <v>30</v>
      </c>
      <c r="L55" s="49" t="s">
        <v>481</v>
      </c>
      <c r="M55" s="151">
        <f>IF(SUM(V55:BC55)=0,"-",SUM(V55:BC55))</f>
        <v>0.83333333333333337</v>
      </c>
      <c r="N55" s="241">
        <f>IF(SUMPRODUCT($V$3:$BC$3,V55:BC55)=0,"-",SUMPRODUCT($V$3:$BC$3,V55:BC55))</f>
        <v>1000</v>
      </c>
      <c r="O55" s="271">
        <v>45005</v>
      </c>
      <c r="P55" s="279" t="str">
        <f>IF(G55="","",IFERROR(IF(S55="Sent","",IF(I55="Delivered","PO en attente","Projet en cours")),""))</f>
        <v/>
      </c>
      <c r="Q55" s="252">
        <v>4200639006</v>
      </c>
      <c r="R55" s="252"/>
      <c r="S55" s="252" t="s">
        <v>228</v>
      </c>
      <c r="T55" s="211" t="s">
        <v>481</v>
      </c>
      <c r="U55" s="249" t="s">
        <v>517</v>
      </c>
      <c r="AP55" s="63">
        <f>1/1.2</f>
        <v>0.83333333333333337</v>
      </c>
    </row>
    <row r="56" spans="1:56" hidden="1">
      <c r="A56" s="285" t="s">
        <v>220</v>
      </c>
      <c r="B56" s="285" t="s">
        <v>221</v>
      </c>
      <c r="C56" s="281" t="s">
        <v>1196</v>
      </c>
      <c r="D56" s="281" t="str">
        <f>IF(F56="","",CHOOSE(MONTH(F56),"Q4","Q4","Q4","Q1","Q1","Q1","Q2","Q2","Q2","Q3","Q3","Q3"))</f>
        <v>Q4</v>
      </c>
      <c r="E56" s="282" t="str">
        <f>IF(F56="","",CHOOSE(MONTH(F56),"10-JAN","11-FEB","12-MAR","01-APR","02-MAY","03-JUN","04-JUL","05-AUG","06-SEP","07-OCT","08-NOV","09-DEC"))</f>
        <v>12-MAR</v>
      </c>
      <c r="F56" s="76">
        <v>45005</v>
      </c>
      <c r="G56" s="231" t="s">
        <v>565</v>
      </c>
      <c r="H56" t="s">
        <v>230</v>
      </c>
      <c r="I56" s="29" t="s">
        <v>223</v>
      </c>
      <c r="J56" s="21" t="s">
        <v>95</v>
      </c>
      <c r="K56" s="281" t="s">
        <v>30</v>
      </c>
      <c r="L56" s="78" t="s">
        <v>566</v>
      </c>
      <c r="M56" s="151">
        <f>IF(SUM(V56:BC56)=0,"-",SUM(V56:BC56))</f>
        <v>2</v>
      </c>
      <c r="N56" s="241">
        <f>IF(SUMPRODUCT($V$3:$BC$3,V56:BC56)=0,"-",SUMPRODUCT($V$3:$BC$3,V56:BC56))</f>
        <v>240</v>
      </c>
      <c r="O56" s="271">
        <v>45005</v>
      </c>
      <c r="P56" s="279" t="str">
        <f>IF(G56="","",IFERROR(IF(S56="Sent","",IF(I56="Delivered","PO en attente","Projet en cours")),""))</f>
        <v/>
      </c>
      <c r="Q56" s="252">
        <v>4200639051</v>
      </c>
      <c r="R56" s="252"/>
      <c r="S56" s="252" t="s">
        <v>228</v>
      </c>
      <c r="T56" s="211" t="s">
        <v>481</v>
      </c>
      <c r="U56" s="249" t="s">
        <v>517</v>
      </c>
      <c r="V56" s="7">
        <v>2</v>
      </c>
    </row>
    <row r="57" spans="1:56" hidden="1">
      <c r="A57" s="285" t="s">
        <v>220</v>
      </c>
      <c r="B57" s="285" t="s">
        <v>221</v>
      </c>
      <c r="C57" s="281" t="s">
        <v>1196</v>
      </c>
      <c r="D57" s="281" t="str">
        <f>IF(F57="","",CHOOSE(MONTH(F57),"Q4","Q4","Q4","Q1","Q1","Q1","Q2","Q2","Q2","Q3","Q3","Q3"))</f>
        <v>Q4</v>
      </c>
      <c r="E57" s="282" t="str">
        <f>IF(F57="","",CHOOSE(MONTH(F57),"10-JAN","11-FEB","12-MAR","01-APR","02-MAY","03-JUN","04-JUL","05-AUG","06-SEP","07-OCT","08-NOV","09-DEC"))</f>
        <v>12-MAR</v>
      </c>
      <c r="F57" s="76">
        <v>45006</v>
      </c>
      <c r="G57" s="231" t="s">
        <v>571</v>
      </c>
      <c r="H57" s="5" t="s">
        <v>26</v>
      </c>
      <c r="I57" s="64" t="s">
        <v>481</v>
      </c>
      <c r="J57" s="8" t="s">
        <v>69</v>
      </c>
      <c r="K57" s="281" t="s">
        <v>30</v>
      </c>
      <c r="L57" s="49" t="s">
        <v>481</v>
      </c>
      <c r="M57" s="151">
        <f>IF(SUM(V57:BC57)=0,"-",SUM(V57:BC57))</f>
        <v>0.83333333333333337</v>
      </c>
      <c r="N57" s="241">
        <f>IF(SUMPRODUCT($V$3:$BC$3,V57:BC57)=0,"-",SUMPRODUCT($V$3:$BC$3,V57:BC57))</f>
        <v>1000</v>
      </c>
      <c r="O57" s="271">
        <v>45006</v>
      </c>
      <c r="P57" s="279" t="str">
        <f>IF(G57="","",IFERROR(IF(S57="Sent","",IF(I57="Delivered","PO en attente","Projet en cours")),""))</f>
        <v/>
      </c>
      <c r="Q57" s="252">
        <v>4200639353</v>
      </c>
      <c r="R57" s="252"/>
      <c r="S57" s="252" t="s">
        <v>228</v>
      </c>
      <c r="T57" s="211" t="s">
        <v>481</v>
      </c>
      <c r="U57" s="249" t="s">
        <v>517</v>
      </c>
      <c r="AP57" s="63">
        <f>1/1.2</f>
        <v>0.83333333333333337</v>
      </c>
    </row>
    <row r="58" spans="1:56" hidden="1">
      <c r="A58" s="285" t="s">
        <v>220</v>
      </c>
      <c r="B58" s="285" t="s">
        <v>221</v>
      </c>
      <c r="C58" s="281" t="s">
        <v>1196</v>
      </c>
      <c r="D58" s="281" t="str">
        <f>IF(F58="","",CHOOSE(MONTH(F58),"Q4","Q4","Q4","Q1","Q1","Q1","Q2","Q2","Q2","Q3","Q3","Q3"))</f>
        <v>Q4</v>
      </c>
      <c r="E58" s="282" t="str">
        <f>IF(F58="","",CHOOSE(MONTH(F58),"10-JAN","11-FEB","12-MAR","01-APR","02-MAY","03-JUN","04-JUL","05-AUG","06-SEP","07-OCT","08-NOV","09-DEC"))</f>
        <v>12-MAR</v>
      </c>
      <c r="F58" s="76">
        <v>45006</v>
      </c>
      <c r="G58" s="230" t="s">
        <v>573</v>
      </c>
      <c r="H58" t="s">
        <v>46</v>
      </c>
      <c r="I58" s="29" t="s">
        <v>223</v>
      </c>
      <c r="J58" s="8" t="s">
        <v>130</v>
      </c>
      <c r="K58" s="281" t="s">
        <v>34</v>
      </c>
      <c r="L58" s="53" t="s">
        <v>577</v>
      </c>
      <c r="M58" s="151">
        <v>134</v>
      </c>
      <c r="N58" s="241">
        <v>6010</v>
      </c>
      <c r="O58" s="271">
        <v>45006</v>
      </c>
      <c r="P58" s="279" t="str">
        <f>IF(G58="","",IFERROR(IF(S58="Sent","",IF(I58="Delivered","PO en attente","Projet en cours")),""))</f>
        <v/>
      </c>
      <c r="Q58" s="265">
        <v>4200639031</v>
      </c>
      <c r="R58" s="252"/>
      <c r="S58" s="252" t="s">
        <v>228</v>
      </c>
      <c r="T58" s="211" t="s">
        <v>481</v>
      </c>
      <c r="U58" s="249" t="s">
        <v>517</v>
      </c>
    </row>
    <row r="59" spans="1:56" hidden="1">
      <c r="A59" s="285" t="s">
        <v>220</v>
      </c>
      <c r="B59" s="285" t="s">
        <v>221</v>
      </c>
      <c r="C59" s="281" t="s">
        <v>1196</v>
      </c>
      <c r="D59" s="281" t="str">
        <f>IF(F59="","",CHOOSE(MONTH(F59),"Q4","Q4","Q4","Q1","Q1","Q1","Q2","Q2","Q2","Q3","Q3","Q3"))</f>
        <v>Q4</v>
      </c>
      <c r="E59" s="282" t="str">
        <f>IF(F59="","",CHOOSE(MONTH(F59),"10-JAN","11-FEB","12-MAR","01-APR","02-MAY","03-JUN","04-JUL","05-AUG","06-SEP","07-OCT","08-NOV","09-DEC"))</f>
        <v>12-MAR</v>
      </c>
      <c r="F59" s="76">
        <v>45006</v>
      </c>
      <c r="G59" s="230" t="s">
        <v>574</v>
      </c>
      <c r="H59" s="57" t="s">
        <v>46</v>
      </c>
      <c r="I59" s="29" t="s">
        <v>223</v>
      </c>
      <c r="J59" s="67" t="s">
        <v>130</v>
      </c>
      <c r="K59" s="281" t="s">
        <v>34</v>
      </c>
      <c r="L59" s="68" t="s">
        <v>575</v>
      </c>
      <c r="M59" s="151">
        <f>IF(SUM(V59:BC59)=0,"-",SUM(V59:BC59))</f>
        <v>1</v>
      </c>
      <c r="N59" s="241">
        <f>IF(SUMPRODUCT($V$3:$BC$3,V59:BC59)=0,"-",SUMPRODUCT($V$3:$BC$3,V59:BC59))</f>
        <v>120</v>
      </c>
      <c r="O59" s="271" t="s">
        <v>481</v>
      </c>
      <c r="P59" s="279"/>
      <c r="Q59" s="265" t="s">
        <v>1200</v>
      </c>
      <c r="R59" s="295"/>
      <c r="S59" s="252" t="s">
        <v>228</v>
      </c>
      <c r="T59" s="295" t="s">
        <v>481</v>
      </c>
      <c r="U59" s="249" t="s">
        <v>517</v>
      </c>
      <c r="V59" s="70">
        <v>1</v>
      </c>
      <c r="W59" s="67"/>
      <c r="X59" s="67"/>
      <c r="Y59" s="67"/>
      <c r="Z59" s="67"/>
      <c r="AA59" s="67"/>
      <c r="AB59" s="67"/>
      <c r="AC59" s="70"/>
      <c r="AD59" s="67"/>
      <c r="AE59" s="67"/>
      <c r="AF59" s="67"/>
      <c r="AG59" s="67"/>
      <c r="AH59" s="67"/>
      <c r="AI59" s="67"/>
      <c r="AJ59" s="67"/>
      <c r="AK59" s="67"/>
      <c r="AL59" s="70"/>
      <c r="AM59" s="70"/>
      <c r="AN59" s="67"/>
      <c r="AO59" s="67"/>
      <c r="AP59" s="67"/>
      <c r="AQ59" s="67"/>
      <c r="AR59" s="67"/>
      <c r="AS59" s="70"/>
      <c r="AT59" s="67"/>
      <c r="AU59" s="67"/>
      <c r="AV59" s="67"/>
      <c r="AW59" s="67"/>
      <c r="AX59" s="67"/>
      <c r="AY59" s="67"/>
      <c r="AZ59" s="70"/>
      <c r="BA59" s="67"/>
      <c r="BB59" s="70"/>
      <c r="BC59" s="67"/>
    </row>
    <row r="60" spans="1:56" hidden="1">
      <c r="A60" s="287" t="s">
        <v>220</v>
      </c>
      <c r="B60" s="287" t="s">
        <v>221</v>
      </c>
      <c r="C60" s="283" t="s">
        <v>1196</v>
      </c>
      <c r="D60" s="281" t="str">
        <f>IF(F60="","",CHOOSE(MONTH(F60),"Q4","Q4","Q4","Q1","Q1","Q1","Q2","Q2","Q2","Q3","Q3","Q3"))</f>
        <v>Q4</v>
      </c>
      <c r="E60" s="282" t="str">
        <f>IF(F60="","",CHOOSE(MONTH(F60),"10-JAN","11-FEB","12-MAR","01-APR","02-MAY","03-JUN","04-JUL","05-AUG","06-SEP","07-OCT","08-NOV","09-DEC"))</f>
        <v>12-MAR</v>
      </c>
      <c r="F60" s="76">
        <v>45008</v>
      </c>
      <c r="G60" s="231" t="s">
        <v>598</v>
      </c>
      <c r="H60" s="57" t="s">
        <v>437</v>
      </c>
      <c r="I60" s="29" t="s">
        <v>223</v>
      </c>
      <c r="J60" s="21" t="s">
        <v>95</v>
      </c>
      <c r="K60" s="281" t="s">
        <v>34</v>
      </c>
      <c r="L60" s="78" t="s">
        <v>599</v>
      </c>
      <c r="M60" s="151">
        <f>IF(SUM(V60:BC60)=0,"-",SUM(V60:BC60))</f>
        <v>1</v>
      </c>
      <c r="N60" s="241">
        <f>IF(SUMPRODUCT($V$3:$BC$3,V60:BC60)=0,"-",SUMPRODUCT($V$3:$BC$3,V60:BC60))</f>
        <v>250</v>
      </c>
      <c r="O60" s="271">
        <v>45023</v>
      </c>
      <c r="P60" s="279" t="str">
        <f>IF(G60="","",IFERROR(IF(S60="Sent","",IF(I60="Delivered","PO en attente","Projet en cours")),""))</f>
        <v/>
      </c>
      <c r="Q60" s="252">
        <v>4200640929</v>
      </c>
      <c r="R60" s="252"/>
      <c r="S60" s="247" t="s">
        <v>249</v>
      </c>
      <c r="T60" s="248" t="s">
        <v>481</v>
      </c>
      <c r="U60" s="249" t="s">
        <v>517</v>
      </c>
      <c r="AF60" s="8">
        <v>1</v>
      </c>
    </row>
    <row r="61" spans="1:56" hidden="1">
      <c r="A61" s="285" t="s">
        <v>220</v>
      </c>
      <c r="B61" s="285" t="s">
        <v>221</v>
      </c>
      <c r="C61" s="281" t="s">
        <v>1196</v>
      </c>
      <c r="D61" s="281" t="str">
        <f>IF(F61="","",CHOOSE(MONTH(F61),"Q4","Q4","Q4","Q1","Q1","Q1","Q2","Q2","Q2","Q3","Q3","Q3"))</f>
        <v>Q4</v>
      </c>
      <c r="E61" s="282" t="str">
        <f>IF(F61="","",CHOOSE(MONTH(F61),"10-JAN","11-FEB","12-MAR","01-APR","02-MAY","03-JUN","04-JUL","05-AUG","06-SEP","07-OCT","08-NOV","09-DEC"))</f>
        <v>12-MAR</v>
      </c>
      <c r="F61" s="76">
        <v>45008</v>
      </c>
      <c r="G61" s="231" t="s">
        <v>602</v>
      </c>
      <c r="H61" t="s">
        <v>437</v>
      </c>
      <c r="I61" s="29" t="s">
        <v>223</v>
      </c>
      <c r="J61" s="21" t="s">
        <v>95</v>
      </c>
      <c r="K61" s="281" t="s">
        <v>34</v>
      </c>
      <c r="L61" s="78" t="s">
        <v>603</v>
      </c>
      <c r="M61" s="151">
        <f>IF(SUM(V61:BC61)=0,"-",SUM(V61:BC61))</f>
        <v>21</v>
      </c>
      <c r="N61" s="241">
        <f>IF(SUMPRODUCT($V$3:$BC$3,V61:BC61)=0,"-",SUMPRODUCT($V$3:$BC$3,V61:BC61))</f>
        <v>1695</v>
      </c>
      <c r="O61" s="271">
        <v>45023</v>
      </c>
      <c r="P61" s="279" t="str">
        <f>IF(G61="","",IFERROR(IF(S61="Sent","",IF(I61="Delivered","PO en attente","Projet en cours")),""))</f>
        <v/>
      </c>
      <c r="Q61" s="252">
        <v>4200640938</v>
      </c>
      <c r="R61" s="252"/>
      <c r="S61" s="247" t="s">
        <v>249</v>
      </c>
      <c r="T61" s="248" t="s">
        <v>481</v>
      </c>
      <c r="U61" s="249" t="s">
        <v>517</v>
      </c>
      <c r="AC61" s="7">
        <v>9</v>
      </c>
      <c r="AD61" s="8">
        <v>12</v>
      </c>
    </row>
    <row r="62" spans="1:56" hidden="1">
      <c r="A62" s="285" t="s">
        <v>220</v>
      </c>
      <c r="B62" s="285" t="s">
        <v>221</v>
      </c>
      <c r="C62" s="281" t="s">
        <v>1196</v>
      </c>
      <c r="D62" s="281" t="str">
        <f>IF(F62="","",CHOOSE(MONTH(F62),"Q4","Q4","Q4","Q1","Q1","Q1","Q2","Q2","Q2","Q3","Q3","Q3"))</f>
        <v>Q4</v>
      </c>
      <c r="E62" s="282" t="str">
        <f>IF(F62="","",CHOOSE(MONTH(F62),"10-JAN","11-FEB","12-MAR","01-APR","02-MAY","03-JUN","04-JUL","05-AUG","06-SEP","07-OCT","08-NOV","09-DEC"))</f>
        <v>12-MAR</v>
      </c>
      <c r="F62" s="76">
        <v>45008</v>
      </c>
      <c r="G62" s="231" t="s">
        <v>600</v>
      </c>
      <c r="H62" t="s">
        <v>46</v>
      </c>
      <c r="I62" s="29" t="s">
        <v>223</v>
      </c>
      <c r="J62" s="8" t="s">
        <v>130</v>
      </c>
      <c r="K62" s="281" t="s">
        <v>34</v>
      </c>
      <c r="L62" s="78" t="s">
        <v>601</v>
      </c>
      <c r="M62" s="151" t="str">
        <f>IF(SUM(V62:BC62)=0,"-",SUM(V62:BC62))</f>
        <v>-</v>
      </c>
      <c r="N62" s="241" t="str">
        <f>IF(SUMPRODUCT($V$3:$BC$3,V62:BC62)=0,"-",SUMPRODUCT($V$3:$BC$3,V62:BC62))</f>
        <v>-</v>
      </c>
      <c r="O62" s="271">
        <v>45008</v>
      </c>
      <c r="P62" s="279" t="str">
        <f>IF(G62="","",IFERROR(IF(S62="Sent","",IF(I62="Delivered","PO en attente","Projet en cours")),""))</f>
        <v/>
      </c>
      <c r="Q62" s="252">
        <v>4200639284</v>
      </c>
      <c r="R62" s="252"/>
      <c r="S62" s="247" t="s">
        <v>249</v>
      </c>
      <c r="T62" s="248" t="s">
        <v>481</v>
      </c>
      <c r="U62" s="249" t="s">
        <v>517</v>
      </c>
    </row>
    <row r="63" spans="1:56" hidden="1">
      <c r="A63" s="285" t="s">
        <v>220</v>
      </c>
      <c r="B63" s="285" t="s">
        <v>221</v>
      </c>
      <c r="C63" s="281" t="s">
        <v>1196</v>
      </c>
      <c r="D63" s="281" t="str">
        <f>IF(F63="","",CHOOSE(MONTH(F63),"Q4","Q4","Q4","Q1","Q1","Q1","Q2","Q2","Q2","Q3","Q3","Q3"))</f>
        <v>Q4</v>
      </c>
      <c r="E63" s="282" t="str">
        <f>IF(F63="","",CHOOSE(MONTH(F63),"10-JAN","11-FEB","12-MAR","01-APR","02-MAY","03-JUN","04-JUL","05-AUG","06-SEP","07-OCT","08-NOV","09-DEC"))</f>
        <v>12-MAR</v>
      </c>
      <c r="F63" s="76">
        <v>45012</v>
      </c>
      <c r="G63" s="231" t="s">
        <v>604</v>
      </c>
      <c r="H63" t="s">
        <v>36</v>
      </c>
      <c r="I63" s="29" t="s">
        <v>223</v>
      </c>
      <c r="J63" s="8" t="s">
        <v>69</v>
      </c>
      <c r="K63" s="281" t="s">
        <v>34</v>
      </c>
      <c r="L63" s="78" t="s">
        <v>605</v>
      </c>
      <c r="M63" s="151">
        <f>IF(SUM(V63:BC63)=0,"-",SUM(V63:BC63))</f>
        <v>15</v>
      </c>
      <c r="N63" s="241">
        <f>IF(SUMPRODUCT($V$3:$BC$3,V63:BC63)=0,"-",SUMPRODUCT($V$3:$BC$3,V63:BC63))</f>
        <v>550</v>
      </c>
      <c r="O63" s="271">
        <v>45008</v>
      </c>
      <c r="P63" s="279" t="str">
        <f>IF(G63="","",IFERROR(IF(S63="Sent","",IF(I63="Delivered","PO en attente","Projet en cours")),""))</f>
        <v/>
      </c>
      <c r="Q63" s="252">
        <v>4200639687</v>
      </c>
      <c r="R63" s="252"/>
      <c r="S63" s="252" t="s">
        <v>249</v>
      </c>
      <c r="T63" s="211" t="s">
        <v>481</v>
      </c>
      <c r="U63" s="249" t="s">
        <v>517</v>
      </c>
      <c r="W63" s="8">
        <v>14</v>
      </c>
      <c r="Y63" s="8">
        <v>1</v>
      </c>
    </row>
    <row r="64" spans="1:56" hidden="1">
      <c r="A64" s="286" t="s">
        <v>220</v>
      </c>
      <c r="B64" s="286" t="s">
        <v>221</v>
      </c>
      <c r="C64" s="280" t="s">
        <v>3</v>
      </c>
      <c r="D64" s="281" t="str">
        <f>IF(F64="","",CHOOSE(MONTH(F64),"Q4","Q4","Q4","Q1","Q1","Q1","Q2","Q2","Q2","Q3","Q3","Q3"))</f>
        <v>Q1</v>
      </c>
      <c r="E64" s="282" t="str">
        <f>IF(F64="","",CHOOSE(MONTH(F64),"10-JAN","11-FEB","12-MAR","01-APR","02-MAY","03-JUN","04-JUL","05-AUG","06-SEP","07-OCT","08-NOV","09-DEC"))</f>
        <v>01-APR</v>
      </c>
      <c r="F64" s="76">
        <v>45022</v>
      </c>
      <c r="G64" s="231" t="s">
        <v>610</v>
      </c>
      <c r="H64" t="s">
        <v>437</v>
      </c>
      <c r="I64" s="29" t="s">
        <v>223</v>
      </c>
      <c r="J64" s="8" t="s">
        <v>93</v>
      </c>
      <c r="K64" s="281" t="s">
        <v>34</v>
      </c>
      <c r="L64" s="78" t="s">
        <v>280</v>
      </c>
      <c r="M64" s="151">
        <f>IF(SUM(V64:BC64)=0,"-",SUM(V64:BC64))</f>
        <v>3</v>
      </c>
      <c r="N64" s="241">
        <f>IF(SUMPRODUCT($V$3:$BC$3,V64:BC64)=0,"-",SUMPRODUCT($V$3:$BC$3,V64:BC64))</f>
        <v>405</v>
      </c>
      <c r="O64" s="271">
        <v>45035</v>
      </c>
      <c r="P64" s="279" t="str">
        <f>IF(G64="","",IFERROR(IF(S64="Sent","",IF(I64="Delivered","PO en attente","Projet en cours")),""))</f>
        <v/>
      </c>
      <c r="Q64" s="252">
        <v>4200640937</v>
      </c>
      <c r="R64" s="252"/>
      <c r="S64" s="247" t="s">
        <v>249</v>
      </c>
      <c r="T64" s="248" t="s">
        <v>481</v>
      </c>
      <c r="U64" s="249" t="s">
        <v>517</v>
      </c>
      <c r="AC64" s="7">
        <v>3</v>
      </c>
    </row>
    <row r="65" spans="1:56" hidden="1">
      <c r="A65" s="286" t="s">
        <v>244</v>
      </c>
      <c r="B65" s="286" t="s">
        <v>221</v>
      </c>
      <c r="C65" s="280" t="s">
        <v>3</v>
      </c>
      <c r="D65" s="281" t="str">
        <f>IF(F65="","",CHOOSE(MONTH(F65),"Q4","Q4","Q4","Q1","Q1","Q1","Q2","Q2","Q2","Q3","Q3","Q3"))</f>
        <v>Q3</v>
      </c>
      <c r="E65" s="282" t="str">
        <f>IF(F65="","",CHOOSE(MONTH(F65),"10-JAN","11-FEB","12-MAR","01-APR","02-MAY","03-JUN","04-JUL","05-AUG","06-SEP","07-OCT","08-NOV","09-DEC"))</f>
        <v>08-NOV</v>
      </c>
      <c r="F65" s="76">
        <v>44882</v>
      </c>
      <c r="G65" s="230" t="s">
        <v>384</v>
      </c>
      <c r="H65" t="s">
        <v>385</v>
      </c>
      <c r="I65" s="118" t="s">
        <v>223</v>
      </c>
      <c r="J65" s="8" t="s">
        <v>69</v>
      </c>
      <c r="K65" s="281" t="s">
        <v>30</v>
      </c>
      <c r="L65" s="368" t="s">
        <v>386</v>
      </c>
      <c r="M65" s="151">
        <f>IF(SUM(V65:BC65)=0,"-",SUM(V65:BC65))</f>
        <v>4</v>
      </c>
      <c r="N65" s="278">
        <f>IF(SUMPRODUCT($V$3:$BC$3,V65:BC65)=0,"-",SUMPRODUCT($V$3:$BC$3,V65:BC65))</f>
        <v>140</v>
      </c>
      <c r="O65" s="270">
        <v>44903</v>
      </c>
      <c r="P65" s="269" t="str">
        <f>IF(G65="","",IFERROR(IF(S65="Sent","",IF(I65="Delivered","PO en attente","Projet en cours")),""))</f>
        <v/>
      </c>
      <c r="Q65" s="211">
        <v>4200657838</v>
      </c>
      <c r="R65" s="211" t="s">
        <v>363</v>
      </c>
      <c r="S65" s="260" t="s">
        <v>249</v>
      </c>
      <c r="T65" s="260" t="s">
        <v>1201</v>
      </c>
      <c r="U65" s="372" t="s">
        <v>1202</v>
      </c>
      <c r="V65" s="20"/>
      <c r="W65" s="43">
        <v>4</v>
      </c>
      <c r="X65" s="21"/>
      <c r="Y65" s="21"/>
      <c r="Z65" s="21"/>
      <c r="AA65" s="21"/>
      <c r="AB65" s="21"/>
      <c r="AC65" s="20"/>
      <c r="AD65" s="21"/>
      <c r="AE65" s="21"/>
      <c r="AF65" s="21"/>
      <c r="AG65" s="21"/>
      <c r="AH65" s="21"/>
      <c r="AI65" s="21"/>
      <c r="AJ65" s="43"/>
      <c r="AK65" s="43"/>
      <c r="AL65" s="20"/>
      <c r="AM65" s="20"/>
      <c r="AN65" s="21"/>
      <c r="AO65" s="21"/>
      <c r="AP65" s="21"/>
      <c r="AQ65" s="21"/>
      <c r="AR65" s="21"/>
      <c r="AS65" s="20"/>
      <c r="AT65" s="21"/>
      <c r="AU65" s="21"/>
      <c r="AV65" s="21"/>
      <c r="AW65" s="21"/>
      <c r="AX65" s="21"/>
      <c r="AY65" s="21"/>
      <c r="AZ65" s="20"/>
      <c r="BA65" s="21"/>
      <c r="BB65" s="20"/>
      <c r="BC65" s="21"/>
    </row>
    <row r="66" spans="1:56" hidden="1">
      <c r="A66" s="285" t="s">
        <v>220</v>
      </c>
      <c r="B66" s="285" t="s">
        <v>221</v>
      </c>
      <c r="C66" s="281" t="s">
        <v>1196</v>
      </c>
      <c r="D66" s="281" t="str">
        <f>IF(F66="","",CHOOSE(MONTH(F66),"Q4","Q4","Q4","Q1","Q1","Q1","Q2","Q2","Q2","Q3","Q3","Q3"))</f>
        <v>Q3</v>
      </c>
      <c r="E66" s="282" t="str">
        <f>IF(F66="","",CHOOSE(MONTH(F66),"10-JAN","11-FEB","12-MAR","01-APR","02-MAY","03-JUN","04-JUL","05-AUG","06-SEP","07-OCT","08-NOV","09-DEC"))</f>
        <v>09-DEC</v>
      </c>
      <c r="F66" s="76">
        <v>44914</v>
      </c>
      <c r="G66" s="230" t="s">
        <v>489</v>
      </c>
      <c r="H66" t="s">
        <v>37</v>
      </c>
      <c r="I66" s="29" t="s">
        <v>223</v>
      </c>
      <c r="J66" s="21" t="s">
        <v>67</v>
      </c>
      <c r="K66" s="281" t="s">
        <v>34</v>
      </c>
      <c r="L66" s="30" t="s">
        <v>490</v>
      </c>
      <c r="M66" s="151">
        <f>IF(SUM(V66:BC66)=0,"-",SUM(V66:BC66))</f>
        <v>18</v>
      </c>
      <c r="N66" s="241">
        <f>IF(SUMPRODUCT($V$3:$BC$3,V66:BC66)=0,"-",SUMPRODUCT($V$3:$BC$3,V66:BC66))</f>
        <v>715</v>
      </c>
      <c r="O66" s="21" t="s">
        <v>491</v>
      </c>
      <c r="P66" s="279" t="str">
        <f>IF(G66="","",IFERROR(IF(S66="Sent","",IF(I66="Delivered","PO en attente","Projet en cours")),""))</f>
        <v/>
      </c>
      <c r="Q66" s="247">
        <v>4200641797</v>
      </c>
      <c r="R66" s="247"/>
      <c r="S66" s="247" t="s">
        <v>249</v>
      </c>
      <c r="T66" s="248" t="s">
        <v>1203</v>
      </c>
      <c r="U66" s="249" t="s">
        <v>517</v>
      </c>
      <c r="V66" s="20">
        <v>1</v>
      </c>
      <c r="W66" s="43">
        <v>17</v>
      </c>
      <c r="X66" s="21"/>
      <c r="Y66" s="21"/>
      <c r="Z66" s="21"/>
      <c r="AA66" s="21"/>
      <c r="AB66" s="21"/>
      <c r="AC66" s="20"/>
      <c r="AD66" s="21"/>
      <c r="AE66" s="21"/>
      <c r="AF66" s="21"/>
      <c r="AG66" s="21"/>
      <c r="AH66" s="21"/>
      <c r="AI66" s="21"/>
      <c r="AJ66" s="43"/>
      <c r="AK66" s="43"/>
      <c r="AL66" s="20"/>
      <c r="AM66" s="20"/>
      <c r="AN66" s="21"/>
      <c r="AO66" s="21"/>
      <c r="AP66" s="21"/>
      <c r="AQ66" s="21"/>
      <c r="AR66" s="21"/>
      <c r="AS66" s="20"/>
      <c r="AT66" s="21"/>
      <c r="AU66" s="21"/>
      <c r="AV66" s="21"/>
      <c r="AW66" s="21"/>
      <c r="AX66" s="21"/>
      <c r="AY66" s="21"/>
      <c r="AZ66" s="20"/>
      <c r="BA66" s="21"/>
      <c r="BB66" s="20"/>
      <c r="BC66" s="21"/>
    </row>
    <row r="67" spans="1:56" hidden="1">
      <c r="A67" s="286" t="s">
        <v>220</v>
      </c>
      <c r="B67" s="286" t="s">
        <v>221</v>
      </c>
      <c r="C67" s="280" t="s">
        <v>1196</v>
      </c>
      <c r="D67" s="281" t="str">
        <f>IF(F67="","",CHOOSE(MONTH(F67),"Q4","Q4","Q4","Q1","Q1","Q1","Q2","Q2","Q2","Q3","Q3","Q3"))</f>
        <v>Q4</v>
      </c>
      <c r="E67" s="282" t="str">
        <f>IF(F67="","",CHOOSE(MONTH(F67),"10-JAN","11-FEB","12-MAR","01-APR","02-MAY","03-JUN","04-JUL","05-AUG","06-SEP","07-OCT","08-NOV","09-DEC"))</f>
        <v>11-FEB</v>
      </c>
      <c r="F67" s="76">
        <v>44958</v>
      </c>
      <c r="G67" s="231" t="s">
        <v>530</v>
      </c>
      <c r="H67" s="5" t="s">
        <v>36</v>
      </c>
      <c r="I67" s="29" t="s">
        <v>223</v>
      </c>
      <c r="J67" s="8" t="s">
        <v>69</v>
      </c>
      <c r="K67" s="281" t="s">
        <v>34</v>
      </c>
      <c r="L67" s="78" t="s">
        <v>531</v>
      </c>
      <c r="M67" s="151">
        <f>IF(SUM(V67:BC67)=0,"-",SUM(V67:BC67))</f>
        <v>6</v>
      </c>
      <c r="N67" s="241">
        <f>IF(SUMPRODUCT($V$3:$BC$3,V67:BC67)=0,"-",SUMPRODUCT($V$3:$BC$3,V67:BC67))</f>
        <v>295</v>
      </c>
      <c r="O67" s="266" t="s">
        <v>1204</v>
      </c>
      <c r="P67" s="279" t="str">
        <f>IF(G67="","",IFERROR(IF(S67="Sent","",IF(I67="Delivered","PO en attente","Projet en cours")),""))</f>
        <v/>
      </c>
      <c r="Q67" s="211">
        <v>4200661507</v>
      </c>
      <c r="R67" s="211"/>
      <c r="S67" s="211" t="s">
        <v>249</v>
      </c>
      <c r="T67" s="211" t="s">
        <v>1205</v>
      </c>
      <c r="U67" s="253" t="s">
        <v>1206</v>
      </c>
      <c r="V67" s="7">
        <v>1</v>
      </c>
      <c r="W67" s="8">
        <v>5</v>
      </c>
    </row>
    <row r="68" spans="1:56" hidden="1">
      <c r="A68" s="286" t="s">
        <v>220</v>
      </c>
      <c r="B68" s="286" t="s">
        <v>221</v>
      </c>
      <c r="C68" s="280" t="s">
        <v>1196</v>
      </c>
      <c r="D68" s="281" t="str">
        <f>IF(F68="","",CHOOSE(MONTH(F68),"Q4","Q4","Q4","Q1","Q1","Q1","Q2","Q2","Q2","Q3","Q3","Q3"))</f>
        <v>Q4</v>
      </c>
      <c r="E68" s="282" t="str">
        <f>IF(F68="","",CHOOSE(MONTH(F68),"10-JAN","11-FEB","12-MAR","01-APR","02-MAY","03-JUN","04-JUL","05-AUG","06-SEP","07-OCT","08-NOV","09-DEC"))</f>
        <v>11-FEB</v>
      </c>
      <c r="F68" s="76">
        <v>44958</v>
      </c>
      <c r="G68" s="231" t="s">
        <v>533</v>
      </c>
      <c r="H68" s="5" t="s">
        <v>36</v>
      </c>
      <c r="I68" s="29" t="s">
        <v>223</v>
      </c>
      <c r="J68" s="8" t="s">
        <v>69</v>
      </c>
      <c r="K68" s="281" t="s">
        <v>34</v>
      </c>
      <c r="L68" s="78" t="s">
        <v>534</v>
      </c>
      <c r="M68" s="151">
        <f>IF(SUM(V68:BC68)=0,"-",SUM(V68:BC68))</f>
        <v>6</v>
      </c>
      <c r="N68" s="241">
        <f>IF(SUMPRODUCT($V$3:$BC$3,V68:BC68)=0,"-",SUMPRODUCT($V$3:$BC$3,V68:BC68))</f>
        <v>295</v>
      </c>
      <c r="O68" s="266" t="s">
        <v>535</v>
      </c>
      <c r="P68" s="279" t="str">
        <f>IF(G68="","",IFERROR(IF(S68="Sent","",IF(I68="Delivered","PO en attente","Projet en cours")),""))</f>
        <v/>
      </c>
      <c r="Q68" s="211">
        <v>4200661507</v>
      </c>
      <c r="R68" s="211"/>
      <c r="S68" s="211" t="s">
        <v>249</v>
      </c>
      <c r="T68" s="211" t="s">
        <v>1205</v>
      </c>
      <c r="U68" s="253" t="s">
        <v>1206</v>
      </c>
      <c r="V68" s="7">
        <v>1</v>
      </c>
      <c r="W68" s="8">
        <v>5</v>
      </c>
    </row>
    <row r="69" spans="1:56" hidden="1">
      <c r="A69" s="285" t="s">
        <v>220</v>
      </c>
      <c r="B69" s="285" t="s">
        <v>221</v>
      </c>
      <c r="C69" s="281" t="s">
        <v>1196</v>
      </c>
      <c r="D69" s="281" t="str">
        <f>IF(F69="","",CHOOSE(MONTH(F69),"Q4","Q4","Q4","Q1","Q1","Q1","Q2","Q2","Q2","Q3","Q3","Q3"))</f>
        <v>Q4</v>
      </c>
      <c r="E69" s="282" t="str">
        <f>IF(F69="","",CHOOSE(MONTH(F69),"10-JAN","11-FEB","12-MAR","01-APR","02-MAY","03-JUN","04-JUL","05-AUG","06-SEP","07-OCT","08-NOV","09-DEC"))</f>
        <v>12-MAR</v>
      </c>
      <c r="F69" s="76">
        <v>45005</v>
      </c>
      <c r="G69" s="231" t="s">
        <v>568</v>
      </c>
      <c r="H69" s="5" t="s">
        <v>230</v>
      </c>
      <c r="I69" s="29" t="s">
        <v>481</v>
      </c>
      <c r="J69" s="21" t="s">
        <v>95</v>
      </c>
      <c r="K69" s="281" t="s">
        <v>30</v>
      </c>
      <c r="L69" s="49" t="s">
        <v>481</v>
      </c>
      <c r="M69" s="151">
        <f>IF(SUM(V69:BC69)=0,"-",SUM(V69:BC69))</f>
        <v>0.6</v>
      </c>
      <c r="N69" s="241">
        <f>IF(SUMPRODUCT($V$3:$BC$3,V69:BC69)=0,"-",SUMPRODUCT($V$3:$BC$3,V69:BC69))</f>
        <v>720</v>
      </c>
      <c r="O69" s="271">
        <v>45005</v>
      </c>
      <c r="P69" s="279" t="str">
        <f>IF(G69="","",IFERROR(IF(S69="Sent","",IF(I69="Delivered","PO en attente","Projet en cours")),""))</f>
        <v/>
      </c>
      <c r="Q69" s="260">
        <v>4200638728</v>
      </c>
      <c r="R69" s="260"/>
      <c r="S69" s="260" t="s">
        <v>228</v>
      </c>
      <c r="T69" s="260" t="s">
        <v>569</v>
      </c>
      <c r="U69" s="351" t="s">
        <v>517</v>
      </c>
      <c r="AP69" s="8">
        <f>0.6/1</f>
        <v>0.6</v>
      </c>
    </row>
    <row r="70" spans="1:56" hidden="1">
      <c r="A70" s="286" t="s">
        <v>244</v>
      </c>
      <c r="B70" s="286" t="s">
        <v>221</v>
      </c>
      <c r="C70" s="280" t="s">
        <v>1196</v>
      </c>
      <c r="D70" s="281" t="str">
        <f>IF(F70="","",CHOOSE(MONTH(F70),"Q4","Q4","Q4","Q1","Q1","Q1","Q2","Q2","Q2","Q3","Q3","Q3"))</f>
        <v>Q4</v>
      </c>
      <c r="E70" s="282" t="str">
        <f>IF(F70="","",CHOOSE(MONTH(F70),"10-JAN","11-FEB","12-MAR","01-APR","02-MAY","03-JUN","04-JUL","05-AUG","06-SEP","07-OCT","08-NOV","09-DEC"))</f>
        <v>12-MAR</v>
      </c>
      <c r="F70" s="76">
        <v>45008</v>
      </c>
      <c r="G70" s="231" t="s">
        <v>226</v>
      </c>
      <c r="H70" s="5" t="s">
        <v>32</v>
      </c>
      <c r="I70" s="29" t="s">
        <v>223</v>
      </c>
      <c r="J70" s="8" t="s">
        <v>130</v>
      </c>
      <c r="K70" s="281" t="s">
        <v>30</v>
      </c>
      <c r="L70" s="78" t="s">
        <v>227</v>
      </c>
      <c r="M70" s="151">
        <f>IF(SUM(V70:BC70)=0,"-",SUM(V70:BC70))</f>
        <v>3</v>
      </c>
      <c r="N70" s="241">
        <f>IF(SUMPRODUCT($V$3:$BC$3,V70:BC70)=0,"-",SUMPRODUCT($V$3:$BC$3,V70:BC70))</f>
        <v>105</v>
      </c>
      <c r="O70" s="271">
        <v>45071</v>
      </c>
      <c r="P70" s="279" t="str">
        <f>IF(G70="","",IFERROR(IF(S70="Sent","",IF(I70="Delivered","PO en attente","Projet en cours")),""))</f>
        <v/>
      </c>
      <c r="Q70" s="211">
        <v>4200641929</v>
      </c>
      <c r="R70" s="211" t="s">
        <v>225</v>
      </c>
      <c r="S70" s="211" t="s">
        <v>228</v>
      </c>
      <c r="T70" s="211" t="s">
        <v>1207</v>
      </c>
      <c r="U70" s="249" t="s">
        <v>517</v>
      </c>
      <c r="W70" s="8">
        <v>3</v>
      </c>
    </row>
    <row r="71" spans="1:56" hidden="1">
      <c r="A71" s="286" t="s">
        <v>244</v>
      </c>
      <c r="B71" s="286" t="s">
        <v>221</v>
      </c>
      <c r="C71" s="280" t="s">
        <v>3</v>
      </c>
      <c r="D71" s="281" t="str">
        <f>IF(F71="","",CHOOSE(MONTH(F71),"Q4","Q4","Q4","Q1","Q1","Q1","Q2","Q2","Q2","Q3","Q3","Q3"))</f>
        <v>Q4</v>
      </c>
      <c r="E71" s="282" t="str">
        <f>IF(F71="","",CHOOSE(MONTH(F71),"10-JAN","11-FEB","12-MAR","01-APR","02-MAY","03-JUN","04-JUL","05-AUG","06-SEP","07-OCT","08-NOV","09-DEC"))</f>
        <v>12-MAR</v>
      </c>
      <c r="F71" s="76">
        <v>45012</v>
      </c>
      <c r="G71" s="231" t="s">
        <v>270</v>
      </c>
      <c r="H71" s="5" t="s">
        <v>26</v>
      </c>
      <c r="I71" s="29" t="s">
        <v>223</v>
      </c>
      <c r="J71" s="8" t="s">
        <v>69</v>
      </c>
      <c r="K71" s="281" t="s">
        <v>30</v>
      </c>
      <c r="L71" s="78" t="s">
        <v>271</v>
      </c>
      <c r="M71" s="151">
        <f>IF(SUM(V71:BC71)=0,"-",SUM(V71:BC71))</f>
        <v>6</v>
      </c>
      <c r="N71" s="241">
        <f>IF(SUMPRODUCT($V$3:$BC$3,V71:BC71)=0,"-",SUMPRODUCT($V$3:$BC$3,V71:BC71))</f>
        <v>210</v>
      </c>
      <c r="O71" s="271">
        <v>45041</v>
      </c>
      <c r="P71" s="279" t="str">
        <f>IF(G71="","",IFERROR(IF(S71="Sent","",IF(I71="Delivered","PO en attente","Projet en cours")),""))</f>
        <v/>
      </c>
      <c r="Q71" s="145">
        <v>4200641951</v>
      </c>
      <c r="R71" s="145" t="s">
        <v>225</v>
      </c>
      <c r="S71" s="211" t="s">
        <v>249</v>
      </c>
      <c r="T71" s="211" t="s">
        <v>1208</v>
      </c>
      <c r="U71" s="295" t="s">
        <v>517</v>
      </c>
      <c r="W71" s="8">
        <v>6</v>
      </c>
    </row>
    <row r="72" spans="1:56" hidden="1">
      <c r="A72" s="285" t="s">
        <v>220</v>
      </c>
      <c r="B72" s="285" t="s">
        <v>221</v>
      </c>
      <c r="C72" s="281" t="s">
        <v>1196</v>
      </c>
      <c r="D72" s="281" t="str">
        <f>IF(F72="","",CHOOSE(MONTH(F72),"Q4","Q4","Q4","Q1","Q1","Q1","Q2","Q2","Q2","Q3","Q3","Q3"))</f>
        <v>Q4</v>
      </c>
      <c r="E72" s="282" t="str">
        <f>IF(F72="","",CHOOSE(MONTH(F72),"10-JAN","11-FEB","12-MAR","01-APR","02-MAY","03-JUN","04-JUL","05-AUG","06-SEP","07-OCT","08-NOV","09-DEC"))</f>
        <v>12-MAR</v>
      </c>
      <c r="F72" s="76">
        <v>45013</v>
      </c>
      <c r="G72" s="231" t="s">
        <v>606</v>
      </c>
      <c r="H72" s="5" t="s">
        <v>46</v>
      </c>
      <c r="I72" s="29" t="s">
        <v>223</v>
      </c>
      <c r="J72" s="8" t="s">
        <v>130</v>
      </c>
      <c r="K72" s="281" t="s">
        <v>34</v>
      </c>
      <c r="L72" s="78" t="s">
        <v>607</v>
      </c>
      <c r="M72" s="151">
        <f>IF(SUM(V72:BC72)=0,"-",SUM(V72:BC72))</f>
        <v>7</v>
      </c>
      <c r="N72" s="241">
        <f>IF(SUMPRODUCT($V$3:$BC$3,V72:BC72)=0,"-",SUMPRODUCT($V$3:$BC$3,V72:BC72))</f>
        <v>330</v>
      </c>
      <c r="O72" s="271">
        <v>45084</v>
      </c>
      <c r="P72" s="279" t="str">
        <f>IF(G72="","",IFERROR(IF(S72="Sent","",IF(I72="Delivered","PO en attente","Projet en cours")),""))</f>
        <v/>
      </c>
      <c r="Q72" s="211">
        <v>4200648470</v>
      </c>
      <c r="R72" s="211"/>
      <c r="S72" s="252" t="s">
        <v>249</v>
      </c>
      <c r="T72" s="211" t="s">
        <v>1209</v>
      </c>
      <c r="U72" s="253" t="s">
        <v>609</v>
      </c>
      <c r="V72" s="7">
        <v>1</v>
      </c>
      <c r="W72" s="8">
        <v>6</v>
      </c>
      <c r="BD72" s="7"/>
    </row>
    <row r="73" spans="1:56" hidden="1">
      <c r="A73" s="286" t="s">
        <v>244</v>
      </c>
      <c r="B73" s="286" t="s">
        <v>221</v>
      </c>
      <c r="C73" s="280" t="s">
        <v>1196</v>
      </c>
      <c r="D73" s="281" t="str">
        <f>IF(F73="","",CHOOSE(MONTH(F73),"Q4","Q4","Q4","Q1","Q1","Q1","Q2","Q2","Q2","Q3","Q3","Q3"))</f>
        <v>Q4</v>
      </c>
      <c r="E73" s="282" t="str">
        <f>IF(F73="","",CHOOSE(MONTH(F73),"10-JAN","11-FEB","12-MAR","01-APR","02-MAY","03-JUN","04-JUL","05-AUG","06-SEP","07-OCT","08-NOV","09-DEC"))</f>
        <v>12-MAR</v>
      </c>
      <c r="F73" s="76">
        <v>45013</v>
      </c>
      <c r="G73" s="231" t="s">
        <v>222</v>
      </c>
      <c r="H73" s="5" t="s">
        <v>26</v>
      </c>
      <c r="I73" s="29" t="s">
        <v>223</v>
      </c>
      <c r="J73" s="8" t="s">
        <v>130</v>
      </c>
      <c r="K73" s="281" t="s">
        <v>30</v>
      </c>
      <c r="L73" s="78" t="s">
        <v>224</v>
      </c>
      <c r="M73" s="151">
        <f>IF(SUM(V73:BC73)=0,"-",SUM(V73:BC73))</f>
        <v>6</v>
      </c>
      <c r="N73" s="241">
        <f>IF(SUMPRODUCT($V$3:$BC$3,V73:BC73)=0,"-",SUMPRODUCT($V$3:$BC$3,V73:BC73))</f>
        <v>210</v>
      </c>
      <c r="O73" s="271">
        <v>45023</v>
      </c>
      <c r="P73" s="279" t="str">
        <f>IF(G73="","",IFERROR(IF(S73="Sent","",IF(I73="Delivered","PO en attente","Projet en cours")),""))</f>
        <v/>
      </c>
      <c r="Q73" s="300">
        <v>4200641929</v>
      </c>
      <c r="R73" s="300" t="s">
        <v>225</v>
      </c>
      <c r="S73" s="211" t="s">
        <v>249</v>
      </c>
      <c r="T73" s="211" t="s">
        <v>1210</v>
      </c>
      <c r="U73" s="249" t="s">
        <v>517</v>
      </c>
      <c r="W73" s="8">
        <v>6</v>
      </c>
    </row>
    <row r="74" spans="1:56" hidden="1">
      <c r="A74" s="286" t="s">
        <v>244</v>
      </c>
      <c r="B74" s="286" t="s">
        <v>221</v>
      </c>
      <c r="C74" s="280" t="s">
        <v>3</v>
      </c>
      <c r="D74" s="281" t="str">
        <f>IF(F74="","",CHOOSE(MONTH(F74),"Q4","Q4","Q4","Q1","Q1","Q1","Q2","Q2","Q2","Q3","Q3","Q3"))</f>
        <v>Q1</v>
      </c>
      <c r="E74" s="282" t="str">
        <f>IF(F74="","",CHOOSE(MONTH(F74),"10-JAN","11-FEB","12-MAR","01-APR","02-MAY","03-JUN","04-JUL","05-AUG","06-SEP","07-OCT","08-NOV","09-DEC"))</f>
        <v>01-APR</v>
      </c>
      <c r="F74" s="76">
        <v>45019</v>
      </c>
      <c r="G74" s="231" t="s">
        <v>262</v>
      </c>
      <c r="H74" s="5" t="s">
        <v>242</v>
      </c>
      <c r="I74" s="29" t="s">
        <v>223</v>
      </c>
      <c r="J74" s="8" t="s">
        <v>95</v>
      </c>
      <c r="K74" s="281" t="s">
        <v>30</v>
      </c>
      <c r="L74" s="78" t="s">
        <v>263</v>
      </c>
      <c r="M74" s="151">
        <f>IF(SUM(V74:BC74)=0,"-",SUM(V74:BC74))</f>
        <v>1</v>
      </c>
      <c r="N74" s="241">
        <f>IF(SUMPRODUCT($V$3:$BC$3,V74:BC74)=0,"-",SUMPRODUCT($V$3:$BC$3,V74:BC74))</f>
        <v>360</v>
      </c>
      <c r="O74" s="271">
        <v>45023</v>
      </c>
      <c r="P74" s="279" t="str">
        <f>IF(G74="","",IFERROR(IF(S74="Sent","",IF(I74="Delivered","PO en attente","Projet en cours")),""))</f>
        <v/>
      </c>
      <c r="Q74" s="211">
        <v>4200641950</v>
      </c>
      <c r="R74" s="211" t="s">
        <v>232</v>
      </c>
      <c r="S74" s="211" t="s">
        <v>249</v>
      </c>
      <c r="T74" s="211" t="s">
        <v>1211</v>
      </c>
      <c r="U74" s="249" t="s">
        <v>517</v>
      </c>
      <c r="AV74" s="8">
        <v>1</v>
      </c>
    </row>
    <row r="75" spans="1:56" hidden="1">
      <c r="A75" s="286" t="s">
        <v>220</v>
      </c>
      <c r="B75" s="286" t="s">
        <v>221</v>
      </c>
      <c r="C75" s="280" t="s">
        <v>3</v>
      </c>
      <c r="D75" s="281" t="str">
        <f>IF(F75="","",CHOOSE(MONTH(F75),"Q4","Q4","Q4","Q1","Q1","Q1","Q2","Q2","Q2","Q3","Q3","Q3"))</f>
        <v>Q1</v>
      </c>
      <c r="E75" s="282" t="str">
        <f>IF(F75="","",CHOOSE(MONTH(F75),"10-JAN","11-FEB","12-MAR","01-APR","02-MAY","03-JUN","04-JUL","05-AUG","06-SEP","07-OCT","08-NOV","09-DEC"))</f>
        <v>01-APR</v>
      </c>
      <c r="F75" s="76">
        <v>45022</v>
      </c>
      <c r="G75" s="231" t="s">
        <v>611</v>
      </c>
      <c r="H75" s="5" t="s">
        <v>36</v>
      </c>
      <c r="I75" s="29" t="s">
        <v>223</v>
      </c>
      <c r="J75" s="8" t="s">
        <v>69</v>
      </c>
      <c r="K75" s="281" t="s">
        <v>34</v>
      </c>
      <c r="L75" s="78" t="s">
        <v>612</v>
      </c>
      <c r="M75" s="151">
        <f>IF(SUM(V75:BC75)=0,"-",SUM(V75:BC75))</f>
        <v>29</v>
      </c>
      <c r="N75" s="241">
        <f>IF(SUMPRODUCT($V$3:$BC$3,V75:BC75)=0,"-",SUMPRODUCT($V$3:$BC$3,V75:BC75))</f>
        <v>1330</v>
      </c>
      <c r="O75" s="271">
        <v>45035</v>
      </c>
      <c r="P75" s="279" t="str">
        <f>IF(G75="","",IFERROR(IF(S75="Sent","",IF(I75="Delivered","PO en attente","Projet en cours")),""))</f>
        <v/>
      </c>
      <c r="Q75" s="252">
        <v>4200644207</v>
      </c>
      <c r="R75" s="252"/>
      <c r="S75" s="247" t="s">
        <v>249</v>
      </c>
      <c r="T75" s="248" t="s">
        <v>1212</v>
      </c>
      <c r="U75" s="249" t="s">
        <v>517</v>
      </c>
      <c r="W75" s="8">
        <v>13</v>
      </c>
      <c r="AC75" s="7">
        <v>1</v>
      </c>
      <c r="AD75" s="8">
        <v>14</v>
      </c>
      <c r="AE75" s="8">
        <v>1</v>
      </c>
    </row>
    <row r="76" spans="1:56" hidden="1">
      <c r="A76" s="286" t="s">
        <v>220</v>
      </c>
      <c r="B76" s="286" t="s">
        <v>221</v>
      </c>
      <c r="C76" s="280" t="s">
        <v>3</v>
      </c>
      <c r="D76" s="281" t="str">
        <f>IF(F76="","",CHOOSE(MONTH(F76),"Q4","Q4","Q4","Q1","Q1","Q1","Q2","Q2","Q2","Q3","Q3","Q3"))</f>
        <v>Q1</v>
      </c>
      <c r="E76" s="282" t="str">
        <f>IF(F76="","",CHOOSE(MONTH(F76),"10-JAN","11-FEB","12-MAR","01-APR","02-MAY","03-JUN","04-JUL","05-AUG","06-SEP","07-OCT","08-NOV","09-DEC"))</f>
        <v>01-APR</v>
      </c>
      <c r="F76" s="76">
        <v>45027</v>
      </c>
      <c r="G76" s="231" t="s">
        <v>613</v>
      </c>
      <c r="H76" t="s">
        <v>36</v>
      </c>
      <c r="I76" s="29" t="s">
        <v>223</v>
      </c>
      <c r="J76" s="8" t="s">
        <v>69</v>
      </c>
      <c r="K76" s="281" t="s">
        <v>34</v>
      </c>
      <c r="L76" s="78" t="s">
        <v>614</v>
      </c>
      <c r="M76" s="151">
        <f>IF(SUM(V76:BC76)=0,"-",SUM(V76:BC76))</f>
        <v>13</v>
      </c>
      <c r="N76" s="241">
        <f>IF(SUMPRODUCT($V$3:$BC$3,V76:BC76)=0,"-",SUMPRODUCT($V$3:$BC$3,V76:BC76))</f>
        <v>805</v>
      </c>
      <c r="O76" s="271">
        <v>45035</v>
      </c>
      <c r="P76" s="279" t="str">
        <f>IF(G76="","",IFERROR(IF(S76="Sent","",IF(I76="Delivered","PO en attente","Projet en cours")),""))</f>
        <v/>
      </c>
      <c r="Q76" s="252">
        <v>4200642825</v>
      </c>
      <c r="R76" s="252"/>
      <c r="S76" s="247" t="s">
        <v>249</v>
      </c>
      <c r="T76" s="248" t="s">
        <v>1213</v>
      </c>
      <c r="U76" s="249" t="s">
        <v>517</v>
      </c>
      <c r="AC76" s="7">
        <v>3</v>
      </c>
      <c r="AD76" s="8">
        <v>10</v>
      </c>
    </row>
    <row r="77" spans="1:56" hidden="1" outlineLevel="1">
      <c r="A77" s="286" t="s">
        <v>244</v>
      </c>
      <c r="B77" s="286" t="s">
        <v>221</v>
      </c>
      <c r="C77" s="280" t="s">
        <v>3</v>
      </c>
      <c r="D77" s="281" t="str">
        <f>IF(F77="","",CHOOSE(MONTH(F77),"Q4","Q4","Q4","Q1","Q1","Q1","Q2","Q2","Q2","Q3","Q3","Q3"))</f>
        <v>Q1</v>
      </c>
      <c r="E77" s="282" t="str">
        <f>IF(F77="","",CHOOSE(MONTH(F77),"10-JAN","11-FEB","12-MAR","01-APR","02-MAY","03-JUN","04-JUL","05-AUG","06-SEP","07-OCT","08-NOV","09-DEC"))</f>
        <v>01-APR</v>
      </c>
      <c r="F77" s="76">
        <v>45033</v>
      </c>
      <c r="G77" s="231" t="s">
        <v>279</v>
      </c>
      <c r="H77" s="5" t="s">
        <v>230</v>
      </c>
      <c r="I77" s="29" t="s">
        <v>223</v>
      </c>
      <c r="J77" s="8" t="s">
        <v>93</v>
      </c>
      <c r="K77" s="281" t="s">
        <v>30</v>
      </c>
      <c r="L77" s="78" t="s">
        <v>280</v>
      </c>
      <c r="M77" s="151">
        <f>IF(SUM(V77:BC77)=0,"-",SUM(V77:BC77))</f>
        <v>2</v>
      </c>
      <c r="N77" s="241">
        <f>IF(SUMPRODUCT($V$3:$BC$3,V77:BC77)=0,"-",SUMPRODUCT($V$3:$BC$3,V77:BC77))</f>
        <v>155</v>
      </c>
      <c r="O77" s="271">
        <v>45036</v>
      </c>
      <c r="P77" s="279" t="str">
        <f>IF(G77="","",IFERROR(IF(S77="Sent","",IF(I77="Delivered","PO en attente","Projet en cours")),""))</f>
        <v/>
      </c>
      <c r="Q77" s="262">
        <v>4200641959</v>
      </c>
      <c r="R77" s="262" t="s">
        <v>232</v>
      </c>
      <c r="S77" s="211" t="s">
        <v>228</v>
      </c>
      <c r="T77" s="211" t="s">
        <v>1214</v>
      </c>
      <c r="U77" s="249" t="s">
        <v>517</v>
      </c>
      <c r="V77" s="7">
        <v>1</v>
      </c>
      <c r="W77" s="8">
        <v>1</v>
      </c>
    </row>
    <row r="78" spans="1:56" hidden="1" collapsed="1">
      <c r="A78" s="286" t="s">
        <v>220</v>
      </c>
      <c r="B78" s="286" t="s">
        <v>221</v>
      </c>
      <c r="C78" s="280" t="s">
        <v>3</v>
      </c>
      <c r="D78" s="281" t="str">
        <f>IF(F78="","",CHOOSE(MONTH(F78),"Q4","Q4","Q4","Q1","Q1","Q1","Q2","Q2","Q2","Q3","Q3","Q3"))</f>
        <v>Q1</v>
      </c>
      <c r="E78" s="282" t="str">
        <f>IF(F78="","",CHOOSE(MONTH(F78),"10-JAN","11-FEB","12-MAR","01-APR","02-MAY","03-JUN","04-JUL","05-AUG","06-SEP","07-OCT","08-NOV","09-DEC"))</f>
        <v>01-APR</v>
      </c>
      <c r="F78" s="76">
        <v>45033</v>
      </c>
      <c r="G78" s="231" t="s">
        <v>615</v>
      </c>
      <c r="H78" s="5" t="s">
        <v>37</v>
      </c>
      <c r="I78" s="29" t="s">
        <v>223</v>
      </c>
      <c r="J78" s="8" t="s">
        <v>67</v>
      </c>
      <c r="K78" s="281" t="s">
        <v>34</v>
      </c>
      <c r="L78" s="78" t="s">
        <v>616</v>
      </c>
      <c r="M78" s="151">
        <f>IF(SUM(V78:BC78)=0,"-",SUM(V78:BC78))</f>
        <v>18</v>
      </c>
      <c r="N78" s="241">
        <f>IF(SUMPRODUCT($V$3:$BC$3,V78:BC78)=0,"-",SUMPRODUCT($V$3:$BC$3,V78:BC78))</f>
        <v>715</v>
      </c>
      <c r="O78" s="271">
        <v>45035</v>
      </c>
      <c r="P78" s="279" t="str">
        <f>IF(G78="","",IFERROR(IF(S78="Sent","",IF(I78="Delivered","PO en attente","Projet en cours")),""))</f>
        <v/>
      </c>
      <c r="Q78" s="252">
        <v>4200641787</v>
      </c>
      <c r="R78" s="252"/>
      <c r="S78" s="247" t="s">
        <v>249</v>
      </c>
      <c r="T78" s="248" t="s">
        <v>1215</v>
      </c>
      <c r="U78" s="249" t="s">
        <v>517</v>
      </c>
      <c r="V78" s="7">
        <v>1</v>
      </c>
      <c r="W78" s="8">
        <v>17</v>
      </c>
    </row>
    <row r="79" spans="1:56" hidden="1">
      <c r="A79" s="286" t="s">
        <v>244</v>
      </c>
      <c r="B79" s="286" t="s">
        <v>221</v>
      </c>
      <c r="C79" s="280" t="s">
        <v>3</v>
      </c>
      <c r="D79" s="281" t="str">
        <f>IF(F79="","",CHOOSE(MONTH(F79),"Q4","Q4","Q4","Q1","Q1","Q1","Q2","Q2","Q2","Q3","Q3","Q3"))</f>
        <v>Q1</v>
      </c>
      <c r="E79" s="282" t="str">
        <f>IF(F79="","",CHOOSE(MONTH(F79),"10-JAN","11-FEB","12-MAR","01-APR","02-MAY","03-JUN","04-JUL","05-AUG","06-SEP","07-OCT","08-NOV","09-DEC"))</f>
        <v>01-APR</v>
      </c>
      <c r="F79" s="76">
        <v>45034</v>
      </c>
      <c r="G79" s="231" t="s">
        <v>229</v>
      </c>
      <c r="H79" s="5" t="s">
        <v>230</v>
      </c>
      <c r="I79" s="29" t="s">
        <v>223</v>
      </c>
      <c r="J79" s="8" t="s">
        <v>130</v>
      </c>
      <c r="K79" s="281" t="s">
        <v>30</v>
      </c>
      <c r="L79" s="78" t="s">
        <v>231</v>
      </c>
      <c r="M79" s="151">
        <f>IF(SUM(V79:BC79)=0,"-",SUM(V79:BC79))</f>
        <v>3</v>
      </c>
      <c r="N79" s="241">
        <f>IF(SUMPRODUCT($V$3:$BC$3,V79:BC79)=0,"-",SUMPRODUCT($V$3:$BC$3,V79:BC79))</f>
        <v>190</v>
      </c>
      <c r="O79" s="271">
        <v>45041</v>
      </c>
      <c r="P79" s="279" t="str">
        <f>IF(G79="","",IFERROR(IF(S79="Sent","",IF(I79="Delivered","PO en attente","Projet en cours")),""))</f>
        <v/>
      </c>
      <c r="Q79" s="211">
        <v>4200641929</v>
      </c>
      <c r="R79" s="211" t="s">
        <v>232</v>
      </c>
      <c r="S79" s="211" t="s">
        <v>228</v>
      </c>
      <c r="T79" s="211" t="s">
        <v>1207</v>
      </c>
      <c r="U79" s="249" t="s">
        <v>517</v>
      </c>
      <c r="V79" s="7">
        <v>1</v>
      </c>
      <c r="W79" s="8">
        <v>2</v>
      </c>
    </row>
    <row r="80" spans="1:56" hidden="1">
      <c r="A80" s="286" t="s">
        <v>220</v>
      </c>
      <c r="B80" s="286" t="s">
        <v>221</v>
      </c>
      <c r="C80" s="280" t="s">
        <v>3</v>
      </c>
      <c r="D80" s="281" t="str">
        <f>IF(F80="","",CHOOSE(MONTH(F80),"Q4","Q4","Q4","Q1","Q1","Q1","Q2","Q2","Q2","Q3","Q3","Q3"))</f>
        <v>Q1</v>
      </c>
      <c r="E80" s="282" t="str">
        <f>IF(F80="","",CHOOSE(MONTH(F80),"10-JAN","11-FEB","12-MAR","01-APR","02-MAY","03-JUN","04-JUL","05-AUG","06-SEP","07-OCT","08-NOV","09-DEC"))</f>
        <v>01-APR</v>
      </c>
      <c r="F80" s="76">
        <v>45034</v>
      </c>
      <c r="G80" s="231" t="s">
        <v>617</v>
      </c>
      <c r="H80" s="5" t="s">
        <v>36</v>
      </c>
      <c r="I80" s="29" t="s">
        <v>223</v>
      </c>
      <c r="J80" s="8" t="s">
        <v>69</v>
      </c>
      <c r="K80" s="281" t="s">
        <v>34</v>
      </c>
      <c r="L80" s="78" t="s">
        <v>605</v>
      </c>
      <c r="M80" s="151">
        <f>IF(SUM(V80:BC80)=0,"-",SUM(V80:BC80))</f>
        <v>7</v>
      </c>
      <c r="N80" s="241">
        <f>IF(SUMPRODUCT($V$3:$BC$3,V80:BC80)=0,"-",SUMPRODUCT($V$3:$BC$3,V80:BC80))</f>
        <v>375</v>
      </c>
      <c r="O80" s="271">
        <v>45035</v>
      </c>
      <c r="P80" s="279" t="str">
        <f>IF(G80="","",IFERROR(IF(S80="Sent","",IF(I80="Delivered","PO en attente","Projet en cours")),""))</f>
        <v/>
      </c>
      <c r="Q80" s="252">
        <v>4200644224</v>
      </c>
      <c r="R80" s="252"/>
      <c r="S80" s="247" t="s">
        <v>249</v>
      </c>
      <c r="T80" s="248" t="s">
        <v>1216</v>
      </c>
      <c r="U80" s="249" t="s">
        <v>517</v>
      </c>
      <c r="AC80" s="7">
        <v>1</v>
      </c>
      <c r="AD80" s="8">
        <v>6</v>
      </c>
    </row>
    <row r="81" spans="1:39" hidden="1">
      <c r="A81" s="286" t="s">
        <v>244</v>
      </c>
      <c r="B81" s="286" t="s">
        <v>221</v>
      </c>
      <c r="C81" s="280" t="s">
        <v>3</v>
      </c>
      <c r="D81" s="281" t="str">
        <f>IF(F81="","",CHOOSE(MONTH(F81),"Q4","Q4","Q4","Q1","Q1","Q1","Q2","Q2","Q2","Q3","Q3","Q3"))</f>
        <v>Q1</v>
      </c>
      <c r="E81" s="282" t="str">
        <f>IF(F81="","",CHOOSE(MONTH(F81),"10-JAN","11-FEB","12-MAR","01-APR","02-MAY","03-JUN","04-JUL","05-AUG","06-SEP","07-OCT","08-NOV","09-DEC"))</f>
        <v>01-APR</v>
      </c>
      <c r="F81" s="76">
        <v>45040</v>
      </c>
      <c r="G81" s="233" t="s">
        <v>376</v>
      </c>
      <c r="H81" s="5" t="s">
        <v>242</v>
      </c>
      <c r="I81" s="29" t="s">
        <v>223</v>
      </c>
      <c r="J81" s="8" t="s">
        <v>95</v>
      </c>
      <c r="K81" s="281" t="s">
        <v>30</v>
      </c>
      <c r="L81" s="78" t="s">
        <v>377</v>
      </c>
      <c r="M81" s="151">
        <f>IF(SUM(V81:BC81)=0,"-",SUM(V81:BC81))</f>
        <v>3</v>
      </c>
      <c r="N81" s="241">
        <f>IF(SUMPRODUCT($V$3:$BC$3,V81:BC81)=0,"-",SUMPRODUCT($V$3:$BC$3,V81:BC81))</f>
        <v>190</v>
      </c>
      <c r="O81" s="271">
        <v>45044</v>
      </c>
      <c r="P81" s="279" t="str">
        <f>IF(G81="","",IFERROR(IF(S81="Sent","",IF(I81="Delivered","PO en attente","Projet en cours")),""))</f>
        <v/>
      </c>
      <c r="Q81" s="211">
        <v>4200657837</v>
      </c>
      <c r="R81" s="262" t="s">
        <v>232</v>
      </c>
      <c r="S81" s="211" t="s">
        <v>249</v>
      </c>
      <c r="T81" s="211" t="s">
        <v>378</v>
      </c>
      <c r="U81" s="316" t="s">
        <v>1217</v>
      </c>
      <c r="V81" s="7">
        <v>1</v>
      </c>
      <c r="W81" s="8">
        <v>2</v>
      </c>
    </row>
    <row r="82" spans="1:39" hidden="1">
      <c r="A82" s="286" t="s">
        <v>244</v>
      </c>
      <c r="B82" s="286" t="s">
        <v>221</v>
      </c>
      <c r="C82" s="280" t="s">
        <v>3</v>
      </c>
      <c r="D82" s="281" t="str">
        <f>IF(F82="","",CHOOSE(MONTH(F82),"Q4","Q4","Q4","Q1","Q1","Q1","Q2","Q2","Q2","Q3","Q3","Q3"))</f>
        <v>Q1</v>
      </c>
      <c r="E82" s="282" t="str">
        <f>IF(F82="","",CHOOSE(MONTH(F82),"10-JAN","11-FEB","12-MAR","01-APR","02-MAY","03-JUN","04-JUL","05-AUG","06-SEP","07-OCT","08-NOV","09-DEC"))</f>
        <v>01-APR</v>
      </c>
      <c r="F82" s="76">
        <v>45042</v>
      </c>
      <c r="G82" s="231" t="s">
        <v>238</v>
      </c>
      <c r="H82" s="5" t="s">
        <v>32</v>
      </c>
      <c r="I82" s="29" t="s">
        <v>223</v>
      </c>
      <c r="J82" s="8" t="s">
        <v>130</v>
      </c>
      <c r="K82" s="281" t="s">
        <v>30</v>
      </c>
      <c r="L82" s="78" t="s">
        <v>1218</v>
      </c>
      <c r="M82" s="151">
        <f>IF(SUM(V82:BC82)=0,"-",SUM(V82:BC82))</f>
        <v>7</v>
      </c>
      <c r="N82" s="241">
        <f>IF(SUMPRODUCT($V$3:$BC$3,V82:BC82)=0,"-",SUMPRODUCT($V$3:$BC$3,V82:BC82))</f>
        <v>245</v>
      </c>
      <c r="O82" s="271">
        <v>45047</v>
      </c>
      <c r="P82" s="279" t="str">
        <f>IF(G82="","",IFERROR(IF(S82="Sent","",IF(I82="Delivered","PO en attente","Projet en cours")),""))</f>
        <v/>
      </c>
      <c r="Q82" s="211">
        <v>4200641929</v>
      </c>
      <c r="R82" s="211" t="s">
        <v>232</v>
      </c>
      <c r="S82" s="211" t="s">
        <v>228</v>
      </c>
      <c r="T82" s="211" t="s">
        <v>1219</v>
      </c>
      <c r="U82" s="249" t="s">
        <v>517</v>
      </c>
      <c r="W82" s="8">
        <v>7</v>
      </c>
    </row>
    <row r="83" spans="1:39" hidden="1">
      <c r="A83" s="286" t="s">
        <v>220</v>
      </c>
      <c r="B83" s="286" t="s">
        <v>221</v>
      </c>
      <c r="C83" s="280" t="s">
        <v>3</v>
      </c>
      <c r="D83" s="281" t="str">
        <f>IF(F83="","",CHOOSE(MONTH(F83),"Q4","Q4","Q4","Q1","Q1","Q1","Q2","Q2","Q2","Q3","Q3","Q3"))</f>
        <v>Q1</v>
      </c>
      <c r="E83" s="282" t="str">
        <f>IF(F83="","",CHOOSE(MONTH(F83),"10-JAN","11-FEB","12-MAR","01-APR","02-MAY","03-JUN","04-JUL","05-AUG","06-SEP","07-OCT","08-NOV","09-DEC"))</f>
        <v>01-APR</v>
      </c>
      <c r="F83" s="76">
        <v>45042</v>
      </c>
      <c r="G83" s="231" t="s">
        <v>618</v>
      </c>
      <c r="H83" t="s">
        <v>437</v>
      </c>
      <c r="I83" s="29" t="s">
        <v>223</v>
      </c>
      <c r="J83" s="8" t="s">
        <v>93</v>
      </c>
      <c r="K83" s="281" t="s">
        <v>34</v>
      </c>
      <c r="L83" s="78" t="s">
        <v>619</v>
      </c>
      <c r="M83" s="151">
        <f>IF(SUM(V83:BC83)=0,"-",SUM(V83:BC83))</f>
        <v>6</v>
      </c>
      <c r="N83" s="241">
        <f>IF(SUMPRODUCT($V$3:$BC$3,V83:BC83)=0,"-",SUMPRODUCT($V$3:$BC$3,V83:BC83))</f>
        <v>210</v>
      </c>
      <c r="O83" s="271">
        <v>45084</v>
      </c>
      <c r="P83" s="279" t="str">
        <f>IF(G83="","",IFERROR(IF(S83="Sent","",IF(I83="Delivered","PO en attente","Projet en cours")),""))</f>
        <v/>
      </c>
      <c r="Q83" s="211">
        <v>4200645636</v>
      </c>
      <c r="R83" s="211"/>
      <c r="S83" s="247" t="s">
        <v>249</v>
      </c>
      <c r="T83" s="248" t="s">
        <v>1220</v>
      </c>
      <c r="U83" s="249" t="s">
        <v>517</v>
      </c>
      <c r="W83" s="8">
        <v>6</v>
      </c>
    </row>
    <row r="84" spans="1:39" hidden="1">
      <c r="A84" s="286" t="s">
        <v>244</v>
      </c>
      <c r="B84" s="286" t="s">
        <v>221</v>
      </c>
      <c r="C84" s="280" t="s">
        <v>3</v>
      </c>
      <c r="D84" s="281" t="str">
        <f>IF(F84="","",CHOOSE(MONTH(F84),"Q4","Q4","Q4","Q1","Q1","Q1","Q2","Q2","Q2","Q3","Q3","Q3"))</f>
        <v>Q1</v>
      </c>
      <c r="E84" s="282" t="str">
        <f>IF(F84="","",CHOOSE(MONTH(F84),"10-JAN","11-FEB","12-MAR","01-APR","02-MAY","03-JUN","04-JUL","05-AUG","06-SEP","07-OCT","08-NOV","09-DEC"))</f>
        <v>01-APR</v>
      </c>
      <c r="F84" s="76">
        <v>45042</v>
      </c>
      <c r="G84" s="231" t="s">
        <v>234</v>
      </c>
      <c r="H84" s="5" t="s">
        <v>32</v>
      </c>
      <c r="I84" s="29" t="s">
        <v>223</v>
      </c>
      <c r="J84" s="8" t="s">
        <v>130</v>
      </c>
      <c r="K84" s="281" t="s">
        <v>30</v>
      </c>
      <c r="L84" s="78" t="s">
        <v>236</v>
      </c>
      <c r="M84" s="151">
        <f>IF(SUM(V84:BC84)=0,"-",SUM(V84:BC84))</f>
        <v>1</v>
      </c>
      <c r="N84" s="241">
        <f>IF(SUMPRODUCT($V$3:$BC$3,V84:BC84)=0,"-",SUMPRODUCT($V$3:$BC$3,V84:BC84))</f>
        <v>35</v>
      </c>
      <c r="O84" s="271">
        <v>45047</v>
      </c>
      <c r="P84" s="279" t="str">
        <f>IF(G84="","",IFERROR(IF(S84="Sent","",IF(I84="Delivered","PO en attente","Projet en cours")),""))</f>
        <v/>
      </c>
      <c r="Q84" s="211">
        <v>4200641929</v>
      </c>
      <c r="R84" s="211" t="s">
        <v>237</v>
      </c>
      <c r="S84" s="211" t="s">
        <v>228</v>
      </c>
      <c r="T84" s="211" t="s">
        <v>1210</v>
      </c>
      <c r="U84" s="249" t="s">
        <v>517</v>
      </c>
      <c r="W84" s="8">
        <v>1</v>
      </c>
    </row>
    <row r="85" spans="1:39" hidden="1">
      <c r="A85" s="286" t="s">
        <v>244</v>
      </c>
      <c r="B85" s="286" t="s">
        <v>221</v>
      </c>
      <c r="C85" s="280" t="s">
        <v>3</v>
      </c>
      <c r="D85" s="281" t="str">
        <f>IF(F85="","",CHOOSE(MONTH(F85),"Q4","Q4","Q4","Q1","Q1","Q1","Q2","Q2","Q2","Q3","Q3","Q3"))</f>
        <v>Q1</v>
      </c>
      <c r="E85" s="282" t="str">
        <f>IF(F85="","",CHOOSE(MONTH(F85),"10-JAN","11-FEB","12-MAR","01-APR","02-MAY","03-JUN","04-JUL","05-AUG","06-SEP","07-OCT","08-NOV","09-DEC"))</f>
        <v>01-APR</v>
      </c>
      <c r="F85" s="76">
        <v>45042</v>
      </c>
      <c r="G85" s="231" t="s">
        <v>272</v>
      </c>
      <c r="H85" s="5" t="s">
        <v>26</v>
      </c>
      <c r="I85" s="29" t="s">
        <v>223</v>
      </c>
      <c r="J85" s="8" t="s">
        <v>69</v>
      </c>
      <c r="K85" s="281" t="s">
        <v>30</v>
      </c>
      <c r="L85" s="30" t="s">
        <v>273</v>
      </c>
      <c r="M85" s="151">
        <f>IF(SUM(V85:BC85)=0,"-",SUM(V85:BC85))</f>
        <v>3</v>
      </c>
      <c r="N85" s="241">
        <f>IF(SUMPRODUCT($V$3:$BC$3,V85:BC85)=0,"-",SUMPRODUCT($V$3:$BC$3,V85:BC85))</f>
        <v>105</v>
      </c>
      <c r="O85" s="271">
        <v>45043</v>
      </c>
      <c r="P85" s="279" t="str">
        <f>IF(G85="","",IFERROR(IF(S85="Sent","",IF(I85="Delivered","PO en attente","Projet en cours")),""))</f>
        <v/>
      </c>
      <c r="Q85" s="211">
        <v>4200641951</v>
      </c>
      <c r="R85" s="211" t="s">
        <v>232</v>
      </c>
      <c r="S85" s="211" t="s">
        <v>228</v>
      </c>
      <c r="T85" s="211" t="s">
        <v>1221</v>
      </c>
      <c r="U85" s="295" t="s">
        <v>517</v>
      </c>
      <c r="W85" s="8">
        <v>3</v>
      </c>
    </row>
    <row r="86" spans="1:39" hidden="1">
      <c r="A86" s="286" t="s">
        <v>220</v>
      </c>
      <c r="B86" s="286" t="s">
        <v>221</v>
      </c>
      <c r="C86" s="280" t="s">
        <v>3</v>
      </c>
      <c r="D86" s="281" t="str">
        <f>IF(F86="","",CHOOSE(MONTH(F86),"Q4","Q4","Q4","Q1","Q1","Q1","Q2","Q2","Q2","Q3","Q3","Q3"))</f>
        <v>Q1</v>
      </c>
      <c r="E86" s="282" t="str">
        <f>IF(F86="","",CHOOSE(MONTH(F86),"10-JAN","11-FEB","12-MAR","01-APR","02-MAY","03-JUN","04-JUL","05-AUG","06-SEP","07-OCT","08-NOV","09-DEC"))</f>
        <v>01-APR</v>
      </c>
      <c r="F86" s="76">
        <v>45042</v>
      </c>
      <c r="G86" s="231" t="s">
        <v>620</v>
      </c>
      <c r="H86" t="s">
        <v>36</v>
      </c>
      <c r="I86" s="29" t="s">
        <v>223</v>
      </c>
      <c r="J86" s="8" t="s">
        <v>69</v>
      </c>
      <c r="K86" s="281" t="s">
        <v>34</v>
      </c>
      <c r="L86" s="78" t="s">
        <v>621</v>
      </c>
      <c r="M86" s="151">
        <f>IF(SUM(V86:BC86)=0,"-",SUM(V86:BC86))</f>
        <v>5</v>
      </c>
      <c r="N86" s="241">
        <f>IF(SUMPRODUCT($V$3:$BC$3,V86:BC86)=0,"-",SUMPRODUCT($V$3:$BC$3,V86:BC86))</f>
        <v>365</v>
      </c>
      <c r="O86" s="271">
        <v>45071</v>
      </c>
      <c r="P86" s="279" t="str">
        <f>IF(G86="","",IFERROR(IF(S86="Sent","",IF(I86="Delivered","PO en attente","Projet en cours")),""))</f>
        <v/>
      </c>
      <c r="Q86" s="252">
        <v>4200644333</v>
      </c>
      <c r="R86" s="252"/>
      <c r="S86" s="252" t="s">
        <v>228</v>
      </c>
      <c r="T86" s="211" t="s">
        <v>1222</v>
      </c>
      <c r="U86" s="249" t="s">
        <v>517</v>
      </c>
      <c r="V86" s="7">
        <v>1</v>
      </c>
      <c r="W86" s="8">
        <v>2</v>
      </c>
      <c r="AC86" s="7">
        <v>1</v>
      </c>
      <c r="AD86" s="8">
        <v>1</v>
      </c>
    </row>
    <row r="87" spans="1:39" hidden="1">
      <c r="A87" s="286" t="s">
        <v>244</v>
      </c>
      <c r="B87" s="286" t="s">
        <v>221</v>
      </c>
      <c r="C87" s="280" t="s">
        <v>2</v>
      </c>
      <c r="D87" s="281" t="str">
        <f>IF(F87="","",CHOOSE(MONTH(F87),"Q4","Q4","Q4","Q1","Q1","Q1","Q2","Q2","Q2","Q3","Q3","Q3"))</f>
        <v>Q1</v>
      </c>
      <c r="E87" s="282" t="str">
        <f>IF(F87="","",CHOOSE(MONTH(F87),"10-JAN","11-FEB","12-MAR","01-APR","02-MAY","03-JUN","04-JUL","05-AUG","06-SEP","07-OCT","08-NOV","09-DEC"))</f>
        <v>01-APR</v>
      </c>
      <c r="F87" s="76">
        <v>45042</v>
      </c>
      <c r="G87" s="231" t="s">
        <v>380</v>
      </c>
      <c r="H87" s="5" t="s">
        <v>230</v>
      </c>
      <c r="I87" s="29" t="s">
        <v>223</v>
      </c>
      <c r="J87" s="8" t="s">
        <v>95</v>
      </c>
      <c r="K87" s="281" t="s">
        <v>30</v>
      </c>
      <c r="L87" s="78" t="s">
        <v>381</v>
      </c>
      <c r="M87" s="151">
        <f>IF(SUM(V87:BC87)=0,"-",SUM(V87:BC87))</f>
        <v>4</v>
      </c>
      <c r="N87" s="241">
        <f>IF(SUMPRODUCT($V$3:$BC$3,V87:BC87)=0,"-",SUMPRODUCT($V$3:$BC$3,V87:BC87))</f>
        <v>140</v>
      </c>
      <c r="O87" s="271">
        <v>45043</v>
      </c>
      <c r="P87" s="279" t="str">
        <f>IF(G87="","",IFERROR(IF(#REF!="Sent","",IF(I87="Delivered","PO en attente","Projet en cours")),""))</f>
        <v/>
      </c>
      <c r="Q87" s="423">
        <v>4200641950</v>
      </c>
      <c r="R87" s="423" t="s">
        <v>232</v>
      </c>
      <c r="S87" s="423" t="s">
        <v>249</v>
      </c>
      <c r="T87" s="423" t="s">
        <v>1223</v>
      </c>
      <c r="U87" s="487" t="s">
        <v>481</v>
      </c>
      <c r="W87" s="8">
        <v>4</v>
      </c>
    </row>
    <row r="88" spans="1:39" hidden="1">
      <c r="A88" s="286" t="s">
        <v>244</v>
      </c>
      <c r="B88" s="286" t="s">
        <v>221</v>
      </c>
      <c r="C88" s="280" t="s">
        <v>3</v>
      </c>
      <c r="D88" s="281" t="str">
        <f>IF(F88="","",CHOOSE(MONTH(F88),"Q4","Q4","Q4","Q1","Q1","Q1","Q2","Q2","Q2","Q3","Q3","Q3"))</f>
        <v>Q1</v>
      </c>
      <c r="E88" s="282" t="str">
        <f>IF(F88="","",CHOOSE(MONTH(F88),"10-JAN","11-FEB","12-MAR","01-APR","02-MAY","03-JUN","04-JUL","05-AUG","06-SEP","07-OCT","08-NOV","09-DEC"))</f>
        <v>01-APR</v>
      </c>
      <c r="F88" s="76">
        <v>45044</v>
      </c>
      <c r="G88" s="231" t="s">
        <v>241</v>
      </c>
      <c r="H88" s="5" t="s">
        <v>242</v>
      </c>
      <c r="I88" s="29" t="s">
        <v>223</v>
      </c>
      <c r="J88" s="8" t="s">
        <v>130</v>
      </c>
      <c r="K88" s="281" t="s">
        <v>30</v>
      </c>
      <c r="L88" s="78" t="s">
        <v>243</v>
      </c>
      <c r="M88" s="151">
        <f>IF(SUM(V88:BC88)=0,"-",SUM(V88:BC88))</f>
        <v>1</v>
      </c>
      <c r="N88" s="241">
        <f>IF(SUMPRODUCT($V$3:$BC$3,V88:BC88)=0,"-",SUMPRODUCT($V$3:$BC$3,V88:BC88))</f>
        <v>120</v>
      </c>
      <c r="O88" s="271">
        <v>45061</v>
      </c>
      <c r="P88" s="279" t="str">
        <f>IF(G88="","",IFERROR(IF(S88="Sent","",IF(I88="Delivered","PO en attente","Projet en cours")),""))</f>
        <v/>
      </c>
      <c r="Q88" s="211">
        <v>4200641929</v>
      </c>
      <c r="R88" s="211" t="s">
        <v>237</v>
      </c>
      <c r="S88" s="211" t="s">
        <v>228</v>
      </c>
      <c r="T88" s="211" t="s">
        <v>1224</v>
      </c>
      <c r="U88" s="249" t="s">
        <v>517</v>
      </c>
      <c r="V88" s="7">
        <v>1</v>
      </c>
    </row>
    <row r="89" spans="1:39" hidden="1">
      <c r="A89" s="286" t="s">
        <v>244</v>
      </c>
      <c r="B89" s="286" t="s">
        <v>221</v>
      </c>
      <c r="C89" s="280" t="s">
        <v>2</v>
      </c>
      <c r="D89" s="281" t="str">
        <f>IF(F89="","",CHOOSE(MONTH(F89),"Q4","Q4","Q4","Q1","Q1","Q1","Q2","Q2","Q2","Q3","Q3","Q3"))</f>
        <v>Q1</v>
      </c>
      <c r="E89" s="409" t="str">
        <f>IF(F89="","",CHOOSE(MONTH(F89),"10-JAN","11-FEB","12-MAR","01-APR","02-MAY","03-JUN","04-JUL","05-AUG","06-SEP","07-OCT","08-NOV","09-DEC"))</f>
        <v>01-APR</v>
      </c>
      <c r="F89" s="242">
        <v>45044</v>
      </c>
      <c r="G89" s="231" t="s">
        <v>622</v>
      </c>
      <c r="H89" s="5" t="s">
        <v>37</v>
      </c>
      <c r="I89" s="29" t="s">
        <v>223</v>
      </c>
      <c r="J89" s="8" t="s">
        <v>130</v>
      </c>
      <c r="K89" s="281" t="s">
        <v>34</v>
      </c>
      <c r="L89" s="78" t="s">
        <v>623</v>
      </c>
      <c r="M89" s="151">
        <f>IF(SUM(V89:BC89)=0,"-",SUM(V89:BC89))</f>
        <v>2</v>
      </c>
      <c r="N89" s="65">
        <f>IF(SUMPRODUCT($V$3:$BC$3,V89:BC89)=0,"-",SUMPRODUCT($V$3:$BC$3,V89:BC89))</f>
        <v>70</v>
      </c>
      <c r="O89" s="30" t="s">
        <v>624</v>
      </c>
      <c r="P89" s="280" t="str">
        <f>IF(G89="","",IFERROR(IF(S89="Sent","",IF(I89="Delivered","PO en attente","Projet en cours")),""))</f>
        <v/>
      </c>
      <c r="Q89" s="248">
        <v>4200678470</v>
      </c>
      <c r="R89" s="258"/>
      <c r="S89" s="260" t="s">
        <v>249</v>
      </c>
      <c r="T89" s="260" t="s">
        <v>1225</v>
      </c>
      <c r="U89" s="257" t="s">
        <v>1226</v>
      </c>
      <c r="W89" s="8">
        <v>2</v>
      </c>
    </row>
    <row r="90" spans="1:39" hidden="1">
      <c r="A90" s="286" t="s">
        <v>244</v>
      </c>
      <c r="B90" s="286" t="s">
        <v>221</v>
      </c>
      <c r="C90" s="280" t="s">
        <v>3</v>
      </c>
      <c r="D90" s="281" t="str">
        <f>IF(F90="","",CHOOSE(MONTH(F90),"Q4","Q4","Q4","Q1","Q1","Q1","Q2","Q2","Q2","Q3","Q3","Q3"))</f>
        <v>Q1</v>
      </c>
      <c r="E90" s="282" t="str">
        <f>IF(F90="","",CHOOSE(MONTH(F90),"10-JAN","11-FEB","12-MAR","01-APR","02-MAY","03-JUN","04-JUL","05-AUG","06-SEP","07-OCT","08-NOV","09-DEC"))</f>
        <v>02-MAY</v>
      </c>
      <c r="F90" s="76">
        <v>45048</v>
      </c>
      <c r="G90" s="233" t="s">
        <v>274</v>
      </c>
      <c r="H90" s="5" t="s">
        <v>26</v>
      </c>
      <c r="I90" s="29" t="s">
        <v>223</v>
      </c>
      <c r="J90" s="8" t="s">
        <v>69</v>
      </c>
      <c r="K90" s="281" t="s">
        <v>30</v>
      </c>
      <c r="L90" s="78" t="s">
        <v>275</v>
      </c>
      <c r="M90" s="151">
        <f>IF(SUM(V90:BC90)=0,"-",SUM(V90:BC90))</f>
        <v>4</v>
      </c>
      <c r="N90" s="241">
        <f>IF(SUMPRODUCT($V$3:$BC$3,V90:BC90)=0,"-",SUMPRODUCT($V$3:$BC$3,V90:BC90))</f>
        <v>140</v>
      </c>
      <c r="O90" s="271">
        <v>45047</v>
      </c>
      <c r="P90" s="279" t="str">
        <f>IF(G90="","",IFERROR(IF(S90="Sent","",IF(I90="Delivered","PO en attente","Projet en cours")),""))</f>
        <v/>
      </c>
      <c r="Q90" s="211">
        <v>4200641951</v>
      </c>
      <c r="R90" s="211" t="s">
        <v>237</v>
      </c>
      <c r="S90" s="211" t="s">
        <v>228</v>
      </c>
      <c r="T90" s="211" t="s">
        <v>1227</v>
      </c>
      <c r="U90" s="295" t="s">
        <v>517</v>
      </c>
      <c r="W90" s="8">
        <v>4</v>
      </c>
    </row>
    <row r="91" spans="1:39" hidden="1">
      <c r="A91" s="286" t="s">
        <v>220</v>
      </c>
      <c r="B91" s="286" t="s">
        <v>221</v>
      </c>
      <c r="C91" s="280" t="s">
        <v>3</v>
      </c>
      <c r="D91" s="281" t="str">
        <f>IF(F91="","",CHOOSE(MONTH(F91),"Q4","Q4","Q4","Q1","Q1","Q1","Q2","Q2","Q2","Q3","Q3","Q3"))</f>
        <v>Q1</v>
      </c>
      <c r="E91" s="282" t="str">
        <f>IF(F91="","",CHOOSE(MONTH(F91),"10-JAN","11-FEB","12-MAR","01-APR","02-MAY","03-JUN","04-JUL","05-AUG","06-SEP","07-OCT","08-NOV","09-DEC"))</f>
        <v>02-MAY</v>
      </c>
      <c r="F91" s="76">
        <v>45049</v>
      </c>
      <c r="G91" s="231" t="s">
        <v>625</v>
      </c>
      <c r="H91" s="5" t="s">
        <v>36</v>
      </c>
      <c r="I91" s="29" t="s">
        <v>223</v>
      </c>
      <c r="J91" s="8" t="s">
        <v>129</v>
      </c>
      <c r="K91" s="281" t="s">
        <v>34</v>
      </c>
      <c r="L91" s="78" t="s">
        <v>626</v>
      </c>
      <c r="M91" s="151">
        <f>IF(SUM(V91:BC91)=0,"-",SUM(V91:BC91))</f>
        <v>1</v>
      </c>
      <c r="N91" s="241">
        <f>IF(SUMPRODUCT($V$3:$BC$3,V91:BC91)=0,"-",SUMPRODUCT($V$3:$BC$3,V91:BC91))</f>
        <v>250</v>
      </c>
      <c r="O91" s="271">
        <v>45084</v>
      </c>
      <c r="P91" s="279" t="str">
        <f>IF(G91="","",IFERROR(IF(S91="Sent","",IF(I91="Delivered","PO en attente","Projet en cours")),""))</f>
        <v/>
      </c>
      <c r="Q91" s="211">
        <v>4200645668</v>
      </c>
      <c r="R91" s="211"/>
      <c r="S91" s="252" t="s">
        <v>228</v>
      </c>
      <c r="T91" s="211" t="s">
        <v>1228</v>
      </c>
      <c r="U91" s="249" t="s">
        <v>517</v>
      </c>
      <c r="AF91" s="8">
        <v>1</v>
      </c>
    </row>
    <row r="92" spans="1:39" hidden="1">
      <c r="A92" s="286" t="s">
        <v>244</v>
      </c>
      <c r="B92" s="286" t="s">
        <v>221</v>
      </c>
      <c r="C92" s="280" t="s">
        <v>3</v>
      </c>
      <c r="D92" s="281" t="str">
        <f>IF(F92="","",CHOOSE(MONTH(F92),"Q4","Q4","Q4","Q1","Q1","Q1","Q2","Q2","Q2","Q3","Q3","Q3"))</f>
        <v>Q1</v>
      </c>
      <c r="E92" s="282" t="str">
        <f>IF(F92="","",CHOOSE(MONTH(F92),"10-JAN","11-FEB","12-MAR","01-APR","02-MAY","03-JUN","04-JUL","05-AUG","06-SEP","07-OCT","08-NOV","09-DEC"))</f>
        <v>02-MAY</v>
      </c>
      <c r="F92" s="76">
        <v>45054</v>
      </c>
      <c r="G92" s="231" t="s">
        <v>245</v>
      </c>
      <c r="H92" s="5" t="s">
        <v>26</v>
      </c>
      <c r="I92" s="29" t="s">
        <v>223</v>
      </c>
      <c r="J92" s="8" t="s">
        <v>130</v>
      </c>
      <c r="K92" s="281" t="s">
        <v>30</v>
      </c>
      <c r="L92" s="78" t="s">
        <v>246</v>
      </c>
      <c r="M92" s="151" t="str">
        <f>IF(SUM(V92:BC92)=0,"-",SUM(V92:BC92))</f>
        <v>-</v>
      </c>
      <c r="N92" s="241" t="str">
        <f>IF(SUMPRODUCT($V$3:$BC$3,V92:BC92)=0,"-",SUMPRODUCT($V$3:$BC$3,V92:BC92))</f>
        <v>-</v>
      </c>
      <c r="O92" s="271">
        <v>45064</v>
      </c>
      <c r="P92" s="279" t="str">
        <f>IF(G92="","",IFERROR(IF(S92="Sent","",IF(I92="Delivered","PO en attente","Projet en cours")),""))</f>
        <v/>
      </c>
      <c r="Q92" s="211">
        <v>4200641929</v>
      </c>
      <c r="R92" s="211" t="s">
        <v>237</v>
      </c>
      <c r="S92" s="211" t="s">
        <v>249</v>
      </c>
      <c r="T92" s="211" t="s">
        <v>1219</v>
      </c>
      <c r="U92" s="249" t="s">
        <v>517</v>
      </c>
      <c r="AM92" s="7" t="s">
        <v>247</v>
      </c>
    </row>
    <row r="93" spans="1:39" hidden="1">
      <c r="A93" s="286" t="s">
        <v>220</v>
      </c>
      <c r="B93" s="286" t="s">
        <v>221</v>
      </c>
      <c r="C93" s="280" t="s">
        <v>3</v>
      </c>
      <c r="D93" s="281" t="str">
        <f>IF(F93="","",CHOOSE(MONTH(F93),"Q4","Q4","Q4","Q1","Q1","Q1","Q2","Q2","Q2","Q3","Q3","Q3"))</f>
        <v>Q1</v>
      </c>
      <c r="E93" s="282" t="str">
        <f>IF(F93="","",CHOOSE(MONTH(F93),"10-JAN","11-FEB","12-MAR","01-APR","02-MAY","03-JUN","04-JUL","05-AUG","06-SEP","07-OCT","08-NOV","09-DEC"))</f>
        <v>02-MAY</v>
      </c>
      <c r="F93" s="76">
        <v>45055</v>
      </c>
      <c r="G93" s="231" t="s">
        <v>627</v>
      </c>
      <c r="H93" s="5" t="s">
        <v>437</v>
      </c>
      <c r="I93" s="29" t="s">
        <v>223</v>
      </c>
      <c r="J93" s="21" t="s">
        <v>95</v>
      </c>
      <c r="K93" s="281" t="s">
        <v>34</v>
      </c>
      <c r="L93" s="78" t="s">
        <v>628</v>
      </c>
      <c r="M93" s="151">
        <f>IF(SUM(V93:BC93)=0,"-",SUM(V93:BC93))</f>
        <v>10</v>
      </c>
      <c r="N93" s="241">
        <f>IF(SUMPRODUCT($V$3:$BC$3,V93:BC93)=0,"-",SUMPRODUCT($V$3:$BC$3,V93:BC93))</f>
        <v>365</v>
      </c>
      <c r="O93" s="271">
        <v>45084</v>
      </c>
      <c r="P93" s="279" t="str">
        <f>IF(G93="","",IFERROR(IF(S93="Sent","",IF(I93="Delivered","PO en attente","Projet en cours")),""))</f>
        <v/>
      </c>
      <c r="Q93" s="211">
        <v>4200645628</v>
      </c>
      <c r="R93" s="211"/>
      <c r="S93" s="252" t="s">
        <v>228</v>
      </c>
      <c r="T93" s="211" t="s">
        <v>1229</v>
      </c>
      <c r="U93" s="253" t="s">
        <v>517</v>
      </c>
      <c r="W93" s="8">
        <v>7</v>
      </c>
      <c r="AD93" s="8">
        <v>3</v>
      </c>
    </row>
    <row r="94" spans="1:39" hidden="1">
      <c r="A94" s="286" t="s">
        <v>220</v>
      </c>
      <c r="B94" s="286" t="s">
        <v>221</v>
      </c>
      <c r="C94" s="280" t="s">
        <v>3</v>
      </c>
      <c r="D94" s="281" t="str">
        <f>IF(F94="","",CHOOSE(MONTH(F94),"Q4","Q4","Q4","Q1","Q1","Q1","Q2","Q2","Q2","Q3","Q3","Q3"))</f>
        <v>Q1</v>
      </c>
      <c r="E94" s="282" t="str">
        <f>IF(F94="","",CHOOSE(MONTH(F94),"10-JAN","11-FEB","12-MAR","01-APR","02-MAY","03-JUN","04-JUL","05-AUG","06-SEP","07-OCT","08-NOV","09-DEC"))</f>
        <v>02-MAY</v>
      </c>
      <c r="F94" s="76">
        <v>45056</v>
      </c>
      <c r="G94" s="231" t="s">
        <v>629</v>
      </c>
      <c r="H94" t="s">
        <v>437</v>
      </c>
      <c r="I94" s="29" t="s">
        <v>223</v>
      </c>
      <c r="J94" s="8" t="s">
        <v>129</v>
      </c>
      <c r="K94" s="281" t="s">
        <v>34</v>
      </c>
      <c r="L94" s="78" t="s">
        <v>630</v>
      </c>
      <c r="M94" s="151">
        <f>IF(SUM(V94:BC94)=0,"-",SUM(V94:BC94))</f>
        <v>3</v>
      </c>
      <c r="N94" s="241">
        <f>IF(SUMPRODUCT($V$3:$BC$3,V94:BC94)=0,"-",SUMPRODUCT($V$3:$BC$3,V94:BC94))</f>
        <v>105</v>
      </c>
      <c r="O94" s="271">
        <v>45084</v>
      </c>
      <c r="P94" s="279" t="str">
        <f>IF(G94="","",IFERROR(IF(S94="Sent","",IF(I94="Delivered","PO en attente","Projet en cours")),""))</f>
        <v/>
      </c>
      <c r="Q94" s="211">
        <v>4200645676</v>
      </c>
      <c r="R94" s="211"/>
      <c r="S94" s="252" t="s">
        <v>228</v>
      </c>
      <c r="T94" s="211" t="s">
        <v>1230</v>
      </c>
      <c r="U94" s="253" t="s">
        <v>517</v>
      </c>
      <c r="W94" s="8">
        <v>3</v>
      </c>
    </row>
    <row r="95" spans="1:39" hidden="1">
      <c r="A95" s="286" t="s">
        <v>244</v>
      </c>
      <c r="B95" s="286" t="s">
        <v>221</v>
      </c>
      <c r="C95" s="280" t="s">
        <v>3</v>
      </c>
      <c r="D95" s="281" t="str">
        <f>IF(F95="","",CHOOSE(MONTH(F95),"Q4","Q4","Q4","Q1","Q1","Q1","Q2","Q2","Q2","Q3","Q3","Q3"))</f>
        <v>Q1</v>
      </c>
      <c r="E95" s="282" t="str">
        <f>IF(F95="","",CHOOSE(MONTH(F95),"10-JAN","11-FEB","12-MAR","01-APR","02-MAY","03-JUN","04-JUL","05-AUG","06-SEP","07-OCT","08-NOV","09-DEC"))</f>
        <v>02-MAY</v>
      </c>
      <c r="F95" s="76">
        <v>45056</v>
      </c>
      <c r="G95" s="231" t="s">
        <v>250</v>
      </c>
      <c r="H95" s="5" t="s">
        <v>32</v>
      </c>
      <c r="I95" s="29" t="s">
        <v>223</v>
      </c>
      <c r="J95" s="8" t="s">
        <v>130</v>
      </c>
      <c r="K95" s="281" t="s">
        <v>30</v>
      </c>
      <c r="L95" s="78" t="s">
        <v>251</v>
      </c>
      <c r="M95" s="151">
        <f>IF(SUM(V95:BC95)=0,"-",SUM(V95:BC95))</f>
        <v>4</v>
      </c>
      <c r="N95" s="241">
        <f>IF(SUMPRODUCT($V$3:$BC$3,V95:BC95)=0,"-",SUMPRODUCT($V$3:$BC$3,V95:BC95))</f>
        <v>140</v>
      </c>
      <c r="O95" s="271">
        <v>45082</v>
      </c>
      <c r="P95" s="279" t="str">
        <f>IF(G95="","",IFERROR(IF(S95="Sent","",IF(I95="Delivered","PO en attente","Projet en cours")),""))</f>
        <v/>
      </c>
      <c r="Q95" s="211">
        <v>4200641929</v>
      </c>
      <c r="R95" s="211" t="s">
        <v>237</v>
      </c>
      <c r="S95" s="211" t="s">
        <v>249</v>
      </c>
      <c r="T95" s="211" t="s">
        <v>1224</v>
      </c>
      <c r="U95" s="249" t="s">
        <v>517</v>
      </c>
      <c r="W95" s="8">
        <v>4</v>
      </c>
    </row>
    <row r="96" spans="1:39" hidden="1">
      <c r="A96" s="286" t="s">
        <v>244</v>
      </c>
      <c r="B96" s="286" t="s">
        <v>221</v>
      </c>
      <c r="C96" s="280" t="s">
        <v>3</v>
      </c>
      <c r="D96" s="281" t="str">
        <f>IF(F96="","",CHOOSE(MONTH(F96),"Q4","Q4","Q4","Q1","Q1","Q1","Q2","Q2","Q2","Q3","Q3","Q3"))</f>
        <v>Q1</v>
      </c>
      <c r="E96" s="282" t="str">
        <f>IF(F96="","",CHOOSE(MONTH(F96),"10-JAN","11-FEB","12-MAR","01-APR","02-MAY","03-JUN","04-JUL","05-AUG","06-SEP","07-OCT","08-NOV","09-DEC"))</f>
        <v>02-MAY</v>
      </c>
      <c r="F96" s="76">
        <v>45057</v>
      </c>
      <c r="G96" s="231" t="s">
        <v>252</v>
      </c>
      <c r="H96" s="5" t="s">
        <v>26</v>
      </c>
      <c r="I96" s="29" t="s">
        <v>223</v>
      </c>
      <c r="J96" s="8" t="s">
        <v>130</v>
      </c>
      <c r="K96" s="281" t="s">
        <v>30</v>
      </c>
      <c r="L96" s="78" t="s">
        <v>253</v>
      </c>
      <c r="M96" s="151">
        <f>IF(SUM(V96:BC96)=0,"-",SUM(V96:BC96))</f>
        <v>7</v>
      </c>
      <c r="N96" s="241">
        <f>IF(SUMPRODUCT($V$3:$BC$3,V96:BC96)=0,"-",SUMPRODUCT($V$3:$BC$3,V96:BC96))</f>
        <v>330</v>
      </c>
      <c r="O96" s="271">
        <v>45064</v>
      </c>
      <c r="P96" s="279" t="str">
        <f>IF(G96="","",IFERROR(IF(S96="Sent","",IF(I96="Delivered","PO en attente","Projet en cours")),""))</f>
        <v/>
      </c>
      <c r="Q96" s="211">
        <v>4200641929</v>
      </c>
      <c r="R96" s="211" t="s">
        <v>237</v>
      </c>
      <c r="S96" s="211" t="s">
        <v>249</v>
      </c>
      <c r="T96" s="211" t="s">
        <v>1219</v>
      </c>
      <c r="U96" s="249" t="s">
        <v>517</v>
      </c>
      <c r="V96" s="7">
        <v>1</v>
      </c>
      <c r="W96" s="8">
        <v>6</v>
      </c>
    </row>
    <row r="97" spans="1:40" hidden="1">
      <c r="A97" s="286" t="s">
        <v>220</v>
      </c>
      <c r="B97" s="286" t="s">
        <v>221</v>
      </c>
      <c r="C97" s="280" t="s">
        <v>3</v>
      </c>
      <c r="D97" s="281" t="str">
        <f>IF(F97="","",CHOOSE(MONTH(F97),"Q4","Q4","Q4","Q1","Q1","Q1","Q2","Q2","Q2","Q3","Q3","Q3"))</f>
        <v>Q1</v>
      </c>
      <c r="E97" s="282" t="str">
        <f>IF(F97="","",CHOOSE(MONTH(F97),"10-JAN","11-FEB","12-MAR","01-APR","02-MAY","03-JUN","04-JUL","05-AUG","06-SEP","07-OCT","08-NOV","09-DEC"))</f>
        <v>02-MAY</v>
      </c>
      <c r="F97" s="76">
        <v>45061</v>
      </c>
      <c r="G97" s="233" t="s">
        <v>637</v>
      </c>
      <c r="H97" s="5" t="s">
        <v>46</v>
      </c>
      <c r="I97" s="29" t="s">
        <v>223</v>
      </c>
      <c r="J97" s="8" t="s">
        <v>67</v>
      </c>
      <c r="K97" s="281" t="s">
        <v>34</v>
      </c>
      <c r="L97" s="78" t="s">
        <v>639</v>
      </c>
      <c r="M97" s="151">
        <f>IF(SUM(V97:BC97)=0,"-",SUM(V97:BC97))</f>
        <v>1</v>
      </c>
      <c r="N97" s="241">
        <f>IF(SUMPRODUCT($V$3:$BC$3,V97:BC97)=0,"-",SUMPRODUCT($V$3:$BC$3,V97:BC97))</f>
        <v>120</v>
      </c>
      <c r="O97" s="271">
        <v>45084</v>
      </c>
      <c r="P97" s="279" t="str">
        <f>IF(G97="","",IFERROR(IF(S97="Sent","",IF(I97="Delivered","PO en attente","Projet en cours")),""))</f>
        <v/>
      </c>
      <c r="Q97" s="256" t="s">
        <v>640</v>
      </c>
      <c r="R97" s="256"/>
      <c r="S97" s="256" t="s">
        <v>249</v>
      </c>
      <c r="T97" s="256" t="s">
        <v>641</v>
      </c>
      <c r="U97" s="257" t="s">
        <v>481</v>
      </c>
      <c r="V97" s="7">
        <v>1</v>
      </c>
    </row>
    <row r="98" spans="1:40" hidden="1">
      <c r="A98" s="286" t="s">
        <v>220</v>
      </c>
      <c r="B98" s="286" t="s">
        <v>221</v>
      </c>
      <c r="C98" s="280" t="s">
        <v>3</v>
      </c>
      <c r="D98" s="281" t="str">
        <f>IF(F98="","",CHOOSE(MONTH(F98),"Q4","Q4","Q4","Q1","Q1","Q1","Q2","Q2","Q2","Q3","Q3","Q3"))</f>
        <v>Q1</v>
      </c>
      <c r="E98" s="282" t="str">
        <f>IF(F98="","",CHOOSE(MONTH(F98),"10-JAN","11-FEB","12-MAR","01-APR","02-MAY","03-JUN","04-JUL","05-AUG","06-SEP","07-OCT","08-NOV","09-DEC"))</f>
        <v>02-MAY</v>
      </c>
      <c r="F98" s="76">
        <v>45061</v>
      </c>
      <c r="G98" s="231" t="s">
        <v>642</v>
      </c>
      <c r="H98" s="5" t="s">
        <v>437</v>
      </c>
      <c r="I98" s="29" t="s">
        <v>223</v>
      </c>
      <c r="J98" s="8" t="s">
        <v>129</v>
      </c>
      <c r="K98" s="281" t="s">
        <v>34</v>
      </c>
      <c r="L98" s="78" t="s">
        <v>643</v>
      </c>
      <c r="M98" s="151">
        <f>IF(SUM(V98:BC98)=0,"-",SUM(V98:BC98))</f>
        <v>2</v>
      </c>
      <c r="N98" s="241">
        <f>IF(SUMPRODUCT($V$3:$BC$3,V98:BC98)=0,"-",SUMPRODUCT($V$3:$BC$3,V98:BC98))</f>
        <v>270</v>
      </c>
      <c r="O98" s="271">
        <v>45084</v>
      </c>
      <c r="P98" s="279" t="str">
        <f>IF(G98="","",IFERROR(IF(S98="Sent","",IF(I98="Delivered","PO en attente","Projet en cours")),""))</f>
        <v/>
      </c>
      <c r="Q98" s="211">
        <v>4200645678</v>
      </c>
      <c r="R98" s="211"/>
      <c r="S98" s="252" t="s">
        <v>228</v>
      </c>
      <c r="T98" s="211" t="s">
        <v>1231</v>
      </c>
      <c r="U98" s="253" t="s">
        <v>517</v>
      </c>
      <c r="AC98" s="7">
        <v>2</v>
      </c>
    </row>
    <row r="99" spans="1:40" hidden="1">
      <c r="A99" s="286" t="s">
        <v>220</v>
      </c>
      <c r="B99" s="286" t="s">
        <v>221</v>
      </c>
      <c r="C99" s="280" t="s">
        <v>3</v>
      </c>
      <c r="D99" s="281" t="str">
        <f>IF(F99="","",CHOOSE(MONTH(F99),"Q4","Q4","Q4","Q1","Q1","Q1","Q2","Q2","Q2","Q3","Q3","Q3"))</f>
        <v>Q1</v>
      </c>
      <c r="E99" s="282" t="str">
        <f>IF(F99="","",CHOOSE(MONTH(F99),"10-JAN","11-FEB","12-MAR","01-APR","02-MAY","03-JUN","04-JUL","05-AUG","06-SEP","07-OCT","08-NOV","09-DEC"))</f>
        <v>02-MAY</v>
      </c>
      <c r="F99" s="76">
        <v>45062</v>
      </c>
      <c r="G99" s="231" t="s">
        <v>645</v>
      </c>
      <c r="H99" s="5" t="s">
        <v>36</v>
      </c>
      <c r="I99" s="29" t="s">
        <v>223</v>
      </c>
      <c r="J99" s="21" t="s">
        <v>69</v>
      </c>
      <c r="K99" s="281" t="s">
        <v>34</v>
      </c>
      <c r="L99" s="78" t="s">
        <v>646</v>
      </c>
      <c r="M99" s="151">
        <f>IF(SUM(V99:BC99)=0,"-",SUM(V99:BC99))</f>
        <v>8</v>
      </c>
      <c r="N99" s="241">
        <f>IF(SUMPRODUCT($V$3:$BC$3,V99:BC99)=0,"-",SUMPRODUCT($V$3:$BC$3,V99:BC99))</f>
        <v>710</v>
      </c>
      <c r="O99" s="271">
        <v>45070</v>
      </c>
      <c r="P99" s="279" t="str">
        <f>IF(G99="","",IFERROR(IF(S99="Sent","",IF(I99="Delivered","PO en attente","Projet en cours")),""))</f>
        <v/>
      </c>
      <c r="Q99" s="211">
        <v>4200646347</v>
      </c>
      <c r="R99" s="211"/>
      <c r="S99" s="247" t="s">
        <v>249</v>
      </c>
      <c r="T99" s="248" t="s">
        <v>1232</v>
      </c>
      <c r="U99" s="249" t="s">
        <v>517</v>
      </c>
      <c r="W99" s="8">
        <v>6</v>
      </c>
      <c r="AF99" s="8">
        <v>2</v>
      </c>
    </row>
    <row r="100" spans="1:40" hidden="1">
      <c r="A100" s="286" t="s">
        <v>220</v>
      </c>
      <c r="B100" s="286" t="s">
        <v>221</v>
      </c>
      <c r="C100" s="280" t="s">
        <v>3</v>
      </c>
      <c r="D100" s="281" t="str">
        <f>IF(F100="","",CHOOSE(MONTH(F100),"Q4","Q4","Q4","Q1","Q1","Q1","Q2","Q2","Q2","Q3","Q3","Q3"))</f>
        <v>Q1</v>
      </c>
      <c r="E100" s="282" t="str">
        <f>IF(F100="","",CHOOSE(MONTH(F100),"10-JAN","11-FEB","12-MAR","01-APR","02-MAY","03-JUN","04-JUL","05-AUG","06-SEP","07-OCT","08-NOV","09-DEC"))</f>
        <v>02-MAY</v>
      </c>
      <c r="F100" s="76">
        <v>45063</v>
      </c>
      <c r="G100" s="231" t="s">
        <v>647</v>
      </c>
      <c r="H100" s="5" t="s">
        <v>36</v>
      </c>
      <c r="I100" s="29" t="s">
        <v>223</v>
      </c>
      <c r="J100" s="8" t="s">
        <v>69</v>
      </c>
      <c r="K100" s="281" t="s">
        <v>34</v>
      </c>
      <c r="L100" s="78" t="s">
        <v>648</v>
      </c>
      <c r="M100" s="151">
        <f>IF(SUM(V100:BC100)=0,"-",SUM(V100:BC100))</f>
        <v>9</v>
      </c>
      <c r="N100" s="241">
        <f>IF(SUMPRODUCT($V$3:$BC$3,V100:BC100)=0,"-",SUMPRODUCT($V$3:$BC$3,V100:BC100))</f>
        <v>510</v>
      </c>
      <c r="O100" s="272" t="s">
        <v>649</v>
      </c>
      <c r="P100" s="279" t="str">
        <f>IF(G100="","",IFERROR(IF(S100="Sent","",IF(I100="Delivered","PO en attente","Projet en cours")),""))</f>
        <v/>
      </c>
      <c r="Q100" s="211">
        <v>4200651991</v>
      </c>
      <c r="R100" s="211"/>
      <c r="S100" s="211" t="s">
        <v>249</v>
      </c>
      <c r="T100" s="211" t="s">
        <v>1233</v>
      </c>
      <c r="U100" s="253" t="s">
        <v>652</v>
      </c>
      <c r="V100" s="7">
        <v>2</v>
      </c>
      <c r="W100" s="8">
        <v>6</v>
      </c>
      <c r="Y100" s="8">
        <v>1</v>
      </c>
    </row>
    <row r="101" spans="1:40" hidden="1">
      <c r="A101" s="286" t="s">
        <v>244</v>
      </c>
      <c r="B101" s="286" t="s">
        <v>221</v>
      </c>
      <c r="C101" s="280" t="s">
        <v>3</v>
      </c>
      <c r="D101" s="281" t="str">
        <f>IF(F101="","",CHOOSE(MONTH(F101),"Q4","Q4","Q4","Q1","Q1","Q1","Q2","Q2","Q2","Q3","Q3","Q3"))</f>
        <v>Q1</v>
      </c>
      <c r="E101" s="282" t="str">
        <f>IF(F101="","",CHOOSE(MONTH(F101),"10-JAN","11-FEB","12-MAR","01-APR","02-MAY","03-JUN","04-JUL","05-AUG","06-SEP","07-OCT","08-NOV","09-DEC"))</f>
        <v>02-MAY</v>
      </c>
      <c r="F101" s="76">
        <v>45063</v>
      </c>
      <c r="G101" s="231" t="s">
        <v>255</v>
      </c>
      <c r="H101" s="5" t="s">
        <v>26</v>
      </c>
      <c r="I101" s="29" t="s">
        <v>223</v>
      </c>
      <c r="J101" s="8" t="s">
        <v>130</v>
      </c>
      <c r="K101" s="281" t="s">
        <v>30</v>
      </c>
      <c r="L101" s="78" t="s">
        <v>256</v>
      </c>
      <c r="M101" s="151">
        <f>IF(SUM(V101:BC101)=0,"-",SUM(V101:BC101))</f>
        <v>6</v>
      </c>
      <c r="N101" s="241">
        <f>IF(SUMPRODUCT($V$3:$BC$3,V101:BC101)=0,"-",SUMPRODUCT($V$3:$BC$3,V101:BC101))</f>
        <v>380</v>
      </c>
      <c r="O101" s="271">
        <v>45064</v>
      </c>
      <c r="P101" s="279" t="str">
        <f>IF(G101="","",IFERROR(IF(S101="Sent","",IF(I101="Delivered","PO en attente","Projet en cours")),""))</f>
        <v/>
      </c>
      <c r="Q101" s="211">
        <v>4200641929</v>
      </c>
      <c r="R101" s="211" t="s">
        <v>237</v>
      </c>
      <c r="S101" s="211" t="s">
        <v>249</v>
      </c>
      <c r="T101" s="211" t="s">
        <v>1219</v>
      </c>
      <c r="U101" s="249" t="s">
        <v>517</v>
      </c>
      <c r="V101" s="7">
        <v>2</v>
      </c>
      <c r="W101" s="8">
        <v>4</v>
      </c>
    </row>
    <row r="102" spans="1:40" hidden="1">
      <c r="A102" s="286" t="s">
        <v>220</v>
      </c>
      <c r="B102" s="286" t="s">
        <v>221</v>
      </c>
      <c r="C102" s="280" t="s">
        <v>3</v>
      </c>
      <c r="D102" s="281" t="str">
        <f>IF(F102="","",CHOOSE(MONTH(F102),"Q4","Q4","Q4","Q1","Q1","Q1","Q2","Q2","Q2","Q3","Q3","Q3"))</f>
        <v>Q1</v>
      </c>
      <c r="E102" s="282" t="str">
        <f>IF(F102="","",CHOOSE(MONTH(F102),"10-JAN","11-FEB","12-MAR","01-APR","02-MAY","03-JUN","04-JUL","05-AUG","06-SEP","07-OCT","08-NOV","09-DEC"))</f>
        <v>02-MAY</v>
      </c>
      <c r="F102" s="76">
        <v>45064</v>
      </c>
      <c r="G102" s="231" t="s">
        <v>654</v>
      </c>
      <c r="H102" s="5" t="s">
        <v>36</v>
      </c>
      <c r="I102" s="29" t="s">
        <v>223</v>
      </c>
      <c r="J102" s="21" t="s">
        <v>69</v>
      </c>
      <c r="K102" s="281" t="s">
        <v>34</v>
      </c>
      <c r="L102" s="78" t="s">
        <v>655</v>
      </c>
      <c r="M102" s="151">
        <f>IF(SUM(V102:BC102)=0,"-",SUM(V102:BC102))</f>
        <v>17</v>
      </c>
      <c r="N102" s="241">
        <f>IF(SUMPRODUCT($V$3:$BC$3,V102:BC102)=0,"-",SUMPRODUCT($V$3:$BC$3,V102:BC102))</f>
        <v>595</v>
      </c>
      <c r="O102" s="271">
        <v>45070</v>
      </c>
      <c r="P102" s="279" t="str">
        <f>IF(G102="","",IFERROR(IF(S102="Sent","",IF(I102="Delivered","PO en attente","Projet en cours")),""))</f>
        <v/>
      </c>
      <c r="Q102" s="211">
        <v>4200646326</v>
      </c>
      <c r="R102" s="211"/>
      <c r="S102" s="252" t="s">
        <v>228</v>
      </c>
      <c r="T102" s="211" t="s">
        <v>1234</v>
      </c>
      <c r="U102" s="249" t="s">
        <v>517</v>
      </c>
      <c r="W102" s="8">
        <v>17</v>
      </c>
    </row>
    <row r="103" spans="1:40" hidden="1">
      <c r="A103" s="286" t="s">
        <v>220</v>
      </c>
      <c r="B103" s="286" t="s">
        <v>221</v>
      </c>
      <c r="C103" s="280" t="s">
        <v>3</v>
      </c>
      <c r="D103" s="281" t="str">
        <f>IF(F103="","",CHOOSE(MONTH(F103),"Q4","Q4","Q4","Q1","Q1","Q1","Q2","Q2","Q2","Q3","Q3","Q3"))</f>
        <v>Q1</v>
      </c>
      <c r="E103" s="282" t="str">
        <f>IF(F103="","",CHOOSE(MONTH(F103),"10-JAN","11-FEB","12-MAR","01-APR","02-MAY","03-JUN","04-JUL","05-AUG","06-SEP","07-OCT","08-NOV","09-DEC"))</f>
        <v>02-MAY</v>
      </c>
      <c r="F103" s="76">
        <v>45068</v>
      </c>
      <c r="G103" s="231" t="s">
        <v>656</v>
      </c>
      <c r="H103" s="5" t="s">
        <v>26</v>
      </c>
      <c r="I103" s="29" t="s">
        <v>481</v>
      </c>
      <c r="J103" s="8" t="s">
        <v>69</v>
      </c>
      <c r="K103" s="281" t="s">
        <v>34</v>
      </c>
      <c r="L103" s="49" t="s">
        <v>481</v>
      </c>
      <c r="M103" s="151">
        <f>IF(SUM(V103:BC103)=0,"-",SUM(V103:BC103))</f>
        <v>1</v>
      </c>
      <c r="N103" s="241">
        <f>IF(SUMPRODUCT($V$3:$BC$3,V103:BC103)=0,"-",SUMPRODUCT($V$3:$BC$3,V103:BC103))</f>
        <v>600</v>
      </c>
      <c r="O103" s="271">
        <v>45070</v>
      </c>
      <c r="P103" s="279" t="str">
        <f>IF(G103="","",IFERROR(IF(S103="Sent","",IF(I103="Delivered","PO en attente","Projet en cours")),""))</f>
        <v/>
      </c>
      <c r="Q103" s="252">
        <v>4200644208</v>
      </c>
      <c r="R103" s="252"/>
      <c r="S103" s="252" t="s">
        <v>228</v>
      </c>
      <c r="T103" s="211" t="s">
        <v>1235</v>
      </c>
      <c r="U103" s="253" t="s">
        <v>517</v>
      </c>
      <c r="AN103" s="8">
        <v>1</v>
      </c>
    </row>
    <row r="104" spans="1:40" hidden="1">
      <c r="A104" s="286" t="s">
        <v>244</v>
      </c>
      <c r="B104" s="286" t="s">
        <v>221</v>
      </c>
      <c r="C104" s="280" t="s">
        <v>3</v>
      </c>
      <c r="D104" s="281" t="str">
        <f>IF(F104="","",CHOOSE(MONTH(F104),"Q4","Q4","Q4","Q1","Q1","Q1","Q2","Q2","Q2","Q3","Q3","Q3"))</f>
        <v>Q1</v>
      </c>
      <c r="E104" s="282" t="str">
        <f>IF(F104="","",CHOOSE(MONTH(F104),"10-JAN","11-FEB","12-MAR","01-APR","02-MAY","03-JUN","04-JUL","05-AUG","06-SEP","07-OCT","08-NOV","09-DEC"))</f>
        <v>02-MAY</v>
      </c>
      <c r="F104" s="76">
        <v>45069</v>
      </c>
      <c r="G104" s="233" t="s">
        <v>277</v>
      </c>
      <c r="H104" s="5" t="s">
        <v>26</v>
      </c>
      <c r="I104" s="29" t="s">
        <v>223</v>
      </c>
      <c r="J104" s="8" t="s">
        <v>69</v>
      </c>
      <c r="K104" s="281" t="s">
        <v>30</v>
      </c>
      <c r="L104" s="78" t="s">
        <v>278</v>
      </c>
      <c r="M104" s="151">
        <f>IF(SUM(V104:BC104)=0,"-",SUM(V104:BC104))</f>
        <v>4</v>
      </c>
      <c r="N104" s="241">
        <f>IF(SUMPRODUCT($V$3:$BC$3,V104:BC104)=0,"-",SUMPRODUCT($V$3:$BC$3,V104:BC104))</f>
        <v>140</v>
      </c>
      <c r="O104" s="271">
        <v>45082</v>
      </c>
      <c r="P104" s="279" t="str">
        <f>IF(G104="","",IFERROR(IF(S104="Sent","",IF(I104="Delivered","PO en attente","Projet en cours")),""))</f>
        <v/>
      </c>
      <c r="Q104" s="211">
        <v>4200641951</v>
      </c>
      <c r="R104" s="211" t="s">
        <v>237</v>
      </c>
      <c r="S104" s="211" t="s">
        <v>228</v>
      </c>
      <c r="T104" s="211" t="s">
        <v>1227</v>
      </c>
      <c r="U104" s="295" t="s">
        <v>517</v>
      </c>
      <c r="W104" s="8">
        <v>4</v>
      </c>
    </row>
    <row r="105" spans="1:40" hidden="1">
      <c r="A105" s="286" t="s">
        <v>244</v>
      </c>
      <c r="B105" s="286" t="s">
        <v>221</v>
      </c>
      <c r="C105" s="280" t="s">
        <v>2</v>
      </c>
      <c r="D105" s="281" t="str">
        <f>IF(F105="","",CHOOSE(MONTH(F105),"Q4","Q4","Q4","Q1","Q1","Q1","Q2","Q2","Q2","Q3","Q3","Q3"))</f>
        <v>Q1</v>
      </c>
      <c r="E105" s="282" t="str">
        <f>IF(F105="","",CHOOSE(MONTH(F105),"10-JAN","11-FEB","12-MAR","01-APR","02-MAY","03-JUN","04-JUL","05-AUG","06-SEP","07-OCT","08-NOV","09-DEC"))</f>
        <v>02-MAY</v>
      </c>
      <c r="F105" s="76">
        <v>45071</v>
      </c>
      <c r="G105" s="231" t="s">
        <v>49</v>
      </c>
      <c r="H105" s="5" t="s">
        <v>48</v>
      </c>
      <c r="I105" s="29" t="s">
        <v>223</v>
      </c>
      <c r="J105" s="8" t="s">
        <v>161</v>
      </c>
      <c r="K105" s="281" t="s">
        <v>34</v>
      </c>
      <c r="L105" s="78" t="s">
        <v>657</v>
      </c>
      <c r="M105" s="151">
        <f>IF(SUM(V105:BC105)=0,"-",SUM(V105:BC105))</f>
        <v>2</v>
      </c>
      <c r="N105" s="241">
        <f>IF(SUMPRODUCT($V$3:$BC$3,V105:BC105)=0,"-",SUMPRODUCT($V$3:$BC$3,V105:BC105))</f>
        <v>70</v>
      </c>
      <c r="O105" s="272" t="s">
        <v>658</v>
      </c>
      <c r="P105" s="281" t="str">
        <f>IF(G124="","",IFERROR(IF(S124="Sent","",IF(I124="Delivered","PO en attente","Projet en cours")),""))</f>
        <v/>
      </c>
      <c r="Q105" s="296">
        <v>4200669114</v>
      </c>
      <c r="R105" s="258"/>
      <c r="S105" s="211" t="s">
        <v>249</v>
      </c>
      <c r="T105" s="260" t="s">
        <v>1236</v>
      </c>
      <c r="U105" s="253" t="s">
        <v>1237</v>
      </c>
      <c r="W105" s="8">
        <v>2</v>
      </c>
    </row>
    <row r="106" spans="1:40" hidden="1">
      <c r="A106" s="286" t="s">
        <v>220</v>
      </c>
      <c r="B106" s="286" t="s">
        <v>221</v>
      </c>
      <c r="C106" s="280" t="s">
        <v>3</v>
      </c>
      <c r="D106" s="281" t="str">
        <f>IF(F106="","",CHOOSE(MONTH(F106),"Q4","Q4","Q4","Q1","Q1","Q1","Q2","Q2","Q2","Q3","Q3","Q3"))</f>
        <v>Q1</v>
      </c>
      <c r="E106" s="282" t="str">
        <f>IF(F106="","",CHOOSE(MONTH(F106),"10-JAN","11-FEB","12-MAR","01-APR","02-MAY","03-JUN","04-JUL","05-AUG","06-SEP","07-OCT","08-NOV","09-DEC"))</f>
        <v>02-MAY</v>
      </c>
      <c r="F106" s="76">
        <v>45072</v>
      </c>
      <c r="G106" s="231" t="s">
        <v>663</v>
      </c>
      <c r="H106" s="5" t="s">
        <v>36</v>
      </c>
      <c r="I106" s="29" t="s">
        <v>223</v>
      </c>
      <c r="J106" s="8" t="s">
        <v>69</v>
      </c>
      <c r="K106" s="281" t="s">
        <v>34</v>
      </c>
      <c r="L106" s="78" t="s">
        <v>664</v>
      </c>
      <c r="M106" s="151">
        <f>IF(SUM(V106:BC106)=0,"-",SUM(V106:BC106))</f>
        <v>15</v>
      </c>
      <c r="N106" s="241">
        <f>IF(SUMPRODUCT($V$3:$BC$3,V106:BC106)=0,"-",SUMPRODUCT($V$3:$BC$3,V106:BC106))</f>
        <v>555</v>
      </c>
      <c r="O106" s="272" t="s">
        <v>665</v>
      </c>
      <c r="P106" s="279" t="str">
        <f>IF(G106="","",IFERROR(IF(S106="Sent","",IF(I106="Delivered","PO en attente","Projet en cours")),""))</f>
        <v/>
      </c>
      <c r="Q106" s="211">
        <v>4200648695</v>
      </c>
      <c r="R106" s="211"/>
      <c r="S106" s="252" t="s">
        <v>228</v>
      </c>
      <c r="T106" s="211" t="s">
        <v>1238</v>
      </c>
      <c r="U106" s="249" t="s">
        <v>517</v>
      </c>
      <c r="W106" s="8">
        <v>9</v>
      </c>
      <c r="AD106" s="8">
        <v>6</v>
      </c>
    </row>
    <row r="107" spans="1:40" hidden="1">
      <c r="A107" s="286" t="s">
        <v>244</v>
      </c>
      <c r="B107" s="286" t="s">
        <v>221</v>
      </c>
      <c r="C107" s="280" t="s">
        <v>3</v>
      </c>
      <c r="D107" s="281" t="str">
        <f>IF(F107="","",CHOOSE(MONTH(F107),"Q4","Q4","Q4","Q1","Q1","Q1","Q2","Q2","Q2","Q3","Q3","Q3"))</f>
        <v>Q1</v>
      </c>
      <c r="E107" s="282" t="str">
        <f>IF(F107="","",CHOOSE(MONTH(F107),"10-JAN","11-FEB","12-MAR","01-APR","02-MAY","03-JUN","04-JUL","05-AUG","06-SEP","07-OCT","08-NOV","09-DEC"))</f>
        <v>02-MAY</v>
      </c>
      <c r="F107" s="76">
        <v>45072</v>
      </c>
      <c r="G107" s="233" t="s">
        <v>666</v>
      </c>
      <c r="H107" s="5" t="s">
        <v>36</v>
      </c>
      <c r="I107" s="29" t="s">
        <v>223</v>
      </c>
      <c r="J107" s="8" t="s">
        <v>69</v>
      </c>
      <c r="K107" s="281" t="s">
        <v>34</v>
      </c>
      <c r="L107" s="78" t="s">
        <v>667</v>
      </c>
      <c r="M107" s="151">
        <f>IF(SUM(V107:BC107)=0,"-",SUM(V107:BC107))</f>
        <v>1</v>
      </c>
      <c r="N107" s="241">
        <f>IF(SUMPRODUCT($V$3:$BC$3,V107:BC107)=0,"-",SUMPRODUCT($V$3:$BC$3,V107:BC107))</f>
        <v>135</v>
      </c>
      <c r="O107" s="271">
        <v>45084</v>
      </c>
      <c r="P107" s="279" t="str">
        <f>IF(G107="","",IFERROR(IF(S107="Sent","",IF(I107="Delivered","PO en attente","Projet en cours")),""))</f>
        <v/>
      </c>
      <c r="Q107" s="211">
        <v>4200646100</v>
      </c>
      <c r="R107" s="211"/>
      <c r="S107" s="252" t="s">
        <v>228</v>
      </c>
      <c r="T107" s="211" t="s">
        <v>1239</v>
      </c>
      <c r="U107" s="249" t="s">
        <v>517</v>
      </c>
      <c r="AC107" s="7">
        <v>1</v>
      </c>
    </row>
    <row r="108" spans="1:40" hidden="1">
      <c r="A108" s="286" t="s">
        <v>220</v>
      </c>
      <c r="B108" s="286" t="s">
        <v>221</v>
      </c>
      <c r="C108" s="280" t="s">
        <v>3</v>
      </c>
      <c r="D108" s="281" t="str">
        <f>IF(F108="","",CHOOSE(MONTH(F108),"Q4","Q4","Q4","Q1","Q1","Q1","Q2","Q2","Q2","Q3","Q3","Q3"))</f>
        <v>Q1</v>
      </c>
      <c r="E108" s="282" t="str">
        <f>IF(F108="","",CHOOSE(MONTH(F108),"10-JAN","11-FEB","12-MAR","01-APR","02-MAY","03-JUN","04-JUL","05-AUG","06-SEP","07-OCT","08-NOV","09-DEC"))</f>
        <v>02-MAY</v>
      </c>
      <c r="F108" s="76">
        <v>45072</v>
      </c>
      <c r="G108" s="231" t="s">
        <v>660</v>
      </c>
      <c r="H108" s="5" t="s">
        <v>437</v>
      </c>
      <c r="I108" s="29" t="s">
        <v>223</v>
      </c>
      <c r="J108" s="8" t="s">
        <v>93</v>
      </c>
      <c r="K108" s="281" t="s">
        <v>34</v>
      </c>
      <c r="L108" s="78" t="s">
        <v>661</v>
      </c>
      <c r="M108" s="151">
        <f>IF(SUM(V108:BC108)=0,"-",SUM(V108:BC108))</f>
        <v>2</v>
      </c>
      <c r="N108" s="278">
        <f>IF(SUMPRODUCT($V$3:$BC$3,V108:BC108)=0,"-",SUMPRODUCT($V$3:$BC$3,V108:BC108))</f>
        <v>70</v>
      </c>
      <c r="O108" s="272" t="s">
        <v>662</v>
      </c>
      <c r="P108" s="279" t="str">
        <f>IF(G108="","",IFERROR(IF(S108="Sent","",IF(I108="Delivered","PO en attente","Projet en cours")),""))</f>
        <v/>
      </c>
      <c r="Q108" s="258">
        <v>4200659416</v>
      </c>
      <c r="R108" s="258" t="s">
        <v>225</v>
      </c>
      <c r="S108" s="211" t="s">
        <v>249</v>
      </c>
      <c r="T108" s="211" t="s">
        <v>1240</v>
      </c>
      <c r="U108" s="249" t="s">
        <v>1241</v>
      </c>
      <c r="W108" s="8">
        <v>2</v>
      </c>
    </row>
    <row r="109" spans="1:40" hidden="1">
      <c r="A109" s="286" t="s">
        <v>220</v>
      </c>
      <c r="B109" s="286" t="s">
        <v>221</v>
      </c>
      <c r="C109" s="280" t="s">
        <v>3</v>
      </c>
      <c r="D109" s="281" t="str">
        <f>IF(F109="","",CHOOSE(MONTH(F109),"Q4","Q4","Q4","Q1","Q1","Q1","Q2","Q2","Q2","Q3","Q3","Q3"))</f>
        <v>Q1</v>
      </c>
      <c r="E109" s="282" t="str">
        <f>IF(F109="","",CHOOSE(MONTH(F109),"10-JAN","11-FEB","12-MAR","01-APR","02-MAY","03-JUN","04-JUL","05-AUG","06-SEP","07-OCT","08-NOV","09-DEC"))</f>
        <v>02-MAY</v>
      </c>
      <c r="F109" s="76">
        <v>45075</v>
      </c>
      <c r="G109" s="233" t="s">
        <v>669</v>
      </c>
      <c r="H109" s="5" t="s">
        <v>36</v>
      </c>
      <c r="I109" s="29" t="s">
        <v>223</v>
      </c>
      <c r="J109" s="21" t="s">
        <v>69</v>
      </c>
      <c r="K109" s="281" t="s">
        <v>34</v>
      </c>
      <c r="L109" s="78" t="s">
        <v>670</v>
      </c>
      <c r="M109" s="151">
        <f>IF(SUM(V109:BC109)=0,"-",SUM(V109:BC109))</f>
        <v>9</v>
      </c>
      <c r="N109" s="241">
        <f>IF(SUMPRODUCT($V$3:$BC$3,V109:BC109)=0,"-",SUMPRODUCT($V$3:$BC$3,V109:BC109))</f>
        <v>850</v>
      </c>
      <c r="O109" s="271">
        <v>45084</v>
      </c>
      <c r="P109" s="279" t="str">
        <f>IF(G109="","",IFERROR(IF(S109="Sent","",IF(I109="Delivered","PO en attente","Projet en cours")),""))</f>
        <v/>
      </c>
      <c r="Q109" s="211">
        <v>4200646327</v>
      </c>
      <c r="R109" s="211"/>
      <c r="S109" s="252" t="s">
        <v>228</v>
      </c>
      <c r="T109" s="211" t="s">
        <v>1242</v>
      </c>
      <c r="U109" s="249" t="s">
        <v>517</v>
      </c>
      <c r="W109" s="8">
        <v>5</v>
      </c>
      <c r="AC109" s="7">
        <v>1</v>
      </c>
      <c r="AD109" s="8">
        <v>1</v>
      </c>
      <c r="AF109" s="8">
        <v>2</v>
      </c>
    </row>
    <row r="110" spans="1:40" hidden="1">
      <c r="A110" s="286" t="s">
        <v>244</v>
      </c>
      <c r="B110" s="286" t="s">
        <v>221</v>
      </c>
      <c r="C110" s="280" t="s">
        <v>3</v>
      </c>
      <c r="D110" s="281" t="str">
        <f>IF(F110="","",CHOOSE(MONTH(F110),"Q4","Q4","Q4","Q1","Q1","Q1","Q2","Q2","Q2","Q3","Q3","Q3"))</f>
        <v>Q1</v>
      </c>
      <c r="E110" s="282" t="str">
        <f>IF(F110="","",CHOOSE(MONTH(F110),"10-JAN","11-FEB","12-MAR","01-APR","02-MAY","03-JUN","04-JUL","05-AUG","06-SEP","07-OCT","08-NOV","09-DEC"))</f>
        <v>02-MAY</v>
      </c>
      <c r="F110" s="76">
        <v>45076</v>
      </c>
      <c r="G110" s="233" t="s">
        <v>258</v>
      </c>
      <c r="H110" s="5" t="s">
        <v>230</v>
      </c>
      <c r="I110" s="29" t="s">
        <v>223</v>
      </c>
      <c r="J110" s="8" t="s">
        <v>130</v>
      </c>
      <c r="K110" s="281" t="s">
        <v>30</v>
      </c>
      <c r="L110" s="78" t="s">
        <v>259</v>
      </c>
      <c r="M110" s="151">
        <f>IF(SUM(V110:BC110)=0,"-",SUM(V110:BC110))</f>
        <v>2</v>
      </c>
      <c r="N110" s="241">
        <f>IF(SUMPRODUCT($V$3:$BC$3,V110:BC110)=0,"-",SUMPRODUCT($V$3:$BC$3,V110:BC110))</f>
        <v>155</v>
      </c>
      <c r="O110" s="271">
        <v>45047</v>
      </c>
      <c r="P110" s="279" t="str">
        <f>IF(G110="","",IFERROR(IF(S110="Sent","",IF(I110="Delivered","PO en attente","Projet en cours")),""))</f>
        <v/>
      </c>
      <c r="Q110" s="211">
        <v>4200641929</v>
      </c>
      <c r="R110" s="211" t="s">
        <v>237</v>
      </c>
      <c r="S110" s="211" t="s">
        <v>249</v>
      </c>
      <c r="T110" s="211" t="s">
        <v>1219</v>
      </c>
      <c r="U110" s="249" t="s">
        <v>517</v>
      </c>
      <c r="V110" s="7">
        <v>1</v>
      </c>
      <c r="W110" s="8">
        <v>1</v>
      </c>
    </row>
    <row r="111" spans="1:40" hidden="1">
      <c r="A111" s="286" t="s">
        <v>244</v>
      </c>
      <c r="B111" s="286" t="s">
        <v>221</v>
      </c>
      <c r="C111" s="280" t="s">
        <v>3</v>
      </c>
      <c r="D111" s="281" t="str">
        <f>IF(F111="","",CHOOSE(MONTH(F111),"Q4","Q4","Q4","Q1","Q1","Q1","Q2","Q2","Q2","Q3","Q3","Q3"))</f>
        <v>Q1</v>
      </c>
      <c r="E111" s="282" t="str">
        <f>IF(F111="","",CHOOSE(MONTH(F111),"10-JAN","11-FEB","12-MAR","01-APR","02-MAY","03-JUN","04-JUL","05-AUG","06-SEP","07-OCT","08-NOV","09-DEC"))</f>
        <v>02-MAY</v>
      </c>
      <c r="F111" s="76">
        <v>45076</v>
      </c>
      <c r="G111" s="231" t="s">
        <v>260</v>
      </c>
      <c r="H111" s="5" t="s">
        <v>230</v>
      </c>
      <c r="I111" s="29" t="s">
        <v>223</v>
      </c>
      <c r="J111" s="8" t="s">
        <v>93</v>
      </c>
      <c r="K111" s="281" t="s">
        <v>30</v>
      </c>
      <c r="L111" s="78" t="s">
        <v>261</v>
      </c>
      <c r="M111" s="151">
        <f>IF(SUM(V111:BC111)=0,"-",SUM(V111:BC111))</f>
        <v>2</v>
      </c>
      <c r="N111" s="241">
        <f>IF(SUMPRODUCT($V$3:$BC$3,V111:BC111)=0,"-",SUMPRODUCT($V$3:$BC$3,V111:BC111))</f>
        <v>155</v>
      </c>
      <c r="O111" s="271">
        <v>45047</v>
      </c>
      <c r="P111" s="279" t="str">
        <f>IF(G111="","",IFERROR(IF(S111="Sent","",IF(I111="Delivered","PO en attente","Projet en cours")),""))</f>
        <v/>
      </c>
      <c r="Q111" s="211">
        <v>4200641929</v>
      </c>
      <c r="R111" s="211" t="s">
        <v>237</v>
      </c>
      <c r="S111" s="211" t="s">
        <v>249</v>
      </c>
      <c r="T111" s="211" t="s">
        <v>1219</v>
      </c>
      <c r="U111" s="249" t="s">
        <v>517</v>
      </c>
      <c r="V111" s="7">
        <v>1</v>
      </c>
      <c r="W111" s="8">
        <v>1</v>
      </c>
    </row>
    <row r="112" spans="1:40" hidden="1">
      <c r="A112" s="286" t="s">
        <v>244</v>
      </c>
      <c r="B112" s="286" t="s">
        <v>221</v>
      </c>
      <c r="C112" s="280" t="s">
        <v>3</v>
      </c>
      <c r="D112" s="281" t="str">
        <f>IF(F112="","",CHOOSE(MONTH(F112),"Q4","Q4","Q4","Q1","Q1","Q1","Q2","Q2","Q2","Q3","Q3","Q3"))</f>
        <v>Q1</v>
      </c>
      <c r="E112" s="282" t="str">
        <f>IF(F112="","",CHOOSE(MONTH(F112),"10-JAN","11-FEB","12-MAR","01-APR","02-MAY","03-JUN","04-JUL","05-AUG","06-SEP","07-OCT","08-NOV","09-DEC"))</f>
        <v>02-MAY</v>
      </c>
      <c r="F112" s="76">
        <v>45077</v>
      </c>
      <c r="G112" s="231" t="s">
        <v>672</v>
      </c>
      <c r="H112" s="5" t="s">
        <v>46</v>
      </c>
      <c r="I112" s="29" t="s">
        <v>223</v>
      </c>
      <c r="J112" s="8" t="s">
        <v>67</v>
      </c>
      <c r="K112" s="281" t="s">
        <v>34</v>
      </c>
      <c r="L112" s="78" t="s">
        <v>673</v>
      </c>
      <c r="M112" s="151">
        <f>IF(SUM(V112:BC112)=0,"-",SUM(V112:BC112))</f>
        <v>4</v>
      </c>
      <c r="N112" s="241">
        <f>IF(SUMPRODUCT($V$3:$BC$3,V112:BC112)=0,"-",SUMPRODUCT($V$3:$BC$3,V112:BC112))</f>
        <v>225</v>
      </c>
      <c r="O112" s="271">
        <v>45084</v>
      </c>
      <c r="P112" s="279" t="str">
        <f>IF(G112="","",IFERROR(IF(S112="Sent","",IF(I112="Delivered","PO en attente","Projet en cours")),""))</f>
        <v/>
      </c>
      <c r="Q112" s="256" t="s">
        <v>640</v>
      </c>
      <c r="R112" s="256"/>
      <c r="S112" s="256" t="s">
        <v>249</v>
      </c>
      <c r="T112" s="256" t="s">
        <v>641</v>
      </c>
      <c r="U112" s="257" t="s">
        <v>481</v>
      </c>
      <c r="V112" s="7">
        <v>1</v>
      </c>
      <c r="W112" s="8">
        <v>3</v>
      </c>
    </row>
    <row r="113" spans="1:57" hidden="1">
      <c r="A113" s="286" t="s">
        <v>244</v>
      </c>
      <c r="B113" s="286" t="s">
        <v>221</v>
      </c>
      <c r="C113" s="280" t="s">
        <v>3</v>
      </c>
      <c r="D113" s="281" t="str">
        <f>IF(F113="","",CHOOSE(MONTH(F113),"Q4","Q4","Q4","Q1","Q1","Q1","Q2","Q2","Q2","Q3","Q3","Q3"))</f>
        <v>Q1</v>
      </c>
      <c r="E113" s="282" t="str">
        <f>IF(F113="","",CHOOSE(MONTH(F113),"10-JAN","11-FEB","12-MAR","01-APR","02-MAY","03-JUN","04-JUL","05-AUG","06-SEP","07-OCT","08-NOV","09-DEC"))</f>
        <v>02-MAY</v>
      </c>
      <c r="F113" s="76">
        <v>45077</v>
      </c>
      <c r="G113" s="231" t="s">
        <v>674</v>
      </c>
      <c r="H113" s="5" t="s">
        <v>36</v>
      </c>
      <c r="I113" s="29" t="s">
        <v>223</v>
      </c>
      <c r="J113" s="8" t="s">
        <v>69</v>
      </c>
      <c r="K113" s="281" t="s">
        <v>34</v>
      </c>
      <c r="L113" s="78" t="s">
        <v>675</v>
      </c>
      <c r="M113" s="151">
        <f>IF(SUM(V113:BC113)=0,"-",SUM(V113:BC113))</f>
        <v>5</v>
      </c>
      <c r="N113" s="241">
        <f>IF(SUMPRODUCT($V$3:$BC$3,V113:BC113)=0,"-",SUMPRODUCT($V$3:$BC$3,V113:BC113))</f>
        <v>260</v>
      </c>
      <c r="O113" s="271">
        <v>45084</v>
      </c>
      <c r="P113" s="279" t="str">
        <f>IF(G113="","",IFERROR(IF(S113="Sent","",IF(I113="Delivered","PO en attente","Projet en cours")),""))</f>
        <v/>
      </c>
      <c r="Q113" s="211">
        <v>4200646074</v>
      </c>
      <c r="R113" s="211"/>
      <c r="S113" s="252" t="s">
        <v>228</v>
      </c>
      <c r="T113" s="211" t="s">
        <v>1243</v>
      </c>
      <c r="U113" s="249" t="s">
        <v>517</v>
      </c>
      <c r="V113" s="7">
        <v>1</v>
      </c>
      <c r="W113" s="8">
        <v>4</v>
      </c>
    </row>
    <row r="114" spans="1:57" hidden="1">
      <c r="A114" s="286" t="s">
        <v>220</v>
      </c>
      <c r="B114" s="286" t="s">
        <v>221</v>
      </c>
      <c r="C114" s="280" t="s">
        <v>3</v>
      </c>
      <c r="D114" s="281" t="str">
        <f>IF(F114="","",CHOOSE(MONTH(F114),"Q4","Q4","Q4","Q1","Q1","Q1","Q2","Q2","Q2","Q3","Q3","Q3"))</f>
        <v>Q1</v>
      </c>
      <c r="E114" s="282" t="str">
        <f>IF(F114="","",CHOOSE(MONTH(F114),"10-JAN","11-FEB","12-MAR","01-APR","02-MAY","03-JUN","04-JUL","05-AUG","06-SEP","07-OCT","08-NOV","09-DEC"))</f>
        <v>02-MAY</v>
      </c>
      <c r="F114" s="76">
        <v>45077</v>
      </c>
      <c r="G114" s="233" t="s">
        <v>676</v>
      </c>
      <c r="H114" s="5" t="s">
        <v>36</v>
      </c>
      <c r="I114" s="29" t="s">
        <v>223</v>
      </c>
      <c r="J114" s="8" t="s">
        <v>69</v>
      </c>
      <c r="K114" s="281" t="s">
        <v>34</v>
      </c>
      <c r="L114" s="78" t="s">
        <v>677</v>
      </c>
      <c r="M114" s="151">
        <f>IF(SUM(V114:BC114)=0,"-",SUM(V114:BC114))</f>
        <v>5</v>
      </c>
      <c r="N114" s="241">
        <f>IF(SUMPRODUCT($V$3:$BC$3,V114:BC114)=0,"-",SUMPRODUCT($V$3:$BC$3,V114:BC114))</f>
        <v>175</v>
      </c>
      <c r="O114" s="271">
        <v>45084</v>
      </c>
      <c r="P114" s="279" t="str">
        <f>IF(G114="","",IFERROR(IF(S114="Sent","",IF(I114="Delivered","PO en attente","Projet en cours")),""))</f>
        <v/>
      </c>
      <c r="Q114" s="211">
        <v>4200646074</v>
      </c>
      <c r="R114" s="211"/>
      <c r="S114" s="252" t="s">
        <v>228</v>
      </c>
      <c r="T114" s="211" t="s">
        <v>1243</v>
      </c>
      <c r="U114" s="249" t="s">
        <v>517</v>
      </c>
      <c r="W114" s="8">
        <v>5</v>
      </c>
    </row>
    <row r="115" spans="1:57" hidden="1">
      <c r="A115" s="286" t="s">
        <v>244</v>
      </c>
      <c r="B115" s="286" t="s">
        <v>221</v>
      </c>
      <c r="C115" s="280" t="s">
        <v>3</v>
      </c>
      <c r="D115" s="281" t="str">
        <f>IF(F115="","",CHOOSE(MONTH(F115),"Q4","Q4","Q4","Q1","Q1","Q1","Q2","Q2","Q2","Q3","Q3","Q3"))</f>
        <v>Q1</v>
      </c>
      <c r="E115" s="282" t="str">
        <f>IF(F115="","",CHOOSE(MONTH(F115),"10-JAN","11-FEB","12-MAR","01-APR","02-MAY","03-JUN","04-JUL","05-AUG","06-SEP","07-OCT","08-NOV","09-DEC"))</f>
        <v>03-JUN</v>
      </c>
      <c r="F115" s="76">
        <v>45078</v>
      </c>
      <c r="G115" s="231" t="s">
        <v>312</v>
      </c>
      <c r="H115" s="5" t="s">
        <v>32</v>
      </c>
      <c r="I115" s="29" t="s">
        <v>223</v>
      </c>
      <c r="J115" s="8" t="s">
        <v>69</v>
      </c>
      <c r="K115" s="281" t="s">
        <v>30</v>
      </c>
      <c r="L115" s="78" t="s">
        <v>313</v>
      </c>
      <c r="M115" s="151">
        <f>IF(SUM(V115:BC115)=0,"-",SUM(V115:BC115))</f>
        <v>6</v>
      </c>
      <c r="N115" s="241">
        <f>IF(SUMPRODUCT($V$3:$BC$3,V115:BC115)=0,"-",SUMPRODUCT($V$3:$BC$3,V115:BC115))</f>
        <v>465</v>
      </c>
      <c r="O115" s="271">
        <v>45082</v>
      </c>
      <c r="P115" s="279" t="str">
        <f>IF(G115="","",IFERROR(IF(S115="Sent","",IF(I115="Delivered","PO en attente","Projet en cours")),""))</f>
        <v/>
      </c>
      <c r="Q115" s="211">
        <v>4200647987</v>
      </c>
      <c r="R115" s="211" t="s">
        <v>266</v>
      </c>
      <c r="S115" s="211" t="s">
        <v>249</v>
      </c>
      <c r="T115" s="211" t="s">
        <v>1244</v>
      </c>
      <c r="U115" s="263" t="s">
        <v>1245</v>
      </c>
      <c r="V115" s="7">
        <v>3</v>
      </c>
      <c r="W115" s="8">
        <v>3</v>
      </c>
    </row>
    <row r="116" spans="1:57" hidden="1">
      <c r="A116" s="286" t="s">
        <v>244</v>
      </c>
      <c r="B116" s="286" t="s">
        <v>221</v>
      </c>
      <c r="C116" s="280" t="s">
        <v>3</v>
      </c>
      <c r="D116" s="281" t="str">
        <f>IF(F116="","",CHOOSE(MONTH(F116),"Q4","Q4","Q4","Q1","Q1","Q1","Q2","Q2","Q2","Q3","Q3","Q3"))</f>
        <v>Q1</v>
      </c>
      <c r="E116" s="282" t="str">
        <f>IF(F116="","",CHOOSE(MONTH(F116),"10-JAN","11-FEB","12-MAR","01-APR","02-MAY","03-JUN","04-JUL","05-AUG","06-SEP","07-OCT","08-NOV","09-DEC"))</f>
        <v>03-JUN</v>
      </c>
      <c r="F116" s="76">
        <v>45078</v>
      </c>
      <c r="G116" s="231" t="s">
        <v>678</v>
      </c>
      <c r="H116" s="5" t="s">
        <v>36</v>
      </c>
      <c r="I116" s="29" t="s">
        <v>223</v>
      </c>
      <c r="J116" s="8" t="s">
        <v>69</v>
      </c>
      <c r="K116" s="281" t="s">
        <v>34</v>
      </c>
      <c r="L116" s="78" t="s">
        <v>679</v>
      </c>
      <c r="M116" s="151">
        <f>IF(SUM(V116:BC116)=0,"-",SUM(V116:BC116))</f>
        <v>1</v>
      </c>
      <c r="N116" s="241">
        <f>IF(SUMPRODUCT($V$3:$BC$3,V116:BC116)=0,"-",SUMPRODUCT($V$3:$BC$3,V116:BC116))</f>
        <v>40</v>
      </c>
      <c r="O116" s="272" t="s">
        <v>680</v>
      </c>
      <c r="P116" s="279" t="str">
        <f>IF(G116="","",IFERROR(IF(S116="Sent","",IF(I116="Delivered","PO en attente","Projet en cours")),""))</f>
        <v/>
      </c>
      <c r="Q116" s="211">
        <v>4200648695</v>
      </c>
      <c r="R116" s="211"/>
      <c r="S116" s="252" t="s">
        <v>228</v>
      </c>
      <c r="T116" s="211" t="s">
        <v>1238</v>
      </c>
      <c r="U116" s="249" t="s">
        <v>517</v>
      </c>
      <c r="AD116" s="8">
        <v>1</v>
      </c>
    </row>
    <row r="117" spans="1:57" hidden="1">
      <c r="A117" s="286" t="s">
        <v>244</v>
      </c>
      <c r="B117" s="286" t="s">
        <v>221</v>
      </c>
      <c r="C117" s="280" t="s">
        <v>3</v>
      </c>
      <c r="D117" s="281" t="str">
        <f>IF(F117="","",CHOOSE(MONTH(F117),"Q4","Q4","Q4","Q1","Q1","Q1","Q2","Q2","Q2","Q3","Q3","Q3"))</f>
        <v>Q1</v>
      </c>
      <c r="E117" s="282" t="str">
        <f>IF(F117="","",CHOOSE(MONTH(F117),"10-JAN","11-FEB","12-MAR","01-APR","02-MAY","03-JUN","04-JUL","05-AUG","06-SEP","07-OCT","08-NOV","09-DEC"))</f>
        <v>03-JUN</v>
      </c>
      <c r="F117" s="76">
        <v>45078</v>
      </c>
      <c r="G117" s="231" t="s">
        <v>681</v>
      </c>
      <c r="H117" s="5" t="s">
        <v>27</v>
      </c>
      <c r="I117" s="29" t="s">
        <v>223</v>
      </c>
      <c r="J117" s="8" t="s">
        <v>130</v>
      </c>
      <c r="K117" s="281" t="s">
        <v>34</v>
      </c>
      <c r="L117" s="78" t="s">
        <v>682</v>
      </c>
      <c r="M117" s="151">
        <f>IF(SUM(V117:BC117)=0,"-",SUM(V117:BC117))</f>
        <v>1</v>
      </c>
      <c r="N117" s="241">
        <f>IF(SUMPRODUCT($V$3:$BC$3,V117:BC117)=0,"-",SUMPRODUCT($V$3:$BC$3,V117:BC117))</f>
        <v>40</v>
      </c>
      <c r="O117" s="272" t="s">
        <v>683</v>
      </c>
      <c r="P117" s="269" t="str">
        <f>IF(G117="","",IFERROR(IF(S117="Sent","",IF(I117="Delivered","PO en attente","Projet en cours")),""))</f>
        <v/>
      </c>
      <c r="Q117" s="258">
        <v>4200657361</v>
      </c>
      <c r="R117" s="258"/>
      <c r="S117" s="211" t="s">
        <v>249</v>
      </c>
      <c r="T117" s="211" t="s">
        <v>684</v>
      </c>
      <c r="U117" s="249" t="s">
        <v>1246</v>
      </c>
      <c r="AD117" s="8">
        <v>1</v>
      </c>
    </row>
    <row r="118" spans="1:57" hidden="1">
      <c r="A118" s="286" t="s">
        <v>244</v>
      </c>
      <c r="B118" s="286" t="s">
        <v>221</v>
      </c>
      <c r="C118" s="280" t="s">
        <v>3</v>
      </c>
      <c r="D118" s="281" t="str">
        <f>IF(F118="","",CHOOSE(MONTH(F118),"Q4","Q4","Q4","Q1","Q1","Q1","Q2","Q2","Q2","Q3","Q3","Q3"))</f>
        <v>Q1</v>
      </c>
      <c r="E118" s="282" t="str">
        <f>IF(F118="","",CHOOSE(MONTH(F118),"10-JAN","11-FEB","12-MAR","01-APR","02-MAY","03-JUN","04-JUL","05-AUG","06-SEP","07-OCT","08-NOV","09-DEC"))</f>
        <v>03-JUN</v>
      </c>
      <c r="F118" s="76">
        <v>45078</v>
      </c>
      <c r="G118" s="235" t="s">
        <v>281</v>
      </c>
      <c r="H118" s="5" t="s">
        <v>26</v>
      </c>
      <c r="I118" s="29" t="s">
        <v>223</v>
      </c>
      <c r="J118" s="8" t="s">
        <v>95</v>
      </c>
      <c r="K118" s="281" t="s">
        <v>30</v>
      </c>
      <c r="L118" s="78" t="s">
        <v>282</v>
      </c>
      <c r="M118" s="151">
        <f>IF(SUM(V118:BC118)=0,"-",SUM(V118:BC118))</f>
        <v>4</v>
      </c>
      <c r="N118" s="241">
        <f>IF(SUMPRODUCT($V$3:$BC$3,V118:BC118)=0,"-",SUMPRODUCT($V$3:$BC$3,V118:BC118))</f>
        <v>140</v>
      </c>
      <c r="O118" s="272">
        <v>45082</v>
      </c>
      <c r="P118" s="279" t="str">
        <f>IF(G118="","",IFERROR(IF(S118="Sent","",IF(I118="Delivered","PO en attente","Projet en cours")),""))</f>
        <v/>
      </c>
      <c r="Q118" s="296">
        <v>4200647984</v>
      </c>
      <c r="R118" s="296" t="s">
        <v>266</v>
      </c>
      <c r="S118" s="260" t="s">
        <v>249</v>
      </c>
      <c r="T118" s="260" t="s">
        <v>1247</v>
      </c>
      <c r="U118" s="348" t="s">
        <v>1248</v>
      </c>
      <c r="W118" s="8">
        <v>4</v>
      </c>
    </row>
    <row r="119" spans="1:57" ht="15.75" hidden="1" customHeight="1">
      <c r="A119" s="286" t="s">
        <v>220</v>
      </c>
      <c r="B119" s="286" t="s">
        <v>221</v>
      </c>
      <c r="C119" s="280" t="s">
        <v>3</v>
      </c>
      <c r="D119" s="281" t="str">
        <f>IF(F119="","",CHOOSE(MONTH(F119),"Q4","Q4","Q4","Q1","Q1","Q1","Q2","Q2","Q2","Q3","Q3","Q3"))</f>
        <v>Q1</v>
      </c>
      <c r="E119" s="282" t="str">
        <f>IF(F119="","",CHOOSE(MONTH(F119),"10-JAN","11-FEB","12-MAR","01-APR","02-MAY","03-JUN","04-JUL","05-AUG","06-SEP","07-OCT","08-NOV","09-DEC"))</f>
        <v>03-JUN</v>
      </c>
      <c r="F119" s="76">
        <v>45082</v>
      </c>
      <c r="G119" s="231" t="s">
        <v>691</v>
      </c>
      <c r="H119" s="5" t="s">
        <v>27</v>
      </c>
      <c r="I119" s="29" t="s">
        <v>223</v>
      </c>
      <c r="J119" s="8" t="s">
        <v>67</v>
      </c>
      <c r="K119" s="281" t="s">
        <v>34</v>
      </c>
      <c r="L119" s="78" t="s">
        <v>693</v>
      </c>
      <c r="M119" s="151">
        <f>IF(SUM(V119:BC119)=0,"-",SUM(V119:BC119))</f>
        <v>21</v>
      </c>
      <c r="N119" s="241">
        <f>IF(SUMPRODUCT($V$3:$BC$3,V119:BC119)=0,"-",SUMPRODUCT($V$3:$BC$3,V119:BC119))</f>
        <v>820</v>
      </c>
      <c r="O119" s="272" t="s">
        <v>694</v>
      </c>
      <c r="P119" s="269" t="str">
        <f>IF(G119="","",IFERROR(IF(S119="Sent","",IF(I119="Delivered","PO en attente","Projet en cours")),""))</f>
        <v/>
      </c>
      <c r="Q119" s="211">
        <v>4200648442</v>
      </c>
      <c r="R119" s="211"/>
      <c r="S119" s="211" t="s">
        <v>249</v>
      </c>
      <c r="T119" s="211" t="s">
        <v>1249</v>
      </c>
      <c r="U119" s="253" t="s">
        <v>696</v>
      </c>
      <c r="V119" s="7">
        <v>1</v>
      </c>
      <c r="W119" s="8">
        <v>20</v>
      </c>
      <c r="BD119" s="7"/>
      <c r="BE119" s="8"/>
    </row>
    <row r="120" spans="1:57" hidden="1">
      <c r="A120" s="286" t="s">
        <v>244</v>
      </c>
      <c r="B120" s="286" t="s">
        <v>221</v>
      </c>
      <c r="C120" s="280" t="s">
        <v>3</v>
      </c>
      <c r="D120" s="281" t="str">
        <f>IF(F120="","",CHOOSE(MONTH(F120),"Q4","Q4","Q4","Q1","Q1","Q1","Q2","Q2","Q2","Q3","Q3","Q3"))</f>
        <v>Q1</v>
      </c>
      <c r="E120" s="282" t="str">
        <f>IF(F120="","",CHOOSE(MONTH(F120),"10-JAN","11-FEB","12-MAR","01-APR","02-MAY","03-JUN","04-JUL","05-AUG","06-SEP","07-OCT","08-NOV","09-DEC"))</f>
        <v>03-JUN</v>
      </c>
      <c r="F120" s="76">
        <v>45082</v>
      </c>
      <c r="G120" s="231" t="s">
        <v>685</v>
      </c>
      <c r="H120" s="5" t="s">
        <v>36</v>
      </c>
      <c r="I120" s="29" t="s">
        <v>223</v>
      </c>
      <c r="J120" s="21" t="s">
        <v>69</v>
      </c>
      <c r="K120" s="281" t="s">
        <v>34</v>
      </c>
      <c r="L120" s="78" t="s">
        <v>686</v>
      </c>
      <c r="M120" s="151">
        <f>IF(SUM(V120:BC120)=0,"-",SUM(V120:BC120))</f>
        <v>1</v>
      </c>
      <c r="N120" s="241">
        <f>IF(SUMPRODUCT($V$3:$BC$3,V120:BC120)=0,"-",SUMPRODUCT($V$3:$BC$3,V120:BC120))</f>
        <v>40</v>
      </c>
      <c r="O120" s="271">
        <v>45084</v>
      </c>
      <c r="P120" s="279" t="str">
        <f>IF(G120="","",IFERROR(IF(S120="Sent","",IF(I120="Delivered","PO en attente","Projet en cours")),""))</f>
        <v/>
      </c>
      <c r="Q120" s="211">
        <v>4200646327</v>
      </c>
      <c r="R120" s="211"/>
      <c r="S120" s="252" t="s">
        <v>228</v>
      </c>
      <c r="T120" s="211" t="s">
        <v>1242</v>
      </c>
      <c r="U120" s="249" t="s">
        <v>517</v>
      </c>
      <c r="AD120" s="8">
        <v>1</v>
      </c>
    </row>
    <row r="121" spans="1:57" hidden="1">
      <c r="A121" s="286" t="s">
        <v>244</v>
      </c>
      <c r="B121" s="286" t="s">
        <v>221</v>
      </c>
      <c r="C121" s="280" t="s">
        <v>3</v>
      </c>
      <c r="D121" s="281" t="str">
        <f>IF(F121="","",CHOOSE(MONTH(F121),"Q4","Q4","Q4","Q1","Q1","Q1","Q2","Q2","Q2","Q3","Q3","Q3"))</f>
        <v>Q1</v>
      </c>
      <c r="E121" s="282" t="str">
        <f>IF(F121="","",CHOOSE(MONTH(F121),"10-JAN","11-FEB","12-MAR","01-APR","02-MAY","03-JUN","04-JUL","05-AUG","06-SEP","07-OCT","08-NOV","09-DEC"))</f>
        <v>03-JUN</v>
      </c>
      <c r="F121" s="76">
        <v>45082</v>
      </c>
      <c r="G121" s="231" t="s">
        <v>687</v>
      </c>
      <c r="H121" s="5" t="s">
        <v>36</v>
      </c>
      <c r="I121" s="29" t="s">
        <v>223</v>
      </c>
      <c r="J121" s="21" t="s">
        <v>69</v>
      </c>
      <c r="K121" s="281" t="s">
        <v>34</v>
      </c>
      <c r="L121" s="78" t="s">
        <v>688</v>
      </c>
      <c r="M121" s="151">
        <f>IF(SUM(V121:BC121)=0,"-",SUM(V121:BC121))</f>
        <v>1</v>
      </c>
      <c r="N121" s="241">
        <f>IF(SUMPRODUCT($V$3:$BC$3,V121:BC121)=0,"-",SUMPRODUCT($V$3:$BC$3,V121:BC121))</f>
        <v>35</v>
      </c>
      <c r="O121" s="271">
        <v>45082</v>
      </c>
      <c r="P121" s="279" t="str">
        <f>IF(G121="","",IFERROR(IF(S121="Sent","",IF(I121="Delivered","PO en attente","Projet en cours")),""))</f>
        <v/>
      </c>
      <c r="Q121" s="211">
        <v>4200646327</v>
      </c>
      <c r="R121" s="211"/>
      <c r="S121" s="252" t="s">
        <v>228</v>
      </c>
      <c r="T121" s="211" t="s">
        <v>1242</v>
      </c>
      <c r="U121" s="249" t="s">
        <v>517</v>
      </c>
      <c r="W121" s="8">
        <v>1</v>
      </c>
    </row>
    <row r="122" spans="1:57" hidden="1">
      <c r="A122" s="286" t="s">
        <v>220</v>
      </c>
      <c r="B122" s="286" t="s">
        <v>221</v>
      </c>
      <c r="C122" s="280" t="s">
        <v>3</v>
      </c>
      <c r="D122" s="281" t="str">
        <f>IF(F122="","",CHOOSE(MONTH(F122),"Q4","Q4","Q4","Q1","Q1","Q1","Q2","Q2","Q2","Q3","Q3","Q3"))</f>
        <v>Q1</v>
      </c>
      <c r="E122" s="282" t="str">
        <f>IF(F122="","",CHOOSE(MONTH(F122),"10-JAN","11-FEB","12-MAR","01-APR","02-MAY","03-JUN","04-JUL","05-AUG","06-SEP","07-OCT","08-NOV","09-DEC"))</f>
        <v>03-JUN</v>
      </c>
      <c r="F122" s="76">
        <v>45082</v>
      </c>
      <c r="G122" s="233" t="s">
        <v>689</v>
      </c>
      <c r="H122" s="5" t="s">
        <v>36</v>
      </c>
      <c r="I122" s="29" t="s">
        <v>223</v>
      </c>
      <c r="J122" s="8" t="s">
        <v>69</v>
      </c>
      <c r="K122" s="281" t="s">
        <v>34</v>
      </c>
      <c r="L122" s="78" t="s">
        <v>690</v>
      </c>
      <c r="M122" s="151">
        <f>IF(SUM(V122:BC122)=0,"-",SUM(V122:BC122))</f>
        <v>5</v>
      </c>
      <c r="N122" s="241">
        <f>IF(SUMPRODUCT($V$3:$BC$3,V122:BC122)=0,"-",SUMPRODUCT($V$3:$BC$3,V122:BC122))</f>
        <v>260</v>
      </c>
      <c r="O122" s="271">
        <v>45084</v>
      </c>
      <c r="P122" s="279" t="str">
        <f>IF(G122="","",IFERROR(IF(S122="Sent","",IF(I122="Delivered","PO en attente","Projet en cours")),""))</f>
        <v/>
      </c>
      <c r="Q122" s="211">
        <v>4200646074</v>
      </c>
      <c r="R122" s="211"/>
      <c r="S122" s="252" t="s">
        <v>228</v>
      </c>
      <c r="T122" s="211" t="s">
        <v>1243</v>
      </c>
      <c r="U122" s="249" t="s">
        <v>517</v>
      </c>
      <c r="V122" s="7">
        <v>1</v>
      </c>
      <c r="W122" s="8">
        <v>4</v>
      </c>
    </row>
    <row r="123" spans="1:57" hidden="1">
      <c r="A123" s="286" t="s">
        <v>244</v>
      </c>
      <c r="B123" s="286" t="s">
        <v>221</v>
      </c>
      <c r="C123" s="280" t="s">
        <v>3</v>
      </c>
      <c r="D123" s="281" t="str">
        <f>IF(F123="","",CHOOSE(MONTH(F123),"Q4","Q4","Q4","Q1","Q1","Q1","Q2","Q2","Q2","Q3","Q3","Q3"))</f>
        <v>Q1</v>
      </c>
      <c r="E123" s="282" t="str">
        <f>IF(F123="","",CHOOSE(MONTH(F123),"10-JAN","11-FEB","12-MAR","01-APR","02-MAY","03-JUN","04-JUL","05-AUG","06-SEP","07-OCT","08-NOV","09-DEC"))</f>
        <v>03-JUN</v>
      </c>
      <c r="F123" s="76">
        <v>45083</v>
      </c>
      <c r="G123" s="231" t="s">
        <v>314</v>
      </c>
      <c r="H123" s="5" t="s">
        <v>32</v>
      </c>
      <c r="I123" s="29" t="s">
        <v>223</v>
      </c>
      <c r="J123" s="8" t="s">
        <v>69</v>
      </c>
      <c r="K123" s="281" t="s">
        <v>30</v>
      </c>
      <c r="L123" s="78" t="s">
        <v>315</v>
      </c>
      <c r="M123" s="151">
        <f>IF(SUM(V123:BC123)=0,"-",SUM(V123:BC123))</f>
        <v>2</v>
      </c>
      <c r="N123" s="241">
        <f>IF(SUMPRODUCT($V$3:$BC$3,V123:BC123)=0,"-",SUMPRODUCT($V$3:$BC$3,V123:BC123))</f>
        <v>70</v>
      </c>
      <c r="P123" s="279" t="str">
        <f>IF(G123="","",IFERROR(IF(S123="Sent","",IF(I123="Delivered","PO en attente","Projet en cours")),""))</f>
        <v/>
      </c>
      <c r="Q123" s="211">
        <v>4200647987</v>
      </c>
      <c r="R123" s="211" t="s">
        <v>266</v>
      </c>
      <c r="S123" s="211" t="s">
        <v>249</v>
      </c>
      <c r="T123" s="211" t="s">
        <v>1244</v>
      </c>
      <c r="U123" s="263" t="s">
        <v>1245</v>
      </c>
      <c r="W123" s="8">
        <v>2</v>
      </c>
    </row>
    <row r="124" spans="1:57" hidden="1">
      <c r="A124" s="286" t="s">
        <v>244</v>
      </c>
      <c r="B124" s="286" t="s">
        <v>221</v>
      </c>
      <c r="C124" s="280" t="s">
        <v>3</v>
      </c>
      <c r="D124" s="281" t="str">
        <f>IF(F124="","",CHOOSE(MONTH(F124),"Q4","Q4","Q4","Q1","Q1","Q1","Q2","Q2","Q2","Q3","Q3","Q3"))</f>
        <v>Q1</v>
      </c>
      <c r="E124" s="282" t="str">
        <f>IF(F124="","",CHOOSE(MONTH(F124),"10-JAN","11-FEB","12-MAR","01-APR","02-MAY","03-JUN","04-JUL","05-AUG","06-SEP","07-OCT","08-NOV","09-DEC"))</f>
        <v>03-JUN</v>
      </c>
      <c r="F124" s="76">
        <v>45084</v>
      </c>
      <c r="G124" s="235" t="s">
        <v>283</v>
      </c>
      <c r="H124" s="5" t="s">
        <v>26</v>
      </c>
      <c r="I124" s="29" t="s">
        <v>223</v>
      </c>
      <c r="J124" s="8" t="s">
        <v>95</v>
      </c>
      <c r="K124" s="281" t="s">
        <v>30</v>
      </c>
      <c r="L124" s="78" t="s">
        <v>284</v>
      </c>
      <c r="M124" s="151">
        <f>IF(SUM(V124:BC124)=0,"-",SUM(V124:BC124))</f>
        <v>1</v>
      </c>
      <c r="N124" s="241">
        <v>180</v>
      </c>
      <c r="O124" s="272"/>
      <c r="P124" s="279" t="str">
        <f>IF(G124="","",IFERROR(IF(S124="Sent","",IF(I124="Delivered","PO en attente","Projet en cours")),""))</f>
        <v/>
      </c>
      <c r="Q124" s="296">
        <v>4200647984</v>
      </c>
      <c r="R124" s="296" t="s">
        <v>266</v>
      </c>
      <c r="S124" s="260" t="s">
        <v>249</v>
      </c>
      <c r="T124" s="260" t="s">
        <v>1247</v>
      </c>
      <c r="U124" s="348" t="s">
        <v>1248</v>
      </c>
      <c r="V124" s="7">
        <v>1</v>
      </c>
    </row>
    <row r="125" spans="1:57" hidden="1">
      <c r="A125" s="286" t="s">
        <v>220</v>
      </c>
      <c r="B125" s="286" t="s">
        <v>221</v>
      </c>
      <c r="C125" s="280" t="s">
        <v>3</v>
      </c>
      <c r="D125" s="281" t="str">
        <f>IF(F125="","",CHOOSE(MONTH(F125),"Q4","Q4","Q4","Q1","Q1","Q1","Q2","Q2","Q2","Q3","Q3","Q3"))</f>
        <v>Q1</v>
      </c>
      <c r="E125" s="282" t="str">
        <f>IF(F125="","",CHOOSE(MONTH(F125),"10-JAN","11-FEB","12-MAR","01-APR","02-MAY","03-JUN","04-JUL","05-AUG","06-SEP","07-OCT","08-NOV","09-DEC"))</f>
        <v>03-JUN</v>
      </c>
      <c r="F125" s="76">
        <v>45086</v>
      </c>
      <c r="G125" s="231" t="s">
        <v>697</v>
      </c>
      <c r="H125" s="5" t="s">
        <v>437</v>
      </c>
      <c r="I125" s="29" t="s">
        <v>223</v>
      </c>
      <c r="J125" s="8" t="s">
        <v>93</v>
      </c>
      <c r="K125" s="281" t="s">
        <v>34</v>
      </c>
      <c r="L125" s="78" t="s">
        <v>698</v>
      </c>
      <c r="M125" s="151">
        <f>IF(SUM(V125:BC125)=0,"-",SUM(V125:BC125))</f>
        <v>1</v>
      </c>
      <c r="N125" s="317">
        <v>204.17</v>
      </c>
      <c r="O125" s="272" t="s">
        <v>699</v>
      </c>
      <c r="P125" s="279" t="str">
        <f>IF(G125="","",IFERROR(IF(S125="Sent","",IF(I125="Delivered","PO en attente","Projet en cours")),""))</f>
        <v/>
      </c>
      <c r="Q125" s="211">
        <v>4200645677</v>
      </c>
      <c r="R125" s="259"/>
      <c r="S125" s="252" t="s">
        <v>228</v>
      </c>
      <c r="T125" s="211" t="s">
        <v>1250</v>
      </c>
      <c r="U125" s="257" t="s">
        <v>1251</v>
      </c>
      <c r="AE125" s="8">
        <v>1</v>
      </c>
    </row>
    <row r="126" spans="1:57" hidden="1">
      <c r="A126" s="286" t="s">
        <v>244</v>
      </c>
      <c r="B126" s="286" t="s">
        <v>221</v>
      </c>
      <c r="C126" s="280" t="s">
        <v>3</v>
      </c>
      <c r="D126" s="281" t="str">
        <f>IF(F126="","",CHOOSE(MONTH(F126),"Q4","Q4","Q4","Q1","Q1","Q1","Q2","Q2","Q2","Q3","Q3","Q3"))</f>
        <v>Q1</v>
      </c>
      <c r="E126" s="282" t="str">
        <f>IF(F126="","",CHOOSE(MONTH(F126),"10-JAN","11-FEB","12-MAR","01-APR","02-MAY","03-JUN","04-JUL","05-AUG","06-SEP","07-OCT","08-NOV","09-DEC"))</f>
        <v>03-JUN</v>
      </c>
      <c r="F126" s="76">
        <v>45089</v>
      </c>
      <c r="G126" s="231" t="s">
        <v>700</v>
      </c>
      <c r="H126" s="5" t="s">
        <v>36</v>
      </c>
      <c r="I126" s="29" t="s">
        <v>223</v>
      </c>
      <c r="J126" s="21" t="s">
        <v>69</v>
      </c>
      <c r="K126" s="281" t="s">
        <v>34</v>
      </c>
      <c r="L126" s="78" t="s">
        <v>701</v>
      </c>
      <c r="M126" s="151">
        <f>IF(SUM(V126:BC126)=0,"-",SUM(V126:BC126))</f>
        <v>3</v>
      </c>
      <c r="N126" s="241">
        <f>IF(SUMPRODUCT($V$3:$BC$3,V126:BC126)=0,"-",SUMPRODUCT($V$3:$BC$3,V126:BC126))</f>
        <v>120</v>
      </c>
      <c r="O126" s="272" t="s">
        <v>702</v>
      </c>
      <c r="P126" s="279" t="str">
        <f>IF(G126="","",IFERROR(IF(S126="Sent","",IF(I126="Delivered","PO en attente","Projet en cours")),""))</f>
        <v/>
      </c>
      <c r="Q126" s="211">
        <v>4200651983</v>
      </c>
      <c r="R126" s="211"/>
      <c r="S126" s="211" t="s">
        <v>249</v>
      </c>
      <c r="T126" s="211" t="s">
        <v>1252</v>
      </c>
      <c r="U126" s="253" t="s">
        <v>652</v>
      </c>
      <c r="AD126" s="8">
        <v>3</v>
      </c>
    </row>
    <row r="127" spans="1:57" hidden="1">
      <c r="A127" s="286" t="s">
        <v>244</v>
      </c>
      <c r="B127" s="286" t="s">
        <v>221</v>
      </c>
      <c r="C127" s="280" t="s">
        <v>3</v>
      </c>
      <c r="D127" s="281" t="str">
        <f>IF(F127="","",CHOOSE(MONTH(F127),"Q4","Q4","Q4","Q1","Q1","Q1","Q2","Q2","Q2","Q3","Q3","Q3"))</f>
        <v>Q1</v>
      </c>
      <c r="E127" s="282" t="str">
        <f>IF(F127="","",CHOOSE(MONTH(F127),"10-JAN","11-FEB","12-MAR","01-APR","02-MAY","03-JUN","04-JUL","05-AUG","06-SEP","07-OCT","08-NOV","09-DEC"))</f>
        <v>03-JUN</v>
      </c>
      <c r="F127" s="76">
        <v>45089</v>
      </c>
      <c r="G127" s="231" t="s">
        <v>316</v>
      </c>
      <c r="H127" s="5" t="s">
        <v>26</v>
      </c>
      <c r="I127" s="29" t="s">
        <v>223</v>
      </c>
      <c r="J127" s="8" t="s">
        <v>69</v>
      </c>
      <c r="K127" s="281" t="s">
        <v>30</v>
      </c>
      <c r="L127" s="78" t="s">
        <v>317</v>
      </c>
      <c r="M127" s="151">
        <f>IF(SUM(V127:BC127)=0,"-",SUM(V127:BC127))</f>
        <v>21</v>
      </c>
      <c r="N127" s="241">
        <f>IF(SUMPRODUCT($V$3:$BC$3,V127:BC127)=0,"-",SUMPRODUCT($V$3:$BC$3,V127:BC127))</f>
        <v>820</v>
      </c>
      <c r="P127" s="279" t="str">
        <f>IF(G127="","",IFERROR(IF(S127="Sent","",IF(I127="Delivered","PO en attente","Projet en cours")),""))</f>
        <v/>
      </c>
      <c r="Q127" s="211">
        <v>4200647987</v>
      </c>
      <c r="R127" s="211" t="s">
        <v>266</v>
      </c>
      <c r="S127" s="211" t="s">
        <v>249</v>
      </c>
      <c r="T127" s="211" t="s">
        <v>1244</v>
      </c>
      <c r="U127" s="263" t="s">
        <v>1245</v>
      </c>
      <c r="V127" s="7">
        <v>1</v>
      </c>
      <c r="W127" s="8">
        <v>20</v>
      </c>
    </row>
    <row r="128" spans="1:57" hidden="1">
      <c r="A128" s="286" t="s">
        <v>244</v>
      </c>
      <c r="B128" s="286" t="s">
        <v>221</v>
      </c>
      <c r="C128" s="280" t="s">
        <v>3</v>
      </c>
      <c r="D128" s="281" t="str">
        <f>IF(F128="","",CHOOSE(MONTH(F128),"Q4","Q4","Q4","Q1","Q1","Q1","Q2","Q2","Q2","Q3","Q3","Q3"))</f>
        <v>Q1</v>
      </c>
      <c r="E128" s="282" t="str">
        <f>IF(F128="","",CHOOSE(MONTH(F128),"10-JAN","11-FEB","12-MAR","01-APR","02-MAY","03-JUN","04-JUL","05-AUG","06-SEP","07-OCT","08-NOV","09-DEC"))</f>
        <v>03-JUN</v>
      </c>
      <c r="F128" s="76">
        <v>45089</v>
      </c>
      <c r="G128" s="231" t="s">
        <v>704</v>
      </c>
      <c r="H128" s="5" t="s">
        <v>27</v>
      </c>
      <c r="I128" s="29" t="s">
        <v>223</v>
      </c>
      <c r="J128" s="8" t="s">
        <v>130</v>
      </c>
      <c r="K128" s="281" t="s">
        <v>34</v>
      </c>
      <c r="L128" s="78" t="s">
        <v>1253</v>
      </c>
      <c r="M128" s="151">
        <f>IF(SUM(V128:BC128)=0,"-",SUM(V128:BC128))</f>
        <v>1</v>
      </c>
      <c r="N128" s="241">
        <f>IF(SUMPRODUCT($V$3:$BC$3,V128:BC128)=0,"-",SUMPRODUCT($V$3:$BC$3,V128:BC128))</f>
        <v>35</v>
      </c>
      <c r="O128" s="272" t="s">
        <v>706</v>
      </c>
      <c r="P128" s="269" t="str">
        <f>IF(G128="","",IFERROR(IF(S128="Sent","",IF(I128="Delivered","PO en attente","Projet en cours")),""))</f>
        <v/>
      </c>
      <c r="Q128" s="258">
        <v>4200648442</v>
      </c>
      <c r="R128" s="258"/>
      <c r="S128" s="211" t="s">
        <v>249</v>
      </c>
      <c r="T128" s="211" t="s">
        <v>1249</v>
      </c>
      <c r="U128" s="253" t="s">
        <v>696</v>
      </c>
      <c r="W128" s="8">
        <v>1</v>
      </c>
      <c r="BD128" s="7"/>
      <c r="BE128" s="8"/>
    </row>
    <row r="129" spans="1:57" hidden="1">
      <c r="A129" s="286" t="s">
        <v>244</v>
      </c>
      <c r="B129" s="286" t="s">
        <v>221</v>
      </c>
      <c r="C129" s="280" t="s">
        <v>3</v>
      </c>
      <c r="D129" s="281" t="str">
        <f>IF(F129="","",CHOOSE(MONTH(F129),"Q4","Q4","Q4","Q1","Q1","Q1","Q2","Q2","Q2","Q3","Q3","Q3"))</f>
        <v>Q1</v>
      </c>
      <c r="E129" s="282" t="str">
        <f>IF(F129="","",CHOOSE(MONTH(F129),"10-JAN","11-FEB","12-MAR","01-APR","02-MAY","03-JUN","04-JUL","05-AUG","06-SEP","07-OCT","08-NOV","09-DEC"))</f>
        <v>03-JUN</v>
      </c>
      <c r="F129" s="76">
        <v>45089</v>
      </c>
      <c r="G129" s="235" t="s">
        <v>264</v>
      </c>
      <c r="H129" s="5" t="s">
        <v>26</v>
      </c>
      <c r="I129" s="29" t="s">
        <v>223</v>
      </c>
      <c r="J129" s="8" t="s">
        <v>95</v>
      </c>
      <c r="K129" s="281" t="s">
        <v>30</v>
      </c>
      <c r="L129" s="78" t="s">
        <v>265</v>
      </c>
      <c r="M129" s="151">
        <f>IF(SUM(V129:BC129)=0,"-",SUM(V129:BC129))</f>
        <v>6</v>
      </c>
      <c r="N129" s="241">
        <f>IF(SUMPRODUCT($V$3:$BC$3,V129:BC129)=0,"-",SUMPRODUCT($V$3:$BC$3,V129:BC129))</f>
        <v>210</v>
      </c>
      <c r="O129" s="272"/>
      <c r="P129" s="279" t="str">
        <f>IF(G129="","",IFERROR(IF(S129="Sent","",IF(I129="Delivered","PO en attente","Projet en cours")),""))</f>
        <v/>
      </c>
      <c r="Q129" s="296">
        <v>4200647984</v>
      </c>
      <c r="R129" s="296" t="s">
        <v>266</v>
      </c>
      <c r="S129" s="260" t="s">
        <v>249</v>
      </c>
      <c r="T129" s="260" t="s">
        <v>1247</v>
      </c>
      <c r="U129" s="348" t="s">
        <v>1248</v>
      </c>
      <c r="W129" s="8">
        <v>6</v>
      </c>
    </row>
    <row r="130" spans="1:57" hidden="1">
      <c r="A130" s="285" t="s">
        <v>220</v>
      </c>
      <c r="B130" s="285" t="s">
        <v>221</v>
      </c>
      <c r="C130" s="281" t="s">
        <v>3</v>
      </c>
      <c r="D130" s="281" t="str">
        <f>IF(F130="","",CHOOSE(MONTH(F130),"Q4","Q4","Q4","Q1","Q1","Q1","Q2","Q2","Q2","Q3","Q3","Q3"))</f>
        <v>Q1</v>
      </c>
      <c r="E130" s="282" t="str">
        <f>IF(F130="","",CHOOSE(MONTH(F130),"10-JAN","11-FEB","12-MAR","01-APR","02-MAY","03-JUN","04-JUL","05-AUG","06-SEP","07-OCT","08-NOV","09-DEC"))</f>
        <v>03-JUN</v>
      </c>
      <c r="F130" s="76">
        <v>45090</v>
      </c>
      <c r="G130" s="230" t="s">
        <v>707</v>
      </c>
      <c r="H130" t="s">
        <v>437</v>
      </c>
      <c r="I130" s="29" t="s">
        <v>223</v>
      </c>
      <c r="J130" s="8" t="s">
        <v>93</v>
      </c>
      <c r="K130" s="281" t="s">
        <v>34</v>
      </c>
      <c r="L130" s="78" t="s">
        <v>708</v>
      </c>
      <c r="M130" s="151">
        <f>IF(SUM(V130:BC130)=0,"-",SUM(V130:BC130))</f>
        <v>3</v>
      </c>
      <c r="N130" s="278">
        <f>IF(SUMPRODUCT($V$3:$BC$3,V130:BC130)=0,"-",SUMPRODUCT($V$3:$BC$3,V130:BC130))</f>
        <v>215</v>
      </c>
      <c r="O130" s="271">
        <v>45097</v>
      </c>
      <c r="P130" s="279" t="str">
        <f>IF(G130="","",IFERROR(IF(S130="Sent","",IF(I130="Delivered","PO en attente","Projet en cours")),""))</f>
        <v/>
      </c>
      <c r="Q130" s="211">
        <v>4200646668</v>
      </c>
      <c r="R130" s="211"/>
      <c r="S130" s="252" t="s">
        <v>228</v>
      </c>
      <c r="T130" s="211" t="s">
        <v>1254</v>
      </c>
      <c r="U130" s="253" t="s">
        <v>1255</v>
      </c>
      <c r="AC130" s="7">
        <v>1</v>
      </c>
      <c r="AD130" s="8">
        <v>2</v>
      </c>
    </row>
    <row r="131" spans="1:57" ht="16.5" hidden="1" customHeight="1">
      <c r="A131" s="286" t="s">
        <v>244</v>
      </c>
      <c r="B131" s="286" t="s">
        <v>221</v>
      </c>
      <c r="C131" s="280" t="s">
        <v>3</v>
      </c>
      <c r="D131" s="281" t="str">
        <f>IF(F131="","",CHOOSE(MONTH(F131),"Q4","Q4","Q4","Q1","Q1","Q1","Q2","Q2","Q2","Q3","Q3","Q3"))</f>
        <v>Q1</v>
      </c>
      <c r="E131" s="282" t="str">
        <f>IF(F131="","",CHOOSE(MONTH(F131),"10-JAN","11-FEB","12-MAR","01-APR","02-MAY","03-JUN","04-JUL","05-AUG","06-SEP","07-OCT","08-NOV","09-DEC"))</f>
        <v>03-JUN</v>
      </c>
      <c r="F131" s="76">
        <v>45091</v>
      </c>
      <c r="G131" s="231" t="s">
        <v>327</v>
      </c>
      <c r="H131" s="5" t="s">
        <v>26</v>
      </c>
      <c r="I131" s="29" t="s">
        <v>223</v>
      </c>
      <c r="J131" s="8" t="s">
        <v>130</v>
      </c>
      <c r="K131" s="281" t="s">
        <v>30</v>
      </c>
      <c r="L131" s="78" t="s">
        <v>328</v>
      </c>
      <c r="M131" s="151">
        <f>IF(SUM(V131:BC131)=0,"-",SUM(V131:BC131))</f>
        <v>1</v>
      </c>
      <c r="N131" s="241">
        <f>IF(SUMPRODUCT($V$3:$BC$3,V131:BC131)=0,"-",SUMPRODUCT($V$3:$BC$3,V131:BC131))</f>
        <v>360</v>
      </c>
      <c r="P131" s="279" t="str">
        <f>IF(G131="","",IFERROR(IF(S131="Sent","",IF(I131="Delivered","PO en attente","Projet en cours")),""))</f>
        <v/>
      </c>
      <c r="Q131" s="211">
        <v>4200648002</v>
      </c>
      <c r="R131" s="211" t="s">
        <v>266</v>
      </c>
      <c r="S131" s="211" t="s">
        <v>249</v>
      </c>
      <c r="T131" s="211" t="s">
        <v>1256</v>
      </c>
      <c r="U131" s="263" t="s">
        <v>1245</v>
      </c>
      <c r="AV131" s="8">
        <v>1</v>
      </c>
    </row>
    <row r="132" spans="1:57" hidden="1">
      <c r="A132" s="286" t="s">
        <v>244</v>
      </c>
      <c r="B132" s="286" t="s">
        <v>221</v>
      </c>
      <c r="C132" s="280" t="s">
        <v>3</v>
      </c>
      <c r="D132" s="281" t="str">
        <f>IF(F132="","",CHOOSE(MONTH(F132),"Q4","Q4","Q4","Q1","Q1","Q1","Q2","Q2","Q2","Q3","Q3","Q3"))</f>
        <v>Q1</v>
      </c>
      <c r="E132" s="282" t="str">
        <f>IF(F132="","",CHOOSE(MONTH(F132),"10-JAN","11-FEB","12-MAR","01-APR","02-MAY","03-JUN","04-JUL","05-AUG","06-SEP","07-OCT","08-NOV","09-DEC"))</f>
        <v>03-JUN</v>
      </c>
      <c r="F132" s="76">
        <v>45091</v>
      </c>
      <c r="G132" s="235" t="s">
        <v>285</v>
      </c>
      <c r="H132" s="5" t="s">
        <v>26</v>
      </c>
      <c r="I132" s="29" t="s">
        <v>223</v>
      </c>
      <c r="J132" s="8" t="s">
        <v>95</v>
      </c>
      <c r="K132" s="281" t="s">
        <v>30</v>
      </c>
      <c r="L132" s="78" t="s">
        <v>286</v>
      </c>
      <c r="M132" s="151">
        <f>IF(SUM(V132:BC132)=0,"-",SUM(V132:BC132))</f>
        <v>1</v>
      </c>
      <c r="N132" s="241">
        <f>IF(SUMPRODUCT($V$3:$BC$3,V132:BC132)=0,"-",SUMPRODUCT($V$3:$BC$3,V132:BC132))</f>
        <v>360</v>
      </c>
      <c r="O132" s="272"/>
      <c r="P132" s="279" t="str">
        <f>IF(G132="","",IFERROR(IF(S132="Sent","",IF(I132="Delivered","PO en attente","Projet en cours")),""))</f>
        <v/>
      </c>
      <c r="Q132" s="296">
        <v>4200647984</v>
      </c>
      <c r="R132" s="296" t="s">
        <v>266</v>
      </c>
      <c r="S132" s="260" t="s">
        <v>249</v>
      </c>
      <c r="T132" s="260" t="s">
        <v>1247</v>
      </c>
      <c r="U132" s="348" t="s">
        <v>1248</v>
      </c>
      <c r="AV132" s="8">
        <v>1</v>
      </c>
    </row>
    <row r="133" spans="1:57" hidden="1">
      <c r="A133" s="286" t="s">
        <v>244</v>
      </c>
      <c r="B133" s="286" t="s">
        <v>221</v>
      </c>
      <c r="C133" s="280" t="s">
        <v>3</v>
      </c>
      <c r="D133" s="281" t="str">
        <f>IF(F133="","",CHOOSE(MONTH(F133),"Q4","Q4","Q4","Q1","Q1","Q1","Q2","Q2","Q2","Q3","Q3","Q3"))</f>
        <v>Q1</v>
      </c>
      <c r="E133" s="282" t="str">
        <f>IF(F133="","",CHOOSE(MONTH(F133),"10-JAN","11-FEB","12-MAR","01-APR","02-MAY","03-JUN","04-JUL","05-AUG","06-SEP","07-OCT","08-NOV","09-DEC"))</f>
        <v>03-JUN</v>
      </c>
      <c r="F133" s="76">
        <v>45093</v>
      </c>
      <c r="G133" s="233" t="s">
        <v>709</v>
      </c>
      <c r="H133" s="5" t="s">
        <v>437</v>
      </c>
      <c r="I133" s="29" t="s">
        <v>223</v>
      </c>
      <c r="J133" s="8" t="s">
        <v>95</v>
      </c>
      <c r="K133" s="281" t="s">
        <v>34</v>
      </c>
      <c r="L133" s="78" t="s">
        <v>710</v>
      </c>
      <c r="M133" s="151">
        <f>IF(SUM(V133:BC133)=0,"-",SUM(V133:BC133))</f>
        <v>1</v>
      </c>
      <c r="N133" s="241">
        <f>IF(SUMPRODUCT($V$3:$BC$3,V133:BC133)=0,"-",SUMPRODUCT($V$3:$BC$3,V133:BC133))</f>
        <v>250</v>
      </c>
      <c r="O133" s="271">
        <v>45097</v>
      </c>
      <c r="P133" s="279" t="str">
        <f>IF(G133="","",IFERROR(IF(S133="Sent","",IF(I133="Delivered","PO en attente","Projet en cours")),""))</f>
        <v/>
      </c>
      <c r="Q133" s="211">
        <v>4200646679</v>
      </c>
      <c r="R133" s="211"/>
      <c r="S133" s="252" t="s">
        <v>228</v>
      </c>
      <c r="T133" s="211" t="s">
        <v>1257</v>
      </c>
      <c r="U133" s="253" t="s">
        <v>1258</v>
      </c>
      <c r="AF133" s="8">
        <v>1</v>
      </c>
    </row>
    <row r="134" spans="1:57" hidden="1">
      <c r="A134" s="285" t="s">
        <v>220</v>
      </c>
      <c r="B134" s="285" t="s">
        <v>221</v>
      </c>
      <c r="C134" s="281" t="s">
        <v>3</v>
      </c>
      <c r="D134" s="281" t="str">
        <f>IF(F134="","",CHOOSE(MONTH(F134),"Q4","Q4","Q4","Q1","Q1","Q1","Q2","Q2","Q2","Q3","Q3","Q3"))</f>
        <v>Q1</v>
      </c>
      <c r="E134" s="282" t="str">
        <f>IF(F134="","",CHOOSE(MONTH(F134),"10-JAN","11-FEB","12-MAR","01-APR","02-MAY","03-JUN","04-JUL","05-AUG","06-SEP","07-OCT","08-NOV","09-DEC"))</f>
        <v>03-JUN</v>
      </c>
      <c r="F134" s="76">
        <v>45098</v>
      </c>
      <c r="G134" s="231" t="s">
        <v>711</v>
      </c>
      <c r="H134" s="5" t="s">
        <v>437</v>
      </c>
      <c r="I134" s="29" t="s">
        <v>223</v>
      </c>
      <c r="J134" s="8" t="s">
        <v>95</v>
      </c>
      <c r="K134" s="281" t="s">
        <v>34</v>
      </c>
      <c r="L134" s="78" t="s">
        <v>713</v>
      </c>
      <c r="M134" s="151">
        <f>IF(SUM(V134:BC134)=0,"-",SUM(V134:BC134))</f>
        <v>3</v>
      </c>
      <c r="N134" s="241">
        <f>IF(SUMPRODUCT($V$3:$BC$3,V134:BC134)=0,"-",SUMPRODUCT($V$3:$BC$3,V134:BC134))</f>
        <v>120</v>
      </c>
      <c r="P134" s="279" t="str">
        <f>IF(G134="","",IFERROR(IF(S134="Sent","",IF(I134="Delivered","PO en attente","Projet en cours")),""))</f>
        <v/>
      </c>
      <c r="Q134" s="211">
        <v>4200646678</v>
      </c>
      <c r="R134" s="211"/>
      <c r="S134" s="252" t="s">
        <v>228</v>
      </c>
      <c r="T134" s="211" t="s">
        <v>1259</v>
      </c>
      <c r="U134" s="253" t="s">
        <v>517</v>
      </c>
      <c r="AD134" s="8">
        <v>3</v>
      </c>
    </row>
    <row r="135" spans="1:57" hidden="1">
      <c r="A135" s="286" t="s">
        <v>244</v>
      </c>
      <c r="B135" s="286" t="s">
        <v>221</v>
      </c>
      <c r="C135" s="280" t="s">
        <v>3</v>
      </c>
      <c r="D135" s="281" t="str">
        <f>IF(F135="","",CHOOSE(MONTH(F135),"Q4","Q4","Q4","Q1","Q1","Q1","Q2","Q2","Q2","Q3","Q3","Q3"))</f>
        <v>Q1</v>
      </c>
      <c r="E135" s="282" t="str">
        <f>IF(F135="","",CHOOSE(MONTH(F135),"10-JAN","11-FEB","12-MAR","01-APR","02-MAY","03-JUN","04-JUL","05-AUG","06-SEP","07-OCT","08-NOV","09-DEC"))</f>
        <v>03-JUN</v>
      </c>
      <c r="F135" s="76">
        <v>45099</v>
      </c>
      <c r="G135" s="231" t="s">
        <v>318</v>
      </c>
      <c r="H135" s="5" t="s">
        <v>32</v>
      </c>
      <c r="I135" s="29" t="s">
        <v>223</v>
      </c>
      <c r="J135" s="8" t="s">
        <v>69</v>
      </c>
      <c r="K135" s="281" t="s">
        <v>30</v>
      </c>
      <c r="L135" s="78" t="s">
        <v>319</v>
      </c>
      <c r="M135" s="151">
        <f>IF(SUM(V135:BC135)=0,"-",SUM(V135:BC135))</f>
        <v>1</v>
      </c>
      <c r="N135" s="241">
        <f>IF(SUMPRODUCT($V$3:$BC$3,V135:BC135)=0,"-",SUMPRODUCT($V$3:$BC$3,V135:BC135))</f>
        <v>260</v>
      </c>
      <c r="P135" s="279" t="str">
        <f>IF(G135="","",IFERROR(IF(S135="Sent","",IF(I135="Delivered","PO en attente","Projet en cours")),""))</f>
        <v/>
      </c>
      <c r="Q135" s="211">
        <v>4200647987</v>
      </c>
      <c r="R135" s="211" t="s">
        <v>266</v>
      </c>
      <c r="S135" s="211" t="s">
        <v>249</v>
      </c>
      <c r="T135" s="211" t="s">
        <v>1244</v>
      </c>
      <c r="U135" s="263" t="s">
        <v>1245</v>
      </c>
      <c r="AU135" s="8">
        <v>1</v>
      </c>
    </row>
    <row r="136" spans="1:57" hidden="1">
      <c r="A136" s="286" t="s">
        <v>244</v>
      </c>
      <c r="B136" s="286" t="s">
        <v>221</v>
      </c>
      <c r="C136" s="280" t="s">
        <v>3</v>
      </c>
      <c r="D136" s="281" t="str">
        <f>IF(F136="","",CHOOSE(MONTH(F136),"Q4","Q4","Q4","Q1","Q1","Q1","Q2","Q2","Q2","Q3","Q3","Q3"))</f>
        <v>Q1</v>
      </c>
      <c r="E136" s="282" t="str">
        <f>IF(F136="","",CHOOSE(MONTH(F136),"10-JAN","11-FEB","12-MAR","01-APR","02-MAY","03-JUN","04-JUL","05-AUG","06-SEP","07-OCT","08-NOV","09-DEC"))</f>
        <v>03-JUN</v>
      </c>
      <c r="F136" s="76">
        <v>45103</v>
      </c>
      <c r="G136" s="231" t="s">
        <v>320</v>
      </c>
      <c r="H136" s="5" t="s">
        <v>26</v>
      </c>
      <c r="I136" s="29" t="s">
        <v>223</v>
      </c>
      <c r="J136" s="8" t="s">
        <v>69</v>
      </c>
      <c r="K136" s="281" t="s">
        <v>30</v>
      </c>
      <c r="L136" s="78" t="s">
        <v>321</v>
      </c>
      <c r="M136" s="151">
        <f>IF(SUM(V136:BC136)=0,"-",SUM(V136:BC136))</f>
        <v>2</v>
      </c>
      <c r="N136" s="241">
        <f>IF(SUMPRODUCT($V$3:$BC$3,V136:BC136)=0,"-",SUMPRODUCT($V$3:$BC$3,V136:BC136))</f>
        <v>155</v>
      </c>
      <c r="P136" s="279" t="str">
        <f>IF(G136="","",IFERROR(IF(S136="Sent","",IF(I136="Delivered","PO en attente","Projet en cours")),""))</f>
        <v/>
      </c>
      <c r="Q136" s="211">
        <v>4200647987</v>
      </c>
      <c r="R136" s="211" t="s">
        <v>269</v>
      </c>
      <c r="S136" s="211" t="s">
        <v>249</v>
      </c>
      <c r="T136" s="211" t="s">
        <v>322</v>
      </c>
      <c r="U136" s="263" t="s">
        <v>290</v>
      </c>
      <c r="V136" s="7">
        <v>1</v>
      </c>
      <c r="W136" s="8">
        <v>1</v>
      </c>
    </row>
    <row r="137" spans="1:57" hidden="1">
      <c r="A137" s="286" t="s">
        <v>220</v>
      </c>
      <c r="B137" s="286" t="s">
        <v>221</v>
      </c>
      <c r="C137" s="280" t="s">
        <v>3</v>
      </c>
      <c r="D137" s="281" t="str">
        <f>IF(F137="","",CHOOSE(MONTH(F137),"Q4","Q4","Q4","Q1","Q1","Q1","Q2","Q2","Q2","Q3","Q3","Q3"))</f>
        <v>Q1</v>
      </c>
      <c r="E137" s="282" t="str">
        <f>IF(F137="","",CHOOSE(MONTH(F137),"10-JAN","11-FEB","12-MAR","01-APR","02-MAY","03-JUN","04-JUL","05-AUG","06-SEP","07-OCT","08-NOV","09-DEC"))</f>
        <v>03-JUN</v>
      </c>
      <c r="F137" s="76">
        <v>45103</v>
      </c>
      <c r="G137" s="231" t="s">
        <v>714</v>
      </c>
      <c r="H137" s="5" t="s">
        <v>26</v>
      </c>
      <c r="I137" s="29" t="s">
        <v>481</v>
      </c>
      <c r="J137" s="8" t="s">
        <v>69</v>
      </c>
      <c r="K137" s="281" t="s">
        <v>34</v>
      </c>
      <c r="L137" s="49" t="s">
        <v>481</v>
      </c>
      <c r="M137" s="151">
        <f>IF(SUM(V137:BC137)=0,"-",SUM(V137:BC137))</f>
        <v>1</v>
      </c>
      <c r="N137" s="241">
        <f>IF(SUMPRODUCT($V$3:$BC$3,V137:BC137)=0,"-",SUMPRODUCT($V$3:$BC$3,V137:BC137))</f>
        <v>600</v>
      </c>
      <c r="O137" s="271">
        <v>45097</v>
      </c>
      <c r="P137" s="279" t="str">
        <f>IF(G137="","",IFERROR(IF(S137="Sent","",IF(I137="Delivered","PO en attente","Projet en cours")),""))</f>
        <v/>
      </c>
      <c r="Q137" s="211">
        <v>4200646594</v>
      </c>
      <c r="R137" s="211"/>
      <c r="S137" s="252" t="s">
        <v>228</v>
      </c>
      <c r="T137" s="211" t="s">
        <v>1260</v>
      </c>
      <c r="U137" s="253" t="s">
        <v>1261</v>
      </c>
      <c r="AN137" s="8">
        <v>1</v>
      </c>
    </row>
    <row r="138" spans="1:57" hidden="1">
      <c r="A138" s="286" t="s">
        <v>244</v>
      </c>
      <c r="B138" s="286" t="s">
        <v>221</v>
      </c>
      <c r="C138" s="280" t="s">
        <v>3</v>
      </c>
      <c r="D138" s="281" t="str">
        <f>IF(F138="","",CHOOSE(MONTH(F138),"Q4","Q4","Q4","Q1","Q1","Q1","Q2","Q2","Q2","Q3","Q3","Q3"))</f>
        <v>Q1</v>
      </c>
      <c r="E138" s="282" t="str">
        <f>IF(F138="","",CHOOSE(MONTH(F138),"10-JAN","11-FEB","12-MAR","01-APR","02-MAY","03-JUN","04-JUL","05-AUG","06-SEP","07-OCT","08-NOV","09-DEC"))</f>
        <v>03-JUN</v>
      </c>
      <c r="F138" s="76">
        <v>45103</v>
      </c>
      <c r="G138" s="235" t="s">
        <v>267</v>
      </c>
      <c r="H138" s="5" t="s">
        <v>26</v>
      </c>
      <c r="I138" s="29" t="s">
        <v>223</v>
      </c>
      <c r="J138" s="8" t="s">
        <v>95</v>
      </c>
      <c r="K138" s="281" t="s">
        <v>30</v>
      </c>
      <c r="L138" s="78" t="s">
        <v>268</v>
      </c>
      <c r="M138" s="151">
        <f>IF(SUM(V138:BC138)=0,"-",SUM(V138:BC138))</f>
        <v>3</v>
      </c>
      <c r="N138" s="241">
        <f>IF(SUMPRODUCT($V$3:$BC$3,V138:BC138)=0,"-",SUMPRODUCT($V$3:$BC$3,V138:BC138))</f>
        <v>120</v>
      </c>
      <c r="O138" s="272"/>
      <c r="P138" s="279" t="str">
        <f>IF(G138="","",IFERROR(IF(S138="Sent","",IF(I138="Delivered","PO en attente","Projet en cours")),""))</f>
        <v/>
      </c>
      <c r="Q138" s="296">
        <v>4200647984</v>
      </c>
      <c r="R138" s="296" t="s">
        <v>269</v>
      </c>
      <c r="S138" s="260" t="s">
        <v>249</v>
      </c>
      <c r="T138" s="260" t="s">
        <v>1247</v>
      </c>
      <c r="U138" s="348" t="s">
        <v>1248</v>
      </c>
      <c r="AD138" s="8">
        <v>3</v>
      </c>
    </row>
    <row r="139" spans="1:57" hidden="1">
      <c r="A139" s="286" t="s">
        <v>244</v>
      </c>
      <c r="B139" s="286" t="s">
        <v>221</v>
      </c>
      <c r="C139" s="280" t="s">
        <v>3</v>
      </c>
      <c r="D139" s="281" t="str">
        <f>IF(F139="","",CHOOSE(MONTH(F139),"Q4","Q4","Q4","Q1","Q1","Q1","Q2","Q2","Q2","Q3","Q3","Q3"))</f>
        <v>Q1</v>
      </c>
      <c r="E139" s="282" t="str">
        <f>IF(F139="","",CHOOSE(MONTH(F139),"10-JAN","11-FEB","12-MAR","01-APR","02-MAY","03-JUN","04-JUL","05-AUG","06-SEP","07-OCT","08-NOV","09-DEC"))</f>
        <v>03-JUN</v>
      </c>
      <c r="F139" s="76">
        <v>45104</v>
      </c>
      <c r="G139" s="314" t="s">
        <v>287</v>
      </c>
      <c r="H139" s="5" t="s">
        <v>26</v>
      </c>
      <c r="I139" s="29" t="s">
        <v>223</v>
      </c>
      <c r="J139" s="8" t="s">
        <v>95</v>
      </c>
      <c r="K139" s="281" t="s">
        <v>30</v>
      </c>
      <c r="L139" s="78" t="s">
        <v>1262</v>
      </c>
      <c r="M139" s="151">
        <f>IF(SUM(V139:BC139)=0,"-",SUM(V139:BC139))</f>
        <v>1</v>
      </c>
      <c r="N139" s="241">
        <f>IF(SUMPRODUCT($V$3:$BC$3,V139:BC139)=0,"-",SUMPRODUCT($V$3:$BC$3,V139:BC139))</f>
        <v>35</v>
      </c>
      <c r="P139" s="279" t="str">
        <f>IF(G139="","",IFERROR(IF(S139="Sent","",IF(I139="Delivered","PO en attente","Projet en cours")),""))</f>
        <v/>
      </c>
      <c r="Q139" s="211">
        <v>4200647984</v>
      </c>
      <c r="R139" s="211" t="s">
        <v>269</v>
      </c>
      <c r="S139" s="211" t="s">
        <v>249</v>
      </c>
      <c r="T139" s="211" t="s">
        <v>289</v>
      </c>
      <c r="U139" s="263" t="s">
        <v>290</v>
      </c>
      <c r="W139" s="8">
        <v>1</v>
      </c>
    </row>
    <row r="140" spans="1:57" hidden="1">
      <c r="A140" s="286" t="s">
        <v>220</v>
      </c>
      <c r="B140" s="286" t="s">
        <v>221</v>
      </c>
      <c r="C140" s="280" t="s">
        <v>3</v>
      </c>
      <c r="D140" s="281" t="str">
        <f>IF(F140="","",CHOOSE(MONTH(F140),"Q4","Q4","Q4","Q1","Q1","Q1","Q2","Q2","Q2","Q3","Q3","Q3"))</f>
        <v>Q1</v>
      </c>
      <c r="E140" s="282" t="str">
        <f>IF(F140="","",CHOOSE(MONTH(F140),"10-JAN","11-FEB","12-MAR","01-APR","02-MAY","03-JUN","04-JUL","05-AUG","06-SEP","07-OCT","08-NOV","09-DEC"))</f>
        <v>03-JUN</v>
      </c>
      <c r="F140" s="76">
        <v>45104</v>
      </c>
      <c r="G140" s="231" t="s">
        <v>716</v>
      </c>
      <c r="H140" s="5" t="s">
        <v>437</v>
      </c>
      <c r="I140" s="29" t="s">
        <v>223</v>
      </c>
      <c r="J140" s="8" t="s">
        <v>95</v>
      </c>
      <c r="K140" s="281" t="s">
        <v>34</v>
      </c>
      <c r="L140" s="78" t="s">
        <v>717</v>
      </c>
      <c r="M140" s="151">
        <f>IF(SUM(V140:BC140)=0,"-",SUM(V140:BC140))</f>
        <v>1</v>
      </c>
      <c r="N140" s="241">
        <f>IF(SUMPRODUCT($V$3:$BC$3,V140:BC140)=0,"-",SUMPRODUCT($V$3:$BC$3,V140:BC140))</f>
        <v>180</v>
      </c>
      <c r="P140" s="279" t="str">
        <f>IF(G140="","",IFERROR(IF(S140="Sent","",IF(I140="Delivered","PO en attente","Projet en cours")),""))</f>
        <v/>
      </c>
      <c r="Q140" s="211">
        <v>4200646852</v>
      </c>
      <c r="R140" s="211"/>
      <c r="S140" s="252" t="s">
        <v>228</v>
      </c>
      <c r="T140" s="211" t="s">
        <v>1263</v>
      </c>
      <c r="U140" s="253" t="s">
        <v>1255</v>
      </c>
      <c r="AE140" s="8">
        <v>1</v>
      </c>
    </row>
    <row r="141" spans="1:57" hidden="1">
      <c r="A141" s="286" t="s">
        <v>220</v>
      </c>
      <c r="B141" s="286" t="s">
        <v>221</v>
      </c>
      <c r="C141" s="280" t="s">
        <v>3</v>
      </c>
      <c r="D141" s="281" t="str">
        <f>IF(F141="","",CHOOSE(MONTH(F141),"Q4","Q4","Q4","Q1","Q1","Q1","Q2","Q2","Q2","Q3","Q3","Q3"))</f>
        <v>Q1</v>
      </c>
      <c r="E141" s="282" t="str">
        <f>IF(F141="","",CHOOSE(MONTH(F141),"10-JAN","11-FEB","12-MAR","01-APR","02-MAY","03-JUN","04-JUL","05-AUG","06-SEP","07-OCT","08-NOV","09-DEC"))</f>
        <v>03-JUN</v>
      </c>
      <c r="F141" s="76">
        <v>45104</v>
      </c>
      <c r="G141" s="231" t="s">
        <v>715</v>
      </c>
      <c r="H141" s="5" t="s">
        <v>437</v>
      </c>
      <c r="I141" s="29" t="s">
        <v>223</v>
      </c>
      <c r="J141" s="8" t="s">
        <v>93</v>
      </c>
      <c r="K141" s="281" t="s">
        <v>34</v>
      </c>
      <c r="M141" s="151" t="str">
        <f>IF(SUM(V141:BC141)=0,"-",SUM(V141:BC141))</f>
        <v>-</v>
      </c>
      <c r="N141" s="241" t="str">
        <f>IF(SUMPRODUCT($V$3:$BC$3,V141:BC141)=0,"-",SUMPRODUCT($V$3:$BC$3,V141:BC141))</f>
        <v>-</v>
      </c>
      <c r="P141" s="279" t="str">
        <f>IF(G141="","",IFERROR(IF(S141="Sent","",IF(I141="Delivered","PO en attente","Projet en cours")),""))</f>
        <v/>
      </c>
      <c r="Q141" s="211">
        <v>4200646652</v>
      </c>
      <c r="R141" s="211"/>
      <c r="S141" s="252" t="s">
        <v>228</v>
      </c>
      <c r="T141" s="211" t="s">
        <v>1263</v>
      </c>
      <c r="U141" s="253" t="s">
        <v>517</v>
      </c>
    </row>
    <row r="142" spans="1:57" hidden="1">
      <c r="A142" s="286" t="s">
        <v>244</v>
      </c>
      <c r="B142" s="286" t="s">
        <v>221</v>
      </c>
      <c r="C142" s="280" t="s">
        <v>3</v>
      </c>
      <c r="D142" s="281" t="str">
        <f>IF(F142="","",CHOOSE(MONTH(F142),"Q4","Q4","Q4","Q1","Q1","Q1","Q2","Q2","Q2","Q3","Q3","Q3"))</f>
        <v>Q1</v>
      </c>
      <c r="E142" s="282" t="str">
        <f>IF(F142="","",CHOOSE(MONTH(F142),"10-JAN","11-FEB","12-MAR","01-APR","02-MAY","03-JUN","04-JUL","05-AUG","06-SEP","07-OCT","08-NOV","09-DEC"))</f>
        <v>03-JUN</v>
      </c>
      <c r="F142" s="76">
        <v>45105</v>
      </c>
      <c r="G142" s="231" t="s">
        <v>732</v>
      </c>
      <c r="H142" s="5" t="s">
        <v>437</v>
      </c>
      <c r="I142" s="29" t="s">
        <v>223</v>
      </c>
      <c r="J142" s="8" t="s">
        <v>93</v>
      </c>
      <c r="K142" s="281" t="s">
        <v>34</v>
      </c>
      <c r="L142" s="78" t="s">
        <v>733</v>
      </c>
      <c r="M142" s="151">
        <f>IF(SUM(V142:BC142)=0,"-",SUM(V142:BC142))</f>
        <v>10</v>
      </c>
      <c r="N142" s="241">
        <f>IF(SUMPRODUCT($V$3:$BC$3,V142:BC142)=0,"-",SUMPRODUCT($V$3:$BC$3,V142:BC142))</f>
        <v>660</v>
      </c>
      <c r="O142" s="271" t="s">
        <v>734</v>
      </c>
      <c r="P142" s="279" t="str">
        <f>IF(G142="","",IFERROR(IF(S142="Sent","",IF(I142="Delivered","PO en attente","Projet en cours")),""))</f>
        <v/>
      </c>
      <c r="Q142" s="258">
        <v>4200662194</v>
      </c>
      <c r="R142" s="258"/>
      <c r="S142" s="260" t="s">
        <v>249</v>
      </c>
      <c r="T142" s="260" t="s">
        <v>1264</v>
      </c>
      <c r="U142" s="372" t="s">
        <v>1265</v>
      </c>
      <c r="V142" s="7">
        <v>1</v>
      </c>
      <c r="W142" s="8">
        <v>6</v>
      </c>
      <c r="AD142" s="8">
        <v>2</v>
      </c>
      <c r="AF142" s="8">
        <v>1</v>
      </c>
    </row>
    <row r="143" spans="1:57" hidden="1">
      <c r="A143" s="286" t="s">
        <v>244</v>
      </c>
      <c r="B143" s="286" t="s">
        <v>221</v>
      </c>
      <c r="C143" s="280" t="s">
        <v>3</v>
      </c>
      <c r="D143" s="281" t="str">
        <f>IF(F143="","",CHOOSE(MONTH(F143),"Q4","Q4","Q4","Q1","Q1","Q1","Q2","Q2","Q2","Q3","Q3","Q3"))</f>
        <v>Q1</v>
      </c>
      <c r="E143" s="282" t="str">
        <f>IF(F143="","",CHOOSE(MONTH(F143),"10-JAN","11-FEB","12-MAR","01-APR","02-MAY","03-JUN","04-JUL","05-AUG","06-SEP","07-OCT","08-NOV","09-DEC"))</f>
        <v>03-JUN</v>
      </c>
      <c r="F143" s="76">
        <v>45106</v>
      </c>
      <c r="G143" s="231" t="s">
        <v>735</v>
      </c>
      <c r="H143" s="5" t="s">
        <v>27</v>
      </c>
      <c r="I143" s="29" t="s">
        <v>223</v>
      </c>
      <c r="J143" s="8" t="s">
        <v>130</v>
      </c>
      <c r="K143" s="281" t="s">
        <v>34</v>
      </c>
      <c r="L143" s="78" t="s">
        <v>736</v>
      </c>
      <c r="M143" s="151">
        <f>IF(SUM(V143:BC143)=0,"-",SUM(V143:BC143))</f>
        <v>3</v>
      </c>
      <c r="N143" s="241">
        <f>IF(SUMPRODUCT($V$3:$BC$3,V143:BC143)=0,"-",SUMPRODUCT($V$3:$BC$3,V143:BC143))</f>
        <v>215</v>
      </c>
      <c r="O143" s="266" t="s">
        <v>737</v>
      </c>
      <c r="P143" s="269" t="str">
        <f>IF(G143="","",IFERROR(IF(S143="Sent","",IF(I143="Delivered","PO en attente","Projet en cours")),""))</f>
        <v/>
      </c>
      <c r="Q143" s="256">
        <v>4200639284</v>
      </c>
      <c r="R143" s="256" t="s">
        <v>1266</v>
      </c>
      <c r="S143" s="256" t="s">
        <v>228</v>
      </c>
      <c r="T143" s="256" t="s">
        <v>641</v>
      </c>
      <c r="U143" s="257" t="s">
        <v>481</v>
      </c>
      <c r="AC143" s="7">
        <v>1</v>
      </c>
      <c r="AD143" s="8">
        <v>2</v>
      </c>
    </row>
    <row r="144" spans="1:57" hidden="1">
      <c r="A144" s="286" t="s">
        <v>244</v>
      </c>
      <c r="B144" s="286" t="s">
        <v>221</v>
      </c>
      <c r="C144" s="280" t="s">
        <v>3</v>
      </c>
      <c r="D144" s="281" t="str">
        <f>IF(F144="","",CHOOSE(MONTH(F144),"Q4","Q4","Q4","Q1","Q1","Q1","Q2","Q2","Q2","Q3","Q3","Q3"))</f>
        <v>Q1</v>
      </c>
      <c r="E144" s="282" t="str">
        <f>IF(F144="","",CHOOSE(MONTH(F144),"10-JAN","11-FEB","12-MAR","01-APR","02-MAY","03-JUN","04-JUL","05-AUG","06-SEP","07-OCT","08-NOV","09-DEC"))</f>
        <v>03-JUN</v>
      </c>
      <c r="F144" s="76">
        <v>45106</v>
      </c>
      <c r="G144" s="233" t="s">
        <v>724</v>
      </c>
      <c r="H144" s="5" t="s">
        <v>36</v>
      </c>
      <c r="I144" s="29" t="s">
        <v>223</v>
      </c>
      <c r="J144" s="8" t="s">
        <v>69</v>
      </c>
      <c r="K144" s="281" t="s">
        <v>34</v>
      </c>
      <c r="L144" s="78" t="s">
        <v>725</v>
      </c>
      <c r="M144" s="151">
        <f>IF(SUM(V144:BC144)=0,"-",SUM(V144:BC144))</f>
        <v>15</v>
      </c>
      <c r="N144" s="241">
        <f>IF(SUMPRODUCT($V$3:$BC$3,V144:BC144)=0,"-",SUMPRODUCT($V$3:$BC$3,V144:BC144))</f>
        <v>610</v>
      </c>
      <c r="O144" s="272" t="s">
        <v>726</v>
      </c>
      <c r="P144" s="279" t="str">
        <f>IF(G144="","",IFERROR(IF(S144="Sent","",IF(I144="Delivered","PO en attente","Projet en cours")),""))</f>
        <v/>
      </c>
      <c r="Q144" s="258">
        <v>4200650334</v>
      </c>
      <c r="R144" s="258"/>
      <c r="S144" s="211" t="s">
        <v>228</v>
      </c>
      <c r="T144" s="211" t="s">
        <v>1267</v>
      </c>
      <c r="U144" s="253" t="s">
        <v>731</v>
      </c>
      <c r="V144" s="7">
        <v>1</v>
      </c>
      <c r="W144" s="8">
        <v>14</v>
      </c>
      <c r="BD144" s="7"/>
      <c r="BE144" s="8"/>
    </row>
    <row r="145" spans="1:57" hidden="1">
      <c r="A145" s="286" t="s">
        <v>220</v>
      </c>
      <c r="B145" s="286" t="s">
        <v>221</v>
      </c>
      <c r="C145" s="280" t="s">
        <v>3</v>
      </c>
      <c r="D145" s="281" t="str">
        <f>IF(F145="","",CHOOSE(MONTH(F145),"Q4","Q4","Q4","Q1","Q1","Q1","Q2","Q2","Q2","Q3","Q3","Q3"))</f>
        <v>Q1</v>
      </c>
      <c r="E145" s="282" t="str">
        <f>IF(F145="","",CHOOSE(MONTH(F145),"10-JAN","11-FEB","12-MAR","01-APR","02-MAY","03-JUN","04-JUL","05-AUG","06-SEP","07-OCT","08-NOV","09-DEC"))</f>
        <v>03-JUN</v>
      </c>
      <c r="F145" s="76">
        <v>45106</v>
      </c>
      <c r="G145" s="231" t="s">
        <v>727</v>
      </c>
      <c r="H145" s="5" t="s">
        <v>36</v>
      </c>
      <c r="I145" s="29" t="s">
        <v>223</v>
      </c>
      <c r="J145" s="8" t="s">
        <v>69</v>
      </c>
      <c r="K145" s="281" t="s">
        <v>34</v>
      </c>
      <c r="L145" s="78" t="s">
        <v>728</v>
      </c>
      <c r="M145" s="151">
        <f>IF(SUM(V145:BC145)=0,"-",SUM(V145:BC145))</f>
        <v>6</v>
      </c>
      <c r="N145" s="241">
        <f>IF(SUMPRODUCT($V$3:$BC$3,V145:BC145)=0,"-",SUMPRODUCT($V$3:$BC$3,V145:BC145))</f>
        <v>400</v>
      </c>
      <c r="O145" s="272" t="s">
        <v>729</v>
      </c>
      <c r="P145" s="279" t="str">
        <f>IF(G145="","",IFERROR(IF(S145="Sent","",IF(I145="Delivered","PO en attente","Projet en cours")),""))</f>
        <v/>
      </c>
      <c r="Q145" s="258">
        <v>4200650334</v>
      </c>
      <c r="R145" s="258"/>
      <c r="S145" s="211" t="s">
        <v>228</v>
      </c>
      <c r="T145" s="211" t="s">
        <v>1267</v>
      </c>
      <c r="U145" s="253" t="s">
        <v>731</v>
      </c>
      <c r="V145" s="7">
        <v>1</v>
      </c>
      <c r="W145" s="8">
        <v>3</v>
      </c>
      <c r="AC145" s="7">
        <v>1</v>
      </c>
      <c r="AD145" s="8">
        <v>1</v>
      </c>
      <c r="BD145" s="7"/>
      <c r="BE145" s="8"/>
    </row>
    <row r="146" spans="1:57" hidden="1">
      <c r="A146" s="286" t="s">
        <v>244</v>
      </c>
      <c r="B146" s="286" t="s">
        <v>221</v>
      </c>
      <c r="C146" s="280" t="s">
        <v>3</v>
      </c>
      <c r="D146" s="281" t="str">
        <f>IF(F146="","",CHOOSE(MONTH(F146),"Q4","Q4","Q4","Q1","Q1","Q1","Q2","Q2","Q2","Q3","Q3","Q3"))</f>
        <v>Q1</v>
      </c>
      <c r="E146" s="282" t="str">
        <f>IF(F146="","",CHOOSE(MONTH(F146),"10-JAN","11-FEB","12-MAR","01-APR","02-MAY","03-JUN","04-JUL","05-AUG","06-SEP","07-OCT","08-NOV","09-DEC"))</f>
        <v>03-JUN</v>
      </c>
      <c r="F146" s="76">
        <v>45106</v>
      </c>
      <c r="G146" s="231" t="s">
        <v>739</v>
      </c>
      <c r="H146" s="5" t="s">
        <v>437</v>
      </c>
      <c r="I146" s="29" t="s">
        <v>223</v>
      </c>
      <c r="J146" s="8" t="s">
        <v>129</v>
      </c>
      <c r="K146" s="281" t="s">
        <v>34</v>
      </c>
      <c r="M146" s="151" t="str">
        <f>IF(SUM(V146:BC146)=0,"-",SUM(V146:BC146))</f>
        <v>-</v>
      </c>
      <c r="N146" s="241">
        <v>250</v>
      </c>
      <c r="O146" s="272" t="s">
        <v>740</v>
      </c>
      <c r="P146" s="279" t="str">
        <f>IF(G146="","",IFERROR(IF(S146="Sent","",IF(I146="Delivered","PO en attente","Projet en cours")),""))</f>
        <v/>
      </c>
      <c r="Q146" s="211">
        <v>4200646848</v>
      </c>
      <c r="R146" s="211"/>
      <c r="S146" s="252" t="s">
        <v>228</v>
      </c>
      <c r="T146" s="211" t="s">
        <v>1268</v>
      </c>
      <c r="U146" s="253" t="s">
        <v>517</v>
      </c>
    </row>
    <row r="147" spans="1:57" hidden="1">
      <c r="A147" s="286" t="s">
        <v>220</v>
      </c>
      <c r="B147" s="286" t="s">
        <v>221</v>
      </c>
      <c r="C147" s="280" t="s">
        <v>3</v>
      </c>
      <c r="D147" s="281" t="str">
        <f>IF(F147="","",CHOOSE(MONTH(F147),"Q4","Q4","Q4","Q1","Q1","Q1","Q2","Q2","Q2","Q3","Q3","Q3"))</f>
        <v>Q1</v>
      </c>
      <c r="E147" s="282" t="str">
        <f>IF(F147="","",CHOOSE(MONTH(F147),"10-JAN","11-FEB","12-MAR","01-APR","02-MAY","03-JUN","04-JUL","05-AUG","06-SEP","07-OCT","08-NOV","09-DEC"))</f>
        <v>03-JUN</v>
      </c>
      <c r="F147" s="76">
        <v>45106</v>
      </c>
      <c r="G147" s="233" t="s">
        <v>718</v>
      </c>
      <c r="H147" s="5" t="s">
        <v>27</v>
      </c>
      <c r="I147" s="29" t="s">
        <v>223</v>
      </c>
      <c r="J147" s="8" t="s">
        <v>130</v>
      </c>
      <c r="K147" s="281" t="s">
        <v>34</v>
      </c>
      <c r="L147" s="78" t="s">
        <v>719</v>
      </c>
      <c r="M147" s="151">
        <f>IF(SUM(V147:BC147)=0,"-",SUM(V147:BC147))</f>
        <v>1</v>
      </c>
      <c r="N147" s="241">
        <f>IF(SUMPRODUCT($V$3:$BC$3,V147:BC147)=0,"-",SUMPRODUCT($V$3:$BC$3,V147:BC147))</f>
        <v>35</v>
      </c>
      <c r="O147" s="272" t="s">
        <v>720</v>
      </c>
      <c r="P147" s="269" t="str">
        <f>IF(G147="","",IFERROR(IF(S147="Sent","",IF(I147="Delivered","PO en attente","Projet en cours")),""))</f>
        <v/>
      </c>
      <c r="Q147" s="258">
        <v>4200657361</v>
      </c>
      <c r="R147" s="258"/>
      <c r="S147" s="211" t="s">
        <v>249</v>
      </c>
      <c r="T147" s="211" t="s">
        <v>684</v>
      </c>
      <c r="U147" s="249" t="s">
        <v>1246</v>
      </c>
      <c r="W147" s="8">
        <v>1</v>
      </c>
      <c r="AZ147" s="8"/>
      <c r="BA147" s="7"/>
      <c r="BB147" s="8"/>
      <c r="BC147" s="7"/>
      <c r="BD147" s="5"/>
      <c r="BE147" s="9"/>
    </row>
    <row r="148" spans="1:57" hidden="1">
      <c r="A148" s="286" t="s">
        <v>244</v>
      </c>
      <c r="B148" s="286" t="s">
        <v>221</v>
      </c>
      <c r="C148" s="280" t="s">
        <v>3</v>
      </c>
      <c r="D148" s="281" t="str">
        <f>IF(F148="","",CHOOSE(MONTH(F148),"Q4","Q4","Q4","Q1","Q1","Q1","Q2","Q2","Q2","Q3","Q3","Q3"))</f>
        <v>Q1</v>
      </c>
      <c r="E148" s="282" t="str">
        <f>IF(F148="","",CHOOSE(MONTH(F148),"10-JAN","11-FEB","12-MAR","01-APR","02-MAY","03-JUN","04-JUL","05-AUG","06-SEP","07-OCT","08-NOV","09-DEC"))</f>
        <v>03-JUN</v>
      </c>
      <c r="F148" s="76">
        <v>45106</v>
      </c>
      <c r="G148" s="231" t="s">
        <v>721</v>
      </c>
      <c r="H148" s="5" t="s">
        <v>27</v>
      </c>
      <c r="I148" s="29" t="s">
        <v>223</v>
      </c>
      <c r="J148" s="8" t="s">
        <v>130</v>
      </c>
      <c r="K148" s="281" t="s">
        <v>34</v>
      </c>
      <c r="L148" s="78" t="s">
        <v>722</v>
      </c>
      <c r="M148" s="151">
        <f>IF(SUM(V148:BC148)=0,"-",SUM(V148:BC148))</f>
        <v>1</v>
      </c>
      <c r="N148" s="241">
        <f>IF(SUMPRODUCT($V$3:$BC$3,V148:BC148)=0,"-",SUMPRODUCT($V$3:$BC$3,V148:BC148))</f>
        <v>40</v>
      </c>
      <c r="O148" s="272" t="s">
        <v>723</v>
      </c>
      <c r="P148" s="269" t="str">
        <f>IF(G148="","",IFERROR(IF(S148="Sent","",IF(I148="Delivered","PO en attente","Projet en cours")),""))</f>
        <v/>
      </c>
      <c r="Q148" s="258">
        <v>4200657361</v>
      </c>
      <c r="R148" s="258"/>
      <c r="S148" s="211" t="s">
        <v>249</v>
      </c>
      <c r="T148" s="211" t="s">
        <v>684</v>
      </c>
      <c r="U148" s="249" t="s">
        <v>1246</v>
      </c>
      <c r="AD148" s="8">
        <v>1</v>
      </c>
      <c r="BD148" s="7"/>
    </row>
    <row r="149" spans="1:57" ht="17.25" hidden="1" customHeight="1">
      <c r="A149" s="286" t="s">
        <v>244</v>
      </c>
      <c r="B149" s="286" t="s">
        <v>221</v>
      </c>
      <c r="C149" s="280" t="s">
        <v>3</v>
      </c>
      <c r="D149" s="281" t="str">
        <f>IF(F149="","",CHOOSE(MONTH(F149),"Q4","Q4","Q4","Q1","Q1","Q1","Q2","Q2","Q2","Q3","Q3","Q3"))</f>
        <v>Q2</v>
      </c>
      <c r="E149" s="282" t="str">
        <f>IF(F149="","",CHOOSE(MONTH(F149),"10-JAN","11-FEB","12-MAR","01-APR","02-MAY","03-JUN","04-JUL","05-AUG","06-SEP","07-OCT","08-NOV","09-DEC"))</f>
        <v>04-JUL</v>
      </c>
      <c r="F149" s="76">
        <v>45110</v>
      </c>
      <c r="G149" s="231" t="s">
        <v>323</v>
      </c>
      <c r="H149" s="5" t="s">
        <v>26</v>
      </c>
      <c r="I149" s="29" t="s">
        <v>223</v>
      </c>
      <c r="J149" s="8" t="s">
        <v>69</v>
      </c>
      <c r="K149" s="281" t="s">
        <v>30</v>
      </c>
      <c r="L149" s="78" t="s">
        <v>324</v>
      </c>
      <c r="M149" s="151">
        <f>IF(SUM(V149:BC149)=0,"-",SUM(V149:BC149))</f>
        <v>2</v>
      </c>
      <c r="N149" s="241">
        <f>IF(SUMPRODUCT($V$3:$BC$3,V149:BC149)=0,"-",SUMPRODUCT($V$3:$BC$3,V149:BC149))</f>
        <v>155</v>
      </c>
      <c r="P149" s="279" t="str">
        <f>IF(G149="","",IFERROR(IF(S149="Sent","",IF(I149="Delivered","PO en attente","Projet en cours")),""))</f>
        <v/>
      </c>
      <c r="Q149" s="211">
        <v>4200647987</v>
      </c>
      <c r="R149" s="211" t="s">
        <v>269</v>
      </c>
      <c r="S149" s="211" t="s">
        <v>249</v>
      </c>
      <c r="T149" s="211" t="s">
        <v>322</v>
      </c>
      <c r="U149" s="263" t="s">
        <v>290</v>
      </c>
      <c r="V149" s="7">
        <v>1</v>
      </c>
      <c r="W149" s="8">
        <v>1</v>
      </c>
    </row>
    <row r="150" spans="1:57" hidden="1">
      <c r="A150" s="286" t="s">
        <v>244</v>
      </c>
      <c r="B150" s="286" t="s">
        <v>221</v>
      </c>
      <c r="C150" s="280" t="s">
        <v>3</v>
      </c>
      <c r="D150" s="281" t="str">
        <f>IF(F150="","",CHOOSE(MONTH(F150),"Q4","Q4","Q4","Q1","Q1","Q1","Q2","Q2","Q2","Q3","Q3","Q3"))</f>
        <v>Q2</v>
      </c>
      <c r="E150" s="282" t="str">
        <f>IF(F150="","",CHOOSE(MONTH(F150),"10-JAN","11-FEB","12-MAR","01-APR","02-MAY","03-JUN","04-JUL","05-AUG","06-SEP","07-OCT","08-NOV","09-DEC"))</f>
        <v>04-JUL</v>
      </c>
      <c r="F150" s="76">
        <v>45110</v>
      </c>
      <c r="G150" s="231" t="s">
        <v>795</v>
      </c>
      <c r="H150" s="5" t="s">
        <v>437</v>
      </c>
      <c r="I150" s="29" t="s">
        <v>223</v>
      </c>
      <c r="J150" s="8" t="s">
        <v>93</v>
      </c>
      <c r="K150" s="281" t="s">
        <v>34</v>
      </c>
      <c r="L150" s="124" t="s">
        <v>796</v>
      </c>
      <c r="M150" s="151">
        <f>IF(SUM(V150:BC150)=0,"-",SUM(V150:BC150))</f>
        <v>10</v>
      </c>
      <c r="N150" s="241">
        <f>IF(SUMPRODUCT($V$3:$BC$3,V150:BC150)=0,"-",SUMPRODUCT($V$3:$BC$3,V150:BC150))</f>
        <v>755</v>
      </c>
      <c r="O150" s="266" t="s">
        <v>797</v>
      </c>
      <c r="P150" s="279" t="str">
        <f>IF(G150="","",IFERROR(IF(S150="Sent","",IF(I150="Delivered","PO en attente","Projet en cours")),""))</f>
        <v/>
      </c>
      <c r="Q150" s="211">
        <v>4200650327</v>
      </c>
      <c r="R150" s="211"/>
      <c r="S150" s="247" t="s">
        <v>249</v>
      </c>
      <c r="T150" s="211" t="s">
        <v>1269</v>
      </c>
      <c r="U150" s="253" t="s">
        <v>799</v>
      </c>
      <c r="V150" s="7">
        <v>1</v>
      </c>
      <c r="W150" s="8">
        <v>6</v>
      </c>
      <c r="AC150" s="7">
        <v>1</v>
      </c>
      <c r="AD150" s="8">
        <v>1</v>
      </c>
      <c r="AF150" s="8">
        <v>1</v>
      </c>
    </row>
    <row r="151" spans="1:57" hidden="1">
      <c r="A151" s="286" t="s">
        <v>244</v>
      </c>
      <c r="B151" s="286" t="s">
        <v>221</v>
      </c>
      <c r="C151" s="280" t="s">
        <v>3</v>
      </c>
      <c r="D151" s="281" t="str">
        <f>IF(F151="","",CHOOSE(MONTH(F151),"Q4","Q4","Q4","Q1","Q1","Q1","Q2","Q2","Q2","Q3","Q3","Q3"))</f>
        <v>Q2</v>
      </c>
      <c r="E151" s="282" t="str">
        <f>IF(F151="","",CHOOSE(MONTH(F151),"10-JAN","11-FEB","12-MAR","01-APR","02-MAY","03-JUN","04-JUL","05-AUG","06-SEP","07-OCT","08-NOV","09-DEC"))</f>
        <v>04-JUL</v>
      </c>
      <c r="F151" s="76">
        <v>45110</v>
      </c>
      <c r="G151" s="234" t="s">
        <v>329</v>
      </c>
      <c r="H151" s="5" t="s">
        <v>26</v>
      </c>
      <c r="I151" s="29" t="s">
        <v>223</v>
      </c>
      <c r="J151" s="8" t="s">
        <v>130</v>
      </c>
      <c r="K151" s="281" t="s">
        <v>30</v>
      </c>
      <c r="L151" s="78" t="s">
        <v>330</v>
      </c>
      <c r="M151" s="151">
        <f>IF(SUM(V151:BC151)=0,"-",SUM(V151:BC151))</f>
        <v>5</v>
      </c>
      <c r="N151" s="241">
        <f>IF(SUMPRODUCT($V$3:$BC$3,V151:BC151)=0,"-",SUMPRODUCT($V$3:$BC$3,V151:BC151))</f>
        <v>260</v>
      </c>
      <c r="P151" s="279" t="str">
        <f>IF(G151="","",IFERROR(IF(S151="Sent","",IF(I151="Delivered","PO en attente","Projet en cours")),""))</f>
        <v/>
      </c>
      <c r="Q151" s="211">
        <v>4200648002</v>
      </c>
      <c r="R151" s="211" t="s">
        <v>266</v>
      </c>
      <c r="S151" s="211" t="s">
        <v>249</v>
      </c>
      <c r="T151" s="211" t="s">
        <v>1256</v>
      </c>
      <c r="U151" s="263" t="s">
        <v>1245</v>
      </c>
      <c r="V151" s="7">
        <v>1</v>
      </c>
      <c r="W151" s="8">
        <v>4</v>
      </c>
    </row>
    <row r="152" spans="1:57" hidden="1">
      <c r="A152" s="286" t="s">
        <v>244</v>
      </c>
      <c r="B152" s="286" t="s">
        <v>221</v>
      </c>
      <c r="C152" s="280" t="s">
        <v>3</v>
      </c>
      <c r="D152" s="281" t="str">
        <f>IF(F152="","",CHOOSE(MONTH(F152),"Q4","Q4","Q4","Q1","Q1","Q1","Q2","Q2","Q2","Q3","Q3","Q3"))</f>
        <v>Q2</v>
      </c>
      <c r="E152" s="282" t="str">
        <f>IF(F152="","",CHOOSE(MONTH(F152),"10-JAN","11-FEB","12-MAR","01-APR","02-MAY","03-JUN","04-JUL","05-AUG","06-SEP","07-OCT","08-NOV","09-DEC"))</f>
        <v>04-JUL</v>
      </c>
      <c r="F152" s="76">
        <v>45111</v>
      </c>
      <c r="G152" s="231" t="s">
        <v>325</v>
      </c>
      <c r="H152" s="5" t="s">
        <v>26</v>
      </c>
      <c r="I152" s="29" t="s">
        <v>223</v>
      </c>
      <c r="J152" s="8" t="s">
        <v>69</v>
      </c>
      <c r="K152" s="281" t="s">
        <v>30</v>
      </c>
      <c r="L152" s="78" t="s">
        <v>326</v>
      </c>
      <c r="M152" s="151">
        <f>IF(SUM(V152:BC152)=0,"-",SUM(V152:BC152))</f>
        <v>2</v>
      </c>
      <c r="N152" s="241">
        <f>IF(SUMPRODUCT($V$3:$BC$3,V152:BC152)=0,"-",SUMPRODUCT($V$3:$BC$3,V152:BC152))</f>
        <v>155</v>
      </c>
      <c r="P152" s="279" t="str">
        <f>IF(G152="","",IFERROR(IF(S152="Sent","",IF(I152="Delivered","PO en attente","Projet en cours")),""))</f>
        <v/>
      </c>
      <c r="Q152" s="211">
        <v>4200647987</v>
      </c>
      <c r="R152" s="211" t="s">
        <v>269</v>
      </c>
      <c r="S152" s="211" t="s">
        <v>249</v>
      </c>
      <c r="T152" s="211" t="s">
        <v>322</v>
      </c>
      <c r="U152" s="263" t="s">
        <v>290</v>
      </c>
      <c r="V152" s="7">
        <v>1</v>
      </c>
      <c r="W152" s="8">
        <v>1</v>
      </c>
    </row>
    <row r="153" spans="1:57" hidden="1">
      <c r="A153" s="286" t="s">
        <v>244</v>
      </c>
      <c r="B153" s="286" t="s">
        <v>221</v>
      </c>
      <c r="C153" s="280" t="s">
        <v>3</v>
      </c>
      <c r="D153" s="281" t="str">
        <f>IF(F153="","",CHOOSE(MONTH(F153),"Q4","Q4","Q4","Q1","Q1","Q1","Q2","Q2","Q2","Q3","Q3","Q3"))</f>
        <v>Q2</v>
      </c>
      <c r="E153" s="282" t="str">
        <f>IF(F153="","",CHOOSE(MONTH(F153),"10-JAN","11-FEB","12-MAR","01-APR","02-MAY","03-JUN","04-JUL","05-AUG","06-SEP","07-OCT","08-NOV","09-DEC"))</f>
        <v>04-JUL</v>
      </c>
      <c r="F153" s="76">
        <v>45117</v>
      </c>
      <c r="G153" s="233" t="s">
        <v>331</v>
      </c>
      <c r="H153" s="5" t="s">
        <v>230</v>
      </c>
      <c r="I153" s="29" t="s">
        <v>223</v>
      </c>
      <c r="J153" s="8" t="s">
        <v>130</v>
      </c>
      <c r="K153" s="281" t="s">
        <v>30</v>
      </c>
      <c r="L153" s="78" t="s">
        <v>332</v>
      </c>
      <c r="M153" s="151">
        <f>IF(SUM(V153:BC153)=0,"-",SUM(V153:BC153))</f>
        <v>9</v>
      </c>
      <c r="N153" s="241">
        <f>IF(SUMPRODUCT($V$3:$BC$3,V153:BC153)=0,"-",SUMPRODUCT($V$3:$BC$3,V153:BC153))</f>
        <v>315</v>
      </c>
      <c r="P153" s="279" t="str">
        <f>IF(G153="","",IFERROR(IF(S153="Sent","",IF(I153="Delivered","PO en attente","Projet en cours")),""))</f>
        <v/>
      </c>
      <c r="Q153" s="211">
        <v>4200648002</v>
      </c>
      <c r="R153" s="211" t="s">
        <v>266</v>
      </c>
      <c r="S153" s="211" t="s">
        <v>249</v>
      </c>
      <c r="T153" s="211" t="s">
        <v>1256</v>
      </c>
      <c r="U153" s="263" t="s">
        <v>1245</v>
      </c>
      <c r="W153" s="8">
        <v>9</v>
      </c>
    </row>
    <row r="154" spans="1:57" hidden="1">
      <c r="A154" s="286" t="s">
        <v>244</v>
      </c>
      <c r="B154" s="286" t="s">
        <v>221</v>
      </c>
      <c r="C154" s="280" t="s">
        <v>3</v>
      </c>
      <c r="D154" s="281" t="str">
        <f>IF(F154="","",CHOOSE(MONTH(F154),"Q4","Q4","Q4","Q1","Q1","Q1","Q2","Q2","Q2","Q3","Q3","Q3"))</f>
        <v>Q2</v>
      </c>
      <c r="E154" s="282" t="str">
        <f>IF(F154="","",CHOOSE(MONTH(F154),"10-JAN","11-FEB","12-MAR","01-APR","02-MAY","03-JUN","04-JUL","05-AUG","06-SEP","07-OCT","08-NOV","09-DEC"))</f>
        <v>04-JUL</v>
      </c>
      <c r="F154" s="76">
        <v>45118</v>
      </c>
      <c r="G154" s="231" t="s">
        <v>747</v>
      </c>
      <c r="H154" s="5" t="s">
        <v>27</v>
      </c>
      <c r="I154" s="29" t="s">
        <v>223</v>
      </c>
      <c r="J154" s="8" t="s">
        <v>130</v>
      </c>
      <c r="K154" s="281" t="s">
        <v>34</v>
      </c>
      <c r="L154" s="78" t="s">
        <v>748</v>
      </c>
      <c r="M154" s="151">
        <f>IF(SUM(V154:BC154)=0,"-",SUM(V154:BC154))</f>
        <v>10</v>
      </c>
      <c r="N154" s="241">
        <f>IF(SUMPRODUCT($V$3:$BC$3,V154:BC154)=0,"-",SUMPRODUCT($V$3:$BC$3,V154:BC154))</f>
        <v>355</v>
      </c>
      <c r="O154" s="272" t="s">
        <v>749</v>
      </c>
      <c r="P154" s="269" t="str">
        <f>IF(G154="","",IFERROR(IF(S154="Sent","",IF(I154="Delivered","PO en attente","Projet en cours")),""))</f>
        <v/>
      </c>
      <c r="Q154" s="211">
        <v>4200650337</v>
      </c>
      <c r="R154" s="211"/>
      <c r="S154" s="211" t="s">
        <v>249</v>
      </c>
      <c r="T154" s="211" t="s">
        <v>1270</v>
      </c>
      <c r="U154" s="253" t="s">
        <v>652</v>
      </c>
      <c r="W154" s="8">
        <v>9</v>
      </c>
      <c r="AD154" s="8">
        <v>1</v>
      </c>
    </row>
    <row r="155" spans="1:57" hidden="1">
      <c r="A155" s="286" t="s">
        <v>244</v>
      </c>
      <c r="B155" s="286" t="s">
        <v>221</v>
      </c>
      <c r="C155" s="280" t="s">
        <v>3</v>
      </c>
      <c r="D155" s="281" t="str">
        <f>IF(F155="","",CHOOSE(MONTH(F155),"Q4","Q4","Q4","Q1","Q1","Q1","Q2","Q2","Q2","Q3","Q3","Q3"))</f>
        <v>Q2</v>
      </c>
      <c r="E155" s="282" t="str">
        <f>IF(F155="","",CHOOSE(MONTH(F155),"10-JAN","11-FEB","12-MAR","01-APR","02-MAY","03-JUN","04-JUL","05-AUG","06-SEP","07-OCT","08-NOV","09-DEC"))</f>
        <v>04-JUL</v>
      </c>
      <c r="F155" s="76">
        <v>45118</v>
      </c>
      <c r="G155" s="231" t="s">
        <v>759</v>
      </c>
      <c r="H155" s="5" t="s">
        <v>27</v>
      </c>
      <c r="I155" s="29" t="s">
        <v>223</v>
      </c>
      <c r="J155" s="8" t="s">
        <v>130</v>
      </c>
      <c r="K155" s="281" t="s">
        <v>34</v>
      </c>
      <c r="L155" s="78" t="s">
        <v>760</v>
      </c>
      <c r="M155" s="151">
        <f>IF(SUM(V155:BC155)=0,"-",SUM(V155:BC155))</f>
        <v>2</v>
      </c>
      <c r="N155" s="241">
        <f>IF(SUMPRODUCT($V$3:$BC$3,V155:BC155)=0,"-",SUMPRODUCT($V$3:$BC$3,V155:BC155))</f>
        <v>175</v>
      </c>
      <c r="O155" s="272" t="s">
        <v>761</v>
      </c>
      <c r="P155" s="269" t="str">
        <f>IF(G155="","",IFERROR(IF(S155="Sent","",IF(I155="Delivered","PO en attente","Projet en cours")),""))</f>
        <v/>
      </c>
      <c r="Q155" s="211">
        <v>4200650337</v>
      </c>
      <c r="R155" s="211"/>
      <c r="S155" s="211" t="s">
        <v>249</v>
      </c>
      <c r="T155" s="211" t="s">
        <v>1270</v>
      </c>
      <c r="U155" s="253" t="s">
        <v>652</v>
      </c>
      <c r="AC155" s="7">
        <v>1</v>
      </c>
      <c r="AD155" s="8">
        <v>1</v>
      </c>
    </row>
    <row r="156" spans="1:57" hidden="1">
      <c r="A156" s="286" t="s">
        <v>244</v>
      </c>
      <c r="B156" s="286" t="s">
        <v>221</v>
      </c>
      <c r="C156" s="280" t="s">
        <v>3</v>
      </c>
      <c r="D156" s="281" t="str">
        <f>IF(F156="","",CHOOSE(MONTH(F156),"Q4","Q4","Q4","Q1","Q1","Q1","Q2","Q2","Q2","Q3","Q3","Q3"))</f>
        <v>Q2</v>
      </c>
      <c r="E156" s="282" t="str">
        <f>IF(F156="","",CHOOSE(MONTH(F156),"10-JAN","11-FEB","12-MAR","01-APR","02-MAY","03-JUN","04-JUL","05-AUG","06-SEP","07-OCT","08-NOV","09-DEC"))</f>
        <v>04-JUL</v>
      </c>
      <c r="F156" s="76">
        <v>45118</v>
      </c>
      <c r="G156" s="231" t="s">
        <v>754</v>
      </c>
      <c r="H156" s="5" t="s">
        <v>36</v>
      </c>
      <c r="I156" s="29" t="s">
        <v>223</v>
      </c>
      <c r="J156" s="8" t="s">
        <v>69</v>
      </c>
      <c r="K156" s="281" t="s">
        <v>34</v>
      </c>
      <c r="L156" s="78" t="s">
        <v>1271</v>
      </c>
      <c r="M156" s="151">
        <f>IF(SUM(V156:BC156)=0,"-",SUM(V156:BC156))</f>
        <v>16</v>
      </c>
      <c r="N156" s="241">
        <f>IF(SUMPRODUCT($V$3:$BC$3,V156:BC156)=0,"-",SUMPRODUCT($V$3:$BC$3,V156:BC156))</f>
        <v>560</v>
      </c>
      <c r="O156" s="272" t="s">
        <v>756</v>
      </c>
      <c r="P156" s="279" t="str">
        <f>IF(G156="","",IFERROR(IF(S156="Sent","",IF(I156="Delivered","PO en attente","Projet en cours")),""))</f>
        <v/>
      </c>
      <c r="Q156" s="258">
        <v>4200650333</v>
      </c>
      <c r="R156" s="258"/>
      <c r="S156" s="211" t="s">
        <v>228</v>
      </c>
      <c r="T156" s="211" t="s">
        <v>1272</v>
      </c>
      <c r="U156" s="253" t="s">
        <v>758</v>
      </c>
      <c r="W156" s="8">
        <f>4+12</f>
        <v>16</v>
      </c>
      <c r="AZ156" s="8"/>
      <c r="BA156" s="7"/>
      <c r="BB156" s="8"/>
      <c r="BC156" s="7"/>
      <c r="BD156" s="5"/>
      <c r="BE156" s="9"/>
    </row>
    <row r="157" spans="1:57" hidden="1">
      <c r="A157" s="286" t="s">
        <v>244</v>
      </c>
      <c r="B157" s="286" t="s">
        <v>221</v>
      </c>
      <c r="C157" s="280" t="s">
        <v>3</v>
      </c>
      <c r="D157" s="281" t="str">
        <f>IF(F157="","",CHOOSE(MONTH(F157),"Q4","Q4","Q4","Q1","Q1","Q1","Q2","Q2","Q2","Q3","Q3","Q3"))</f>
        <v>Q2</v>
      </c>
      <c r="E157" s="282" t="str">
        <f>IF(F157="","",CHOOSE(MONTH(F157),"10-JAN","11-FEB","12-MAR","01-APR","02-MAY","03-JUN","04-JUL","05-AUG","06-SEP","07-OCT","08-NOV","09-DEC"))</f>
        <v>04-JUL</v>
      </c>
      <c r="F157" s="76">
        <v>45118</v>
      </c>
      <c r="G157" s="231" t="s">
        <v>751</v>
      </c>
      <c r="H157" s="5" t="s">
        <v>36</v>
      </c>
      <c r="I157" s="29" t="s">
        <v>223</v>
      </c>
      <c r="J157" s="8" t="s">
        <v>69</v>
      </c>
      <c r="K157" s="281" t="s">
        <v>34</v>
      </c>
      <c r="L157" s="78" t="s">
        <v>752</v>
      </c>
      <c r="M157" s="151">
        <f>IF(SUM(V157:BC157)=0,"-",SUM(V157:BC157))</f>
        <v>46</v>
      </c>
      <c r="N157" s="241">
        <f>IF(SUMPRODUCT($V$3:$BC$3,V157:BC157)=0,"-",SUMPRODUCT($V$3:$BC$3,V157:BC157))</f>
        <v>1610</v>
      </c>
      <c r="O157" s="272" t="s">
        <v>753</v>
      </c>
      <c r="P157" s="279" t="str">
        <f>IF(G157="","",IFERROR(IF(S157="Sent","",IF(I157="Delivered","PO en attente","Projet en cours")),""))</f>
        <v/>
      </c>
      <c r="Q157" s="252">
        <v>4200648411</v>
      </c>
      <c r="R157" s="252"/>
      <c r="S157" s="252" t="s">
        <v>228</v>
      </c>
      <c r="T157" s="211" t="s">
        <v>1273</v>
      </c>
      <c r="U157" s="249" t="s">
        <v>517</v>
      </c>
      <c r="W157" s="8">
        <f>8+38</f>
        <v>46</v>
      </c>
    </row>
    <row r="158" spans="1:57" ht="21" hidden="1" customHeight="1">
      <c r="A158" s="286" t="s">
        <v>244</v>
      </c>
      <c r="B158" s="286" t="s">
        <v>221</v>
      </c>
      <c r="C158" s="280" t="s">
        <v>3</v>
      </c>
      <c r="D158" s="281" t="str">
        <f>IF(F158="","",CHOOSE(MONTH(F158),"Q4","Q4","Q4","Q1","Q1","Q1","Q2","Q2","Q2","Q3","Q3","Q3"))</f>
        <v>Q2</v>
      </c>
      <c r="E158" s="282" t="str">
        <f>IF(F158="","",CHOOSE(MONTH(F158),"10-JAN","11-FEB","12-MAR","01-APR","02-MAY","03-JUN","04-JUL","05-AUG","06-SEP","07-OCT","08-NOV","09-DEC"))</f>
        <v>04-JUL</v>
      </c>
      <c r="F158" s="76">
        <v>45118</v>
      </c>
      <c r="G158" s="231" t="s">
        <v>741</v>
      </c>
      <c r="H158" s="5" t="s">
        <v>26</v>
      </c>
      <c r="I158" s="29" t="s">
        <v>481</v>
      </c>
      <c r="J158" s="8" t="s">
        <v>69</v>
      </c>
      <c r="K158" s="281" t="s">
        <v>34</v>
      </c>
      <c r="L158" s="49" t="s">
        <v>481</v>
      </c>
      <c r="M158" s="151">
        <f>IF(SUM(V158:BC158)=0,"-",SUM(V158:BC158))</f>
        <v>1</v>
      </c>
      <c r="N158" s="241">
        <f>IF(SUMPRODUCT($V$3:$BC$3,V158:BC158)=0,"-",SUMPRODUCT($V$3:$BC$3,V158:BC158))</f>
        <v>600</v>
      </c>
      <c r="O158" s="272" t="s">
        <v>742</v>
      </c>
      <c r="P158" s="279" t="str">
        <f>IF(G158="","",IFERROR(IF(S158="Sent","",IF(I158="Delivered","PO en attente","Projet en cours")),""))</f>
        <v/>
      </c>
      <c r="Q158" s="252">
        <v>4200648422</v>
      </c>
      <c r="R158" s="252"/>
      <c r="S158" s="252" t="s">
        <v>228</v>
      </c>
      <c r="T158" s="211" t="s">
        <v>1274</v>
      </c>
      <c r="U158" s="253" t="s">
        <v>517</v>
      </c>
      <c r="AN158" s="8">
        <v>1</v>
      </c>
    </row>
    <row r="159" spans="1:57" hidden="1">
      <c r="A159" s="286" t="s">
        <v>244</v>
      </c>
      <c r="B159" s="286" t="s">
        <v>221</v>
      </c>
      <c r="C159" s="280" t="s">
        <v>3</v>
      </c>
      <c r="D159" s="281" t="str">
        <f>IF(F159="","",CHOOSE(MONTH(F159),"Q4","Q4","Q4","Q1","Q1","Q1","Q2","Q2","Q2","Q3","Q3","Q3"))</f>
        <v>Q2</v>
      </c>
      <c r="E159" s="282" t="str">
        <f>IF(F159="","",CHOOSE(MONTH(F159),"10-JAN","11-FEB","12-MAR","01-APR","02-MAY","03-JUN","04-JUL","05-AUG","06-SEP","07-OCT","08-NOV","09-DEC"))</f>
        <v>04-JUL</v>
      </c>
      <c r="F159" s="76">
        <v>45118</v>
      </c>
      <c r="G159" s="231" t="s">
        <v>743</v>
      </c>
      <c r="H159" s="5" t="s">
        <v>744</v>
      </c>
      <c r="I159" s="29" t="s">
        <v>223</v>
      </c>
      <c r="J159" s="8" t="s">
        <v>130</v>
      </c>
      <c r="K159" s="281" t="s">
        <v>34</v>
      </c>
      <c r="L159" s="78" t="s">
        <v>745</v>
      </c>
      <c r="M159" s="151">
        <f>IF(SUM(V159:BC159)=0,"-",SUM(V159:BC159))</f>
        <v>6</v>
      </c>
      <c r="N159" s="241">
        <f>IF(SUMPRODUCT($V$3:$BC$3,V159:BC159)=0,"-",SUMPRODUCT($V$3:$BC$3,V159:BC159))</f>
        <v>530</v>
      </c>
      <c r="O159" s="272" t="s">
        <v>746</v>
      </c>
      <c r="P159" s="279" t="str">
        <f>IF(G159="","",IFERROR(IF(S159="Sent","",IF(I159="Delivered","PO en attente","Projet en cours")),""))</f>
        <v/>
      </c>
      <c r="Q159" s="252">
        <v>4200648499</v>
      </c>
      <c r="R159" s="252"/>
      <c r="S159" s="252" t="s">
        <v>228</v>
      </c>
      <c r="T159" s="211" t="s">
        <v>1275</v>
      </c>
      <c r="U159" s="253" t="s">
        <v>517</v>
      </c>
      <c r="V159" s="7">
        <v>1</v>
      </c>
      <c r="W159" s="8">
        <v>2</v>
      </c>
      <c r="X159" s="8">
        <v>1</v>
      </c>
      <c r="Y159" s="8">
        <v>2</v>
      </c>
      <c r="AZ159" s="8"/>
      <c r="BA159" s="7"/>
      <c r="BB159" s="8"/>
      <c r="BC159" s="7"/>
      <c r="BD159" s="5"/>
      <c r="BE159" s="9"/>
    </row>
    <row r="160" spans="1:57" hidden="1">
      <c r="A160" s="286" t="s">
        <v>244</v>
      </c>
      <c r="B160" s="286" t="s">
        <v>221</v>
      </c>
      <c r="C160" s="280" t="s">
        <v>3</v>
      </c>
      <c r="D160" s="281" t="str">
        <f>IF(F160="","",CHOOSE(MONTH(F160),"Q4","Q4","Q4","Q1","Q1","Q1","Q2","Q2","Q2","Q3","Q3","Q3"))</f>
        <v>Q2</v>
      </c>
      <c r="E160" s="282" t="str">
        <f>IF(F160="","",CHOOSE(MONTH(F160),"10-JAN","11-FEB","12-MAR","01-APR","02-MAY","03-JUN","04-JUL","05-AUG","06-SEP","07-OCT","08-NOV","09-DEC"))</f>
        <v>04-JUL</v>
      </c>
      <c r="F160" s="242">
        <v>45119</v>
      </c>
      <c r="G160" s="231" t="s">
        <v>419</v>
      </c>
      <c r="H160" s="5" t="s">
        <v>35</v>
      </c>
      <c r="I160" s="29" t="s">
        <v>223</v>
      </c>
      <c r="J160" s="21" t="s">
        <v>95</v>
      </c>
      <c r="K160" s="281" t="s">
        <v>34</v>
      </c>
      <c r="L160" s="78" t="s">
        <v>421</v>
      </c>
      <c r="M160" s="151">
        <f>IF(SUM(V160:BC160)=0,"-",SUM(V160:BC160))</f>
        <v>2</v>
      </c>
      <c r="N160" s="241">
        <f>IF(SUMPRODUCT($V$3:$BC$3,V160:BC160)=0,"-",SUMPRODUCT($V$3:$BC$3,V160:BC160))</f>
        <v>240</v>
      </c>
      <c r="O160" s="114" t="s">
        <v>1276</v>
      </c>
      <c r="P160" s="279" t="str">
        <f>IF(G160="","",IFERROR(IF(S160="Sent","",IF(I160="Delivered","PO en attente","Projet en cours")),""))</f>
        <v/>
      </c>
      <c r="Q160" s="211">
        <v>4200662194</v>
      </c>
      <c r="R160" s="211"/>
      <c r="S160" s="260" t="s">
        <v>249</v>
      </c>
      <c r="T160" s="260" t="s">
        <v>1264</v>
      </c>
      <c r="U160" s="372" t="s">
        <v>1265</v>
      </c>
      <c r="AD160" s="8">
        <v>1</v>
      </c>
      <c r="AG160" s="8">
        <v>1</v>
      </c>
    </row>
    <row r="161" spans="1:48" hidden="1">
      <c r="A161" s="286" t="s">
        <v>244</v>
      </c>
      <c r="B161" s="286" t="s">
        <v>221</v>
      </c>
      <c r="C161" s="280" t="s">
        <v>3</v>
      </c>
      <c r="D161" s="281" t="str">
        <f>IF(F161="","",CHOOSE(MONTH(F161),"Q4","Q4","Q4","Q1","Q1","Q1","Q2","Q2","Q2","Q3","Q3","Q3"))</f>
        <v>Q2</v>
      </c>
      <c r="E161" s="282" t="str">
        <f>IF(F161="","",CHOOSE(MONTH(F161),"10-JAN","11-FEB","12-MAR","01-APR","02-MAY","03-JUN","04-JUL","05-AUG","06-SEP","07-OCT","08-NOV","09-DEC"))</f>
        <v>04-JUL</v>
      </c>
      <c r="F161" s="76">
        <v>45127</v>
      </c>
      <c r="G161" s="231" t="s">
        <v>291</v>
      </c>
      <c r="H161" s="5" t="s">
        <v>26</v>
      </c>
      <c r="I161" s="29" t="s">
        <v>223</v>
      </c>
      <c r="J161" s="8" t="s">
        <v>93</v>
      </c>
      <c r="K161" s="281" t="s">
        <v>30</v>
      </c>
      <c r="L161" s="78" t="s">
        <v>292</v>
      </c>
      <c r="M161" s="151">
        <f>IF(SUM(V161:BC161)=0,"-",SUM(V161:BC161))</f>
        <v>6</v>
      </c>
      <c r="N161" s="278">
        <f>IF(SUMPRODUCT($V$3:$BC$3,V161:BC161)=0,"-",SUMPRODUCT($V$3:$BC$3,V161:BC161))</f>
        <v>295</v>
      </c>
      <c r="P161" s="279" t="str">
        <f>IF(G161="","",IFERROR(IF(S161="Sent","",IF(I161="Delivered","PO en attente","Projet en cours")),""))</f>
        <v/>
      </c>
      <c r="Q161" s="211">
        <v>4200653900</v>
      </c>
      <c r="R161" s="211" t="s">
        <v>269</v>
      </c>
      <c r="S161" s="211" t="s">
        <v>249</v>
      </c>
      <c r="T161" s="211" t="s">
        <v>289</v>
      </c>
      <c r="U161" s="263" t="s">
        <v>290</v>
      </c>
      <c r="V161" s="7">
        <v>1</v>
      </c>
      <c r="W161" s="8">
        <v>5</v>
      </c>
    </row>
    <row r="162" spans="1:48" hidden="1">
      <c r="A162" s="286" t="s">
        <v>244</v>
      </c>
      <c r="B162" s="286" t="s">
        <v>221</v>
      </c>
      <c r="C162" s="280" t="s">
        <v>3</v>
      </c>
      <c r="D162" s="281" t="str">
        <f>IF(F162="","",CHOOSE(MONTH(F162),"Q4","Q4","Q4","Q1","Q1","Q1","Q2","Q2","Q2","Q3","Q3","Q3"))</f>
        <v>Q2</v>
      </c>
      <c r="E162" s="282" t="str">
        <f>IF(F162="","",CHOOSE(MONTH(F162),"10-JAN","11-FEB","12-MAR","01-APR","02-MAY","03-JUN","04-JUL","05-AUG","06-SEP","07-OCT","08-NOV","09-DEC"))</f>
        <v>04-JUL</v>
      </c>
      <c r="F162" s="76">
        <v>45127</v>
      </c>
      <c r="G162" s="299" t="s">
        <v>293</v>
      </c>
      <c r="H162" s="5" t="s">
        <v>230</v>
      </c>
      <c r="I162" s="29" t="s">
        <v>223</v>
      </c>
      <c r="J162" s="8" t="s">
        <v>95</v>
      </c>
      <c r="K162" s="281" t="s">
        <v>30</v>
      </c>
      <c r="L162" s="78" t="s">
        <v>294</v>
      </c>
      <c r="M162" s="151">
        <f>IF(SUM(V162:BC162)=0,"-",SUM(V162:BC162))</f>
        <v>2</v>
      </c>
      <c r="N162" s="241">
        <f>IF(SUMPRODUCT($V$3:$BC$3,V162:BC162)=0,"-",SUMPRODUCT($V$3:$BC$3,V162:BC162))</f>
        <v>70</v>
      </c>
      <c r="P162" s="279" t="str">
        <f>IF(G162="","",IFERROR(IF(S162="Sent","",IF(I162="Delivered","PO en attente","Projet en cours")),""))</f>
        <v/>
      </c>
      <c r="Q162" s="211">
        <v>4200647984</v>
      </c>
      <c r="R162" s="211" t="s">
        <v>269</v>
      </c>
      <c r="S162" s="211" t="s">
        <v>249</v>
      </c>
      <c r="T162" s="211" t="s">
        <v>289</v>
      </c>
      <c r="U162" s="263" t="s">
        <v>290</v>
      </c>
      <c r="W162" s="8">
        <v>2</v>
      </c>
    </row>
    <row r="163" spans="1:48" hidden="1">
      <c r="A163" s="286" t="s">
        <v>244</v>
      </c>
      <c r="B163" s="286" t="s">
        <v>221</v>
      </c>
      <c r="C163" s="280" t="s">
        <v>3</v>
      </c>
      <c r="D163" s="281" t="str">
        <f>IF(F163="","",CHOOSE(MONTH(F163),"Q4","Q4","Q4","Q1","Q1","Q1","Q2","Q2","Q2","Q3","Q3","Q3"))</f>
        <v>Q2</v>
      </c>
      <c r="E163" s="282" t="str">
        <f>IF(F163="","",CHOOSE(MONTH(F163),"10-JAN","11-FEB","12-MAR","01-APR","02-MAY","03-JUN","04-JUL","05-AUG","06-SEP","07-OCT","08-NOV","09-DEC"))</f>
        <v>04-JUL</v>
      </c>
      <c r="F163" s="242">
        <v>45131</v>
      </c>
      <c r="G163" s="299" t="s">
        <v>296</v>
      </c>
      <c r="H163" s="5" t="s">
        <v>230</v>
      </c>
      <c r="I163" s="29" t="s">
        <v>223</v>
      </c>
      <c r="J163" s="8" t="s">
        <v>95</v>
      </c>
      <c r="K163" s="281" t="s">
        <v>30</v>
      </c>
      <c r="L163" s="78" t="s">
        <v>297</v>
      </c>
      <c r="M163" s="151">
        <f>IF(SUM(V163:BC163)=0,"-",SUM(V163:BC163))</f>
        <v>4</v>
      </c>
      <c r="N163" s="241">
        <f>IF(SUMPRODUCT($V$3:$BC$3,V163:BC163)=0,"-",SUMPRODUCT($V$3:$BC$3,V163:BC163))</f>
        <v>140</v>
      </c>
      <c r="P163" s="279" t="str">
        <f>IF(G163="","",IFERROR(IF(S163="Sent","",IF(I163="Delivered","PO en attente","Projet en cours")),""))</f>
        <v/>
      </c>
      <c r="Q163" s="211">
        <v>4200647984</v>
      </c>
      <c r="R163" s="211" t="s">
        <v>269</v>
      </c>
      <c r="S163" s="211" t="s">
        <v>249</v>
      </c>
      <c r="T163" s="211" t="s">
        <v>289</v>
      </c>
      <c r="U163" s="263" t="s">
        <v>290</v>
      </c>
      <c r="W163" s="8">
        <v>4</v>
      </c>
    </row>
    <row r="164" spans="1:48" hidden="1">
      <c r="A164" s="286" t="s">
        <v>244</v>
      </c>
      <c r="B164" s="286" t="s">
        <v>221</v>
      </c>
      <c r="C164" s="280" t="s">
        <v>3</v>
      </c>
      <c r="D164" s="281" t="str">
        <f>IF(F164="","",CHOOSE(MONTH(F164),"Q4","Q4","Q4","Q1","Q1","Q1","Q2","Q2","Q2","Q3","Q3","Q3"))</f>
        <v>Q2</v>
      </c>
      <c r="E164" s="282" t="str">
        <f>IF(F164="","",CHOOSE(MONTH(F164),"10-JAN","11-FEB","12-MAR","01-APR","02-MAY","03-JUN","04-JUL","05-AUG","06-SEP","07-OCT","08-NOV","09-DEC"))</f>
        <v>04-JUL</v>
      </c>
      <c r="F164" s="76">
        <v>45132</v>
      </c>
      <c r="G164" s="231" t="s">
        <v>763</v>
      </c>
      <c r="H164" s="459" t="s">
        <v>764</v>
      </c>
      <c r="I164" s="29" t="s">
        <v>223</v>
      </c>
      <c r="J164" s="8" t="s">
        <v>129</v>
      </c>
      <c r="K164" s="281" t="s">
        <v>34</v>
      </c>
      <c r="L164" s="78" t="s">
        <v>765</v>
      </c>
      <c r="M164" s="151">
        <f>IF(SUM(V164:BC164)=0,"-",SUM(V164:BC164))</f>
        <v>9</v>
      </c>
      <c r="N164" s="278">
        <f>IF(SUMPRODUCT($V$3:$BC$3,V164:BC164)=0,"-",SUMPRODUCT($V$3:$BC$3,V164:BC164))</f>
        <v>315</v>
      </c>
      <c r="O164" s="266" t="s">
        <v>766</v>
      </c>
      <c r="P164" s="279" t="str">
        <f>IF(G164="","",IFERROR(IF(S164="Sent","",IF(I164="Delivered","PO en attente","Projet en cours")),""))</f>
        <v/>
      </c>
      <c r="Q164" s="258">
        <v>4200659416</v>
      </c>
      <c r="R164" s="258" t="s">
        <v>225</v>
      </c>
      <c r="S164" s="211" t="s">
        <v>249</v>
      </c>
      <c r="T164" s="211" t="s">
        <v>1240</v>
      </c>
      <c r="U164" s="249" t="s">
        <v>1241</v>
      </c>
      <c r="W164" s="8">
        <v>9</v>
      </c>
    </row>
    <row r="165" spans="1:48" hidden="1">
      <c r="A165" s="286" t="s">
        <v>244</v>
      </c>
      <c r="B165" s="286" t="s">
        <v>221</v>
      </c>
      <c r="C165" s="280" t="s">
        <v>3</v>
      </c>
      <c r="D165" s="281" t="str">
        <f>IF(F165="","",CHOOSE(MONTH(F165),"Q4","Q4","Q4","Q1","Q1","Q1","Q2","Q2","Q2","Q3","Q3","Q3"))</f>
        <v>Q2</v>
      </c>
      <c r="E165" s="282" t="str">
        <f>IF(F165="","",CHOOSE(MONTH(F165),"10-JAN","11-FEB","12-MAR","01-APR","02-MAY","03-JUN","04-JUL","05-AUG","06-SEP","07-OCT","08-NOV","09-DEC"))</f>
        <v>04-JUL</v>
      </c>
      <c r="F165" s="76">
        <v>45134</v>
      </c>
      <c r="G165" s="231" t="s">
        <v>768</v>
      </c>
      <c r="H165" s="5" t="s">
        <v>27</v>
      </c>
      <c r="I165" s="29" t="s">
        <v>223</v>
      </c>
      <c r="J165" s="8" t="s">
        <v>130</v>
      </c>
      <c r="K165" s="281" t="s">
        <v>34</v>
      </c>
      <c r="L165" s="78" t="s">
        <v>760</v>
      </c>
      <c r="M165" s="151">
        <f>IF(SUM(V165:BC165)=0,"-",SUM(V165:BC165))</f>
        <v>11</v>
      </c>
      <c r="N165" s="241">
        <f>IF(SUMPRODUCT($V$3:$BC$3,V165:BC165)=0,"-",SUMPRODUCT($V$3:$BC$3,V165:BC165))</f>
        <v>470</v>
      </c>
      <c r="O165" s="266" t="s">
        <v>769</v>
      </c>
      <c r="P165" s="269" t="str">
        <f>IF(G165="","",IFERROR(IF(S165="Sent","",IF(I165="Delivered","PO en attente","Projet en cours")),""))</f>
        <v/>
      </c>
      <c r="Q165" s="211">
        <v>4200654041</v>
      </c>
      <c r="R165" s="211"/>
      <c r="S165" s="211" t="s">
        <v>249</v>
      </c>
      <c r="T165" s="211" t="s">
        <v>770</v>
      </c>
      <c r="U165" s="249" t="s">
        <v>517</v>
      </c>
      <c r="V165" s="7">
        <v>1</v>
      </c>
      <c r="W165" s="8">
        <v>10</v>
      </c>
    </row>
    <row r="166" spans="1:48" hidden="1">
      <c r="A166" s="286" t="s">
        <v>244</v>
      </c>
      <c r="B166" s="286" t="s">
        <v>221</v>
      </c>
      <c r="C166" s="280" t="s">
        <v>3</v>
      </c>
      <c r="D166" s="281" t="str">
        <f>IF(F166="","",CHOOSE(MONTH(F166),"Q4","Q4","Q4","Q1","Q1","Q1","Q2","Q2","Q2","Q3","Q3","Q3"))</f>
        <v>Q2</v>
      </c>
      <c r="E166" s="282" t="str">
        <f>IF(F166="","",CHOOSE(MONTH(F166),"10-JAN","11-FEB","12-MAR","01-APR","02-MAY","03-JUN","04-JUL","05-AUG","06-SEP","07-OCT","08-NOV","09-DEC"))</f>
        <v>04-JUL</v>
      </c>
      <c r="F166" s="242">
        <v>45134</v>
      </c>
      <c r="G166" s="314" t="s">
        <v>301</v>
      </c>
      <c r="H166" s="5" t="s">
        <v>230</v>
      </c>
      <c r="I166" s="29" t="s">
        <v>223</v>
      </c>
      <c r="J166" s="8" t="s">
        <v>95</v>
      </c>
      <c r="K166" s="281" t="s">
        <v>30</v>
      </c>
      <c r="L166" s="78" t="s">
        <v>302</v>
      </c>
      <c r="M166" s="151">
        <f>IF(SUM(V166:BC166)=0,"-",SUM(V166:BC166))</f>
        <v>2</v>
      </c>
      <c r="N166" s="241">
        <f>IF(SUMPRODUCT($V$3:$BC$3,V166:BC166)=0,"-",SUMPRODUCT($V$3:$BC$3,V166:BC166))</f>
        <v>155</v>
      </c>
      <c r="P166" s="279" t="str">
        <f>IF(G166="","",IFERROR(IF(S166="Sent","",IF(I166="Delivered","PO en attente","Projet en cours")),""))</f>
        <v/>
      </c>
      <c r="Q166" s="211">
        <v>4200647984</v>
      </c>
      <c r="R166" s="211" t="s">
        <v>269</v>
      </c>
      <c r="S166" s="211" t="s">
        <v>249</v>
      </c>
      <c r="T166" s="211" t="s">
        <v>289</v>
      </c>
      <c r="U166" s="263" t="s">
        <v>290</v>
      </c>
      <c r="V166" s="7">
        <v>1</v>
      </c>
      <c r="W166" s="8">
        <v>1</v>
      </c>
    </row>
    <row r="167" spans="1:48" hidden="1">
      <c r="A167" s="286" t="s">
        <v>244</v>
      </c>
      <c r="B167" s="286" t="s">
        <v>221</v>
      </c>
      <c r="C167" s="280" t="s">
        <v>3</v>
      </c>
      <c r="D167" s="281" t="str">
        <f>IF(F167="","",CHOOSE(MONTH(F167),"Q4","Q4","Q4","Q1","Q1","Q1","Q2","Q2","Q2","Q3","Q3","Q3"))</f>
        <v>Q2</v>
      </c>
      <c r="E167" s="282" t="str">
        <f>IF(F167="","",CHOOSE(MONTH(F167),"10-JAN","11-FEB","12-MAR","01-APR","02-MAY","03-JUN","04-JUL","05-AUG","06-SEP","07-OCT","08-NOV","09-DEC"))</f>
        <v>04-JUL</v>
      </c>
      <c r="F167" s="242">
        <v>45134</v>
      </c>
      <c r="G167" s="314" t="s">
        <v>299</v>
      </c>
      <c r="H167" s="5" t="s">
        <v>32</v>
      </c>
      <c r="I167" s="29" t="s">
        <v>223</v>
      </c>
      <c r="J167" s="8" t="s">
        <v>95</v>
      </c>
      <c r="K167" s="281" t="s">
        <v>30</v>
      </c>
      <c r="L167" s="78" t="s">
        <v>300</v>
      </c>
      <c r="M167" s="151">
        <f>IF(SUM(V167:BC167)=0,"-",SUM(V167:BC167))</f>
        <v>4</v>
      </c>
      <c r="N167" s="241">
        <f>IF(SUMPRODUCT($V$3:$BC$3,V167:BC167)=0,"-",SUMPRODUCT($V$3:$BC$3,V167:BC167))</f>
        <v>225</v>
      </c>
      <c r="P167" s="279" t="str">
        <f>IF(G167="","",IFERROR(IF(S167="Sent","",IF(I167="Delivered","PO en attente","Projet en cours")),""))</f>
        <v/>
      </c>
      <c r="Q167" s="211">
        <v>4200647984</v>
      </c>
      <c r="R167" s="211" t="s">
        <v>269</v>
      </c>
      <c r="S167" s="211" t="s">
        <v>249</v>
      </c>
      <c r="T167" s="211" t="s">
        <v>289</v>
      </c>
      <c r="U167" s="263" t="s">
        <v>290</v>
      </c>
      <c r="V167" s="7">
        <v>1</v>
      </c>
      <c r="W167" s="8">
        <v>3</v>
      </c>
    </row>
    <row r="168" spans="1:48" hidden="1">
      <c r="A168" s="286" t="s">
        <v>244</v>
      </c>
      <c r="B168" s="286" t="s">
        <v>221</v>
      </c>
      <c r="C168" s="280" t="s">
        <v>3</v>
      </c>
      <c r="D168" s="281" t="str">
        <f>IF(F168="","",CHOOSE(MONTH(F168),"Q4","Q4","Q4","Q1","Q1","Q1","Q2","Q2","Q2","Q3","Q3","Q3"))</f>
        <v>Q2</v>
      </c>
      <c r="E168" s="282" t="str">
        <f>IF(F168="","",CHOOSE(MONTH(F168),"10-JAN","11-FEB","12-MAR","01-APR","02-MAY","03-JUN","04-JUL","05-AUG","06-SEP","07-OCT","08-NOV","09-DEC"))</f>
        <v>04-JUL</v>
      </c>
      <c r="F168" s="242">
        <v>45134</v>
      </c>
      <c r="G168" s="231" t="s">
        <v>388</v>
      </c>
      <c r="H168" s="5" t="s">
        <v>32</v>
      </c>
      <c r="I168" s="118" t="s">
        <v>223</v>
      </c>
      <c r="J168" s="8" t="s">
        <v>69</v>
      </c>
      <c r="K168" s="281" t="s">
        <v>30</v>
      </c>
      <c r="L168" s="124" t="s">
        <v>389</v>
      </c>
      <c r="M168" s="151">
        <f>IF(SUM(V168:BC168)=0,"-",SUM(V168:BC168))</f>
        <v>7</v>
      </c>
      <c r="N168" s="278">
        <f>IF(SUMPRODUCT($V$3:$BC$3,V168:BC168)=0,"-",SUMPRODUCT($V$3:$BC$3,V168:BC168))</f>
        <v>245</v>
      </c>
      <c r="P168" s="269" t="str">
        <f>IF(G168="","",IFERROR(IF(S168="Sent","",IF(I168="Delivered","PO en attente","Projet en cours")),""))</f>
        <v/>
      </c>
      <c r="Q168" s="211">
        <v>4200657838</v>
      </c>
      <c r="R168" s="211" t="s">
        <v>363</v>
      </c>
      <c r="S168" s="260" t="s">
        <v>249</v>
      </c>
      <c r="T168" s="260" t="s">
        <v>1201</v>
      </c>
      <c r="U168" s="372" t="s">
        <v>1202</v>
      </c>
      <c r="W168" s="8">
        <v>7</v>
      </c>
    </row>
    <row r="169" spans="1:48" hidden="1">
      <c r="A169" s="286" t="s">
        <v>244</v>
      </c>
      <c r="B169" s="286" t="s">
        <v>221</v>
      </c>
      <c r="C169" s="280" t="s">
        <v>3</v>
      </c>
      <c r="D169" s="281" t="str">
        <f>IF(F169="","",CHOOSE(MONTH(F169),"Q4","Q4","Q4","Q1","Q1","Q1","Q2","Q2","Q2","Q3","Q3","Q3"))</f>
        <v>Q2</v>
      </c>
      <c r="E169" s="282" t="str">
        <f>IF(F169="","",CHOOSE(MONTH(F169),"10-JAN","11-FEB","12-MAR","01-APR","02-MAY","03-JUN","04-JUL","05-AUG","06-SEP","07-OCT","08-NOV","09-DEC"))</f>
        <v>04-JUL</v>
      </c>
      <c r="F169" s="76">
        <v>45138</v>
      </c>
      <c r="G169" s="231" t="s">
        <v>772</v>
      </c>
      <c r="H169" s="5" t="s">
        <v>36</v>
      </c>
      <c r="I169" s="29" t="s">
        <v>223</v>
      </c>
      <c r="J169" s="8" t="s">
        <v>69</v>
      </c>
      <c r="K169" s="281" t="s">
        <v>34</v>
      </c>
      <c r="L169" s="78" t="s">
        <v>773</v>
      </c>
      <c r="M169" s="151">
        <f>IF(SUM(V169:BC169)=0,"-",SUM(V169:BC169))</f>
        <v>22</v>
      </c>
      <c r="N169" s="241">
        <f>IF(SUMPRODUCT($V$3:$BC$3,V169:BC169)=0,"-",SUMPRODUCT($V$3:$BC$3,V169:BC169))</f>
        <v>1005</v>
      </c>
      <c r="O169" s="266" t="s">
        <v>774</v>
      </c>
      <c r="P169" s="279" t="str">
        <f>IF(G169="","",IFERROR(IF(S169="Sent","",IF(I169="Delivered","PO en attente","Projet en cours")),""))</f>
        <v/>
      </c>
      <c r="Q169" s="211">
        <v>4200651981</v>
      </c>
      <c r="R169" s="211"/>
      <c r="S169" s="211" t="s">
        <v>249</v>
      </c>
      <c r="T169" s="211" t="s">
        <v>775</v>
      </c>
      <c r="U169" s="253" t="s">
        <v>652</v>
      </c>
      <c r="V169" s="7">
        <v>1</v>
      </c>
      <c r="W169" s="8">
        <v>10</v>
      </c>
      <c r="AC169" s="7">
        <v>1</v>
      </c>
      <c r="AD169" s="8">
        <v>10</v>
      </c>
    </row>
    <row r="170" spans="1:48" hidden="1">
      <c r="A170" s="286" t="s">
        <v>244</v>
      </c>
      <c r="B170" s="286" t="s">
        <v>221</v>
      </c>
      <c r="C170" s="280" t="s">
        <v>3</v>
      </c>
      <c r="D170" s="281" t="str">
        <f>IF(F170="","",CHOOSE(MONTH(F170),"Q4","Q4","Q4","Q1","Q1","Q1","Q2","Q2","Q2","Q3","Q3","Q3"))</f>
        <v>Q2</v>
      </c>
      <c r="E170" s="282" t="str">
        <f>IF(F170="","",CHOOSE(MONTH(F170),"10-JAN","11-FEB","12-MAR","01-APR","02-MAY","03-JUN","04-JUL","05-AUG","06-SEP","07-OCT","08-NOV","09-DEC"))</f>
        <v>04-JUL</v>
      </c>
      <c r="F170" s="76">
        <v>45138</v>
      </c>
      <c r="G170" s="231" t="s">
        <v>776</v>
      </c>
      <c r="H170" s="5" t="s">
        <v>36</v>
      </c>
      <c r="I170" s="29" t="s">
        <v>223</v>
      </c>
      <c r="J170" s="8" t="s">
        <v>69</v>
      </c>
      <c r="K170" s="281" t="s">
        <v>34</v>
      </c>
      <c r="L170" s="78" t="s">
        <v>777</v>
      </c>
      <c r="M170" s="151">
        <f>IF(SUM(V170:BC170)=0,"-",SUM(V170:BC170))</f>
        <v>5</v>
      </c>
      <c r="N170" s="241">
        <f>IF(SUMPRODUCT($V$3:$BC$3,V170:BC170)=0,"-",SUMPRODUCT($V$3:$BC$3,V170:BC170))</f>
        <v>175</v>
      </c>
      <c r="O170" s="266" t="s">
        <v>778</v>
      </c>
      <c r="P170" s="279" t="str">
        <f>IF(G170="","",IFERROR(IF(S170="Sent","",IF(I170="Delivered","PO en attente","Projet en cours")),""))</f>
        <v/>
      </c>
      <c r="Q170" s="211">
        <v>4200661507</v>
      </c>
      <c r="R170" s="211"/>
      <c r="S170" s="211" t="s">
        <v>249</v>
      </c>
      <c r="T170" s="211" t="s">
        <v>1205</v>
      </c>
      <c r="U170" s="253" t="s">
        <v>1206</v>
      </c>
      <c r="W170" s="8">
        <v>5</v>
      </c>
    </row>
    <row r="171" spans="1:48" hidden="1">
      <c r="A171" s="286" t="s">
        <v>244</v>
      </c>
      <c r="B171" s="286" t="s">
        <v>221</v>
      </c>
      <c r="C171" s="280" t="s">
        <v>3</v>
      </c>
      <c r="D171" s="281" t="str">
        <f>IF(F171="","",CHOOSE(MONTH(F171),"Q4","Q4","Q4","Q1","Q1","Q1","Q2","Q2","Q2","Q3","Q3","Q3"))</f>
        <v>Q2</v>
      </c>
      <c r="E171" s="282" t="str">
        <f>IF(F171="","",CHOOSE(MONTH(F171),"10-JAN","11-FEB","12-MAR","01-APR","02-MAY","03-JUN","04-JUL","05-AUG","06-SEP","07-OCT","08-NOV","09-DEC"))</f>
        <v>05-AUG</v>
      </c>
      <c r="F171" s="76">
        <v>45142</v>
      </c>
      <c r="G171" s="231" t="s">
        <v>783</v>
      </c>
      <c r="H171" s="5" t="s">
        <v>36</v>
      </c>
      <c r="I171" s="29" t="s">
        <v>223</v>
      </c>
      <c r="J171" s="8" t="s">
        <v>69</v>
      </c>
      <c r="K171" s="281" t="s">
        <v>34</v>
      </c>
      <c r="L171" s="78" t="s">
        <v>784</v>
      </c>
      <c r="M171" s="151">
        <f>IF(SUM(V171:BC171)=0,"-",SUM(V171:BC171))</f>
        <v>2</v>
      </c>
      <c r="N171" s="241">
        <f>IF(SUMPRODUCT($V$3:$BC$3,V171:BC171)=0,"-",SUMPRODUCT($V$3:$BC$3,V171:BC171))</f>
        <v>175</v>
      </c>
      <c r="O171" s="274" t="s">
        <v>785</v>
      </c>
      <c r="P171" s="279" t="str">
        <f>IF(G171="","",IFERROR(IF(S171="Sent","",IF(I171="Delivered","PO en attente","Projet en cours")),""))</f>
        <v/>
      </c>
      <c r="Q171" s="211">
        <v>4200651991</v>
      </c>
      <c r="R171" s="211"/>
      <c r="S171" s="211" t="s">
        <v>249</v>
      </c>
      <c r="T171" s="211" t="s">
        <v>1233</v>
      </c>
      <c r="U171" s="253" t="s">
        <v>652</v>
      </c>
      <c r="AC171" s="7">
        <v>1</v>
      </c>
      <c r="AD171" s="8">
        <v>1</v>
      </c>
    </row>
    <row r="172" spans="1:48" hidden="1">
      <c r="A172" s="286" t="s">
        <v>244</v>
      </c>
      <c r="B172" s="286" t="s">
        <v>221</v>
      </c>
      <c r="C172" s="280" t="s">
        <v>3</v>
      </c>
      <c r="D172" s="281" t="str">
        <f>IF(F172="","",CHOOSE(MONTH(F172),"Q4","Q4","Q4","Q1","Q1","Q1","Q2","Q2","Q2","Q3","Q3","Q3"))</f>
        <v>Q2</v>
      </c>
      <c r="E172" s="282" t="str">
        <f>IF(F172="","",CHOOSE(MONTH(F172),"10-JAN","11-FEB","12-MAR","01-APR","02-MAY","03-JUN","04-JUL","05-AUG","06-SEP","07-OCT","08-NOV","09-DEC"))</f>
        <v>05-AUG</v>
      </c>
      <c r="F172" s="76">
        <v>45142</v>
      </c>
      <c r="G172" s="231" t="s">
        <v>779</v>
      </c>
      <c r="H172" s="5" t="s">
        <v>780</v>
      </c>
      <c r="I172" s="29" t="s">
        <v>223</v>
      </c>
      <c r="J172" s="8" t="s">
        <v>129</v>
      </c>
      <c r="K172" s="281" t="s">
        <v>34</v>
      </c>
      <c r="L172" s="78" t="s">
        <v>781</v>
      </c>
      <c r="M172" s="151">
        <f>IF(SUM(V172:BC172)=0,"-",SUM(V172:BC172))</f>
        <v>45</v>
      </c>
      <c r="N172" s="278">
        <f>IF(SUMPRODUCT($V$3:$BC$3,V172:BC172)=0,"-",SUMPRODUCT($V$3:$BC$3,V172:BC172))</f>
        <v>1575</v>
      </c>
      <c r="O172" s="273" t="s">
        <v>782</v>
      </c>
      <c r="P172" s="279" t="str">
        <f>IF(G172="","",IFERROR(IF(S172="Sent","",IF(I172="Delivered","PO en attente","Projet en cours")),""))</f>
        <v/>
      </c>
      <c r="Q172" s="258">
        <v>4200659416</v>
      </c>
      <c r="R172" s="258" t="s">
        <v>225</v>
      </c>
      <c r="S172" s="211" t="s">
        <v>249</v>
      </c>
      <c r="T172" s="211" t="s">
        <v>1240</v>
      </c>
      <c r="U172" s="249" t="s">
        <v>1241</v>
      </c>
      <c r="W172" s="8">
        <v>45</v>
      </c>
    </row>
    <row r="173" spans="1:48" hidden="1">
      <c r="A173" s="286" t="s">
        <v>244</v>
      </c>
      <c r="B173" s="286" t="s">
        <v>221</v>
      </c>
      <c r="C173" s="280" t="s">
        <v>3</v>
      </c>
      <c r="D173" s="281" t="str">
        <f>IF(F173="","",CHOOSE(MONTH(F173),"Q4","Q4","Q4","Q1","Q1","Q1","Q2","Q2","Q2","Q3","Q3","Q3"))</f>
        <v>Q2</v>
      </c>
      <c r="E173" s="282" t="str">
        <f>IF(F173="","",CHOOSE(MONTH(F173),"10-JAN","11-FEB","12-MAR","01-APR","02-MAY","03-JUN","04-JUL","05-AUG","06-SEP","07-OCT","08-NOV","09-DEC"))</f>
        <v>05-AUG</v>
      </c>
      <c r="F173" s="76">
        <v>45145</v>
      </c>
      <c r="G173" s="231" t="s">
        <v>789</v>
      </c>
      <c r="H173" s="5" t="s">
        <v>27</v>
      </c>
      <c r="I173" s="29" t="s">
        <v>223</v>
      </c>
      <c r="J173" s="8" t="s">
        <v>130</v>
      </c>
      <c r="K173" s="281" t="s">
        <v>34</v>
      </c>
      <c r="L173" s="78" t="s">
        <v>790</v>
      </c>
      <c r="M173" s="151">
        <f>IF(SUM(V173:BC173)=0,"-",SUM(V173:BC173))</f>
        <v>7</v>
      </c>
      <c r="N173" s="241">
        <f>IF(SUMPRODUCT($V$3:$BC$3,V173:BC173)=0,"-",SUMPRODUCT($V$3:$BC$3,V173:BC173))</f>
        <v>565</v>
      </c>
      <c r="O173" s="266" t="s">
        <v>791</v>
      </c>
      <c r="P173" s="269" t="str">
        <f>IF(G173="","",IFERROR(IF(S173="Sent","",IF(I173="Delivered","PO en attente","Projet en cours")),""))</f>
        <v/>
      </c>
      <c r="Q173" s="211">
        <v>4200654041</v>
      </c>
      <c r="R173" s="211"/>
      <c r="S173" s="211" t="s">
        <v>249</v>
      </c>
      <c r="T173" s="211" t="s">
        <v>770</v>
      </c>
      <c r="U173" s="249" t="s">
        <v>517</v>
      </c>
      <c r="AC173" s="7">
        <v>3</v>
      </c>
      <c r="AD173" s="8">
        <v>4</v>
      </c>
    </row>
    <row r="174" spans="1:48" ht="19.5" hidden="1" customHeight="1">
      <c r="A174" s="286" t="s">
        <v>244</v>
      </c>
      <c r="B174" s="286" t="s">
        <v>221</v>
      </c>
      <c r="C174" s="280" t="s">
        <v>3</v>
      </c>
      <c r="D174" s="281" t="str">
        <f>IF(F174="","",CHOOSE(MONTH(F174),"Q4","Q4","Q4","Q1","Q1","Q1","Q2","Q2","Q2","Q3","Q3","Q3"))</f>
        <v>Q2</v>
      </c>
      <c r="E174" s="282" t="str">
        <f>IF(F174="","",CHOOSE(MONTH(F174),"10-JAN","11-FEB","12-MAR","01-APR","02-MAY","03-JUN","04-JUL","05-AUG","06-SEP","07-OCT","08-NOV","09-DEC"))</f>
        <v>05-AUG</v>
      </c>
      <c r="F174" s="76">
        <v>45145</v>
      </c>
      <c r="G174" s="231" t="s">
        <v>786</v>
      </c>
      <c r="H174" s="5" t="s">
        <v>27</v>
      </c>
      <c r="I174" s="29" t="s">
        <v>223</v>
      </c>
      <c r="J174" s="8" t="s">
        <v>130</v>
      </c>
      <c r="K174" s="281" t="s">
        <v>34</v>
      </c>
      <c r="L174" s="78" t="s">
        <v>1277</v>
      </c>
      <c r="M174" s="151">
        <f>IF(SUM(V174:BC174)=0,"-",SUM(V174:BC174))</f>
        <v>2</v>
      </c>
      <c r="N174" s="241">
        <f>IF(SUMPRODUCT($V$3:$BC$3,V174:BC174)=0,"-",SUMPRODUCT($V$3:$BC$3,V174:BC174))</f>
        <v>270</v>
      </c>
      <c r="O174" s="266" t="s">
        <v>788</v>
      </c>
      <c r="P174" s="269" t="str">
        <f>IF(G174="","",IFERROR(IF(S174="Sent","",IF(I174="Delivered","PO en attente","Projet en cours")),""))</f>
        <v/>
      </c>
      <c r="Q174" s="211">
        <v>4200650337</v>
      </c>
      <c r="R174" s="211"/>
      <c r="S174" s="211" t="s">
        <v>249</v>
      </c>
      <c r="T174" s="211" t="s">
        <v>1270</v>
      </c>
      <c r="U174" s="253" t="s">
        <v>652</v>
      </c>
      <c r="AC174" s="7">
        <v>2</v>
      </c>
    </row>
    <row r="175" spans="1:48" hidden="1">
      <c r="A175" s="286" t="s">
        <v>244</v>
      </c>
      <c r="B175" s="286" t="s">
        <v>221</v>
      </c>
      <c r="C175" s="280" t="s">
        <v>3</v>
      </c>
      <c r="D175" s="281" t="str">
        <f>IF(F175="","",CHOOSE(MONTH(F175),"Q4","Q4","Q4","Q1","Q1","Q1","Q2","Q2","Q2","Q3","Q3","Q3"))</f>
        <v>Q2</v>
      </c>
      <c r="E175" s="282" t="str">
        <f>IF(F175="","",CHOOSE(MONTH(F175),"10-JAN","11-FEB","12-MAR","01-APR","02-MAY","03-JUN","04-JUL","05-AUG","06-SEP","07-OCT","08-NOV","09-DEC"))</f>
        <v>05-AUG</v>
      </c>
      <c r="F175" s="76">
        <v>45146</v>
      </c>
      <c r="G175" s="231" t="s">
        <v>792</v>
      </c>
      <c r="H175" s="5" t="s">
        <v>27</v>
      </c>
      <c r="I175" s="29" t="s">
        <v>223</v>
      </c>
      <c r="J175" s="8" t="s">
        <v>93</v>
      </c>
      <c r="K175" s="281" t="s">
        <v>34</v>
      </c>
      <c r="L175" s="124" t="s">
        <v>793</v>
      </c>
      <c r="M175" s="151">
        <f>IF(SUM(V175:BC175)=0,"-",SUM(V175:BC175))</f>
        <v>11</v>
      </c>
      <c r="N175" s="241">
        <f>IF(SUMPRODUCT($V$3:$BC$3,V175:BC175)=0,"-",SUMPRODUCT($V$3:$BC$3,V175:BC175))</f>
        <v>690</v>
      </c>
      <c r="O175" s="266" t="s">
        <v>794</v>
      </c>
      <c r="P175" s="269" t="str">
        <f>IF(G175="","",IFERROR(IF(S175="Sent","",IF(I175="Delivered","PO en attente","Projet en cours")),""))</f>
        <v/>
      </c>
      <c r="Q175" s="256">
        <v>4200639284</v>
      </c>
      <c r="R175" s="256" t="s">
        <v>640</v>
      </c>
      <c r="S175" s="256" t="s">
        <v>249</v>
      </c>
      <c r="T175" s="256" t="s">
        <v>641</v>
      </c>
      <c r="U175" s="257" t="s">
        <v>481</v>
      </c>
      <c r="V175" s="7">
        <v>1</v>
      </c>
      <c r="W175" s="8">
        <v>8</v>
      </c>
      <c r="AD175" s="8">
        <v>1</v>
      </c>
      <c r="AF175" s="8">
        <v>1</v>
      </c>
    </row>
    <row r="176" spans="1:48" hidden="1">
      <c r="A176" s="286" t="s">
        <v>244</v>
      </c>
      <c r="B176" s="286" t="s">
        <v>221</v>
      </c>
      <c r="C176" s="280" t="s">
        <v>3</v>
      </c>
      <c r="D176" s="281" t="str">
        <f>IF(F176="","",CHOOSE(MONTH(F176),"Q4","Q4","Q4","Q1","Q1","Q1","Q2","Q2","Q2","Q3","Q3","Q3"))</f>
        <v>Q2</v>
      </c>
      <c r="E176" s="282" t="str">
        <f>IF(F176="","",CHOOSE(MONTH(F176),"10-JAN","11-FEB","12-MAR","01-APR","02-MAY","03-JUN","04-JUL","05-AUG","06-SEP","07-OCT","08-NOV","09-DEC"))</f>
        <v>05-AUG</v>
      </c>
      <c r="F176" s="242">
        <v>45151</v>
      </c>
      <c r="G176" s="231" t="s">
        <v>333</v>
      </c>
      <c r="H176" s="5" t="s">
        <v>26</v>
      </c>
      <c r="I176" s="29" t="s">
        <v>223</v>
      </c>
      <c r="J176" s="8" t="s">
        <v>130</v>
      </c>
      <c r="K176" s="281" t="s">
        <v>30</v>
      </c>
      <c r="L176" s="78" t="s">
        <v>334</v>
      </c>
      <c r="M176" s="151">
        <f>IF(SUM(V176:BC176)=0,"-",SUM(V176:BC176))</f>
        <v>1</v>
      </c>
      <c r="N176" s="241">
        <f>IF(SUMPRODUCT($V$3:$BC$3,V176:BC176)=0,"-",SUMPRODUCT($V$3:$BC$3,V176:BC176))</f>
        <v>360</v>
      </c>
      <c r="P176" s="279" t="str">
        <f>IF(G176="","",IFERROR(IF(S176="Sent","",IF(I176="Delivered","PO en attente","Projet en cours")),""))</f>
        <v/>
      </c>
      <c r="Q176" s="167">
        <v>4200648002</v>
      </c>
      <c r="R176" s="211" t="s">
        <v>266</v>
      </c>
      <c r="S176" s="211" t="s">
        <v>249</v>
      </c>
      <c r="T176" s="211" t="s">
        <v>335</v>
      </c>
      <c r="U176" s="263" t="s">
        <v>290</v>
      </c>
      <c r="AV176" s="8">
        <v>1</v>
      </c>
    </row>
    <row r="177" spans="1:48" hidden="1">
      <c r="A177" s="286" t="s">
        <v>244</v>
      </c>
      <c r="B177" s="286" t="s">
        <v>221</v>
      </c>
      <c r="C177" s="280" t="s">
        <v>3</v>
      </c>
      <c r="D177" s="281" t="str">
        <f>IF(F177="","",CHOOSE(MONTH(F177),"Q4","Q4","Q4","Q1","Q1","Q1","Q2","Q2","Q2","Q3","Q3","Q3"))</f>
        <v>Q2</v>
      </c>
      <c r="E177" s="282" t="str">
        <f>IF(F177="","",CHOOSE(MONTH(F177),"10-JAN","11-FEB","12-MAR","01-APR","02-MAY","03-JUN","04-JUL","05-AUG","06-SEP","07-OCT","08-NOV","09-DEC"))</f>
        <v>05-AUG</v>
      </c>
      <c r="F177" s="242">
        <v>45159</v>
      </c>
      <c r="G177" s="314" t="s">
        <v>303</v>
      </c>
      <c r="H177" s="5" t="s">
        <v>26</v>
      </c>
      <c r="I177" s="29" t="s">
        <v>223</v>
      </c>
      <c r="J177" s="8" t="s">
        <v>95</v>
      </c>
      <c r="K177" s="281" t="s">
        <v>30</v>
      </c>
      <c r="L177" s="78" t="s">
        <v>304</v>
      </c>
      <c r="M177" s="151">
        <f>IF(SUM(V177:BC177)=0,"-",SUM(V177:BC177))</f>
        <v>2</v>
      </c>
      <c r="N177" s="241">
        <f>IF(SUMPRODUCT($V$3:$BC$3,V177:BC177)=0,"-",SUMPRODUCT($V$3:$BC$3,V177:BC177))</f>
        <v>440</v>
      </c>
      <c r="P177" s="279" t="str">
        <f>IF(G177="","",IFERROR(IF(S177="Sent","",IF(I177="Delivered","PO en attente","Projet en cours")),""))</f>
        <v/>
      </c>
      <c r="Q177" s="211">
        <v>4200647984</v>
      </c>
      <c r="R177" s="211" t="s">
        <v>305</v>
      </c>
      <c r="S177" s="211" t="s">
        <v>249</v>
      </c>
      <c r="T177" s="211" t="s">
        <v>289</v>
      </c>
      <c r="U177" s="263" t="s">
        <v>290</v>
      </c>
      <c r="AS177" s="7">
        <v>1</v>
      </c>
      <c r="AV177" s="8">
        <v>1</v>
      </c>
    </row>
    <row r="178" spans="1:48" hidden="1">
      <c r="A178" s="286" t="s">
        <v>244</v>
      </c>
      <c r="B178" s="286" t="s">
        <v>221</v>
      </c>
      <c r="C178" s="280" t="s">
        <v>3</v>
      </c>
      <c r="D178" s="281" t="str">
        <f>IF(F178="","",CHOOSE(MONTH(F178),"Q4","Q4","Q4","Q1","Q1","Q1","Q2","Q2","Q2","Q3","Q3","Q3"))</f>
        <v>Q2</v>
      </c>
      <c r="E178" s="282" t="str">
        <f>IF(F178="","",CHOOSE(MONTH(F178),"10-JAN","11-FEB","12-MAR","01-APR","02-MAY","03-JUN","04-JUL","05-AUG","06-SEP","07-OCT","08-NOV","09-DEC"))</f>
        <v>05-AUG</v>
      </c>
      <c r="F178" s="76">
        <v>45162</v>
      </c>
      <c r="G178" s="231" t="s">
        <v>806</v>
      </c>
      <c r="H178" s="5" t="s">
        <v>27</v>
      </c>
      <c r="I178" s="29" t="s">
        <v>223</v>
      </c>
      <c r="J178" s="8" t="s">
        <v>93</v>
      </c>
      <c r="K178" s="281" t="s">
        <v>34</v>
      </c>
      <c r="L178" s="49" t="s">
        <v>481</v>
      </c>
      <c r="M178" s="151">
        <f>IF(SUM(V178:BC178)=0,"-",SUM(V178:BC178))</f>
        <v>1</v>
      </c>
      <c r="N178" s="241">
        <f>IF(SUMPRODUCT($V$3:$BC$3,V178:BC178)=0,"-",SUMPRODUCT($V$3:$BC$3,V178:BC178))</f>
        <v>35</v>
      </c>
      <c r="O178" s="266" t="s">
        <v>807</v>
      </c>
      <c r="P178" s="269" t="str">
        <f>IF(G178="","",IFERROR(IF(S178="Sent","",IF(I178="Delivered","PO en attente","Projet en cours")),""))</f>
        <v/>
      </c>
      <c r="Q178" s="256">
        <v>4200639284</v>
      </c>
      <c r="R178" s="256" t="s">
        <v>640</v>
      </c>
      <c r="S178" s="256" t="s">
        <v>249</v>
      </c>
      <c r="T178" s="256" t="s">
        <v>641</v>
      </c>
      <c r="U178" s="257" t="s">
        <v>481</v>
      </c>
      <c r="W178" s="8">
        <v>1</v>
      </c>
    </row>
    <row r="179" spans="1:48" hidden="1">
      <c r="A179" s="286" t="s">
        <v>244</v>
      </c>
      <c r="B179" s="286" t="s">
        <v>221</v>
      </c>
      <c r="C179" s="280" t="s">
        <v>3</v>
      </c>
      <c r="D179" s="281" t="str">
        <f>IF(F179="","",CHOOSE(MONTH(F179),"Q4","Q4","Q4","Q1","Q1","Q1","Q2","Q2","Q2","Q3","Q3","Q3"))</f>
        <v>Q2</v>
      </c>
      <c r="E179" s="282" t="str">
        <f>IF(F179="","",CHOOSE(MONTH(F179),"10-JAN","11-FEB","12-MAR","01-APR","02-MAY","03-JUN","04-JUL","05-AUG","06-SEP","07-OCT","08-NOV","09-DEC"))</f>
        <v>05-AUG</v>
      </c>
      <c r="F179" s="76">
        <v>45162</v>
      </c>
      <c r="G179" s="231" t="s">
        <v>803</v>
      </c>
      <c r="H179" s="5" t="s">
        <v>27</v>
      </c>
      <c r="I179" s="29" t="s">
        <v>223</v>
      </c>
      <c r="J179" s="8" t="s">
        <v>130</v>
      </c>
      <c r="K179" s="281" t="s">
        <v>34</v>
      </c>
      <c r="L179" s="78" t="s">
        <v>804</v>
      </c>
      <c r="M179" s="151">
        <f>IF(SUM(V179:BC179)=0,"-",SUM(V179:BC179))</f>
        <v>1</v>
      </c>
      <c r="N179" s="241">
        <f>IF(SUMPRODUCT($V$3:$BC$3,V179:BC179)=0,"-",SUMPRODUCT($V$3:$BC$3,V179:BC179))</f>
        <v>120</v>
      </c>
      <c r="O179" s="266" t="s">
        <v>805</v>
      </c>
      <c r="P179" s="269" t="str">
        <f>IF(G179="","",IFERROR(IF(S179="Sent","",IF(I179="Delivered","PO en attente","Projet en cours")),""))</f>
        <v/>
      </c>
      <c r="Q179" s="211">
        <v>4200654041</v>
      </c>
      <c r="R179" s="211"/>
      <c r="S179" s="211" t="s">
        <v>249</v>
      </c>
      <c r="T179" s="211" t="s">
        <v>770</v>
      </c>
      <c r="U179" s="249" t="s">
        <v>517</v>
      </c>
      <c r="V179" s="7">
        <v>1</v>
      </c>
    </row>
    <row r="180" spans="1:48" ht="26.25" hidden="1" customHeight="1">
      <c r="A180" s="286" t="s">
        <v>244</v>
      </c>
      <c r="B180" s="286" t="s">
        <v>221</v>
      </c>
      <c r="C180" s="280" t="s">
        <v>3</v>
      </c>
      <c r="D180" s="281" t="str">
        <f>IF(F180="","",CHOOSE(MONTH(F180),"Q4","Q4","Q4","Q1","Q1","Q1","Q2","Q2","Q2","Q3","Q3","Q3"))</f>
        <v>Q2</v>
      </c>
      <c r="E180" s="282" t="str">
        <f>IF(F180="","",CHOOSE(MONTH(F180),"10-JAN","11-FEB","12-MAR","01-APR","02-MAY","03-JUN","04-JUL","05-AUG","06-SEP","07-OCT","08-NOV","09-DEC"))</f>
        <v>05-AUG</v>
      </c>
      <c r="F180" s="76">
        <v>45162</v>
      </c>
      <c r="G180" s="231" t="s">
        <v>808</v>
      </c>
      <c r="H180" s="5" t="s">
        <v>27</v>
      </c>
      <c r="I180" s="29" t="s">
        <v>223</v>
      </c>
      <c r="J180" s="8" t="s">
        <v>67</v>
      </c>
      <c r="K180" s="281" t="s">
        <v>34</v>
      </c>
      <c r="L180" s="78" t="s">
        <v>809</v>
      </c>
      <c r="M180" s="151">
        <f>IF(SUM(V180:BC180)=0,"-",SUM(V180:BC180))</f>
        <v>9</v>
      </c>
      <c r="N180" s="241">
        <f>IF(SUMPRODUCT($V$3:$BC$3,V180:BC180)=0,"-",SUMPRODUCT($V$3:$BC$3,V180:BC180))</f>
        <v>400</v>
      </c>
      <c r="O180" s="266" t="s">
        <v>810</v>
      </c>
      <c r="P180" s="269" t="str">
        <f>IF(G180="","",IFERROR(IF(S180="Sent","",IF(I180="Delivered","PO en attente","Projet en cours")),""))</f>
        <v/>
      </c>
      <c r="Q180" s="211">
        <v>4200654054</v>
      </c>
      <c r="R180" s="211"/>
      <c r="S180" s="211" t="s">
        <v>249</v>
      </c>
      <c r="T180" s="211" t="s">
        <v>811</v>
      </c>
      <c r="U180" s="249" t="s">
        <v>517</v>
      </c>
      <c r="V180" s="7">
        <v>1</v>
      </c>
      <c r="W180" s="8">
        <v>8</v>
      </c>
    </row>
    <row r="181" spans="1:48" hidden="1">
      <c r="A181" s="286" t="s">
        <v>244</v>
      </c>
      <c r="B181" s="286" t="s">
        <v>221</v>
      </c>
      <c r="C181" s="280" t="s">
        <v>3</v>
      </c>
      <c r="D181" s="281" t="str">
        <f>IF(F181="","",CHOOSE(MONTH(F181),"Q4","Q4","Q4","Q1","Q1","Q1","Q2","Q2","Q2","Q3","Q3","Q3"))</f>
        <v>Q2</v>
      </c>
      <c r="E181" s="282" t="str">
        <f>IF(F181="","",CHOOSE(MONTH(F181),"10-JAN","11-FEB","12-MAR","01-APR","02-MAY","03-JUN","04-JUL","05-AUG","06-SEP","07-OCT","08-NOV","09-DEC"))</f>
        <v>05-AUG</v>
      </c>
      <c r="F181" s="76">
        <v>45162</v>
      </c>
      <c r="G181" s="231" t="s">
        <v>800</v>
      </c>
      <c r="H181" s="5" t="s">
        <v>36</v>
      </c>
      <c r="I181" s="29" t="s">
        <v>223</v>
      </c>
      <c r="J181" s="8" t="s">
        <v>69</v>
      </c>
      <c r="K181" s="281" t="s">
        <v>34</v>
      </c>
      <c r="L181" s="78" t="s">
        <v>801</v>
      </c>
      <c r="M181" s="151">
        <f>IF(SUM(V181:BC181)=0,"-",SUM(V181:BC181))</f>
        <v>47</v>
      </c>
      <c r="N181" s="241">
        <f>IF(SUMPRODUCT($V$3:$BC$3,V181:BC181)=0,"-",SUMPRODUCT($V$3:$BC$3,V181:BC181))</f>
        <v>1730</v>
      </c>
      <c r="O181" s="266" t="s">
        <v>802</v>
      </c>
      <c r="P181" s="279" t="str">
        <f>IF(G181="","",IFERROR(IF(S181="Sent","",IF(I181="Delivered","PO en attente","Projet en cours")),""))</f>
        <v/>
      </c>
      <c r="Q181" s="211">
        <v>4200651991</v>
      </c>
      <c r="R181" s="211"/>
      <c r="S181" s="211" t="s">
        <v>249</v>
      </c>
      <c r="T181" s="211" t="s">
        <v>1233</v>
      </c>
      <c r="U181" s="253" t="s">
        <v>652</v>
      </c>
      <c r="V181" s="7">
        <v>1</v>
      </c>
      <c r="W181" s="8">
        <v>46</v>
      </c>
    </row>
    <row r="182" spans="1:48" hidden="1">
      <c r="A182" s="286" t="s">
        <v>244</v>
      </c>
      <c r="B182" s="286" t="s">
        <v>221</v>
      </c>
      <c r="C182" s="280" t="s">
        <v>3</v>
      </c>
      <c r="D182" s="281" t="str">
        <f>IF(F182="","",CHOOSE(MONTH(F182),"Q4","Q4","Q4","Q1","Q1","Q1","Q2","Q2","Q2","Q3","Q3","Q3"))</f>
        <v>Q2</v>
      </c>
      <c r="E182" s="282" t="str">
        <f>IF(F182="","",CHOOSE(MONTH(F182),"10-JAN","11-FEB","12-MAR","01-APR","02-MAY","03-JUN","04-JUL","05-AUG","06-SEP","07-OCT","08-NOV","09-DEC"))</f>
        <v>05-AUG</v>
      </c>
      <c r="F182" s="242">
        <v>45167</v>
      </c>
      <c r="G182" s="231" t="s">
        <v>382</v>
      </c>
      <c r="H182" s="5" t="s">
        <v>242</v>
      </c>
      <c r="I182" s="29" t="s">
        <v>223</v>
      </c>
      <c r="J182" s="8" t="s">
        <v>130</v>
      </c>
      <c r="K182" s="281" t="s">
        <v>30</v>
      </c>
      <c r="L182" s="78" t="s">
        <v>383</v>
      </c>
      <c r="M182" s="151">
        <f>IF(SUM(V182:BC182)=0,"-",SUM(V182:BC182))</f>
        <v>2</v>
      </c>
      <c r="N182" s="241">
        <f>IF(SUMPRODUCT($V$3:$BC$3,V182:BC182)=0,"-",SUMPRODUCT($V$3:$BC$3,V182:BC182))</f>
        <v>155</v>
      </c>
      <c r="P182" s="279" t="str">
        <f>IF(G182="","",IFERROR(IF(S182="Sent","",IF(I182="Delivered","PO en attente","Projet en cours")),""))</f>
        <v/>
      </c>
      <c r="Q182" s="211">
        <v>4200657837</v>
      </c>
      <c r="R182" s="262" t="s">
        <v>305</v>
      </c>
      <c r="S182" s="211" t="s">
        <v>249</v>
      </c>
      <c r="T182" s="211" t="s">
        <v>378</v>
      </c>
      <c r="U182" s="316" t="s">
        <v>1217</v>
      </c>
      <c r="V182" s="7">
        <v>1</v>
      </c>
      <c r="W182" s="8">
        <v>1</v>
      </c>
    </row>
    <row r="183" spans="1:48" hidden="1">
      <c r="A183" s="285" t="s">
        <v>220</v>
      </c>
      <c r="B183" s="285" t="s">
        <v>221</v>
      </c>
      <c r="C183" s="281" t="s">
        <v>3</v>
      </c>
      <c r="D183" s="281" t="str">
        <f>IF(F183="","",CHOOSE(MONTH(F183),"Q4","Q4","Q4","Q1","Q1","Q1","Q2","Q2","Q2","Q3","Q3","Q3"))</f>
        <v>Q2</v>
      </c>
      <c r="E183" s="282" t="str">
        <f>IF(F183="","",CHOOSE(MONTH(F183),"10-JAN","11-FEB","12-MAR","01-APR","02-MAY","03-JUN","04-JUL","05-AUG","06-SEP","07-OCT","08-NOV","09-DEC"))</f>
        <v>06-SEP</v>
      </c>
      <c r="F183" s="76">
        <v>45170</v>
      </c>
      <c r="G183" s="230" t="s">
        <v>812</v>
      </c>
      <c r="H183" t="s">
        <v>35</v>
      </c>
      <c r="I183" s="268" t="s">
        <v>223</v>
      </c>
      <c r="J183" s="21" t="s">
        <v>95</v>
      </c>
      <c r="K183" s="281" t="s">
        <v>34</v>
      </c>
      <c r="L183" s="124" t="s">
        <v>813</v>
      </c>
      <c r="M183" s="151">
        <f>IF(SUM(V183:BC183)=0,"-",SUM(V183:BC183))</f>
        <v>19</v>
      </c>
      <c r="N183" s="241">
        <f>IF(SUMPRODUCT($V$3:$BC$3,V183:BC183)=0,"-",SUMPRODUCT($V$3:$BC$3,V183:BC183))</f>
        <v>910</v>
      </c>
      <c r="O183" s="266" t="s">
        <v>814</v>
      </c>
      <c r="P183" s="279" t="str">
        <f>IF(G183="","",IFERROR(IF(S183="Sent","",IF(I183="Delivered","PO en attente","Projet en cours")),""))</f>
        <v/>
      </c>
      <c r="Q183" s="211">
        <v>4200653899</v>
      </c>
      <c r="R183" s="211"/>
      <c r="S183" s="211" t="s">
        <v>249</v>
      </c>
      <c r="T183" s="211" t="s">
        <v>815</v>
      </c>
      <c r="U183" s="249" t="s">
        <v>517</v>
      </c>
      <c r="V183" s="7">
        <v>1</v>
      </c>
      <c r="W183" s="8">
        <v>14</v>
      </c>
      <c r="AD183" s="8">
        <v>3</v>
      </c>
      <c r="AE183" s="8">
        <v>1</v>
      </c>
    </row>
    <row r="184" spans="1:48" hidden="1">
      <c r="A184" s="286" t="s">
        <v>244</v>
      </c>
      <c r="B184" s="286" t="s">
        <v>221</v>
      </c>
      <c r="C184" s="280" t="s">
        <v>3</v>
      </c>
      <c r="D184" s="281" t="str">
        <f>IF(F184="","",CHOOSE(MONTH(F184),"Q4","Q4","Q4","Q1","Q1","Q1","Q2","Q2","Q2","Q3","Q3","Q3"))</f>
        <v>Q2</v>
      </c>
      <c r="E184" s="282" t="str">
        <f>IF(F184="","",CHOOSE(MONTH(F184),"10-JAN","11-FEB","12-MAR","01-APR","02-MAY","03-JUN","04-JUL","05-AUG","06-SEP","07-OCT","08-NOV","09-DEC"))</f>
        <v>06-SEP</v>
      </c>
      <c r="F184" s="242">
        <v>45170</v>
      </c>
      <c r="G184" s="236" t="s">
        <v>336</v>
      </c>
      <c r="H184" s="5" t="s">
        <v>32</v>
      </c>
      <c r="I184" s="29" t="s">
        <v>223</v>
      </c>
      <c r="J184" s="8" t="s">
        <v>130</v>
      </c>
      <c r="K184" s="281" t="s">
        <v>30</v>
      </c>
      <c r="L184" s="78" t="s">
        <v>337</v>
      </c>
      <c r="M184" s="151">
        <f>IF(SUM(V184:BC184)=0,"-",SUM(V184:BC184))</f>
        <v>1</v>
      </c>
      <c r="N184" s="241">
        <f>IF(SUMPRODUCT($V$3:$BC$3,V184:BC184)=0,"-",SUMPRODUCT($V$3:$BC$3,V184:BC184))</f>
        <v>35</v>
      </c>
      <c r="P184" s="279" t="str">
        <f>IF(G184="","",IFERROR(IF(S184="Sent","",IF(I184="Delivered","PO en attente","Projet en cours")),""))</f>
        <v/>
      </c>
      <c r="Q184" s="167">
        <v>4200648002</v>
      </c>
      <c r="R184" s="145" t="s">
        <v>305</v>
      </c>
      <c r="S184" s="211" t="s">
        <v>249</v>
      </c>
      <c r="T184" s="211" t="s">
        <v>335</v>
      </c>
      <c r="U184" s="263" t="s">
        <v>290</v>
      </c>
      <c r="W184" s="8">
        <v>1</v>
      </c>
    </row>
    <row r="185" spans="1:48" hidden="1">
      <c r="A185" s="286" t="s">
        <v>244</v>
      </c>
      <c r="B185" s="286" t="s">
        <v>221</v>
      </c>
      <c r="C185" s="280" t="s">
        <v>3</v>
      </c>
      <c r="D185" s="281" t="str">
        <f>IF(F185="","",CHOOSE(MONTH(F185),"Q4","Q4","Q4","Q1","Q1","Q1","Q2","Q2","Q2","Q3","Q3","Q3"))</f>
        <v>Q2</v>
      </c>
      <c r="E185" s="282" t="str">
        <f>IF(F185="","",CHOOSE(MONTH(F185),"10-JAN","11-FEB","12-MAR","01-APR","02-MAY","03-JUN","04-JUL","05-AUG","06-SEP","07-OCT","08-NOV","09-DEC"))</f>
        <v>06-SEP</v>
      </c>
      <c r="F185" s="76">
        <v>45173</v>
      </c>
      <c r="G185" s="231" t="s">
        <v>816</v>
      </c>
      <c r="H185" s="5" t="s">
        <v>27</v>
      </c>
      <c r="I185" s="29" t="s">
        <v>223</v>
      </c>
      <c r="J185" s="8" t="s">
        <v>130</v>
      </c>
      <c r="K185" s="281" t="s">
        <v>34</v>
      </c>
      <c r="L185" s="53" t="s">
        <v>817</v>
      </c>
      <c r="M185" s="151">
        <f>IF(SUM(V185:BC185)=0,"-",SUM(V185:BC185))</f>
        <v>4</v>
      </c>
      <c r="N185" s="241">
        <f>IF(SUMPRODUCT($V$3:$BC$3,V185:BC185)=0,"-",SUMPRODUCT($V$3:$BC$3,V185:BC185))</f>
        <v>140</v>
      </c>
      <c r="O185" s="266" t="s">
        <v>818</v>
      </c>
      <c r="P185" s="269" t="str">
        <f>IF(G185="","",IFERROR(IF(S185="Sent","",IF(I185="Delivered","PO en attente","Projet en cours")),""))</f>
        <v/>
      </c>
      <c r="Q185" s="211">
        <v>4200654041</v>
      </c>
      <c r="R185" s="211"/>
      <c r="S185" s="211" t="s">
        <v>249</v>
      </c>
      <c r="T185" s="211" t="s">
        <v>770</v>
      </c>
      <c r="U185" s="249" t="s">
        <v>517</v>
      </c>
      <c r="W185" s="8">
        <v>4</v>
      </c>
    </row>
    <row r="186" spans="1:48" hidden="1">
      <c r="A186" s="286" t="s">
        <v>244</v>
      </c>
      <c r="B186" s="286" t="s">
        <v>221</v>
      </c>
      <c r="C186" s="280" t="s">
        <v>3</v>
      </c>
      <c r="D186" s="281" t="str">
        <f>IF(F186="","",CHOOSE(MONTH(F186),"Q4","Q4","Q4","Q1","Q1","Q1","Q2","Q2","Q2","Q3","Q3","Q3"))</f>
        <v>Q2</v>
      </c>
      <c r="E186" s="282" t="str">
        <f>IF(F186="","",CHOOSE(MONTH(F186),"10-JAN","11-FEB","12-MAR","01-APR","02-MAY","03-JUN","04-JUL","05-AUG","06-SEP","07-OCT","08-NOV","09-DEC"))</f>
        <v>06-SEP</v>
      </c>
      <c r="F186" s="76">
        <v>45175</v>
      </c>
      <c r="G186" s="231" t="s">
        <v>819</v>
      </c>
      <c r="H186" s="5" t="s">
        <v>43</v>
      </c>
      <c r="I186" s="29" t="s">
        <v>223</v>
      </c>
      <c r="J186" s="21" t="s">
        <v>69</v>
      </c>
      <c r="K186" s="281" t="s">
        <v>34</v>
      </c>
      <c r="L186" s="78" t="s">
        <v>820</v>
      </c>
      <c r="M186" s="151">
        <f>IF(SUM(V186:BC186)=0,"-",SUM(V186:BC186))</f>
        <v>28</v>
      </c>
      <c r="N186" s="241">
        <f>IF(SUMPRODUCT($V$3:$BC$3,V186:BC186)=0,"-",SUMPRODUCT($V$3:$BC$3,V186:BC186))</f>
        <v>1275</v>
      </c>
      <c r="O186" s="266" t="s">
        <v>821</v>
      </c>
      <c r="P186" s="279" t="str">
        <f>IF(G186="","",IFERROR(IF(S186="Sent","",IF(I186="Delivered","PO en attente","Projet en cours")),""))</f>
        <v/>
      </c>
      <c r="Q186" s="211">
        <v>4200651960</v>
      </c>
      <c r="R186" s="211"/>
      <c r="S186" s="211" t="s">
        <v>249</v>
      </c>
      <c r="T186" s="211" t="s">
        <v>822</v>
      </c>
      <c r="U186" s="253" t="s">
        <v>652</v>
      </c>
      <c r="W186" s="8">
        <v>25</v>
      </c>
      <c r="AD186" s="8">
        <v>1</v>
      </c>
      <c r="AE186" s="8">
        <v>2</v>
      </c>
    </row>
    <row r="187" spans="1:48" hidden="1">
      <c r="A187" s="286" t="s">
        <v>244</v>
      </c>
      <c r="B187" s="286" t="s">
        <v>221</v>
      </c>
      <c r="C187" s="280" t="s">
        <v>3</v>
      </c>
      <c r="D187" s="281" t="str">
        <f>IF(F187="","",CHOOSE(MONTH(F187),"Q4","Q4","Q4","Q1","Q1","Q1","Q2","Q2","Q2","Q3","Q3","Q3"))</f>
        <v>Q2</v>
      </c>
      <c r="E187" s="282" t="str">
        <f>IF(F187="","",CHOOSE(MONTH(F187),"10-JAN","11-FEB","12-MAR","01-APR","02-MAY","03-JUN","04-JUL","05-AUG","06-SEP","07-OCT","08-NOV","09-DEC"))</f>
        <v>06-SEP</v>
      </c>
      <c r="F187" s="242">
        <v>45176</v>
      </c>
      <c r="G187" s="231" t="s">
        <v>338</v>
      </c>
      <c r="H187" s="5" t="s">
        <v>26</v>
      </c>
      <c r="I187" s="29" t="s">
        <v>223</v>
      </c>
      <c r="J187" s="8" t="s">
        <v>130</v>
      </c>
      <c r="K187" s="281" t="s">
        <v>30</v>
      </c>
      <c r="L187" s="78" t="s">
        <v>339</v>
      </c>
      <c r="M187" s="151">
        <f>IF(SUM(V187:BC187)=0,"-",SUM(V187:BC187))</f>
        <v>2</v>
      </c>
      <c r="N187" s="241">
        <f>IF(SUMPRODUCT($V$3:$BC$3,V187:BC187)=0,"-",SUMPRODUCT($V$3:$BC$3,V187:BC187))</f>
        <v>70</v>
      </c>
      <c r="P187" s="279" t="str">
        <f>IF(G187="","",IFERROR(IF(S187="Sent","",IF(I187="Delivered","PO en attente","Projet en cours")),""))</f>
        <v/>
      </c>
      <c r="Q187" s="167">
        <v>4200648002</v>
      </c>
      <c r="R187" s="145" t="s">
        <v>340</v>
      </c>
      <c r="S187" s="211" t="s">
        <v>249</v>
      </c>
      <c r="T187" s="211" t="s">
        <v>335</v>
      </c>
      <c r="U187" s="263" t="s">
        <v>290</v>
      </c>
      <c r="W187" s="8">
        <v>2</v>
      </c>
    </row>
    <row r="188" spans="1:48" hidden="1">
      <c r="A188" s="286" t="s">
        <v>244</v>
      </c>
      <c r="B188" s="286" t="s">
        <v>221</v>
      </c>
      <c r="C188" s="280" t="s">
        <v>3</v>
      </c>
      <c r="D188" s="281" t="str">
        <f>IF(F188="","",CHOOSE(MONTH(F188),"Q4","Q4","Q4","Q1","Q1","Q1","Q2","Q2","Q2","Q3","Q3","Q3"))</f>
        <v>Q2</v>
      </c>
      <c r="E188" s="282" t="str">
        <f>IF(F188="","",CHOOSE(MONTH(F188),"10-JAN","11-FEB","12-MAR","01-APR","02-MAY","03-JUN","04-JUL","05-AUG","06-SEP","07-OCT","08-NOV","09-DEC"))</f>
        <v>06-SEP</v>
      </c>
      <c r="F188" s="242">
        <v>45176</v>
      </c>
      <c r="G188" s="231" t="s">
        <v>392</v>
      </c>
      <c r="H188" s="5" t="s">
        <v>26</v>
      </c>
      <c r="I188" s="29" t="s">
        <v>223</v>
      </c>
      <c r="J188" s="8" t="s">
        <v>69</v>
      </c>
      <c r="K188" s="281" t="s">
        <v>30</v>
      </c>
      <c r="L188" s="78" t="s">
        <v>393</v>
      </c>
      <c r="M188" s="151">
        <f>IF(SUM(V188:BC188)=0,"-",SUM(V188:BC188))</f>
        <v>2</v>
      </c>
      <c r="N188" s="241">
        <f>IF(SUMPRODUCT($V$3:$BC$3,V188:BC188)=0,"-",SUMPRODUCT($V$3:$BC$3,V188:BC188))</f>
        <v>155</v>
      </c>
      <c r="P188" s="279" t="str">
        <f>IF(G188="","",IFERROR(IF(S188="Sent","",IF(I188="Delivered","PO en attente","Projet en cours")),""))</f>
        <v/>
      </c>
      <c r="Q188" s="145">
        <v>4200657843</v>
      </c>
      <c r="R188" s="145" t="s">
        <v>363</v>
      </c>
      <c r="S188" s="211" t="s">
        <v>249</v>
      </c>
      <c r="T188" s="211" t="s">
        <v>394</v>
      </c>
      <c r="U188" s="316" t="s">
        <v>1217</v>
      </c>
      <c r="V188" s="7">
        <v>1</v>
      </c>
      <c r="W188" s="8">
        <v>1</v>
      </c>
    </row>
    <row r="189" spans="1:48" hidden="1">
      <c r="A189" s="286" t="s">
        <v>244</v>
      </c>
      <c r="B189" s="286" t="s">
        <v>221</v>
      </c>
      <c r="C189" s="280" t="s">
        <v>3</v>
      </c>
      <c r="D189" s="281" t="str">
        <f>IF(F189="","",CHOOSE(MONTH(F189),"Q4","Q4","Q4","Q1","Q1","Q1","Q2","Q2","Q2","Q3","Q3","Q3"))</f>
        <v>Q2</v>
      </c>
      <c r="E189" s="282" t="str">
        <f>IF(F189="","",CHOOSE(MONTH(F189),"10-JAN","11-FEB","12-MAR","01-APR","02-MAY","03-JUN","04-JUL","05-AUG","06-SEP","07-OCT","08-NOV","09-DEC"))</f>
        <v>06-SEP</v>
      </c>
      <c r="F189" s="76">
        <v>45182</v>
      </c>
      <c r="G189" s="231" t="s">
        <v>823</v>
      </c>
      <c r="H189" s="5" t="s">
        <v>27</v>
      </c>
      <c r="I189" s="29" t="s">
        <v>223</v>
      </c>
      <c r="J189" s="8" t="s">
        <v>67</v>
      </c>
      <c r="K189" s="281" t="s">
        <v>34</v>
      </c>
      <c r="L189" s="78" t="s">
        <v>824</v>
      </c>
      <c r="M189" s="151">
        <f>IF(SUM(V189:BC189)=0,"-",SUM(V189:BC189))</f>
        <v>11</v>
      </c>
      <c r="N189" s="241">
        <f>IF(SUMPRODUCT($V$3:$BC$3,V189:BC189)=0,"-",SUMPRODUCT($V$3:$BC$3,V189:BC189))</f>
        <v>470</v>
      </c>
      <c r="O189" s="266" t="s">
        <v>825</v>
      </c>
      <c r="P189" s="269" t="str">
        <f>IF(G189="","",IFERROR(IF(S189="Sent","",IF(I189="Delivered","PO en attente","Projet en cours")),""))</f>
        <v/>
      </c>
      <c r="Q189" s="211">
        <v>4200652038</v>
      </c>
      <c r="R189" s="211"/>
      <c r="S189" s="211" t="s">
        <v>249</v>
      </c>
      <c r="T189" s="211" t="s">
        <v>826</v>
      </c>
      <c r="U189" s="253" t="s">
        <v>652</v>
      </c>
      <c r="V189" s="7">
        <v>1</v>
      </c>
      <c r="W189" s="8">
        <v>10</v>
      </c>
    </row>
    <row r="190" spans="1:48" hidden="1">
      <c r="A190" s="286" t="s">
        <v>244</v>
      </c>
      <c r="B190" s="286" t="s">
        <v>221</v>
      </c>
      <c r="C190" s="280" t="s">
        <v>3</v>
      </c>
      <c r="D190" s="281" t="str">
        <f>IF(F190="","",CHOOSE(MONTH(F190),"Q4","Q4","Q4","Q1","Q1","Q1","Q2","Q2","Q2","Q3","Q3","Q3"))</f>
        <v>Q2</v>
      </c>
      <c r="E190" s="282" t="str">
        <f>IF(F190="","",CHOOSE(MONTH(F190),"10-JAN","11-FEB","12-MAR","01-APR","02-MAY","03-JUN","04-JUL","05-AUG","06-SEP","07-OCT","08-NOV","09-DEC"))</f>
        <v>06-SEP</v>
      </c>
      <c r="F190" s="76">
        <v>45182</v>
      </c>
      <c r="G190" s="231" t="s">
        <v>827</v>
      </c>
      <c r="H190" s="5" t="s">
        <v>35</v>
      </c>
      <c r="I190" s="29" t="s">
        <v>223</v>
      </c>
      <c r="J190" s="8" t="s">
        <v>93</v>
      </c>
      <c r="K190" s="281" t="s">
        <v>34</v>
      </c>
      <c r="L190" s="124" t="s">
        <v>828</v>
      </c>
      <c r="M190" s="151">
        <f>IF(SUM(V190:BC190)=0,"-",SUM(V190:BC190))</f>
        <v>2</v>
      </c>
      <c r="N190" s="241">
        <f>IF(SUMPRODUCT($V$3:$BC$3,V190:BC190)=0,"-",SUMPRODUCT($V$3:$BC$3,V190:BC190))</f>
        <v>270</v>
      </c>
      <c r="O190" s="266" t="s">
        <v>829</v>
      </c>
      <c r="P190" s="279" t="str">
        <f>IF(G190="","",IFERROR(IF(S190="Sent","",IF(I190="Delivered","PO en attente","Projet en cours")),""))</f>
        <v/>
      </c>
      <c r="Q190" s="211">
        <v>4200653894</v>
      </c>
      <c r="R190" s="211"/>
      <c r="S190" s="211" t="s">
        <v>249</v>
      </c>
      <c r="T190" s="211" t="s">
        <v>830</v>
      </c>
      <c r="U190" s="249" t="s">
        <v>517</v>
      </c>
      <c r="AC190" s="7">
        <v>2</v>
      </c>
    </row>
    <row r="191" spans="1:48" hidden="1">
      <c r="A191" s="286" t="s">
        <v>244</v>
      </c>
      <c r="B191" s="286" t="s">
        <v>221</v>
      </c>
      <c r="C191" s="280" t="s">
        <v>3</v>
      </c>
      <c r="D191" s="281" t="str">
        <f>IF(F191="","",CHOOSE(MONTH(F191),"Q4","Q4","Q4","Q1","Q1","Q1","Q2","Q2","Q2","Q3","Q3","Q3"))</f>
        <v>Q2</v>
      </c>
      <c r="E191" s="282" t="str">
        <f>IF(F191="","",CHOOSE(MONTH(F191),"10-JAN","11-FEB","12-MAR","01-APR","02-MAY","03-JUN","04-JUL","05-AUG","06-SEP","07-OCT","08-NOV","09-DEC"))</f>
        <v>06-SEP</v>
      </c>
      <c r="F191" s="76">
        <v>45183</v>
      </c>
      <c r="G191" s="231" t="s">
        <v>837</v>
      </c>
      <c r="H191" s="5" t="s">
        <v>36</v>
      </c>
      <c r="I191" s="29" t="s">
        <v>223</v>
      </c>
      <c r="J191" s="8" t="s">
        <v>69</v>
      </c>
      <c r="K191" s="281" t="s">
        <v>34</v>
      </c>
      <c r="L191" s="78" t="s">
        <v>838</v>
      </c>
      <c r="M191" s="151">
        <f>IF(SUM(V191:BC191)=0,"-",SUM(V191:BC191))</f>
        <v>9</v>
      </c>
      <c r="N191" s="241">
        <f>IF(SUMPRODUCT($V$3:$BC$3,V191:BC191)=0,"-",SUMPRODUCT($V$3:$BC$3,V191:BC191))</f>
        <v>410</v>
      </c>
      <c r="O191" s="266" t="s">
        <v>839</v>
      </c>
      <c r="P191" s="279" t="str">
        <f>IF(G191="","",IFERROR(IF(S191="Sent","",IF(I191="Delivered","PO en attente","Projet en cours")),""))</f>
        <v/>
      </c>
      <c r="Q191" s="211">
        <v>4200651986</v>
      </c>
      <c r="R191" s="211"/>
      <c r="S191" s="211" t="s">
        <v>249</v>
      </c>
      <c r="T191" s="211" t="s">
        <v>1278</v>
      </c>
      <c r="U191" s="253" t="s">
        <v>652</v>
      </c>
      <c r="V191" s="7">
        <v>1</v>
      </c>
      <c r="W191" s="8">
        <v>6</v>
      </c>
      <c r="AD191" s="8">
        <v>2</v>
      </c>
    </row>
    <row r="192" spans="1:48" hidden="1">
      <c r="A192" s="286" t="s">
        <v>244</v>
      </c>
      <c r="B192" s="286" t="s">
        <v>221</v>
      </c>
      <c r="C192" s="280" t="s">
        <v>3</v>
      </c>
      <c r="D192" s="281" t="str">
        <f>IF(F192="","",CHOOSE(MONTH(F192),"Q4","Q4","Q4","Q1","Q1","Q1","Q2","Q2","Q2","Q3","Q3","Q3"))</f>
        <v>Q2</v>
      </c>
      <c r="E192" s="282" t="str">
        <f>IF(F192="","",CHOOSE(MONTH(F192),"10-JAN","11-FEB","12-MAR","01-APR","02-MAY","03-JUN","04-JUL","05-AUG","06-SEP","07-OCT","08-NOV","09-DEC"))</f>
        <v>06-SEP</v>
      </c>
      <c r="F192" s="76">
        <v>45183</v>
      </c>
      <c r="G192" s="231" t="s">
        <v>833</v>
      </c>
      <c r="H192" s="5" t="s">
        <v>36</v>
      </c>
      <c r="I192" s="29" t="s">
        <v>223</v>
      </c>
      <c r="J192" s="8" t="s">
        <v>69</v>
      </c>
      <c r="K192" s="281" t="s">
        <v>34</v>
      </c>
      <c r="L192" s="78" t="s">
        <v>834</v>
      </c>
      <c r="M192" s="151">
        <f>IF(SUM(V192:BC192)=0,"-",SUM(V192:BC192))</f>
        <v>2</v>
      </c>
      <c r="N192" s="241">
        <f>IF(SUMPRODUCT($V$3:$BC$3,V192:BC192)=0,"-",SUMPRODUCT($V$3:$BC$3,V192:BC192))</f>
        <v>360</v>
      </c>
      <c r="O192" s="266" t="s">
        <v>835</v>
      </c>
      <c r="P192" s="279" t="str">
        <f>IF(G192="","",IFERROR(IF(S192="Sent","",IF(I192="Delivered","PO en attente","Projet en cours")),""))</f>
        <v/>
      </c>
      <c r="Q192" s="211">
        <v>4200651982</v>
      </c>
      <c r="R192" s="211"/>
      <c r="S192" s="211" t="s">
        <v>249</v>
      </c>
      <c r="T192" s="211" t="s">
        <v>1279</v>
      </c>
      <c r="U192" s="253" t="s">
        <v>652</v>
      </c>
      <c r="AI192" s="8">
        <v>2</v>
      </c>
    </row>
    <row r="193" spans="1:57" hidden="1">
      <c r="A193" s="286" t="s">
        <v>244</v>
      </c>
      <c r="B193" s="286" t="s">
        <v>221</v>
      </c>
      <c r="C193" s="280" t="s">
        <v>2</v>
      </c>
      <c r="D193" s="281" t="str">
        <f>IF(F193="","",CHOOSE(MONTH(F193),"Q4","Q4","Q4","Q1","Q1","Q1","Q2","Q2","Q2","Q3","Q3","Q3"))</f>
        <v>Q2</v>
      </c>
      <c r="E193" s="409" t="str">
        <f>IF(F193="","",CHOOSE(MONTH(F193),"10-JAN","11-FEB","12-MAR","01-APR","02-MAY","03-JUN","04-JUL","05-AUG","06-SEP","07-OCT","08-NOV","09-DEC"))</f>
        <v>06-SEP</v>
      </c>
      <c r="F193" s="242">
        <v>45183</v>
      </c>
      <c r="G193" s="231" t="s">
        <v>44</v>
      </c>
      <c r="H193" s="5" t="s">
        <v>43</v>
      </c>
      <c r="I193" s="29" t="s">
        <v>223</v>
      </c>
      <c r="J193" s="8" t="s">
        <v>69</v>
      </c>
      <c r="K193" s="281" t="s">
        <v>34</v>
      </c>
      <c r="L193" s="78" t="s">
        <v>831</v>
      </c>
      <c r="M193" s="151">
        <f>IF(SUM(V193:BC193)=0,"-",SUM(V193:BC193))</f>
        <v>1</v>
      </c>
      <c r="N193" s="65">
        <f>IF(SUMPRODUCT($V$3:$BC$3,V193:BC193)=0,"-",SUMPRODUCT($V$3:$BC$3,V193:BC193))</f>
        <v>180</v>
      </c>
      <c r="O193" s="30" t="s">
        <v>832</v>
      </c>
      <c r="P193" s="280" t="str">
        <f>IF(G193="","",IFERROR(IF(S193="Sent","",IF(I193="Delivered","PO en attente","Projet en cours")),""))</f>
        <v/>
      </c>
      <c r="Q193" s="248">
        <v>4200678470</v>
      </c>
      <c r="R193" s="258"/>
      <c r="S193" s="260" t="s">
        <v>249</v>
      </c>
      <c r="T193" s="260" t="s">
        <v>1225</v>
      </c>
      <c r="U193" s="257" t="s">
        <v>1226</v>
      </c>
      <c r="AE193" s="8">
        <v>1</v>
      </c>
    </row>
    <row r="194" spans="1:57" hidden="1">
      <c r="A194" s="286" t="s">
        <v>244</v>
      </c>
      <c r="B194" s="286" t="s">
        <v>221</v>
      </c>
      <c r="C194" s="280" t="s">
        <v>3</v>
      </c>
      <c r="D194" s="281" t="str">
        <f>IF(F194="","",CHOOSE(MONTH(F194),"Q4","Q4","Q4","Q1","Q1","Q1","Q2","Q2","Q2","Q3","Q3","Q3"))</f>
        <v>Q2</v>
      </c>
      <c r="E194" s="282" t="str">
        <f>IF(F194="","",CHOOSE(MONTH(F194),"10-JAN","11-FEB","12-MAR","01-APR","02-MAY","03-JUN","04-JUL","05-AUG","06-SEP","07-OCT","08-NOV","09-DEC"))</f>
        <v>06-SEP</v>
      </c>
      <c r="F194" s="76">
        <v>45184</v>
      </c>
      <c r="G194" s="233" t="s">
        <v>841</v>
      </c>
      <c r="H194" s="5" t="s">
        <v>27</v>
      </c>
      <c r="I194" s="29" t="s">
        <v>223</v>
      </c>
      <c r="J194" s="8" t="s">
        <v>69</v>
      </c>
      <c r="K194" s="281" t="s">
        <v>34</v>
      </c>
      <c r="L194" s="78" t="s">
        <v>842</v>
      </c>
      <c r="M194" s="151">
        <f>IF(SUM(V194:BC194)=0,"-",SUM(V194:BC194))</f>
        <v>2</v>
      </c>
      <c r="N194" s="241">
        <f>IF(SUMPRODUCT($V$3:$BC$3,V194:BC194)=0,"-",SUMPRODUCT($V$3:$BC$3,V194:BC194))</f>
        <v>70</v>
      </c>
      <c r="O194" s="266" t="s">
        <v>843</v>
      </c>
      <c r="P194" s="269" t="str">
        <f>IF(G194="","",IFERROR(IF(S194="Sent","",IF(I194="Delivered","PO en attente","Projet en cours")),""))</f>
        <v/>
      </c>
      <c r="Q194" s="211">
        <v>4270026854</v>
      </c>
      <c r="R194" s="211"/>
      <c r="S194" s="211" t="s">
        <v>249</v>
      </c>
      <c r="T194" s="211" t="s">
        <v>844</v>
      </c>
      <c r="U194" s="249" t="s">
        <v>517</v>
      </c>
      <c r="W194" s="8">
        <v>2</v>
      </c>
    </row>
    <row r="195" spans="1:57" hidden="1">
      <c r="A195" s="286" t="s">
        <v>244</v>
      </c>
      <c r="B195" s="286" t="s">
        <v>221</v>
      </c>
      <c r="C195" s="280" t="s">
        <v>3</v>
      </c>
      <c r="D195" s="281" t="str">
        <f>IF(F195="","",CHOOSE(MONTH(F195),"Q4","Q4","Q4","Q1","Q1","Q1","Q2","Q2","Q2","Q3","Q3","Q3"))</f>
        <v>Q2</v>
      </c>
      <c r="E195" s="282" t="str">
        <f>IF(F195="","",CHOOSE(MONTH(F195),"10-JAN","11-FEB","12-MAR","01-APR","02-MAY","03-JUN","04-JUL","05-AUG","06-SEP","07-OCT","08-NOV","09-DEC"))</f>
        <v>06-SEP</v>
      </c>
      <c r="F195" s="76">
        <v>45184</v>
      </c>
      <c r="G195" s="231" t="s">
        <v>845</v>
      </c>
      <c r="H195" s="5" t="s">
        <v>36</v>
      </c>
      <c r="I195" s="29" t="s">
        <v>223</v>
      </c>
      <c r="J195" s="8" t="s">
        <v>69</v>
      </c>
      <c r="K195" s="281" t="s">
        <v>34</v>
      </c>
      <c r="L195" s="78" t="s">
        <v>846</v>
      </c>
      <c r="M195" s="151">
        <f>IF(SUM(V195:BC195)=0,"-",SUM(V195:BC195))</f>
        <v>1</v>
      </c>
      <c r="N195" s="241">
        <f>IF(SUMPRODUCT($V$3:$BC$3,V195:BC195)=0,"-",SUMPRODUCT($V$3:$BC$3,V195:BC195))</f>
        <v>180</v>
      </c>
      <c r="O195" s="275" t="s">
        <v>847</v>
      </c>
      <c r="P195" s="279" t="str">
        <f>IF(G195="","",IFERROR(IF(S195="Sent","",IF(I195="Delivered","PO en attente","Projet en cours")),""))</f>
        <v/>
      </c>
      <c r="Q195" s="211">
        <v>4200651982</v>
      </c>
      <c r="R195" s="211"/>
      <c r="S195" s="211" t="s">
        <v>249</v>
      </c>
      <c r="T195" s="211" t="s">
        <v>1279</v>
      </c>
      <c r="U195" s="253" t="s">
        <v>652</v>
      </c>
      <c r="AE195" s="8">
        <v>1</v>
      </c>
    </row>
    <row r="196" spans="1:57" ht="30.75" hidden="1">
      <c r="A196" s="286" t="s">
        <v>244</v>
      </c>
      <c r="B196" s="286" t="s">
        <v>221</v>
      </c>
      <c r="C196" s="280" t="s">
        <v>3</v>
      </c>
      <c r="D196" s="281" t="str">
        <f>IF(F196="","",CHOOSE(MONTH(F196),"Q4","Q4","Q4","Q1","Q1","Q1","Q2","Q2","Q2","Q3","Q3","Q3"))</f>
        <v>Q2</v>
      </c>
      <c r="E196" s="282" t="str">
        <f>IF(F196="","",CHOOSE(MONTH(F196),"10-JAN","11-FEB","12-MAR","01-APR","02-MAY","03-JUN","04-JUL","05-AUG","06-SEP","07-OCT","08-NOV","09-DEC"))</f>
        <v>06-SEP</v>
      </c>
      <c r="F196" s="76">
        <v>45188</v>
      </c>
      <c r="G196" s="231" t="s">
        <v>341</v>
      </c>
      <c r="H196" s="5" t="s">
        <v>27</v>
      </c>
      <c r="I196" s="29" t="s">
        <v>223</v>
      </c>
      <c r="J196" s="161" t="s">
        <v>130</v>
      </c>
      <c r="K196" s="281" t="s">
        <v>34</v>
      </c>
      <c r="L196" s="162" t="s">
        <v>848</v>
      </c>
      <c r="M196" s="151">
        <f>IF(SUM(V196:BC196)=0,"-",SUM(V196:BC196))</f>
        <v>3</v>
      </c>
      <c r="N196" s="241">
        <f>IF(SUMPRODUCT($V$3:$BC$3,V196:BC196)=0,"-",SUMPRODUCT($V$3:$BC$3,V196:BC196))</f>
        <v>540</v>
      </c>
      <c r="O196" s="266" t="s">
        <v>849</v>
      </c>
      <c r="P196" s="269" t="str">
        <f>IF(G196="","",IFERROR(IF(S196="Sent","",IF(I196="Delivered","PO en attente","Projet en cours")),""))</f>
        <v/>
      </c>
      <c r="Q196" s="167">
        <v>4200648002</v>
      </c>
      <c r="R196" s="167" t="s">
        <v>1280</v>
      </c>
      <c r="S196" s="260" t="s">
        <v>249</v>
      </c>
      <c r="T196" s="260" t="s">
        <v>335</v>
      </c>
      <c r="U196" s="257" t="s">
        <v>290</v>
      </c>
      <c r="AI196" s="8">
        <v>3</v>
      </c>
    </row>
    <row r="197" spans="1:57" hidden="1">
      <c r="A197" s="286" t="s">
        <v>244</v>
      </c>
      <c r="B197" s="286" t="s">
        <v>221</v>
      </c>
      <c r="C197" s="280" t="s">
        <v>3</v>
      </c>
      <c r="D197" s="281" t="str">
        <f>IF(F197="","",CHOOSE(MONTH(F197),"Q4","Q4","Q4","Q1","Q1","Q1","Q2","Q2","Q2","Q3","Q3","Q3"))</f>
        <v>Q2</v>
      </c>
      <c r="E197" s="282" t="str">
        <f>IF(F197="","",CHOOSE(MONTH(F197),"10-JAN","11-FEB","12-MAR","01-APR","02-MAY","03-JUN","04-JUL","05-AUG","06-SEP","07-OCT","08-NOV","09-DEC"))</f>
        <v>06-SEP</v>
      </c>
      <c r="F197" s="242">
        <v>45188</v>
      </c>
      <c r="G197" s="231" t="s">
        <v>341</v>
      </c>
      <c r="H197" s="459" t="s">
        <v>33</v>
      </c>
      <c r="I197" s="29" t="s">
        <v>223</v>
      </c>
      <c r="J197" s="8" t="s">
        <v>130</v>
      </c>
      <c r="K197" s="281" t="s">
        <v>30</v>
      </c>
      <c r="L197" s="78" t="s">
        <v>342</v>
      </c>
      <c r="M197" s="151">
        <f>IF(SUM(V197:BC197)=0,"-",SUM(V197:BC197))</f>
        <v>3</v>
      </c>
      <c r="N197" s="241">
        <f>IF(SUMPRODUCT($V$3:$BC$3,V197:BC197)=0,"-",SUMPRODUCT($V$3:$BC$3,V197:BC197))</f>
        <v>540</v>
      </c>
      <c r="P197" s="279" t="str">
        <f>IF(G197="","",IFERROR(IF(S197="Sent","",IF(I197="Delivered","PO en attente","Projet en cours")),""))</f>
        <v/>
      </c>
      <c r="Q197" s="167">
        <v>4200648002</v>
      </c>
      <c r="R197" s="145" t="s">
        <v>340</v>
      </c>
      <c r="S197" s="211" t="s">
        <v>249</v>
      </c>
      <c r="T197" s="211" t="s">
        <v>335</v>
      </c>
      <c r="U197" s="263" t="s">
        <v>290</v>
      </c>
      <c r="AI197" s="8">
        <v>3</v>
      </c>
    </row>
    <row r="198" spans="1:57" hidden="1">
      <c r="A198" s="286" t="s">
        <v>244</v>
      </c>
      <c r="B198" s="286" t="s">
        <v>221</v>
      </c>
      <c r="C198" s="280" t="s">
        <v>3</v>
      </c>
      <c r="D198" s="281" t="str">
        <f>IF(F198="","",CHOOSE(MONTH(F198),"Q4","Q4","Q4","Q1","Q1","Q1","Q2","Q2","Q2","Q3","Q3","Q3"))</f>
        <v>Q2</v>
      </c>
      <c r="E198" s="282" t="str">
        <f>IF(F198="","",CHOOSE(MONTH(F198),"10-JAN","11-FEB","12-MAR","01-APR","02-MAY","03-JUN","04-JUL","05-AUG","06-SEP","07-OCT","08-NOV","09-DEC"))</f>
        <v>06-SEP</v>
      </c>
      <c r="F198" s="76">
        <v>45189</v>
      </c>
      <c r="G198" s="233" t="s">
        <v>851</v>
      </c>
      <c r="H198" s="5" t="s">
        <v>27</v>
      </c>
      <c r="I198" s="29" t="s">
        <v>223</v>
      </c>
      <c r="J198" s="8" t="s">
        <v>130</v>
      </c>
      <c r="K198" s="281" t="s">
        <v>34</v>
      </c>
      <c r="L198" s="78" t="s">
        <v>852</v>
      </c>
      <c r="M198" s="151">
        <f>IF(SUM(V198:BC198)=0,"-",SUM(V198:BC198))</f>
        <v>3</v>
      </c>
      <c r="N198" s="241">
        <f>IF(SUMPRODUCT($V$3:$BC$3,V198:BC198)=0,"-",SUMPRODUCT($V$3:$BC$3,V198:BC198))</f>
        <v>105</v>
      </c>
      <c r="O198" s="266" t="s">
        <v>853</v>
      </c>
      <c r="P198" s="269" t="str">
        <f>IF(G198="","",IFERROR(IF(S198="Sent","",IF(I198="Delivered","PO en attente","Projet en cours")),""))</f>
        <v/>
      </c>
      <c r="Q198" s="211">
        <v>4200654041</v>
      </c>
      <c r="R198" s="211"/>
      <c r="S198" s="211" t="s">
        <v>249</v>
      </c>
      <c r="T198" s="211" t="s">
        <v>770</v>
      </c>
      <c r="U198" s="249" t="s">
        <v>517</v>
      </c>
      <c r="W198" s="8">
        <v>3</v>
      </c>
    </row>
    <row r="199" spans="1:57" hidden="1">
      <c r="A199" s="285" t="s">
        <v>220</v>
      </c>
      <c r="B199" s="285" t="s">
        <v>221</v>
      </c>
      <c r="C199" s="281" t="s">
        <v>3</v>
      </c>
      <c r="D199" s="281" t="str">
        <f>IF(F199="","",CHOOSE(MONTH(F199),"Q4","Q4","Q4","Q1","Q1","Q1","Q2","Q2","Q2","Q3","Q3","Q3"))</f>
        <v>Q2</v>
      </c>
      <c r="E199" s="282" t="str">
        <f>IF(F199="","",CHOOSE(MONTH(F199),"10-JAN","11-FEB","12-MAR","01-APR","02-MAY","03-JUN","04-JUL","05-AUG","06-SEP","07-OCT","08-NOV","09-DEC"))</f>
        <v>06-SEP</v>
      </c>
      <c r="F199" s="76">
        <v>45189</v>
      </c>
      <c r="G199" s="231" t="s">
        <v>880</v>
      </c>
      <c r="H199" s="459" t="s">
        <v>33</v>
      </c>
      <c r="I199" s="29" t="s">
        <v>223</v>
      </c>
      <c r="J199" s="8" t="s">
        <v>130</v>
      </c>
      <c r="K199" s="281" t="s">
        <v>30</v>
      </c>
      <c r="L199" s="78" t="s">
        <v>881</v>
      </c>
      <c r="M199" s="151">
        <f>IF(SUM(V199:BC199)=0,"-",SUM(V199:BC199))</f>
        <v>3</v>
      </c>
      <c r="N199" s="241">
        <f>IF(SUMPRODUCT($V$3:$BC$3,V199:BC199)=0,"-",SUMPRODUCT($V$3:$BC$3,V199:BC199))</f>
        <v>195</v>
      </c>
      <c r="O199" s="266" t="s">
        <v>882</v>
      </c>
      <c r="P199" s="279" t="str">
        <f>IF(G199="","",IFERROR(IF(S199="Sent","",IF(I199="Delivered","PO en attente","Projet en cours")),""))</f>
        <v/>
      </c>
      <c r="Q199" s="258">
        <v>4200653885</v>
      </c>
      <c r="R199" s="258" t="s">
        <v>340</v>
      </c>
      <c r="S199" s="211" t="s">
        <v>249</v>
      </c>
      <c r="T199" s="211" t="s">
        <v>1281</v>
      </c>
      <c r="U199" s="249" t="s">
        <v>1202</v>
      </c>
      <c r="V199" s="7">
        <v>1</v>
      </c>
      <c r="W199" s="8">
        <v>1</v>
      </c>
      <c r="AD199" s="8">
        <v>1</v>
      </c>
    </row>
    <row r="200" spans="1:57" hidden="1">
      <c r="A200" s="286" t="s">
        <v>244</v>
      </c>
      <c r="B200" s="286" t="s">
        <v>221</v>
      </c>
      <c r="C200" s="280" t="s">
        <v>2</v>
      </c>
      <c r="D200" s="281" t="str">
        <f>IF(F200="","",CHOOSE(MONTH(F200),"Q4","Q4","Q4","Q1","Q1","Q1","Q2","Q2","Q2","Q3","Q3","Q3"))</f>
        <v>Q2</v>
      </c>
      <c r="E200" s="409" t="str">
        <f>IF(F200="","",CHOOSE(MONTH(F200),"10-JAN","11-FEB","12-MAR","01-APR","02-MAY","03-JUN","04-JUL","05-AUG","06-SEP","07-OCT","08-NOV","09-DEC"))</f>
        <v>06-SEP</v>
      </c>
      <c r="F200" s="242">
        <v>45190</v>
      </c>
      <c r="G200" s="231" t="s">
        <v>45</v>
      </c>
      <c r="H200" s="5" t="s">
        <v>43</v>
      </c>
      <c r="I200" s="29" t="s">
        <v>223</v>
      </c>
      <c r="J200" s="8" t="s">
        <v>69</v>
      </c>
      <c r="K200" s="281" t="s">
        <v>34</v>
      </c>
      <c r="L200" s="78" t="s">
        <v>854</v>
      </c>
      <c r="M200" s="151">
        <f>IF(SUM(V200:BC200)=0,"-",SUM(V200:BC200))</f>
        <v>1</v>
      </c>
      <c r="N200" s="65">
        <f>IF(SUMPRODUCT($V$3:$BC$3,V200:BC200)=0,"-",SUMPRODUCT($V$3:$BC$3,V200:BC200))</f>
        <v>135</v>
      </c>
      <c r="O200" s="30" t="s">
        <v>855</v>
      </c>
      <c r="P200" s="280" t="str">
        <f>IF(G200="","",IFERROR(IF(S200="Sent","",IF(I200="Delivered","PO en attente","Projet en cours")),""))</f>
        <v/>
      </c>
      <c r="Q200" s="248">
        <v>4200678470</v>
      </c>
      <c r="R200" s="258"/>
      <c r="S200" s="260" t="s">
        <v>249</v>
      </c>
      <c r="T200" s="260" t="s">
        <v>1225</v>
      </c>
      <c r="U200" s="257" t="s">
        <v>1226</v>
      </c>
      <c r="AC200" s="7">
        <v>1</v>
      </c>
    </row>
    <row r="201" spans="1:57" hidden="1">
      <c r="A201" s="286" t="s">
        <v>244</v>
      </c>
      <c r="B201" s="286" t="s">
        <v>221</v>
      </c>
      <c r="C201" s="280" t="s">
        <v>3</v>
      </c>
      <c r="D201" s="281" t="str">
        <f>IF(F201="","",CHOOSE(MONTH(F201),"Q4","Q4","Q4","Q1","Q1","Q1","Q2","Q2","Q2","Q3","Q3","Q3"))</f>
        <v>Q2</v>
      </c>
      <c r="E201" s="282" t="str">
        <f>IF(F201="","",CHOOSE(MONTH(F201),"10-JAN","11-FEB","12-MAR","01-APR","02-MAY","03-JUN","04-JUL","05-AUG","06-SEP","07-OCT","08-NOV","09-DEC"))</f>
        <v>06-SEP</v>
      </c>
      <c r="F201" s="76">
        <v>45191</v>
      </c>
      <c r="G201" s="231" t="s">
        <v>856</v>
      </c>
      <c r="H201" t="s">
        <v>38</v>
      </c>
      <c r="I201" s="29" t="s">
        <v>223</v>
      </c>
      <c r="J201" s="8" t="s">
        <v>95</v>
      </c>
      <c r="K201" s="281" t="s">
        <v>34</v>
      </c>
      <c r="L201" s="78" t="s">
        <v>857</v>
      </c>
      <c r="M201" s="151">
        <f>IF(SUM(V201:BC201)=0,"-",SUM(V201:BC201))</f>
        <v>1</v>
      </c>
      <c r="N201" s="241">
        <f>IF(SUMPRODUCT($V$3:$BC$3,V201:BC201)=0,"-",SUMPRODUCT($V$3:$BC$3,V201:BC201))</f>
        <v>40</v>
      </c>
      <c r="O201" s="266" t="s">
        <v>1282</v>
      </c>
      <c r="P201" s="279" t="str">
        <f>IF(G201="","",IFERROR(IF(S201="Sent","",IF(I201="Delivered","PO en attente","Projet en cours")),""))</f>
        <v/>
      </c>
      <c r="Q201" s="258">
        <v>4270026671</v>
      </c>
      <c r="R201" s="258"/>
      <c r="S201" s="211" t="s">
        <v>249</v>
      </c>
      <c r="T201" s="211" t="s">
        <v>859</v>
      </c>
      <c r="U201" s="257" t="s">
        <v>1283</v>
      </c>
      <c r="AD201" s="8">
        <v>1</v>
      </c>
      <c r="BD201" s="7"/>
      <c r="BE201" s="8"/>
    </row>
    <row r="202" spans="1:57" hidden="1">
      <c r="A202" s="286" t="s">
        <v>244</v>
      </c>
      <c r="B202" s="286" t="s">
        <v>221</v>
      </c>
      <c r="C202" s="280" t="s">
        <v>3</v>
      </c>
      <c r="D202" s="281" t="str">
        <f>IF(F202="","",CHOOSE(MONTH(F202),"Q4","Q4","Q4","Q1","Q1","Q1","Q2","Q2","Q2","Q3","Q3","Q3"))</f>
        <v>Q2</v>
      </c>
      <c r="E202" s="282" t="str">
        <f>IF(F202="","",CHOOSE(MONTH(F202),"10-JAN","11-FEB","12-MAR","01-APR","02-MAY","03-JUN","04-JUL","05-AUG","06-SEP","07-OCT","08-NOV","09-DEC"))</f>
        <v>06-SEP</v>
      </c>
      <c r="F202" s="76">
        <v>45194</v>
      </c>
      <c r="G202" s="234" t="s">
        <v>860</v>
      </c>
      <c r="H202" s="5" t="s">
        <v>35</v>
      </c>
      <c r="I202" s="29" t="s">
        <v>223</v>
      </c>
      <c r="J202" s="8" t="s">
        <v>129</v>
      </c>
      <c r="K202" s="281" t="s">
        <v>34</v>
      </c>
      <c r="L202" s="124" t="s">
        <v>861</v>
      </c>
      <c r="M202" s="151">
        <f>IF(SUM(V202:BC202)=0,"-",SUM(V202:BC202))</f>
        <v>2</v>
      </c>
      <c r="N202" s="241">
        <f>IF(SUMPRODUCT($V$3:$BC$3,V202:BC202)=0,"-",SUMPRODUCT($V$3:$BC$3,V202:BC202))</f>
        <v>155</v>
      </c>
      <c r="O202" s="266" t="s">
        <v>862</v>
      </c>
      <c r="P202" s="279" t="str">
        <f>IF(G202="","",IFERROR(IF(S202="Sent","",IF(I202="Delivered","PO en attente","Projet en cours")),""))</f>
        <v/>
      </c>
      <c r="Q202" s="211">
        <v>4200653974</v>
      </c>
      <c r="R202" s="211"/>
      <c r="S202" s="211" t="s">
        <v>249</v>
      </c>
      <c r="T202" s="211" t="s">
        <v>863</v>
      </c>
      <c r="U202" s="249" t="s">
        <v>517</v>
      </c>
      <c r="V202" s="7">
        <v>1</v>
      </c>
      <c r="W202" s="8">
        <v>1</v>
      </c>
    </row>
    <row r="203" spans="1:57" hidden="1">
      <c r="A203" s="286" t="s">
        <v>244</v>
      </c>
      <c r="B203" s="286" t="s">
        <v>221</v>
      </c>
      <c r="C203" s="280" t="s">
        <v>3</v>
      </c>
      <c r="D203" s="281" t="str">
        <f>IF(F203="","",CHOOSE(MONTH(F203),"Q4","Q4","Q4","Q1","Q1","Q1","Q2","Q2","Q2","Q3","Q3","Q3"))</f>
        <v>Q2</v>
      </c>
      <c r="E203" s="282" t="str">
        <f>IF(F203="","",CHOOSE(MONTH(F203),"10-JAN","11-FEB","12-MAR","01-APR","02-MAY","03-JUN","04-JUL","05-AUG","06-SEP","07-OCT","08-NOV","09-DEC"))</f>
        <v>06-SEP</v>
      </c>
      <c r="F203" s="76">
        <v>45195</v>
      </c>
      <c r="G203" s="231" t="s">
        <v>868</v>
      </c>
      <c r="H203" s="5" t="s">
        <v>35</v>
      </c>
      <c r="I203" s="29" t="s">
        <v>223</v>
      </c>
      <c r="J203" s="8" t="s">
        <v>93</v>
      </c>
      <c r="K203" s="281" t="s">
        <v>34</v>
      </c>
      <c r="L203" s="124" t="s">
        <v>869</v>
      </c>
      <c r="M203" s="151">
        <f>IF(SUM(V203:BC203)=0,"-",SUM(V203:BC203))</f>
        <v>1</v>
      </c>
      <c r="N203" s="241">
        <f>IF(SUMPRODUCT($V$3:$BC$3,V203:BC203)=0,"-",SUMPRODUCT($V$3:$BC$3,V203:BC203))</f>
        <v>180</v>
      </c>
      <c r="O203" s="266" t="s">
        <v>870</v>
      </c>
      <c r="P203" s="279" t="str">
        <f>IF(G203="","",IFERROR(IF(S203="Sent","",IF(I203="Delivered","PO en attente","Projet en cours")),""))</f>
        <v/>
      </c>
      <c r="Q203" s="258">
        <v>4200653949</v>
      </c>
      <c r="R203" s="258"/>
      <c r="S203" s="211" t="s">
        <v>249</v>
      </c>
      <c r="T203" s="211" t="s">
        <v>871</v>
      </c>
      <c r="U203" s="249" t="s">
        <v>517</v>
      </c>
      <c r="AE203" s="8">
        <v>1</v>
      </c>
    </row>
    <row r="204" spans="1:57" hidden="1">
      <c r="A204" s="286" t="s">
        <v>244</v>
      </c>
      <c r="B204" s="286" t="s">
        <v>221</v>
      </c>
      <c r="C204" s="280" t="s">
        <v>3</v>
      </c>
      <c r="D204" s="281" t="str">
        <f>IF(F204="","",CHOOSE(MONTH(F204),"Q4","Q4","Q4","Q1","Q1","Q1","Q2","Q2","Q2","Q3","Q3","Q3"))</f>
        <v>Q2</v>
      </c>
      <c r="E204" s="282" t="str">
        <f>IF(F204="","",CHOOSE(MONTH(F204),"10-JAN","11-FEB","12-MAR","01-APR","02-MAY","03-JUN","04-JUL","05-AUG","06-SEP","07-OCT","08-NOV","09-DEC"))</f>
        <v>06-SEP</v>
      </c>
      <c r="F204" s="76">
        <v>45195</v>
      </c>
      <c r="G204" s="231" t="s">
        <v>864</v>
      </c>
      <c r="H204" s="5" t="s">
        <v>36</v>
      </c>
      <c r="I204" s="29" t="s">
        <v>223</v>
      </c>
      <c r="J204" s="8" t="s">
        <v>69</v>
      </c>
      <c r="K204" s="281" t="s">
        <v>34</v>
      </c>
      <c r="L204" s="124" t="s">
        <v>865</v>
      </c>
      <c r="M204" s="151">
        <f>IF(SUM(V204:BC204)=0,"-",SUM(V204:BC204))</f>
        <v>22</v>
      </c>
      <c r="N204" s="241">
        <f>IF(SUMPRODUCT($V$3:$BC$3,V204:BC204)=0,"-",SUMPRODUCT($V$3:$BC$3,V204:BC204))</f>
        <v>770</v>
      </c>
      <c r="O204" s="266" t="s">
        <v>866</v>
      </c>
      <c r="P204" s="279" t="str">
        <f>IF(G204="","",IFERROR(IF(S204="Sent","",IF(I204="Delivered","PO en attente","Projet en cours")),""))</f>
        <v/>
      </c>
      <c r="Q204" s="258">
        <v>4200655684</v>
      </c>
      <c r="R204" s="258"/>
      <c r="S204" s="211" t="s">
        <v>249</v>
      </c>
      <c r="T204" s="211" t="s">
        <v>867</v>
      </c>
      <c r="U204" s="257" t="s">
        <v>1284</v>
      </c>
      <c r="W204" s="8">
        <v>22</v>
      </c>
    </row>
    <row r="205" spans="1:57" hidden="1">
      <c r="A205" s="286" t="s">
        <v>244</v>
      </c>
      <c r="B205" s="286" t="s">
        <v>221</v>
      </c>
      <c r="C205" s="280" t="s">
        <v>3</v>
      </c>
      <c r="D205" s="281" t="str">
        <f>IF(F205="","",CHOOSE(MONTH(F205),"Q4","Q4","Q4","Q1","Q1","Q1","Q2","Q2","Q2","Q3","Q3","Q3"))</f>
        <v>Q2</v>
      </c>
      <c r="E205" s="282" t="str">
        <f>IF(F205="","",CHOOSE(MONTH(F205),"10-JAN","11-FEB","12-MAR","01-APR","02-MAY","03-JUN","04-JUL","05-AUG","06-SEP","07-OCT","08-NOV","09-DEC"))</f>
        <v>06-SEP</v>
      </c>
      <c r="F205" s="76">
        <v>45198</v>
      </c>
      <c r="G205" s="233" t="s">
        <v>872</v>
      </c>
      <c r="H205" s="5" t="s">
        <v>27</v>
      </c>
      <c r="I205" s="29" t="s">
        <v>223</v>
      </c>
      <c r="J205" s="8" t="s">
        <v>130</v>
      </c>
      <c r="K205" s="281" t="s">
        <v>34</v>
      </c>
      <c r="L205" s="78" t="s">
        <v>873</v>
      </c>
      <c r="M205" s="151">
        <f>IF(SUM(V205:BC205)=0,"-",SUM(V205:BC205))</f>
        <v>1</v>
      </c>
      <c r="N205" s="241">
        <f>IF(SUMPRODUCT($V$3:$BC$3,V205:BC205)=0,"-",SUMPRODUCT($V$3:$BC$3,V205:BC205))</f>
        <v>120</v>
      </c>
      <c r="O205" s="266" t="s">
        <v>874</v>
      </c>
      <c r="P205" s="269" t="str">
        <f>IF(G205="","",IFERROR(IF(S205="Sent","",IF(I205="Delivered","PO en attente","Projet en cours")),""))</f>
        <v/>
      </c>
      <c r="Q205" s="258">
        <v>4200655672</v>
      </c>
      <c r="R205" s="258"/>
      <c r="S205" s="211" t="s">
        <v>249</v>
      </c>
      <c r="T205" s="211" t="s">
        <v>875</v>
      </c>
      <c r="U205" s="257" t="s">
        <v>876</v>
      </c>
      <c r="V205" s="7">
        <v>1</v>
      </c>
    </row>
    <row r="206" spans="1:57" hidden="1">
      <c r="A206" s="285" t="s">
        <v>220</v>
      </c>
      <c r="B206" s="285" t="s">
        <v>221</v>
      </c>
      <c r="C206" s="281" t="s">
        <v>3</v>
      </c>
      <c r="D206" s="281" t="str">
        <f>IF(F206="","",CHOOSE(MONTH(F206),"Q4","Q4","Q4","Q1","Q1","Q1","Q2","Q2","Q2","Q3","Q3","Q3"))</f>
        <v>Q2</v>
      </c>
      <c r="E206" s="282" t="str">
        <f>IF(F206="","",CHOOSE(MONTH(F206),"10-JAN","11-FEB","12-MAR","01-APR","02-MAY","03-JUN","04-JUL","05-AUG","06-SEP","07-OCT","08-NOV","09-DEC"))</f>
        <v>06-SEP</v>
      </c>
      <c r="F206" s="76">
        <v>45198</v>
      </c>
      <c r="G206" s="230" t="s">
        <v>877</v>
      </c>
      <c r="H206" t="s">
        <v>27</v>
      </c>
      <c r="I206" s="268" t="s">
        <v>223</v>
      </c>
      <c r="J206" s="8" t="s">
        <v>130</v>
      </c>
      <c r="K206" s="281" t="s">
        <v>34</v>
      </c>
      <c r="L206" s="78" t="s">
        <v>878</v>
      </c>
      <c r="M206" s="151">
        <f>IF(SUM(V206:BC206)=0,"-",SUM(V206:BC206))</f>
        <v>6</v>
      </c>
      <c r="N206" s="241">
        <f>IF(SUMPRODUCT($V$3:$BC$3,V206:BC206)=0,"-",SUMPRODUCT($V$3:$BC$3,V206:BC206))</f>
        <v>410</v>
      </c>
      <c r="O206" s="266" t="s">
        <v>879</v>
      </c>
      <c r="P206" s="269" t="str">
        <f>IF(G206="","",IFERROR(IF(S206="Sent","",IF(I206="Delivered","PO en attente","Projet en cours")),""))</f>
        <v/>
      </c>
      <c r="Q206" s="258">
        <v>4200655672</v>
      </c>
      <c r="R206" s="258"/>
      <c r="S206" s="211" t="s">
        <v>249</v>
      </c>
      <c r="T206" s="211" t="s">
        <v>875</v>
      </c>
      <c r="U206" s="257" t="s">
        <v>876</v>
      </c>
      <c r="V206" s="7">
        <v>1</v>
      </c>
      <c r="W206" s="8">
        <v>1</v>
      </c>
      <c r="AC206" s="7">
        <v>1</v>
      </c>
      <c r="AD206" s="8">
        <v>3</v>
      </c>
    </row>
    <row r="207" spans="1:57" hidden="1">
      <c r="A207" s="285" t="s">
        <v>220</v>
      </c>
      <c r="B207" s="285" t="s">
        <v>221</v>
      </c>
      <c r="C207" s="281" t="s">
        <v>3</v>
      </c>
      <c r="D207" s="281" t="str">
        <f>IF(F207="","",CHOOSE(MONTH(F207),"Q4","Q4","Q4","Q1","Q1","Q1","Q2","Q2","Q2","Q3","Q3","Q3"))</f>
        <v>Q3</v>
      </c>
      <c r="E207" s="282" t="str">
        <f>IF(F207="","",CHOOSE(MONTH(F207),"10-JAN","11-FEB","12-MAR","01-APR","02-MAY","03-JUN","04-JUL","05-AUG","06-SEP","07-OCT","08-NOV","09-DEC"))</f>
        <v>07-OCT</v>
      </c>
      <c r="F207" s="76">
        <v>45201</v>
      </c>
      <c r="G207" s="231" t="s">
        <v>884</v>
      </c>
      <c r="H207" s="5" t="s">
        <v>36</v>
      </c>
      <c r="I207" s="29" t="s">
        <v>223</v>
      </c>
      <c r="J207" s="8" t="s">
        <v>69</v>
      </c>
      <c r="K207" s="281" t="s">
        <v>34</v>
      </c>
      <c r="L207" s="78" t="s">
        <v>885</v>
      </c>
      <c r="M207" s="151">
        <f>IF(SUM(V207:BC207)=0,"-",SUM(V207:BC207))</f>
        <v>14</v>
      </c>
      <c r="N207" s="278">
        <f>IF(SUMPRODUCT($V$3:$BC$3,V207:BC207)=0,"-",SUMPRODUCT($V$3:$BC$3,V207:BC207))</f>
        <v>685</v>
      </c>
      <c r="O207" s="266" t="s">
        <v>1285</v>
      </c>
      <c r="P207" s="279" t="str">
        <f>IF(G207="","",IFERROR(IF(S207="Sent","",IF(I207="Delivered","PO en attente","Projet en cours")),""))</f>
        <v/>
      </c>
      <c r="Q207" s="301">
        <v>4200655571</v>
      </c>
      <c r="R207" s="258"/>
      <c r="S207" s="211" t="s">
        <v>249</v>
      </c>
      <c r="T207" s="211" t="s">
        <v>888</v>
      </c>
      <c r="U207" s="257" t="s">
        <v>1283</v>
      </c>
      <c r="V207" s="7">
        <v>1</v>
      </c>
      <c r="W207" s="8">
        <v>10</v>
      </c>
      <c r="AC207" s="7">
        <v>1</v>
      </c>
      <c r="AD207" s="8">
        <v>2</v>
      </c>
      <c r="BD207" s="7"/>
      <c r="BE207" s="8"/>
    </row>
    <row r="208" spans="1:57" hidden="1">
      <c r="A208" s="286" t="s">
        <v>220</v>
      </c>
      <c r="B208" s="286" t="s">
        <v>221</v>
      </c>
      <c r="C208" s="280" t="s">
        <v>3</v>
      </c>
      <c r="D208" s="281" t="str">
        <f>IF(F208="","",CHOOSE(MONTH(F208),"Q4","Q4","Q4","Q1","Q1","Q1","Q2","Q2","Q2","Q3","Q3","Q3"))</f>
        <v>Q3</v>
      </c>
      <c r="E208" s="282" t="str">
        <f>IF(F208="","",CHOOSE(MONTH(F208),"10-JAN","11-FEB","12-MAR","01-APR","02-MAY","03-JUN","04-JUL","05-AUG","06-SEP","07-OCT","08-NOV","09-DEC"))</f>
        <v>07-OCT</v>
      </c>
      <c r="F208" s="76">
        <v>45203</v>
      </c>
      <c r="G208" s="231" t="s">
        <v>897</v>
      </c>
      <c r="H208" s="5" t="s">
        <v>36</v>
      </c>
      <c r="I208" s="29" t="s">
        <v>223</v>
      </c>
      <c r="J208" s="8" t="s">
        <v>69</v>
      </c>
      <c r="K208" s="281" t="s">
        <v>34</v>
      </c>
      <c r="L208" s="78" t="s">
        <v>898</v>
      </c>
      <c r="M208" s="151">
        <f>IF(SUM(V208:BC208)=0,"-",SUM(V208:BC208))</f>
        <v>12</v>
      </c>
      <c r="N208" s="241">
        <f>IF(SUMPRODUCT($V$3:$BC$3,V208:BC208)=0,"-",SUMPRODUCT($V$3:$BC$3,V208:BC208))</f>
        <v>450</v>
      </c>
      <c r="O208" s="266" t="s">
        <v>899</v>
      </c>
      <c r="P208" s="279" t="str">
        <f>IF(G208="","",IFERROR(IF(S208="Sent","",IF(I208="Delivered","PO en attente","Projet en cours")),""))</f>
        <v/>
      </c>
      <c r="Q208" s="211">
        <v>4200661507</v>
      </c>
      <c r="R208" s="211"/>
      <c r="S208" s="211" t="s">
        <v>249</v>
      </c>
      <c r="T208" s="211" t="s">
        <v>1205</v>
      </c>
      <c r="U208" s="253" t="s">
        <v>1206</v>
      </c>
      <c r="W208" s="8">
        <v>10</v>
      </c>
      <c r="Y208" s="8">
        <v>1</v>
      </c>
      <c r="AD208" s="8">
        <v>1</v>
      </c>
    </row>
    <row r="209" spans="1:57" hidden="1">
      <c r="A209" s="286" t="s">
        <v>244</v>
      </c>
      <c r="B209" s="286" t="s">
        <v>221</v>
      </c>
      <c r="C209" s="280" t="s">
        <v>2</v>
      </c>
      <c r="D209" s="281" t="str">
        <f>IF(F209="","",CHOOSE(MONTH(F209),"Q4","Q4","Q4","Q1","Q1","Q1","Q2","Q2","Q2","Q3","Q3","Q3"))</f>
        <v>Q3</v>
      </c>
      <c r="E209" s="282" t="str">
        <f>IF(F209="","",CHOOSE(MONTH(F209),"10-JAN","11-FEB","12-MAR","01-APR","02-MAY","03-JUN","04-JUL","05-AUG","06-SEP","07-OCT","08-NOV","09-DEC"))</f>
        <v>07-OCT</v>
      </c>
      <c r="F209" s="76">
        <v>45203</v>
      </c>
      <c r="G209" s="233" t="s">
        <v>120</v>
      </c>
      <c r="H209" s="5" t="s">
        <v>35</v>
      </c>
      <c r="I209" s="29" t="s">
        <v>223</v>
      </c>
      <c r="J209" s="21" t="s">
        <v>95</v>
      </c>
      <c r="K209" s="281" t="s">
        <v>34</v>
      </c>
      <c r="L209" s="78" t="s">
        <v>895</v>
      </c>
      <c r="M209" s="151">
        <f>IF(SUM(V209:BC209)=0,"-",SUM(V209:BC209))</f>
        <v>3</v>
      </c>
      <c r="N209" s="241">
        <f>IF(SUMPRODUCT($V$3:$BC$3,V209:BC209)=0,"-",SUMPRODUCT($V$3:$BC$3,V209:BC209))</f>
        <v>540</v>
      </c>
      <c r="O209" s="266" t="s">
        <v>896</v>
      </c>
      <c r="P209" s="281"/>
      <c r="Q209" s="211">
        <v>4200664132</v>
      </c>
      <c r="R209" s="342"/>
      <c r="S209" s="262" t="s">
        <v>249</v>
      </c>
      <c r="T209" s="262" t="s">
        <v>1286</v>
      </c>
      <c r="U209" s="257" t="s">
        <v>1287</v>
      </c>
      <c r="AD209" s="8">
        <v>1</v>
      </c>
      <c r="AF209" s="8">
        <v>2</v>
      </c>
      <c r="BD209" s="7"/>
    </row>
    <row r="210" spans="1:57" hidden="1">
      <c r="A210" s="286" t="s">
        <v>244</v>
      </c>
      <c r="B210" s="286" t="s">
        <v>221</v>
      </c>
      <c r="C210" s="280" t="s">
        <v>3</v>
      </c>
      <c r="D210" s="281" t="str">
        <f>IF(F210="","",CHOOSE(MONTH(F210),"Q4","Q4","Q4","Q1","Q1","Q1","Q2","Q2","Q2","Q3","Q3","Q3"))</f>
        <v>Q3</v>
      </c>
      <c r="E210" s="282" t="str">
        <f>IF(F210="","",CHOOSE(MONTH(F210),"10-JAN","11-FEB","12-MAR","01-APR","02-MAY","03-JUN","04-JUL","05-AUG","06-SEP","07-OCT","08-NOV","09-DEC"))</f>
        <v>07-OCT</v>
      </c>
      <c r="F210" s="76">
        <v>45204</v>
      </c>
      <c r="G210" s="231" t="s">
        <v>904</v>
      </c>
      <c r="H210" s="5" t="s">
        <v>36</v>
      </c>
      <c r="I210" s="29" t="s">
        <v>223</v>
      </c>
      <c r="J210" s="8" t="s">
        <v>69</v>
      </c>
      <c r="K210" s="281" t="s">
        <v>34</v>
      </c>
      <c r="L210" s="78" t="s">
        <v>905</v>
      </c>
      <c r="M210" s="151">
        <f>IF(SUM(V210:BC210)=0,"-",SUM(V210:BC210))</f>
        <v>35</v>
      </c>
      <c r="N210" s="278">
        <f>IF(SUMPRODUCT($V$3:$BC$3,V210:BC210)=0,"-",SUMPRODUCT($V$3:$BC$3,V210:BC210))</f>
        <v>1355</v>
      </c>
      <c r="O210" s="266" t="s">
        <v>906</v>
      </c>
      <c r="P210" s="279" t="str">
        <f>IF(G210="","",IFERROR(IF(S210="Sent","",IF(I210="Delivered","PO en attente","Projet en cours")),""))</f>
        <v/>
      </c>
      <c r="Q210" s="301">
        <v>4200655571</v>
      </c>
      <c r="R210" s="258"/>
      <c r="S210" s="211" t="s">
        <v>249</v>
      </c>
      <c r="T210" s="211" t="s">
        <v>888</v>
      </c>
      <c r="U210" s="257" t="s">
        <v>1283</v>
      </c>
      <c r="W210" s="8">
        <v>28</v>
      </c>
      <c r="AC210" s="7">
        <v>1</v>
      </c>
      <c r="AD210" s="8">
        <v>6</v>
      </c>
      <c r="BD210" s="7"/>
      <c r="BE210" s="8"/>
    </row>
    <row r="211" spans="1:57" hidden="1">
      <c r="A211" s="286" t="s">
        <v>244</v>
      </c>
      <c r="B211" s="286" t="s">
        <v>221</v>
      </c>
      <c r="C211" s="280" t="s">
        <v>2</v>
      </c>
      <c r="D211" s="281" t="str">
        <f>IF(F211="","",CHOOSE(MONTH(F211),"Q4","Q4","Q4","Q1","Q1","Q1","Q2","Q2","Q2","Q3","Q3","Q3"))</f>
        <v>Q3</v>
      </c>
      <c r="E211" s="282" t="str">
        <f>IF(F211="","",CHOOSE(MONTH(F211),"10-JAN","11-FEB","12-MAR","01-APR","02-MAY","03-JUN","04-JUL","05-AUG","06-SEP","07-OCT","08-NOV","09-DEC"))</f>
        <v>07-OCT</v>
      </c>
      <c r="F211" s="242">
        <v>45204</v>
      </c>
      <c r="G211" s="231" t="s">
        <v>900</v>
      </c>
      <c r="H211" t="s">
        <v>46</v>
      </c>
      <c r="I211" s="29" t="s">
        <v>223</v>
      </c>
      <c r="J211" s="8" t="s">
        <v>69</v>
      </c>
      <c r="K211" s="281" t="s">
        <v>34</v>
      </c>
      <c r="L211" s="78" t="s">
        <v>1288</v>
      </c>
      <c r="M211" s="151">
        <f>IF(SUM(V211:BC211)=0,"-",SUM(V211:BC211))</f>
        <v>4</v>
      </c>
      <c r="N211" s="241">
        <f>IF(SUMPRODUCT($V$3:$BC$3,V211:BC211)=0,"-",SUMPRODUCT($V$3:$BC$3,V211:BC211))</f>
        <v>430</v>
      </c>
      <c r="O211" s="266" t="s">
        <v>1289</v>
      </c>
      <c r="P211" s="279" t="str">
        <f>IF(G211="","",IFERROR(IF(S211="Sent","",IF(I211="Delivered","PO en attente","Projet en cours")),""))</f>
        <v/>
      </c>
      <c r="Q211" s="248">
        <v>4200678470</v>
      </c>
      <c r="R211" s="258"/>
      <c r="S211" s="260" t="s">
        <v>249</v>
      </c>
      <c r="T211" s="260" t="s">
        <v>1225</v>
      </c>
      <c r="U211" s="257" t="s">
        <v>1226</v>
      </c>
      <c r="W211" s="8">
        <v>2</v>
      </c>
      <c r="AE211" s="8">
        <v>2</v>
      </c>
    </row>
    <row r="212" spans="1:57" hidden="1">
      <c r="A212" s="286" t="s">
        <v>244</v>
      </c>
      <c r="B212" s="286" t="s">
        <v>221</v>
      </c>
      <c r="C212" s="280" t="s">
        <v>3</v>
      </c>
      <c r="D212" s="281" t="str">
        <f>IF(F212="","",CHOOSE(MONTH(F212),"Q4","Q4","Q4","Q1","Q1","Q1","Q2","Q2","Q2","Q3","Q3","Q3"))</f>
        <v>Q3</v>
      </c>
      <c r="E212" s="282" t="str">
        <f>IF(F212="","",CHOOSE(MONTH(F212),"10-JAN","11-FEB","12-MAR","01-APR","02-MAY","03-JUN","04-JUL","05-AUG","06-SEP","07-OCT","08-NOV","09-DEC"))</f>
        <v>07-OCT</v>
      </c>
      <c r="F212" s="76">
        <v>45205</v>
      </c>
      <c r="G212" s="233" t="s">
        <v>907</v>
      </c>
      <c r="H212" s="5" t="s">
        <v>36</v>
      </c>
      <c r="I212" s="29" t="s">
        <v>223</v>
      </c>
      <c r="J212" s="8" t="s">
        <v>69</v>
      </c>
      <c r="K212" s="281" t="s">
        <v>34</v>
      </c>
      <c r="L212" s="78" t="s">
        <v>908</v>
      </c>
      <c r="M212" s="151">
        <f>IF(SUM(V212:BC212)=0,"-",SUM(V212:BC212))</f>
        <v>7</v>
      </c>
      <c r="N212" s="278">
        <f>IF(SUMPRODUCT($V$3:$BC$3,V212:BC212)=0,"-",SUMPRODUCT($V$3:$BC$3,V212:BC212))+3</f>
        <v>438</v>
      </c>
      <c r="O212" s="266" t="s">
        <v>1290</v>
      </c>
      <c r="P212" s="279" t="str">
        <f>IF(G212="","",IFERROR(IF(S212="Sent","",IF(I212="Delivered","PO en attente","Projet en cours")),""))</f>
        <v/>
      </c>
      <c r="Q212" s="258" t="s">
        <v>910</v>
      </c>
      <c r="R212" s="258"/>
      <c r="S212" s="211" t="s">
        <v>249</v>
      </c>
      <c r="T212" s="211" t="s">
        <v>1291</v>
      </c>
      <c r="U212" s="257" t="s">
        <v>1255</v>
      </c>
      <c r="V212" s="7">
        <v>1</v>
      </c>
      <c r="W212" s="8">
        <v>4</v>
      </c>
      <c r="AC212" s="7">
        <v>1</v>
      </c>
      <c r="AD212" s="8">
        <v>1</v>
      </c>
    </row>
    <row r="213" spans="1:57" hidden="1">
      <c r="A213" s="286" t="s">
        <v>244</v>
      </c>
      <c r="B213" s="286" t="s">
        <v>221</v>
      </c>
      <c r="C213" s="280" t="s">
        <v>3</v>
      </c>
      <c r="D213" s="281" t="str">
        <f>IF(F213="","",CHOOSE(MONTH(F213),"Q4","Q4","Q4","Q1","Q1","Q1","Q2","Q2","Q2","Q3","Q3","Q3"))</f>
        <v>Q3</v>
      </c>
      <c r="E213" s="282" t="str">
        <f>IF(F213="","",CHOOSE(MONTH(F213),"10-JAN","11-FEB","12-MAR","01-APR","02-MAY","03-JUN","04-JUL","05-AUG","06-SEP","07-OCT","08-NOV","09-DEC"))</f>
        <v>07-OCT</v>
      </c>
      <c r="F213" s="242">
        <v>45205</v>
      </c>
      <c r="G213" s="233" t="s">
        <v>911</v>
      </c>
      <c r="H213" s="5" t="s">
        <v>26</v>
      </c>
      <c r="I213" s="118" t="s">
        <v>223</v>
      </c>
      <c r="J213" s="21" t="s">
        <v>95</v>
      </c>
      <c r="K213" s="281" t="s">
        <v>30</v>
      </c>
      <c r="L213" s="124" t="s">
        <v>912</v>
      </c>
      <c r="M213" s="151">
        <f>IF(SUM(V213:BC213)=0,"-",SUM(V213:BC213))</f>
        <v>16</v>
      </c>
      <c r="N213" s="278">
        <f>IF(SUMPRODUCT($V$3:$BC$3,V213:BC213)=0,"-",SUMPRODUCT($V$3:$BC$3,V213:BC213))</f>
        <v>645</v>
      </c>
      <c r="O213" s="266" t="s">
        <v>913</v>
      </c>
      <c r="P213" s="269" t="str">
        <f>IF(G213="","",IFERROR(IF(S213="Sent","",IF(I213="Delivered","PO en attente","Projet en cours")),""))</f>
        <v/>
      </c>
      <c r="Q213" s="258">
        <v>4200657838</v>
      </c>
      <c r="R213" s="258"/>
      <c r="S213" s="248" t="s">
        <v>249</v>
      </c>
      <c r="T213" s="248" t="s">
        <v>1201</v>
      </c>
      <c r="U213" s="372" t="s">
        <v>1202</v>
      </c>
      <c r="V213" s="7">
        <v>1</v>
      </c>
      <c r="W213" s="8">
        <v>15</v>
      </c>
    </row>
    <row r="214" spans="1:57" hidden="1">
      <c r="A214" s="285" t="s">
        <v>220</v>
      </c>
      <c r="B214" s="285" t="s">
        <v>221</v>
      </c>
      <c r="C214" s="281" t="s">
        <v>3</v>
      </c>
      <c r="D214" s="281" t="str">
        <f>IF(F214="","",CHOOSE(MONTH(F214),"Q4","Q4","Q4","Q1","Q1","Q1","Q2","Q2","Q2","Q3","Q3","Q3"))</f>
        <v>Q3</v>
      </c>
      <c r="E214" s="282" t="str">
        <f>IF(F214="","",CHOOSE(MONTH(F214),"10-JAN","11-FEB","12-MAR","01-APR","02-MAY","03-JUN","04-JUL","05-AUG","06-SEP","07-OCT","08-NOV","09-DEC"))</f>
        <v>07-OCT</v>
      </c>
      <c r="F214" s="76">
        <v>45208</v>
      </c>
      <c r="G214" s="231" t="s">
        <v>914</v>
      </c>
      <c r="H214" s="156" t="s">
        <v>35</v>
      </c>
      <c r="I214" s="29" t="s">
        <v>223</v>
      </c>
      <c r="J214" s="8" t="s">
        <v>129</v>
      </c>
      <c r="K214" s="281" t="s">
        <v>34</v>
      </c>
      <c r="L214" s="124" t="s">
        <v>915</v>
      </c>
      <c r="M214" s="151">
        <f>IF(SUM(V214:BC214)=0,"-",SUM(V214:BC214))</f>
        <v>3</v>
      </c>
      <c r="N214" s="241">
        <f>IF(SUMPRODUCT($V$3:$BC$3,V214:BC214)=0,"-",SUMPRODUCT($V$3:$BC$3,V214:BC214))</f>
        <v>355</v>
      </c>
      <c r="O214" s="266" t="s">
        <v>916</v>
      </c>
      <c r="P214" s="279" t="str">
        <f>IF(G214="","",IFERROR(IF(S214="Sent","",IF(I214="Delivered","PO en attente","Projet en cours")),""))</f>
        <v/>
      </c>
      <c r="Q214" s="258">
        <v>4200655224</v>
      </c>
      <c r="R214" s="258"/>
      <c r="S214" s="211" t="s">
        <v>249</v>
      </c>
      <c r="T214" s="211" t="s">
        <v>917</v>
      </c>
      <c r="U214" s="257" t="s">
        <v>311</v>
      </c>
      <c r="AC214" s="7">
        <v>1</v>
      </c>
      <c r="AD214" s="8">
        <v>1</v>
      </c>
      <c r="AI214" s="8">
        <v>1</v>
      </c>
      <c r="BD214" s="7"/>
      <c r="BE214" s="8"/>
    </row>
    <row r="215" spans="1:57" hidden="1">
      <c r="A215" s="286" t="s">
        <v>244</v>
      </c>
      <c r="B215" s="286" t="s">
        <v>221</v>
      </c>
      <c r="C215" s="280" t="s">
        <v>3</v>
      </c>
      <c r="D215" s="281" t="str">
        <f>IF(F215="","",CHOOSE(MONTH(F215),"Q4","Q4","Q4","Q1","Q1","Q1","Q2","Q2","Q2","Q3","Q3","Q3"))</f>
        <v>Q3</v>
      </c>
      <c r="E215" s="282" t="str">
        <f>IF(F215="","",CHOOSE(MONTH(F215),"10-JAN","11-FEB","12-MAR","01-APR","02-MAY","03-JUN","04-JUL","05-AUG","06-SEP","07-OCT","08-NOV","09-DEC"))</f>
        <v>07-OCT</v>
      </c>
      <c r="F215" s="242">
        <v>45209</v>
      </c>
      <c r="G215" s="231" t="s">
        <v>918</v>
      </c>
      <c r="H215" s="5" t="s">
        <v>27</v>
      </c>
      <c r="I215" s="29" t="s">
        <v>223</v>
      </c>
      <c r="J215" s="8" t="s">
        <v>130</v>
      </c>
      <c r="K215" s="281" t="s">
        <v>34</v>
      </c>
      <c r="L215" s="78" t="s">
        <v>919</v>
      </c>
      <c r="M215" s="151">
        <f>IF(SUM(V215:BC215)=0,"-",SUM(V215:BC215))</f>
        <v>2</v>
      </c>
      <c r="N215" s="241">
        <f>IF(SUMPRODUCT($V$3:$BC$3,V215:BC215)=0,"-",SUMPRODUCT($V$3:$BC$3,V215:BC215))</f>
        <v>80</v>
      </c>
      <c r="O215" s="266" t="s">
        <v>920</v>
      </c>
      <c r="P215" s="269" t="str">
        <f>IF(G215="","",IFERROR(IF(S215="Sent","",IF(I215="Delivered","PO en attente","Projet en cours")),""))</f>
        <v/>
      </c>
      <c r="Q215" s="256" t="s">
        <v>640</v>
      </c>
      <c r="R215" s="256"/>
      <c r="S215" s="211" t="s">
        <v>249</v>
      </c>
      <c r="T215" s="256" t="s">
        <v>641</v>
      </c>
      <c r="U215" s="257" t="s">
        <v>481</v>
      </c>
      <c r="AD215" s="8">
        <v>2</v>
      </c>
    </row>
    <row r="216" spans="1:57" hidden="1">
      <c r="A216" s="286" t="s">
        <v>244</v>
      </c>
      <c r="B216" s="286" t="s">
        <v>221</v>
      </c>
      <c r="C216" s="280" t="s">
        <v>3</v>
      </c>
      <c r="D216" s="281" t="str">
        <f>IF(F216="","",CHOOSE(MONTH(F216),"Q4","Q4","Q4","Q1","Q1","Q1","Q2","Q2","Q2","Q3","Q3","Q3"))</f>
        <v>Q3</v>
      </c>
      <c r="E216" s="282" t="str">
        <f>IF(F216="","",CHOOSE(MONTH(F216),"10-JAN","11-FEB","12-MAR","01-APR","02-MAY","03-JUN","04-JUL","05-AUG","06-SEP","07-OCT","08-NOV","09-DEC"))</f>
        <v>07-OCT</v>
      </c>
      <c r="F216" s="242">
        <v>45209</v>
      </c>
      <c r="G216" s="231" t="s">
        <v>372</v>
      </c>
      <c r="H216" s="5" t="s">
        <v>26</v>
      </c>
      <c r="I216" s="29" t="s">
        <v>223</v>
      </c>
      <c r="J216" s="8" t="s">
        <v>93</v>
      </c>
      <c r="K216" s="281" t="s">
        <v>30</v>
      </c>
      <c r="L216" s="78" t="s">
        <v>373</v>
      </c>
      <c r="M216" s="151">
        <f>IF(SUM(V216:BC216)=0,"-",SUM(V216:BC216))</f>
        <v>5</v>
      </c>
      <c r="N216" s="241">
        <f>IF(SUMPRODUCT($V$3:$BC$3,V216:BC216)=0,"-",SUMPRODUCT($V$3:$BC$3,V216:BC216))</f>
        <v>275</v>
      </c>
      <c r="P216" s="279" t="str">
        <f>IF(G216="","",IFERROR(IF(S216="Sent","",IF(I216="Delivered","PO en attente","Projet en cours")),""))</f>
        <v/>
      </c>
      <c r="Q216" s="211">
        <v>4200654197</v>
      </c>
      <c r="R216" s="211" t="s">
        <v>345</v>
      </c>
      <c r="S216" s="211" t="s">
        <v>249</v>
      </c>
      <c r="T216" s="211" t="s">
        <v>374</v>
      </c>
      <c r="U216" s="263" t="s">
        <v>290</v>
      </c>
      <c r="V216" s="7">
        <v>1</v>
      </c>
      <c r="W216" s="8">
        <v>1</v>
      </c>
      <c r="AD216" s="8">
        <v>3</v>
      </c>
    </row>
    <row r="217" spans="1:57" hidden="1">
      <c r="A217" s="286" t="s">
        <v>244</v>
      </c>
      <c r="B217" s="286" t="s">
        <v>221</v>
      </c>
      <c r="C217" s="280" t="s">
        <v>3</v>
      </c>
      <c r="D217" s="281" t="str">
        <f>IF(F217="","",CHOOSE(MONTH(F217),"Q4","Q4","Q4","Q1","Q1","Q1","Q2","Q2","Q2","Q3","Q3","Q3"))</f>
        <v>Q3</v>
      </c>
      <c r="E217" s="282" t="str">
        <f>IF(F217="","",CHOOSE(MONTH(F217),"10-JAN","11-FEB","12-MAR","01-APR","02-MAY","03-JUN","04-JUL","05-AUG","06-SEP","07-OCT","08-NOV","09-DEC"))</f>
        <v>07-OCT</v>
      </c>
      <c r="F217" s="242">
        <v>45210</v>
      </c>
      <c r="G217" s="231" t="s">
        <v>343</v>
      </c>
      <c r="H217" s="5" t="s">
        <v>26</v>
      </c>
      <c r="I217" s="29" t="s">
        <v>223</v>
      </c>
      <c r="J217" s="8" t="s">
        <v>130</v>
      </c>
      <c r="K217" s="281" t="s">
        <v>30</v>
      </c>
      <c r="L217" s="78" t="s">
        <v>344</v>
      </c>
      <c r="M217" s="151">
        <f>IF(SUM(V217:BC217)=0,"-",SUM(V217:BC217))</f>
        <v>2</v>
      </c>
      <c r="N217" s="241">
        <f>IF(SUMPRODUCT($V$3:$BC$3,V217:BC217)=0,"-",SUMPRODUCT($V$3:$BC$3,V217:BC217))</f>
        <v>70</v>
      </c>
      <c r="P217" s="279" t="str">
        <f>IF(G217="","",IFERROR(IF(S217="Sent","",IF(I217="Delivered","PO en attente","Projet en cours")),""))</f>
        <v/>
      </c>
      <c r="Q217" s="213">
        <v>4200653885</v>
      </c>
      <c r="R217" s="213" t="s">
        <v>345</v>
      </c>
      <c r="S217" s="211" t="s">
        <v>249</v>
      </c>
      <c r="T217" s="211" t="s">
        <v>346</v>
      </c>
      <c r="U217" s="263" t="s">
        <v>290</v>
      </c>
      <c r="W217" s="8">
        <v>2</v>
      </c>
    </row>
    <row r="218" spans="1:57" hidden="1">
      <c r="A218" s="286" t="s">
        <v>244</v>
      </c>
      <c r="B218" s="286" t="s">
        <v>221</v>
      </c>
      <c r="C218" s="280" t="s">
        <v>3</v>
      </c>
      <c r="D218" s="281" t="str">
        <f>IF(F218="","",CHOOSE(MONTH(F218),"Q4","Q4","Q4","Q1","Q1","Q1","Q2","Q2","Q2","Q3","Q3","Q3"))</f>
        <v>Q3</v>
      </c>
      <c r="E218" s="282" t="str">
        <f>IF(F218="","",CHOOSE(MONTH(F218),"10-JAN","11-FEB","12-MAR","01-APR","02-MAY","03-JUN","04-JUL","05-AUG","06-SEP","07-OCT","08-NOV","09-DEC"))</f>
        <v>07-OCT</v>
      </c>
      <c r="F218" s="242">
        <v>45211</v>
      </c>
      <c r="G218" s="231" t="s">
        <v>921</v>
      </c>
      <c r="H218" s="5" t="s">
        <v>27</v>
      </c>
      <c r="I218" s="29" t="s">
        <v>223</v>
      </c>
      <c r="J218" s="8" t="s">
        <v>69</v>
      </c>
      <c r="K218" s="281" t="s">
        <v>34</v>
      </c>
      <c r="L218" s="78" t="s">
        <v>922</v>
      </c>
      <c r="M218" s="151">
        <f>IF(SUM(V218:BC218)=0,"-",SUM(V218:BC218))</f>
        <v>4</v>
      </c>
      <c r="N218" s="241">
        <f>IF(SUMPRODUCT($V$3:$BC$3,V218:BC218)=0,"-",SUMPRODUCT($V$3:$BC$3,V218:BC218))</f>
        <v>255</v>
      </c>
      <c r="O218" s="266" t="s">
        <v>923</v>
      </c>
      <c r="P218" s="269" t="str">
        <f>IF(G218="","",IFERROR(IF(S218="Sent","",IF(I218="Delivered","PO en attente","Projet en cours")),""))</f>
        <v/>
      </c>
      <c r="Q218" s="258">
        <v>4200655508</v>
      </c>
      <c r="R218" s="258"/>
      <c r="S218" s="211" t="s">
        <v>249</v>
      </c>
      <c r="T218" s="211" t="s">
        <v>924</v>
      </c>
      <c r="U218" s="257" t="s">
        <v>1284</v>
      </c>
      <c r="AC218" s="7">
        <v>1</v>
      </c>
      <c r="AD218" s="8">
        <v>3</v>
      </c>
    </row>
    <row r="219" spans="1:57" ht="30.75" hidden="1">
      <c r="A219" s="286" t="s">
        <v>244</v>
      </c>
      <c r="B219" s="286" t="s">
        <v>221</v>
      </c>
      <c r="C219" s="280" t="s">
        <v>3</v>
      </c>
      <c r="D219" s="281" t="str">
        <f>IF(F219="","",CHOOSE(MONTH(F219),"Q4","Q4","Q4","Q1","Q1","Q1","Q2","Q2","Q2","Q3","Q3","Q3"))</f>
        <v>Q3</v>
      </c>
      <c r="E219" s="282" t="str">
        <f>IF(F219="","",CHOOSE(MONTH(F219),"10-JAN","11-FEB","12-MAR","01-APR","02-MAY","03-JUN","04-JUL","05-AUG","06-SEP","07-OCT","08-NOV","09-DEC"))</f>
        <v>07-OCT</v>
      </c>
      <c r="F219" s="242">
        <v>45212</v>
      </c>
      <c r="G219" s="231" t="s">
        <v>925</v>
      </c>
      <c r="H219" s="5" t="s">
        <v>27</v>
      </c>
      <c r="I219" s="29" t="s">
        <v>223</v>
      </c>
      <c r="J219" s="21" t="s">
        <v>95</v>
      </c>
      <c r="K219" s="281" t="s">
        <v>34</v>
      </c>
      <c r="L219" s="78" t="s">
        <v>1292</v>
      </c>
      <c r="M219" s="151">
        <f>IF(SUM(V219:BC219)=0,"-",SUM(V219:BC219))</f>
        <v>2</v>
      </c>
      <c r="N219" s="241">
        <f>IF(SUMPRODUCT($V$3:$BC$3,V219:BC219)=0,"-",SUMPRODUCT($V$3:$BC$3,V219:BC219))</f>
        <v>480</v>
      </c>
      <c r="O219" s="266" t="s">
        <v>928</v>
      </c>
      <c r="P219" s="279" t="s">
        <v>481</v>
      </c>
      <c r="Q219" s="261" t="s">
        <v>929</v>
      </c>
      <c r="R219" s="261"/>
      <c r="S219" s="350" t="s">
        <v>249</v>
      </c>
      <c r="T219" s="139" t="s">
        <v>931</v>
      </c>
      <c r="U219" s="319" t="s">
        <v>1293</v>
      </c>
      <c r="V219" s="7">
        <v>1</v>
      </c>
      <c r="AV219" s="8">
        <v>1</v>
      </c>
    </row>
    <row r="220" spans="1:57" hidden="1">
      <c r="A220" s="286" t="s">
        <v>244</v>
      </c>
      <c r="B220" s="286" t="s">
        <v>221</v>
      </c>
      <c r="C220" s="280" t="s">
        <v>3</v>
      </c>
      <c r="D220" s="281" t="str">
        <f>IF(F220="","",CHOOSE(MONTH(F220),"Q4","Q4","Q4","Q1","Q1","Q1","Q2","Q2","Q2","Q3","Q3","Q3"))</f>
        <v>Q3</v>
      </c>
      <c r="E220" s="282" t="str">
        <f>IF(F220="","",CHOOSE(MONTH(F220),"10-JAN","11-FEB","12-MAR","01-APR","02-MAY","03-JUN","04-JUL","05-AUG","06-SEP","07-OCT","08-NOV","09-DEC"))</f>
        <v>07-OCT</v>
      </c>
      <c r="F220" s="242">
        <v>45214</v>
      </c>
      <c r="G220" s="231" t="s">
        <v>395</v>
      </c>
      <c r="H220" s="5" t="s">
        <v>26</v>
      </c>
      <c r="I220" s="29" t="s">
        <v>223</v>
      </c>
      <c r="J220" s="8" t="s">
        <v>69</v>
      </c>
      <c r="K220" s="281" t="s">
        <v>30</v>
      </c>
      <c r="L220" s="78" t="s">
        <v>396</v>
      </c>
      <c r="M220" s="151">
        <f>IF(SUM(V220:BC220)=0,"-",SUM(V220:BC220))</f>
        <v>2</v>
      </c>
      <c r="N220" s="241">
        <f>IF(SUMPRODUCT($V$3:$BC$3,V220:BC220)=0,"-",SUMPRODUCT($V$3:$BC$3,V220:BC220))</f>
        <v>430</v>
      </c>
      <c r="P220" s="279" t="str">
        <f>IF(G220="","",IFERROR(IF(S220="Sent","",IF(I220="Delivered","PO en attente","Projet en cours")),""))</f>
        <v/>
      </c>
      <c r="Q220" s="145">
        <v>4200657843</v>
      </c>
      <c r="R220" s="145" t="s">
        <v>363</v>
      </c>
      <c r="S220" s="211" t="s">
        <v>249</v>
      </c>
      <c r="T220" s="211" t="s">
        <v>394</v>
      </c>
      <c r="U220" s="316" t="s">
        <v>1217</v>
      </c>
      <c r="AE220" s="8">
        <v>1</v>
      </c>
      <c r="AF220" s="8">
        <v>1</v>
      </c>
    </row>
    <row r="221" spans="1:57" hidden="1">
      <c r="A221" s="285" t="s">
        <v>220</v>
      </c>
      <c r="B221" s="285" t="s">
        <v>221</v>
      </c>
      <c r="C221" s="281" t="s">
        <v>3</v>
      </c>
      <c r="D221" s="281" t="str">
        <f>IF(F221="","",CHOOSE(MONTH(F221),"Q4","Q4","Q4","Q1","Q1","Q1","Q2","Q2","Q2","Q3","Q3","Q3"))</f>
        <v>Q3</v>
      </c>
      <c r="E221" s="282" t="str">
        <f>IF(F221="","",CHOOSE(MONTH(F221),"10-JAN","11-FEB","12-MAR","01-APR","02-MAY","03-JUN","04-JUL","05-AUG","06-SEP","07-OCT","08-NOV","09-DEC"))</f>
        <v>07-OCT</v>
      </c>
      <c r="F221" s="76">
        <v>45215</v>
      </c>
      <c r="G221" s="231" t="s">
        <v>933</v>
      </c>
      <c r="H221" s="5" t="s">
        <v>35</v>
      </c>
      <c r="I221" s="29" t="s">
        <v>223</v>
      </c>
      <c r="J221" s="21" t="s">
        <v>95</v>
      </c>
      <c r="K221" s="281" t="s">
        <v>34</v>
      </c>
      <c r="L221" s="124" t="s">
        <v>1294</v>
      </c>
      <c r="M221" s="151">
        <f>IF(SUM(V221:BC221)=0,"-",SUM(V221:BC221))</f>
        <v>1</v>
      </c>
      <c r="N221" s="241">
        <f>IF(SUMPRODUCT($V$3:$BC$3,V221:BC221)=0,"-",SUMPRODUCT($V$3:$BC$3,V221:BC221))</f>
        <v>40</v>
      </c>
      <c r="O221" s="266" t="s">
        <v>935</v>
      </c>
      <c r="P221" s="279" t="str">
        <f>IF(G221="","",IFERROR(IF(S221="Sent","",IF(I221="Delivered","PO en attente","Projet en cours")),""))</f>
        <v/>
      </c>
      <c r="Q221" s="258">
        <v>4270027058</v>
      </c>
      <c r="R221" s="258"/>
      <c r="S221" s="211" t="s">
        <v>249</v>
      </c>
      <c r="T221" s="211" t="s">
        <v>936</v>
      </c>
      <c r="U221" s="257" t="s">
        <v>311</v>
      </c>
      <c r="AD221" s="8">
        <v>1</v>
      </c>
      <c r="BD221" s="7"/>
      <c r="BE221" s="8"/>
    </row>
    <row r="222" spans="1:57" hidden="1">
      <c r="A222" s="285" t="s">
        <v>220</v>
      </c>
      <c r="B222" s="285" t="s">
        <v>221</v>
      </c>
      <c r="C222" s="281" t="s">
        <v>3</v>
      </c>
      <c r="D222" s="281" t="str">
        <f>IF(F222="","",CHOOSE(MONTH(F222),"Q4","Q4","Q4","Q1","Q1","Q1","Q2","Q2","Q2","Q3","Q3","Q3"))</f>
        <v>Q3</v>
      </c>
      <c r="E222" s="282" t="str">
        <f>IF(F222="","",CHOOSE(MONTH(F222),"10-JAN","11-FEB","12-MAR","01-APR","02-MAY","03-JUN","04-JUL","05-AUG","06-SEP","07-OCT","08-NOV","09-DEC"))</f>
        <v>07-OCT</v>
      </c>
      <c r="F222" s="76">
        <v>45216</v>
      </c>
      <c r="G222" s="231" t="s">
        <v>937</v>
      </c>
      <c r="H222" s="5" t="s">
        <v>27</v>
      </c>
      <c r="I222" s="29" t="s">
        <v>223</v>
      </c>
      <c r="J222" s="8" t="s">
        <v>130</v>
      </c>
      <c r="K222" s="281" t="s">
        <v>34</v>
      </c>
      <c r="L222" s="78" t="s">
        <v>938</v>
      </c>
      <c r="M222" s="151">
        <f>IF(SUM(V222:BC222)=0,"-",SUM(V222:BC222))</f>
        <v>2</v>
      </c>
      <c r="N222" s="241">
        <f>IF(SUMPRODUCT($V$3:$BC$3,V222:BC222)=0,"-",SUMPRODUCT($V$3:$BC$3,V222:BC222))</f>
        <v>155</v>
      </c>
      <c r="O222" s="266" t="s">
        <v>939</v>
      </c>
      <c r="P222" s="269" t="str">
        <f>IF(G222="","",IFERROR(IF(S222="Sent","",IF(I222="Delivered","PO en attente","Projet en cours")),""))</f>
        <v/>
      </c>
      <c r="Q222" s="258">
        <v>4200655672</v>
      </c>
      <c r="R222" s="258"/>
      <c r="S222" s="211" t="s">
        <v>249</v>
      </c>
      <c r="T222" s="211" t="s">
        <v>875</v>
      </c>
      <c r="U222" s="257" t="s">
        <v>876</v>
      </c>
      <c r="V222" s="7">
        <v>1</v>
      </c>
      <c r="W222" s="8">
        <v>1</v>
      </c>
    </row>
    <row r="223" spans="1:57" hidden="1">
      <c r="A223" s="286" t="s">
        <v>244</v>
      </c>
      <c r="B223" s="286" t="s">
        <v>221</v>
      </c>
      <c r="C223" s="280" t="s">
        <v>3</v>
      </c>
      <c r="D223" s="281" t="str">
        <f>IF(F223="","",CHOOSE(MONTH(F223),"Q4","Q4","Q4","Q1","Q1","Q1","Q2","Q2","Q2","Q3","Q3","Q3"))</f>
        <v>Q3</v>
      </c>
      <c r="E223" s="282" t="str">
        <f>IF(F223="","",CHOOSE(MONTH(F223),"10-JAN","11-FEB","12-MAR","01-APR","02-MAY","03-JUN","04-JUL","05-AUG","06-SEP","07-OCT","08-NOV","09-DEC"))</f>
        <v>07-OCT</v>
      </c>
      <c r="F223" s="242">
        <v>45218</v>
      </c>
      <c r="G223" s="231" t="s">
        <v>347</v>
      </c>
      <c r="H223" s="5" t="s">
        <v>32</v>
      </c>
      <c r="I223" s="29" t="s">
        <v>223</v>
      </c>
      <c r="J223" s="8" t="s">
        <v>130</v>
      </c>
      <c r="K223" s="281" t="s">
        <v>30</v>
      </c>
      <c r="L223" s="78" t="s">
        <v>348</v>
      </c>
      <c r="M223" s="151">
        <f>IF(SUM(V223:BC223)=0,"-",SUM(V223:BC223))</f>
        <v>1</v>
      </c>
      <c r="N223" s="241">
        <f>IF(SUMPRODUCT($V$3:$BC$3,V223:BC223)=0,"-",SUMPRODUCT($V$3:$BC$3,V223:BC223))</f>
        <v>35</v>
      </c>
      <c r="P223" s="279" t="str">
        <f>IF(G223="","",IFERROR(IF(S223="Sent","",IF(I223="Delivered","PO en attente","Projet en cours")),""))</f>
        <v/>
      </c>
      <c r="Q223" s="145">
        <v>4200653885</v>
      </c>
      <c r="R223" s="145" t="s">
        <v>345</v>
      </c>
      <c r="S223" s="260" t="s">
        <v>249</v>
      </c>
      <c r="T223" s="260" t="s">
        <v>346</v>
      </c>
      <c r="U223" s="263" t="s">
        <v>290</v>
      </c>
      <c r="W223" s="8">
        <v>1</v>
      </c>
    </row>
    <row r="224" spans="1:57" hidden="1">
      <c r="A224" s="285" t="s">
        <v>220</v>
      </c>
      <c r="B224" s="285" t="s">
        <v>221</v>
      </c>
      <c r="C224" s="281" t="s">
        <v>3</v>
      </c>
      <c r="D224" s="281" t="str">
        <f>IF(F224="","",CHOOSE(MONTH(F224),"Q4","Q4","Q4","Q1","Q1","Q1","Q2","Q2","Q2","Q3","Q3","Q3"))</f>
        <v>Q3</v>
      </c>
      <c r="E224" s="282" t="str">
        <f>IF(F224="","",CHOOSE(MONTH(F224),"10-JAN","11-FEB","12-MAR","01-APR","02-MAY","03-JUN","04-JUL","05-AUG","06-SEP","07-OCT","08-NOV","09-DEC"))</f>
        <v>07-OCT</v>
      </c>
      <c r="F224" s="76">
        <v>45222</v>
      </c>
      <c r="G224" s="231" t="s">
        <v>940</v>
      </c>
      <c r="H224" s="5" t="s">
        <v>35</v>
      </c>
      <c r="I224" s="29" t="s">
        <v>223</v>
      </c>
      <c r="J224" s="21" t="s">
        <v>95</v>
      </c>
      <c r="K224" s="281" t="s">
        <v>34</v>
      </c>
      <c r="L224" s="124" t="s">
        <v>941</v>
      </c>
      <c r="M224" s="151">
        <f>IF(SUM(V224:BC224)=0,"-",SUM(V224:BC224))</f>
        <v>1</v>
      </c>
      <c r="N224" s="241">
        <f>IF(SUMPRODUCT($V$3:$BC$3,V224:BC224)=0,"-",SUMPRODUCT($V$3:$BC$3,V224:BC224))</f>
        <v>135</v>
      </c>
      <c r="O224" s="266" t="s">
        <v>942</v>
      </c>
      <c r="P224" s="279" t="str">
        <f>IF(G224="","",IFERROR(IF(S224="Sent","",IF(I224="Delivered","PO en attente","Projet en cours")),""))</f>
        <v/>
      </c>
      <c r="Q224" s="296">
        <v>4200655349</v>
      </c>
      <c r="R224" s="296"/>
      <c r="S224" s="260" t="s">
        <v>249</v>
      </c>
      <c r="T224" s="260" t="s">
        <v>943</v>
      </c>
      <c r="U224" s="257" t="s">
        <v>311</v>
      </c>
      <c r="AC224" s="7">
        <v>1</v>
      </c>
      <c r="BD224" s="7"/>
      <c r="BE224" s="8"/>
    </row>
    <row r="225" spans="1:57" hidden="1">
      <c r="A225" s="285" t="s">
        <v>220</v>
      </c>
      <c r="B225" s="285" t="s">
        <v>221</v>
      </c>
      <c r="C225" s="281" t="s">
        <v>3</v>
      </c>
      <c r="D225" s="281" t="str">
        <f>IF(F225="","",CHOOSE(MONTH(F225),"Q4","Q4","Q4","Q1","Q1","Q1","Q2","Q2","Q2","Q3","Q3","Q3"))</f>
        <v>Q3</v>
      </c>
      <c r="E225" s="282" t="str">
        <f>IF(F225="","",CHOOSE(MONTH(F225),"10-JAN","11-FEB","12-MAR","01-APR","02-MAY","03-JUN","04-JUL","05-AUG","06-SEP","07-OCT","08-NOV","09-DEC"))</f>
        <v>07-OCT</v>
      </c>
      <c r="F225" s="76">
        <v>45223</v>
      </c>
      <c r="G225" s="231" t="s">
        <v>947</v>
      </c>
      <c r="H225" s="5" t="s">
        <v>27</v>
      </c>
      <c r="I225" s="29" t="s">
        <v>223</v>
      </c>
      <c r="J225" s="8" t="s">
        <v>130</v>
      </c>
      <c r="K225" s="281" t="s">
        <v>34</v>
      </c>
      <c r="L225" s="78" t="s">
        <v>948</v>
      </c>
      <c r="M225" s="151">
        <f>IF(SUM(V225:BC225)=0,"-",SUM(V225:BC225))</f>
        <v>3</v>
      </c>
      <c r="N225" s="241">
        <f>IF(SUMPRODUCT($V$3:$BC$3,V225:BC225)=0,"-",SUMPRODUCT($V$3:$BC$3,V225:BC225))</f>
        <v>120</v>
      </c>
      <c r="O225" s="266" t="s">
        <v>949</v>
      </c>
      <c r="P225" s="269" t="str">
        <f>IF(G225="","",IFERROR(IF(S225="Sent","",IF(I225="Delivered","PO en attente","Projet en cours")),""))</f>
        <v/>
      </c>
      <c r="Q225" s="256" t="s">
        <v>640</v>
      </c>
      <c r="R225" s="256"/>
      <c r="S225" s="211" t="s">
        <v>249</v>
      </c>
      <c r="T225" s="256" t="s">
        <v>641</v>
      </c>
      <c r="U225" s="257" t="s">
        <v>481</v>
      </c>
      <c r="AD225" s="8">
        <v>3</v>
      </c>
    </row>
    <row r="226" spans="1:57" hidden="1">
      <c r="A226" s="285" t="s">
        <v>220</v>
      </c>
      <c r="B226" s="285" t="s">
        <v>221</v>
      </c>
      <c r="C226" s="281" t="s">
        <v>3</v>
      </c>
      <c r="D226" s="281" t="str">
        <f>IF(F226="","",CHOOSE(MONTH(F226),"Q4","Q4","Q4","Q1","Q1","Q1","Q2","Q2","Q2","Q3","Q3","Q3"))</f>
        <v>Q3</v>
      </c>
      <c r="E226" s="282" t="str">
        <f>IF(F226="","",CHOOSE(MONTH(F226),"10-JAN","11-FEB","12-MAR","01-APR","02-MAY","03-JUN","04-JUL","05-AUG","06-SEP","07-OCT","08-NOV","09-DEC"))</f>
        <v>07-OCT</v>
      </c>
      <c r="F226" s="76">
        <v>45223</v>
      </c>
      <c r="G226" s="231" t="s">
        <v>944</v>
      </c>
      <c r="H226" s="128" t="s">
        <v>27</v>
      </c>
      <c r="I226" s="29" t="s">
        <v>223</v>
      </c>
      <c r="J226" s="8" t="s">
        <v>130</v>
      </c>
      <c r="K226" s="281" t="s">
        <v>34</v>
      </c>
      <c r="L226" s="78" t="s">
        <v>945</v>
      </c>
      <c r="M226" s="151">
        <f>IF(SUM(V226:BC226)=0,"-",SUM(V226:BC226))</f>
        <v>1</v>
      </c>
      <c r="N226" s="241">
        <f>IF(SUMPRODUCT($V$3:$BC$3,V226:BC226)=0,"-",SUMPRODUCT($V$3:$BC$3,V226:BC226))</f>
        <v>135</v>
      </c>
      <c r="O226" s="266" t="s">
        <v>946</v>
      </c>
      <c r="P226" s="269" t="str">
        <f>IF(G226="","",IFERROR(IF(S226="Sent","",IF(I226="Delivered","PO en attente","Projet en cours")),""))</f>
        <v/>
      </c>
      <c r="Q226" s="258">
        <v>4200655672</v>
      </c>
      <c r="R226" s="258"/>
      <c r="S226" s="211" t="s">
        <v>249</v>
      </c>
      <c r="T226" s="211" t="s">
        <v>875</v>
      </c>
      <c r="U226" s="257" t="s">
        <v>876</v>
      </c>
      <c r="AC226" s="7">
        <v>1</v>
      </c>
    </row>
    <row r="227" spans="1:57" hidden="1">
      <c r="A227" s="286" t="s">
        <v>244</v>
      </c>
      <c r="B227" s="286" t="s">
        <v>221</v>
      </c>
      <c r="C227" s="280" t="s">
        <v>3</v>
      </c>
      <c r="D227" s="281" t="str">
        <f>IF(F227="","",CHOOSE(MONTH(F227),"Q4","Q4","Q4","Q1","Q1","Q1","Q2","Q2","Q2","Q3","Q3","Q3"))</f>
        <v>Q3</v>
      </c>
      <c r="E227" s="282" t="str">
        <f>IF(F227="","",CHOOSE(MONTH(F227),"10-JAN","11-FEB","12-MAR","01-APR","02-MAY","03-JUN","04-JUL","05-AUG","06-SEP","07-OCT","08-NOV","09-DEC"))</f>
        <v>07-OCT</v>
      </c>
      <c r="F227" s="76">
        <v>45223</v>
      </c>
      <c r="G227" s="231" t="s">
        <v>983</v>
      </c>
      <c r="H227" s="5" t="s">
        <v>35</v>
      </c>
      <c r="I227" s="29" t="s">
        <v>223</v>
      </c>
      <c r="J227" s="8" t="s">
        <v>95</v>
      </c>
      <c r="K227" s="281" t="s">
        <v>34</v>
      </c>
      <c r="L227" s="78" t="s">
        <v>1295</v>
      </c>
      <c r="M227" s="151">
        <f>IF(SUM(V227:BC227)=0,"-",SUM(V227:BC227))</f>
        <v>9</v>
      </c>
      <c r="N227" s="241">
        <f>IF(SUMPRODUCT($V$3:$BC$3,V227:BC227)=0,"-",SUMPRODUCT($V$3:$BC$3,V227:BC227))</f>
        <v>640</v>
      </c>
      <c r="O227" s="266" t="s">
        <v>985</v>
      </c>
      <c r="P227" s="279" t="str">
        <f>IF(G227="","",IFERROR(IF(S227="Sent","",IF(I227="Delivered","PO en attente","Projet en cours")),""))</f>
        <v/>
      </c>
      <c r="Q227" s="258">
        <v>4200658466</v>
      </c>
      <c r="R227" s="258"/>
      <c r="S227" s="211" t="s">
        <v>249</v>
      </c>
      <c r="T227" s="211" t="s">
        <v>986</v>
      </c>
      <c r="U227" s="316" t="s">
        <v>1217</v>
      </c>
      <c r="AD227" s="8">
        <v>7</v>
      </c>
      <c r="AI227" s="8">
        <v>2</v>
      </c>
    </row>
    <row r="228" spans="1:57" hidden="1">
      <c r="A228" s="286" t="s">
        <v>220</v>
      </c>
      <c r="B228" s="286" t="s">
        <v>221</v>
      </c>
      <c r="C228" s="280" t="s">
        <v>3</v>
      </c>
      <c r="D228" s="281" t="str">
        <f>IF(F228="","",CHOOSE(MONTH(F228),"Q4","Q4","Q4","Q1","Q1","Q1","Q2","Q2","Q2","Q3","Q3","Q3"))</f>
        <v>Q3</v>
      </c>
      <c r="E228" s="282" t="str">
        <f>IF(F228="","",CHOOSE(MONTH(F228),"10-JAN","11-FEB","12-MAR","01-APR","02-MAY","03-JUN","04-JUL","05-AUG","06-SEP","07-OCT","08-NOV","09-DEC"))</f>
        <v>07-OCT</v>
      </c>
      <c r="F228" s="76">
        <v>45223</v>
      </c>
      <c r="G228" s="231" t="s">
        <v>950</v>
      </c>
      <c r="H228" s="5" t="s">
        <v>36</v>
      </c>
      <c r="I228" s="29" t="s">
        <v>223</v>
      </c>
      <c r="J228" s="8" t="s">
        <v>130</v>
      </c>
      <c r="K228" s="281" t="s">
        <v>34</v>
      </c>
      <c r="L228" s="78" t="s">
        <v>951</v>
      </c>
      <c r="M228" s="151">
        <f>IF(SUM(V228:BC228)=0,"-",SUM(V228:BC228))</f>
        <v>23</v>
      </c>
      <c r="N228" s="241">
        <f>IF(SUMPRODUCT($V$3:$BC$3,V228:BC228)=0,"-",SUMPRODUCT($V$3:$BC$3,V228:BC228))</f>
        <v>885</v>
      </c>
      <c r="O228" s="266" t="s">
        <v>952</v>
      </c>
      <c r="P228" s="279"/>
      <c r="Q228" s="211">
        <v>4200661512</v>
      </c>
      <c r="R228" s="211"/>
      <c r="S228" s="211" t="s">
        <v>249</v>
      </c>
      <c r="T228" s="211" t="s">
        <v>1296</v>
      </c>
      <c r="U228" s="253" t="s">
        <v>1206</v>
      </c>
      <c r="W228" s="8">
        <v>7</v>
      </c>
      <c r="AD228" s="8">
        <v>16</v>
      </c>
    </row>
    <row r="229" spans="1:57" hidden="1">
      <c r="A229" s="285" t="s">
        <v>220</v>
      </c>
      <c r="B229" s="285" t="s">
        <v>221</v>
      </c>
      <c r="C229" s="281" t="s">
        <v>3</v>
      </c>
      <c r="D229" s="281" t="str">
        <f>IF(F229="","",CHOOSE(MONTH(F229),"Q4","Q4","Q4","Q1","Q1","Q1","Q2","Q2","Q2","Q3","Q3","Q3"))</f>
        <v>Q3</v>
      </c>
      <c r="E229" s="282" t="str">
        <f>IF(F229="","",CHOOSE(MONTH(F229),"10-JAN","11-FEB","12-MAR","01-APR","02-MAY","03-JUN","04-JUL","05-AUG","06-SEP","07-OCT","08-NOV","09-DEC"))</f>
        <v>07-OCT</v>
      </c>
      <c r="F229" s="76">
        <v>45224</v>
      </c>
      <c r="G229" s="231" t="s">
        <v>958</v>
      </c>
      <c r="H229" s="5" t="s">
        <v>27</v>
      </c>
      <c r="I229" s="29" t="s">
        <v>223</v>
      </c>
      <c r="J229" s="8" t="s">
        <v>130</v>
      </c>
      <c r="K229" s="281" t="s">
        <v>34</v>
      </c>
      <c r="L229" s="78" t="s">
        <v>959</v>
      </c>
      <c r="M229" s="151">
        <f>IF(SUM(V229:BC229)=0,"-",SUM(V229:BC229))</f>
        <v>1</v>
      </c>
      <c r="N229" s="241">
        <f>IF(SUMPRODUCT($V$3:$BC$3,V229:BC229)=0,"-",SUMPRODUCT($V$3:$BC$3,V229:BC229))</f>
        <v>40</v>
      </c>
      <c r="O229" s="266" t="s">
        <v>960</v>
      </c>
      <c r="P229" s="269" t="str">
        <f>IF(G229="","",IFERROR(IF(S229="Sent","",IF(I229="Delivered","PO en attente","Projet en cours")),""))</f>
        <v/>
      </c>
      <c r="Q229" s="256" t="s">
        <v>640</v>
      </c>
      <c r="R229" s="256"/>
      <c r="S229" s="211" t="s">
        <v>249</v>
      </c>
      <c r="T229" s="256" t="s">
        <v>641</v>
      </c>
      <c r="U229" s="257" t="s">
        <v>481</v>
      </c>
      <c r="AD229" s="8">
        <v>1</v>
      </c>
    </row>
    <row r="230" spans="1:57" hidden="1">
      <c r="A230" s="285" t="s">
        <v>220</v>
      </c>
      <c r="B230" s="285" t="s">
        <v>221</v>
      </c>
      <c r="C230" s="281" t="s">
        <v>3</v>
      </c>
      <c r="D230" s="281" t="str">
        <f>IF(F230="","",CHOOSE(MONTH(F230),"Q4","Q4","Q4","Q1","Q1","Q1","Q2","Q2","Q2","Q3","Q3","Q3"))</f>
        <v>Q3</v>
      </c>
      <c r="E230" s="282" t="str">
        <f>IF(F230="","",CHOOSE(MONTH(F230),"10-JAN","11-FEB","12-MAR","01-APR","02-MAY","03-JUN","04-JUL","05-AUG","06-SEP","07-OCT","08-NOV","09-DEC"))</f>
        <v>07-OCT</v>
      </c>
      <c r="F230" s="76">
        <v>45224</v>
      </c>
      <c r="G230" s="231" t="s">
        <v>953</v>
      </c>
      <c r="H230" t="s">
        <v>38</v>
      </c>
      <c r="I230" s="29" t="s">
        <v>223</v>
      </c>
      <c r="J230" s="21" t="s">
        <v>95</v>
      </c>
      <c r="K230" s="281" t="s">
        <v>34</v>
      </c>
      <c r="L230" s="78" t="s">
        <v>955</v>
      </c>
      <c r="M230" s="151">
        <f>IF(SUM(V230:BC230)=0,"-",SUM(V230:BC230))</f>
        <v>3</v>
      </c>
      <c r="N230" s="241">
        <f>IF(SUMPRODUCT($V$3:$BC$3,V230:BC230)=0,"-",SUMPRODUCT($V$3:$BC$3,V230:BC230))</f>
        <v>480</v>
      </c>
      <c r="O230" s="266" t="s">
        <v>956</v>
      </c>
      <c r="P230" s="279" t="str">
        <f>IF(G230="","",IFERROR(IF(S230="Sent","",IF(I230="Delivered","PO en attente","Projet en cours")),""))</f>
        <v/>
      </c>
      <c r="Q230" s="258">
        <v>4200653933</v>
      </c>
      <c r="R230" s="258"/>
      <c r="S230" s="211" t="s">
        <v>249</v>
      </c>
      <c r="T230" s="211" t="s">
        <v>957</v>
      </c>
      <c r="U230" s="249" t="s">
        <v>517</v>
      </c>
      <c r="V230" s="7">
        <v>1</v>
      </c>
      <c r="AE230" s="8">
        <v>1</v>
      </c>
      <c r="AI230" s="8">
        <v>1</v>
      </c>
    </row>
    <row r="231" spans="1:57" hidden="1">
      <c r="A231" s="286" t="s">
        <v>244</v>
      </c>
      <c r="B231" s="286" t="s">
        <v>221</v>
      </c>
      <c r="C231" s="280" t="s">
        <v>3</v>
      </c>
      <c r="D231" s="281" t="str">
        <f>IF(F231="","",CHOOSE(MONTH(F231),"Q4","Q4","Q4","Q1","Q1","Q1","Q2","Q2","Q2","Q3","Q3","Q3"))</f>
        <v>Q3</v>
      </c>
      <c r="E231" s="282" t="str">
        <f>IF(F231="","",CHOOSE(MONTH(F231),"10-JAN","11-FEB","12-MAR","01-APR","02-MAY","03-JUN","04-JUL","05-AUG","06-SEP","07-OCT","08-NOV","09-DEC"))</f>
        <v>07-OCT</v>
      </c>
      <c r="F231" s="242">
        <v>45226</v>
      </c>
      <c r="G231" s="231" t="s">
        <v>962</v>
      </c>
      <c r="H231" s="5" t="s">
        <v>35</v>
      </c>
      <c r="I231" s="29" t="s">
        <v>223</v>
      </c>
      <c r="J231" s="8" t="s">
        <v>95</v>
      </c>
      <c r="K231" s="281" t="s">
        <v>34</v>
      </c>
      <c r="L231" s="124" t="s">
        <v>963</v>
      </c>
      <c r="M231" s="151">
        <f>IF(SUM(V231:BC231)=0,"-",SUM(V231:BC231))</f>
        <v>1</v>
      </c>
      <c r="N231" s="241">
        <f>IF(SUMPRODUCT($V$3:$BC$3,V231:BC231)=0,"-",SUMPRODUCT($V$3:$BC$3,V231:BC231))</f>
        <v>80</v>
      </c>
      <c r="O231" s="266" t="s">
        <v>964</v>
      </c>
      <c r="P231" s="279" t="str">
        <f>IF(G231="","",IFERROR(IF(S231="Sent","",IF(I231="Delivered","PO en attente","Projet en cours")),""))</f>
        <v/>
      </c>
      <c r="Q231" s="258">
        <v>4270027042</v>
      </c>
      <c r="R231" s="258"/>
      <c r="S231" s="211" t="s">
        <v>249</v>
      </c>
      <c r="T231" s="211" t="s">
        <v>965</v>
      </c>
      <c r="U231" s="257" t="s">
        <v>311</v>
      </c>
      <c r="AS231" s="7">
        <v>1</v>
      </c>
      <c r="BD231" s="7"/>
      <c r="BE231" s="8"/>
    </row>
    <row r="232" spans="1:57" hidden="1">
      <c r="A232" s="286" t="s">
        <v>244</v>
      </c>
      <c r="B232" s="286" t="s">
        <v>221</v>
      </c>
      <c r="C232" s="280" t="s">
        <v>3</v>
      </c>
      <c r="D232" s="281" t="str">
        <f>IF(F232="","",CHOOSE(MONTH(F232),"Q4","Q4","Q4","Q1","Q1","Q1","Q2","Q2","Q2","Q3","Q3","Q3"))</f>
        <v>Q3</v>
      </c>
      <c r="E232" s="282" t="str">
        <f>IF(F232="","",CHOOSE(MONTH(F232),"10-JAN","11-FEB","12-MAR","01-APR","02-MAY","03-JUN","04-JUL","05-AUG","06-SEP","07-OCT","08-NOV","09-DEC"))</f>
        <v>07-OCT</v>
      </c>
      <c r="F232" s="242">
        <v>45229</v>
      </c>
      <c r="G232" s="231" t="s">
        <v>967</v>
      </c>
      <c r="H232" s="5" t="s">
        <v>27</v>
      </c>
      <c r="I232" s="29" t="s">
        <v>223</v>
      </c>
      <c r="J232" s="8" t="s">
        <v>130</v>
      </c>
      <c r="K232" s="281" t="s">
        <v>34</v>
      </c>
      <c r="L232" s="124" t="s">
        <v>968</v>
      </c>
      <c r="M232" s="151">
        <f>IF(SUM(V232:BC232)=0,"-",SUM(V232:BC232))</f>
        <v>1</v>
      </c>
      <c r="N232" s="241">
        <f>IF(SUMPRODUCT($V$3:$BC$3,V232:BC232)=0,"-",SUMPRODUCT($V$3:$BC$3,V232:BC232))</f>
        <v>120</v>
      </c>
      <c r="O232" s="266" t="s">
        <v>969</v>
      </c>
      <c r="P232" s="269" t="str">
        <f>IF(G232="","",IFERROR(IF(S232="Sent","",IF(I232="Delivered","PO en attente","Projet en cours")),""))</f>
        <v/>
      </c>
      <c r="Q232" s="258">
        <v>4200655673</v>
      </c>
      <c r="R232" s="258"/>
      <c r="S232" s="211" t="s">
        <v>249</v>
      </c>
      <c r="T232" s="211" t="s">
        <v>970</v>
      </c>
      <c r="U232" s="257" t="s">
        <v>876</v>
      </c>
      <c r="V232" s="7">
        <v>1</v>
      </c>
    </row>
    <row r="233" spans="1:57" hidden="1">
      <c r="A233" s="286" t="s">
        <v>244</v>
      </c>
      <c r="B233" s="286" t="s">
        <v>221</v>
      </c>
      <c r="C233" s="280" t="s">
        <v>3</v>
      </c>
      <c r="D233" s="281" t="str">
        <f>IF(F233="","",CHOOSE(MONTH(F233),"Q4","Q4","Q4","Q1","Q1","Q1","Q2","Q2","Q2","Q3","Q3","Q3"))</f>
        <v>Q3</v>
      </c>
      <c r="E233" s="282" t="str">
        <f>IF(F233="","",CHOOSE(MONTH(F233),"10-JAN","11-FEB","12-MAR","01-APR","02-MAY","03-JUN","04-JUL","05-AUG","06-SEP","07-OCT","08-NOV","09-DEC"))</f>
        <v>07-OCT</v>
      </c>
      <c r="F233" s="76">
        <v>45229</v>
      </c>
      <c r="G233" s="235" t="s">
        <v>971</v>
      </c>
      <c r="H233" s="459" t="s">
        <v>33</v>
      </c>
      <c r="I233" s="29" t="s">
        <v>223</v>
      </c>
      <c r="J233" s="8" t="s">
        <v>69</v>
      </c>
      <c r="K233" s="281" t="s">
        <v>30</v>
      </c>
      <c r="L233" s="124" t="s">
        <v>972</v>
      </c>
      <c r="M233" s="151">
        <f>IF(SUM(V233:BC233)=0,"-",SUM(V233:BC233))</f>
        <v>12</v>
      </c>
      <c r="N233" s="241">
        <f>IF(SUMPRODUCT($V$3:$BC$3,V233:BC233)=0,"-",SUMPRODUCT($V$3:$BC$3,V233:BC233))</f>
        <v>420</v>
      </c>
      <c r="O233" s="266" t="s">
        <v>973</v>
      </c>
      <c r="P233" s="279" t="str">
        <f>IF(G233="","",IFERROR(IF(S233="Sent","",IF(I233="Delivered","PO en attente","Projet en cours")),""))</f>
        <v/>
      </c>
      <c r="Q233" s="258">
        <v>4200655681</v>
      </c>
      <c r="R233" s="258"/>
      <c r="S233" s="211" t="s">
        <v>249</v>
      </c>
      <c r="T233" s="211" t="s">
        <v>974</v>
      </c>
      <c r="U233" s="320" t="s">
        <v>1297</v>
      </c>
      <c r="W233" s="8">
        <v>12</v>
      </c>
      <c r="BD233" s="7"/>
      <c r="BE233" s="8"/>
    </row>
    <row r="234" spans="1:57" hidden="1">
      <c r="A234" s="286" t="s">
        <v>244</v>
      </c>
      <c r="B234" s="286" t="s">
        <v>221</v>
      </c>
      <c r="C234" s="280" t="s">
        <v>3</v>
      </c>
      <c r="D234" s="281" t="str">
        <f>IF(F234="","",CHOOSE(MONTH(F234),"Q4","Q4","Q4","Q1","Q1","Q1","Q2","Q2","Q2","Q3","Q3","Q3"))</f>
        <v>Q3</v>
      </c>
      <c r="E234" s="282" t="str">
        <f>IF(F234="","",CHOOSE(MONTH(F234),"10-JAN","11-FEB","12-MAR","01-APR","02-MAY","03-JUN","04-JUL","05-AUG","06-SEP","07-OCT","08-NOV","09-DEC"))</f>
        <v>07-OCT</v>
      </c>
      <c r="F234" s="76">
        <v>45229</v>
      </c>
      <c r="G234" s="231" t="s">
        <v>978</v>
      </c>
      <c r="H234" s="5" t="s">
        <v>27</v>
      </c>
      <c r="I234" s="29" t="s">
        <v>223</v>
      </c>
      <c r="J234" s="8" t="s">
        <v>67</v>
      </c>
      <c r="K234" s="281" t="s">
        <v>34</v>
      </c>
      <c r="L234" s="78" t="s">
        <v>979</v>
      </c>
      <c r="M234" s="151">
        <f>IF(SUM(V234:BC234)=0,"-",SUM(V234:BC234))</f>
        <v>5</v>
      </c>
      <c r="N234" s="241">
        <f>IF(SUMPRODUCT($V$3:$BC$3,V234:BC234)=0,"-",SUMPRODUCT($V$3:$BC$3,V234:BC234))</f>
        <v>260</v>
      </c>
      <c r="O234" s="266" t="s">
        <v>980</v>
      </c>
      <c r="P234" s="269" t="str">
        <f>IF(G234="","",IFERROR(IF(S234="Sent","",IF(I234="Delivered","PO en attente","Projet en cours")),""))</f>
        <v/>
      </c>
      <c r="Q234" s="258">
        <v>4200657327</v>
      </c>
      <c r="R234" s="258"/>
      <c r="S234" s="211" t="s">
        <v>249</v>
      </c>
      <c r="T234" s="211" t="s">
        <v>981</v>
      </c>
      <c r="U234" s="249" t="s">
        <v>1246</v>
      </c>
      <c r="V234" s="7">
        <v>1</v>
      </c>
      <c r="W234" s="8">
        <v>4</v>
      </c>
    </row>
    <row r="235" spans="1:57" hidden="1">
      <c r="A235" s="286" t="s">
        <v>244</v>
      </c>
      <c r="B235" s="286" t="s">
        <v>221</v>
      </c>
      <c r="C235" s="280" t="s">
        <v>3</v>
      </c>
      <c r="D235" s="281" t="str">
        <f>IF(F235="","",CHOOSE(MONTH(F235),"Q4","Q4","Q4","Q1","Q1","Q1","Q2","Q2","Q2","Q3","Q3","Q3"))</f>
        <v>Q3</v>
      </c>
      <c r="E235" s="282" t="str">
        <f>IF(F235="","",CHOOSE(MONTH(F235),"10-JAN","11-FEB","12-MAR","01-APR","02-MAY","03-JUN","04-JUL","05-AUG","06-SEP","07-OCT","08-NOV","09-DEC"))</f>
        <v>07-OCT</v>
      </c>
      <c r="F235" s="76">
        <v>45229</v>
      </c>
      <c r="G235" s="231" t="s">
        <v>975</v>
      </c>
      <c r="H235" s="5" t="s">
        <v>36</v>
      </c>
      <c r="I235" s="29" t="s">
        <v>223</v>
      </c>
      <c r="J235" s="8" t="s">
        <v>69</v>
      </c>
      <c r="K235" s="281" t="s">
        <v>34</v>
      </c>
      <c r="L235" s="78" t="s">
        <v>976</v>
      </c>
      <c r="M235" s="151">
        <f>IF(SUM(V235:BC235)=0,"-",SUM(V235:BC235))</f>
        <v>2</v>
      </c>
      <c r="N235" s="332">
        <f>IF(SUMPRODUCT($V$3:$BC$3,V235:BC235)=0,"-",SUMPRODUCT($V$3:$BC$3,V235:BC235))</f>
        <v>175</v>
      </c>
      <c r="O235" s="333"/>
      <c r="P235" s="279" t="str">
        <f>IF(G235="","",IFERROR(IF(S235="Sent","",IF(I235="Delivered","PO en attente","Projet en cours")),""))</f>
        <v/>
      </c>
      <c r="Q235" s="353">
        <v>4200656596</v>
      </c>
      <c r="R235" s="296"/>
      <c r="S235" s="260" t="s">
        <v>249</v>
      </c>
      <c r="T235" s="260" t="s">
        <v>1298</v>
      </c>
      <c r="U235" s="356" t="s">
        <v>1299</v>
      </c>
      <c r="AC235" s="7">
        <v>1</v>
      </c>
      <c r="AD235" s="8">
        <v>1</v>
      </c>
    </row>
    <row r="236" spans="1:57" hidden="1">
      <c r="A236" s="286" t="s">
        <v>244</v>
      </c>
      <c r="B236" s="286" t="s">
        <v>221</v>
      </c>
      <c r="C236" s="280" t="s">
        <v>3</v>
      </c>
      <c r="D236" s="281" t="str">
        <f>IF(F236="","",CHOOSE(MONTH(F236),"Q4","Q4","Q4","Q1","Q1","Q1","Q2","Q2","Q2","Q3","Q3","Q3"))</f>
        <v>Q3</v>
      </c>
      <c r="E236" s="282" t="str">
        <f>IF(F236="","",CHOOSE(MONTH(F236),"10-JAN","11-FEB","12-MAR","01-APR","02-MAY","03-JUN","04-JUL","05-AUG","06-SEP","07-OCT","08-NOV","09-DEC"))</f>
        <v>07-OCT</v>
      </c>
      <c r="F236" s="242">
        <v>45230</v>
      </c>
      <c r="G236" s="236" t="s">
        <v>990</v>
      </c>
      <c r="H236" s="5" t="s">
        <v>27</v>
      </c>
      <c r="I236" s="118" t="s">
        <v>223</v>
      </c>
      <c r="J236" s="8" t="s">
        <v>130</v>
      </c>
      <c r="K236" s="281" t="s">
        <v>34</v>
      </c>
      <c r="L236" s="78" t="s">
        <v>991</v>
      </c>
      <c r="M236" s="151">
        <f>IF(SUM(V236:BC236)=0,"-",SUM(V236:BC236))</f>
        <v>1</v>
      </c>
      <c r="N236" s="241">
        <f>IF(SUMPRODUCT($V$3:$BC$3,V236:BC236)=0,"-",SUMPRODUCT($V$3:$BC$3,V236:BC236))</f>
        <v>120</v>
      </c>
      <c r="O236" s="266" t="s">
        <v>992</v>
      </c>
      <c r="P236" s="269" t="str">
        <f>IF(G236="","",IFERROR(IF(S236="Sent","",IF(I236="Delivered","PO en attente","Projet en cours")),""))</f>
        <v/>
      </c>
      <c r="Q236" s="256" t="s">
        <v>640</v>
      </c>
      <c r="R236" s="256"/>
      <c r="S236" s="260" t="s">
        <v>249</v>
      </c>
      <c r="T236" s="256" t="s">
        <v>641</v>
      </c>
      <c r="U236" s="257" t="s">
        <v>481</v>
      </c>
      <c r="V236" s="7">
        <v>1</v>
      </c>
    </row>
    <row r="237" spans="1:57" hidden="1">
      <c r="A237" s="286" t="s">
        <v>244</v>
      </c>
      <c r="B237" s="286" t="s">
        <v>221</v>
      </c>
      <c r="C237" s="280" t="s">
        <v>3</v>
      </c>
      <c r="D237" s="281" t="str">
        <f>IF(F237="","",CHOOSE(MONTH(F237),"Q4","Q4","Q4","Q1","Q1","Q1","Q2","Q2","Q2","Q3","Q3","Q3"))</f>
        <v>Q3</v>
      </c>
      <c r="E237" s="282" t="str">
        <f>IF(F237="","",CHOOSE(MONTH(F237),"10-JAN","11-FEB","12-MAR","01-APR","02-MAY","03-JUN","04-JUL","05-AUG","06-SEP","07-OCT","08-NOV","09-DEC"))</f>
        <v>07-OCT</v>
      </c>
      <c r="F237" s="242">
        <v>45230</v>
      </c>
      <c r="G237" s="237" t="s">
        <v>349</v>
      </c>
      <c r="H237" s="5" t="s">
        <v>26</v>
      </c>
      <c r="I237" s="29" t="s">
        <v>223</v>
      </c>
      <c r="J237" s="8" t="s">
        <v>130</v>
      </c>
      <c r="K237" s="281" t="s">
        <v>30</v>
      </c>
      <c r="L237" s="78" t="s">
        <v>1300</v>
      </c>
      <c r="M237" s="151">
        <f>IF(SUM(V237:BC237)=0,"-",SUM(V237:BC237))</f>
        <v>4</v>
      </c>
      <c r="N237" s="241">
        <f>IF(SUMPRODUCT($V$3:$BC$3,V237:BC237)=0,"-",SUMPRODUCT($V$3:$BC$3,V237:BC237))</f>
        <v>300</v>
      </c>
      <c r="P237" s="279" t="str">
        <f>IF(G237="","",IFERROR(IF(S237="Sent","",IF(I237="Delivered","PO en attente","Projet en cours")),""))</f>
        <v/>
      </c>
      <c r="Q237" s="213">
        <v>4200653885</v>
      </c>
      <c r="R237" s="213" t="s">
        <v>351</v>
      </c>
      <c r="S237" s="211" t="s">
        <v>249</v>
      </c>
      <c r="T237" s="211" t="s">
        <v>346</v>
      </c>
      <c r="U237" s="263" t="s">
        <v>290</v>
      </c>
      <c r="V237" s="7">
        <v>1</v>
      </c>
      <c r="Y237" s="8">
        <v>3</v>
      </c>
    </row>
    <row r="238" spans="1:57" hidden="1">
      <c r="A238" s="286" t="s">
        <v>244</v>
      </c>
      <c r="B238" s="286" t="s">
        <v>221</v>
      </c>
      <c r="C238" s="280" t="s">
        <v>3</v>
      </c>
      <c r="D238" s="281" t="str">
        <f>IF(F238="","",CHOOSE(MONTH(F238),"Q4","Q4","Q4","Q1","Q1","Q1","Q2","Q2","Q2","Q3","Q3","Q3"))</f>
        <v>Q3</v>
      </c>
      <c r="E238" s="282" t="str">
        <f>IF(F238="","",CHOOSE(MONTH(F238),"10-JAN","11-FEB","12-MAR","01-APR","02-MAY","03-JUN","04-JUL","05-AUG","06-SEP","07-OCT","08-NOV","09-DEC"))</f>
        <v>07-OCT</v>
      </c>
      <c r="F238" s="242">
        <v>45230</v>
      </c>
      <c r="G238" s="231" t="s">
        <v>307</v>
      </c>
      <c r="H238" s="459" t="s">
        <v>31</v>
      </c>
      <c r="I238" s="29" t="s">
        <v>223</v>
      </c>
      <c r="J238" s="8" t="s">
        <v>95</v>
      </c>
      <c r="K238" s="281" t="s">
        <v>30</v>
      </c>
      <c r="L238" s="78" t="s">
        <v>308</v>
      </c>
      <c r="M238" s="151">
        <f>IF(SUM(V238:BC238)=0,"-",SUM(V238:BC238))</f>
        <v>2</v>
      </c>
      <c r="N238" s="278">
        <f>IF(SUMPRODUCT($V$3:$BC$3,V238:BC238)=0,"-",SUMPRODUCT($V$3:$BC$3,V238:BC238))</f>
        <v>155</v>
      </c>
      <c r="P238" s="279" t="str">
        <f>IF(G238="","",IFERROR(IF(S238="Sent","",IF(I238="Delivered","PO en attente","Projet en cours")),""))</f>
        <v/>
      </c>
      <c r="Q238" s="298">
        <v>4200653906</v>
      </c>
      <c r="R238" s="298" t="s">
        <v>309</v>
      </c>
      <c r="S238" s="211" t="s">
        <v>249</v>
      </c>
      <c r="T238" s="211" t="s">
        <v>310</v>
      </c>
      <c r="U238" s="263" t="s">
        <v>311</v>
      </c>
      <c r="V238" s="7">
        <v>1</v>
      </c>
      <c r="W238" s="8">
        <v>1</v>
      </c>
      <c r="BD238" s="7"/>
      <c r="BE238" s="8"/>
    </row>
    <row r="239" spans="1:57" hidden="1">
      <c r="A239" s="286" t="s">
        <v>244</v>
      </c>
      <c r="B239" s="286" t="s">
        <v>221</v>
      </c>
      <c r="C239" s="280" t="s">
        <v>3</v>
      </c>
      <c r="D239" s="281" t="str">
        <f>IF(F239="","",CHOOSE(MONTH(F239),"Q4","Q4","Q4","Q1","Q1","Q1","Q2","Q2","Q2","Q3","Q3","Q3"))</f>
        <v>Q3</v>
      </c>
      <c r="E239" s="282" t="str">
        <f>IF(F239="","",CHOOSE(MONTH(F239),"10-JAN","11-FEB","12-MAR","01-APR","02-MAY","03-JUN","04-JUL","05-AUG","06-SEP","07-OCT","08-NOV","09-DEC"))</f>
        <v>07-OCT</v>
      </c>
      <c r="F239" s="242">
        <v>45230</v>
      </c>
      <c r="G239" s="231" t="s">
        <v>987</v>
      </c>
      <c r="H239" s="5" t="s">
        <v>27</v>
      </c>
      <c r="I239" s="29" t="s">
        <v>223</v>
      </c>
      <c r="J239" s="8" t="s">
        <v>130</v>
      </c>
      <c r="K239" s="281" t="s">
        <v>34</v>
      </c>
      <c r="L239" s="124" t="s">
        <v>988</v>
      </c>
      <c r="M239" s="151">
        <f>IF(SUM(V239:BC239)=0,"-",SUM(V239:BC239))</f>
        <v>1</v>
      </c>
      <c r="N239" s="241">
        <f>IF(SUMPRODUCT($V$3:$BC$3,V239:BC239)=0,"-",SUMPRODUCT($V$3:$BC$3,V239:BC239))</f>
        <v>120</v>
      </c>
      <c r="O239" s="266" t="s">
        <v>989</v>
      </c>
      <c r="P239" s="269" t="str">
        <f>IF(G239="","",IFERROR(IF(S239="Sent","",IF(I239="Delivered","PO en attente","Projet en cours")),""))</f>
        <v/>
      </c>
      <c r="Q239" s="258">
        <v>4200655672</v>
      </c>
      <c r="R239" s="258"/>
      <c r="S239" s="211" t="s">
        <v>249</v>
      </c>
      <c r="T239" s="211" t="s">
        <v>875</v>
      </c>
      <c r="U239" s="257" t="s">
        <v>876</v>
      </c>
      <c r="V239" s="7">
        <v>1</v>
      </c>
    </row>
    <row r="240" spans="1:57" hidden="1">
      <c r="A240" s="286" t="s">
        <v>244</v>
      </c>
      <c r="B240" s="286" t="s">
        <v>221</v>
      </c>
      <c r="C240" s="280" t="s">
        <v>3</v>
      </c>
      <c r="D240" s="281" t="str">
        <f>IF(F240="","",CHOOSE(MONTH(F240),"Q4","Q4","Q4","Q1","Q1","Q1","Q2","Q2","Q2","Q3","Q3","Q3"))</f>
        <v>Q3</v>
      </c>
      <c r="E240" s="282" t="str">
        <f>IF(F240="","",CHOOSE(MONTH(F240),"10-JAN","11-FEB","12-MAR","01-APR","02-MAY","03-JUN","04-JUL","05-AUG","06-SEP","07-OCT","08-NOV","09-DEC"))</f>
        <v>07-OCT</v>
      </c>
      <c r="F240" s="242">
        <v>45230</v>
      </c>
      <c r="G240" s="231" t="s">
        <v>397</v>
      </c>
      <c r="H240" s="5" t="s">
        <v>26</v>
      </c>
      <c r="I240" s="29" t="s">
        <v>223</v>
      </c>
      <c r="J240" s="8" t="s">
        <v>69</v>
      </c>
      <c r="K240" s="281" t="s">
        <v>30</v>
      </c>
      <c r="L240" s="78" t="s">
        <v>398</v>
      </c>
      <c r="M240" s="151">
        <f>IF(SUM(V240:BC240)=0,"-",SUM(V240:BC240))</f>
        <v>14</v>
      </c>
      <c r="N240" s="241">
        <f>IF(SUMPRODUCT($V$3:$BC$3,V240:BC240)=0,"-",SUMPRODUCT($V$3:$BC$3,V240:BC240))</f>
        <v>575</v>
      </c>
      <c r="P240" s="279" t="str">
        <f>IF(G240="","",IFERROR(IF(S240="Sent","",IF(I240="Delivered","PO en attente","Projet en cours")),""))</f>
        <v/>
      </c>
      <c r="Q240" s="145">
        <v>4200657843</v>
      </c>
      <c r="R240" s="145" t="s">
        <v>363</v>
      </c>
      <c r="S240" s="211" t="s">
        <v>249</v>
      </c>
      <c r="T240" s="211" t="s">
        <v>394</v>
      </c>
      <c r="U240" s="316" t="s">
        <v>1217</v>
      </c>
      <c r="V240" s="7">
        <v>1</v>
      </c>
      <c r="W240" s="8">
        <v>13</v>
      </c>
    </row>
    <row r="241" spans="1:5120 5122:14336 14338:16384" hidden="1">
      <c r="A241" s="286" t="s">
        <v>244</v>
      </c>
      <c r="B241" s="286" t="s">
        <v>221</v>
      </c>
      <c r="C241" s="280" t="s">
        <v>3</v>
      </c>
      <c r="D241" s="281" t="str">
        <f>IF(F241="","",CHOOSE(MONTH(F241),"Q4","Q4","Q4","Q1","Q1","Q1","Q2","Q2","Q2","Q3","Q3","Q3"))</f>
        <v>Q3</v>
      </c>
      <c r="E241" s="282" t="str">
        <f>IF(F241="","",CHOOSE(MONTH(F241),"10-JAN","11-FEB","12-MAR","01-APR","02-MAY","03-JUN","04-JUL","05-AUG","06-SEP","07-OCT","08-NOV","09-DEC"))</f>
        <v>07-OCT</v>
      </c>
      <c r="F241" s="242">
        <v>45230</v>
      </c>
      <c r="G241" s="231" t="s">
        <v>390</v>
      </c>
      <c r="H241" s="5" t="s">
        <v>26</v>
      </c>
      <c r="I241" s="118" t="s">
        <v>223</v>
      </c>
      <c r="J241" s="8" t="s">
        <v>69</v>
      </c>
      <c r="K241" s="281" t="s">
        <v>30</v>
      </c>
      <c r="L241" s="124" t="s">
        <v>391</v>
      </c>
      <c r="M241" s="151">
        <f>IF(SUM(V241:BC241)=0,"-",SUM(V241:BC241))</f>
        <v>2</v>
      </c>
      <c r="N241" s="278">
        <f>IF(SUMPRODUCT($V$3:$BC$3,V241:BC241)=0,"-",SUMPRODUCT($V$3:$BC$3,V241:BC241))</f>
        <v>155</v>
      </c>
      <c r="P241" s="269" t="str">
        <f>IF(G241="","",IFERROR(IF(S241="Sent","",IF(I241="Delivered","PO en attente","Projet en cours")),""))</f>
        <v/>
      </c>
      <c r="Q241" s="145">
        <v>4200657838</v>
      </c>
      <c r="R241" s="145" t="s">
        <v>363</v>
      </c>
      <c r="S241" s="248" t="s">
        <v>249</v>
      </c>
      <c r="T241" s="248" t="s">
        <v>1201</v>
      </c>
      <c r="U241" s="372" t="s">
        <v>1202</v>
      </c>
      <c r="V241" s="7">
        <v>1</v>
      </c>
      <c r="W241" s="8">
        <v>1</v>
      </c>
    </row>
    <row r="242" spans="1:5120 5122:14336 14338:16384" hidden="1">
      <c r="A242" s="286" t="s">
        <v>244</v>
      </c>
      <c r="B242" s="286" t="s">
        <v>221</v>
      </c>
      <c r="C242" s="280" t="s">
        <v>3</v>
      </c>
      <c r="D242" s="281" t="str">
        <f>IF(F242="","",CHOOSE(MONTH(F242),"Q4","Q4","Q4","Q1","Q1","Q1","Q2","Q2","Q2","Q3","Q3","Q3"))</f>
        <v>Q3</v>
      </c>
      <c r="E242" s="282" t="str">
        <f>IF(F242="","",CHOOSE(MONTH(F242),"10-JAN","11-FEB","12-MAR","01-APR","02-MAY","03-JUN","04-JUL","05-AUG","06-SEP","07-OCT","08-NOV","09-DEC"))</f>
        <v>08-NOV</v>
      </c>
      <c r="F242" s="242">
        <v>45232</v>
      </c>
      <c r="G242" s="231" t="s">
        <v>352</v>
      </c>
      <c r="H242" s="5" t="s">
        <v>26</v>
      </c>
      <c r="I242" s="29" t="s">
        <v>223</v>
      </c>
      <c r="J242" s="8" t="s">
        <v>130</v>
      </c>
      <c r="K242" s="281" t="s">
        <v>30</v>
      </c>
      <c r="L242" s="78" t="s">
        <v>353</v>
      </c>
      <c r="M242" s="151">
        <f>IF(SUM(V242:BC242)=0,"-",SUM(V242:BC242))</f>
        <v>1</v>
      </c>
      <c r="N242" s="241">
        <f>IF(SUMPRODUCT($V$3:$BC$3,V242:BC242)=0,"-",SUMPRODUCT($V$3:$BC$3,V242:BC242))</f>
        <v>80</v>
      </c>
      <c r="P242" s="279" t="str">
        <f>IF(G242="","",IFERROR(IF(S242="Sent","",IF(I242="Delivered","PO en attente","Projet en cours")),""))</f>
        <v/>
      </c>
      <c r="Q242" s="213">
        <v>4200653885</v>
      </c>
      <c r="R242" s="213" t="s">
        <v>351</v>
      </c>
      <c r="S242" s="211" t="s">
        <v>249</v>
      </c>
      <c r="T242" s="211" t="s">
        <v>346</v>
      </c>
      <c r="U242" s="263" t="s">
        <v>290</v>
      </c>
      <c r="AS242" s="7">
        <v>1</v>
      </c>
    </row>
    <row r="243" spans="1:5120 5122:14336 14338:16384" hidden="1">
      <c r="A243" s="286" t="s">
        <v>244</v>
      </c>
      <c r="B243" s="286" t="s">
        <v>221</v>
      </c>
      <c r="C243" s="280" t="s">
        <v>3</v>
      </c>
      <c r="D243" s="281" t="str">
        <f>IF(F243="","",CHOOSE(MONTH(F243),"Q4","Q4","Q4","Q1","Q1","Q1","Q2","Q2","Q2","Q3","Q3","Q3"))</f>
        <v>Q3</v>
      </c>
      <c r="E243" s="282" t="str">
        <f>IF(F243="","",CHOOSE(MONTH(F243),"10-JAN","11-FEB","12-MAR","01-APR","02-MAY","03-JUN","04-JUL","05-AUG","06-SEP","07-OCT","08-NOV","09-DEC"))</f>
        <v>08-NOV</v>
      </c>
      <c r="F243" s="242">
        <v>45237</v>
      </c>
      <c r="G243" s="236" t="s">
        <v>993</v>
      </c>
      <c r="H243" s="459" t="s">
        <v>33</v>
      </c>
      <c r="I243" s="29" t="s">
        <v>223</v>
      </c>
      <c r="J243" s="8" t="s">
        <v>69</v>
      </c>
      <c r="K243" s="281" t="s">
        <v>30</v>
      </c>
      <c r="L243" s="124" t="s">
        <v>994</v>
      </c>
      <c r="M243" s="151">
        <f>IF(SUM(V243:BC243)=0,"-",SUM(V243:BC243))</f>
        <v>12</v>
      </c>
      <c r="N243" s="241">
        <f>IF(SUMPRODUCT($V$3:$BC$3,V243:BC243)=0,"-",SUMPRODUCT($V$3:$BC$3,V243:BC243))</f>
        <v>420</v>
      </c>
      <c r="O243" s="266" t="s">
        <v>995</v>
      </c>
      <c r="P243" s="279" t="str">
        <f>IF(G243="","",IFERROR(IF(S243="Sent","",IF(I243="Delivered","PO en attente","Projet en cours")),""))</f>
        <v/>
      </c>
      <c r="Q243" s="258">
        <v>4200655681</v>
      </c>
      <c r="R243" s="258"/>
      <c r="S243" s="211" t="s">
        <v>249</v>
      </c>
      <c r="T243" s="211" t="s">
        <v>974</v>
      </c>
      <c r="U243" s="320" t="s">
        <v>1297</v>
      </c>
      <c r="W243" s="8">
        <v>12</v>
      </c>
      <c r="BD243" s="7"/>
      <c r="BE243" s="8"/>
    </row>
    <row r="244" spans="1:5120 5122:14336 14338:16384" hidden="1">
      <c r="A244" s="286" t="s">
        <v>244</v>
      </c>
      <c r="B244" s="286" t="s">
        <v>221</v>
      </c>
      <c r="C244" s="280" t="s">
        <v>3</v>
      </c>
      <c r="D244" s="281" t="str">
        <f>IF(F244="","",CHOOSE(MONTH(F244),"Q4","Q4","Q4","Q1","Q1","Q1","Q2","Q2","Q2","Q3","Q3","Q3"))</f>
        <v>Q3</v>
      </c>
      <c r="E244" s="282" t="str">
        <f>IF(F244="","",CHOOSE(MONTH(F244),"10-JAN","11-FEB","12-MAR","01-APR","02-MAY","03-JUN","04-JUL","05-AUG","06-SEP","07-OCT","08-NOV","09-DEC"))</f>
        <v>08-NOV</v>
      </c>
      <c r="F244" s="76">
        <v>45237</v>
      </c>
      <c r="G244" s="231" t="s">
        <v>996</v>
      </c>
      <c r="H244" s="5" t="s">
        <v>36</v>
      </c>
      <c r="I244" s="29" t="s">
        <v>223</v>
      </c>
      <c r="J244" s="8" t="s">
        <v>69</v>
      </c>
      <c r="K244" s="281" t="s">
        <v>34</v>
      </c>
      <c r="L244" s="78" t="s">
        <v>997</v>
      </c>
      <c r="M244" s="151">
        <f>IF(SUM(V244:BC244)=0,"-",SUM(V244:BC244))</f>
        <v>6</v>
      </c>
      <c r="N244" s="241">
        <f>IF(SUMPRODUCT($V$3:$BC$3,V244:BC244)=0,"-",SUMPRODUCT($V$3:$BC$3,V244:BC244))</f>
        <v>315</v>
      </c>
      <c r="O244" s="266"/>
      <c r="P244" s="279"/>
      <c r="Q244" s="211">
        <v>4200661515</v>
      </c>
      <c r="R244" s="211"/>
      <c r="S244" s="211" t="s">
        <v>249</v>
      </c>
      <c r="T244" s="211" t="s">
        <v>1301</v>
      </c>
      <c r="U244" s="253" t="s">
        <v>1206</v>
      </c>
      <c r="W244" s="8">
        <v>4</v>
      </c>
      <c r="AC244" s="7">
        <v>1</v>
      </c>
      <c r="AD244" s="8">
        <v>1</v>
      </c>
    </row>
    <row r="245" spans="1:5120 5122:14336 14338:16384" hidden="1">
      <c r="A245" s="286" t="s">
        <v>244</v>
      </c>
      <c r="B245" s="286" t="s">
        <v>221</v>
      </c>
      <c r="C245" s="280" t="s">
        <v>3</v>
      </c>
      <c r="D245" s="281" t="str">
        <f>IF(F245="","",CHOOSE(MONTH(F245),"Q4","Q4","Q4","Q1","Q1","Q1","Q2","Q2","Q2","Q3","Q3","Q3"))</f>
        <v>Q3</v>
      </c>
      <c r="E245" s="282" t="str">
        <f>IF(F245="","",CHOOSE(MONTH(F245),"10-JAN","11-FEB","12-MAR","01-APR","02-MAY","03-JUN","04-JUL","05-AUG","06-SEP","07-OCT","08-NOV","09-DEC"))</f>
        <v>08-NOV</v>
      </c>
      <c r="F245" s="242">
        <v>45238</v>
      </c>
      <c r="G245" s="236" t="s">
        <v>999</v>
      </c>
      <c r="H245" s="5" t="s">
        <v>35</v>
      </c>
      <c r="I245" s="29" t="s">
        <v>223</v>
      </c>
      <c r="J245" s="8" t="s">
        <v>130</v>
      </c>
      <c r="K245" s="281" t="s">
        <v>34</v>
      </c>
      <c r="L245" s="124" t="s">
        <v>1000</v>
      </c>
      <c r="M245" s="151">
        <f>IF(SUM(V245:BC245)=0,"-",SUM(V245:BC245))</f>
        <v>4</v>
      </c>
      <c r="N245" s="241">
        <f>IF(SUMPRODUCT($V$3:$BC$3,V245:BC245)=0,"-",SUMPRODUCT($V$3:$BC$3,V245:BC245))</f>
        <v>720</v>
      </c>
      <c r="O245" s="266" t="s">
        <v>1001</v>
      </c>
      <c r="P245" s="279" t="str">
        <f>IF(G245="","",IFERROR(IF(S245="Sent","",IF(I245="Delivered","PO en attente","Projet en cours")),""))</f>
        <v/>
      </c>
      <c r="Q245" s="211">
        <v>4200655370</v>
      </c>
      <c r="R245" s="211"/>
      <c r="S245" s="211" t="s">
        <v>249</v>
      </c>
      <c r="T245" s="211" t="s">
        <v>1002</v>
      </c>
      <c r="U245" s="257" t="s">
        <v>311</v>
      </c>
      <c r="AE245" s="8">
        <v>4</v>
      </c>
      <c r="BD245" s="7"/>
      <c r="BE245" s="8"/>
    </row>
    <row r="246" spans="1:5120 5122:14336 14338:16384" hidden="1">
      <c r="A246" s="286" t="s">
        <v>244</v>
      </c>
      <c r="B246" s="286" t="s">
        <v>221</v>
      </c>
      <c r="C246" s="280" t="s">
        <v>3</v>
      </c>
      <c r="D246" s="281" t="str">
        <f>IF(F246="","",CHOOSE(MONTH(F246),"Q4","Q4","Q4","Q1","Q1","Q1","Q2","Q2","Q2","Q3","Q3","Q3"))</f>
        <v>Q3</v>
      </c>
      <c r="E246" s="282" t="str">
        <f>IF(F246="","",CHOOSE(MONTH(F246),"10-JAN","11-FEB","12-MAR","01-APR","02-MAY","03-JUN","04-JUL","05-AUG","06-SEP","07-OCT","08-NOV","09-DEC"))</f>
        <v>08-NOV</v>
      </c>
      <c r="F246" s="242">
        <v>45238</v>
      </c>
      <c r="G246" s="231" t="s">
        <v>358</v>
      </c>
      <c r="H246" s="5" t="s">
        <v>32</v>
      </c>
      <c r="I246" s="29" t="s">
        <v>223</v>
      </c>
      <c r="J246" s="8" t="s">
        <v>95</v>
      </c>
      <c r="K246" s="281" t="s">
        <v>30</v>
      </c>
      <c r="L246" s="78" t="s">
        <v>359</v>
      </c>
      <c r="M246" s="151">
        <f>IF(SUM(V246:BC246)=0,"-",SUM(V246:BC246))</f>
        <v>2</v>
      </c>
      <c r="N246" s="278">
        <f>IF(SUMPRODUCT($V$3:$BC$3,V246:BC246)=0,"-",SUMPRODUCT($V$3:$BC$3,V246:BC246))</f>
        <v>155</v>
      </c>
      <c r="P246" s="279" t="str">
        <f>IF(G246="","",IFERROR(IF(S246="Sent","",IF(I246="Delivered","PO en attente","Projet en cours")),""))</f>
        <v/>
      </c>
      <c r="Q246" s="145">
        <v>4200653906</v>
      </c>
      <c r="R246" s="260" t="s">
        <v>309</v>
      </c>
      <c r="S246" s="211" t="s">
        <v>249</v>
      </c>
      <c r="T246" s="211" t="s">
        <v>310</v>
      </c>
      <c r="U246" s="263" t="s">
        <v>311</v>
      </c>
      <c r="V246" s="7">
        <v>1</v>
      </c>
      <c r="W246" s="8">
        <v>1</v>
      </c>
      <c r="BD246" s="7"/>
      <c r="BE246" s="8"/>
    </row>
    <row r="247" spans="1:5120 5122:14336 14338:16384" hidden="1">
      <c r="A247" s="286" t="s">
        <v>244</v>
      </c>
      <c r="B247" s="286" t="s">
        <v>221</v>
      </c>
      <c r="C247" s="280" t="s">
        <v>3</v>
      </c>
      <c r="D247" s="281" t="str">
        <f>IF(F247="","",CHOOSE(MONTH(F247),"Q4","Q4","Q4","Q1","Q1","Q1","Q2","Q2","Q2","Q3","Q3","Q3"))</f>
        <v>Q3</v>
      </c>
      <c r="E247" s="282" t="str">
        <f>IF(F247="","",CHOOSE(MONTH(F247),"10-JAN","11-FEB","12-MAR","01-APR","02-MAY","03-JUN","04-JUL","05-AUG","06-SEP","07-OCT","08-NOV","09-DEC"))</f>
        <v>08-NOV</v>
      </c>
      <c r="F247" s="242">
        <v>45238</v>
      </c>
      <c r="G247" s="231" t="s">
        <v>1003</v>
      </c>
      <c r="H247" s="5" t="s">
        <v>36</v>
      </c>
      <c r="I247" s="29" t="s">
        <v>223</v>
      </c>
      <c r="J247" s="8" t="s">
        <v>69</v>
      </c>
      <c r="K247" s="281" t="s">
        <v>34</v>
      </c>
      <c r="L247" s="124" t="s">
        <v>1004</v>
      </c>
      <c r="M247" s="151">
        <f>IF(SUM(V247:BC247)=0,"-",SUM(V247:BC247))</f>
        <v>5</v>
      </c>
      <c r="N247" s="241">
        <f>IF(SUMPRODUCT($V$3:$BC$3,V247:BC247)=0,"-",SUMPRODUCT($V$3:$BC$3,V247:BC247))</f>
        <v>260</v>
      </c>
      <c r="O247" s="266" t="s">
        <v>1005</v>
      </c>
      <c r="P247" s="279" t="str">
        <f>IF(G247="","",IFERROR(IF(S247="Sent","",IF(I247="Delivered","PO en attente","Projet en cours")),""))</f>
        <v/>
      </c>
      <c r="Q247" s="258">
        <v>4200655684</v>
      </c>
      <c r="R247" s="258"/>
      <c r="S247" s="211" t="s">
        <v>249</v>
      </c>
      <c r="T247" s="211" t="s">
        <v>867</v>
      </c>
      <c r="U247" s="257" t="s">
        <v>1284</v>
      </c>
      <c r="V247" s="7">
        <v>1</v>
      </c>
      <c r="W247" s="8">
        <v>4</v>
      </c>
    </row>
    <row r="248" spans="1:5120 5122:14336 14338:16384" hidden="1">
      <c r="A248" s="286" t="s">
        <v>244</v>
      </c>
      <c r="B248" s="286" t="s">
        <v>221</v>
      </c>
      <c r="C248" s="280" t="s">
        <v>3</v>
      </c>
      <c r="D248" s="281" t="str">
        <f>IF(F248="","",CHOOSE(MONTH(F248),"Q4","Q4","Q4","Q1","Q1","Q1","Q2","Q2","Q2","Q3","Q3","Q3"))</f>
        <v>Q3</v>
      </c>
      <c r="E248" s="282" t="str">
        <f>IF(F248="","",CHOOSE(MONTH(F248),"10-JAN","11-FEB","12-MAR","01-APR","02-MAY","03-JUN","04-JUL","05-AUG","06-SEP","07-OCT","08-NOV","09-DEC"))</f>
        <v>08-NOV</v>
      </c>
      <c r="F248" s="242">
        <v>45239</v>
      </c>
      <c r="G248" s="55" t="s">
        <v>1006</v>
      </c>
      <c r="H248" s="459" t="s">
        <v>33</v>
      </c>
      <c r="I248" s="29" t="s">
        <v>223</v>
      </c>
      <c r="J248" s="8" t="s">
        <v>69</v>
      </c>
      <c r="K248" s="281" t="s">
        <v>30</v>
      </c>
      <c r="L248" s="124" t="s">
        <v>1007</v>
      </c>
      <c r="M248" s="151">
        <f>IF(SUM(V248:BC248)=0,"-",SUM(V248:BC248))</f>
        <v>3</v>
      </c>
      <c r="N248" s="278">
        <f>IF(SUMPRODUCT($V$3:$BC$3,V248:BC248)=0,"-",SUMPRODUCT($V$3:$BC$3,V248:BC248))</f>
        <v>105</v>
      </c>
      <c r="O248" s="266" t="s">
        <v>1008</v>
      </c>
      <c r="P248" s="279" t="str">
        <f>IF(G248="","",IFERROR(IF(S248="Sent","",IF(I248="Delivered","PO en attente","Projet en cours")),""))</f>
        <v/>
      </c>
      <c r="Q248" s="258">
        <v>4200657843</v>
      </c>
      <c r="R248" s="258" t="s">
        <v>1302</v>
      </c>
      <c r="S248" s="211" t="s">
        <v>249</v>
      </c>
      <c r="T248" s="211" t="s">
        <v>1303</v>
      </c>
      <c r="U248" s="249" t="s">
        <v>1202</v>
      </c>
      <c r="W248" s="8">
        <v>3</v>
      </c>
      <c r="AZ248" s="8"/>
      <c r="BA248" s="7"/>
      <c r="BB248" s="8"/>
      <c r="BC248" s="7"/>
      <c r="BD248" s="5"/>
      <c r="BF248" s="9"/>
    </row>
    <row r="249" spans="1:5120 5122:14336 14338:16384" hidden="1">
      <c r="A249" s="286" t="s">
        <v>244</v>
      </c>
      <c r="B249" s="286" t="s">
        <v>221</v>
      </c>
      <c r="C249" s="280" t="s">
        <v>3</v>
      </c>
      <c r="D249" s="281" t="str">
        <f>IF(F249="","",CHOOSE(MONTH(F249),"Q4","Q4","Q4","Q1","Q1","Q1","Q2","Q2","Q2","Q3","Q3","Q3"))</f>
        <v>Q3</v>
      </c>
      <c r="E249" s="282" t="str">
        <f>IF(F249="","",CHOOSE(MONTH(F249),"10-JAN","11-FEB","12-MAR","01-APR","02-MAY","03-JUN","04-JUL","05-AUG","06-SEP","07-OCT","08-NOV","09-DEC"))</f>
        <v>08-NOV</v>
      </c>
      <c r="F249" s="242">
        <v>45240</v>
      </c>
      <c r="G249" s="55" t="s">
        <v>354</v>
      </c>
      <c r="H249" s="5" t="s">
        <v>32</v>
      </c>
      <c r="I249" s="29" t="s">
        <v>223</v>
      </c>
      <c r="J249" s="8" t="s">
        <v>130</v>
      </c>
      <c r="K249" s="281" t="s">
        <v>30</v>
      </c>
      <c r="L249" s="78" t="s">
        <v>355</v>
      </c>
      <c r="M249" s="151">
        <f>IF(SUM(V249:BC249)=0,"-",SUM(V249:BC249))</f>
        <v>2</v>
      </c>
      <c r="N249" s="241">
        <f>IF(SUMPRODUCT($V$3:$BC$3,V249:BC249)=0,"-",SUMPRODUCT($V$3:$BC$3,V249:BC249))</f>
        <v>240</v>
      </c>
      <c r="P249" s="279" t="str">
        <f>IF(G249="","",IFERROR(IF(S249="Sent","",IF(I249="Delivered","PO en attente","Projet en cours")),""))</f>
        <v/>
      </c>
      <c r="Q249" s="301">
        <v>4200653885</v>
      </c>
      <c r="R249" s="213" t="s">
        <v>351</v>
      </c>
      <c r="S249" s="211" t="s">
        <v>249</v>
      </c>
      <c r="T249" s="211" t="s">
        <v>346</v>
      </c>
      <c r="U249" s="263" t="s">
        <v>290</v>
      </c>
      <c r="V249" s="7">
        <v>2</v>
      </c>
      <c r="AZ249" s="8"/>
      <c r="BA249" s="7"/>
      <c r="BB249" s="8"/>
      <c r="BC249" s="7"/>
      <c r="BD249" s="8"/>
      <c r="BE249" s="21"/>
      <c r="BF249" s="9"/>
    </row>
    <row r="250" spans="1:5120 5122:14336 14338:16384" hidden="1">
      <c r="A250" s="286" t="s">
        <v>244</v>
      </c>
      <c r="B250" s="286" t="s">
        <v>221</v>
      </c>
      <c r="C250" s="280" t="s">
        <v>3</v>
      </c>
      <c r="D250" s="281" t="str">
        <f>IF(F250="","",CHOOSE(MONTH(F250),"Q4","Q4","Q4","Q1","Q1","Q1","Q2","Q2","Q2","Q3","Q3","Q3"))</f>
        <v>Q3</v>
      </c>
      <c r="E250" s="282" t="str">
        <f>IF(F250="","",CHOOSE(MONTH(F250),"10-JAN","11-FEB","12-MAR","01-APR","02-MAY","03-JUN","04-JUL","05-AUG","06-SEP","07-OCT","08-NOV","09-DEC"))</f>
        <v>08-NOV</v>
      </c>
      <c r="F250" s="242">
        <v>45240</v>
      </c>
      <c r="G250" s="106" t="s">
        <v>1012</v>
      </c>
      <c r="H250" s="5" t="s">
        <v>35</v>
      </c>
      <c r="I250" s="118" t="s">
        <v>223</v>
      </c>
      <c r="J250" s="8" t="s">
        <v>130</v>
      </c>
      <c r="K250" s="281" t="s">
        <v>34</v>
      </c>
      <c r="L250" s="124" t="s">
        <v>1013</v>
      </c>
      <c r="M250" s="151">
        <f>IF(SUM(V250:BC250)=0,"-",SUM(V250:BC250))</f>
        <v>4</v>
      </c>
      <c r="N250" s="241">
        <f>IF(SUMPRODUCT($V$3:$BC$3,V250:BC250)=0,"-",SUMPRODUCT($V$3:$BC$3,V250:BC250))</f>
        <v>225</v>
      </c>
      <c r="P250" s="279" t="str">
        <f>IF(G250="","",IFERROR(IF(S250="Sent","",IF(I250="Delivered","PO en attente","Projet en cours")),""))</f>
        <v/>
      </c>
      <c r="Q250" s="301">
        <v>4200657838</v>
      </c>
      <c r="R250" s="211"/>
      <c r="S250" s="211" t="s">
        <v>249</v>
      </c>
      <c r="T250" s="211" t="s">
        <v>1002</v>
      </c>
      <c r="U250" s="257" t="s">
        <v>311</v>
      </c>
      <c r="V250" s="7">
        <v>1</v>
      </c>
      <c r="W250" s="8">
        <v>3</v>
      </c>
      <c r="AZ250" s="8"/>
      <c r="BA250" s="7"/>
      <c r="BB250" s="8"/>
      <c r="BC250" s="7"/>
      <c r="BD250" s="8"/>
      <c r="BE250" s="8"/>
      <c r="BF250" s="9"/>
    </row>
    <row r="251" spans="1:5120 5122:14336 14338:16384" hidden="1">
      <c r="A251" s="286" t="s">
        <v>244</v>
      </c>
      <c r="B251" s="286" t="s">
        <v>221</v>
      </c>
      <c r="C251" s="280" t="s">
        <v>3</v>
      </c>
      <c r="D251" s="281" t="str">
        <f>IF(F251="","",CHOOSE(MONTH(F251),"Q4","Q4","Q4","Q1","Q1","Q1","Q2","Q2","Q2","Q3","Q3","Q3"))</f>
        <v>Q3</v>
      </c>
      <c r="E251" s="282" t="str">
        <f>IF(F251="","",CHOOSE(MONTH(F251),"10-JAN","11-FEB","12-MAR","01-APR","02-MAY","03-JUN","04-JUL","05-AUG","06-SEP","07-OCT","08-NOV","09-DEC"))</f>
        <v>08-NOV</v>
      </c>
      <c r="F251" s="242">
        <v>45240</v>
      </c>
      <c r="G251" s="106" t="s">
        <v>1009</v>
      </c>
      <c r="H251" s="459" t="s">
        <v>33</v>
      </c>
      <c r="I251" s="118" t="s">
        <v>223</v>
      </c>
      <c r="J251" s="8" t="s">
        <v>95</v>
      </c>
      <c r="K251" s="281" t="s">
        <v>30</v>
      </c>
      <c r="L251" s="124" t="s">
        <v>1010</v>
      </c>
      <c r="M251" s="151">
        <f>IF(SUM(V251:BC251)=0,"-",SUM(V251:BC251))</f>
        <v>2</v>
      </c>
      <c r="N251" s="278">
        <f>IF(SUMPRODUCT($V$3:$BC$3,V251:BC251)=0,"-",SUMPRODUCT($V$3:$BC$3,V251:BC251))</f>
        <v>155</v>
      </c>
      <c r="O251" s="266" t="s">
        <v>1011</v>
      </c>
      <c r="P251" s="269" t="str">
        <f>IF(G251="","",IFERROR(IF(S251="Sent","",IF(I251="Delivered","PO en attente","Projet en cours")),""))</f>
        <v/>
      </c>
      <c r="Q251" s="258">
        <v>4200657838</v>
      </c>
      <c r="R251" s="258" t="s">
        <v>1302</v>
      </c>
      <c r="S251" s="248" t="s">
        <v>249</v>
      </c>
      <c r="T251" s="248" t="s">
        <v>1201</v>
      </c>
      <c r="U251" s="372" t="s">
        <v>1202</v>
      </c>
      <c r="V251" s="7">
        <v>1</v>
      </c>
      <c r="W251" s="8">
        <v>1</v>
      </c>
      <c r="AZ251" s="8"/>
      <c r="BA251" s="7"/>
      <c r="BB251" s="8"/>
      <c r="BC251" s="7"/>
      <c r="BD251" s="286"/>
      <c r="BE251" s="286"/>
      <c r="BF251" s="311"/>
      <c r="BG251" s="281"/>
      <c r="BH251" s="282"/>
      <c r="BI251" s="242"/>
      <c r="BJ251" s="222"/>
      <c r="BL251" s="118"/>
      <c r="BM251" s="8"/>
      <c r="BN251" s="281"/>
      <c r="BO251" s="78"/>
      <c r="BP251" s="151"/>
      <c r="BQ251" s="278"/>
      <c r="BR251" s="266"/>
      <c r="BS251" s="279"/>
      <c r="BT251" s="211"/>
      <c r="BU251" s="211"/>
      <c r="BV251" s="286"/>
      <c r="BW251" s="286"/>
      <c r="BX251" s="280"/>
      <c r="BY251" s="281"/>
      <c r="BZ251" s="282"/>
      <c r="CA251" s="242"/>
      <c r="CB251" s="222"/>
      <c r="CD251" s="118"/>
      <c r="CE251" s="8"/>
      <c r="CF251" s="281"/>
      <c r="CG251" s="78"/>
      <c r="CH251" s="151"/>
      <c r="CI251" s="278"/>
      <c r="CJ251" s="266"/>
      <c r="CK251" s="279"/>
      <c r="CL251" s="211"/>
      <c r="CM251" s="211"/>
      <c r="CN251" s="286"/>
      <c r="CO251" s="286"/>
      <c r="CP251" s="280"/>
      <c r="CQ251" s="281"/>
      <c r="CR251" s="282"/>
      <c r="CS251" s="242"/>
      <c r="CT251" s="222"/>
      <c r="CV251" s="118"/>
      <c r="CW251" s="8"/>
      <c r="CX251" s="281"/>
      <c r="CY251" s="78"/>
      <c r="CZ251" s="151"/>
      <c r="DA251" s="278"/>
      <c r="DB251" s="266"/>
      <c r="DC251" s="279"/>
      <c r="DD251" s="211"/>
      <c r="DE251" s="211"/>
      <c r="DF251" s="286"/>
      <c r="DG251" s="286"/>
      <c r="DH251" s="280"/>
      <c r="DI251" s="281"/>
      <c r="DJ251" s="282"/>
      <c r="DK251" s="242"/>
      <c r="DL251" s="222"/>
      <c r="DN251" s="118"/>
      <c r="DO251" s="8"/>
      <c r="DP251" s="281"/>
      <c r="DQ251" s="78"/>
      <c r="DR251" s="151"/>
      <c r="DS251" s="278"/>
      <c r="DT251" s="266"/>
      <c r="DU251" s="279"/>
      <c r="DV251" s="211"/>
      <c r="DW251" s="211"/>
      <c r="DX251" s="286"/>
      <c r="DY251" s="286"/>
      <c r="DZ251" s="280"/>
      <c r="EA251" s="281"/>
      <c r="EB251" s="282"/>
      <c r="EC251" s="242"/>
      <c r="ED251" s="222"/>
      <c r="EF251" s="118"/>
      <c r="EG251" s="8"/>
      <c r="EH251" s="281"/>
      <c r="EI251" s="78"/>
      <c r="EJ251" s="151"/>
      <c r="EK251" s="278"/>
      <c r="EL251" s="266"/>
      <c r="EM251" s="279"/>
      <c r="EN251" s="211"/>
      <c r="EO251" s="211"/>
      <c r="EP251" s="286"/>
      <c r="EQ251" s="286"/>
      <c r="ER251" s="280"/>
      <c r="ES251" s="281"/>
      <c r="ET251" s="282"/>
      <c r="EU251" s="242"/>
      <c r="EV251" s="222"/>
      <c r="EX251" s="118"/>
      <c r="EY251" s="8"/>
      <c r="EZ251" s="281"/>
      <c r="FA251" s="78"/>
      <c r="FB251" s="151"/>
      <c r="FC251" s="278"/>
      <c r="FD251" s="266"/>
      <c r="FE251" s="279"/>
      <c r="FF251" s="211"/>
      <c r="FG251" s="211"/>
      <c r="FH251" s="286"/>
      <c r="FI251" s="286"/>
      <c r="FJ251" s="280"/>
      <c r="FK251" s="281"/>
      <c r="FL251" s="282"/>
      <c r="FM251" s="242"/>
      <c r="FN251" s="222"/>
      <c r="FP251" s="118"/>
      <c r="FQ251" s="8"/>
      <c r="FR251" s="281"/>
      <c r="FS251" s="78"/>
      <c r="FT251" s="151"/>
      <c r="FU251" s="278"/>
      <c r="FV251" s="266"/>
      <c r="FW251" s="279"/>
      <c r="FX251" s="211"/>
      <c r="FY251" s="211"/>
      <c r="FZ251" s="286"/>
      <c r="GA251" s="286"/>
      <c r="GB251" s="280"/>
      <c r="GC251" s="281"/>
      <c r="GD251" s="282"/>
      <c r="GE251" s="242"/>
      <c r="GF251" s="222"/>
      <c r="GH251" s="118"/>
      <c r="GI251" s="8"/>
      <c r="GJ251" s="281"/>
      <c r="GK251" s="78"/>
      <c r="GL251" s="151"/>
      <c r="GM251" s="278"/>
      <c r="GN251" s="266"/>
      <c r="GO251" s="279"/>
      <c r="GP251" s="211"/>
      <c r="GQ251" s="211"/>
      <c r="GR251" s="286"/>
      <c r="GS251" s="286"/>
      <c r="GT251" s="280"/>
      <c r="GU251" s="281"/>
      <c r="GV251" s="282"/>
      <c r="GW251" s="242"/>
      <c r="GX251" s="222"/>
      <c r="GZ251" s="118"/>
      <c r="HA251" s="8"/>
      <c r="HB251" s="281"/>
      <c r="HC251" s="78"/>
      <c r="HD251" s="151"/>
      <c r="HE251" s="278"/>
      <c r="HF251" s="266"/>
      <c r="HG251" s="279"/>
      <c r="HH251" s="211"/>
      <c r="HI251" s="211"/>
      <c r="HJ251" s="286"/>
      <c r="HK251" s="286"/>
      <c r="HL251" s="280"/>
      <c r="HM251" s="281"/>
      <c r="HN251" s="282"/>
      <c r="HO251" s="242"/>
      <c r="HP251" s="222"/>
      <c r="HR251" s="118"/>
      <c r="HS251" s="8"/>
      <c r="HT251" s="281"/>
      <c r="HU251" s="78"/>
      <c r="HV251" s="151"/>
      <c r="HW251" s="278"/>
      <c r="HX251" s="266"/>
      <c r="HY251" s="279"/>
      <c r="HZ251" s="211"/>
      <c r="IA251" s="211"/>
      <c r="IB251" s="286"/>
      <c r="IC251" s="286"/>
      <c r="ID251" s="280"/>
      <c r="IE251" s="281"/>
      <c r="IF251" s="282"/>
      <c r="IG251" s="242"/>
      <c r="IH251" s="222"/>
      <c r="IJ251" s="118"/>
      <c r="IK251" s="8"/>
      <c r="IL251" s="281"/>
      <c r="IM251" s="78"/>
      <c r="IN251" s="151"/>
      <c r="IO251" s="278"/>
      <c r="IP251" s="266"/>
      <c r="IQ251" s="279"/>
      <c r="IR251" s="211"/>
      <c r="IS251" s="211"/>
      <c r="IT251" s="286"/>
      <c r="IU251" s="286"/>
      <c r="IV251" s="280"/>
      <c r="IW251" s="281"/>
      <c r="IX251" s="282"/>
      <c r="IY251" s="242"/>
      <c r="IZ251" s="222"/>
      <c r="JB251" s="118"/>
      <c r="JC251" s="8"/>
      <c r="JD251" s="281"/>
      <c r="JE251" s="78"/>
      <c r="JF251" s="151"/>
      <c r="JG251" s="278"/>
      <c r="JH251" s="266"/>
      <c r="JI251" s="279"/>
      <c r="JJ251" s="211"/>
      <c r="JK251" s="211"/>
      <c r="JL251" s="286"/>
      <c r="JM251" s="286"/>
      <c r="JN251" s="280"/>
      <c r="JO251" s="281"/>
      <c r="JP251" s="282"/>
      <c r="JQ251" s="242"/>
      <c r="JR251" s="222"/>
      <c r="JT251" s="118"/>
      <c r="JU251" s="8"/>
      <c r="JV251" s="281"/>
      <c r="JW251" s="78"/>
      <c r="JX251" s="151"/>
      <c r="JY251" s="278"/>
      <c r="JZ251" s="266"/>
      <c r="KA251" s="279"/>
      <c r="KB251" s="211"/>
      <c r="KC251" s="211"/>
      <c r="KD251" s="286"/>
      <c r="KE251" s="286"/>
      <c r="KF251" s="280"/>
      <c r="KG251" s="281"/>
      <c r="KH251" s="282"/>
      <c r="KI251" s="242"/>
      <c r="KJ251" s="222"/>
      <c r="KL251" s="118"/>
      <c r="KM251" s="8"/>
      <c r="KN251" s="281"/>
      <c r="KO251" s="78"/>
      <c r="KP251" s="151"/>
      <c r="KQ251" s="278"/>
      <c r="KR251" s="266"/>
      <c r="KS251" s="279"/>
      <c r="KT251" s="211"/>
      <c r="KU251" s="211"/>
      <c r="KV251" s="286"/>
      <c r="KW251" s="286"/>
      <c r="KX251" s="280"/>
      <c r="KY251" s="281"/>
      <c r="KZ251" s="282"/>
      <c r="LA251" s="242"/>
      <c r="LB251" s="222"/>
      <c r="LD251" s="118"/>
      <c r="LE251" s="8"/>
      <c r="LF251" s="281"/>
      <c r="LG251" s="78"/>
      <c r="LH251" s="151"/>
      <c r="LI251" s="278"/>
      <c r="LJ251" s="266"/>
      <c r="LK251" s="279"/>
      <c r="LL251" s="211"/>
      <c r="LM251" s="211"/>
      <c r="LN251" s="286"/>
      <c r="LO251" s="286"/>
      <c r="LP251" s="280"/>
      <c r="LQ251" s="281"/>
      <c r="LR251" s="282"/>
      <c r="LS251" s="242"/>
      <c r="LT251" s="222"/>
      <c r="LV251" s="118"/>
      <c r="LW251" s="8"/>
      <c r="LX251" s="281"/>
      <c r="LY251" s="78"/>
      <c r="LZ251" s="151"/>
      <c r="MA251" s="278"/>
      <c r="MB251" s="266"/>
      <c r="MC251" s="279"/>
      <c r="MD251" s="211"/>
      <c r="ME251" s="211"/>
      <c r="MF251" s="286"/>
      <c r="MG251" s="286"/>
      <c r="MH251" s="280"/>
      <c r="MI251" s="281"/>
      <c r="MJ251" s="282"/>
      <c r="MK251" s="242"/>
      <c r="ML251" s="222"/>
      <c r="MN251" s="118"/>
      <c r="MO251" s="8"/>
      <c r="MP251" s="281"/>
      <c r="MQ251" s="78"/>
      <c r="MR251" s="151"/>
      <c r="MS251" s="278"/>
      <c r="MT251" s="266"/>
      <c r="MU251" s="279"/>
      <c r="MV251" s="211"/>
      <c r="MW251" s="211"/>
      <c r="MX251" s="286"/>
      <c r="MY251" s="286"/>
      <c r="MZ251" s="280"/>
      <c r="NA251" s="281"/>
      <c r="NB251" s="282"/>
      <c r="NC251" s="242"/>
      <c r="ND251" s="222"/>
      <c r="NF251" s="118"/>
      <c r="NG251" s="8"/>
      <c r="NH251" s="281"/>
      <c r="NI251" s="78"/>
      <c r="NJ251" s="151"/>
      <c r="NK251" s="278"/>
      <c r="NL251" s="266"/>
      <c r="NM251" s="279"/>
      <c r="NN251" s="211"/>
      <c r="NO251" s="211"/>
      <c r="NP251" s="286"/>
      <c r="NQ251" s="286"/>
      <c r="NR251" s="280"/>
      <c r="NS251" s="281"/>
      <c r="NT251" s="282"/>
      <c r="NU251" s="242"/>
      <c r="NV251" s="222"/>
      <c r="NX251" s="118"/>
      <c r="NY251" s="8"/>
      <c r="NZ251" s="281"/>
      <c r="OA251" s="78"/>
      <c r="OB251" s="151"/>
      <c r="OC251" s="278"/>
      <c r="OD251" s="266"/>
      <c r="OE251" s="279"/>
      <c r="OF251" s="211"/>
      <c r="OG251" s="211"/>
      <c r="OH251" s="286"/>
      <c r="OI251" s="286"/>
      <c r="OJ251" s="280"/>
      <c r="OK251" s="281"/>
      <c r="OL251" s="282"/>
      <c r="OM251" s="242"/>
      <c r="ON251" s="222"/>
      <c r="OP251" s="118"/>
      <c r="OQ251" s="8"/>
      <c r="OR251" s="281"/>
      <c r="OS251" s="78"/>
      <c r="OT251" s="151"/>
      <c r="OU251" s="278"/>
      <c r="OV251" s="266"/>
      <c r="OW251" s="279"/>
      <c r="OX251" s="211"/>
      <c r="OY251" s="211"/>
      <c r="OZ251" s="286"/>
      <c r="PA251" s="286"/>
      <c r="PB251" s="280"/>
      <c r="PC251" s="281"/>
      <c r="PD251" s="282"/>
      <c r="PE251" s="242"/>
      <c r="PF251" s="222"/>
      <c r="PH251" s="118"/>
      <c r="PI251" s="8"/>
      <c r="PJ251" s="281"/>
      <c r="PK251" s="78"/>
      <c r="PL251" s="151"/>
      <c r="PM251" s="278"/>
      <c r="PN251" s="266"/>
      <c r="PO251" s="279"/>
      <c r="PP251" s="211"/>
      <c r="PQ251" s="211"/>
      <c r="PR251" s="286"/>
      <c r="PS251" s="286"/>
      <c r="PT251" s="280"/>
      <c r="PU251" s="281"/>
      <c r="PV251" s="282"/>
      <c r="PW251" s="242"/>
      <c r="PX251" s="222"/>
      <c r="PZ251" s="118"/>
      <c r="QA251" s="8"/>
      <c r="QB251" s="281"/>
      <c r="QC251" s="78"/>
      <c r="QD251" s="151"/>
      <c r="QE251" s="278"/>
      <c r="QF251" s="266"/>
      <c r="QG251" s="279"/>
      <c r="QH251" s="211"/>
      <c r="QI251" s="211"/>
      <c r="QJ251" s="286"/>
      <c r="QK251" s="286"/>
      <c r="QL251" s="280"/>
      <c r="QM251" s="281"/>
      <c r="QN251" s="282"/>
      <c r="QO251" s="242"/>
      <c r="QP251" s="222"/>
      <c r="QR251" s="118"/>
      <c r="QS251" s="8"/>
      <c r="QT251" s="281"/>
      <c r="QU251" s="78"/>
      <c r="QV251" s="151"/>
      <c r="QW251" s="278"/>
      <c r="QX251" s="266"/>
      <c r="QY251" s="279"/>
      <c r="QZ251" s="211"/>
      <c r="RA251" s="211"/>
      <c r="RB251" s="286"/>
      <c r="RC251" s="286"/>
      <c r="RD251" s="280"/>
      <c r="RE251" s="281"/>
      <c r="RF251" s="282"/>
      <c r="RG251" s="242"/>
      <c r="RH251" s="222"/>
      <c r="RJ251" s="118"/>
      <c r="RK251" s="8"/>
      <c r="RL251" s="281"/>
      <c r="RM251" s="78"/>
      <c r="RN251" s="151"/>
      <c r="RO251" s="278"/>
      <c r="RP251" s="266"/>
      <c r="RQ251" s="279"/>
      <c r="RR251" s="211"/>
      <c r="RS251" s="211"/>
      <c r="RT251" s="286"/>
      <c r="RU251" s="286"/>
      <c r="RV251" s="280"/>
      <c r="RW251" s="281"/>
      <c r="RX251" s="282"/>
      <c r="RY251" s="242"/>
      <c r="RZ251" s="222"/>
      <c r="SB251" s="118"/>
      <c r="SC251" s="8"/>
      <c r="SD251" s="281"/>
      <c r="SE251" s="78"/>
      <c r="SF251" s="151"/>
      <c r="SG251" s="278"/>
      <c r="SH251" s="266"/>
      <c r="SI251" s="279"/>
      <c r="SJ251" s="211"/>
      <c r="SK251" s="211"/>
      <c r="SL251" s="286"/>
      <c r="SM251" s="286"/>
      <c r="SN251" s="280"/>
      <c r="SO251" s="281"/>
      <c r="SP251" s="282"/>
      <c r="SQ251" s="242"/>
      <c r="SR251" s="222"/>
      <c r="ST251" s="118"/>
      <c r="SU251" s="8"/>
      <c r="SV251" s="281"/>
      <c r="SW251" s="78"/>
      <c r="SX251" s="151"/>
      <c r="SY251" s="278"/>
      <c r="SZ251" s="266"/>
      <c r="TA251" s="279"/>
      <c r="TB251" s="211"/>
      <c r="TC251" s="211"/>
      <c r="TD251" s="286"/>
      <c r="TE251" s="286"/>
      <c r="TF251" s="280"/>
      <c r="TG251" s="281"/>
      <c r="TH251" s="282"/>
      <c r="TI251" s="242"/>
      <c r="TJ251" s="222"/>
      <c r="TL251" s="118"/>
      <c r="TM251" s="8"/>
      <c r="TN251" s="281"/>
      <c r="TO251" s="78"/>
      <c r="TP251" s="151"/>
      <c r="TQ251" s="278"/>
      <c r="TR251" s="266"/>
      <c r="TS251" s="279"/>
      <c r="TT251" s="211"/>
      <c r="TU251" s="211"/>
      <c r="TV251" s="286"/>
      <c r="TW251" s="286"/>
      <c r="TX251" s="280"/>
      <c r="TY251" s="281"/>
      <c r="TZ251" s="282"/>
      <c r="UA251" s="242"/>
      <c r="UB251" s="222"/>
      <c r="UD251" s="118"/>
      <c r="UE251" s="8"/>
      <c r="UF251" s="281"/>
      <c r="UG251" s="78"/>
      <c r="UH251" s="151"/>
      <c r="UI251" s="278"/>
      <c r="UJ251" s="266"/>
      <c r="UK251" s="279"/>
      <c r="UL251" s="211"/>
      <c r="UM251" s="211"/>
      <c r="UN251" s="286"/>
      <c r="UO251" s="286"/>
      <c r="UP251" s="280"/>
      <c r="UQ251" s="281"/>
      <c r="UR251" s="282"/>
      <c r="US251" s="242"/>
      <c r="UT251" s="222"/>
      <c r="UV251" s="118"/>
      <c r="UW251" s="8"/>
      <c r="UX251" s="281"/>
      <c r="UY251" s="78"/>
      <c r="UZ251" s="151"/>
      <c r="VA251" s="278"/>
      <c r="VB251" s="266"/>
      <c r="VC251" s="279"/>
      <c r="VD251" s="211"/>
      <c r="VE251" s="211"/>
      <c r="VF251" s="286"/>
      <c r="VG251" s="286"/>
      <c r="VH251" s="280"/>
      <c r="VI251" s="281"/>
      <c r="VJ251" s="282"/>
      <c r="VK251" s="242"/>
      <c r="VL251" s="222"/>
      <c r="VN251" s="118"/>
      <c r="VO251" s="8"/>
      <c r="VP251" s="281"/>
      <c r="VQ251" s="78"/>
      <c r="VR251" s="151"/>
      <c r="VS251" s="278"/>
      <c r="VT251" s="266"/>
      <c r="VU251" s="279"/>
      <c r="VV251" s="211"/>
      <c r="VW251" s="211"/>
      <c r="VX251" s="286"/>
      <c r="VY251" s="286"/>
      <c r="VZ251" s="280"/>
      <c r="WA251" s="281"/>
      <c r="WB251" s="282"/>
      <c r="WC251" s="242"/>
      <c r="WD251" s="222"/>
      <c r="WF251" s="118"/>
      <c r="WG251" s="8"/>
      <c r="WH251" s="281"/>
      <c r="WI251" s="78"/>
      <c r="WJ251" s="151"/>
      <c r="WK251" s="278"/>
      <c r="WL251" s="266"/>
      <c r="WM251" s="279"/>
      <c r="WN251" s="211"/>
      <c r="WO251" s="211"/>
      <c r="WP251" s="286"/>
      <c r="WQ251" s="286"/>
      <c r="WR251" s="280"/>
      <c r="WS251" s="281"/>
      <c r="WT251" s="282"/>
      <c r="WU251" s="242"/>
      <c r="WV251" s="222"/>
      <c r="WX251" s="118"/>
      <c r="WY251" s="8"/>
      <c r="WZ251" s="281"/>
      <c r="XA251" s="78"/>
      <c r="XB251" s="151"/>
      <c r="XC251" s="278"/>
      <c r="XD251" s="266"/>
      <c r="XE251" s="279"/>
      <c r="XF251" s="211"/>
      <c r="XG251" s="211"/>
      <c r="XH251" s="286"/>
      <c r="XI251" s="286"/>
      <c r="XJ251" s="280"/>
      <c r="XK251" s="281"/>
      <c r="XL251" s="282"/>
      <c r="XM251" s="242"/>
      <c r="XN251" s="222"/>
      <c r="XP251" s="118"/>
      <c r="XQ251" s="8"/>
      <c r="XR251" s="281"/>
      <c r="XS251" s="78"/>
      <c r="XT251" s="151"/>
      <c r="XU251" s="278"/>
      <c r="XV251" s="266"/>
      <c r="XW251" s="279"/>
      <c r="XX251" s="211"/>
      <c r="XY251" s="211"/>
      <c r="XZ251" s="286"/>
      <c r="YA251" s="286"/>
      <c r="YB251" s="280"/>
      <c r="YC251" s="281"/>
      <c r="YD251" s="282"/>
      <c r="YE251" s="242"/>
      <c r="YF251" s="222"/>
      <c r="YH251" s="118"/>
      <c r="YI251" s="8"/>
      <c r="YJ251" s="281"/>
      <c r="YK251" s="78"/>
      <c r="YL251" s="151"/>
      <c r="YM251" s="278"/>
      <c r="YN251" s="266"/>
      <c r="YO251" s="279"/>
      <c r="YP251" s="211"/>
      <c r="YQ251" s="211"/>
      <c r="YR251" s="286"/>
      <c r="YS251" s="286"/>
      <c r="YT251" s="280"/>
      <c r="YU251" s="281"/>
      <c r="YV251" s="282"/>
      <c r="YW251" s="242"/>
      <c r="YX251" s="222"/>
      <c r="YZ251" s="118"/>
      <c r="ZA251" s="8"/>
      <c r="ZB251" s="281"/>
      <c r="ZC251" s="78"/>
      <c r="ZD251" s="151"/>
      <c r="ZE251" s="278"/>
      <c r="ZF251" s="266"/>
      <c r="ZG251" s="279"/>
      <c r="ZH251" s="211"/>
      <c r="ZI251" s="211"/>
      <c r="ZJ251" s="286"/>
      <c r="ZK251" s="286"/>
      <c r="ZL251" s="280"/>
      <c r="ZM251" s="281"/>
      <c r="ZN251" s="282"/>
      <c r="ZO251" s="242"/>
      <c r="ZP251" s="222"/>
      <c r="ZR251" s="118"/>
      <c r="ZS251" s="8"/>
      <c r="ZT251" s="281"/>
      <c r="ZU251" s="78"/>
      <c r="ZV251" s="151"/>
      <c r="ZW251" s="278"/>
      <c r="ZX251" s="266"/>
      <c r="ZY251" s="279"/>
      <c r="ZZ251" s="211"/>
      <c r="AAA251" s="211"/>
      <c r="AAB251" s="286"/>
      <c r="AAC251" s="286"/>
      <c r="AAD251" s="280"/>
      <c r="AAE251" s="281"/>
      <c r="AAF251" s="282"/>
      <c r="AAG251" s="242"/>
      <c r="AAH251" s="222"/>
      <c r="AAJ251" s="118"/>
      <c r="AAK251" s="8"/>
      <c r="AAL251" s="281"/>
      <c r="AAM251" s="78"/>
      <c r="AAN251" s="151"/>
      <c r="AAO251" s="278"/>
      <c r="AAP251" s="266"/>
      <c r="AAQ251" s="279"/>
      <c r="AAR251" s="211"/>
      <c r="AAS251" s="211"/>
      <c r="AAT251" s="286"/>
      <c r="AAU251" s="286"/>
      <c r="AAV251" s="280"/>
      <c r="AAW251" s="281"/>
      <c r="AAX251" s="282"/>
      <c r="AAY251" s="242"/>
      <c r="AAZ251" s="222"/>
      <c r="ABB251" s="118"/>
      <c r="ABC251" s="8"/>
      <c r="ABD251" s="281"/>
      <c r="ABE251" s="78"/>
      <c r="ABF251" s="151"/>
      <c r="ABG251" s="278"/>
      <c r="ABH251" s="266"/>
      <c r="ABI251" s="279"/>
      <c r="ABJ251" s="211"/>
      <c r="ABK251" s="211"/>
      <c r="ABL251" s="286"/>
      <c r="ABM251" s="286"/>
      <c r="ABN251" s="280"/>
      <c r="ABO251" s="281"/>
      <c r="ABP251" s="282"/>
      <c r="ABQ251" s="242"/>
      <c r="ABR251" s="222"/>
      <c r="ABT251" s="118"/>
      <c r="ABU251" s="8"/>
      <c r="ABV251" s="281"/>
      <c r="ABW251" s="78"/>
      <c r="ABX251" s="151"/>
      <c r="ABY251" s="278"/>
      <c r="ABZ251" s="266"/>
      <c r="ACA251" s="279"/>
      <c r="ACB251" s="211"/>
      <c r="ACC251" s="211"/>
      <c r="ACD251" s="286"/>
      <c r="ACE251" s="286"/>
      <c r="ACF251" s="280"/>
      <c r="ACG251" s="281"/>
      <c r="ACH251" s="282"/>
      <c r="ACI251" s="242"/>
      <c r="ACJ251" s="222"/>
      <c r="ACL251" s="118"/>
      <c r="ACM251" s="8"/>
      <c r="ACN251" s="281"/>
      <c r="ACO251" s="78"/>
      <c r="ACP251" s="151"/>
      <c r="ACQ251" s="278"/>
      <c r="ACR251" s="266"/>
      <c r="ACS251" s="279"/>
      <c r="ACT251" s="211"/>
      <c r="ACU251" s="211"/>
      <c r="ACV251" s="286"/>
      <c r="ACW251" s="286"/>
      <c r="ACX251" s="280"/>
      <c r="ACY251" s="281"/>
      <c r="ACZ251" s="282"/>
      <c r="ADA251" s="242"/>
      <c r="ADB251" s="222"/>
      <c r="ADD251" s="118"/>
      <c r="ADE251" s="8"/>
      <c r="ADF251" s="281"/>
      <c r="ADG251" s="78"/>
      <c r="ADH251" s="151"/>
      <c r="ADI251" s="278"/>
      <c r="ADJ251" s="266"/>
      <c r="ADK251" s="279"/>
      <c r="ADL251" s="211"/>
      <c r="ADM251" s="211"/>
      <c r="ADN251" s="286"/>
      <c r="ADO251" s="286"/>
      <c r="ADP251" s="280"/>
      <c r="ADQ251" s="281"/>
      <c r="ADR251" s="282"/>
      <c r="ADS251" s="242"/>
      <c r="ADT251" s="222"/>
      <c r="ADV251" s="118"/>
      <c r="ADW251" s="8"/>
      <c r="ADX251" s="281"/>
      <c r="ADY251" s="78"/>
      <c r="ADZ251" s="151"/>
      <c r="AEA251" s="278"/>
      <c r="AEB251" s="266"/>
      <c r="AEC251" s="279"/>
      <c r="AED251" s="211"/>
      <c r="AEE251" s="211"/>
      <c r="AEF251" s="286"/>
      <c r="AEG251" s="286"/>
      <c r="AEH251" s="280"/>
      <c r="AEI251" s="281"/>
      <c r="AEJ251" s="282"/>
      <c r="AEK251" s="242"/>
      <c r="AEL251" s="222"/>
      <c r="AEN251" s="118"/>
      <c r="AEO251" s="8"/>
      <c r="AEP251" s="281"/>
      <c r="AEQ251" s="78"/>
      <c r="AER251" s="151"/>
      <c r="AES251" s="278"/>
      <c r="AET251" s="266"/>
      <c r="AEU251" s="279"/>
      <c r="AEV251" s="211"/>
      <c r="AEW251" s="211"/>
      <c r="AEX251" s="286"/>
      <c r="AEY251" s="286"/>
      <c r="AEZ251" s="280"/>
      <c r="AFA251" s="281"/>
      <c r="AFB251" s="282"/>
      <c r="AFC251" s="242"/>
      <c r="AFD251" s="222"/>
      <c r="AFF251" s="118"/>
      <c r="AFG251" s="8"/>
      <c r="AFH251" s="281"/>
      <c r="AFI251" s="78"/>
      <c r="AFJ251" s="151"/>
      <c r="AFK251" s="278"/>
      <c r="AFL251" s="266"/>
      <c r="AFM251" s="279"/>
      <c r="AFN251" s="211"/>
      <c r="AFO251" s="211"/>
      <c r="AFP251" s="286"/>
      <c r="AFQ251" s="286"/>
      <c r="AFR251" s="280"/>
      <c r="AFS251" s="281"/>
      <c r="AFT251" s="282"/>
      <c r="AFU251" s="242"/>
      <c r="AFV251" s="222"/>
      <c r="AFX251" s="118"/>
      <c r="AFY251" s="8"/>
      <c r="AFZ251" s="281"/>
      <c r="AGA251" s="78"/>
      <c r="AGB251" s="151"/>
      <c r="AGC251" s="278"/>
      <c r="AGD251" s="266"/>
      <c r="AGE251" s="279"/>
      <c r="AGF251" s="211"/>
      <c r="AGG251" s="211"/>
      <c r="AGH251" s="286"/>
      <c r="AGI251" s="286"/>
      <c r="AGJ251" s="280"/>
      <c r="AGK251" s="281"/>
      <c r="AGL251" s="282"/>
      <c r="AGM251" s="242"/>
      <c r="AGN251" s="222"/>
      <c r="AGP251" s="118"/>
      <c r="AGQ251" s="8"/>
      <c r="AGR251" s="281"/>
      <c r="AGS251" s="78"/>
      <c r="AGT251" s="151"/>
      <c r="AGU251" s="278"/>
      <c r="AGV251" s="266"/>
      <c r="AGW251" s="279"/>
      <c r="AGX251" s="211"/>
      <c r="AGY251" s="211"/>
      <c r="AGZ251" s="286"/>
      <c r="AHA251" s="286"/>
      <c r="AHB251" s="280"/>
      <c r="AHC251" s="281"/>
      <c r="AHD251" s="282"/>
      <c r="AHE251" s="242"/>
      <c r="AHF251" s="222"/>
      <c r="AHH251" s="118"/>
      <c r="AHI251" s="8"/>
      <c r="AHJ251" s="281"/>
      <c r="AHK251" s="78"/>
      <c r="AHL251" s="151"/>
      <c r="AHM251" s="278"/>
      <c r="AHN251" s="266"/>
      <c r="AHO251" s="279"/>
      <c r="AHP251" s="211"/>
      <c r="AHQ251" s="211"/>
      <c r="AHR251" s="286"/>
      <c r="AHS251" s="286"/>
      <c r="AHT251" s="280"/>
      <c r="AHU251" s="281"/>
      <c r="AHV251" s="282"/>
      <c r="AHW251" s="242"/>
      <c r="AHX251" s="222"/>
      <c r="AHZ251" s="118"/>
      <c r="AIA251" s="8"/>
      <c r="AIB251" s="281"/>
      <c r="AIC251" s="78"/>
      <c r="AID251" s="151"/>
      <c r="AIE251" s="278"/>
      <c r="AIF251" s="266"/>
      <c r="AIG251" s="279"/>
      <c r="AIH251" s="211"/>
      <c r="AII251" s="211"/>
      <c r="AIJ251" s="286"/>
      <c r="AIK251" s="286"/>
      <c r="AIL251" s="280"/>
      <c r="AIM251" s="281"/>
      <c r="AIN251" s="282"/>
      <c r="AIO251" s="242"/>
      <c r="AIP251" s="222"/>
      <c r="AIR251" s="118"/>
      <c r="AIS251" s="8"/>
      <c r="AIT251" s="281"/>
      <c r="AIU251" s="78"/>
      <c r="AIV251" s="151"/>
      <c r="AIW251" s="278"/>
      <c r="AIX251" s="266"/>
      <c r="AIY251" s="279"/>
      <c r="AIZ251" s="211"/>
      <c r="AJA251" s="211"/>
      <c r="AJB251" s="286"/>
      <c r="AJC251" s="286"/>
      <c r="AJD251" s="280"/>
      <c r="AJE251" s="281"/>
      <c r="AJF251" s="282"/>
      <c r="AJG251" s="242"/>
      <c r="AJH251" s="222"/>
      <c r="AJJ251" s="118"/>
      <c r="AJK251" s="8"/>
      <c r="AJL251" s="281"/>
      <c r="AJM251" s="78"/>
      <c r="AJN251" s="151"/>
      <c r="AJO251" s="278"/>
      <c r="AJP251" s="266"/>
      <c r="AJQ251" s="279"/>
      <c r="AJR251" s="211"/>
      <c r="AJS251" s="211"/>
      <c r="AJT251" s="286"/>
      <c r="AJU251" s="286"/>
      <c r="AJV251" s="280"/>
      <c r="AJW251" s="281"/>
      <c r="AJX251" s="282"/>
      <c r="AJY251" s="242"/>
      <c r="AJZ251" s="222"/>
      <c r="AKB251" s="118"/>
      <c r="AKC251" s="8"/>
      <c r="AKD251" s="281"/>
      <c r="AKE251" s="78"/>
      <c r="AKF251" s="151"/>
      <c r="AKG251" s="278"/>
      <c r="AKH251" s="266"/>
      <c r="AKI251" s="279"/>
      <c r="AKJ251" s="211"/>
      <c r="AKK251" s="211"/>
      <c r="AKL251" s="286"/>
      <c r="AKM251" s="286"/>
      <c r="AKN251" s="280"/>
      <c r="AKO251" s="281"/>
      <c r="AKP251" s="282"/>
      <c r="AKQ251" s="242"/>
      <c r="AKR251" s="222"/>
      <c r="AKT251" s="118"/>
      <c r="AKU251" s="8"/>
      <c r="AKV251" s="281"/>
      <c r="AKW251" s="78"/>
      <c r="AKX251" s="151"/>
      <c r="AKY251" s="278"/>
      <c r="AKZ251" s="266"/>
      <c r="ALA251" s="279"/>
      <c r="ALB251" s="211"/>
      <c r="ALC251" s="211"/>
      <c r="ALD251" s="286"/>
      <c r="ALE251" s="286"/>
      <c r="ALF251" s="280"/>
      <c r="ALG251" s="281"/>
      <c r="ALH251" s="282"/>
      <c r="ALI251" s="242"/>
      <c r="ALJ251" s="222"/>
      <c r="ALL251" s="118"/>
      <c r="ALM251" s="8"/>
      <c r="ALN251" s="281"/>
      <c r="ALO251" s="78"/>
      <c r="ALP251" s="151"/>
      <c r="ALQ251" s="278"/>
      <c r="ALR251" s="266"/>
      <c r="ALS251" s="279"/>
      <c r="ALT251" s="211"/>
      <c r="ALU251" s="211"/>
      <c r="ALV251" s="286"/>
      <c r="ALW251" s="286"/>
      <c r="ALX251" s="280"/>
      <c r="ALY251" s="281"/>
      <c r="ALZ251" s="282"/>
      <c r="AMA251" s="242"/>
      <c r="AMB251" s="222"/>
      <c r="AMD251" s="118"/>
      <c r="AME251" s="8"/>
      <c r="AMF251" s="281"/>
      <c r="AMG251" s="78"/>
      <c r="AMH251" s="151"/>
      <c r="AMI251" s="278"/>
      <c r="AMJ251" s="266"/>
      <c r="AMK251" s="279"/>
      <c r="AML251" s="211"/>
      <c r="AMM251" s="211"/>
      <c r="AMN251" s="286"/>
      <c r="AMO251" s="286"/>
      <c r="AMP251" s="280"/>
      <c r="AMQ251" s="281"/>
      <c r="AMR251" s="282"/>
      <c r="AMS251" s="242"/>
      <c r="AMT251" s="222"/>
      <c r="AMV251" s="118"/>
      <c r="AMW251" s="8"/>
      <c r="AMX251" s="281"/>
      <c r="AMY251" s="78"/>
      <c r="AMZ251" s="151"/>
      <c r="ANA251" s="278"/>
      <c r="ANB251" s="266"/>
      <c r="ANC251" s="279"/>
      <c r="AND251" s="211"/>
      <c r="ANE251" s="211"/>
      <c r="ANF251" s="286"/>
      <c r="ANG251" s="286"/>
      <c r="ANH251" s="280"/>
      <c r="ANI251" s="281"/>
      <c r="ANJ251" s="282"/>
      <c r="ANK251" s="242"/>
      <c r="ANL251" s="222"/>
      <c r="ANN251" s="118"/>
      <c r="ANO251" s="8"/>
      <c r="ANP251" s="281"/>
      <c r="ANQ251" s="78"/>
      <c r="ANR251" s="151"/>
      <c r="ANS251" s="278"/>
      <c r="ANT251" s="266"/>
      <c r="ANU251" s="279"/>
      <c r="ANV251" s="211"/>
      <c r="ANW251" s="211"/>
      <c r="ANX251" s="286"/>
      <c r="ANY251" s="286"/>
      <c r="ANZ251" s="280"/>
      <c r="AOA251" s="281"/>
      <c r="AOB251" s="282"/>
      <c r="AOC251" s="242"/>
      <c r="AOD251" s="222"/>
      <c r="AOF251" s="118"/>
      <c r="AOG251" s="8"/>
      <c r="AOH251" s="281"/>
      <c r="AOI251" s="78"/>
      <c r="AOJ251" s="151"/>
      <c r="AOK251" s="278"/>
      <c r="AOL251" s="266"/>
      <c r="AOM251" s="279"/>
      <c r="AON251" s="211"/>
      <c r="AOO251" s="211"/>
      <c r="AOP251" s="286"/>
      <c r="AOQ251" s="286"/>
      <c r="AOR251" s="280"/>
      <c r="AOS251" s="281"/>
      <c r="AOT251" s="282"/>
      <c r="AOU251" s="242"/>
      <c r="AOV251" s="222"/>
      <c r="AOX251" s="118"/>
      <c r="AOY251" s="8"/>
      <c r="AOZ251" s="281"/>
      <c r="APA251" s="78"/>
      <c r="APB251" s="151"/>
      <c r="APC251" s="278"/>
      <c r="APD251" s="266"/>
      <c r="APE251" s="279"/>
      <c r="APF251" s="211"/>
      <c r="APG251" s="211"/>
      <c r="APH251" s="286"/>
      <c r="API251" s="286"/>
      <c r="APJ251" s="280"/>
      <c r="APK251" s="281"/>
      <c r="APL251" s="282"/>
      <c r="APM251" s="242"/>
      <c r="APN251" s="222"/>
      <c r="APP251" s="118"/>
      <c r="APQ251" s="8"/>
      <c r="APR251" s="281"/>
      <c r="APS251" s="78"/>
      <c r="APT251" s="151"/>
      <c r="APU251" s="278"/>
      <c r="APV251" s="266"/>
      <c r="APW251" s="279"/>
      <c r="APX251" s="211"/>
      <c r="APY251" s="211"/>
      <c r="APZ251" s="286"/>
      <c r="AQA251" s="286"/>
      <c r="AQB251" s="280"/>
      <c r="AQC251" s="281"/>
      <c r="AQD251" s="282"/>
      <c r="AQE251" s="242"/>
      <c r="AQF251" s="222"/>
      <c r="AQH251" s="118"/>
      <c r="AQI251" s="8"/>
      <c r="AQJ251" s="281"/>
      <c r="AQK251" s="78"/>
      <c r="AQL251" s="151"/>
      <c r="AQM251" s="278"/>
      <c r="AQN251" s="266"/>
      <c r="AQO251" s="279"/>
      <c r="AQP251" s="211"/>
      <c r="AQQ251" s="211"/>
      <c r="AQR251" s="286"/>
      <c r="AQS251" s="286"/>
      <c r="AQT251" s="280"/>
      <c r="AQU251" s="281"/>
      <c r="AQV251" s="282"/>
      <c r="AQW251" s="242"/>
      <c r="AQX251" s="222"/>
      <c r="AQZ251" s="118"/>
      <c r="ARA251" s="8"/>
      <c r="ARB251" s="281"/>
      <c r="ARC251" s="78"/>
      <c r="ARD251" s="151"/>
      <c r="ARE251" s="278"/>
      <c r="ARF251" s="266"/>
      <c r="ARG251" s="279"/>
      <c r="ARH251" s="211"/>
      <c r="ARI251" s="211"/>
      <c r="ARJ251" s="286"/>
      <c r="ARK251" s="286"/>
      <c r="ARL251" s="280"/>
      <c r="ARM251" s="281"/>
      <c r="ARN251" s="282"/>
      <c r="ARO251" s="242"/>
      <c r="ARP251" s="222"/>
      <c r="ARR251" s="118"/>
      <c r="ARS251" s="8"/>
      <c r="ART251" s="281"/>
      <c r="ARU251" s="78"/>
      <c r="ARV251" s="151"/>
      <c r="ARW251" s="278"/>
      <c r="ARX251" s="266"/>
      <c r="ARY251" s="279"/>
      <c r="ARZ251" s="211"/>
      <c r="ASA251" s="211"/>
      <c r="ASB251" s="286"/>
      <c r="ASC251" s="286"/>
      <c r="ASD251" s="280"/>
      <c r="ASE251" s="281"/>
      <c r="ASF251" s="282"/>
      <c r="ASG251" s="242"/>
      <c r="ASH251" s="222"/>
      <c r="ASJ251" s="118"/>
      <c r="ASK251" s="8"/>
      <c r="ASL251" s="281"/>
      <c r="ASM251" s="78"/>
      <c r="ASN251" s="151"/>
      <c r="ASO251" s="278"/>
      <c r="ASP251" s="266"/>
      <c r="ASQ251" s="279"/>
      <c r="ASR251" s="211"/>
      <c r="ASS251" s="211"/>
      <c r="AST251" s="286"/>
      <c r="ASU251" s="286"/>
      <c r="ASV251" s="280"/>
      <c r="ASW251" s="281"/>
      <c r="ASX251" s="282"/>
      <c r="ASY251" s="242"/>
      <c r="ASZ251" s="222"/>
      <c r="ATB251" s="118"/>
      <c r="ATC251" s="8"/>
      <c r="ATD251" s="281"/>
      <c r="ATE251" s="78"/>
      <c r="ATF251" s="151"/>
      <c r="ATG251" s="278"/>
      <c r="ATH251" s="266"/>
      <c r="ATI251" s="279"/>
      <c r="ATJ251" s="211"/>
      <c r="ATK251" s="211"/>
      <c r="ATL251" s="286"/>
      <c r="ATM251" s="286"/>
      <c r="ATN251" s="280"/>
      <c r="ATO251" s="281"/>
      <c r="ATP251" s="282"/>
      <c r="ATQ251" s="242"/>
      <c r="ATR251" s="222"/>
      <c r="ATT251" s="118"/>
      <c r="ATU251" s="8"/>
      <c r="ATV251" s="281"/>
      <c r="ATW251" s="78"/>
      <c r="ATX251" s="151"/>
      <c r="ATY251" s="278"/>
      <c r="ATZ251" s="266"/>
      <c r="AUA251" s="279"/>
      <c r="AUB251" s="211"/>
      <c r="AUC251" s="211"/>
      <c r="AUD251" s="286"/>
      <c r="AUE251" s="286"/>
      <c r="AUF251" s="280"/>
      <c r="AUG251" s="281"/>
      <c r="AUH251" s="282"/>
      <c r="AUI251" s="242"/>
      <c r="AUJ251" s="222"/>
      <c r="AUL251" s="118"/>
      <c r="AUM251" s="8"/>
      <c r="AUN251" s="281"/>
      <c r="AUO251" s="78"/>
      <c r="AUP251" s="151"/>
      <c r="AUQ251" s="278"/>
      <c r="AUR251" s="266"/>
      <c r="AUS251" s="279"/>
      <c r="AUT251" s="211"/>
      <c r="AUU251" s="211"/>
      <c r="AUV251" s="286"/>
      <c r="AUW251" s="286"/>
      <c r="AUX251" s="280"/>
      <c r="AUY251" s="281"/>
      <c r="AUZ251" s="282"/>
      <c r="AVA251" s="242"/>
      <c r="AVB251" s="222"/>
      <c r="AVD251" s="118"/>
      <c r="AVE251" s="8"/>
      <c r="AVF251" s="281"/>
      <c r="AVG251" s="78"/>
      <c r="AVH251" s="151"/>
      <c r="AVI251" s="278"/>
      <c r="AVJ251" s="266"/>
      <c r="AVK251" s="279"/>
      <c r="AVL251" s="211"/>
      <c r="AVM251" s="211"/>
      <c r="AVN251" s="286"/>
      <c r="AVO251" s="286"/>
      <c r="AVP251" s="280"/>
      <c r="AVQ251" s="281"/>
      <c r="AVR251" s="282"/>
      <c r="AVS251" s="242"/>
      <c r="AVT251" s="222"/>
      <c r="AVV251" s="118"/>
      <c r="AVW251" s="8"/>
      <c r="AVX251" s="281"/>
      <c r="AVY251" s="78"/>
      <c r="AVZ251" s="151"/>
      <c r="AWA251" s="278"/>
      <c r="AWB251" s="266"/>
      <c r="AWC251" s="279"/>
      <c r="AWD251" s="211"/>
      <c r="AWE251" s="211"/>
      <c r="AWF251" s="286"/>
      <c r="AWG251" s="286"/>
      <c r="AWH251" s="280"/>
      <c r="AWI251" s="281"/>
      <c r="AWJ251" s="282"/>
      <c r="AWK251" s="242"/>
      <c r="AWL251" s="222"/>
      <c r="AWN251" s="118"/>
      <c r="AWO251" s="8"/>
      <c r="AWP251" s="281"/>
      <c r="AWQ251" s="78"/>
      <c r="AWR251" s="151"/>
      <c r="AWS251" s="278"/>
      <c r="AWT251" s="266"/>
      <c r="AWU251" s="279"/>
      <c r="AWV251" s="211"/>
      <c r="AWW251" s="211"/>
      <c r="AWX251" s="286"/>
      <c r="AWY251" s="286"/>
      <c r="AWZ251" s="280"/>
      <c r="AXA251" s="281"/>
      <c r="AXB251" s="282"/>
      <c r="AXC251" s="242"/>
      <c r="AXD251" s="222"/>
      <c r="AXF251" s="118"/>
      <c r="AXG251" s="8"/>
      <c r="AXH251" s="281"/>
      <c r="AXI251" s="78"/>
      <c r="AXJ251" s="151"/>
      <c r="AXK251" s="278"/>
      <c r="AXL251" s="266"/>
      <c r="AXM251" s="279"/>
      <c r="AXN251" s="211"/>
      <c r="AXO251" s="211"/>
      <c r="AXP251" s="286"/>
      <c r="AXQ251" s="286"/>
      <c r="AXR251" s="280"/>
      <c r="AXS251" s="281"/>
      <c r="AXT251" s="282"/>
      <c r="AXU251" s="242"/>
      <c r="AXV251" s="222"/>
      <c r="AXX251" s="118"/>
      <c r="AXY251" s="8"/>
      <c r="AXZ251" s="281"/>
      <c r="AYA251" s="78"/>
      <c r="AYB251" s="151"/>
      <c r="AYC251" s="278"/>
      <c r="AYD251" s="266"/>
      <c r="AYE251" s="279"/>
      <c r="AYF251" s="211"/>
      <c r="AYG251" s="211"/>
      <c r="AYH251" s="286"/>
      <c r="AYI251" s="286"/>
      <c r="AYJ251" s="280"/>
      <c r="AYK251" s="281"/>
      <c r="AYL251" s="282"/>
      <c r="AYM251" s="242"/>
      <c r="AYN251" s="222"/>
      <c r="AYP251" s="118"/>
      <c r="AYQ251" s="8"/>
      <c r="AYR251" s="281"/>
      <c r="AYS251" s="78"/>
      <c r="AYT251" s="151"/>
      <c r="AYU251" s="278"/>
      <c r="AYV251" s="266"/>
      <c r="AYW251" s="279"/>
      <c r="AYX251" s="211"/>
      <c r="AYY251" s="211"/>
      <c r="AYZ251" s="286"/>
      <c r="AZA251" s="286"/>
      <c r="AZB251" s="280"/>
      <c r="AZC251" s="281"/>
      <c r="AZD251" s="282"/>
      <c r="AZE251" s="242"/>
      <c r="AZF251" s="222"/>
      <c r="AZH251" s="118"/>
      <c r="AZI251" s="8"/>
      <c r="AZJ251" s="281"/>
      <c r="AZK251" s="78"/>
      <c r="AZL251" s="151"/>
      <c r="AZM251" s="278"/>
      <c r="AZN251" s="266"/>
      <c r="AZO251" s="279"/>
      <c r="AZP251" s="211"/>
      <c r="AZQ251" s="211"/>
      <c r="AZR251" s="286"/>
      <c r="AZS251" s="286"/>
      <c r="AZT251" s="280"/>
      <c r="AZU251" s="281"/>
      <c r="AZV251" s="282"/>
      <c r="AZW251" s="242"/>
      <c r="AZX251" s="222"/>
      <c r="AZZ251" s="118"/>
      <c r="BAA251" s="8"/>
      <c r="BAB251" s="281"/>
      <c r="BAC251" s="78"/>
      <c r="BAD251" s="151"/>
      <c r="BAE251" s="278"/>
      <c r="BAF251" s="266"/>
      <c r="BAG251" s="279"/>
      <c r="BAH251" s="211"/>
      <c r="BAI251" s="211"/>
      <c r="BAJ251" s="286"/>
      <c r="BAK251" s="286"/>
      <c r="BAL251" s="280"/>
      <c r="BAM251" s="281"/>
      <c r="BAN251" s="282"/>
      <c r="BAO251" s="242"/>
      <c r="BAP251" s="222"/>
      <c r="BAR251" s="118"/>
      <c r="BAS251" s="8"/>
      <c r="BAT251" s="281"/>
      <c r="BAU251" s="78"/>
      <c r="BAV251" s="151"/>
      <c r="BAW251" s="278"/>
      <c r="BAX251" s="266"/>
      <c r="BAY251" s="279"/>
      <c r="BAZ251" s="211"/>
      <c r="BBA251" s="211"/>
      <c r="BBB251" s="286"/>
      <c r="BBC251" s="286"/>
      <c r="BBD251" s="280"/>
      <c r="BBE251" s="281"/>
      <c r="BBF251" s="282"/>
      <c r="BBG251" s="242"/>
      <c r="BBH251" s="222"/>
      <c r="BBJ251" s="118"/>
      <c r="BBK251" s="8"/>
      <c r="BBL251" s="281"/>
      <c r="BBM251" s="78"/>
      <c r="BBN251" s="151"/>
      <c r="BBO251" s="278"/>
      <c r="BBP251" s="266"/>
      <c r="BBQ251" s="279"/>
      <c r="BBR251" s="211"/>
      <c r="BBS251" s="211"/>
      <c r="BBT251" s="286"/>
      <c r="BBU251" s="286"/>
      <c r="BBV251" s="280"/>
      <c r="BBW251" s="281"/>
      <c r="BBX251" s="282"/>
      <c r="BBY251" s="242"/>
      <c r="BBZ251" s="222"/>
      <c r="BCB251" s="118"/>
      <c r="BCC251" s="8"/>
      <c r="BCD251" s="281"/>
      <c r="BCE251" s="78"/>
      <c r="BCF251" s="151"/>
      <c r="BCG251" s="278"/>
      <c r="BCH251" s="266"/>
      <c r="BCI251" s="279"/>
      <c r="BCJ251" s="211"/>
      <c r="BCK251" s="211"/>
      <c r="BCL251" s="286"/>
      <c r="BCM251" s="286"/>
      <c r="BCN251" s="280"/>
      <c r="BCO251" s="281"/>
      <c r="BCP251" s="282"/>
      <c r="BCQ251" s="242"/>
      <c r="BCR251" s="222"/>
      <c r="BCT251" s="118"/>
      <c r="BCU251" s="8"/>
      <c r="BCV251" s="281"/>
      <c r="BCW251" s="78"/>
      <c r="BCX251" s="151"/>
      <c r="BCY251" s="278"/>
      <c r="BCZ251" s="266"/>
      <c r="BDA251" s="279"/>
      <c r="BDB251" s="211"/>
      <c r="BDC251" s="211"/>
      <c r="BDD251" s="286"/>
      <c r="BDE251" s="286"/>
      <c r="BDF251" s="280"/>
      <c r="BDG251" s="281"/>
      <c r="BDH251" s="282"/>
      <c r="BDI251" s="242"/>
      <c r="BDJ251" s="222"/>
      <c r="BDL251" s="118"/>
      <c r="BDM251" s="8"/>
      <c r="BDN251" s="281"/>
      <c r="BDO251" s="78"/>
      <c r="BDP251" s="151"/>
      <c r="BDQ251" s="278"/>
      <c r="BDR251" s="266"/>
      <c r="BDS251" s="279"/>
      <c r="BDT251" s="211"/>
      <c r="BDU251" s="211"/>
      <c r="BDV251" s="286"/>
      <c r="BDW251" s="286"/>
      <c r="BDX251" s="280"/>
      <c r="BDY251" s="281"/>
      <c r="BDZ251" s="282"/>
      <c r="BEA251" s="242"/>
      <c r="BEB251" s="222"/>
      <c r="BED251" s="118"/>
      <c r="BEE251" s="8"/>
      <c r="BEF251" s="281"/>
      <c r="BEG251" s="78"/>
      <c r="BEH251" s="151"/>
      <c r="BEI251" s="278"/>
      <c r="BEJ251" s="266"/>
      <c r="BEK251" s="279"/>
      <c r="BEL251" s="211"/>
      <c r="BEM251" s="211"/>
      <c r="BEN251" s="286"/>
      <c r="BEO251" s="286"/>
      <c r="BEP251" s="280"/>
      <c r="BEQ251" s="281"/>
      <c r="BER251" s="282"/>
      <c r="BES251" s="242"/>
      <c r="BET251" s="222"/>
      <c r="BEV251" s="118"/>
      <c r="BEW251" s="8"/>
      <c r="BEX251" s="281"/>
      <c r="BEY251" s="78"/>
      <c r="BEZ251" s="151"/>
      <c r="BFA251" s="278"/>
      <c r="BFB251" s="266"/>
      <c r="BFC251" s="279"/>
      <c r="BFD251" s="211"/>
      <c r="BFE251" s="211"/>
      <c r="BFF251" s="286"/>
      <c r="BFG251" s="286"/>
      <c r="BFH251" s="280"/>
      <c r="BFI251" s="281"/>
      <c r="BFJ251" s="282"/>
      <c r="BFK251" s="242"/>
      <c r="BFL251" s="222"/>
      <c r="BFN251" s="118"/>
      <c r="BFO251" s="8"/>
      <c r="BFP251" s="281"/>
      <c r="BFQ251" s="78"/>
      <c r="BFR251" s="151"/>
      <c r="BFS251" s="278"/>
      <c r="BFT251" s="266"/>
      <c r="BFU251" s="279"/>
      <c r="BFV251" s="211"/>
      <c r="BFW251" s="211"/>
      <c r="BFX251" s="286"/>
      <c r="BFY251" s="286"/>
      <c r="BFZ251" s="280"/>
      <c r="BGA251" s="281"/>
      <c r="BGB251" s="282"/>
      <c r="BGC251" s="242"/>
      <c r="BGD251" s="222"/>
      <c r="BGF251" s="118"/>
      <c r="BGG251" s="8"/>
      <c r="BGH251" s="281"/>
      <c r="BGI251" s="78"/>
      <c r="BGJ251" s="151"/>
      <c r="BGK251" s="278"/>
      <c r="BGL251" s="266"/>
      <c r="BGM251" s="279"/>
      <c r="BGN251" s="211"/>
      <c r="BGO251" s="211"/>
      <c r="BGP251" s="286"/>
      <c r="BGQ251" s="286"/>
      <c r="BGR251" s="280"/>
      <c r="BGS251" s="281"/>
      <c r="BGT251" s="282"/>
      <c r="BGU251" s="242"/>
      <c r="BGV251" s="222"/>
      <c r="BGX251" s="118"/>
      <c r="BGY251" s="8"/>
      <c r="BGZ251" s="281"/>
      <c r="BHA251" s="78"/>
      <c r="BHB251" s="151"/>
      <c r="BHC251" s="278"/>
      <c r="BHD251" s="266"/>
      <c r="BHE251" s="279"/>
      <c r="BHF251" s="211"/>
      <c r="BHG251" s="211"/>
      <c r="BHH251" s="286"/>
      <c r="BHI251" s="286"/>
      <c r="BHJ251" s="280"/>
      <c r="BHK251" s="281"/>
      <c r="BHL251" s="282"/>
      <c r="BHM251" s="242"/>
      <c r="BHN251" s="222"/>
      <c r="BHP251" s="118"/>
      <c r="BHQ251" s="8"/>
      <c r="BHR251" s="281"/>
      <c r="BHS251" s="78"/>
      <c r="BHT251" s="151"/>
      <c r="BHU251" s="278"/>
      <c r="BHV251" s="266"/>
      <c r="BHW251" s="279"/>
      <c r="BHX251" s="211"/>
      <c r="BHY251" s="211"/>
      <c r="BHZ251" s="286"/>
      <c r="BIA251" s="286"/>
      <c r="BIB251" s="280"/>
      <c r="BIC251" s="281"/>
      <c r="BID251" s="282"/>
      <c r="BIE251" s="242"/>
      <c r="BIF251" s="222"/>
      <c r="BIH251" s="118"/>
      <c r="BII251" s="8"/>
      <c r="BIJ251" s="281"/>
      <c r="BIK251" s="78"/>
      <c r="BIL251" s="151"/>
      <c r="BIM251" s="278"/>
      <c r="BIN251" s="266"/>
      <c r="BIO251" s="279"/>
      <c r="BIP251" s="211"/>
      <c r="BIQ251" s="211"/>
      <c r="BIR251" s="286"/>
      <c r="BIS251" s="286"/>
      <c r="BIT251" s="280"/>
      <c r="BIU251" s="281"/>
      <c r="BIV251" s="282"/>
      <c r="BIW251" s="242"/>
      <c r="BIX251" s="222"/>
      <c r="BIZ251" s="118"/>
      <c r="BJA251" s="8"/>
      <c r="BJB251" s="281"/>
      <c r="BJC251" s="78"/>
      <c r="BJD251" s="151"/>
      <c r="BJE251" s="278"/>
      <c r="BJF251" s="266"/>
      <c r="BJG251" s="279"/>
      <c r="BJH251" s="211"/>
      <c r="BJI251" s="211"/>
      <c r="BJJ251" s="286"/>
      <c r="BJK251" s="286"/>
      <c r="BJL251" s="280"/>
      <c r="BJM251" s="281"/>
      <c r="BJN251" s="282"/>
      <c r="BJO251" s="242"/>
      <c r="BJP251" s="222"/>
      <c r="BJR251" s="118"/>
      <c r="BJS251" s="8"/>
      <c r="BJT251" s="281"/>
      <c r="BJU251" s="78"/>
      <c r="BJV251" s="151"/>
      <c r="BJW251" s="278"/>
      <c r="BJX251" s="266"/>
      <c r="BJY251" s="279"/>
      <c r="BJZ251" s="211"/>
      <c r="BKA251" s="211"/>
      <c r="BKB251" s="286"/>
      <c r="BKC251" s="286"/>
      <c r="BKD251" s="280"/>
      <c r="BKE251" s="281"/>
      <c r="BKF251" s="282"/>
      <c r="BKG251" s="242"/>
      <c r="BKH251" s="222"/>
      <c r="BKJ251" s="118"/>
      <c r="BKK251" s="8"/>
      <c r="BKL251" s="281"/>
      <c r="BKM251" s="78"/>
      <c r="BKN251" s="151"/>
      <c r="BKO251" s="278"/>
      <c r="BKP251" s="266"/>
      <c r="BKQ251" s="279"/>
      <c r="BKR251" s="211"/>
      <c r="BKS251" s="211"/>
      <c r="BKT251" s="286"/>
      <c r="BKU251" s="286"/>
      <c r="BKV251" s="280"/>
      <c r="BKW251" s="281"/>
      <c r="BKX251" s="282"/>
      <c r="BKY251" s="242"/>
      <c r="BKZ251" s="222"/>
      <c r="BLB251" s="118"/>
      <c r="BLC251" s="8"/>
      <c r="BLD251" s="281"/>
      <c r="BLE251" s="78"/>
      <c r="BLF251" s="151"/>
      <c r="BLG251" s="278"/>
      <c r="BLH251" s="266"/>
      <c r="BLI251" s="279"/>
      <c r="BLJ251" s="211"/>
      <c r="BLK251" s="211"/>
      <c r="BLL251" s="286"/>
      <c r="BLM251" s="286"/>
      <c r="BLN251" s="280"/>
      <c r="BLO251" s="281"/>
      <c r="BLP251" s="282"/>
      <c r="BLQ251" s="242"/>
      <c r="BLR251" s="222"/>
      <c r="BLT251" s="118"/>
      <c r="BLU251" s="8"/>
      <c r="BLV251" s="281"/>
      <c r="BLW251" s="78"/>
      <c r="BLX251" s="151"/>
      <c r="BLY251" s="278"/>
      <c r="BLZ251" s="266"/>
      <c r="BMA251" s="279"/>
      <c r="BMB251" s="211"/>
      <c r="BMC251" s="211"/>
      <c r="BMD251" s="286"/>
      <c r="BME251" s="286"/>
      <c r="BMF251" s="280"/>
      <c r="BMG251" s="281"/>
      <c r="BMH251" s="282"/>
      <c r="BMI251" s="242"/>
      <c r="BMJ251" s="222"/>
      <c r="BML251" s="118"/>
      <c r="BMM251" s="8"/>
      <c r="BMN251" s="281"/>
      <c r="BMO251" s="78"/>
      <c r="BMP251" s="151"/>
      <c r="BMQ251" s="278"/>
      <c r="BMR251" s="266"/>
      <c r="BMS251" s="279"/>
      <c r="BMT251" s="211"/>
      <c r="BMU251" s="211"/>
      <c r="BMV251" s="286"/>
      <c r="BMW251" s="286"/>
      <c r="BMX251" s="280"/>
      <c r="BMY251" s="281"/>
      <c r="BMZ251" s="282"/>
      <c r="BNA251" s="242"/>
      <c r="BNB251" s="222"/>
      <c r="BND251" s="118"/>
      <c r="BNE251" s="8"/>
      <c r="BNF251" s="281"/>
      <c r="BNG251" s="78"/>
      <c r="BNH251" s="151"/>
      <c r="BNI251" s="278"/>
      <c r="BNJ251" s="266"/>
      <c r="BNK251" s="279"/>
      <c r="BNL251" s="211"/>
      <c r="BNM251" s="211"/>
      <c r="BNN251" s="286"/>
      <c r="BNO251" s="286"/>
      <c r="BNP251" s="280"/>
      <c r="BNQ251" s="281"/>
      <c r="BNR251" s="282"/>
      <c r="BNS251" s="242"/>
      <c r="BNT251" s="222"/>
      <c r="BNV251" s="118"/>
      <c r="BNW251" s="8"/>
      <c r="BNX251" s="281"/>
      <c r="BNY251" s="78"/>
      <c r="BNZ251" s="151"/>
      <c r="BOA251" s="278"/>
      <c r="BOB251" s="266"/>
      <c r="BOC251" s="279"/>
      <c r="BOD251" s="211"/>
      <c r="BOE251" s="211"/>
      <c r="BOF251" s="286"/>
      <c r="BOG251" s="286"/>
      <c r="BOH251" s="280"/>
      <c r="BOI251" s="281"/>
      <c r="BOJ251" s="282"/>
      <c r="BOK251" s="242"/>
      <c r="BOL251" s="222"/>
      <c r="BON251" s="118"/>
      <c r="BOO251" s="8"/>
      <c r="BOP251" s="281"/>
      <c r="BOQ251" s="78"/>
      <c r="BOR251" s="151"/>
      <c r="BOS251" s="278"/>
      <c r="BOT251" s="266"/>
      <c r="BOU251" s="279"/>
      <c r="BOV251" s="211"/>
      <c r="BOW251" s="211"/>
      <c r="BOX251" s="286"/>
      <c r="BOY251" s="286"/>
      <c r="BOZ251" s="280"/>
      <c r="BPA251" s="281"/>
      <c r="BPB251" s="282"/>
      <c r="BPC251" s="242"/>
      <c r="BPD251" s="222"/>
      <c r="BPF251" s="118"/>
      <c r="BPG251" s="8"/>
      <c r="BPH251" s="281"/>
      <c r="BPI251" s="78"/>
      <c r="BPJ251" s="151"/>
      <c r="BPK251" s="278"/>
      <c r="BPL251" s="266"/>
      <c r="BPM251" s="279"/>
      <c r="BPN251" s="211"/>
      <c r="BPO251" s="211"/>
      <c r="BPP251" s="286"/>
      <c r="BPQ251" s="286"/>
      <c r="BPR251" s="280"/>
      <c r="BPS251" s="281"/>
      <c r="BPT251" s="282"/>
      <c r="BPU251" s="242"/>
      <c r="BPV251" s="222"/>
      <c r="BPX251" s="118"/>
      <c r="BPY251" s="8"/>
      <c r="BPZ251" s="281"/>
      <c r="BQA251" s="78"/>
      <c r="BQB251" s="151"/>
      <c r="BQC251" s="278"/>
      <c r="BQD251" s="266"/>
      <c r="BQE251" s="279"/>
      <c r="BQF251" s="211"/>
      <c r="BQG251" s="211"/>
      <c r="BQH251" s="286"/>
      <c r="BQI251" s="286"/>
      <c r="BQJ251" s="280"/>
      <c r="BQK251" s="281"/>
      <c r="BQL251" s="282"/>
      <c r="BQM251" s="242"/>
      <c r="BQN251" s="222"/>
      <c r="BQP251" s="118"/>
      <c r="BQQ251" s="8"/>
      <c r="BQR251" s="281"/>
      <c r="BQS251" s="78"/>
      <c r="BQT251" s="151"/>
      <c r="BQU251" s="278"/>
      <c r="BQV251" s="266"/>
      <c r="BQW251" s="279"/>
      <c r="BQX251" s="211"/>
      <c r="BQY251" s="211"/>
      <c r="BQZ251" s="286"/>
      <c r="BRA251" s="286"/>
      <c r="BRB251" s="280"/>
      <c r="BRC251" s="281"/>
      <c r="BRD251" s="282"/>
      <c r="BRE251" s="242"/>
      <c r="BRF251" s="222"/>
      <c r="BRH251" s="118"/>
      <c r="BRI251" s="8"/>
      <c r="BRJ251" s="281"/>
      <c r="BRK251" s="78"/>
      <c r="BRL251" s="151"/>
      <c r="BRM251" s="278"/>
      <c r="BRN251" s="266"/>
      <c r="BRO251" s="279"/>
      <c r="BRP251" s="211"/>
      <c r="BRQ251" s="211"/>
      <c r="BRR251" s="286"/>
      <c r="BRS251" s="286"/>
      <c r="BRT251" s="280"/>
      <c r="BRU251" s="281"/>
      <c r="BRV251" s="282"/>
      <c r="BRW251" s="242"/>
      <c r="BRX251" s="222"/>
      <c r="BRZ251" s="118"/>
      <c r="BSA251" s="8"/>
      <c r="BSB251" s="281"/>
      <c r="BSC251" s="78"/>
      <c r="BSD251" s="151"/>
      <c r="BSE251" s="278"/>
      <c r="BSF251" s="266"/>
      <c r="BSG251" s="279"/>
      <c r="BSH251" s="211"/>
      <c r="BSI251" s="211"/>
      <c r="BSJ251" s="286"/>
      <c r="BSK251" s="286"/>
      <c r="BSL251" s="280"/>
      <c r="BSM251" s="281"/>
      <c r="BSN251" s="282"/>
      <c r="BSO251" s="242"/>
      <c r="BSP251" s="222"/>
      <c r="BSR251" s="118"/>
      <c r="BSS251" s="8"/>
      <c r="BST251" s="281"/>
      <c r="BSU251" s="78"/>
      <c r="BSV251" s="151"/>
      <c r="BSW251" s="278"/>
      <c r="BSX251" s="266"/>
      <c r="BSY251" s="279"/>
      <c r="BSZ251" s="211"/>
      <c r="BTA251" s="211"/>
      <c r="BTB251" s="286"/>
      <c r="BTC251" s="286"/>
      <c r="BTD251" s="280"/>
      <c r="BTE251" s="281"/>
      <c r="BTF251" s="282"/>
      <c r="BTG251" s="242"/>
      <c r="BTH251" s="222"/>
      <c r="BTJ251" s="118"/>
      <c r="BTK251" s="8"/>
      <c r="BTL251" s="281"/>
      <c r="BTM251" s="78"/>
      <c r="BTN251" s="151"/>
      <c r="BTO251" s="278"/>
      <c r="BTP251" s="266"/>
      <c r="BTQ251" s="279"/>
      <c r="BTR251" s="211"/>
      <c r="BTS251" s="211"/>
      <c r="BTT251" s="286"/>
      <c r="BTU251" s="286"/>
      <c r="BTV251" s="280"/>
      <c r="BTW251" s="281"/>
      <c r="BTX251" s="282"/>
      <c r="BTY251" s="242"/>
      <c r="BTZ251" s="222"/>
      <c r="BUB251" s="118"/>
      <c r="BUC251" s="8"/>
      <c r="BUD251" s="281"/>
      <c r="BUE251" s="78"/>
      <c r="BUF251" s="151"/>
      <c r="BUG251" s="278"/>
      <c r="BUH251" s="266"/>
      <c r="BUI251" s="279"/>
      <c r="BUJ251" s="211"/>
      <c r="BUK251" s="211"/>
      <c r="BUL251" s="286"/>
      <c r="BUM251" s="286"/>
      <c r="BUN251" s="280"/>
      <c r="BUO251" s="281"/>
      <c r="BUP251" s="282"/>
      <c r="BUQ251" s="242"/>
      <c r="BUR251" s="222"/>
      <c r="BUT251" s="118"/>
      <c r="BUU251" s="8"/>
      <c r="BUV251" s="281"/>
      <c r="BUW251" s="78"/>
      <c r="BUX251" s="151"/>
      <c r="BUY251" s="278"/>
      <c r="BUZ251" s="266"/>
      <c r="BVA251" s="279"/>
      <c r="BVB251" s="211"/>
      <c r="BVC251" s="211"/>
      <c r="BVD251" s="286"/>
      <c r="BVE251" s="286"/>
      <c r="BVF251" s="280"/>
      <c r="BVG251" s="281"/>
      <c r="BVH251" s="282"/>
      <c r="BVI251" s="242"/>
      <c r="BVJ251" s="222"/>
      <c r="BVL251" s="118"/>
      <c r="BVM251" s="8"/>
      <c r="BVN251" s="281"/>
      <c r="BVO251" s="78"/>
      <c r="BVP251" s="151"/>
      <c r="BVQ251" s="278"/>
      <c r="BVR251" s="266"/>
      <c r="BVS251" s="279"/>
      <c r="BVT251" s="211"/>
      <c r="BVU251" s="211"/>
      <c r="BVV251" s="286"/>
      <c r="BVW251" s="286"/>
      <c r="BVX251" s="280"/>
      <c r="BVY251" s="281"/>
      <c r="BVZ251" s="282"/>
      <c r="BWA251" s="242"/>
      <c r="BWB251" s="222"/>
      <c r="BWD251" s="118"/>
      <c r="BWE251" s="8"/>
      <c r="BWF251" s="281"/>
      <c r="BWG251" s="78"/>
      <c r="BWH251" s="151"/>
      <c r="BWI251" s="278"/>
      <c r="BWJ251" s="266"/>
      <c r="BWK251" s="279"/>
      <c r="BWL251" s="211"/>
      <c r="BWM251" s="211"/>
      <c r="BWN251" s="286"/>
      <c r="BWO251" s="286"/>
      <c r="BWP251" s="280"/>
      <c r="BWQ251" s="281"/>
      <c r="BWR251" s="282"/>
      <c r="BWS251" s="242"/>
      <c r="BWT251" s="222"/>
      <c r="BWV251" s="118"/>
      <c r="BWW251" s="8"/>
      <c r="BWX251" s="281"/>
      <c r="BWY251" s="78"/>
      <c r="BWZ251" s="151"/>
      <c r="BXA251" s="278"/>
      <c r="BXB251" s="266"/>
      <c r="BXC251" s="279"/>
      <c r="BXD251" s="211"/>
      <c r="BXE251" s="211"/>
      <c r="BXF251" s="286"/>
      <c r="BXG251" s="286"/>
      <c r="BXH251" s="280"/>
      <c r="BXI251" s="281"/>
      <c r="BXJ251" s="282"/>
      <c r="BXK251" s="242"/>
      <c r="BXL251" s="222"/>
      <c r="BXN251" s="118"/>
      <c r="BXO251" s="8"/>
      <c r="BXP251" s="281"/>
      <c r="BXQ251" s="78"/>
      <c r="BXR251" s="151"/>
      <c r="BXS251" s="278"/>
      <c r="BXT251" s="266"/>
      <c r="BXU251" s="279"/>
      <c r="BXV251" s="211"/>
      <c r="BXW251" s="211"/>
      <c r="BXX251" s="286"/>
      <c r="BXY251" s="286"/>
      <c r="BXZ251" s="280"/>
      <c r="BYA251" s="281"/>
      <c r="BYB251" s="282"/>
      <c r="BYC251" s="242"/>
      <c r="BYD251" s="222"/>
      <c r="BYF251" s="118"/>
      <c r="BYG251" s="8"/>
      <c r="BYH251" s="281"/>
      <c r="BYI251" s="78"/>
      <c r="BYJ251" s="151"/>
      <c r="BYK251" s="278"/>
      <c r="BYL251" s="266"/>
      <c r="BYM251" s="279"/>
      <c r="BYN251" s="211"/>
      <c r="BYO251" s="211"/>
      <c r="BYP251" s="286"/>
      <c r="BYQ251" s="286"/>
      <c r="BYR251" s="280"/>
      <c r="BYS251" s="281"/>
      <c r="BYT251" s="282"/>
      <c r="BYU251" s="242"/>
      <c r="BYV251" s="222"/>
      <c r="BYX251" s="118"/>
      <c r="BYY251" s="8"/>
      <c r="BYZ251" s="281"/>
      <c r="BZA251" s="78"/>
      <c r="BZB251" s="151"/>
      <c r="BZC251" s="278"/>
      <c r="BZD251" s="266"/>
      <c r="BZE251" s="279"/>
      <c r="BZF251" s="211"/>
      <c r="BZG251" s="211"/>
      <c r="BZH251" s="286"/>
      <c r="BZI251" s="286"/>
      <c r="BZJ251" s="280"/>
      <c r="BZK251" s="281"/>
      <c r="BZL251" s="282"/>
      <c r="BZM251" s="242"/>
      <c r="BZN251" s="222"/>
      <c r="BZP251" s="118"/>
      <c r="BZQ251" s="8"/>
      <c r="BZR251" s="281"/>
      <c r="BZS251" s="78"/>
      <c r="BZT251" s="151"/>
      <c r="BZU251" s="278"/>
      <c r="BZV251" s="266"/>
      <c r="BZW251" s="279"/>
      <c r="BZX251" s="211"/>
      <c r="BZY251" s="211"/>
      <c r="BZZ251" s="286"/>
      <c r="CAA251" s="286"/>
      <c r="CAB251" s="280"/>
      <c r="CAC251" s="281"/>
      <c r="CAD251" s="282"/>
      <c r="CAE251" s="242"/>
      <c r="CAF251" s="222"/>
      <c r="CAH251" s="118"/>
      <c r="CAI251" s="8"/>
      <c r="CAJ251" s="281"/>
      <c r="CAK251" s="78"/>
      <c r="CAL251" s="151"/>
      <c r="CAM251" s="278"/>
      <c r="CAN251" s="266"/>
      <c r="CAO251" s="279"/>
      <c r="CAP251" s="211"/>
      <c r="CAQ251" s="211"/>
      <c r="CAR251" s="286"/>
      <c r="CAS251" s="286"/>
      <c r="CAT251" s="280"/>
      <c r="CAU251" s="281"/>
      <c r="CAV251" s="282"/>
      <c r="CAW251" s="242"/>
      <c r="CAX251" s="222"/>
      <c r="CAZ251" s="118"/>
      <c r="CBA251" s="8"/>
      <c r="CBB251" s="281"/>
      <c r="CBC251" s="78"/>
      <c r="CBD251" s="151"/>
      <c r="CBE251" s="278"/>
      <c r="CBF251" s="266"/>
      <c r="CBG251" s="279"/>
      <c r="CBH251" s="211"/>
      <c r="CBI251" s="211"/>
      <c r="CBJ251" s="286"/>
      <c r="CBK251" s="286"/>
      <c r="CBL251" s="280"/>
      <c r="CBM251" s="281"/>
      <c r="CBN251" s="282"/>
      <c r="CBO251" s="242"/>
      <c r="CBP251" s="222"/>
      <c r="CBR251" s="118"/>
      <c r="CBS251" s="8"/>
      <c r="CBT251" s="281"/>
      <c r="CBU251" s="78"/>
      <c r="CBV251" s="151"/>
      <c r="CBW251" s="278"/>
      <c r="CBX251" s="266"/>
      <c r="CBY251" s="279"/>
      <c r="CBZ251" s="211"/>
      <c r="CCA251" s="211"/>
      <c r="CCB251" s="286"/>
      <c r="CCC251" s="286"/>
      <c r="CCD251" s="280"/>
      <c r="CCE251" s="281"/>
      <c r="CCF251" s="282"/>
      <c r="CCG251" s="242"/>
      <c r="CCH251" s="222"/>
      <c r="CCJ251" s="118"/>
      <c r="CCK251" s="8"/>
      <c r="CCL251" s="281"/>
      <c r="CCM251" s="78"/>
      <c r="CCN251" s="151"/>
      <c r="CCO251" s="278"/>
      <c r="CCP251" s="266"/>
      <c r="CCQ251" s="279"/>
      <c r="CCR251" s="211"/>
      <c r="CCS251" s="211"/>
      <c r="CCT251" s="286"/>
      <c r="CCU251" s="286"/>
      <c r="CCV251" s="280"/>
      <c r="CCW251" s="281"/>
      <c r="CCX251" s="282"/>
      <c r="CCY251" s="242"/>
      <c r="CCZ251" s="222"/>
      <c r="CDB251" s="118"/>
      <c r="CDC251" s="8"/>
      <c r="CDD251" s="281"/>
      <c r="CDE251" s="78"/>
      <c r="CDF251" s="151"/>
      <c r="CDG251" s="278"/>
      <c r="CDH251" s="266"/>
      <c r="CDI251" s="279"/>
      <c r="CDJ251" s="211"/>
      <c r="CDK251" s="211"/>
      <c r="CDL251" s="286"/>
      <c r="CDM251" s="286"/>
      <c r="CDN251" s="280"/>
      <c r="CDO251" s="281"/>
      <c r="CDP251" s="282"/>
      <c r="CDQ251" s="242"/>
      <c r="CDR251" s="222"/>
      <c r="CDT251" s="118"/>
      <c r="CDU251" s="8"/>
      <c r="CDV251" s="281"/>
      <c r="CDW251" s="78"/>
      <c r="CDX251" s="151"/>
      <c r="CDY251" s="278"/>
      <c r="CDZ251" s="266"/>
      <c r="CEA251" s="279"/>
      <c r="CEB251" s="211"/>
      <c r="CEC251" s="211"/>
      <c r="CED251" s="286"/>
      <c r="CEE251" s="286"/>
      <c r="CEF251" s="280"/>
      <c r="CEG251" s="281"/>
      <c r="CEH251" s="282"/>
      <c r="CEI251" s="242"/>
      <c r="CEJ251" s="222"/>
      <c r="CEL251" s="118"/>
      <c r="CEM251" s="8"/>
      <c r="CEN251" s="281"/>
      <c r="CEO251" s="78"/>
      <c r="CEP251" s="151"/>
      <c r="CEQ251" s="278"/>
      <c r="CER251" s="266"/>
      <c r="CES251" s="279"/>
      <c r="CET251" s="211"/>
      <c r="CEU251" s="211"/>
      <c r="CEV251" s="286"/>
      <c r="CEW251" s="286"/>
      <c r="CEX251" s="280"/>
      <c r="CEY251" s="281"/>
      <c r="CEZ251" s="282"/>
      <c r="CFA251" s="242"/>
      <c r="CFB251" s="222"/>
      <c r="CFD251" s="118"/>
      <c r="CFE251" s="8"/>
      <c r="CFF251" s="281"/>
      <c r="CFG251" s="78"/>
      <c r="CFH251" s="151"/>
      <c r="CFI251" s="278"/>
      <c r="CFJ251" s="266"/>
      <c r="CFK251" s="279"/>
      <c r="CFL251" s="211"/>
      <c r="CFM251" s="211"/>
      <c r="CFN251" s="286"/>
      <c r="CFO251" s="286"/>
      <c r="CFP251" s="280"/>
      <c r="CFQ251" s="281"/>
      <c r="CFR251" s="282"/>
      <c r="CFS251" s="242"/>
      <c r="CFT251" s="222"/>
      <c r="CFV251" s="118"/>
      <c r="CFW251" s="8"/>
      <c r="CFX251" s="281"/>
      <c r="CFY251" s="78"/>
      <c r="CFZ251" s="151"/>
      <c r="CGA251" s="278"/>
      <c r="CGB251" s="266"/>
      <c r="CGC251" s="279"/>
      <c r="CGD251" s="211"/>
      <c r="CGE251" s="211"/>
      <c r="CGF251" s="286"/>
      <c r="CGG251" s="286"/>
      <c r="CGH251" s="280"/>
      <c r="CGI251" s="281"/>
      <c r="CGJ251" s="282"/>
      <c r="CGK251" s="242"/>
      <c r="CGL251" s="222"/>
      <c r="CGN251" s="118"/>
      <c r="CGO251" s="8"/>
      <c r="CGP251" s="281"/>
      <c r="CGQ251" s="78"/>
      <c r="CGR251" s="151"/>
      <c r="CGS251" s="278"/>
      <c r="CGT251" s="266"/>
      <c r="CGU251" s="279"/>
      <c r="CGV251" s="211"/>
      <c r="CGW251" s="211"/>
      <c r="CGX251" s="286"/>
      <c r="CGY251" s="286"/>
      <c r="CGZ251" s="280"/>
      <c r="CHA251" s="281"/>
      <c r="CHB251" s="282"/>
      <c r="CHC251" s="242"/>
      <c r="CHD251" s="222"/>
      <c r="CHF251" s="118"/>
      <c r="CHG251" s="8"/>
      <c r="CHH251" s="281"/>
      <c r="CHI251" s="78"/>
      <c r="CHJ251" s="151"/>
      <c r="CHK251" s="278"/>
      <c r="CHL251" s="266"/>
      <c r="CHM251" s="279"/>
      <c r="CHN251" s="211"/>
      <c r="CHO251" s="211"/>
      <c r="CHP251" s="286"/>
      <c r="CHQ251" s="286"/>
      <c r="CHR251" s="280"/>
      <c r="CHS251" s="281"/>
      <c r="CHT251" s="282"/>
      <c r="CHU251" s="242"/>
      <c r="CHV251" s="222"/>
      <c r="CHX251" s="118"/>
      <c r="CHY251" s="8"/>
      <c r="CHZ251" s="281"/>
      <c r="CIA251" s="78"/>
      <c r="CIB251" s="151"/>
      <c r="CIC251" s="278"/>
      <c r="CID251" s="266"/>
      <c r="CIE251" s="279"/>
      <c r="CIF251" s="211"/>
      <c r="CIG251" s="211"/>
      <c r="CIH251" s="286"/>
      <c r="CII251" s="286"/>
      <c r="CIJ251" s="280"/>
      <c r="CIK251" s="281"/>
      <c r="CIL251" s="282"/>
      <c r="CIM251" s="242"/>
      <c r="CIN251" s="222"/>
      <c r="CIP251" s="118"/>
      <c r="CIQ251" s="8"/>
      <c r="CIR251" s="281"/>
      <c r="CIS251" s="78"/>
      <c r="CIT251" s="151"/>
      <c r="CIU251" s="278"/>
      <c r="CIV251" s="266"/>
      <c r="CIW251" s="279"/>
      <c r="CIX251" s="211"/>
      <c r="CIY251" s="211"/>
      <c r="CIZ251" s="286"/>
      <c r="CJA251" s="286"/>
      <c r="CJB251" s="280"/>
      <c r="CJC251" s="281"/>
      <c r="CJD251" s="282"/>
      <c r="CJE251" s="242"/>
      <c r="CJF251" s="222"/>
      <c r="CJH251" s="118"/>
      <c r="CJI251" s="8"/>
      <c r="CJJ251" s="281"/>
      <c r="CJK251" s="78"/>
      <c r="CJL251" s="151"/>
      <c r="CJM251" s="278"/>
      <c r="CJN251" s="266"/>
      <c r="CJO251" s="279"/>
      <c r="CJP251" s="211"/>
      <c r="CJQ251" s="211"/>
      <c r="CJR251" s="286"/>
      <c r="CJS251" s="286"/>
      <c r="CJT251" s="280"/>
      <c r="CJU251" s="281"/>
      <c r="CJV251" s="282"/>
      <c r="CJW251" s="242"/>
      <c r="CJX251" s="222"/>
      <c r="CJZ251" s="118"/>
      <c r="CKA251" s="8"/>
      <c r="CKB251" s="281"/>
      <c r="CKC251" s="78"/>
      <c r="CKD251" s="151"/>
      <c r="CKE251" s="278"/>
      <c r="CKF251" s="266"/>
      <c r="CKG251" s="279"/>
      <c r="CKH251" s="211"/>
      <c r="CKI251" s="211"/>
      <c r="CKJ251" s="286"/>
      <c r="CKK251" s="286"/>
      <c r="CKL251" s="280"/>
      <c r="CKM251" s="281"/>
      <c r="CKN251" s="282"/>
      <c r="CKO251" s="242"/>
      <c r="CKP251" s="222"/>
      <c r="CKR251" s="118"/>
      <c r="CKS251" s="8"/>
      <c r="CKT251" s="281"/>
      <c r="CKU251" s="78"/>
      <c r="CKV251" s="151"/>
      <c r="CKW251" s="278"/>
      <c r="CKX251" s="266"/>
      <c r="CKY251" s="279"/>
      <c r="CKZ251" s="211"/>
      <c r="CLA251" s="211"/>
      <c r="CLB251" s="286"/>
      <c r="CLC251" s="286"/>
      <c r="CLD251" s="280"/>
      <c r="CLE251" s="281"/>
      <c r="CLF251" s="282"/>
      <c r="CLG251" s="242"/>
      <c r="CLH251" s="222"/>
      <c r="CLJ251" s="118"/>
      <c r="CLK251" s="8"/>
      <c r="CLL251" s="281"/>
      <c r="CLM251" s="78"/>
      <c r="CLN251" s="151"/>
      <c r="CLO251" s="278"/>
      <c r="CLP251" s="266"/>
      <c r="CLQ251" s="279"/>
      <c r="CLR251" s="211"/>
      <c r="CLS251" s="211"/>
      <c r="CLT251" s="286"/>
      <c r="CLU251" s="286"/>
      <c r="CLV251" s="280"/>
      <c r="CLW251" s="281"/>
      <c r="CLX251" s="282"/>
      <c r="CLY251" s="242"/>
      <c r="CLZ251" s="222"/>
      <c r="CMB251" s="118"/>
      <c r="CMC251" s="8"/>
      <c r="CMD251" s="281"/>
      <c r="CME251" s="78"/>
      <c r="CMF251" s="151"/>
      <c r="CMG251" s="278"/>
      <c r="CMH251" s="266"/>
      <c r="CMI251" s="279"/>
      <c r="CMJ251" s="211"/>
      <c r="CMK251" s="211"/>
      <c r="CML251" s="286"/>
      <c r="CMM251" s="286"/>
      <c r="CMN251" s="280"/>
      <c r="CMO251" s="281"/>
      <c r="CMP251" s="282"/>
      <c r="CMQ251" s="242"/>
      <c r="CMR251" s="222"/>
      <c r="CMT251" s="118"/>
      <c r="CMU251" s="8"/>
      <c r="CMV251" s="281"/>
      <c r="CMW251" s="78"/>
      <c r="CMX251" s="151"/>
      <c r="CMY251" s="278"/>
      <c r="CMZ251" s="266"/>
      <c r="CNA251" s="279"/>
      <c r="CNB251" s="211"/>
      <c r="CNC251" s="211"/>
      <c r="CND251" s="286"/>
      <c r="CNE251" s="286"/>
      <c r="CNF251" s="280"/>
      <c r="CNG251" s="281"/>
      <c r="CNH251" s="282"/>
      <c r="CNI251" s="242"/>
      <c r="CNJ251" s="222"/>
      <c r="CNL251" s="118"/>
      <c r="CNM251" s="8"/>
      <c r="CNN251" s="281"/>
      <c r="CNO251" s="78"/>
      <c r="CNP251" s="151"/>
      <c r="CNQ251" s="278"/>
      <c r="CNR251" s="266"/>
      <c r="CNS251" s="279"/>
      <c r="CNT251" s="211"/>
      <c r="CNU251" s="211"/>
      <c r="CNV251" s="286"/>
      <c r="CNW251" s="286"/>
      <c r="CNX251" s="280"/>
      <c r="CNY251" s="281"/>
      <c r="CNZ251" s="282"/>
      <c r="COA251" s="242"/>
      <c r="COB251" s="222"/>
      <c r="COD251" s="118"/>
      <c r="COE251" s="8"/>
      <c r="COF251" s="281"/>
      <c r="COG251" s="78"/>
      <c r="COH251" s="151"/>
      <c r="COI251" s="278"/>
      <c r="COJ251" s="266"/>
      <c r="COK251" s="279"/>
      <c r="COL251" s="211"/>
      <c r="COM251" s="211"/>
      <c r="CON251" s="286"/>
      <c r="COO251" s="286"/>
      <c r="COP251" s="280"/>
      <c r="COQ251" s="281"/>
      <c r="COR251" s="282"/>
      <c r="COS251" s="242"/>
      <c r="COT251" s="222"/>
      <c r="COV251" s="118"/>
      <c r="COW251" s="8"/>
      <c r="COX251" s="281"/>
      <c r="COY251" s="78"/>
      <c r="COZ251" s="151"/>
      <c r="CPA251" s="278"/>
      <c r="CPB251" s="266"/>
      <c r="CPC251" s="279"/>
      <c r="CPD251" s="211"/>
      <c r="CPE251" s="211"/>
      <c r="CPF251" s="286"/>
      <c r="CPG251" s="286"/>
      <c r="CPH251" s="280"/>
      <c r="CPI251" s="281"/>
      <c r="CPJ251" s="282"/>
      <c r="CPK251" s="242"/>
      <c r="CPL251" s="222"/>
      <c r="CPN251" s="118"/>
      <c r="CPO251" s="8"/>
      <c r="CPP251" s="281"/>
      <c r="CPQ251" s="78"/>
      <c r="CPR251" s="151"/>
      <c r="CPS251" s="278"/>
      <c r="CPT251" s="266"/>
      <c r="CPU251" s="279"/>
      <c r="CPV251" s="211"/>
      <c r="CPW251" s="211"/>
      <c r="CPX251" s="286"/>
      <c r="CPY251" s="286"/>
      <c r="CPZ251" s="280"/>
      <c r="CQA251" s="281"/>
      <c r="CQB251" s="282"/>
      <c r="CQC251" s="242"/>
      <c r="CQD251" s="222"/>
      <c r="CQF251" s="118"/>
      <c r="CQG251" s="8"/>
      <c r="CQH251" s="281"/>
      <c r="CQI251" s="78"/>
      <c r="CQJ251" s="151"/>
      <c r="CQK251" s="278"/>
      <c r="CQL251" s="266"/>
      <c r="CQM251" s="279"/>
      <c r="CQN251" s="211"/>
      <c r="CQO251" s="211"/>
      <c r="CQP251" s="286"/>
      <c r="CQQ251" s="286"/>
      <c r="CQR251" s="280"/>
      <c r="CQS251" s="281"/>
      <c r="CQT251" s="282"/>
      <c r="CQU251" s="242"/>
      <c r="CQV251" s="222"/>
      <c r="CQX251" s="118"/>
      <c r="CQY251" s="8"/>
      <c r="CQZ251" s="281"/>
      <c r="CRA251" s="78"/>
      <c r="CRB251" s="151"/>
      <c r="CRC251" s="278"/>
      <c r="CRD251" s="266"/>
      <c r="CRE251" s="279"/>
      <c r="CRF251" s="211"/>
      <c r="CRG251" s="211"/>
      <c r="CRH251" s="286"/>
      <c r="CRI251" s="286"/>
      <c r="CRJ251" s="280"/>
      <c r="CRK251" s="281"/>
      <c r="CRL251" s="282"/>
      <c r="CRM251" s="242"/>
      <c r="CRN251" s="222"/>
      <c r="CRP251" s="118"/>
      <c r="CRQ251" s="8"/>
      <c r="CRR251" s="281"/>
      <c r="CRS251" s="78"/>
      <c r="CRT251" s="151"/>
      <c r="CRU251" s="278"/>
      <c r="CRV251" s="266"/>
      <c r="CRW251" s="279"/>
      <c r="CRX251" s="211"/>
      <c r="CRY251" s="211"/>
      <c r="CRZ251" s="286"/>
      <c r="CSA251" s="286"/>
      <c r="CSB251" s="280"/>
      <c r="CSC251" s="281"/>
      <c r="CSD251" s="282"/>
      <c r="CSE251" s="242"/>
      <c r="CSF251" s="222"/>
      <c r="CSH251" s="118"/>
      <c r="CSI251" s="8"/>
      <c r="CSJ251" s="281"/>
      <c r="CSK251" s="78"/>
      <c r="CSL251" s="151"/>
      <c r="CSM251" s="278"/>
      <c r="CSN251" s="266"/>
      <c r="CSO251" s="279"/>
      <c r="CSP251" s="211"/>
      <c r="CSQ251" s="211"/>
      <c r="CSR251" s="286"/>
      <c r="CSS251" s="286"/>
      <c r="CST251" s="280"/>
      <c r="CSU251" s="281"/>
      <c r="CSV251" s="282"/>
      <c r="CSW251" s="242"/>
      <c r="CSX251" s="222"/>
      <c r="CSZ251" s="118"/>
      <c r="CTA251" s="8"/>
      <c r="CTB251" s="281"/>
      <c r="CTC251" s="78"/>
      <c r="CTD251" s="151"/>
      <c r="CTE251" s="278"/>
      <c r="CTF251" s="266"/>
      <c r="CTG251" s="279"/>
      <c r="CTH251" s="211"/>
      <c r="CTI251" s="211"/>
      <c r="CTJ251" s="286"/>
      <c r="CTK251" s="286"/>
      <c r="CTL251" s="280"/>
      <c r="CTM251" s="281"/>
      <c r="CTN251" s="282"/>
      <c r="CTO251" s="242"/>
      <c r="CTP251" s="222"/>
      <c r="CTR251" s="118"/>
      <c r="CTS251" s="8"/>
      <c r="CTT251" s="281"/>
      <c r="CTU251" s="78"/>
      <c r="CTV251" s="151"/>
      <c r="CTW251" s="278"/>
      <c r="CTX251" s="266"/>
      <c r="CTY251" s="279"/>
      <c r="CTZ251" s="211"/>
      <c r="CUA251" s="211"/>
      <c r="CUB251" s="286"/>
      <c r="CUC251" s="286"/>
      <c r="CUD251" s="280"/>
      <c r="CUE251" s="281"/>
      <c r="CUF251" s="282"/>
      <c r="CUG251" s="242"/>
      <c r="CUH251" s="222"/>
      <c r="CUJ251" s="118"/>
      <c r="CUK251" s="8"/>
      <c r="CUL251" s="281"/>
      <c r="CUM251" s="78"/>
      <c r="CUN251" s="151"/>
      <c r="CUO251" s="278"/>
      <c r="CUP251" s="266"/>
      <c r="CUQ251" s="279"/>
      <c r="CUR251" s="211"/>
      <c r="CUS251" s="211"/>
      <c r="CUT251" s="286"/>
      <c r="CUU251" s="286"/>
      <c r="CUV251" s="280"/>
      <c r="CUW251" s="281"/>
      <c r="CUX251" s="282"/>
      <c r="CUY251" s="242"/>
      <c r="CUZ251" s="222"/>
      <c r="CVB251" s="118"/>
      <c r="CVC251" s="8"/>
      <c r="CVD251" s="281"/>
      <c r="CVE251" s="78"/>
      <c r="CVF251" s="151"/>
      <c r="CVG251" s="278"/>
      <c r="CVH251" s="266"/>
      <c r="CVI251" s="279"/>
      <c r="CVJ251" s="211"/>
      <c r="CVK251" s="211"/>
      <c r="CVL251" s="286"/>
      <c r="CVM251" s="286"/>
      <c r="CVN251" s="280"/>
      <c r="CVO251" s="281"/>
      <c r="CVP251" s="282"/>
      <c r="CVQ251" s="242"/>
      <c r="CVR251" s="222"/>
      <c r="CVT251" s="118"/>
      <c r="CVU251" s="8"/>
      <c r="CVV251" s="281"/>
      <c r="CVW251" s="78"/>
      <c r="CVX251" s="151"/>
      <c r="CVY251" s="278"/>
      <c r="CVZ251" s="266"/>
      <c r="CWA251" s="279"/>
      <c r="CWB251" s="211"/>
      <c r="CWC251" s="211"/>
      <c r="CWD251" s="286"/>
      <c r="CWE251" s="286"/>
      <c r="CWF251" s="280"/>
      <c r="CWG251" s="281"/>
      <c r="CWH251" s="282"/>
      <c r="CWI251" s="242"/>
      <c r="CWJ251" s="222"/>
      <c r="CWL251" s="118"/>
      <c r="CWM251" s="8"/>
      <c r="CWN251" s="281"/>
      <c r="CWO251" s="78"/>
      <c r="CWP251" s="151"/>
      <c r="CWQ251" s="278"/>
      <c r="CWR251" s="266"/>
      <c r="CWS251" s="279"/>
      <c r="CWT251" s="211"/>
      <c r="CWU251" s="211"/>
      <c r="CWV251" s="286"/>
      <c r="CWW251" s="286"/>
      <c r="CWX251" s="280"/>
      <c r="CWY251" s="281"/>
      <c r="CWZ251" s="282"/>
      <c r="CXA251" s="242"/>
      <c r="CXB251" s="222"/>
      <c r="CXD251" s="118"/>
      <c r="CXE251" s="8"/>
      <c r="CXF251" s="281"/>
      <c r="CXG251" s="78"/>
      <c r="CXH251" s="151"/>
      <c r="CXI251" s="278"/>
      <c r="CXJ251" s="266"/>
      <c r="CXK251" s="279"/>
      <c r="CXL251" s="211"/>
      <c r="CXM251" s="211"/>
      <c r="CXN251" s="286"/>
      <c r="CXO251" s="286"/>
      <c r="CXP251" s="280"/>
      <c r="CXQ251" s="281"/>
      <c r="CXR251" s="282"/>
      <c r="CXS251" s="242"/>
      <c r="CXT251" s="222"/>
      <c r="CXV251" s="118"/>
      <c r="CXW251" s="8"/>
      <c r="CXX251" s="281"/>
      <c r="CXY251" s="78"/>
      <c r="CXZ251" s="151"/>
      <c r="CYA251" s="278"/>
      <c r="CYB251" s="266"/>
      <c r="CYC251" s="279"/>
      <c r="CYD251" s="211"/>
      <c r="CYE251" s="211"/>
      <c r="CYF251" s="286"/>
      <c r="CYG251" s="286"/>
      <c r="CYH251" s="280"/>
      <c r="CYI251" s="281"/>
      <c r="CYJ251" s="282"/>
      <c r="CYK251" s="242"/>
      <c r="CYL251" s="222"/>
      <c r="CYN251" s="118"/>
      <c r="CYO251" s="8"/>
      <c r="CYP251" s="281"/>
      <c r="CYQ251" s="78"/>
      <c r="CYR251" s="151"/>
      <c r="CYS251" s="278"/>
      <c r="CYT251" s="266"/>
      <c r="CYU251" s="279"/>
      <c r="CYV251" s="211"/>
      <c r="CYW251" s="211"/>
      <c r="CYX251" s="286"/>
      <c r="CYY251" s="286"/>
      <c r="CYZ251" s="280"/>
      <c r="CZA251" s="281"/>
      <c r="CZB251" s="282"/>
      <c r="CZC251" s="242"/>
      <c r="CZD251" s="222"/>
      <c r="CZF251" s="118"/>
      <c r="CZG251" s="8"/>
      <c r="CZH251" s="281"/>
      <c r="CZI251" s="78"/>
      <c r="CZJ251" s="151"/>
      <c r="CZK251" s="278"/>
      <c r="CZL251" s="266"/>
      <c r="CZM251" s="279"/>
      <c r="CZN251" s="211"/>
      <c r="CZO251" s="211"/>
      <c r="CZP251" s="286"/>
      <c r="CZQ251" s="286"/>
      <c r="CZR251" s="280"/>
      <c r="CZS251" s="281"/>
      <c r="CZT251" s="282"/>
      <c r="CZU251" s="242"/>
      <c r="CZV251" s="222"/>
      <c r="CZX251" s="118"/>
      <c r="CZY251" s="8"/>
      <c r="CZZ251" s="281"/>
      <c r="DAA251" s="78"/>
      <c r="DAB251" s="151"/>
      <c r="DAC251" s="278"/>
      <c r="DAD251" s="266"/>
      <c r="DAE251" s="279"/>
      <c r="DAF251" s="211"/>
      <c r="DAG251" s="211"/>
      <c r="DAH251" s="286"/>
      <c r="DAI251" s="286"/>
      <c r="DAJ251" s="280"/>
      <c r="DAK251" s="281"/>
      <c r="DAL251" s="282"/>
      <c r="DAM251" s="242"/>
      <c r="DAN251" s="222"/>
      <c r="DAP251" s="118"/>
      <c r="DAQ251" s="8"/>
      <c r="DAR251" s="281"/>
      <c r="DAS251" s="78"/>
      <c r="DAT251" s="151"/>
      <c r="DAU251" s="278"/>
      <c r="DAV251" s="266"/>
      <c r="DAW251" s="279"/>
      <c r="DAX251" s="211"/>
      <c r="DAY251" s="211"/>
      <c r="DAZ251" s="286"/>
      <c r="DBA251" s="286"/>
      <c r="DBB251" s="280"/>
      <c r="DBC251" s="281"/>
      <c r="DBD251" s="282"/>
      <c r="DBE251" s="242"/>
      <c r="DBF251" s="222"/>
      <c r="DBH251" s="118"/>
      <c r="DBI251" s="8"/>
      <c r="DBJ251" s="281"/>
      <c r="DBK251" s="78"/>
      <c r="DBL251" s="151"/>
      <c r="DBM251" s="278"/>
      <c r="DBN251" s="266"/>
      <c r="DBO251" s="279"/>
      <c r="DBP251" s="211"/>
      <c r="DBQ251" s="211"/>
      <c r="DBR251" s="286"/>
      <c r="DBS251" s="286"/>
      <c r="DBT251" s="280"/>
      <c r="DBU251" s="281"/>
      <c r="DBV251" s="282"/>
      <c r="DBW251" s="242"/>
      <c r="DBX251" s="222"/>
      <c r="DBZ251" s="118"/>
      <c r="DCA251" s="8"/>
      <c r="DCB251" s="281"/>
      <c r="DCC251" s="78"/>
      <c r="DCD251" s="151"/>
      <c r="DCE251" s="278"/>
      <c r="DCF251" s="266"/>
      <c r="DCG251" s="279"/>
      <c r="DCH251" s="211"/>
      <c r="DCI251" s="211"/>
      <c r="DCJ251" s="286"/>
      <c r="DCK251" s="286"/>
      <c r="DCL251" s="280"/>
      <c r="DCM251" s="281"/>
      <c r="DCN251" s="282"/>
      <c r="DCO251" s="242"/>
      <c r="DCP251" s="222"/>
      <c r="DCR251" s="118"/>
      <c r="DCS251" s="8"/>
      <c r="DCT251" s="281"/>
      <c r="DCU251" s="78"/>
      <c r="DCV251" s="151"/>
      <c r="DCW251" s="278"/>
      <c r="DCX251" s="266"/>
      <c r="DCY251" s="279"/>
      <c r="DCZ251" s="211"/>
      <c r="DDA251" s="211"/>
      <c r="DDB251" s="286"/>
      <c r="DDC251" s="286"/>
      <c r="DDD251" s="280"/>
      <c r="DDE251" s="281"/>
      <c r="DDF251" s="282"/>
      <c r="DDG251" s="242"/>
      <c r="DDH251" s="222"/>
      <c r="DDJ251" s="118"/>
      <c r="DDK251" s="8"/>
      <c r="DDL251" s="281"/>
      <c r="DDM251" s="78"/>
      <c r="DDN251" s="151"/>
      <c r="DDO251" s="278"/>
      <c r="DDP251" s="266"/>
      <c r="DDQ251" s="279"/>
      <c r="DDR251" s="211"/>
      <c r="DDS251" s="211"/>
      <c r="DDT251" s="286"/>
      <c r="DDU251" s="286"/>
      <c r="DDV251" s="280"/>
      <c r="DDW251" s="281"/>
      <c r="DDX251" s="282"/>
      <c r="DDY251" s="242"/>
      <c r="DDZ251" s="222"/>
      <c r="DEB251" s="118"/>
      <c r="DEC251" s="8"/>
      <c r="DED251" s="281"/>
      <c r="DEE251" s="78"/>
      <c r="DEF251" s="151"/>
      <c r="DEG251" s="278"/>
      <c r="DEH251" s="266"/>
      <c r="DEI251" s="279"/>
      <c r="DEJ251" s="211"/>
      <c r="DEK251" s="211"/>
      <c r="DEL251" s="286"/>
      <c r="DEM251" s="286"/>
      <c r="DEN251" s="280"/>
      <c r="DEO251" s="281"/>
      <c r="DEP251" s="282"/>
      <c r="DEQ251" s="242"/>
      <c r="DER251" s="222"/>
      <c r="DET251" s="118"/>
      <c r="DEU251" s="8"/>
      <c r="DEV251" s="281"/>
      <c r="DEW251" s="78"/>
      <c r="DEX251" s="151"/>
      <c r="DEY251" s="278"/>
      <c r="DEZ251" s="266"/>
      <c r="DFA251" s="279"/>
      <c r="DFB251" s="211"/>
      <c r="DFC251" s="211"/>
      <c r="DFD251" s="286"/>
      <c r="DFE251" s="286"/>
      <c r="DFF251" s="280"/>
      <c r="DFG251" s="281"/>
      <c r="DFH251" s="282"/>
      <c r="DFI251" s="242"/>
      <c r="DFJ251" s="222"/>
      <c r="DFL251" s="118"/>
      <c r="DFM251" s="8"/>
      <c r="DFN251" s="281"/>
      <c r="DFO251" s="78"/>
      <c r="DFP251" s="151"/>
      <c r="DFQ251" s="278"/>
      <c r="DFR251" s="266"/>
      <c r="DFS251" s="279"/>
      <c r="DFT251" s="211"/>
      <c r="DFU251" s="211"/>
      <c r="DFV251" s="286"/>
      <c r="DFW251" s="286"/>
      <c r="DFX251" s="280"/>
      <c r="DFY251" s="281"/>
      <c r="DFZ251" s="282"/>
      <c r="DGA251" s="242"/>
      <c r="DGB251" s="222"/>
      <c r="DGD251" s="118"/>
      <c r="DGE251" s="8"/>
      <c r="DGF251" s="281"/>
      <c r="DGG251" s="78"/>
      <c r="DGH251" s="151"/>
      <c r="DGI251" s="278"/>
      <c r="DGJ251" s="266"/>
      <c r="DGK251" s="279"/>
      <c r="DGL251" s="211"/>
      <c r="DGM251" s="211"/>
      <c r="DGN251" s="286"/>
      <c r="DGO251" s="286"/>
      <c r="DGP251" s="280"/>
      <c r="DGQ251" s="281"/>
      <c r="DGR251" s="282"/>
      <c r="DGS251" s="242"/>
      <c r="DGT251" s="222"/>
      <c r="DGV251" s="118"/>
      <c r="DGW251" s="8"/>
      <c r="DGX251" s="281"/>
      <c r="DGY251" s="78"/>
      <c r="DGZ251" s="151"/>
      <c r="DHA251" s="278"/>
      <c r="DHB251" s="266"/>
      <c r="DHC251" s="279"/>
      <c r="DHD251" s="211"/>
      <c r="DHE251" s="211"/>
      <c r="DHF251" s="286"/>
      <c r="DHG251" s="286"/>
      <c r="DHH251" s="280"/>
      <c r="DHI251" s="281"/>
      <c r="DHJ251" s="282"/>
      <c r="DHK251" s="242"/>
      <c r="DHL251" s="222"/>
      <c r="DHN251" s="118"/>
      <c r="DHO251" s="8"/>
      <c r="DHP251" s="281"/>
      <c r="DHQ251" s="78"/>
      <c r="DHR251" s="151"/>
      <c r="DHS251" s="278"/>
      <c r="DHT251" s="266"/>
      <c r="DHU251" s="279"/>
      <c r="DHV251" s="211"/>
      <c r="DHW251" s="211"/>
      <c r="DHX251" s="286"/>
      <c r="DHY251" s="286"/>
      <c r="DHZ251" s="280"/>
      <c r="DIA251" s="281"/>
      <c r="DIB251" s="282"/>
      <c r="DIC251" s="242"/>
      <c r="DID251" s="222"/>
      <c r="DIF251" s="118"/>
      <c r="DIG251" s="8"/>
      <c r="DIH251" s="281"/>
      <c r="DII251" s="78"/>
      <c r="DIJ251" s="151"/>
      <c r="DIK251" s="278"/>
      <c r="DIL251" s="266"/>
      <c r="DIM251" s="279"/>
      <c r="DIN251" s="211"/>
      <c r="DIO251" s="211"/>
      <c r="DIP251" s="286"/>
      <c r="DIQ251" s="286"/>
      <c r="DIR251" s="280"/>
      <c r="DIS251" s="281"/>
      <c r="DIT251" s="282"/>
      <c r="DIU251" s="242"/>
      <c r="DIV251" s="222"/>
      <c r="DIX251" s="118"/>
      <c r="DIY251" s="8"/>
      <c r="DIZ251" s="281"/>
      <c r="DJA251" s="78"/>
      <c r="DJB251" s="151"/>
      <c r="DJC251" s="278"/>
      <c r="DJD251" s="266"/>
      <c r="DJE251" s="279"/>
      <c r="DJF251" s="211"/>
      <c r="DJG251" s="211"/>
      <c r="DJH251" s="286"/>
      <c r="DJI251" s="286"/>
      <c r="DJJ251" s="280"/>
      <c r="DJK251" s="281"/>
      <c r="DJL251" s="282"/>
      <c r="DJM251" s="242"/>
      <c r="DJN251" s="222"/>
      <c r="DJP251" s="118"/>
      <c r="DJQ251" s="8"/>
      <c r="DJR251" s="281"/>
      <c r="DJS251" s="78"/>
      <c r="DJT251" s="151"/>
      <c r="DJU251" s="278"/>
      <c r="DJV251" s="266"/>
      <c r="DJW251" s="279"/>
      <c r="DJX251" s="211"/>
      <c r="DJY251" s="211"/>
      <c r="DJZ251" s="286"/>
      <c r="DKA251" s="286"/>
      <c r="DKB251" s="280"/>
      <c r="DKC251" s="281"/>
      <c r="DKD251" s="282"/>
      <c r="DKE251" s="242"/>
      <c r="DKF251" s="222"/>
      <c r="DKH251" s="118"/>
      <c r="DKI251" s="8"/>
      <c r="DKJ251" s="281"/>
      <c r="DKK251" s="78"/>
      <c r="DKL251" s="151"/>
      <c r="DKM251" s="278"/>
      <c r="DKN251" s="266"/>
      <c r="DKO251" s="279"/>
      <c r="DKP251" s="211"/>
      <c r="DKQ251" s="211"/>
      <c r="DKR251" s="286"/>
      <c r="DKS251" s="286"/>
      <c r="DKT251" s="280"/>
      <c r="DKU251" s="281"/>
      <c r="DKV251" s="282"/>
      <c r="DKW251" s="242"/>
      <c r="DKX251" s="222"/>
      <c r="DKZ251" s="118"/>
      <c r="DLA251" s="8"/>
      <c r="DLB251" s="281"/>
      <c r="DLC251" s="78"/>
      <c r="DLD251" s="151"/>
      <c r="DLE251" s="278"/>
      <c r="DLF251" s="266"/>
      <c r="DLG251" s="279"/>
      <c r="DLH251" s="211"/>
      <c r="DLI251" s="211"/>
      <c r="DLJ251" s="286"/>
      <c r="DLK251" s="286"/>
      <c r="DLL251" s="280"/>
      <c r="DLM251" s="281"/>
      <c r="DLN251" s="282"/>
      <c r="DLO251" s="242"/>
      <c r="DLP251" s="222"/>
      <c r="DLR251" s="118"/>
      <c r="DLS251" s="8"/>
      <c r="DLT251" s="281"/>
      <c r="DLU251" s="78"/>
      <c r="DLV251" s="151"/>
      <c r="DLW251" s="278"/>
      <c r="DLX251" s="266"/>
      <c r="DLY251" s="279"/>
      <c r="DLZ251" s="211"/>
      <c r="DMA251" s="211"/>
      <c r="DMB251" s="286"/>
      <c r="DMC251" s="286"/>
      <c r="DMD251" s="280"/>
      <c r="DME251" s="281"/>
      <c r="DMF251" s="282"/>
      <c r="DMG251" s="242"/>
      <c r="DMH251" s="222"/>
      <c r="DMJ251" s="118"/>
      <c r="DMK251" s="8"/>
      <c r="DML251" s="281"/>
      <c r="DMM251" s="78"/>
      <c r="DMN251" s="151"/>
      <c r="DMO251" s="278"/>
      <c r="DMP251" s="266"/>
      <c r="DMQ251" s="279"/>
      <c r="DMR251" s="211"/>
      <c r="DMS251" s="211"/>
      <c r="DMT251" s="286"/>
      <c r="DMU251" s="286"/>
      <c r="DMV251" s="280"/>
      <c r="DMW251" s="281"/>
      <c r="DMX251" s="282"/>
      <c r="DMY251" s="242"/>
      <c r="DMZ251" s="222"/>
      <c r="DNB251" s="118"/>
      <c r="DNC251" s="8"/>
      <c r="DND251" s="281"/>
      <c r="DNE251" s="78"/>
      <c r="DNF251" s="151"/>
      <c r="DNG251" s="278"/>
      <c r="DNH251" s="266"/>
      <c r="DNI251" s="279"/>
      <c r="DNJ251" s="211"/>
      <c r="DNK251" s="211"/>
      <c r="DNL251" s="286"/>
      <c r="DNM251" s="286"/>
      <c r="DNN251" s="280"/>
      <c r="DNO251" s="281"/>
      <c r="DNP251" s="282"/>
      <c r="DNQ251" s="242"/>
      <c r="DNR251" s="222"/>
      <c r="DNT251" s="118"/>
      <c r="DNU251" s="8"/>
      <c r="DNV251" s="281"/>
      <c r="DNW251" s="78"/>
      <c r="DNX251" s="151"/>
      <c r="DNY251" s="278"/>
      <c r="DNZ251" s="266"/>
      <c r="DOA251" s="279"/>
      <c r="DOB251" s="211"/>
      <c r="DOC251" s="211"/>
      <c r="DOD251" s="286"/>
      <c r="DOE251" s="286"/>
      <c r="DOF251" s="280"/>
      <c r="DOG251" s="281"/>
      <c r="DOH251" s="282"/>
      <c r="DOI251" s="242"/>
      <c r="DOJ251" s="222"/>
      <c r="DOL251" s="118"/>
      <c r="DOM251" s="8"/>
      <c r="DON251" s="281"/>
      <c r="DOO251" s="78"/>
      <c r="DOP251" s="151"/>
      <c r="DOQ251" s="278"/>
      <c r="DOR251" s="266"/>
      <c r="DOS251" s="279"/>
      <c r="DOT251" s="211"/>
      <c r="DOU251" s="211"/>
      <c r="DOV251" s="286"/>
      <c r="DOW251" s="286"/>
      <c r="DOX251" s="280"/>
      <c r="DOY251" s="281"/>
      <c r="DOZ251" s="282"/>
      <c r="DPA251" s="242"/>
      <c r="DPB251" s="222"/>
      <c r="DPD251" s="118"/>
      <c r="DPE251" s="8"/>
      <c r="DPF251" s="281"/>
      <c r="DPG251" s="78"/>
      <c r="DPH251" s="151"/>
      <c r="DPI251" s="278"/>
      <c r="DPJ251" s="266"/>
      <c r="DPK251" s="279"/>
      <c r="DPL251" s="211"/>
      <c r="DPM251" s="211"/>
      <c r="DPN251" s="286"/>
      <c r="DPO251" s="286"/>
      <c r="DPP251" s="280"/>
      <c r="DPQ251" s="281"/>
      <c r="DPR251" s="282"/>
      <c r="DPS251" s="242"/>
      <c r="DPT251" s="222"/>
      <c r="DPV251" s="118"/>
      <c r="DPW251" s="8"/>
      <c r="DPX251" s="281"/>
      <c r="DPY251" s="78"/>
      <c r="DPZ251" s="151"/>
      <c r="DQA251" s="278"/>
      <c r="DQB251" s="266"/>
      <c r="DQC251" s="279"/>
      <c r="DQD251" s="211"/>
      <c r="DQE251" s="211"/>
      <c r="DQF251" s="286"/>
      <c r="DQG251" s="286"/>
      <c r="DQH251" s="280"/>
      <c r="DQI251" s="281"/>
      <c r="DQJ251" s="282"/>
      <c r="DQK251" s="242"/>
      <c r="DQL251" s="222"/>
      <c r="DQN251" s="118"/>
      <c r="DQO251" s="8"/>
      <c r="DQP251" s="281"/>
      <c r="DQQ251" s="78"/>
      <c r="DQR251" s="151"/>
      <c r="DQS251" s="278"/>
      <c r="DQT251" s="266"/>
      <c r="DQU251" s="279"/>
      <c r="DQV251" s="211"/>
      <c r="DQW251" s="211"/>
      <c r="DQX251" s="286"/>
      <c r="DQY251" s="286"/>
      <c r="DQZ251" s="280"/>
      <c r="DRA251" s="281"/>
      <c r="DRB251" s="282"/>
      <c r="DRC251" s="242"/>
      <c r="DRD251" s="222"/>
      <c r="DRF251" s="118"/>
      <c r="DRG251" s="8"/>
      <c r="DRH251" s="281"/>
      <c r="DRI251" s="78"/>
      <c r="DRJ251" s="151"/>
      <c r="DRK251" s="278"/>
      <c r="DRL251" s="266"/>
      <c r="DRM251" s="279"/>
      <c r="DRN251" s="211"/>
      <c r="DRO251" s="211"/>
      <c r="DRP251" s="286"/>
      <c r="DRQ251" s="286"/>
      <c r="DRR251" s="280"/>
      <c r="DRS251" s="281"/>
      <c r="DRT251" s="282"/>
      <c r="DRU251" s="242"/>
      <c r="DRV251" s="222"/>
      <c r="DRX251" s="118"/>
      <c r="DRY251" s="8"/>
      <c r="DRZ251" s="281"/>
      <c r="DSA251" s="78"/>
      <c r="DSB251" s="151"/>
      <c r="DSC251" s="278"/>
      <c r="DSD251" s="266"/>
      <c r="DSE251" s="279"/>
      <c r="DSF251" s="211"/>
      <c r="DSG251" s="211"/>
      <c r="DSH251" s="286"/>
      <c r="DSI251" s="286"/>
      <c r="DSJ251" s="280"/>
      <c r="DSK251" s="281"/>
      <c r="DSL251" s="282"/>
      <c r="DSM251" s="242"/>
      <c r="DSN251" s="222"/>
      <c r="DSP251" s="118"/>
      <c r="DSQ251" s="8"/>
      <c r="DSR251" s="281"/>
      <c r="DSS251" s="78"/>
      <c r="DST251" s="151"/>
      <c r="DSU251" s="278"/>
      <c r="DSV251" s="266"/>
      <c r="DSW251" s="279"/>
      <c r="DSX251" s="211"/>
      <c r="DSY251" s="211"/>
      <c r="DSZ251" s="286"/>
      <c r="DTA251" s="286"/>
      <c r="DTB251" s="280"/>
      <c r="DTC251" s="281"/>
      <c r="DTD251" s="282"/>
      <c r="DTE251" s="242"/>
      <c r="DTF251" s="222"/>
      <c r="DTH251" s="118"/>
      <c r="DTI251" s="8"/>
      <c r="DTJ251" s="281"/>
      <c r="DTK251" s="78"/>
      <c r="DTL251" s="151"/>
      <c r="DTM251" s="278"/>
      <c r="DTN251" s="266"/>
      <c r="DTO251" s="279"/>
      <c r="DTP251" s="211"/>
      <c r="DTQ251" s="211"/>
      <c r="DTR251" s="286"/>
      <c r="DTS251" s="286"/>
      <c r="DTT251" s="280"/>
      <c r="DTU251" s="281"/>
      <c r="DTV251" s="282"/>
      <c r="DTW251" s="242"/>
      <c r="DTX251" s="222"/>
      <c r="DTZ251" s="118"/>
      <c r="DUA251" s="8"/>
      <c r="DUB251" s="281"/>
      <c r="DUC251" s="78"/>
      <c r="DUD251" s="151"/>
      <c r="DUE251" s="278"/>
      <c r="DUF251" s="266"/>
      <c r="DUG251" s="279"/>
      <c r="DUH251" s="211"/>
      <c r="DUI251" s="211"/>
      <c r="DUJ251" s="286"/>
      <c r="DUK251" s="286"/>
      <c r="DUL251" s="280"/>
      <c r="DUM251" s="281"/>
      <c r="DUN251" s="282"/>
      <c r="DUO251" s="242"/>
      <c r="DUP251" s="222"/>
      <c r="DUR251" s="118"/>
      <c r="DUS251" s="8"/>
      <c r="DUT251" s="281"/>
      <c r="DUU251" s="78"/>
      <c r="DUV251" s="151"/>
      <c r="DUW251" s="278"/>
      <c r="DUX251" s="266"/>
      <c r="DUY251" s="279"/>
      <c r="DUZ251" s="211"/>
      <c r="DVA251" s="211"/>
      <c r="DVB251" s="286"/>
      <c r="DVC251" s="286"/>
      <c r="DVD251" s="280"/>
      <c r="DVE251" s="281"/>
      <c r="DVF251" s="282"/>
      <c r="DVG251" s="242"/>
      <c r="DVH251" s="222"/>
      <c r="DVJ251" s="118"/>
      <c r="DVK251" s="8"/>
      <c r="DVL251" s="281"/>
      <c r="DVM251" s="78"/>
      <c r="DVN251" s="151"/>
      <c r="DVO251" s="278"/>
      <c r="DVP251" s="266"/>
      <c r="DVQ251" s="279"/>
      <c r="DVR251" s="211"/>
      <c r="DVS251" s="211"/>
      <c r="DVT251" s="286"/>
      <c r="DVU251" s="286"/>
      <c r="DVV251" s="280"/>
      <c r="DVW251" s="281"/>
      <c r="DVX251" s="282"/>
      <c r="DVY251" s="242"/>
      <c r="DVZ251" s="222"/>
      <c r="DWB251" s="118"/>
      <c r="DWC251" s="8"/>
      <c r="DWD251" s="281"/>
      <c r="DWE251" s="78"/>
      <c r="DWF251" s="151"/>
      <c r="DWG251" s="278"/>
      <c r="DWH251" s="266"/>
      <c r="DWI251" s="279"/>
      <c r="DWJ251" s="211"/>
      <c r="DWK251" s="211"/>
      <c r="DWL251" s="286"/>
      <c r="DWM251" s="286"/>
      <c r="DWN251" s="280"/>
      <c r="DWO251" s="281"/>
      <c r="DWP251" s="282"/>
      <c r="DWQ251" s="242"/>
      <c r="DWR251" s="222"/>
      <c r="DWT251" s="118"/>
      <c r="DWU251" s="8"/>
      <c r="DWV251" s="281"/>
      <c r="DWW251" s="78"/>
      <c r="DWX251" s="151"/>
      <c r="DWY251" s="278"/>
      <c r="DWZ251" s="266"/>
      <c r="DXA251" s="279"/>
      <c r="DXB251" s="211"/>
      <c r="DXC251" s="211"/>
      <c r="DXD251" s="286"/>
      <c r="DXE251" s="286"/>
      <c r="DXF251" s="280"/>
      <c r="DXG251" s="281"/>
      <c r="DXH251" s="282"/>
      <c r="DXI251" s="242"/>
      <c r="DXJ251" s="222"/>
      <c r="DXL251" s="118"/>
      <c r="DXM251" s="8"/>
      <c r="DXN251" s="281"/>
      <c r="DXO251" s="78"/>
      <c r="DXP251" s="151"/>
      <c r="DXQ251" s="278"/>
      <c r="DXR251" s="266"/>
      <c r="DXS251" s="279"/>
      <c r="DXT251" s="211"/>
      <c r="DXU251" s="211"/>
      <c r="DXV251" s="286"/>
      <c r="DXW251" s="286"/>
      <c r="DXX251" s="280"/>
      <c r="DXY251" s="281"/>
      <c r="DXZ251" s="282"/>
      <c r="DYA251" s="242"/>
      <c r="DYB251" s="222"/>
      <c r="DYD251" s="118"/>
      <c r="DYE251" s="8"/>
      <c r="DYF251" s="281"/>
      <c r="DYG251" s="78"/>
      <c r="DYH251" s="151"/>
      <c r="DYI251" s="278"/>
      <c r="DYJ251" s="266"/>
      <c r="DYK251" s="279"/>
      <c r="DYL251" s="211"/>
      <c r="DYM251" s="211"/>
      <c r="DYN251" s="286"/>
      <c r="DYO251" s="286"/>
      <c r="DYP251" s="280"/>
      <c r="DYQ251" s="281"/>
      <c r="DYR251" s="282"/>
      <c r="DYS251" s="242"/>
      <c r="DYT251" s="222"/>
      <c r="DYV251" s="118"/>
      <c r="DYW251" s="8"/>
      <c r="DYX251" s="281"/>
      <c r="DYY251" s="78"/>
      <c r="DYZ251" s="151"/>
      <c r="DZA251" s="278"/>
      <c r="DZB251" s="266"/>
      <c r="DZC251" s="279"/>
      <c r="DZD251" s="211"/>
      <c r="DZE251" s="211"/>
      <c r="DZF251" s="286"/>
      <c r="DZG251" s="286"/>
      <c r="DZH251" s="280"/>
      <c r="DZI251" s="281"/>
      <c r="DZJ251" s="282"/>
      <c r="DZK251" s="242"/>
      <c r="DZL251" s="222"/>
      <c r="DZN251" s="118"/>
      <c r="DZO251" s="8"/>
      <c r="DZP251" s="281"/>
      <c r="DZQ251" s="78"/>
      <c r="DZR251" s="151"/>
      <c r="DZS251" s="278"/>
      <c r="DZT251" s="266"/>
      <c r="DZU251" s="279"/>
      <c r="DZV251" s="211"/>
      <c r="DZW251" s="211"/>
      <c r="DZX251" s="286"/>
      <c r="DZY251" s="286"/>
      <c r="DZZ251" s="280"/>
      <c r="EAA251" s="281"/>
      <c r="EAB251" s="282"/>
      <c r="EAC251" s="242"/>
      <c r="EAD251" s="222"/>
      <c r="EAF251" s="118"/>
      <c r="EAG251" s="8"/>
      <c r="EAH251" s="281"/>
      <c r="EAI251" s="78"/>
      <c r="EAJ251" s="151"/>
      <c r="EAK251" s="278"/>
      <c r="EAL251" s="266"/>
      <c r="EAM251" s="279"/>
      <c r="EAN251" s="211"/>
      <c r="EAO251" s="211"/>
      <c r="EAP251" s="286"/>
      <c r="EAQ251" s="286"/>
      <c r="EAR251" s="280"/>
      <c r="EAS251" s="281"/>
      <c r="EAT251" s="282"/>
      <c r="EAU251" s="242"/>
      <c r="EAV251" s="222"/>
      <c r="EAX251" s="118"/>
      <c r="EAY251" s="8"/>
      <c r="EAZ251" s="281"/>
      <c r="EBA251" s="78"/>
      <c r="EBB251" s="151"/>
      <c r="EBC251" s="278"/>
      <c r="EBD251" s="266"/>
      <c r="EBE251" s="279"/>
      <c r="EBF251" s="211"/>
      <c r="EBG251" s="211"/>
      <c r="EBH251" s="286"/>
      <c r="EBI251" s="286"/>
      <c r="EBJ251" s="280"/>
      <c r="EBK251" s="281"/>
      <c r="EBL251" s="282"/>
      <c r="EBM251" s="242"/>
      <c r="EBN251" s="222"/>
      <c r="EBP251" s="118"/>
      <c r="EBQ251" s="8"/>
      <c r="EBR251" s="281"/>
      <c r="EBS251" s="78"/>
      <c r="EBT251" s="151"/>
      <c r="EBU251" s="278"/>
      <c r="EBV251" s="266"/>
      <c r="EBW251" s="279"/>
      <c r="EBX251" s="211"/>
      <c r="EBY251" s="211"/>
      <c r="EBZ251" s="286"/>
      <c r="ECA251" s="286"/>
      <c r="ECB251" s="280"/>
      <c r="ECC251" s="281"/>
      <c r="ECD251" s="282"/>
      <c r="ECE251" s="242"/>
      <c r="ECF251" s="222"/>
      <c r="ECH251" s="118"/>
      <c r="ECI251" s="8"/>
      <c r="ECJ251" s="281"/>
      <c r="ECK251" s="78"/>
      <c r="ECL251" s="151"/>
      <c r="ECM251" s="278"/>
      <c r="ECN251" s="266"/>
      <c r="ECO251" s="279"/>
      <c r="ECP251" s="211"/>
      <c r="ECQ251" s="211"/>
      <c r="ECR251" s="286"/>
      <c r="ECS251" s="286"/>
      <c r="ECT251" s="280"/>
      <c r="ECU251" s="281"/>
      <c r="ECV251" s="282"/>
      <c r="ECW251" s="242"/>
      <c r="ECX251" s="222"/>
      <c r="ECZ251" s="118"/>
      <c r="EDA251" s="8"/>
      <c r="EDB251" s="281"/>
      <c r="EDC251" s="78"/>
      <c r="EDD251" s="151"/>
      <c r="EDE251" s="278"/>
      <c r="EDF251" s="266"/>
      <c r="EDG251" s="279"/>
      <c r="EDH251" s="211"/>
      <c r="EDI251" s="211"/>
      <c r="EDJ251" s="286"/>
      <c r="EDK251" s="286"/>
      <c r="EDL251" s="280"/>
      <c r="EDM251" s="281"/>
      <c r="EDN251" s="282"/>
      <c r="EDO251" s="242"/>
      <c r="EDP251" s="222"/>
      <c r="EDR251" s="118"/>
      <c r="EDS251" s="8"/>
      <c r="EDT251" s="281"/>
      <c r="EDU251" s="78"/>
      <c r="EDV251" s="151"/>
      <c r="EDW251" s="278"/>
      <c r="EDX251" s="266"/>
      <c r="EDY251" s="279"/>
      <c r="EDZ251" s="211"/>
      <c r="EEA251" s="211"/>
      <c r="EEB251" s="286"/>
      <c r="EEC251" s="286"/>
      <c r="EED251" s="280"/>
      <c r="EEE251" s="281"/>
      <c r="EEF251" s="282"/>
      <c r="EEG251" s="242"/>
      <c r="EEH251" s="222"/>
      <c r="EEJ251" s="118"/>
      <c r="EEK251" s="8"/>
      <c r="EEL251" s="281"/>
      <c r="EEM251" s="78"/>
      <c r="EEN251" s="151"/>
      <c r="EEO251" s="278"/>
      <c r="EEP251" s="266"/>
      <c r="EEQ251" s="279"/>
      <c r="EER251" s="211"/>
      <c r="EES251" s="211"/>
      <c r="EET251" s="286"/>
      <c r="EEU251" s="286"/>
      <c r="EEV251" s="280"/>
      <c r="EEW251" s="281"/>
      <c r="EEX251" s="282"/>
      <c r="EEY251" s="242"/>
      <c r="EEZ251" s="222"/>
      <c r="EFB251" s="118"/>
      <c r="EFC251" s="8"/>
      <c r="EFD251" s="281"/>
      <c r="EFE251" s="78"/>
      <c r="EFF251" s="151"/>
      <c r="EFG251" s="278"/>
      <c r="EFH251" s="266"/>
      <c r="EFI251" s="279"/>
      <c r="EFJ251" s="211"/>
      <c r="EFK251" s="211"/>
      <c r="EFL251" s="286"/>
      <c r="EFM251" s="286"/>
      <c r="EFN251" s="280"/>
      <c r="EFO251" s="281"/>
      <c r="EFP251" s="282"/>
      <c r="EFQ251" s="242"/>
      <c r="EFR251" s="222"/>
      <c r="EFT251" s="118"/>
      <c r="EFU251" s="8"/>
      <c r="EFV251" s="281"/>
      <c r="EFW251" s="78"/>
      <c r="EFX251" s="151"/>
      <c r="EFY251" s="278"/>
      <c r="EFZ251" s="266"/>
      <c r="EGA251" s="279"/>
      <c r="EGB251" s="211"/>
      <c r="EGC251" s="211"/>
      <c r="EGD251" s="286"/>
      <c r="EGE251" s="286"/>
      <c r="EGF251" s="280"/>
      <c r="EGG251" s="281"/>
      <c r="EGH251" s="282"/>
      <c r="EGI251" s="242"/>
      <c r="EGJ251" s="222"/>
      <c r="EGL251" s="118"/>
      <c r="EGM251" s="8"/>
      <c r="EGN251" s="281"/>
      <c r="EGO251" s="78"/>
      <c r="EGP251" s="151"/>
      <c r="EGQ251" s="278"/>
      <c r="EGR251" s="266"/>
      <c r="EGS251" s="279"/>
      <c r="EGT251" s="211"/>
      <c r="EGU251" s="211"/>
      <c r="EGV251" s="286"/>
      <c r="EGW251" s="286"/>
      <c r="EGX251" s="280"/>
      <c r="EGY251" s="281"/>
      <c r="EGZ251" s="282"/>
      <c r="EHA251" s="242"/>
      <c r="EHB251" s="222"/>
      <c r="EHD251" s="118"/>
      <c r="EHE251" s="8"/>
      <c r="EHF251" s="281"/>
      <c r="EHG251" s="78"/>
      <c r="EHH251" s="151"/>
      <c r="EHI251" s="278"/>
      <c r="EHJ251" s="266"/>
      <c r="EHK251" s="279"/>
      <c r="EHL251" s="211"/>
      <c r="EHM251" s="211"/>
      <c r="EHN251" s="286"/>
      <c r="EHO251" s="286"/>
      <c r="EHP251" s="280"/>
      <c r="EHQ251" s="281"/>
      <c r="EHR251" s="282"/>
      <c r="EHS251" s="242"/>
      <c r="EHT251" s="222"/>
      <c r="EHV251" s="118"/>
      <c r="EHW251" s="8"/>
      <c r="EHX251" s="281"/>
      <c r="EHY251" s="78"/>
      <c r="EHZ251" s="151"/>
      <c r="EIA251" s="278"/>
      <c r="EIB251" s="266"/>
      <c r="EIC251" s="279"/>
      <c r="EID251" s="211"/>
      <c r="EIE251" s="211"/>
      <c r="EIF251" s="286"/>
      <c r="EIG251" s="286"/>
      <c r="EIH251" s="280"/>
      <c r="EII251" s="281"/>
      <c r="EIJ251" s="282"/>
      <c r="EIK251" s="242"/>
      <c r="EIL251" s="222"/>
      <c r="EIN251" s="118"/>
      <c r="EIO251" s="8"/>
      <c r="EIP251" s="281"/>
      <c r="EIQ251" s="78"/>
      <c r="EIR251" s="151"/>
      <c r="EIS251" s="278"/>
      <c r="EIT251" s="266"/>
      <c r="EIU251" s="279"/>
      <c r="EIV251" s="211"/>
      <c r="EIW251" s="211"/>
      <c r="EIX251" s="286"/>
      <c r="EIY251" s="286"/>
      <c r="EIZ251" s="280"/>
      <c r="EJA251" s="281"/>
      <c r="EJB251" s="282"/>
      <c r="EJC251" s="242"/>
      <c r="EJD251" s="222"/>
      <c r="EJF251" s="118"/>
      <c r="EJG251" s="8"/>
      <c r="EJH251" s="281"/>
      <c r="EJI251" s="78"/>
      <c r="EJJ251" s="151"/>
      <c r="EJK251" s="278"/>
      <c r="EJL251" s="266"/>
      <c r="EJM251" s="279"/>
      <c r="EJN251" s="211"/>
      <c r="EJO251" s="211"/>
      <c r="EJP251" s="286"/>
      <c r="EJQ251" s="286"/>
      <c r="EJR251" s="280"/>
      <c r="EJS251" s="281"/>
      <c r="EJT251" s="282"/>
      <c r="EJU251" s="242"/>
      <c r="EJV251" s="222"/>
      <c r="EJX251" s="118"/>
      <c r="EJY251" s="8"/>
      <c r="EJZ251" s="281"/>
      <c r="EKA251" s="78"/>
      <c r="EKB251" s="151"/>
      <c r="EKC251" s="278"/>
      <c r="EKD251" s="266"/>
      <c r="EKE251" s="279"/>
      <c r="EKF251" s="211"/>
      <c r="EKG251" s="211"/>
      <c r="EKH251" s="286"/>
      <c r="EKI251" s="286"/>
      <c r="EKJ251" s="280"/>
      <c r="EKK251" s="281"/>
      <c r="EKL251" s="282"/>
      <c r="EKM251" s="242"/>
      <c r="EKN251" s="222"/>
      <c r="EKP251" s="118"/>
      <c r="EKQ251" s="8"/>
      <c r="EKR251" s="281"/>
      <c r="EKS251" s="78"/>
      <c r="EKT251" s="151"/>
      <c r="EKU251" s="278"/>
      <c r="EKV251" s="266"/>
      <c r="EKW251" s="279"/>
      <c r="EKX251" s="211"/>
      <c r="EKY251" s="211"/>
      <c r="EKZ251" s="286"/>
      <c r="ELA251" s="286"/>
      <c r="ELB251" s="280"/>
      <c r="ELC251" s="281"/>
      <c r="ELD251" s="282"/>
      <c r="ELE251" s="242"/>
      <c r="ELF251" s="222"/>
      <c r="ELH251" s="118"/>
      <c r="ELI251" s="8"/>
      <c r="ELJ251" s="281"/>
      <c r="ELK251" s="78"/>
      <c r="ELL251" s="151"/>
      <c r="ELM251" s="278"/>
      <c r="ELN251" s="266"/>
      <c r="ELO251" s="279"/>
      <c r="ELP251" s="211"/>
      <c r="ELQ251" s="211"/>
      <c r="ELR251" s="286"/>
      <c r="ELS251" s="286"/>
      <c r="ELT251" s="280"/>
      <c r="ELU251" s="281"/>
      <c r="ELV251" s="282"/>
      <c r="ELW251" s="242"/>
      <c r="ELX251" s="222"/>
      <c r="ELZ251" s="118"/>
      <c r="EMA251" s="8"/>
      <c r="EMB251" s="281"/>
      <c r="EMC251" s="78"/>
      <c r="EMD251" s="151"/>
      <c r="EME251" s="278"/>
      <c r="EMF251" s="266"/>
      <c r="EMG251" s="279"/>
      <c r="EMH251" s="211"/>
      <c r="EMI251" s="211"/>
      <c r="EMJ251" s="286"/>
      <c r="EMK251" s="286"/>
      <c r="EML251" s="280"/>
      <c r="EMM251" s="281"/>
      <c r="EMN251" s="282"/>
      <c r="EMO251" s="242"/>
      <c r="EMP251" s="222"/>
      <c r="EMR251" s="118"/>
      <c r="EMS251" s="8"/>
      <c r="EMT251" s="281"/>
      <c r="EMU251" s="78"/>
      <c r="EMV251" s="151"/>
      <c r="EMW251" s="278"/>
      <c r="EMX251" s="266"/>
      <c r="EMY251" s="279"/>
      <c r="EMZ251" s="211"/>
      <c r="ENA251" s="211"/>
      <c r="ENB251" s="286"/>
      <c r="ENC251" s="286"/>
      <c r="END251" s="280"/>
      <c r="ENE251" s="281"/>
      <c r="ENF251" s="282"/>
      <c r="ENG251" s="242"/>
      <c r="ENH251" s="222"/>
      <c r="ENJ251" s="118"/>
      <c r="ENK251" s="8"/>
      <c r="ENL251" s="281"/>
      <c r="ENM251" s="78"/>
      <c r="ENN251" s="151"/>
      <c r="ENO251" s="278"/>
      <c r="ENP251" s="266"/>
      <c r="ENQ251" s="279"/>
      <c r="ENR251" s="211"/>
      <c r="ENS251" s="211"/>
      <c r="ENT251" s="286"/>
      <c r="ENU251" s="286"/>
      <c r="ENV251" s="280"/>
      <c r="ENW251" s="281"/>
      <c r="ENX251" s="282"/>
      <c r="ENY251" s="242"/>
      <c r="ENZ251" s="222"/>
      <c r="EOB251" s="118"/>
      <c r="EOC251" s="8"/>
      <c r="EOD251" s="281"/>
      <c r="EOE251" s="78"/>
      <c r="EOF251" s="151"/>
      <c r="EOG251" s="278"/>
      <c r="EOH251" s="266"/>
      <c r="EOI251" s="279"/>
      <c r="EOJ251" s="211"/>
      <c r="EOK251" s="211"/>
      <c r="EOL251" s="286"/>
      <c r="EOM251" s="286"/>
      <c r="EON251" s="280"/>
      <c r="EOO251" s="281"/>
      <c r="EOP251" s="282"/>
      <c r="EOQ251" s="242"/>
      <c r="EOR251" s="222"/>
      <c r="EOT251" s="118"/>
      <c r="EOU251" s="8"/>
      <c r="EOV251" s="281"/>
      <c r="EOW251" s="78"/>
      <c r="EOX251" s="151"/>
      <c r="EOY251" s="278"/>
      <c r="EOZ251" s="266"/>
      <c r="EPA251" s="279"/>
      <c r="EPB251" s="211"/>
      <c r="EPC251" s="211"/>
      <c r="EPD251" s="286"/>
      <c r="EPE251" s="286"/>
      <c r="EPF251" s="280"/>
      <c r="EPG251" s="281"/>
      <c r="EPH251" s="282"/>
      <c r="EPI251" s="242"/>
      <c r="EPJ251" s="222"/>
      <c r="EPL251" s="118"/>
      <c r="EPM251" s="8"/>
      <c r="EPN251" s="281"/>
      <c r="EPO251" s="78"/>
      <c r="EPP251" s="151"/>
      <c r="EPQ251" s="278"/>
      <c r="EPR251" s="266"/>
      <c r="EPS251" s="279"/>
      <c r="EPT251" s="211"/>
      <c r="EPU251" s="211"/>
      <c r="EPV251" s="286"/>
      <c r="EPW251" s="286"/>
      <c r="EPX251" s="280"/>
      <c r="EPY251" s="281"/>
      <c r="EPZ251" s="282"/>
      <c r="EQA251" s="242"/>
      <c r="EQB251" s="222"/>
      <c r="EQD251" s="118"/>
      <c r="EQE251" s="8"/>
      <c r="EQF251" s="281"/>
      <c r="EQG251" s="78"/>
      <c r="EQH251" s="151"/>
      <c r="EQI251" s="278"/>
      <c r="EQJ251" s="266"/>
      <c r="EQK251" s="279"/>
      <c r="EQL251" s="211"/>
      <c r="EQM251" s="211"/>
      <c r="EQN251" s="286"/>
      <c r="EQO251" s="286"/>
      <c r="EQP251" s="280"/>
      <c r="EQQ251" s="281"/>
      <c r="EQR251" s="282"/>
      <c r="EQS251" s="242"/>
      <c r="EQT251" s="222"/>
      <c r="EQV251" s="118"/>
      <c r="EQW251" s="8"/>
      <c r="EQX251" s="281"/>
      <c r="EQY251" s="78"/>
      <c r="EQZ251" s="151"/>
      <c r="ERA251" s="278"/>
      <c r="ERB251" s="266"/>
      <c r="ERC251" s="279"/>
      <c r="ERD251" s="211"/>
      <c r="ERE251" s="211"/>
      <c r="ERF251" s="286"/>
      <c r="ERG251" s="286"/>
      <c r="ERH251" s="280"/>
      <c r="ERI251" s="281"/>
      <c r="ERJ251" s="282"/>
      <c r="ERK251" s="242"/>
      <c r="ERL251" s="222"/>
      <c r="ERN251" s="118"/>
      <c r="ERO251" s="8"/>
      <c r="ERP251" s="281"/>
      <c r="ERQ251" s="78"/>
      <c r="ERR251" s="151"/>
      <c r="ERS251" s="278"/>
      <c r="ERT251" s="266"/>
      <c r="ERU251" s="279"/>
      <c r="ERV251" s="211"/>
      <c r="ERW251" s="211"/>
      <c r="ERX251" s="286"/>
      <c r="ERY251" s="286"/>
      <c r="ERZ251" s="280"/>
      <c r="ESA251" s="281"/>
      <c r="ESB251" s="282"/>
      <c r="ESC251" s="242"/>
      <c r="ESD251" s="222"/>
      <c r="ESF251" s="118"/>
      <c r="ESG251" s="8"/>
      <c r="ESH251" s="281"/>
      <c r="ESI251" s="78"/>
      <c r="ESJ251" s="151"/>
      <c r="ESK251" s="278"/>
      <c r="ESL251" s="266"/>
      <c r="ESM251" s="279"/>
      <c r="ESN251" s="211"/>
      <c r="ESO251" s="211"/>
      <c r="ESP251" s="286"/>
      <c r="ESQ251" s="286"/>
      <c r="ESR251" s="280"/>
      <c r="ESS251" s="281"/>
      <c r="EST251" s="282"/>
      <c r="ESU251" s="242"/>
      <c r="ESV251" s="222"/>
      <c r="ESX251" s="118"/>
      <c r="ESY251" s="8"/>
      <c r="ESZ251" s="281"/>
      <c r="ETA251" s="78"/>
      <c r="ETB251" s="151"/>
      <c r="ETC251" s="278"/>
      <c r="ETD251" s="266"/>
      <c r="ETE251" s="279"/>
      <c r="ETF251" s="211"/>
      <c r="ETG251" s="211"/>
      <c r="ETH251" s="286"/>
      <c r="ETI251" s="286"/>
      <c r="ETJ251" s="280"/>
      <c r="ETK251" s="281"/>
      <c r="ETL251" s="282"/>
      <c r="ETM251" s="242"/>
      <c r="ETN251" s="222"/>
      <c r="ETP251" s="118"/>
      <c r="ETQ251" s="8"/>
      <c r="ETR251" s="281"/>
      <c r="ETS251" s="78"/>
      <c r="ETT251" s="151"/>
      <c r="ETU251" s="278"/>
      <c r="ETV251" s="266"/>
      <c r="ETW251" s="279"/>
      <c r="ETX251" s="211"/>
      <c r="ETY251" s="211"/>
      <c r="ETZ251" s="286"/>
      <c r="EUA251" s="286"/>
      <c r="EUB251" s="280"/>
      <c r="EUC251" s="281"/>
      <c r="EUD251" s="282"/>
      <c r="EUE251" s="242"/>
      <c r="EUF251" s="222"/>
      <c r="EUH251" s="118"/>
      <c r="EUI251" s="8"/>
      <c r="EUJ251" s="281"/>
      <c r="EUK251" s="78"/>
      <c r="EUL251" s="151"/>
      <c r="EUM251" s="278"/>
      <c r="EUN251" s="266"/>
      <c r="EUO251" s="279"/>
      <c r="EUP251" s="211"/>
      <c r="EUQ251" s="211"/>
      <c r="EUR251" s="286"/>
      <c r="EUS251" s="286"/>
      <c r="EUT251" s="280"/>
      <c r="EUU251" s="281"/>
      <c r="EUV251" s="282"/>
      <c r="EUW251" s="242"/>
      <c r="EUX251" s="222"/>
      <c r="EUZ251" s="118"/>
      <c r="EVA251" s="8"/>
      <c r="EVB251" s="281"/>
      <c r="EVC251" s="78"/>
      <c r="EVD251" s="151"/>
      <c r="EVE251" s="278"/>
      <c r="EVF251" s="266"/>
      <c r="EVG251" s="279"/>
      <c r="EVH251" s="211"/>
      <c r="EVI251" s="211"/>
      <c r="EVJ251" s="286"/>
      <c r="EVK251" s="286"/>
      <c r="EVL251" s="280"/>
      <c r="EVM251" s="281"/>
      <c r="EVN251" s="282"/>
      <c r="EVO251" s="242"/>
      <c r="EVP251" s="222"/>
      <c r="EVR251" s="118"/>
      <c r="EVS251" s="8"/>
      <c r="EVT251" s="281"/>
      <c r="EVU251" s="78"/>
      <c r="EVV251" s="151"/>
      <c r="EVW251" s="278"/>
      <c r="EVX251" s="266"/>
      <c r="EVY251" s="279"/>
      <c r="EVZ251" s="211"/>
      <c r="EWA251" s="211"/>
      <c r="EWB251" s="286"/>
      <c r="EWC251" s="286"/>
      <c r="EWD251" s="280"/>
      <c r="EWE251" s="281"/>
      <c r="EWF251" s="282"/>
      <c r="EWG251" s="242"/>
      <c r="EWH251" s="222"/>
      <c r="EWJ251" s="118"/>
      <c r="EWK251" s="8"/>
      <c r="EWL251" s="281"/>
      <c r="EWM251" s="78"/>
      <c r="EWN251" s="151"/>
      <c r="EWO251" s="278"/>
      <c r="EWP251" s="266"/>
      <c r="EWQ251" s="279"/>
      <c r="EWR251" s="211"/>
      <c r="EWS251" s="211"/>
      <c r="EWT251" s="286"/>
      <c r="EWU251" s="286"/>
      <c r="EWV251" s="280"/>
      <c r="EWW251" s="281"/>
      <c r="EWX251" s="282"/>
      <c r="EWY251" s="242"/>
      <c r="EWZ251" s="222"/>
      <c r="EXB251" s="118"/>
      <c r="EXC251" s="8"/>
      <c r="EXD251" s="281"/>
      <c r="EXE251" s="78"/>
      <c r="EXF251" s="151"/>
      <c r="EXG251" s="278"/>
      <c r="EXH251" s="266"/>
      <c r="EXI251" s="279"/>
      <c r="EXJ251" s="211"/>
      <c r="EXK251" s="211"/>
      <c r="EXL251" s="286"/>
      <c r="EXM251" s="286"/>
      <c r="EXN251" s="280"/>
      <c r="EXO251" s="281"/>
      <c r="EXP251" s="282"/>
      <c r="EXQ251" s="242"/>
      <c r="EXR251" s="222"/>
      <c r="EXT251" s="118"/>
      <c r="EXU251" s="8"/>
      <c r="EXV251" s="281"/>
      <c r="EXW251" s="78"/>
      <c r="EXX251" s="151"/>
      <c r="EXY251" s="278"/>
      <c r="EXZ251" s="266"/>
      <c r="EYA251" s="279"/>
      <c r="EYB251" s="211"/>
      <c r="EYC251" s="211"/>
      <c r="EYD251" s="286"/>
      <c r="EYE251" s="286"/>
      <c r="EYF251" s="280"/>
      <c r="EYG251" s="281"/>
      <c r="EYH251" s="282"/>
      <c r="EYI251" s="242"/>
      <c r="EYJ251" s="222"/>
      <c r="EYL251" s="118"/>
      <c r="EYM251" s="8"/>
      <c r="EYN251" s="281"/>
      <c r="EYO251" s="78"/>
      <c r="EYP251" s="151"/>
      <c r="EYQ251" s="278"/>
      <c r="EYR251" s="266"/>
      <c r="EYS251" s="279"/>
      <c r="EYT251" s="211"/>
      <c r="EYU251" s="211"/>
      <c r="EYV251" s="286"/>
      <c r="EYW251" s="286"/>
      <c r="EYX251" s="280"/>
      <c r="EYY251" s="281"/>
      <c r="EYZ251" s="282"/>
      <c r="EZA251" s="242"/>
      <c r="EZB251" s="222"/>
      <c r="EZD251" s="118"/>
      <c r="EZE251" s="8"/>
      <c r="EZF251" s="281"/>
      <c r="EZG251" s="78"/>
      <c r="EZH251" s="151"/>
      <c r="EZI251" s="278"/>
      <c r="EZJ251" s="266"/>
      <c r="EZK251" s="279"/>
      <c r="EZL251" s="211"/>
      <c r="EZM251" s="211"/>
      <c r="EZN251" s="286"/>
      <c r="EZO251" s="286"/>
      <c r="EZP251" s="280"/>
      <c r="EZQ251" s="281"/>
      <c r="EZR251" s="282"/>
      <c r="EZS251" s="242"/>
      <c r="EZT251" s="222"/>
      <c r="EZV251" s="118"/>
      <c r="EZW251" s="8"/>
      <c r="EZX251" s="281"/>
      <c r="EZY251" s="78"/>
      <c r="EZZ251" s="151"/>
      <c r="FAA251" s="278"/>
      <c r="FAB251" s="266"/>
      <c r="FAC251" s="279"/>
      <c r="FAD251" s="211"/>
      <c r="FAE251" s="211"/>
      <c r="FAF251" s="286"/>
      <c r="FAG251" s="286"/>
      <c r="FAH251" s="280"/>
      <c r="FAI251" s="281"/>
      <c r="FAJ251" s="282"/>
      <c r="FAK251" s="242"/>
      <c r="FAL251" s="222"/>
      <c r="FAN251" s="118"/>
      <c r="FAO251" s="8"/>
      <c r="FAP251" s="281"/>
      <c r="FAQ251" s="78"/>
      <c r="FAR251" s="151"/>
      <c r="FAS251" s="278"/>
      <c r="FAT251" s="266"/>
      <c r="FAU251" s="279"/>
      <c r="FAV251" s="211"/>
      <c r="FAW251" s="211"/>
      <c r="FAX251" s="286"/>
      <c r="FAY251" s="286"/>
      <c r="FAZ251" s="280"/>
      <c r="FBA251" s="281"/>
      <c r="FBB251" s="282"/>
      <c r="FBC251" s="242"/>
      <c r="FBD251" s="222"/>
      <c r="FBF251" s="118"/>
      <c r="FBG251" s="8"/>
      <c r="FBH251" s="281"/>
      <c r="FBI251" s="78"/>
      <c r="FBJ251" s="151"/>
      <c r="FBK251" s="278"/>
      <c r="FBL251" s="266"/>
      <c r="FBM251" s="279"/>
      <c r="FBN251" s="211"/>
      <c r="FBO251" s="211"/>
      <c r="FBP251" s="286"/>
      <c r="FBQ251" s="286"/>
      <c r="FBR251" s="280"/>
      <c r="FBS251" s="281"/>
      <c r="FBT251" s="282"/>
      <c r="FBU251" s="242"/>
      <c r="FBV251" s="222"/>
      <c r="FBX251" s="118"/>
      <c r="FBY251" s="8"/>
      <c r="FBZ251" s="281"/>
      <c r="FCA251" s="78"/>
      <c r="FCB251" s="151"/>
      <c r="FCC251" s="278"/>
      <c r="FCD251" s="266"/>
      <c r="FCE251" s="279"/>
      <c r="FCF251" s="211"/>
      <c r="FCG251" s="211"/>
      <c r="FCH251" s="286"/>
      <c r="FCI251" s="286"/>
      <c r="FCJ251" s="280"/>
      <c r="FCK251" s="281"/>
      <c r="FCL251" s="282"/>
      <c r="FCM251" s="242"/>
      <c r="FCN251" s="222"/>
      <c r="FCP251" s="118"/>
      <c r="FCQ251" s="8"/>
      <c r="FCR251" s="281"/>
      <c r="FCS251" s="78"/>
      <c r="FCT251" s="151"/>
      <c r="FCU251" s="278"/>
      <c r="FCV251" s="266"/>
      <c r="FCW251" s="279"/>
      <c r="FCX251" s="211"/>
      <c r="FCY251" s="211"/>
      <c r="FCZ251" s="286"/>
      <c r="FDA251" s="286"/>
      <c r="FDB251" s="280"/>
      <c r="FDC251" s="281"/>
      <c r="FDD251" s="282"/>
      <c r="FDE251" s="242"/>
      <c r="FDF251" s="222"/>
      <c r="FDH251" s="118"/>
      <c r="FDI251" s="8"/>
      <c r="FDJ251" s="281"/>
      <c r="FDK251" s="78"/>
      <c r="FDL251" s="151"/>
      <c r="FDM251" s="278"/>
      <c r="FDN251" s="266"/>
      <c r="FDO251" s="279"/>
      <c r="FDP251" s="211"/>
      <c r="FDQ251" s="211"/>
      <c r="FDR251" s="286"/>
      <c r="FDS251" s="286"/>
      <c r="FDT251" s="280"/>
      <c r="FDU251" s="281"/>
      <c r="FDV251" s="282"/>
      <c r="FDW251" s="242"/>
      <c r="FDX251" s="222"/>
      <c r="FDZ251" s="118"/>
      <c r="FEA251" s="8"/>
      <c r="FEB251" s="281"/>
      <c r="FEC251" s="78"/>
      <c r="FED251" s="151"/>
      <c r="FEE251" s="278"/>
      <c r="FEF251" s="266"/>
      <c r="FEG251" s="279"/>
      <c r="FEH251" s="211"/>
      <c r="FEI251" s="211"/>
      <c r="FEJ251" s="286"/>
      <c r="FEK251" s="286"/>
      <c r="FEL251" s="280"/>
      <c r="FEM251" s="281"/>
      <c r="FEN251" s="282"/>
      <c r="FEO251" s="242"/>
      <c r="FEP251" s="222"/>
      <c r="FER251" s="118"/>
      <c r="FES251" s="8"/>
      <c r="FET251" s="281"/>
      <c r="FEU251" s="78"/>
      <c r="FEV251" s="151"/>
      <c r="FEW251" s="278"/>
      <c r="FEX251" s="266"/>
      <c r="FEY251" s="279"/>
      <c r="FEZ251" s="211"/>
      <c r="FFA251" s="211"/>
      <c r="FFB251" s="286"/>
      <c r="FFC251" s="286"/>
      <c r="FFD251" s="280"/>
      <c r="FFE251" s="281"/>
      <c r="FFF251" s="282"/>
      <c r="FFG251" s="242"/>
      <c r="FFH251" s="222"/>
      <c r="FFJ251" s="118"/>
      <c r="FFK251" s="8"/>
      <c r="FFL251" s="281"/>
      <c r="FFM251" s="78"/>
      <c r="FFN251" s="151"/>
      <c r="FFO251" s="278"/>
      <c r="FFP251" s="266"/>
      <c r="FFQ251" s="279"/>
      <c r="FFR251" s="211"/>
      <c r="FFS251" s="211"/>
      <c r="FFT251" s="286"/>
      <c r="FFU251" s="286"/>
      <c r="FFV251" s="280"/>
      <c r="FFW251" s="281"/>
      <c r="FFX251" s="282"/>
      <c r="FFY251" s="242"/>
      <c r="FFZ251" s="222"/>
      <c r="FGB251" s="118"/>
      <c r="FGC251" s="8"/>
      <c r="FGD251" s="281"/>
      <c r="FGE251" s="78"/>
      <c r="FGF251" s="151"/>
      <c r="FGG251" s="278"/>
      <c r="FGH251" s="266"/>
      <c r="FGI251" s="279"/>
      <c r="FGJ251" s="211"/>
      <c r="FGK251" s="211"/>
      <c r="FGL251" s="286"/>
      <c r="FGM251" s="286"/>
      <c r="FGN251" s="280"/>
      <c r="FGO251" s="281"/>
      <c r="FGP251" s="282"/>
      <c r="FGQ251" s="242"/>
      <c r="FGR251" s="222"/>
      <c r="FGT251" s="118"/>
      <c r="FGU251" s="8"/>
      <c r="FGV251" s="281"/>
      <c r="FGW251" s="78"/>
      <c r="FGX251" s="151"/>
      <c r="FGY251" s="278"/>
      <c r="FGZ251" s="266"/>
      <c r="FHA251" s="279"/>
      <c r="FHB251" s="211"/>
      <c r="FHC251" s="211"/>
      <c r="FHD251" s="286"/>
      <c r="FHE251" s="286"/>
      <c r="FHF251" s="280"/>
      <c r="FHG251" s="281"/>
      <c r="FHH251" s="282"/>
      <c r="FHI251" s="242"/>
      <c r="FHJ251" s="222"/>
      <c r="FHL251" s="118"/>
      <c r="FHM251" s="8"/>
      <c r="FHN251" s="281"/>
      <c r="FHO251" s="78"/>
      <c r="FHP251" s="151"/>
      <c r="FHQ251" s="278"/>
      <c r="FHR251" s="266"/>
      <c r="FHS251" s="279"/>
      <c r="FHT251" s="211"/>
      <c r="FHU251" s="211"/>
      <c r="FHV251" s="286"/>
      <c r="FHW251" s="286"/>
      <c r="FHX251" s="280"/>
      <c r="FHY251" s="281"/>
      <c r="FHZ251" s="282"/>
      <c r="FIA251" s="242"/>
      <c r="FIB251" s="222"/>
      <c r="FID251" s="118"/>
      <c r="FIE251" s="8"/>
      <c r="FIF251" s="281"/>
      <c r="FIG251" s="78"/>
      <c r="FIH251" s="151"/>
      <c r="FII251" s="278"/>
      <c r="FIJ251" s="266"/>
      <c r="FIK251" s="279"/>
      <c r="FIL251" s="211"/>
      <c r="FIM251" s="211"/>
      <c r="FIN251" s="286"/>
      <c r="FIO251" s="286"/>
      <c r="FIP251" s="280"/>
      <c r="FIQ251" s="281"/>
      <c r="FIR251" s="282"/>
      <c r="FIS251" s="242"/>
      <c r="FIT251" s="222"/>
      <c r="FIV251" s="118"/>
      <c r="FIW251" s="8"/>
      <c r="FIX251" s="281"/>
      <c r="FIY251" s="78"/>
      <c r="FIZ251" s="151"/>
      <c r="FJA251" s="278"/>
      <c r="FJB251" s="266"/>
      <c r="FJC251" s="279"/>
      <c r="FJD251" s="211"/>
      <c r="FJE251" s="211"/>
      <c r="FJF251" s="286"/>
      <c r="FJG251" s="286"/>
      <c r="FJH251" s="280"/>
      <c r="FJI251" s="281"/>
      <c r="FJJ251" s="282"/>
      <c r="FJK251" s="242"/>
      <c r="FJL251" s="222"/>
      <c r="FJN251" s="118"/>
      <c r="FJO251" s="8"/>
      <c r="FJP251" s="281"/>
      <c r="FJQ251" s="78"/>
      <c r="FJR251" s="151"/>
      <c r="FJS251" s="278"/>
      <c r="FJT251" s="266"/>
      <c r="FJU251" s="279"/>
      <c r="FJV251" s="211"/>
      <c r="FJW251" s="211"/>
      <c r="FJX251" s="286"/>
      <c r="FJY251" s="286"/>
      <c r="FJZ251" s="280"/>
      <c r="FKA251" s="281"/>
      <c r="FKB251" s="282"/>
      <c r="FKC251" s="242"/>
      <c r="FKD251" s="222"/>
      <c r="FKF251" s="118"/>
      <c r="FKG251" s="8"/>
      <c r="FKH251" s="281"/>
      <c r="FKI251" s="78"/>
      <c r="FKJ251" s="151"/>
      <c r="FKK251" s="278"/>
      <c r="FKL251" s="266"/>
      <c r="FKM251" s="279"/>
      <c r="FKN251" s="211"/>
      <c r="FKO251" s="211"/>
      <c r="FKP251" s="286"/>
      <c r="FKQ251" s="286"/>
      <c r="FKR251" s="280"/>
      <c r="FKS251" s="281"/>
      <c r="FKT251" s="282"/>
      <c r="FKU251" s="242"/>
      <c r="FKV251" s="222"/>
      <c r="FKX251" s="118"/>
      <c r="FKY251" s="8"/>
      <c r="FKZ251" s="281"/>
      <c r="FLA251" s="78"/>
      <c r="FLB251" s="151"/>
      <c r="FLC251" s="278"/>
      <c r="FLD251" s="266"/>
      <c r="FLE251" s="279"/>
      <c r="FLF251" s="211"/>
      <c r="FLG251" s="211"/>
      <c r="FLH251" s="286"/>
      <c r="FLI251" s="286"/>
      <c r="FLJ251" s="280"/>
      <c r="FLK251" s="281"/>
      <c r="FLL251" s="282"/>
      <c r="FLM251" s="242"/>
      <c r="FLN251" s="222"/>
      <c r="FLP251" s="118"/>
      <c r="FLQ251" s="8"/>
      <c r="FLR251" s="281"/>
      <c r="FLS251" s="78"/>
      <c r="FLT251" s="151"/>
      <c r="FLU251" s="278"/>
      <c r="FLV251" s="266"/>
      <c r="FLW251" s="279"/>
      <c r="FLX251" s="211"/>
      <c r="FLY251" s="211"/>
      <c r="FLZ251" s="286"/>
      <c r="FMA251" s="286"/>
      <c r="FMB251" s="280"/>
      <c r="FMC251" s="281"/>
      <c r="FMD251" s="282"/>
      <c r="FME251" s="242"/>
      <c r="FMF251" s="222"/>
      <c r="FMH251" s="118"/>
      <c r="FMI251" s="8"/>
      <c r="FMJ251" s="281"/>
      <c r="FMK251" s="78"/>
      <c r="FML251" s="151"/>
      <c r="FMM251" s="278"/>
      <c r="FMN251" s="266"/>
      <c r="FMO251" s="279"/>
      <c r="FMP251" s="211"/>
      <c r="FMQ251" s="211"/>
      <c r="FMR251" s="286"/>
      <c r="FMS251" s="286"/>
      <c r="FMT251" s="280"/>
      <c r="FMU251" s="281"/>
      <c r="FMV251" s="282"/>
      <c r="FMW251" s="242"/>
      <c r="FMX251" s="222"/>
      <c r="FMZ251" s="118"/>
      <c r="FNA251" s="8"/>
      <c r="FNB251" s="281"/>
      <c r="FNC251" s="78"/>
      <c r="FND251" s="151"/>
      <c r="FNE251" s="278"/>
      <c r="FNF251" s="266"/>
      <c r="FNG251" s="279"/>
      <c r="FNH251" s="211"/>
      <c r="FNI251" s="211"/>
      <c r="FNJ251" s="286"/>
      <c r="FNK251" s="286"/>
      <c r="FNL251" s="280"/>
      <c r="FNM251" s="281"/>
      <c r="FNN251" s="282"/>
      <c r="FNO251" s="242"/>
      <c r="FNP251" s="222"/>
      <c r="FNR251" s="118"/>
      <c r="FNS251" s="8"/>
      <c r="FNT251" s="281"/>
      <c r="FNU251" s="78"/>
      <c r="FNV251" s="151"/>
      <c r="FNW251" s="278"/>
      <c r="FNX251" s="266"/>
      <c r="FNY251" s="279"/>
      <c r="FNZ251" s="211"/>
      <c r="FOA251" s="211"/>
      <c r="FOB251" s="286"/>
      <c r="FOC251" s="286"/>
      <c r="FOD251" s="280"/>
      <c r="FOE251" s="281"/>
      <c r="FOF251" s="282"/>
      <c r="FOG251" s="242"/>
      <c r="FOH251" s="222"/>
      <c r="FOJ251" s="118"/>
      <c r="FOK251" s="8"/>
      <c r="FOL251" s="281"/>
      <c r="FOM251" s="78"/>
      <c r="FON251" s="151"/>
      <c r="FOO251" s="278"/>
      <c r="FOP251" s="266"/>
      <c r="FOQ251" s="279"/>
      <c r="FOR251" s="211"/>
      <c r="FOS251" s="211"/>
      <c r="FOT251" s="286"/>
      <c r="FOU251" s="286"/>
      <c r="FOV251" s="280"/>
      <c r="FOW251" s="281"/>
      <c r="FOX251" s="282"/>
      <c r="FOY251" s="242"/>
      <c r="FOZ251" s="222"/>
      <c r="FPB251" s="118"/>
      <c r="FPC251" s="8"/>
      <c r="FPD251" s="281"/>
      <c r="FPE251" s="78"/>
      <c r="FPF251" s="151"/>
      <c r="FPG251" s="278"/>
      <c r="FPH251" s="266"/>
      <c r="FPI251" s="279"/>
      <c r="FPJ251" s="211"/>
      <c r="FPK251" s="211"/>
      <c r="FPL251" s="286"/>
      <c r="FPM251" s="286"/>
      <c r="FPN251" s="280"/>
      <c r="FPO251" s="281"/>
      <c r="FPP251" s="282"/>
      <c r="FPQ251" s="242"/>
      <c r="FPR251" s="222"/>
      <c r="FPT251" s="118"/>
      <c r="FPU251" s="8"/>
      <c r="FPV251" s="281"/>
      <c r="FPW251" s="78"/>
      <c r="FPX251" s="151"/>
      <c r="FPY251" s="278"/>
      <c r="FPZ251" s="266"/>
      <c r="FQA251" s="279"/>
      <c r="FQB251" s="211"/>
      <c r="FQC251" s="211"/>
      <c r="FQD251" s="286"/>
      <c r="FQE251" s="286"/>
      <c r="FQF251" s="280"/>
      <c r="FQG251" s="281"/>
      <c r="FQH251" s="282"/>
      <c r="FQI251" s="242"/>
      <c r="FQJ251" s="222"/>
      <c r="FQL251" s="118"/>
      <c r="FQM251" s="8"/>
      <c r="FQN251" s="281"/>
      <c r="FQO251" s="78"/>
      <c r="FQP251" s="151"/>
      <c r="FQQ251" s="278"/>
      <c r="FQR251" s="266"/>
      <c r="FQS251" s="279"/>
      <c r="FQT251" s="211"/>
      <c r="FQU251" s="211"/>
      <c r="FQV251" s="286"/>
      <c r="FQW251" s="286"/>
      <c r="FQX251" s="280"/>
      <c r="FQY251" s="281"/>
      <c r="FQZ251" s="282"/>
      <c r="FRA251" s="242"/>
      <c r="FRB251" s="222"/>
      <c r="FRD251" s="118"/>
      <c r="FRE251" s="8"/>
      <c r="FRF251" s="281"/>
      <c r="FRG251" s="78"/>
      <c r="FRH251" s="151"/>
      <c r="FRI251" s="278"/>
      <c r="FRJ251" s="266"/>
      <c r="FRK251" s="279"/>
      <c r="FRL251" s="211"/>
      <c r="FRM251" s="211"/>
      <c r="FRN251" s="286"/>
      <c r="FRO251" s="286"/>
      <c r="FRP251" s="280"/>
      <c r="FRQ251" s="281"/>
      <c r="FRR251" s="282"/>
      <c r="FRS251" s="242"/>
      <c r="FRT251" s="222"/>
      <c r="FRV251" s="118"/>
      <c r="FRW251" s="8"/>
      <c r="FRX251" s="281"/>
      <c r="FRY251" s="78"/>
      <c r="FRZ251" s="151"/>
      <c r="FSA251" s="278"/>
      <c r="FSB251" s="266"/>
      <c r="FSC251" s="279"/>
      <c r="FSD251" s="211"/>
      <c r="FSE251" s="211"/>
      <c r="FSF251" s="286"/>
      <c r="FSG251" s="286"/>
      <c r="FSH251" s="280"/>
      <c r="FSI251" s="281"/>
      <c r="FSJ251" s="282"/>
      <c r="FSK251" s="242"/>
      <c r="FSL251" s="222"/>
      <c r="FSN251" s="118"/>
      <c r="FSO251" s="8"/>
      <c r="FSP251" s="281"/>
      <c r="FSQ251" s="78"/>
      <c r="FSR251" s="151"/>
      <c r="FSS251" s="278"/>
      <c r="FST251" s="266"/>
      <c r="FSU251" s="279"/>
      <c r="FSV251" s="211"/>
      <c r="FSW251" s="211"/>
      <c r="FSX251" s="286"/>
      <c r="FSY251" s="286"/>
      <c r="FSZ251" s="280"/>
      <c r="FTA251" s="281"/>
      <c r="FTB251" s="282"/>
      <c r="FTC251" s="242"/>
      <c r="FTD251" s="222"/>
      <c r="FTF251" s="118"/>
      <c r="FTG251" s="8"/>
      <c r="FTH251" s="281"/>
      <c r="FTI251" s="78"/>
      <c r="FTJ251" s="151"/>
      <c r="FTK251" s="278"/>
      <c r="FTL251" s="266"/>
      <c r="FTM251" s="279"/>
      <c r="FTN251" s="211"/>
      <c r="FTO251" s="211"/>
      <c r="FTP251" s="286"/>
      <c r="FTQ251" s="286"/>
      <c r="FTR251" s="280"/>
      <c r="FTS251" s="281"/>
      <c r="FTT251" s="282"/>
      <c r="FTU251" s="242"/>
      <c r="FTV251" s="222"/>
      <c r="FTX251" s="118"/>
      <c r="FTY251" s="8"/>
      <c r="FTZ251" s="281"/>
      <c r="FUA251" s="78"/>
      <c r="FUB251" s="151"/>
      <c r="FUC251" s="278"/>
      <c r="FUD251" s="266"/>
      <c r="FUE251" s="279"/>
      <c r="FUF251" s="211"/>
      <c r="FUG251" s="211"/>
      <c r="FUH251" s="286"/>
      <c r="FUI251" s="286"/>
      <c r="FUJ251" s="280"/>
      <c r="FUK251" s="281"/>
      <c r="FUL251" s="282"/>
      <c r="FUM251" s="242"/>
      <c r="FUN251" s="222"/>
      <c r="FUP251" s="118"/>
      <c r="FUQ251" s="8"/>
      <c r="FUR251" s="281"/>
      <c r="FUS251" s="78"/>
      <c r="FUT251" s="151"/>
      <c r="FUU251" s="278"/>
      <c r="FUV251" s="266"/>
      <c r="FUW251" s="279"/>
      <c r="FUX251" s="211"/>
      <c r="FUY251" s="211"/>
      <c r="FUZ251" s="286"/>
      <c r="FVA251" s="286"/>
      <c r="FVB251" s="280"/>
      <c r="FVC251" s="281"/>
      <c r="FVD251" s="282"/>
      <c r="FVE251" s="242"/>
      <c r="FVF251" s="222"/>
      <c r="FVH251" s="118"/>
      <c r="FVI251" s="8"/>
      <c r="FVJ251" s="281"/>
      <c r="FVK251" s="78"/>
      <c r="FVL251" s="151"/>
      <c r="FVM251" s="278"/>
      <c r="FVN251" s="266"/>
      <c r="FVO251" s="279"/>
      <c r="FVP251" s="211"/>
      <c r="FVQ251" s="211"/>
      <c r="FVR251" s="286"/>
      <c r="FVS251" s="286"/>
      <c r="FVT251" s="280"/>
      <c r="FVU251" s="281"/>
      <c r="FVV251" s="282"/>
      <c r="FVW251" s="242"/>
      <c r="FVX251" s="222"/>
      <c r="FVZ251" s="118"/>
      <c r="FWA251" s="8"/>
      <c r="FWB251" s="281"/>
      <c r="FWC251" s="78"/>
      <c r="FWD251" s="151"/>
      <c r="FWE251" s="278"/>
      <c r="FWF251" s="266"/>
      <c r="FWG251" s="279"/>
      <c r="FWH251" s="211"/>
      <c r="FWI251" s="211"/>
      <c r="FWJ251" s="286"/>
      <c r="FWK251" s="286"/>
      <c r="FWL251" s="280"/>
      <c r="FWM251" s="281"/>
      <c r="FWN251" s="282"/>
      <c r="FWO251" s="242"/>
      <c r="FWP251" s="222"/>
      <c r="FWR251" s="118"/>
      <c r="FWS251" s="8"/>
      <c r="FWT251" s="281"/>
      <c r="FWU251" s="78"/>
      <c r="FWV251" s="151"/>
      <c r="FWW251" s="278"/>
      <c r="FWX251" s="266"/>
      <c r="FWY251" s="279"/>
      <c r="FWZ251" s="211"/>
      <c r="FXA251" s="211"/>
      <c r="FXB251" s="286"/>
      <c r="FXC251" s="286"/>
      <c r="FXD251" s="280"/>
      <c r="FXE251" s="281"/>
      <c r="FXF251" s="282"/>
      <c r="FXG251" s="242"/>
      <c r="FXH251" s="222"/>
      <c r="FXJ251" s="118"/>
      <c r="FXK251" s="8"/>
      <c r="FXL251" s="281"/>
      <c r="FXM251" s="78"/>
      <c r="FXN251" s="151"/>
      <c r="FXO251" s="278"/>
      <c r="FXP251" s="266"/>
      <c r="FXQ251" s="279"/>
      <c r="FXR251" s="211"/>
      <c r="FXS251" s="211"/>
      <c r="FXT251" s="286"/>
      <c r="FXU251" s="286"/>
      <c r="FXV251" s="280"/>
      <c r="FXW251" s="281"/>
      <c r="FXX251" s="282"/>
      <c r="FXY251" s="242"/>
      <c r="FXZ251" s="222"/>
      <c r="FYB251" s="118"/>
      <c r="FYC251" s="8"/>
      <c r="FYD251" s="281"/>
      <c r="FYE251" s="78"/>
      <c r="FYF251" s="151"/>
      <c r="FYG251" s="278"/>
      <c r="FYH251" s="266"/>
      <c r="FYI251" s="279"/>
      <c r="FYJ251" s="211"/>
      <c r="FYK251" s="211"/>
      <c r="FYL251" s="286"/>
      <c r="FYM251" s="286"/>
      <c r="FYN251" s="280"/>
      <c r="FYO251" s="281"/>
      <c r="FYP251" s="282"/>
      <c r="FYQ251" s="242"/>
      <c r="FYR251" s="222"/>
      <c r="FYT251" s="118"/>
      <c r="FYU251" s="8"/>
      <c r="FYV251" s="281"/>
      <c r="FYW251" s="78"/>
      <c r="FYX251" s="151"/>
      <c r="FYY251" s="278"/>
      <c r="FYZ251" s="266"/>
      <c r="FZA251" s="279"/>
      <c r="FZB251" s="211"/>
      <c r="FZC251" s="211"/>
      <c r="FZD251" s="286"/>
      <c r="FZE251" s="286"/>
      <c r="FZF251" s="280"/>
      <c r="FZG251" s="281"/>
      <c r="FZH251" s="282"/>
      <c r="FZI251" s="242"/>
      <c r="FZJ251" s="222"/>
      <c r="FZL251" s="118"/>
      <c r="FZM251" s="8"/>
      <c r="FZN251" s="281"/>
      <c r="FZO251" s="78"/>
      <c r="FZP251" s="151"/>
      <c r="FZQ251" s="278"/>
      <c r="FZR251" s="266"/>
      <c r="FZS251" s="279"/>
      <c r="FZT251" s="211"/>
      <c r="FZU251" s="211"/>
      <c r="FZV251" s="286"/>
      <c r="FZW251" s="286"/>
      <c r="FZX251" s="280"/>
      <c r="FZY251" s="281"/>
      <c r="FZZ251" s="282"/>
      <c r="GAA251" s="242"/>
      <c r="GAB251" s="222"/>
      <c r="GAD251" s="118"/>
      <c r="GAE251" s="8"/>
      <c r="GAF251" s="281"/>
      <c r="GAG251" s="78"/>
      <c r="GAH251" s="151"/>
      <c r="GAI251" s="278"/>
      <c r="GAJ251" s="266"/>
      <c r="GAK251" s="279"/>
      <c r="GAL251" s="211"/>
      <c r="GAM251" s="211"/>
      <c r="GAN251" s="286"/>
      <c r="GAO251" s="286"/>
      <c r="GAP251" s="280"/>
      <c r="GAQ251" s="281"/>
      <c r="GAR251" s="282"/>
      <c r="GAS251" s="242"/>
      <c r="GAT251" s="222"/>
      <c r="GAV251" s="118"/>
      <c r="GAW251" s="8"/>
      <c r="GAX251" s="281"/>
      <c r="GAY251" s="78"/>
      <c r="GAZ251" s="151"/>
      <c r="GBA251" s="278"/>
      <c r="GBB251" s="266"/>
      <c r="GBC251" s="279"/>
      <c r="GBD251" s="211"/>
      <c r="GBE251" s="211"/>
      <c r="GBF251" s="286"/>
      <c r="GBG251" s="286"/>
      <c r="GBH251" s="280"/>
      <c r="GBI251" s="281"/>
      <c r="GBJ251" s="282"/>
      <c r="GBK251" s="242"/>
      <c r="GBL251" s="222"/>
      <c r="GBN251" s="118"/>
      <c r="GBO251" s="8"/>
      <c r="GBP251" s="281"/>
      <c r="GBQ251" s="78"/>
      <c r="GBR251" s="151"/>
      <c r="GBS251" s="278"/>
      <c r="GBT251" s="266"/>
      <c r="GBU251" s="279"/>
      <c r="GBV251" s="211"/>
      <c r="GBW251" s="211"/>
      <c r="GBX251" s="286"/>
      <c r="GBY251" s="286"/>
      <c r="GBZ251" s="280"/>
      <c r="GCA251" s="281"/>
      <c r="GCB251" s="282"/>
      <c r="GCC251" s="242"/>
      <c r="GCD251" s="222"/>
      <c r="GCF251" s="118"/>
      <c r="GCG251" s="8"/>
      <c r="GCH251" s="281"/>
      <c r="GCI251" s="78"/>
      <c r="GCJ251" s="151"/>
      <c r="GCK251" s="278"/>
      <c r="GCL251" s="266"/>
      <c r="GCM251" s="279"/>
      <c r="GCN251" s="211"/>
      <c r="GCO251" s="211"/>
      <c r="GCP251" s="286"/>
      <c r="GCQ251" s="286"/>
      <c r="GCR251" s="280"/>
      <c r="GCS251" s="281"/>
      <c r="GCT251" s="282"/>
      <c r="GCU251" s="242"/>
      <c r="GCV251" s="222"/>
      <c r="GCX251" s="118"/>
      <c r="GCY251" s="8"/>
      <c r="GCZ251" s="281"/>
      <c r="GDA251" s="78"/>
      <c r="GDB251" s="151"/>
      <c r="GDC251" s="278"/>
      <c r="GDD251" s="266"/>
      <c r="GDE251" s="279"/>
      <c r="GDF251" s="211"/>
      <c r="GDG251" s="211"/>
      <c r="GDH251" s="286"/>
      <c r="GDI251" s="286"/>
      <c r="GDJ251" s="280"/>
      <c r="GDK251" s="281"/>
      <c r="GDL251" s="282"/>
      <c r="GDM251" s="242"/>
      <c r="GDN251" s="222"/>
      <c r="GDP251" s="118"/>
      <c r="GDQ251" s="8"/>
      <c r="GDR251" s="281"/>
      <c r="GDS251" s="78"/>
      <c r="GDT251" s="151"/>
      <c r="GDU251" s="278"/>
      <c r="GDV251" s="266"/>
      <c r="GDW251" s="279"/>
      <c r="GDX251" s="211"/>
      <c r="GDY251" s="211"/>
      <c r="GDZ251" s="286"/>
      <c r="GEA251" s="286"/>
      <c r="GEB251" s="280"/>
      <c r="GEC251" s="281"/>
      <c r="GED251" s="282"/>
      <c r="GEE251" s="242"/>
      <c r="GEF251" s="222"/>
      <c r="GEH251" s="118"/>
      <c r="GEI251" s="8"/>
      <c r="GEJ251" s="281"/>
      <c r="GEK251" s="78"/>
      <c r="GEL251" s="151"/>
      <c r="GEM251" s="278"/>
      <c r="GEN251" s="266"/>
      <c r="GEO251" s="279"/>
      <c r="GEP251" s="211"/>
      <c r="GEQ251" s="211"/>
      <c r="GER251" s="286"/>
      <c r="GES251" s="286"/>
      <c r="GET251" s="280"/>
      <c r="GEU251" s="281"/>
      <c r="GEV251" s="282"/>
      <c r="GEW251" s="242"/>
      <c r="GEX251" s="222"/>
      <c r="GEZ251" s="118"/>
      <c r="GFA251" s="8"/>
      <c r="GFB251" s="281"/>
      <c r="GFC251" s="78"/>
      <c r="GFD251" s="151"/>
      <c r="GFE251" s="278"/>
      <c r="GFF251" s="266"/>
      <c r="GFG251" s="279"/>
      <c r="GFH251" s="211"/>
      <c r="GFI251" s="211"/>
      <c r="GFJ251" s="286"/>
      <c r="GFK251" s="286"/>
      <c r="GFL251" s="280"/>
      <c r="GFM251" s="281"/>
      <c r="GFN251" s="282"/>
      <c r="GFO251" s="242"/>
      <c r="GFP251" s="222"/>
      <c r="GFR251" s="118"/>
      <c r="GFS251" s="8"/>
      <c r="GFT251" s="281"/>
      <c r="GFU251" s="78"/>
      <c r="GFV251" s="151"/>
      <c r="GFW251" s="278"/>
      <c r="GFX251" s="266"/>
      <c r="GFY251" s="279"/>
      <c r="GFZ251" s="211"/>
      <c r="GGA251" s="211"/>
      <c r="GGB251" s="286"/>
      <c r="GGC251" s="286"/>
      <c r="GGD251" s="280"/>
      <c r="GGE251" s="281"/>
      <c r="GGF251" s="282"/>
      <c r="GGG251" s="242"/>
      <c r="GGH251" s="222"/>
      <c r="GGJ251" s="118"/>
      <c r="GGK251" s="8"/>
      <c r="GGL251" s="281"/>
      <c r="GGM251" s="78"/>
      <c r="GGN251" s="151"/>
      <c r="GGO251" s="278"/>
      <c r="GGP251" s="266"/>
      <c r="GGQ251" s="279"/>
      <c r="GGR251" s="211"/>
      <c r="GGS251" s="211"/>
      <c r="GGT251" s="286"/>
      <c r="GGU251" s="286"/>
      <c r="GGV251" s="280"/>
      <c r="GGW251" s="281"/>
      <c r="GGX251" s="282"/>
      <c r="GGY251" s="242"/>
      <c r="GGZ251" s="222"/>
      <c r="GHB251" s="118"/>
      <c r="GHC251" s="8"/>
      <c r="GHD251" s="281"/>
      <c r="GHE251" s="78"/>
      <c r="GHF251" s="151"/>
      <c r="GHG251" s="278"/>
      <c r="GHH251" s="266"/>
      <c r="GHI251" s="279"/>
      <c r="GHJ251" s="211"/>
      <c r="GHK251" s="211"/>
      <c r="GHL251" s="286"/>
      <c r="GHM251" s="286"/>
      <c r="GHN251" s="280"/>
      <c r="GHO251" s="281"/>
      <c r="GHP251" s="282"/>
      <c r="GHQ251" s="242"/>
      <c r="GHR251" s="222"/>
      <c r="GHT251" s="118"/>
      <c r="GHU251" s="8"/>
      <c r="GHV251" s="281"/>
      <c r="GHW251" s="78"/>
      <c r="GHX251" s="151"/>
      <c r="GHY251" s="278"/>
      <c r="GHZ251" s="266"/>
      <c r="GIA251" s="279"/>
      <c r="GIB251" s="211"/>
      <c r="GIC251" s="211"/>
      <c r="GID251" s="286"/>
      <c r="GIE251" s="286"/>
      <c r="GIF251" s="280"/>
      <c r="GIG251" s="281"/>
      <c r="GIH251" s="282"/>
      <c r="GII251" s="242"/>
      <c r="GIJ251" s="222"/>
      <c r="GIL251" s="118"/>
      <c r="GIM251" s="8"/>
      <c r="GIN251" s="281"/>
      <c r="GIO251" s="78"/>
      <c r="GIP251" s="151"/>
      <c r="GIQ251" s="278"/>
      <c r="GIR251" s="266"/>
      <c r="GIS251" s="279"/>
      <c r="GIT251" s="211"/>
      <c r="GIU251" s="211"/>
      <c r="GIV251" s="286"/>
      <c r="GIW251" s="286"/>
      <c r="GIX251" s="280"/>
      <c r="GIY251" s="281"/>
      <c r="GIZ251" s="282"/>
      <c r="GJA251" s="242"/>
      <c r="GJB251" s="222"/>
      <c r="GJD251" s="118"/>
      <c r="GJE251" s="8"/>
      <c r="GJF251" s="281"/>
      <c r="GJG251" s="78"/>
      <c r="GJH251" s="151"/>
      <c r="GJI251" s="278"/>
      <c r="GJJ251" s="266"/>
      <c r="GJK251" s="279"/>
      <c r="GJL251" s="211"/>
      <c r="GJM251" s="211"/>
      <c r="GJN251" s="286"/>
      <c r="GJO251" s="286"/>
      <c r="GJP251" s="280"/>
      <c r="GJQ251" s="281"/>
      <c r="GJR251" s="282"/>
      <c r="GJS251" s="242"/>
      <c r="GJT251" s="222"/>
      <c r="GJV251" s="118"/>
      <c r="GJW251" s="8"/>
      <c r="GJX251" s="281"/>
      <c r="GJY251" s="78"/>
      <c r="GJZ251" s="151"/>
      <c r="GKA251" s="278"/>
      <c r="GKB251" s="266"/>
      <c r="GKC251" s="279"/>
      <c r="GKD251" s="211"/>
      <c r="GKE251" s="211"/>
      <c r="GKF251" s="286"/>
      <c r="GKG251" s="286"/>
      <c r="GKH251" s="280"/>
      <c r="GKI251" s="281"/>
      <c r="GKJ251" s="282"/>
      <c r="GKK251" s="242"/>
      <c r="GKL251" s="222"/>
      <c r="GKN251" s="118"/>
      <c r="GKO251" s="8"/>
      <c r="GKP251" s="281"/>
      <c r="GKQ251" s="78"/>
      <c r="GKR251" s="151"/>
      <c r="GKS251" s="278"/>
      <c r="GKT251" s="266"/>
      <c r="GKU251" s="279"/>
      <c r="GKV251" s="211"/>
      <c r="GKW251" s="211"/>
      <c r="GKX251" s="286"/>
      <c r="GKY251" s="286"/>
      <c r="GKZ251" s="280"/>
      <c r="GLA251" s="281"/>
      <c r="GLB251" s="282"/>
      <c r="GLC251" s="242"/>
      <c r="GLD251" s="222"/>
      <c r="GLF251" s="118"/>
      <c r="GLG251" s="8"/>
      <c r="GLH251" s="281"/>
      <c r="GLI251" s="78"/>
      <c r="GLJ251" s="151"/>
      <c r="GLK251" s="278"/>
      <c r="GLL251" s="266"/>
      <c r="GLM251" s="279"/>
      <c r="GLN251" s="211"/>
      <c r="GLO251" s="211"/>
      <c r="GLP251" s="286"/>
      <c r="GLQ251" s="286"/>
      <c r="GLR251" s="280"/>
      <c r="GLS251" s="281"/>
      <c r="GLT251" s="282"/>
      <c r="GLU251" s="242"/>
      <c r="GLV251" s="222"/>
      <c r="GLX251" s="118"/>
      <c r="GLY251" s="8"/>
      <c r="GLZ251" s="281"/>
      <c r="GMA251" s="78"/>
      <c r="GMB251" s="151"/>
      <c r="GMC251" s="278"/>
      <c r="GMD251" s="266"/>
      <c r="GME251" s="279"/>
      <c r="GMF251" s="211"/>
      <c r="GMG251" s="211"/>
      <c r="GMH251" s="286"/>
      <c r="GMI251" s="286"/>
      <c r="GMJ251" s="280"/>
      <c r="GMK251" s="281"/>
      <c r="GML251" s="282"/>
      <c r="GMM251" s="242"/>
      <c r="GMN251" s="222"/>
      <c r="GMP251" s="118"/>
      <c r="GMQ251" s="8"/>
      <c r="GMR251" s="281"/>
      <c r="GMS251" s="78"/>
      <c r="GMT251" s="151"/>
      <c r="GMU251" s="278"/>
      <c r="GMV251" s="266"/>
      <c r="GMW251" s="279"/>
      <c r="GMX251" s="211"/>
      <c r="GMY251" s="211"/>
      <c r="GMZ251" s="286"/>
      <c r="GNA251" s="286"/>
      <c r="GNB251" s="280"/>
      <c r="GNC251" s="281"/>
      <c r="GND251" s="282"/>
      <c r="GNE251" s="242"/>
      <c r="GNF251" s="222"/>
      <c r="GNH251" s="118"/>
      <c r="GNI251" s="8"/>
      <c r="GNJ251" s="281"/>
      <c r="GNK251" s="78"/>
      <c r="GNL251" s="151"/>
      <c r="GNM251" s="278"/>
      <c r="GNN251" s="266"/>
      <c r="GNO251" s="279"/>
      <c r="GNP251" s="211"/>
      <c r="GNQ251" s="211"/>
      <c r="GNR251" s="286"/>
      <c r="GNS251" s="286"/>
      <c r="GNT251" s="280"/>
      <c r="GNU251" s="281"/>
      <c r="GNV251" s="282"/>
      <c r="GNW251" s="242"/>
      <c r="GNX251" s="222"/>
      <c r="GNZ251" s="118"/>
      <c r="GOA251" s="8"/>
      <c r="GOB251" s="281"/>
      <c r="GOC251" s="78"/>
      <c r="GOD251" s="151"/>
      <c r="GOE251" s="278"/>
      <c r="GOF251" s="266"/>
      <c r="GOG251" s="279"/>
      <c r="GOH251" s="211"/>
      <c r="GOI251" s="211"/>
      <c r="GOJ251" s="286"/>
      <c r="GOK251" s="286"/>
      <c r="GOL251" s="280"/>
      <c r="GOM251" s="281"/>
      <c r="GON251" s="282"/>
      <c r="GOO251" s="242"/>
      <c r="GOP251" s="222"/>
      <c r="GOR251" s="118"/>
      <c r="GOS251" s="8"/>
      <c r="GOT251" s="281"/>
      <c r="GOU251" s="78"/>
      <c r="GOV251" s="151"/>
      <c r="GOW251" s="278"/>
      <c r="GOX251" s="266"/>
      <c r="GOY251" s="279"/>
      <c r="GOZ251" s="211"/>
      <c r="GPA251" s="211"/>
      <c r="GPB251" s="286"/>
      <c r="GPC251" s="286"/>
      <c r="GPD251" s="280"/>
      <c r="GPE251" s="281"/>
      <c r="GPF251" s="282"/>
      <c r="GPG251" s="242"/>
      <c r="GPH251" s="222"/>
      <c r="GPJ251" s="118"/>
      <c r="GPK251" s="8"/>
      <c r="GPL251" s="281"/>
      <c r="GPM251" s="78"/>
      <c r="GPN251" s="151"/>
      <c r="GPO251" s="278"/>
      <c r="GPP251" s="266"/>
      <c r="GPQ251" s="279"/>
      <c r="GPR251" s="211"/>
      <c r="GPS251" s="211"/>
      <c r="GPT251" s="286"/>
      <c r="GPU251" s="286"/>
      <c r="GPV251" s="280"/>
      <c r="GPW251" s="281"/>
      <c r="GPX251" s="282"/>
      <c r="GPY251" s="242"/>
      <c r="GPZ251" s="222"/>
      <c r="GQB251" s="118"/>
      <c r="GQC251" s="8"/>
      <c r="GQD251" s="281"/>
      <c r="GQE251" s="78"/>
      <c r="GQF251" s="151"/>
      <c r="GQG251" s="278"/>
      <c r="GQH251" s="266"/>
      <c r="GQI251" s="279"/>
      <c r="GQJ251" s="211"/>
      <c r="GQK251" s="211"/>
      <c r="GQL251" s="286"/>
      <c r="GQM251" s="286"/>
      <c r="GQN251" s="280"/>
      <c r="GQO251" s="281"/>
      <c r="GQP251" s="282"/>
      <c r="GQQ251" s="242"/>
      <c r="GQR251" s="222"/>
      <c r="GQT251" s="118"/>
      <c r="GQU251" s="8"/>
      <c r="GQV251" s="281"/>
      <c r="GQW251" s="78"/>
      <c r="GQX251" s="151"/>
      <c r="GQY251" s="278"/>
      <c r="GQZ251" s="266"/>
      <c r="GRA251" s="279"/>
      <c r="GRB251" s="211"/>
      <c r="GRC251" s="211"/>
      <c r="GRD251" s="286"/>
      <c r="GRE251" s="286"/>
      <c r="GRF251" s="280"/>
      <c r="GRG251" s="281"/>
      <c r="GRH251" s="282"/>
      <c r="GRI251" s="242"/>
      <c r="GRJ251" s="222"/>
      <c r="GRL251" s="118"/>
      <c r="GRM251" s="8"/>
      <c r="GRN251" s="281"/>
      <c r="GRO251" s="78"/>
      <c r="GRP251" s="151"/>
      <c r="GRQ251" s="278"/>
      <c r="GRR251" s="266"/>
      <c r="GRS251" s="279"/>
      <c r="GRT251" s="211"/>
      <c r="GRU251" s="211"/>
      <c r="GRV251" s="286"/>
      <c r="GRW251" s="286"/>
      <c r="GRX251" s="280"/>
      <c r="GRY251" s="281"/>
      <c r="GRZ251" s="282"/>
      <c r="GSA251" s="242"/>
      <c r="GSB251" s="222"/>
      <c r="GSD251" s="118"/>
      <c r="GSE251" s="8"/>
      <c r="GSF251" s="281"/>
      <c r="GSG251" s="78"/>
      <c r="GSH251" s="151"/>
      <c r="GSI251" s="278"/>
      <c r="GSJ251" s="266"/>
      <c r="GSK251" s="279"/>
      <c r="GSL251" s="211"/>
      <c r="GSM251" s="211"/>
      <c r="GSN251" s="286"/>
      <c r="GSO251" s="286"/>
      <c r="GSP251" s="280"/>
      <c r="GSQ251" s="281"/>
      <c r="GSR251" s="282"/>
      <c r="GSS251" s="242"/>
      <c r="GST251" s="222"/>
      <c r="GSV251" s="118"/>
      <c r="GSW251" s="8"/>
      <c r="GSX251" s="281"/>
      <c r="GSY251" s="78"/>
      <c r="GSZ251" s="151"/>
      <c r="GTA251" s="278"/>
      <c r="GTB251" s="266"/>
      <c r="GTC251" s="279"/>
      <c r="GTD251" s="211"/>
      <c r="GTE251" s="211"/>
      <c r="GTF251" s="286"/>
      <c r="GTG251" s="286"/>
      <c r="GTH251" s="280"/>
      <c r="GTI251" s="281"/>
      <c r="GTJ251" s="282"/>
      <c r="GTK251" s="242"/>
      <c r="GTL251" s="222"/>
      <c r="GTN251" s="118"/>
      <c r="GTO251" s="8"/>
      <c r="GTP251" s="281"/>
      <c r="GTQ251" s="78"/>
      <c r="GTR251" s="151"/>
      <c r="GTS251" s="278"/>
      <c r="GTT251" s="266"/>
      <c r="GTU251" s="279"/>
      <c r="GTV251" s="211"/>
      <c r="GTW251" s="211"/>
      <c r="GTX251" s="286"/>
      <c r="GTY251" s="286"/>
      <c r="GTZ251" s="280"/>
      <c r="GUA251" s="281"/>
      <c r="GUB251" s="282"/>
      <c r="GUC251" s="242"/>
      <c r="GUD251" s="222"/>
      <c r="GUF251" s="118"/>
      <c r="GUG251" s="8"/>
      <c r="GUH251" s="281"/>
      <c r="GUI251" s="78"/>
      <c r="GUJ251" s="151"/>
      <c r="GUK251" s="278"/>
      <c r="GUL251" s="266"/>
      <c r="GUM251" s="279"/>
      <c r="GUN251" s="211"/>
      <c r="GUO251" s="211"/>
      <c r="GUP251" s="286"/>
      <c r="GUQ251" s="286"/>
      <c r="GUR251" s="280"/>
      <c r="GUS251" s="281"/>
      <c r="GUT251" s="282"/>
      <c r="GUU251" s="242"/>
      <c r="GUV251" s="222"/>
      <c r="GUX251" s="118"/>
      <c r="GUY251" s="8"/>
      <c r="GUZ251" s="281"/>
      <c r="GVA251" s="78"/>
      <c r="GVB251" s="151"/>
      <c r="GVC251" s="278"/>
      <c r="GVD251" s="266"/>
      <c r="GVE251" s="279"/>
      <c r="GVF251" s="211"/>
      <c r="GVG251" s="211"/>
      <c r="GVH251" s="286"/>
      <c r="GVI251" s="286"/>
      <c r="GVJ251" s="280"/>
      <c r="GVK251" s="281"/>
      <c r="GVL251" s="282"/>
      <c r="GVM251" s="242"/>
      <c r="GVN251" s="222"/>
      <c r="GVP251" s="118"/>
      <c r="GVQ251" s="8"/>
      <c r="GVR251" s="281"/>
      <c r="GVS251" s="78"/>
      <c r="GVT251" s="151"/>
      <c r="GVU251" s="278"/>
      <c r="GVV251" s="266"/>
      <c r="GVW251" s="279"/>
      <c r="GVX251" s="211"/>
      <c r="GVY251" s="211"/>
      <c r="GVZ251" s="286"/>
      <c r="GWA251" s="286"/>
      <c r="GWB251" s="280"/>
      <c r="GWC251" s="281"/>
      <c r="GWD251" s="282"/>
      <c r="GWE251" s="242"/>
      <c r="GWF251" s="222"/>
      <c r="GWH251" s="118"/>
      <c r="GWI251" s="8"/>
      <c r="GWJ251" s="281"/>
      <c r="GWK251" s="78"/>
      <c r="GWL251" s="151"/>
      <c r="GWM251" s="278"/>
      <c r="GWN251" s="266"/>
      <c r="GWO251" s="279"/>
      <c r="GWP251" s="211"/>
      <c r="GWQ251" s="211"/>
      <c r="GWR251" s="286"/>
      <c r="GWS251" s="286"/>
      <c r="GWT251" s="280"/>
      <c r="GWU251" s="281"/>
      <c r="GWV251" s="282"/>
      <c r="GWW251" s="242"/>
      <c r="GWX251" s="222"/>
      <c r="GWZ251" s="118"/>
      <c r="GXA251" s="8"/>
      <c r="GXB251" s="281"/>
      <c r="GXC251" s="78"/>
      <c r="GXD251" s="151"/>
      <c r="GXE251" s="278"/>
      <c r="GXF251" s="266"/>
      <c r="GXG251" s="279"/>
      <c r="GXH251" s="211"/>
      <c r="GXI251" s="211"/>
      <c r="GXJ251" s="286"/>
      <c r="GXK251" s="286"/>
      <c r="GXL251" s="280"/>
      <c r="GXM251" s="281"/>
      <c r="GXN251" s="282"/>
      <c r="GXO251" s="242"/>
      <c r="GXP251" s="222"/>
      <c r="GXR251" s="118"/>
      <c r="GXS251" s="8"/>
      <c r="GXT251" s="281"/>
      <c r="GXU251" s="78"/>
      <c r="GXV251" s="151"/>
      <c r="GXW251" s="278"/>
      <c r="GXX251" s="266"/>
      <c r="GXY251" s="279"/>
      <c r="GXZ251" s="211"/>
      <c r="GYA251" s="211"/>
      <c r="GYB251" s="286"/>
      <c r="GYC251" s="286"/>
      <c r="GYD251" s="280"/>
      <c r="GYE251" s="281"/>
      <c r="GYF251" s="282"/>
      <c r="GYG251" s="242"/>
      <c r="GYH251" s="222"/>
      <c r="GYJ251" s="118"/>
      <c r="GYK251" s="8"/>
      <c r="GYL251" s="281"/>
      <c r="GYM251" s="78"/>
      <c r="GYN251" s="151"/>
      <c r="GYO251" s="278"/>
      <c r="GYP251" s="266"/>
      <c r="GYQ251" s="279"/>
      <c r="GYR251" s="211"/>
      <c r="GYS251" s="211"/>
      <c r="GYT251" s="286"/>
      <c r="GYU251" s="286"/>
      <c r="GYV251" s="280"/>
      <c r="GYW251" s="281"/>
      <c r="GYX251" s="282"/>
      <c r="GYY251" s="242"/>
      <c r="GYZ251" s="222"/>
      <c r="GZB251" s="118"/>
      <c r="GZC251" s="8"/>
      <c r="GZD251" s="281"/>
      <c r="GZE251" s="78"/>
      <c r="GZF251" s="151"/>
      <c r="GZG251" s="278"/>
      <c r="GZH251" s="266"/>
      <c r="GZI251" s="279"/>
      <c r="GZJ251" s="211"/>
      <c r="GZK251" s="211"/>
      <c r="GZL251" s="286"/>
      <c r="GZM251" s="286"/>
      <c r="GZN251" s="280"/>
      <c r="GZO251" s="281"/>
      <c r="GZP251" s="282"/>
      <c r="GZQ251" s="242"/>
      <c r="GZR251" s="222"/>
      <c r="GZT251" s="118"/>
      <c r="GZU251" s="8"/>
      <c r="GZV251" s="281"/>
      <c r="GZW251" s="78"/>
      <c r="GZX251" s="151"/>
      <c r="GZY251" s="278"/>
      <c r="GZZ251" s="266"/>
      <c r="HAA251" s="279"/>
      <c r="HAB251" s="211"/>
      <c r="HAC251" s="211"/>
      <c r="HAD251" s="286"/>
      <c r="HAE251" s="286"/>
      <c r="HAF251" s="280"/>
      <c r="HAG251" s="281"/>
      <c r="HAH251" s="282"/>
      <c r="HAI251" s="242"/>
      <c r="HAJ251" s="222"/>
      <c r="HAL251" s="118"/>
      <c r="HAM251" s="8"/>
      <c r="HAN251" s="281"/>
      <c r="HAO251" s="78"/>
      <c r="HAP251" s="151"/>
      <c r="HAQ251" s="278"/>
      <c r="HAR251" s="266"/>
      <c r="HAS251" s="279"/>
      <c r="HAT251" s="211"/>
      <c r="HAU251" s="211"/>
      <c r="HAV251" s="286"/>
      <c r="HAW251" s="286"/>
      <c r="HAX251" s="280"/>
      <c r="HAY251" s="281"/>
      <c r="HAZ251" s="282"/>
      <c r="HBA251" s="242"/>
      <c r="HBB251" s="222"/>
      <c r="HBD251" s="118"/>
      <c r="HBE251" s="8"/>
      <c r="HBF251" s="281"/>
      <c r="HBG251" s="78"/>
      <c r="HBH251" s="151"/>
      <c r="HBI251" s="278"/>
      <c r="HBJ251" s="266"/>
      <c r="HBK251" s="279"/>
      <c r="HBL251" s="211"/>
      <c r="HBM251" s="211"/>
      <c r="HBN251" s="286"/>
      <c r="HBO251" s="286"/>
      <c r="HBP251" s="280"/>
      <c r="HBQ251" s="281"/>
      <c r="HBR251" s="282"/>
      <c r="HBS251" s="242"/>
      <c r="HBT251" s="222"/>
      <c r="HBV251" s="118"/>
      <c r="HBW251" s="8"/>
      <c r="HBX251" s="281"/>
      <c r="HBY251" s="78"/>
      <c r="HBZ251" s="151"/>
      <c r="HCA251" s="278"/>
      <c r="HCB251" s="266"/>
      <c r="HCC251" s="279"/>
      <c r="HCD251" s="211"/>
      <c r="HCE251" s="211"/>
      <c r="HCF251" s="286"/>
      <c r="HCG251" s="286"/>
      <c r="HCH251" s="280"/>
      <c r="HCI251" s="281"/>
      <c r="HCJ251" s="282"/>
      <c r="HCK251" s="242"/>
      <c r="HCL251" s="222"/>
      <c r="HCN251" s="118"/>
      <c r="HCO251" s="8"/>
      <c r="HCP251" s="281"/>
      <c r="HCQ251" s="78"/>
      <c r="HCR251" s="151"/>
      <c r="HCS251" s="278"/>
      <c r="HCT251" s="266"/>
      <c r="HCU251" s="279"/>
      <c r="HCV251" s="211"/>
      <c r="HCW251" s="211"/>
      <c r="HCX251" s="286"/>
      <c r="HCY251" s="286"/>
      <c r="HCZ251" s="280"/>
      <c r="HDA251" s="281"/>
      <c r="HDB251" s="282"/>
      <c r="HDC251" s="242"/>
      <c r="HDD251" s="222"/>
      <c r="HDF251" s="118"/>
      <c r="HDG251" s="8"/>
      <c r="HDH251" s="281"/>
      <c r="HDI251" s="78"/>
      <c r="HDJ251" s="151"/>
      <c r="HDK251" s="278"/>
      <c r="HDL251" s="266"/>
      <c r="HDM251" s="279"/>
      <c r="HDN251" s="211"/>
      <c r="HDO251" s="211"/>
      <c r="HDP251" s="286"/>
      <c r="HDQ251" s="286"/>
      <c r="HDR251" s="280"/>
      <c r="HDS251" s="281"/>
      <c r="HDT251" s="282"/>
      <c r="HDU251" s="242"/>
      <c r="HDV251" s="222"/>
      <c r="HDX251" s="118"/>
      <c r="HDY251" s="8"/>
      <c r="HDZ251" s="281"/>
      <c r="HEA251" s="78"/>
      <c r="HEB251" s="151"/>
      <c r="HEC251" s="278"/>
      <c r="HED251" s="266"/>
      <c r="HEE251" s="279"/>
      <c r="HEF251" s="211"/>
      <c r="HEG251" s="211"/>
      <c r="HEH251" s="286"/>
      <c r="HEI251" s="286"/>
      <c r="HEJ251" s="280"/>
      <c r="HEK251" s="281"/>
      <c r="HEL251" s="282"/>
      <c r="HEM251" s="242"/>
      <c r="HEN251" s="222"/>
      <c r="HEP251" s="118"/>
      <c r="HEQ251" s="8"/>
      <c r="HER251" s="281"/>
      <c r="HES251" s="78"/>
      <c r="HET251" s="151"/>
      <c r="HEU251" s="278"/>
      <c r="HEV251" s="266"/>
      <c r="HEW251" s="279"/>
      <c r="HEX251" s="211"/>
      <c r="HEY251" s="211"/>
      <c r="HEZ251" s="286"/>
      <c r="HFA251" s="286"/>
      <c r="HFB251" s="280"/>
      <c r="HFC251" s="281"/>
      <c r="HFD251" s="282"/>
      <c r="HFE251" s="242"/>
      <c r="HFF251" s="222"/>
      <c r="HFH251" s="118"/>
      <c r="HFI251" s="8"/>
      <c r="HFJ251" s="281"/>
      <c r="HFK251" s="78"/>
      <c r="HFL251" s="151"/>
      <c r="HFM251" s="278"/>
      <c r="HFN251" s="266"/>
      <c r="HFO251" s="279"/>
      <c r="HFP251" s="211"/>
      <c r="HFQ251" s="211"/>
      <c r="HFR251" s="286"/>
      <c r="HFS251" s="286"/>
      <c r="HFT251" s="280"/>
      <c r="HFU251" s="281"/>
      <c r="HFV251" s="282"/>
      <c r="HFW251" s="242"/>
      <c r="HFX251" s="222"/>
      <c r="HFZ251" s="118"/>
      <c r="HGA251" s="8"/>
      <c r="HGB251" s="281"/>
      <c r="HGC251" s="78"/>
      <c r="HGD251" s="151"/>
      <c r="HGE251" s="278"/>
      <c r="HGF251" s="266"/>
      <c r="HGG251" s="279"/>
      <c r="HGH251" s="211"/>
      <c r="HGI251" s="211"/>
      <c r="HGJ251" s="286"/>
      <c r="HGK251" s="286"/>
      <c r="HGL251" s="280"/>
      <c r="HGM251" s="281"/>
      <c r="HGN251" s="282"/>
      <c r="HGO251" s="242"/>
      <c r="HGP251" s="222"/>
      <c r="HGR251" s="118"/>
      <c r="HGS251" s="8"/>
      <c r="HGT251" s="281"/>
      <c r="HGU251" s="78"/>
      <c r="HGV251" s="151"/>
      <c r="HGW251" s="278"/>
      <c r="HGX251" s="266"/>
      <c r="HGY251" s="279"/>
      <c r="HGZ251" s="211"/>
      <c r="HHA251" s="211"/>
      <c r="HHB251" s="286"/>
      <c r="HHC251" s="286"/>
      <c r="HHD251" s="280"/>
      <c r="HHE251" s="281"/>
      <c r="HHF251" s="282"/>
      <c r="HHG251" s="242"/>
      <c r="HHH251" s="222"/>
      <c r="HHJ251" s="118"/>
      <c r="HHK251" s="8"/>
      <c r="HHL251" s="281"/>
      <c r="HHM251" s="78"/>
      <c r="HHN251" s="151"/>
      <c r="HHO251" s="278"/>
      <c r="HHP251" s="266"/>
      <c r="HHQ251" s="279"/>
      <c r="HHR251" s="211"/>
      <c r="HHS251" s="211"/>
      <c r="HHT251" s="286"/>
      <c r="HHU251" s="286"/>
      <c r="HHV251" s="280"/>
      <c r="HHW251" s="281"/>
      <c r="HHX251" s="282"/>
      <c r="HHY251" s="242"/>
      <c r="HHZ251" s="222"/>
      <c r="HIB251" s="118"/>
      <c r="HIC251" s="8"/>
      <c r="HID251" s="281"/>
      <c r="HIE251" s="78"/>
      <c r="HIF251" s="151"/>
      <c r="HIG251" s="278"/>
      <c r="HIH251" s="266"/>
      <c r="HII251" s="279"/>
      <c r="HIJ251" s="211"/>
      <c r="HIK251" s="211"/>
      <c r="HIL251" s="286"/>
      <c r="HIM251" s="286"/>
      <c r="HIN251" s="280"/>
      <c r="HIO251" s="281"/>
      <c r="HIP251" s="282"/>
      <c r="HIQ251" s="242"/>
      <c r="HIR251" s="222"/>
      <c r="HIT251" s="118"/>
      <c r="HIU251" s="8"/>
      <c r="HIV251" s="281"/>
      <c r="HIW251" s="78"/>
      <c r="HIX251" s="151"/>
      <c r="HIY251" s="278"/>
      <c r="HIZ251" s="266"/>
      <c r="HJA251" s="279"/>
      <c r="HJB251" s="211"/>
      <c r="HJC251" s="211"/>
      <c r="HJD251" s="286"/>
      <c r="HJE251" s="286"/>
      <c r="HJF251" s="280"/>
      <c r="HJG251" s="281"/>
      <c r="HJH251" s="282"/>
      <c r="HJI251" s="242"/>
      <c r="HJJ251" s="222"/>
      <c r="HJL251" s="118"/>
      <c r="HJM251" s="8"/>
      <c r="HJN251" s="281"/>
      <c r="HJO251" s="78"/>
      <c r="HJP251" s="151"/>
      <c r="HJQ251" s="278"/>
      <c r="HJR251" s="266"/>
      <c r="HJS251" s="279"/>
      <c r="HJT251" s="211"/>
      <c r="HJU251" s="211"/>
      <c r="HJV251" s="286"/>
      <c r="HJW251" s="286"/>
      <c r="HJX251" s="280"/>
      <c r="HJY251" s="281"/>
      <c r="HJZ251" s="282"/>
      <c r="HKA251" s="242"/>
      <c r="HKB251" s="222"/>
      <c r="HKD251" s="118"/>
      <c r="HKE251" s="8"/>
      <c r="HKF251" s="281"/>
      <c r="HKG251" s="78"/>
      <c r="HKH251" s="151"/>
      <c r="HKI251" s="278"/>
      <c r="HKJ251" s="266"/>
      <c r="HKK251" s="279"/>
      <c r="HKL251" s="211"/>
      <c r="HKM251" s="211"/>
      <c r="HKN251" s="286"/>
      <c r="HKO251" s="286"/>
      <c r="HKP251" s="280"/>
      <c r="HKQ251" s="281"/>
      <c r="HKR251" s="282"/>
      <c r="HKS251" s="242"/>
      <c r="HKT251" s="222"/>
      <c r="HKV251" s="118"/>
      <c r="HKW251" s="8"/>
      <c r="HKX251" s="281"/>
      <c r="HKY251" s="78"/>
      <c r="HKZ251" s="151"/>
      <c r="HLA251" s="278"/>
      <c r="HLB251" s="266"/>
      <c r="HLC251" s="279"/>
      <c r="HLD251" s="211"/>
      <c r="HLE251" s="211"/>
      <c r="HLF251" s="286"/>
      <c r="HLG251" s="286"/>
      <c r="HLH251" s="280"/>
      <c r="HLI251" s="281"/>
      <c r="HLJ251" s="282"/>
      <c r="HLK251" s="242"/>
      <c r="HLL251" s="222"/>
      <c r="HLN251" s="118"/>
      <c r="HLO251" s="8"/>
      <c r="HLP251" s="281"/>
      <c r="HLQ251" s="78"/>
      <c r="HLR251" s="151"/>
      <c r="HLS251" s="278"/>
      <c r="HLT251" s="266"/>
      <c r="HLU251" s="279"/>
      <c r="HLV251" s="211"/>
      <c r="HLW251" s="211"/>
      <c r="HLX251" s="286"/>
      <c r="HLY251" s="286"/>
      <c r="HLZ251" s="280"/>
      <c r="HMA251" s="281"/>
      <c r="HMB251" s="282"/>
      <c r="HMC251" s="242"/>
      <c r="HMD251" s="222"/>
      <c r="HMF251" s="118"/>
      <c r="HMG251" s="8"/>
      <c r="HMH251" s="281"/>
      <c r="HMI251" s="78"/>
      <c r="HMJ251" s="151"/>
      <c r="HMK251" s="278"/>
      <c r="HML251" s="266"/>
      <c r="HMM251" s="279"/>
      <c r="HMN251" s="211"/>
      <c r="HMO251" s="211"/>
      <c r="HMP251" s="286"/>
      <c r="HMQ251" s="286"/>
      <c r="HMR251" s="280"/>
      <c r="HMS251" s="281"/>
      <c r="HMT251" s="282"/>
      <c r="HMU251" s="242"/>
      <c r="HMV251" s="222"/>
      <c r="HMX251" s="118"/>
      <c r="HMY251" s="8"/>
      <c r="HMZ251" s="281"/>
      <c r="HNA251" s="78"/>
      <c r="HNB251" s="151"/>
      <c r="HNC251" s="278"/>
      <c r="HND251" s="266"/>
      <c r="HNE251" s="279"/>
      <c r="HNF251" s="211"/>
      <c r="HNG251" s="211"/>
      <c r="HNH251" s="286"/>
      <c r="HNI251" s="286"/>
      <c r="HNJ251" s="280"/>
      <c r="HNK251" s="281"/>
      <c r="HNL251" s="282"/>
      <c r="HNM251" s="242"/>
      <c r="HNN251" s="222"/>
      <c r="HNP251" s="118"/>
      <c r="HNQ251" s="8"/>
      <c r="HNR251" s="281"/>
      <c r="HNS251" s="78"/>
      <c r="HNT251" s="151"/>
      <c r="HNU251" s="278"/>
      <c r="HNV251" s="266"/>
      <c r="HNW251" s="279"/>
      <c r="HNX251" s="211"/>
      <c r="HNY251" s="211"/>
      <c r="HNZ251" s="286"/>
      <c r="HOA251" s="286"/>
      <c r="HOB251" s="280"/>
      <c r="HOC251" s="281"/>
      <c r="HOD251" s="282"/>
      <c r="HOE251" s="242"/>
      <c r="HOF251" s="222"/>
      <c r="HOH251" s="118"/>
      <c r="HOI251" s="8"/>
      <c r="HOJ251" s="281"/>
      <c r="HOK251" s="78"/>
      <c r="HOL251" s="151"/>
      <c r="HOM251" s="278"/>
      <c r="HON251" s="266"/>
      <c r="HOO251" s="279"/>
      <c r="HOP251" s="211"/>
      <c r="HOQ251" s="211"/>
      <c r="HOR251" s="286"/>
      <c r="HOS251" s="286"/>
      <c r="HOT251" s="280"/>
      <c r="HOU251" s="281"/>
      <c r="HOV251" s="282"/>
      <c r="HOW251" s="242"/>
      <c r="HOX251" s="222"/>
      <c r="HOZ251" s="118"/>
      <c r="HPA251" s="8"/>
      <c r="HPB251" s="281"/>
      <c r="HPC251" s="78"/>
      <c r="HPD251" s="151"/>
      <c r="HPE251" s="278"/>
      <c r="HPF251" s="266"/>
      <c r="HPG251" s="279"/>
      <c r="HPH251" s="211"/>
      <c r="HPI251" s="211"/>
      <c r="HPJ251" s="286"/>
      <c r="HPK251" s="286"/>
      <c r="HPL251" s="280"/>
      <c r="HPM251" s="281"/>
      <c r="HPN251" s="282"/>
      <c r="HPO251" s="242"/>
      <c r="HPP251" s="222"/>
      <c r="HPR251" s="118"/>
      <c r="HPS251" s="8"/>
      <c r="HPT251" s="281"/>
      <c r="HPU251" s="78"/>
      <c r="HPV251" s="151"/>
      <c r="HPW251" s="278"/>
      <c r="HPX251" s="266"/>
      <c r="HPY251" s="279"/>
      <c r="HPZ251" s="211"/>
      <c r="HQA251" s="211"/>
      <c r="HQB251" s="286"/>
      <c r="HQC251" s="286"/>
      <c r="HQD251" s="280"/>
      <c r="HQE251" s="281"/>
      <c r="HQF251" s="282"/>
      <c r="HQG251" s="242"/>
      <c r="HQH251" s="222"/>
      <c r="HQJ251" s="118"/>
      <c r="HQK251" s="8"/>
      <c r="HQL251" s="281"/>
      <c r="HQM251" s="78"/>
      <c r="HQN251" s="151"/>
      <c r="HQO251" s="278"/>
      <c r="HQP251" s="266"/>
      <c r="HQQ251" s="279"/>
      <c r="HQR251" s="211"/>
      <c r="HQS251" s="211"/>
      <c r="HQT251" s="286"/>
      <c r="HQU251" s="286"/>
      <c r="HQV251" s="280"/>
      <c r="HQW251" s="281"/>
      <c r="HQX251" s="282"/>
      <c r="HQY251" s="242"/>
      <c r="HQZ251" s="222"/>
      <c r="HRB251" s="118"/>
      <c r="HRC251" s="8"/>
      <c r="HRD251" s="281"/>
      <c r="HRE251" s="78"/>
      <c r="HRF251" s="151"/>
      <c r="HRG251" s="278"/>
      <c r="HRH251" s="266"/>
      <c r="HRI251" s="279"/>
      <c r="HRJ251" s="211"/>
      <c r="HRK251" s="211"/>
      <c r="HRL251" s="286"/>
      <c r="HRM251" s="286"/>
      <c r="HRN251" s="280"/>
      <c r="HRO251" s="281"/>
      <c r="HRP251" s="282"/>
      <c r="HRQ251" s="242"/>
      <c r="HRR251" s="222"/>
      <c r="HRT251" s="118"/>
      <c r="HRU251" s="8"/>
      <c r="HRV251" s="281"/>
      <c r="HRW251" s="78"/>
      <c r="HRX251" s="151"/>
      <c r="HRY251" s="278"/>
      <c r="HRZ251" s="266"/>
      <c r="HSA251" s="279"/>
      <c r="HSB251" s="211"/>
      <c r="HSC251" s="211"/>
      <c r="HSD251" s="286"/>
      <c r="HSE251" s="286"/>
      <c r="HSF251" s="280"/>
      <c r="HSG251" s="281"/>
      <c r="HSH251" s="282"/>
      <c r="HSI251" s="242"/>
      <c r="HSJ251" s="222"/>
      <c r="HSL251" s="118"/>
      <c r="HSM251" s="8"/>
      <c r="HSN251" s="281"/>
      <c r="HSO251" s="78"/>
      <c r="HSP251" s="151"/>
      <c r="HSQ251" s="278"/>
      <c r="HSR251" s="266"/>
      <c r="HSS251" s="279"/>
      <c r="HST251" s="211"/>
      <c r="HSU251" s="211"/>
      <c r="HSV251" s="286"/>
      <c r="HSW251" s="286"/>
      <c r="HSX251" s="280"/>
      <c r="HSY251" s="281"/>
      <c r="HSZ251" s="282"/>
      <c r="HTA251" s="242"/>
      <c r="HTB251" s="222"/>
      <c r="HTD251" s="118"/>
      <c r="HTE251" s="8"/>
      <c r="HTF251" s="281"/>
      <c r="HTG251" s="78"/>
      <c r="HTH251" s="151"/>
      <c r="HTI251" s="278"/>
      <c r="HTJ251" s="266"/>
      <c r="HTK251" s="279"/>
      <c r="HTL251" s="211"/>
      <c r="HTM251" s="211"/>
      <c r="HTN251" s="286"/>
      <c r="HTO251" s="286"/>
      <c r="HTP251" s="280"/>
      <c r="HTQ251" s="281"/>
      <c r="HTR251" s="282"/>
      <c r="HTS251" s="242"/>
      <c r="HTT251" s="222"/>
      <c r="HTV251" s="118"/>
      <c r="HTW251" s="8"/>
      <c r="HTX251" s="281"/>
      <c r="HTY251" s="78"/>
      <c r="HTZ251" s="151"/>
      <c r="HUA251" s="278"/>
      <c r="HUB251" s="266"/>
      <c r="HUC251" s="279"/>
      <c r="HUD251" s="211"/>
      <c r="HUE251" s="211"/>
      <c r="HUF251" s="286"/>
      <c r="HUG251" s="286"/>
      <c r="HUH251" s="280"/>
      <c r="HUI251" s="281"/>
      <c r="HUJ251" s="282"/>
      <c r="HUK251" s="242"/>
      <c r="HUL251" s="222"/>
      <c r="HUN251" s="118"/>
      <c r="HUO251" s="8"/>
      <c r="HUP251" s="281"/>
      <c r="HUQ251" s="78"/>
      <c r="HUR251" s="151"/>
      <c r="HUS251" s="278"/>
      <c r="HUT251" s="266"/>
      <c r="HUU251" s="279"/>
      <c r="HUV251" s="211"/>
      <c r="HUW251" s="211"/>
      <c r="HUX251" s="286"/>
      <c r="HUY251" s="286"/>
      <c r="HUZ251" s="280"/>
      <c r="HVA251" s="281"/>
      <c r="HVB251" s="282"/>
      <c r="HVC251" s="242"/>
      <c r="HVD251" s="222"/>
      <c r="HVF251" s="118"/>
      <c r="HVG251" s="8"/>
      <c r="HVH251" s="281"/>
      <c r="HVI251" s="78"/>
      <c r="HVJ251" s="151"/>
      <c r="HVK251" s="278"/>
      <c r="HVL251" s="266"/>
      <c r="HVM251" s="279"/>
      <c r="HVN251" s="211"/>
      <c r="HVO251" s="211"/>
      <c r="HVP251" s="286"/>
      <c r="HVQ251" s="286"/>
      <c r="HVR251" s="280"/>
      <c r="HVS251" s="281"/>
      <c r="HVT251" s="282"/>
      <c r="HVU251" s="242"/>
      <c r="HVV251" s="222"/>
      <c r="HVX251" s="118"/>
      <c r="HVY251" s="8"/>
      <c r="HVZ251" s="281"/>
      <c r="HWA251" s="78"/>
      <c r="HWB251" s="151"/>
      <c r="HWC251" s="278"/>
      <c r="HWD251" s="266"/>
      <c r="HWE251" s="279"/>
      <c r="HWF251" s="211"/>
      <c r="HWG251" s="211"/>
      <c r="HWH251" s="286"/>
      <c r="HWI251" s="286"/>
      <c r="HWJ251" s="280"/>
      <c r="HWK251" s="281"/>
      <c r="HWL251" s="282"/>
      <c r="HWM251" s="242"/>
      <c r="HWN251" s="222"/>
      <c r="HWP251" s="118"/>
      <c r="HWQ251" s="8"/>
      <c r="HWR251" s="281"/>
      <c r="HWS251" s="78"/>
      <c r="HWT251" s="151"/>
      <c r="HWU251" s="278"/>
      <c r="HWV251" s="266"/>
      <c r="HWW251" s="279"/>
      <c r="HWX251" s="211"/>
      <c r="HWY251" s="211"/>
      <c r="HWZ251" s="286"/>
      <c r="HXA251" s="286"/>
      <c r="HXB251" s="280"/>
      <c r="HXC251" s="281"/>
      <c r="HXD251" s="282"/>
      <c r="HXE251" s="242"/>
      <c r="HXF251" s="222"/>
      <c r="HXH251" s="118"/>
      <c r="HXI251" s="8"/>
      <c r="HXJ251" s="281"/>
      <c r="HXK251" s="78"/>
      <c r="HXL251" s="151"/>
      <c r="HXM251" s="278"/>
      <c r="HXN251" s="266"/>
      <c r="HXO251" s="279"/>
      <c r="HXP251" s="211"/>
      <c r="HXQ251" s="211"/>
      <c r="HXR251" s="286"/>
      <c r="HXS251" s="286"/>
      <c r="HXT251" s="280"/>
      <c r="HXU251" s="281"/>
      <c r="HXV251" s="282"/>
      <c r="HXW251" s="242"/>
      <c r="HXX251" s="222"/>
      <c r="HXZ251" s="118"/>
      <c r="HYA251" s="8"/>
      <c r="HYB251" s="281"/>
      <c r="HYC251" s="78"/>
      <c r="HYD251" s="151"/>
      <c r="HYE251" s="278"/>
      <c r="HYF251" s="266"/>
      <c r="HYG251" s="279"/>
      <c r="HYH251" s="211"/>
      <c r="HYI251" s="211"/>
      <c r="HYJ251" s="286"/>
      <c r="HYK251" s="286"/>
      <c r="HYL251" s="280"/>
      <c r="HYM251" s="281"/>
      <c r="HYN251" s="282"/>
      <c r="HYO251" s="242"/>
      <c r="HYP251" s="222"/>
      <c r="HYR251" s="118"/>
      <c r="HYS251" s="8"/>
      <c r="HYT251" s="281"/>
      <c r="HYU251" s="78"/>
      <c r="HYV251" s="151"/>
      <c r="HYW251" s="278"/>
      <c r="HYX251" s="266"/>
      <c r="HYY251" s="279"/>
      <c r="HYZ251" s="211"/>
      <c r="HZA251" s="211"/>
      <c r="HZB251" s="286"/>
      <c r="HZC251" s="286"/>
      <c r="HZD251" s="280"/>
      <c r="HZE251" s="281"/>
      <c r="HZF251" s="282"/>
      <c r="HZG251" s="242"/>
      <c r="HZH251" s="222"/>
      <c r="HZJ251" s="118"/>
      <c r="HZK251" s="8"/>
      <c r="HZL251" s="281"/>
      <c r="HZM251" s="78"/>
      <c r="HZN251" s="151"/>
      <c r="HZO251" s="278"/>
      <c r="HZP251" s="266"/>
      <c r="HZQ251" s="279"/>
      <c r="HZR251" s="211"/>
      <c r="HZS251" s="211"/>
      <c r="HZT251" s="286"/>
      <c r="HZU251" s="286"/>
      <c r="HZV251" s="280"/>
      <c r="HZW251" s="281"/>
      <c r="HZX251" s="282"/>
      <c r="HZY251" s="242"/>
      <c r="HZZ251" s="222"/>
      <c r="IAB251" s="118"/>
      <c r="IAC251" s="8"/>
      <c r="IAD251" s="281"/>
      <c r="IAE251" s="78"/>
      <c r="IAF251" s="151"/>
      <c r="IAG251" s="278"/>
      <c r="IAH251" s="266"/>
      <c r="IAI251" s="279"/>
      <c r="IAJ251" s="211"/>
      <c r="IAK251" s="211"/>
      <c r="IAL251" s="286"/>
      <c r="IAM251" s="286"/>
      <c r="IAN251" s="280"/>
      <c r="IAO251" s="281"/>
      <c r="IAP251" s="282"/>
      <c r="IAQ251" s="242"/>
      <c r="IAR251" s="222"/>
      <c r="IAT251" s="118"/>
      <c r="IAU251" s="8"/>
      <c r="IAV251" s="281"/>
      <c r="IAW251" s="78"/>
      <c r="IAX251" s="151"/>
      <c r="IAY251" s="278"/>
      <c r="IAZ251" s="266"/>
      <c r="IBA251" s="279"/>
      <c r="IBB251" s="211"/>
      <c r="IBC251" s="211"/>
      <c r="IBD251" s="286"/>
      <c r="IBE251" s="286"/>
      <c r="IBF251" s="280"/>
      <c r="IBG251" s="281"/>
      <c r="IBH251" s="282"/>
      <c r="IBI251" s="242"/>
      <c r="IBJ251" s="222"/>
      <c r="IBL251" s="118"/>
      <c r="IBM251" s="8"/>
      <c r="IBN251" s="281"/>
      <c r="IBO251" s="78"/>
      <c r="IBP251" s="151"/>
      <c r="IBQ251" s="278"/>
      <c r="IBR251" s="266"/>
      <c r="IBS251" s="279"/>
      <c r="IBT251" s="211"/>
      <c r="IBU251" s="211"/>
      <c r="IBV251" s="286"/>
      <c r="IBW251" s="286"/>
      <c r="IBX251" s="280"/>
      <c r="IBY251" s="281"/>
      <c r="IBZ251" s="282"/>
      <c r="ICA251" s="242"/>
      <c r="ICB251" s="222"/>
      <c r="ICD251" s="118"/>
      <c r="ICE251" s="8"/>
      <c r="ICF251" s="281"/>
      <c r="ICG251" s="78"/>
      <c r="ICH251" s="151"/>
      <c r="ICI251" s="278"/>
      <c r="ICJ251" s="266"/>
      <c r="ICK251" s="279"/>
      <c r="ICL251" s="211"/>
      <c r="ICM251" s="211"/>
      <c r="ICN251" s="286"/>
      <c r="ICO251" s="286"/>
      <c r="ICP251" s="280"/>
      <c r="ICQ251" s="281"/>
      <c r="ICR251" s="282"/>
      <c r="ICS251" s="242"/>
      <c r="ICT251" s="222"/>
      <c r="ICV251" s="118"/>
      <c r="ICW251" s="8"/>
      <c r="ICX251" s="281"/>
      <c r="ICY251" s="78"/>
      <c r="ICZ251" s="151"/>
      <c r="IDA251" s="278"/>
      <c r="IDB251" s="266"/>
      <c r="IDC251" s="279"/>
      <c r="IDD251" s="211"/>
      <c r="IDE251" s="211"/>
      <c r="IDF251" s="286"/>
      <c r="IDG251" s="286"/>
      <c r="IDH251" s="280"/>
      <c r="IDI251" s="281"/>
      <c r="IDJ251" s="282"/>
      <c r="IDK251" s="242"/>
      <c r="IDL251" s="222"/>
      <c r="IDN251" s="118"/>
      <c r="IDO251" s="8"/>
      <c r="IDP251" s="281"/>
      <c r="IDQ251" s="78"/>
      <c r="IDR251" s="151"/>
      <c r="IDS251" s="278"/>
      <c r="IDT251" s="266"/>
      <c r="IDU251" s="279"/>
      <c r="IDV251" s="211"/>
      <c r="IDW251" s="211"/>
      <c r="IDX251" s="286"/>
      <c r="IDY251" s="286"/>
      <c r="IDZ251" s="280"/>
      <c r="IEA251" s="281"/>
      <c r="IEB251" s="282"/>
      <c r="IEC251" s="242"/>
      <c r="IED251" s="222"/>
      <c r="IEF251" s="118"/>
      <c r="IEG251" s="8"/>
      <c r="IEH251" s="281"/>
      <c r="IEI251" s="78"/>
      <c r="IEJ251" s="151"/>
      <c r="IEK251" s="278"/>
      <c r="IEL251" s="266"/>
      <c r="IEM251" s="279"/>
      <c r="IEN251" s="211"/>
      <c r="IEO251" s="211"/>
      <c r="IEP251" s="286"/>
      <c r="IEQ251" s="286"/>
      <c r="IER251" s="280"/>
      <c r="IES251" s="281"/>
      <c r="IET251" s="282"/>
      <c r="IEU251" s="242"/>
      <c r="IEV251" s="222"/>
      <c r="IEX251" s="118"/>
      <c r="IEY251" s="8"/>
      <c r="IEZ251" s="281"/>
      <c r="IFA251" s="78"/>
      <c r="IFB251" s="151"/>
      <c r="IFC251" s="278"/>
      <c r="IFD251" s="266"/>
      <c r="IFE251" s="279"/>
      <c r="IFF251" s="211"/>
      <c r="IFG251" s="211"/>
      <c r="IFH251" s="286"/>
      <c r="IFI251" s="286"/>
      <c r="IFJ251" s="280"/>
      <c r="IFK251" s="281"/>
      <c r="IFL251" s="282"/>
      <c r="IFM251" s="242"/>
      <c r="IFN251" s="222"/>
      <c r="IFP251" s="118"/>
      <c r="IFQ251" s="8"/>
      <c r="IFR251" s="281"/>
      <c r="IFS251" s="78"/>
      <c r="IFT251" s="151"/>
      <c r="IFU251" s="278"/>
      <c r="IFV251" s="266"/>
      <c r="IFW251" s="279"/>
      <c r="IFX251" s="211"/>
      <c r="IFY251" s="211"/>
      <c r="IFZ251" s="286"/>
      <c r="IGA251" s="286"/>
      <c r="IGB251" s="280"/>
      <c r="IGC251" s="281"/>
      <c r="IGD251" s="282"/>
      <c r="IGE251" s="242"/>
      <c r="IGF251" s="222"/>
      <c r="IGH251" s="118"/>
      <c r="IGI251" s="8"/>
      <c r="IGJ251" s="281"/>
      <c r="IGK251" s="78"/>
      <c r="IGL251" s="151"/>
      <c r="IGM251" s="278"/>
      <c r="IGN251" s="266"/>
      <c r="IGO251" s="279"/>
      <c r="IGP251" s="211"/>
      <c r="IGQ251" s="211"/>
      <c r="IGR251" s="286"/>
      <c r="IGS251" s="286"/>
      <c r="IGT251" s="280"/>
      <c r="IGU251" s="281"/>
      <c r="IGV251" s="282"/>
      <c r="IGW251" s="242"/>
      <c r="IGX251" s="222"/>
      <c r="IGZ251" s="118"/>
      <c r="IHA251" s="8"/>
      <c r="IHB251" s="281"/>
      <c r="IHC251" s="78"/>
      <c r="IHD251" s="151"/>
      <c r="IHE251" s="278"/>
      <c r="IHF251" s="266"/>
      <c r="IHG251" s="279"/>
      <c r="IHH251" s="211"/>
      <c r="IHI251" s="211"/>
      <c r="IHJ251" s="286"/>
      <c r="IHK251" s="286"/>
      <c r="IHL251" s="280"/>
      <c r="IHM251" s="281"/>
      <c r="IHN251" s="282"/>
      <c r="IHO251" s="242"/>
      <c r="IHP251" s="222"/>
      <c r="IHR251" s="118"/>
      <c r="IHS251" s="8"/>
      <c r="IHT251" s="281"/>
      <c r="IHU251" s="78"/>
      <c r="IHV251" s="151"/>
      <c r="IHW251" s="278"/>
      <c r="IHX251" s="266"/>
      <c r="IHY251" s="279"/>
      <c r="IHZ251" s="211"/>
      <c r="IIA251" s="211"/>
      <c r="IIB251" s="286"/>
      <c r="IIC251" s="286"/>
      <c r="IID251" s="280"/>
      <c r="IIE251" s="281"/>
      <c r="IIF251" s="282"/>
      <c r="IIG251" s="242"/>
      <c r="IIH251" s="222"/>
      <c r="IIJ251" s="118"/>
      <c r="IIK251" s="8"/>
      <c r="IIL251" s="281"/>
      <c r="IIM251" s="78"/>
      <c r="IIN251" s="151"/>
      <c r="IIO251" s="278"/>
      <c r="IIP251" s="266"/>
      <c r="IIQ251" s="279"/>
      <c r="IIR251" s="211"/>
      <c r="IIS251" s="211"/>
      <c r="IIT251" s="286"/>
      <c r="IIU251" s="286"/>
      <c r="IIV251" s="280"/>
      <c r="IIW251" s="281"/>
      <c r="IIX251" s="282"/>
      <c r="IIY251" s="242"/>
      <c r="IIZ251" s="222"/>
      <c r="IJB251" s="118"/>
      <c r="IJC251" s="8"/>
      <c r="IJD251" s="281"/>
      <c r="IJE251" s="78"/>
      <c r="IJF251" s="151"/>
      <c r="IJG251" s="278"/>
      <c r="IJH251" s="266"/>
      <c r="IJI251" s="279"/>
      <c r="IJJ251" s="211"/>
      <c r="IJK251" s="211"/>
      <c r="IJL251" s="286"/>
      <c r="IJM251" s="286"/>
      <c r="IJN251" s="280"/>
      <c r="IJO251" s="281"/>
      <c r="IJP251" s="282"/>
      <c r="IJQ251" s="242"/>
      <c r="IJR251" s="222"/>
      <c r="IJT251" s="118"/>
      <c r="IJU251" s="8"/>
      <c r="IJV251" s="281"/>
      <c r="IJW251" s="78"/>
      <c r="IJX251" s="151"/>
      <c r="IJY251" s="278"/>
      <c r="IJZ251" s="266"/>
      <c r="IKA251" s="279"/>
      <c r="IKB251" s="211"/>
      <c r="IKC251" s="211"/>
      <c r="IKD251" s="286"/>
      <c r="IKE251" s="286"/>
      <c r="IKF251" s="280"/>
      <c r="IKG251" s="281"/>
      <c r="IKH251" s="282"/>
      <c r="IKI251" s="242"/>
      <c r="IKJ251" s="222"/>
      <c r="IKL251" s="118"/>
      <c r="IKM251" s="8"/>
      <c r="IKN251" s="281"/>
      <c r="IKO251" s="78"/>
      <c r="IKP251" s="151"/>
      <c r="IKQ251" s="278"/>
      <c r="IKR251" s="266"/>
      <c r="IKS251" s="279"/>
      <c r="IKT251" s="211"/>
      <c r="IKU251" s="211"/>
      <c r="IKV251" s="286"/>
      <c r="IKW251" s="286"/>
      <c r="IKX251" s="280"/>
      <c r="IKY251" s="281"/>
      <c r="IKZ251" s="282"/>
      <c r="ILA251" s="242"/>
      <c r="ILB251" s="222"/>
      <c r="ILD251" s="118"/>
      <c r="ILE251" s="8"/>
      <c r="ILF251" s="281"/>
      <c r="ILG251" s="78"/>
      <c r="ILH251" s="151"/>
      <c r="ILI251" s="278"/>
      <c r="ILJ251" s="266"/>
      <c r="ILK251" s="279"/>
      <c r="ILL251" s="211"/>
      <c r="ILM251" s="211"/>
      <c r="ILN251" s="286"/>
      <c r="ILO251" s="286"/>
      <c r="ILP251" s="280"/>
      <c r="ILQ251" s="281"/>
      <c r="ILR251" s="282"/>
      <c r="ILS251" s="242"/>
      <c r="ILT251" s="222"/>
      <c r="ILV251" s="118"/>
      <c r="ILW251" s="8"/>
      <c r="ILX251" s="281"/>
      <c r="ILY251" s="78"/>
      <c r="ILZ251" s="151"/>
      <c r="IMA251" s="278"/>
      <c r="IMB251" s="266"/>
      <c r="IMC251" s="279"/>
      <c r="IMD251" s="211"/>
      <c r="IME251" s="211"/>
      <c r="IMF251" s="286"/>
      <c r="IMG251" s="286"/>
      <c r="IMH251" s="280"/>
      <c r="IMI251" s="281"/>
      <c r="IMJ251" s="282"/>
      <c r="IMK251" s="242"/>
      <c r="IML251" s="222"/>
      <c r="IMN251" s="118"/>
      <c r="IMO251" s="8"/>
      <c r="IMP251" s="281"/>
      <c r="IMQ251" s="78"/>
      <c r="IMR251" s="151"/>
      <c r="IMS251" s="278"/>
      <c r="IMT251" s="266"/>
      <c r="IMU251" s="279"/>
      <c r="IMV251" s="211"/>
      <c r="IMW251" s="211"/>
      <c r="IMX251" s="286"/>
      <c r="IMY251" s="286"/>
      <c r="IMZ251" s="280"/>
      <c r="INA251" s="281"/>
      <c r="INB251" s="282"/>
      <c r="INC251" s="242"/>
      <c r="IND251" s="222"/>
      <c r="INF251" s="118"/>
      <c r="ING251" s="8"/>
      <c r="INH251" s="281"/>
      <c r="INI251" s="78"/>
      <c r="INJ251" s="151"/>
      <c r="INK251" s="278"/>
      <c r="INL251" s="266"/>
      <c r="INM251" s="279"/>
      <c r="INN251" s="211"/>
      <c r="INO251" s="211"/>
      <c r="INP251" s="286"/>
      <c r="INQ251" s="286"/>
      <c r="INR251" s="280"/>
      <c r="INS251" s="281"/>
      <c r="INT251" s="282"/>
      <c r="INU251" s="242"/>
      <c r="INV251" s="222"/>
      <c r="INX251" s="118"/>
      <c r="INY251" s="8"/>
      <c r="INZ251" s="281"/>
      <c r="IOA251" s="78"/>
      <c r="IOB251" s="151"/>
      <c r="IOC251" s="278"/>
      <c r="IOD251" s="266"/>
      <c r="IOE251" s="279"/>
      <c r="IOF251" s="211"/>
      <c r="IOG251" s="211"/>
      <c r="IOH251" s="286"/>
      <c r="IOI251" s="286"/>
      <c r="IOJ251" s="280"/>
      <c r="IOK251" s="281"/>
      <c r="IOL251" s="282"/>
      <c r="IOM251" s="242"/>
      <c r="ION251" s="222"/>
      <c r="IOP251" s="118"/>
      <c r="IOQ251" s="8"/>
      <c r="IOR251" s="281"/>
      <c r="IOS251" s="78"/>
      <c r="IOT251" s="151"/>
      <c r="IOU251" s="278"/>
      <c r="IOV251" s="266"/>
      <c r="IOW251" s="279"/>
      <c r="IOX251" s="211"/>
      <c r="IOY251" s="211"/>
      <c r="IOZ251" s="286"/>
      <c r="IPA251" s="286"/>
      <c r="IPB251" s="280"/>
      <c r="IPC251" s="281"/>
      <c r="IPD251" s="282"/>
      <c r="IPE251" s="242"/>
      <c r="IPF251" s="222"/>
      <c r="IPH251" s="118"/>
      <c r="IPI251" s="8"/>
      <c r="IPJ251" s="281"/>
      <c r="IPK251" s="78"/>
      <c r="IPL251" s="151"/>
      <c r="IPM251" s="278"/>
      <c r="IPN251" s="266"/>
      <c r="IPO251" s="279"/>
      <c r="IPP251" s="211"/>
      <c r="IPQ251" s="211"/>
      <c r="IPR251" s="286"/>
      <c r="IPS251" s="286"/>
      <c r="IPT251" s="280"/>
      <c r="IPU251" s="281"/>
      <c r="IPV251" s="282"/>
      <c r="IPW251" s="242"/>
      <c r="IPX251" s="222"/>
      <c r="IPZ251" s="118"/>
      <c r="IQA251" s="8"/>
      <c r="IQB251" s="281"/>
      <c r="IQC251" s="78"/>
      <c r="IQD251" s="151"/>
      <c r="IQE251" s="278"/>
      <c r="IQF251" s="266"/>
      <c r="IQG251" s="279"/>
      <c r="IQH251" s="211"/>
      <c r="IQI251" s="211"/>
      <c r="IQJ251" s="286"/>
      <c r="IQK251" s="286"/>
      <c r="IQL251" s="280"/>
      <c r="IQM251" s="281"/>
      <c r="IQN251" s="282"/>
      <c r="IQO251" s="242"/>
      <c r="IQP251" s="222"/>
      <c r="IQR251" s="118"/>
      <c r="IQS251" s="8"/>
      <c r="IQT251" s="281"/>
      <c r="IQU251" s="78"/>
      <c r="IQV251" s="151"/>
      <c r="IQW251" s="278"/>
      <c r="IQX251" s="266"/>
      <c r="IQY251" s="279"/>
      <c r="IQZ251" s="211"/>
      <c r="IRA251" s="211"/>
      <c r="IRB251" s="286"/>
      <c r="IRC251" s="286"/>
      <c r="IRD251" s="280"/>
      <c r="IRE251" s="281"/>
      <c r="IRF251" s="282"/>
      <c r="IRG251" s="242"/>
      <c r="IRH251" s="222"/>
      <c r="IRJ251" s="118"/>
      <c r="IRK251" s="8"/>
      <c r="IRL251" s="281"/>
      <c r="IRM251" s="78"/>
      <c r="IRN251" s="151"/>
      <c r="IRO251" s="278"/>
      <c r="IRP251" s="266"/>
      <c r="IRQ251" s="279"/>
      <c r="IRR251" s="211"/>
      <c r="IRS251" s="211"/>
      <c r="IRT251" s="286"/>
      <c r="IRU251" s="286"/>
      <c r="IRV251" s="280"/>
      <c r="IRW251" s="281"/>
      <c r="IRX251" s="282"/>
      <c r="IRY251" s="242"/>
      <c r="IRZ251" s="222"/>
      <c r="ISB251" s="118"/>
      <c r="ISC251" s="8"/>
      <c r="ISD251" s="281"/>
      <c r="ISE251" s="78"/>
      <c r="ISF251" s="151"/>
      <c r="ISG251" s="278"/>
      <c r="ISH251" s="266"/>
      <c r="ISI251" s="279"/>
      <c r="ISJ251" s="211"/>
      <c r="ISK251" s="211"/>
      <c r="ISL251" s="286"/>
      <c r="ISM251" s="286"/>
      <c r="ISN251" s="280"/>
      <c r="ISO251" s="281"/>
      <c r="ISP251" s="282"/>
      <c r="ISQ251" s="242"/>
      <c r="ISR251" s="222"/>
      <c r="IST251" s="118"/>
      <c r="ISU251" s="8"/>
      <c r="ISV251" s="281"/>
      <c r="ISW251" s="78"/>
      <c r="ISX251" s="151"/>
      <c r="ISY251" s="278"/>
      <c r="ISZ251" s="266"/>
      <c r="ITA251" s="279"/>
      <c r="ITB251" s="211"/>
      <c r="ITC251" s="211"/>
      <c r="ITD251" s="286"/>
      <c r="ITE251" s="286"/>
      <c r="ITF251" s="280"/>
      <c r="ITG251" s="281"/>
      <c r="ITH251" s="282"/>
      <c r="ITI251" s="242"/>
      <c r="ITJ251" s="222"/>
      <c r="ITL251" s="118"/>
      <c r="ITM251" s="8"/>
      <c r="ITN251" s="281"/>
      <c r="ITO251" s="78"/>
      <c r="ITP251" s="151"/>
      <c r="ITQ251" s="278"/>
      <c r="ITR251" s="266"/>
      <c r="ITS251" s="279"/>
      <c r="ITT251" s="211"/>
      <c r="ITU251" s="211"/>
      <c r="ITV251" s="286"/>
      <c r="ITW251" s="286"/>
      <c r="ITX251" s="280"/>
      <c r="ITY251" s="281"/>
      <c r="ITZ251" s="282"/>
      <c r="IUA251" s="242"/>
      <c r="IUB251" s="222"/>
      <c r="IUD251" s="118"/>
      <c r="IUE251" s="8"/>
      <c r="IUF251" s="281"/>
      <c r="IUG251" s="78"/>
      <c r="IUH251" s="151"/>
      <c r="IUI251" s="278"/>
      <c r="IUJ251" s="266"/>
      <c r="IUK251" s="279"/>
      <c r="IUL251" s="211"/>
      <c r="IUM251" s="211"/>
      <c r="IUN251" s="286"/>
      <c r="IUO251" s="286"/>
      <c r="IUP251" s="280"/>
      <c r="IUQ251" s="281"/>
      <c r="IUR251" s="282"/>
      <c r="IUS251" s="242"/>
      <c r="IUT251" s="222"/>
      <c r="IUV251" s="118"/>
      <c r="IUW251" s="8"/>
      <c r="IUX251" s="281"/>
      <c r="IUY251" s="78"/>
      <c r="IUZ251" s="151"/>
      <c r="IVA251" s="278"/>
      <c r="IVB251" s="266"/>
      <c r="IVC251" s="279"/>
      <c r="IVD251" s="211"/>
      <c r="IVE251" s="211"/>
      <c r="IVF251" s="286"/>
      <c r="IVG251" s="286"/>
      <c r="IVH251" s="280"/>
      <c r="IVI251" s="281"/>
      <c r="IVJ251" s="282"/>
      <c r="IVK251" s="242"/>
      <c r="IVL251" s="222"/>
      <c r="IVN251" s="118"/>
      <c r="IVO251" s="8"/>
      <c r="IVP251" s="281"/>
      <c r="IVQ251" s="78"/>
      <c r="IVR251" s="151"/>
      <c r="IVS251" s="278"/>
      <c r="IVT251" s="266"/>
      <c r="IVU251" s="279"/>
      <c r="IVV251" s="211"/>
      <c r="IVW251" s="211"/>
      <c r="IVX251" s="286"/>
      <c r="IVY251" s="286"/>
      <c r="IVZ251" s="280"/>
      <c r="IWA251" s="281"/>
      <c r="IWB251" s="282"/>
      <c r="IWC251" s="242"/>
      <c r="IWD251" s="222"/>
      <c r="IWF251" s="118"/>
      <c r="IWG251" s="8"/>
      <c r="IWH251" s="281"/>
      <c r="IWI251" s="78"/>
      <c r="IWJ251" s="151"/>
      <c r="IWK251" s="278"/>
      <c r="IWL251" s="266"/>
      <c r="IWM251" s="279"/>
      <c r="IWN251" s="211"/>
      <c r="IWO251" s="211"/>
      <c r="IWP251" s="286"/>
      <c r="IWQ251" s="286"/>
      <c r="IWR251" s="280"/>
      <c r="IWS251" s="281"/>
      <c r="IWT251" s="282"/>
      <c r="IWU251" s="242"/>
      <c r="IWV251" s="222"/>
      <c r="IWX251" s="118"/>
      <c r="IWY251" s="8"/>
      <c r="IWZ251" s="281"/>
      <c r="IXA251" s="78"/>
      <c r="IXB251" s="151"/>
      <c r="IXC251" s="278"/>
      <c r="IXD251" s="266"/>
      <c r="IXE251" s="279"/>
      <c r="IXF251" s="211"/>
      <c r="IXG251" s="211"/>
      <c r="IXH251" s="286"/>
      <c r="IXI251" s="286"/>
      <c r="IXJ251" s="280"/>
      <c r="IXK251" s="281"/>
      <c r="IXL251" s="282"/>
      <c r="IXM251" s="242"/>
      <c r="IXN251" s="222"/>
      <c r="IXP251" s="118"/>
      <c r="IXQ251" s="8"/>
      <c r="IXR251" s="281"/>
      <c r="IXS251" s="78"/>
      <c r="IXT251" s="151"/>
      <c r="IXU251" s="278"/>
      <c r="IXV251" s="266"/>
      <c r="IXW251" s="279"/>
      <c r="IXX251" s="211"/>
      <c r="IXY251" s="211"/>
      <c r="IXZ251" s="286"/>
      <c r="IYA251" s="286"/>
      <c r="IYB251" s="280"/>
      <c r="IYC251" s="281"/>
      <c r="IYD251" s="282"/>
      <c r="IYE251" s="242"/>
      <c r="IYF251" s="222"/>
      <c r="IYH251" s="118"/>
      <c r="IYI251" s="8"/>
      <c r="IYJ251" s="281"/>
      <c r="IYK251" s="78"/>
      <c r="IYL251" s="151"/>
      <c r="IYM251" s="278"/>
      <c r="IYN251" s="266"/>
      <c r="IYO251" s="279"/>
      <c r="IYP251" s="211"/>
      <c r="IYQ251" s="211"/>
      <c r="IYR251" s="286"/>
      <c r="IYS251" s="286"/>
      <c r="IYT251" s="280"/>
      <c r="IYU251" s="281"/>
      <c r="IYV251" s="282"/>
      <c r="IYW251" s="242"/>
      <c r="IYX251" s="222"/>
      <c r="IYZ251" s="118"/>
      <c r="IZA251" s="8"/>
      <c r="IZB251" s="281"/>
      <c r="IZC251" s="78"/>
      <c r="IZD251" s="151"/>
      <c r="IZE251" s="278"/>
      <c r="IZF251" s="266"/>
      <c r="IZG251" s="279"/>
      <c r="IZH251" s="211"/>
      <c r="IZI251" s="211"/>
      <c r="IZJ251" s="286"/>
      <c r="IZK251" s="286"/>
      <c r="IZL251" s="280"/>
      <c r="IZM251" s="281"/>
      <c r="IZN251" s="282"/>
      <c r="IZO251" s="242"/>
      <c r="IZP251" s="222"/>
      <c r="IZR251" s="118"/>
      <c r="IZS251" s="8"/>
      <c r="IZT251" s="281"/>
      <c r="IZU251" s="78"/>
      <c r="IZV251" s="151"/>
      <c r="IZW251" s="278"/>
      <c r="IZX251" s="266"/>
      <c r="IZY251" s="279"/>
      <c r="IZZ251" s="211"/>
      <c r="JAA251" s="211"/>
      <c r="JAB251" s="286"/>
      <c r="JAC251" s="286"/>
      <c r="JAD251" s="280"/>
      <c r="JAE251" s="281"/>
      <c r="JAF251" s="282"/>
      <c r="JAG251" s="242"/>
      <c r="JAH251" s="222"/>
      <c r="JAJ251" s="118"/>
      <c r="JAK251" s="8"/>
      <c r="JAL251" s="281"/>
      <c r="JAM251" s="78"/>
      <c r="JAN251" s="151"/>
      <c r="JAO251" s="278"/>
      <c r="JAP251" s="266"/>
      <c r="JAQ251" s="279"/>
      <c r="JAR251" s="211"/>
      <c r="JAS251" s="211"/>
      <c r="JAT251" s="286"/>
      <c r="JAU251" s="286"/>
      <c r="JAV251" s="280"/>
      <c r="JAW251" s="281"/>
      <c r="JAX251" s="282"/>
      <c r="JAY251" s="242"/>
      <c r="JAZ251" s="222"/>
      <c r="JBB251" s="118"/>
      <c r="JBC251" s="8"/>
      <c r="JBD251" s="281"/>
      <c r="JBE251" s="78"/>
      <c r="JBF251" s="151"/>
      <c r="JBG251" s="278"/>
      <c r="JBH251" s="266"/>
      <c r="JBI251" s="279"/>
      <c r="JBJ251" s="211"/>
      <c r="JBK251" s="211"/>
      <c r="JBL251" s="286"/>
      <c r="JBM251" s="286"/>
      <c r="JBN251" s="280"/>
      <c r="JBO251" s="281"/>
      <c r="JBP251" s="282"/>
      <c r="JBQ251" s="242"/>
      <c r="JBR251" s="222"/>
      <c r="JBT251" s="118"/>
      <c r="JBU251" s="8"/>
      <c r="JBV251" s="281"/>
      <c r="JBW251" s="78"/>
      <c r="JBX251" s="151"/>
      <c r="JBY251" s="278"/>
      <c r="JBZ251" s="266"/>
      <c r="JCA251" s="279"/>
      <c r="JCB251" s="211"/>
      <c r="JCC251" s="211"/>
      <c r="JCD251" s="286"/>
      <c r="JCE251" s="286"/>
      <c r="JCF251" s="280"/>
      <c r="JCG251" s="281"/>
      <c r="JCH251" s="282"/>
      <c r="JCI251" s="242"/>
      <c r="JCJ251" s="222"/>
      <c r="JCL251" s="118"/>
      <c r="JCM251" s="8"/>
      <c r="JCN251" s="281"/>
      <c r="JCO251" s="78"/>
      <c r="JCP251" s="151"/>
      <c r="JCQ251" s="278"/>
      <c r="JCR251" s="266"/>
      <c r="JCS251" s="279"/>
      <c r="JCT251" s="211"/>
      <c r="JCU251" s="211"/>
      <c r="JCV251" s="286"/>
      <c r="JCW251" s="286"/>
      <c r="JCX251" s="280"/>
      <c r="JCY251" s="281"/>
      <c r="JCZ251" s="282"/>
      <c r="JDA251" s="242"/>
      <c r="JDB251" s="222"/>
      <c r="JDD251" s="118"/>
      <c r="JDE251" s="8"/>
      <c r="JDF251" s="281"/>
      <c r="JDG251" s="78"/>
      <c r="JDH251" s="151"/>
      <c r="JDI251" s="278"/>
      <c r="JDJ251" s="266"/>
      <c r="JDK251" s="279"/>
      <c r="JDL251" s="211"/>
      <c r="JDM251" s="211"/>
      <c r="JDN251" s="286"/>
      <c r="JDO251" s="286"/>
      <c r="JDP251" s="280"/>
      <c r="JDQ251" s="281"/>
      <c r="JDR251" s="282"/>
      <c r="JDS251" s="242"/>
      <c r="JDT251" s="222"/>
      <c r="JDV251" s="118"/>
      <c r="JDW251" s="8"/>
      <c r="JDX251" s="281"/>
      <c r="JDY251" s="78"/>
      <c r="JDZ251" s="151"/>
      <c r="JEA251" s="278"/>
      <c r="JEB251" s="266"/>
      <c r="JEC251" s="279"/>
      <c r="JED251" s="211"/>
      <c r="JEE251" s="211"/>
      <c r="JEF251" s="286"/>
      <c r="JEG251" s="286"/>
      <c r="JEH251" s="280"/>
      <c r="JEI251" s="281"/>
      <c r="JEJ251" s="282"/>
      <c r="JEK251" s="242"/>
      <c r="JEL251" s="222"/>
      <c r="JEN251" s="118"/>
      <c r="JEO251" s="8"/>
      <c r="JEP251" s="281"/>
      <c r="JEQ251" s="78"/>
      <c r="JER251" s="151"/>
      <c r="JES251" s="278"/>
      <c r="JET251" s="266"/>
      <c r="JEU251" s="279"/>
      <c r="JEV251" s="211"/>
      <c r="JEW251" s="211"/>
      <c r="JEX251" s="286"/>
      <c r="JEY251" s="286"/>
      <c r="JEZ251" s="280"/>
      <c r="JFA251" s="281"/>
      <c r="JFB251" s="282"/>
      <c r="JFC251" s="242"/>
      <c r="JFD251" s="222"/>
      <c r="JFF251" s="118"/>
      <c r="JFG251" s="8"/>
      <c r="JFH251" s="281"/>
      <c r="JFI251" s="78"/>
      <c r="JFJ251" s="151"/>
      <c r="JFK251" s="278"/>
      <c r="JFL251" s="266"/>
      <c r="JFM251" s="279"/>
      <c r="JFN251" s="211"/>
      <c r="JFO251" s="211"/>
      <c r="JFP251" s="286"/>
      <c r="JFQ251" s="286"/>
      <c r="JFR251" s="280"/>
      <c r="JFS251" s="281"/>
      <c r="JFT251" s="282"/>
      <c r="JFU251" s="242"/>
      <c r="JFV251" s="222"/>
      <c r="JFX251" s="118"/>
      <c r="JFY251" s="8"/>
      <c r="JFZ251" s="281"/>
      <c r="JGA251" s="78"/>
      <c r="JGB251" s="151"/>
      <c r="JGC251" s="278"/>
      <c r="JGD251" s="266"/>
      <c r="JGE251" s="279"/>
      <c r="JGF251" s="211"/>
      <c r="JGG251" s="211"/>
      <c r="JGH251" s="286"/>
      <c r="JGI251" s="286"/>
      <c r="JGJ251" s="280"/>
      <c r="JGK251" s="281"/>
      <c r="JGL251" s="282"/>
      <c r="JGM251" s="242"/>
      <c r="JGN251" s="222"/>
      <c r="JGP251" s="118"/>
      <c r="JGQ251" s="8"/>
      <c r="JGR251" s="281"/>
      <c r="JGS251" s="78"/>
      <c r="JGT251" s="151"/>
      <c r="JGU251" s="278"/>
      <c r="JGV251" s="266"/>
      <c r="JGW251" s="279"/>
      <c r="JGX251" s="211"/>
      <c r="JGY251" s="211"/>
      <c r="JGZ251" s="286"/>
      <c r="JHA251" s="286"/>
      <c r="JHB251" s="280"/>
      <c r="JHC251" s="281"/>
      <c r="JHD251" s="282"/>
      <c r="JHE251" s="242"/>
      <c r="JHF251" s="222"/>
      <c r="JHH251" s="118"/>
      <c r="JHI251" s="8"/>
      <c r="JHJ251" s="281"/>
      <c r="JHK251" s="78"/>
      <c r="JHL251" s="151"/>
      <c r="JHM251" s="278"/>
      <c r="JHN251" s="266"/>
      <c r="JHO251" s="279"/>
      <c r="JHP251" s="211"/>
      <c r="JHQ251" s="211"/>
      <c r="JHR251" s="286"/>
      <c r="JHS251" s="286"/>
      <c r="JHT251" s="280"/>
      <c r="JHU251" s="281"/>
      <c r="JHV251" s="282"/>
      <c r="JHW251" s="242"/>
      <c r="JHX251" s="222"/>
      <c r="JHZ251" s="118"/>
      <c r="JIA251" s="8"/>
      <c r="JIB251" s="281"/>
      <c r="JIC251" s="78"/>
      <c r="JID251" s="151"/>
      <c r="JIE251" s="278"/>
      <c r="JIF251" s="266"/>
      <c r="JIG251" s="279"/>
      <c r="JIH251" s="211"/>
      <c r="JII251" s="211"/>
      <c r="JIJ251" s="286"/>
      <c r="JIK251" s="286"/>
      <c r="JIL251" s="280"/>
      <c r="JIM251" s="281"/>
      <c r="JIN251" s="282"/>
      <c r="JIO251" s="242"/>
      <c r="JIP251" s="222"/>
      <c r="JIR251" s="118"/>
      <c r="JIS251" s="8"/>
      <c r="JIT251" s="281"/>
      <c r="JIU251" s="78"/>
      <c r="JIV251" s="151"/>
      <c r="JIW251" s="278"/>
      <c r="JIX251" s="266"/>
      <c r="JIY251" s="279"/>
      <c r="JIZ251" s="211"/>
      <c r="JJA251" s="211"/>
      <c r="JJB251" s="286"/>
      <c r="JJC251" s="286"/>
      <c r="JJD251" s="280"/>
      <c r="JJE251" s="281"/>
      <c r="JJF251" s="282"/>
      <c r="JJG251" s="242"/>
      <c r="JJH251" s="222"/>
      <c r="JJJ251" s="118"/>
      <c r="JJK251" s="8"/>
      <c r="JJL251" s="281"/>
      <c r="JJM251" s="78"/>
      <c r="JJN251" s="151"/>
      <c r="JJO251" s="278"/>
      <c r="JJP251" s="266"/>
      <c r="JJQ251" s="279"/>
      <c r="JJR251" s="211"/>
      <c r="JJS251" s="211"/>
      <c r="JJT251" s="286"/>
      <c r="JJU251" s="286"/>
      <c r="JJV251" s="280"/>
      <c r="JJW251" s="281"/>
      <c r="JJX251" s="282"/>
      <c r="JJY251" s="242"/>
      <c r="JJZ251" s="222"/>
      <c r="JKB251" s="118"/>
      <c r="JKC251" s="8"/>
      <c r="JKD251" s="281"/>
      <c r="JKE251" s="78"/>
      <c r="JKF251" s="151"/>
      <c r="JKG251" s="278"/>
      <c r="JKH251" s="266"/>
      <c r="JKI251" s="279"/>
      <c r="JKJ251" s="211"/>
      <c r="JKK251" s="211"/>
      <c r="JKL251" s="286"/>
      <c r="JKM251" s="286"/>
      <c r="JKN251" s="280"/>
      <c r="JKO251" s="281"/>
      <c r="JKP251" s="282"/>
      <c r="JKQ251" s="242"/>
      <c r="JKR251" s="222"/>
      <c r="JKT251" s="118"/>
      <c r="JKU251" s="8"/>
      <c r="JKV251" s="281"/>
      <c r="JKW251" s="78"/>
      <c r="JKX251" s="151"/>
      <c r="JKY251" s="278"/>
      <c r="JKZ251" s="266"/>
      <c r="JLA251" s="279"/>
      <c r="JLB251" s="211"/>
      <c r="JLC251" s="211"/>
      <c r="JLD251" s="286"/>
      <c r="JLE251" s="286"/>
      <c r="JLF251" s="280"/>
      <c r="JLG251" s="281"/>
      <c r="JLH251" s="282"/>
      <c r="JLI251" s="242"/>
      <c r="JLJ251" s="222"/>
      <c r="JLL251" s="118"/>
      <c r="JLM251" s="8"/>
      <c r="JLN251" s="281"/>
      <c r="JLO251" s="78"/>
      <c r="JLP251" s="151"/>
      <c r="JLQ251" s="278"/>
      <c r="JLR251" s="266"/>
      <c r="JLS251" s="279"/>
      <c r="JLT251" s="211"/>
      <c r="JLU251" s="211"/>
      <c r="JLV251" s="286"/>
      <c r="JLW251" s="286"/>
      <c r="JLX251" s="280"/>
      <c r="JLY251" s="281"/>
      <c r="JLZ251" s="282"/>
      <c r="JMA251" s="242"/>
      <c r="JMB251" s="222"/>
      <c r="JMD251" s="118"/>
      <c r="JME251" s="8"/>
      <c r="JMF251" s="281"/>
      <c r="JMG251" s="78"/>
      <c r="JMH251" s="151"/>
      <c r="JMI251" s="278"/>
      <c r="JMJ251" s="266"/>
      <c r="JMK251" s="279"/>
      <c r="JML251" s="211"/>
      <c r="JMM251" s="211"/>
      <c r="JMN251" s="286"/>
      <c r="JMO251" s="286"/>
      <c r="JMP251" s="280"/>
      <c r="JMQ251" s="281"/>
      <c r="JMR251" s="282"/>
      <c r="JMS251" s="242"/>
      <c r="JMT251" s="222"/>
      <c r="JMV251" s="118"/>
      <c r="JMW251" s="8"/>
      <c r="JMX251" s="281"/>
      <c r="JMY251" s="78"/>
      <c r="JMZ251" s="151"/>
      <c r="JNA251" s="278"/>
      <c r="JNB251" s="266"/>
      <c r="JNC251" s="279"/>
      <c r="JND251" s="211"/>
      <c r="JNE251" s="211"/>
      <c r="JNF251" s="286"/>
      <c r="JNG251" s="286"/>
      <c r="JNH251" s="280"/>
      <c r="JNI251" s="281"/>
      <c r="JNJ251" s="282"/>
      <c r="JNK251" s="242"/>
      <c r="JNL251" s="222"/>
      <c r="JNN251" s="118"/>
      <c r="JNO251" s="8"/>
      <c r="JNP251" s="281"/>
      <c r="JNQ251" s="78"/>
      <c r="JNR251" s="151"/>
      <c r="JNS251" s="278"/>
      <c r="JNT251" s="266"/>
      <c r="JNU251" s="279"/>
      <c r="JNV251" s="211"/>
      <c r="JNW251" s="211"/>
      <c r="JNX251" s="286"/>
      <c r="JNY251" s="286"/>
      <c r="JNZ251" s="280"/>
      <c r="JOA251" s="281"/>
      <c r="JOB251" s="282"/>
      <c r="JOC251" s="242"/>
      <c r="JOD251" s="222"/>
      <c r="JOF251" s="118"/>
      <c r="JOG251" s="8"/>
      <c r="JOH251" s="281"/>
      <c r="JOI251" s="78"/>
      <c r="JOJ251" s="151"/>
      <c r="JOK251" s="278"/>
      <c r="JOL251" s="266"/>
      <c r="JOM251" s="279"/>
      <c r="JON251" s="211"/>
      <c r="JOO251" s="211"/>
      <c r="JOP251" s="286"/>
      <c r="JOQ251" s="286"/>
      <c r="JOR251" s="280"/>
      <c r="JOS251" s="281"/>
      <c r="JOT251" s="282"/>
      <c r="JOU251" s="242"/>
      <c r="JOV251" s="222"/>
      <c r="JOX251" s="118"/>
      <c r="JOY251" s="8"/>
      <c r="JOZ251" s="281"/>
      <c r="JPA251" s="78"/>
      <c r="JPB251" s="151"/>
      <c r="JPC251" s="278"/>
      <c r="JPD251" s="266"/>
      <c r="JPE251" s="279"/>
      <c r="JPF251" s="211"/>
      <c r="JPG251" s="211"/>
      <c r="JPH251" s="286"/>
      <c r="JPI251" s="286"/>
      <c r="JPJ251" s="280"/>
      <c r="JPK251" s="281"/>
      <c r="JPL251" s="282"/>
      <c r="JPM251" s="242"/>
      <c r="JPN251" s="222"/>
      <c r="JPP251" s="118"/>
      <c r="JPQ251" s="8"/>
      <c r="JPR251" s="281"/>
      <c r="JPS251" s="78"/>
      <c r="JPT251" s="151"/>
      <c r="JPU251" s="278"/>
      <c r="JPV251" s="266"/>
      <c r="JPW251" s="279"/>
      <c r="JPX251" s="211"/>
      <c r="JPY251" s="211"/>
      <c r="JPZ251" s="286"/>
      <c r="JQA251" s="286"/>
      <c r="JQB251" s="280"/>
      <c r="JQC251" s="281"/>
      <c r="JQD251" s="282"/>
      <c r="JQE251" s="242"/>
      <c r="JQF251" s="222"/>
      <c r="JQH251" s="118"/>
      <c r="JQI251" s="8"/>
      <c r="JQJ251" s="281"/>
      <c r="JQK251" s="78"/>
      <c r="JQL251" s="151"/>
      <c r="JQM251" s="278"/>
      <c r="JQN251" s="266"/>
      <c r="JQO251" s="279"/>
      <c r="JQP251" s="211"/>
      <c r="JQQ251" s="211"/>
      <c r="JQR251" s="286"/>
      <c r="JQS251" s="286"/>
      <c r="JQT251" s="280"/>
      <c r="JQU251" s="281"/>
      <c r="JQV251" s="282"/>
      <c r="JQW251" s="242"/>
      <c r="JQX251" s="222"/>
      <c r="JQZ251" s="118"/>
      <c r="JRA251" s="8"/>
      <c r="JRB251" s="281"/>
      <c r="JRC251" s="78"/>
      <c r="JRD251" s="151"/>
      <c r="JRE251" s="278"/>
      <c r="JRF251" s="266"/>
      <c r="JRG251" s="279"/>
      <c r="JRH251" s="211"/>
      <c r="JRI251" s="211"/>
      <c r="JRJ251" s="286"/>
      <c r="JRK251" s="286"/>
      <c r="JRL251" s="280"/>
      <c r="JRM251" s="281"/>
      <c r="JRN251" s="282"/>
      <c r="JRO251" s="242"/>
      <c r="JRP251" s="222"/>
      <c r="JRR251" s="118"/>
      <c r="JRS251" s="8"/>
      <c r="JRT251" s="281"/>
      <c r="JRU251" s="78"/>
      <c r="JRV251" s="151"/>
      <c r="JRW251" s="278"/>
      <c r="JRX251" s="266"/>
      <c r="JRY251" s="279"/>
      <c r="JRZ251" s="211"/>
      <c r="JSA251" s="211"/>
      <c r="JSB251" s="286"/>
      <c r="JSC251" s="286"/>
      <c r="JSD251" s="280"/>
      <c r="JSE251" s="281"/>
      <c r="JSF251" s="282"/>
      <c r="JSG251" s="242"/>
      <c r="JSH251" s="222"/>
      <c r="JSJ251" s="118"/>
      <c r="JSK251" s="8"/>
      <c r="JSL251" s="281"/>
      <c r="JSM251" s="78"/>
      <c r="JSN251" s="151"/>
      <c r="JSO251" s="278"/>
      <c r="JSP251" s="266"/>
      <c r="JSQ251" s="279"/>
      <c r="JSR251" s="211"/>
      <c r="JSS251" s="211"/>
      <c r="JST251" s="286"/>
      <c r="JSU251" s="286"/>
      <c r="JSV251" s="280"/>
      <c r="JSW251" s="281"/>
      <c r="JSX251" s="282"/>
      <c r="JSY251" s="242"/>
      <c r="JSZ251" s="222"/>
      <c r="JTB251" s="118"/>
      <c r="JTC251" s="8"/>
      <c r="JTD251" s="281"/>
      <c r="JTE251" s="78"/>
      <c r="JTF251" s="151"/>
      <c r="JTG251" s="278"/>
      <c r="JTH251" s="266"/>
      <c r="JTI251" s="279"/>
      <c r="JTJ251" s="211"/>
      <c r="JTK251" s="211"/>
      <c r="JTL251" s="286"/>
      <c r="JTM251" s="286"/>
      <c r="JTN251" s="280"/>
      <c r="JTO251" s="281"/>
      <c r="JTP251" s="282"/>
      <c r="JTQ251" s="242"/>
      <c r="JTR251" s="222"/>
      <c r="JTT251" s="118"/>
      <c r="JTU251" s="8"/>
      <c r="JTV251" s="281"/>
      <c r="JTW251" s="78"/>
      <c r="JTX251" s="151"/>
      <c r="JTY251" s="278"/>
      <c r="JTZ251" s="266"/>
      <c r="JUA251" s="279"/>
      <c r="JUB251" s="211"/>
      <c r="JUC251" s="211"/>
      <c r="JUD251" s="286"/>
      <c r="JUE251" s="286"/>
      <c r="JUF251" s="280"/>
      <c r="JUG251" s="281"/>
      <c r="JUH251" s="282"/>
      <c r="JUI251" s="242"/>
      <c r="JUJ251" s="222"/>
      <c r="JUL251" s="118"/>
      <c r="JUM251" s="8"/>
      <c r="JUN251" s="281"/>
      <c r="JUO251" s="78"/>
      <c r="JUP251" s="151"/>
      <c r="JUQ251" s="278"/>
      <c r="JUR251" s="266"/>
      <c r="JUS251" s="279"/>
      <c r="JUT251" s="211"/>
      <c r="JUU251" s="211"/>
      <c r="JUV251" s="286"/>
      <c r="JUW251" s="286"/>
      <c r="JUX251" s="280"/>
      <c r="JUY251" s="281"/>
      <c r="JUZ251" s="282"/>
      <c r="JVA251" s="242"/>
      <c r="JVB251" s="222"/>
      <c r="JVD251" s="118"/>
      <c r="JVE251" s="8"/>
      <c r="JVF251" s="281"/>
      <c r="JVG251" s="78"/>
      <c r="JVH251" s="151"/>
      <c r="JVI251" s="278"/>
      <c r="JVJ251" s="266"/>
      <c r="JVK251" s="279"/>
      <c r="JVL251" s="211"/>
      <c r="JVM251" s="211"/>
      <c r="JVN251" s="286"/>
      <c r="JVO251" s="286"/>
      <c r="JVP251" s="280"/>
      <c r="JVQ251" s="281"/>
      <c r="JVR251" s="282"/>
      <c r="JVS251" s="242"/>
      <c r="JVT251" s="222"/>
      <c r="JVV251" s="118"/>
      <c r="JVW251" s="8"/>
      <c r="JVX251" s="281"/>
      <c r="JVY251" s="78"/>
      <c r="JVZ251" s="151"/>
      <c r="JWA251" s="278"/>
      <c r="JWB251" s="266"/>
      <c r="JWC251" s="279"/>
      <c r="JWD251" s="211"/>
      <c r="JWE251" s="211"/>
      <c r="JWF251" s="286"/>
      <c r="JWG251" s="286"/>
      <c r="JWH251" s="280"/>
      <c r="JWI251" s="281"/>
      <c r="JWJ251" s="282"/>
      <c r="JWK251" s="242"/>
      <c r="JWL251" s="222"/>
      <c r="JWN251" s="118"/>
      <c r="JWO251" s="8"/>
      <c r="JWP251" s="281"/>
      <c r="JWQ251" s="78"/>
      <c r="JWR251" s="151"/>
      <c r="JWS251" s="278"/>
      <c r="JWT251" s="266"/>
      <c r="JWU251" s="279"/>
      <c r="JWV251" s="211"/>
      <c r="JWW251" s="211"/>
      <c r="JWX251" s="286"/>
      <c r="JWY251" s="286"/>
      <c r="JWZ251" s="280"/>
      <c r="JXA251" s="281"/>
      <c r="JXB251" s="282"/>
      <c r="JXC251" s="242"/>
      <c r="JXD251" s="222"/>
      <c r="JXF251" s="118"/>
      <c r="JXG251" s="8"/>
      <c r="JXH251" s="281"/>
      <c r="JXI251" s="78"/>
      <c r="JXJ251" s="151"/>
      <c r="JXK251" s="278"/>
      <c r="JXL251" s="266"/>
      <c r="JXM251" s="279"/>
      <c r="JXN251" s="211"/>
      <c r="JXO251" s="211"/>
      <c r="JXP251" s="286"/>
      <c r="JXQ251" s="286"/>
      <c r="JXR251" s="280"/>
      <c r="JXS251" s="281"/>
      <c r="JXT251" s="282"/>
      <c r="JXU251" s="242"/>
      <c r="JXV251" s="222"/>
      <c r="JXX251" s="118"/>
      <c r="JXY251" s="8"/>
      <c r="JXZ251" s="281"/>
      <c r="JYA251" s="78"/>
      <c r="JYB251" s="151"/>
      <c r="JYC251" s="278"/>
      <c r="JYD251" s="266"/>
      <c r="JYE251" s="279"/>
      <c r="JYF251" s="211"/>
      <c r="JYG251" s="211"/>
      <c r="JYH251" s="286"/>
      <c r="JYI251" s="286"/>
      <c r="JYJ251" s="280"/>
      <c r="JYK251" s="281"/>
      <c r="JYL251" s="282"/>
      <c r="JYM251" s="242"/>
      <c r="JYN251" s="222"/>
      <c r="JYP251" s="118"/>
      <c r="JYQ251" s="8"/>
      <c r="JYR251" s="281"/>
      <c r="JYS251" s="78"/>
      <c r="JYT251" s="151"/>
      <c r="JYU251" s="278"/>
      <c r="JYV251" s="266"/>
      <c r="JYW251" s="279"/>
      <c r="JYX251" s="211"/>
      <c r="JYY251" s="211"/>
      <c r="JYZ251" s="286"/>
      <c r="JZA251" s="286"/>
      <c r="JZB251" s="280"/>
      <c r="JZC251" s="281"/>
      <c r="JZD251" s="282"/>
      <c r="JZE251" s="242"/>
      <c r="JZF251" s="222"/>
      <c r="JZH251" s="118"/>
      <c r="JZI251" s="8"/>
      <c r="JZJ251" s="281"/>
      <c r="JZK251" s="78"/>
      <c r="JZL251" s="151"/>
      <c r="JZM251" s="278"/>
      <c r="JZN251" s="266"/>
      <c r="JZO251" s="279"/>
      <c r="JZP251" s="211"/>
      <c r="JZQ251" s="211"/>
      <c r="JZR251" s="286"/>
      <c r="JZS251" s="286"/>
      <c r="JZT251" s="280"/>
      <c r="JZU251" s="281"/>
      <c r="JZV251" s="282"/>
      <c r="JZW251" s="242"/>
      <c r="JZX251" s="222"/>
      <c r="JZZ251" s="118"/>
      <c r="KAA251" s="8"/>
      <c r="KAB251" s="281"/>
      <c r="KAC251" s="78"/>
      <c r="KAD251" s="151"/>
      <c r="KAE251" s="278"/>
      <c r="KAF251" s="266"/>
      <c r="KAG251" s="279"/>
      <c r="KAH251" s="211"/>
      <c r="KAI251" s="211"/>
      <c r="KAJ251" s="286"/>
      <c r="KAK251" s="286"/>
      <c r="KAL251" s="280"/>
      <c r="KAM251" s="281"/>
      <c r="KAN251" s="282"/>
      <c r="KAO251" s="242"/>
      <c r="KAP251" s="222"/>
      <c r="KAR251" s="118"/>
      <c r="KAS251" s="8"/>
      <c r="KAT251" s="281"/>
      <c r="KAU251" s="78"/>
      <c r="KAV251" s="151"/>
      <c r="KAW251" s="278"/>
      <c r="KAX251" s="266"/>
      <c r="KAY251" s="279"/>
      <c r="KAZ251" s="211"/>
      <c r="KBA251" s="211"/>
      <c r="KBB251" s="286"/>
      <c r="KBC251" s="286"/>
      <c r="KBD251" s="280"/>
      <c r="KBE251" s="281"/>
      <c r="KBF251" s="282"/>
      <c r="KBG251" s="242"/>
      <c r="KBH251" s="222"/>
      <c r="KBJ251" s="118"/>
      <c r="KBK251" s="8"/>
      <c r="KBL251" s="281"/>
      <c r="KBM251" s="78"/>
      <c r="KBN251" s="151"/>
      <c r="KBO251" s="278"/>
      <c r="KBP251" s="266"/>
      <c r="KBQ251" s="279"/>
      <c r="KBR251" s="211"/>
      <c r="KBS251" s="211"/>
      <c r="KBT251" s="286"/>
      <c r="KBU251" s="286"/>
      <c r="KBV251" s="280"/>
      <c r="KBW251" s="281"/>
      <c r="KBX251" s="282"/>
      <c r="KBY251" s="242"/>
      <c r="KBZ251" s="222"/>
      <c r="KCB251" s="118"/>
      <c r="KCC251" s="8"/>
      <c r="KCD251" s="281"/>
      <c r="KCE251" s="78"/>
      <c r="KCF251" s="151"/>
      <c r="KCG251" s="278"/>
      <c r="KCH251" s="266"/>
      <c r="KCI251" s="279"/>
      <c r="KCJ251" s="211"/>
      <c r="KCK251" s="211"/>
      <c r="KCL251" s="286"/>
      <c r="KCM251" s="286"/>
      <c r="KCN251" s="280"/>
      <c r="KCO251" s="281"/>
      <c r="KCP251" s="282"/>
      <c r="KCQ251" s="242"/>
      <c r="KCR251" s="222"/>
      <c r="KCT251" s="118"/>
      <c r="KCU251" s="8"/>
      <c r="KCV251" s="281"/>
      <c r="KCW251" s="78"/>
      <c r="KCX251" s="151"/>
      <c r="KCY251" s="278"/>
      <c r="KCZ251" s="266"/>
      <c r="KDA251" s="279"/>
      <c r="KDB251" s="211"/>
      <c r="KDC251" s="211"/>
      <c r="KDD251" s="286"/>
      <c r="KDE251" s="286"/>
      <c r="KDF251" s="280"/>
      <c r="KDG251" s="281"/>
      <c r="KDH251" s="282"/>
      <c r="KDI251" s="242"/>
      <c r="KDJ251" s="222"/>
      <c r="KDL251" s="118"/>
      <c r="KDM251" s="8"/>
      <c r="KDN251" s="281"/>
      <c r="KDO251" s="78"/>
      <c r="KDP251" s="151"/>
      <c r="KDQ251" s="278"/>
      <c r="KDR251" s="266"/>
      <c r="KDS251" s="279"/>
      <c r="KDT251" s="211"/>
      <c r="KDU251" s="211"/>
      <c r="KDV251" s="286"/>
      <c r="KDW251" s="286"/>
      <c r="KDX251" s="280"/>
      <c r="KDY251" s="281"/>
      <c r="KDZ251" s="282"/>
      <c r="KEA251" s="242"/>
      <c r="KEB251" s="222"/>
      <c r="KED251" s="118"/>
      <c r="KEE251" s="8"/>
      <c r="KEF251" s="281"/>
      <c r="KEG251" s="78"/>
      <c r="KEH251" s="151"/>
      <c r="KEI251" s="278"/>
      <c r="KEJ251" s="266"/>
      <c r="KEK251" s="279"/>
      <c r="KEL251" s="211"/>
      <c r="KEM251" s="211"/>
      <c r="KEN251" s="286"/>
      <c r="KEO251" s="286"/>
      <c r="KEP251" s="280"/>
      <c r="KEQ251" s="281"/>
      <c r="KER251" s="282"/>
      <c r="KES251" s="242"/>
      <c r="KET251" s="222"/>
      <c r="KEV251" s="118"/>
      <c r="KEW251" s="8"/>
      <c r="KEX251" s="281"/>
      <c r="KEY251" s="78"/>
      <c r="KEZ251" s="151"/>
      <c r="KFA251" s="278"/>
      <c r="KFB251" s="266"/>
      <c r="KFC251" s="279"/>
      <c r="KFD251" s="211"/>
      <c r="KFE251" s="211"/>
      <c r="KFF251" s="286"/>
      <c r="KFG251" s="286"/>
      <c r="KFH251" s="280"/>
      <c r="KFI251" s="281"/>
      <c r="KFJ251" s="282"/>
      <c r="KFK251" s="242"/>
      <c r="KFL251" s="222"/>
      <c r="KFN251" s="118"/>
      <c r="KFO251" s="8"/>
      <c r="KFP251" s="281"/>
      <c r="KFQ251" s="78"/>
      <c r="KFR251" s="151"/>
      <c r="KFS251" s="278"/>
      <c r="KFT251" s="266"/>
      <c r="KFU251" s="279"/>
      <c r="KFV251" s="211"/>
      <c r="KFW251" s="211"/>
      <c r="KFX251" s="286"/>
      <c r="KFY251" s="286"/>
      <c r="KFZ251" s="280"/>
      <c r="KGA251" s="281"/>
      <c r="KGB251" s="282"/>
      <c r="KGC251" s="242"/>
      <c r="KGD251" s="222"/>
      <c r="KGF251" s="118"/>
      <c r="KGG251" s="8"/>
      <c r="KGH251" s="281"/>
      <c r="KGI251" s="78"/>
      <c r="KGJ251" s="151"/>
      <c r="KGK251" s="278"/>
      <c r="KGL251" s="266"/>
      <c r="KGM251" s="279"/>
      <c r="KGN251" s="211"/>
      <c r="KGO251" s="211"/>
      <c r="KGP251" s="286"/>
      <c r="KGQ251" s="286"/>
      <c r="KGR251" s="280"/>
      <c r="KGS251" s="281"/>
      <c r="KGT251" s="282"/>
      <c r="KGU251" s="242"/>
      <c r="KGV251" s="222"/>
      <c r="KGX251" s="118"/>
      <c r="KGY251" s="8"/>
      <c r="KGZ251" s="281"/>
      <c r="KHA251" s="78"/>
      <c r="KHB251" s="151"/>
      <c r="KHC251" s="278"/>
      <c r="KHD251" s="266"/>
      <c r="KHE251" s="279"/>
      <c r="KHF251" s="211"/>
      <c r="KHG251" s="211"/>
      <c r="KHH251" s="286"/>
      <c r="KHI251" s="286"/>
      <c r="KHJ251" s="280"/>
      <c r="KHK251" s="281"/>
      <c r="KHL251" s="282"/>
      <c r="KHM251" s="242"/>
      <c r="KHN251" s="222"/>
      <c r="KHP251" s="118"/>
      <c r="KHQ251" s="8"/>
      <c r="KHR251" s="281"/>
      <c r="KHS251" s="78"/>
      <c r="KHT251" s="151"/>
      <c r="KHU251" s="278"/>
      <c r="KHV251" s="266"/>
      <c r="KHW251" s="279"/>
      <c r="KHX251" s="211"/>
      <c r="KHY251" s="211"/>
      <c r="KHZ251" s="286"/>
      <c r="KIA251" s="286"/>
      <c r="KIB251" s="280"/>
      <c r="KIC251" s="281"/>
      <c r="KID251" s="282"/>
      <c r="KIE251" s="242"/>
      <c r="KIF251" s="222"/>
      <c r="KIH251" s="118"/>
      <c r="KII251" s="8"/>
      <c r="KIJ251" s="281"/>
      <c r="KIK251" s="78"/>
      <c r="KIL251" s="151"/>
      <c r="KIM251" s="278"/>
      <c r="KIN251" s="266"/>
      <c r="KIO251" s="279"/>
      <c r="KIP251" s="211"/>
      <c r="KIQ251" s="211"/>
      <c r="KIR251" s="286"/>
      <c r="KIS251" s="286"/>
      <c r="KIT251" s="280"/>
      <c r="KIU251" s="281"/>
      <c r="KIV251" s="282"/>
      <c r="KIW251" s="242"/>
      <c r="KIX251" s="222"/>
      <c r="KIZ251" s="118"/>
      <c r="KJA251" s="8"/>
      <c r="KJB251" s="281"/>
      <c r="KJC251" s="78"/>
      <c r="KJD251" s="151"/>
      <c r="KJE251" s="278"/>
      <c r="KJF251" s="266"/>
      <c r="KJG251" s="279"/>
      <c r="KJH251" s="211"/>
      <c r="KJI251" s="211"/>
      <c r="KJJ251" s="286"/>
      <c r="KJK251" s="286"/>
      <c r="KJL251" s="280"/>
      <c r="KJM251" s="281"/>
      <c r="KJN251" s="282"/>
      <c r="KJO251" s="242"/>
      <c r="KJP251" s="222"/>
      <c r="KJR251" s="118"/>
      <c r="KJS251" s="8"/>
      <c r="KJT251" s="281"/>
      <c r="KJU251" s="78"/>
      <c r="KJV251" s="151"/>
      <c r="KJW251" s="278"/>
      <c r="KJX251" s="266"/>
      <c r="KJY251" s="279"/>
      <c r="KJZ251" s="211"/>
      <c r="KKA251" s="211"/>
      <c r="KKB251" s="286"/>
      <c r="KKC251" s="286"/>
      <c r="KKD251" s="280"/>
      <c r="KKE251" s="281"/>
      <c r="KKF251" s="282"/>
      <c r="KKG251" s="242"/>
      <c r="KKH251" s="222"/>
      <c r="KKJ251" s="118"/>
      <c r="KKK251" s="8"/>
      <c r="KKL251" s="281"/>
      <c r="KKM251" s="78"/>
      <c r="KKN251" s="151"/>
      <c r="KKO251" s="278"/>
      <c r="KKP251" s="266"/>
      <c r="KKQ251" s="279"/>
      <c r="KKR251" s="211"/>
      <c r="KKS251" s="211"/>
      <c r="KKT251" s="286"/>
      <c r="KKU251" s="286"/>
      <c r="KKV251" s="280"/>
      <c r="KKW251" s="281"/>
      <c r="KKX251" s="282"/>
      <c r="KKY251" s="242"/>
      <c r="KKZ251" s="222"/>
      <c r="KLB251" s="118"/>
      <c r="KLC251" s="8"/>
      <c r="KLD251" s="281"/>
      <c r="KLE251" s="78"/>
      <c r="KLF251" s="151"/>
      <c r="KLG251" s="278"/>
      <c r="KLH251" s="266"/>
      <c r="KLI251" s="279"/>
      <c r="KLJ251" s="211"/>
      <c r="KLK251" s="211"/>
      <c r="KLL251" s="286"/>
      <c r="KLM251" s="286"/>
      <c r="KLN251" s="280"/>
      <c r="KLO251" s="281"/>
      <c r="KLP251" s="282"/>
      <c r="KLQ251" s="242"/>
      <c r="KLR251" s="222"/>
      <c r="KLT251" s="118"/>
      <c r="KLU251" s="8"/>
      <c r="KLV251" s="281"/>
      <c r="KLW251" s="78"/>
      <c r="KLX251" s="151"/>
      <c r="KLY251" s="278"/>
      <c r="KLZ251" s="266"/>
      <c r="KMA251" s="279"/>
      <c r="KMB251" s="211"/>
      <c r="KMC251" s="211"/>
      <c r="KMD251" s="286"/>
      <c r="KME251" s="286"/>
      <c r="KMF251" s="280"/>
      <c r="KMG251" s="281"/>
      <c r="KMH251" s="282"/>
      <c r="KMI251" s="242"/>
      <c r="KMJ251" s="222"/>
      <c r="KML251" s="118"/>
      <c r="KMM251" s="8"/>
      <c r="KMN251" s="281"/>
      <c r="KMO251" s="78"/>
      <c r="KMP251" s="151"/>
      <c r="KMQ251" s="278"/>
      <c r="KMR251" s="266"/>
      <c r="KMS251" s="279"/>
      <c r="KMT251" s="211"/>
      <c r="KMU251" s="211"/>
      <c r="KMV251" s="286"/>
      <c r="KMW251" s="286"/>
      <c r="KMX251" s="280"/>
      <c r="KMY251" s="281"/>
      <c r="KMZ251" s="282"/>
      <c r="KNA251" s="242"/>
      <c r="KNB251" s="222"/>
      <c r="KND251" s="118"/>
      <c r="KNE251" s="8"/>
      <c r="KNF251" s="281"/>
      <c r="KNG251" s="78"/>
      <c r="KNH251" s="151"/>
      <c r="KNI251" s="278"/>
      <c r="KNJ251" s="266"/>
      <c r="KNK251" s="279"/>
      <c r="KNL251" s="211"/>
      <c r="KNM251" s="211"/>
      <c r="KNN251" s="286"/>
      <c r="KNO251" s="286"/>
      <c r="KNP251" s="280"/>
      <c r="KNQ251" s="281"/>
      <c r="KNR251" s="282"/>
      <c r="KNS251" s="242"/>
      <c r="KNT251" s="222"/>
      <c r="KNV251" s="118"/>
      <c r="KNW251" s="8"/>
      <c r="KNX251" s="281"/>
      <c r="KNY251" s="78"/>
      <c r="KNZ251" s="151"/>
      <c r="KOA251" s="278"/>
      <c r="KOB251" s="266"/>
      <c r="KOC251" s="279"/>
      <c r="KOD251" s="211"/>
      <c r="KOE251" s="211"/>
      <c r="KOF251" s="286"/>
      <c r="KOG251" s="286"/>
      <c r="KOH251" s="280"/>
      <c r="KOI251" s="281"/>
      <c r="KOJ251" s="282"/>
      <c r="KOK251" s="242"/>
      <c r="KOL251" s="222"/>
      <c r="KON251" s="118"/>
      <c r="KOO251" s="8"/>
      <c r="KOP251" s="281"/>
      <c r="KOQ251" s="78"/>
      <c r="KOR251" s="151"/>
      <c r="KOS251" s="278"/>
      <c r="KOT251" s="266"/>
      <c r="KOU251" s="279"/>
      <c r="KOV251" s="211"/>
      <c r="KOW251" s="211"/>
      <c r="KOX251" s="286"/>
      <c r="KOY251" s="286"/>
      <c r="KOZ251" s="280"/>
      <c r="KPA251" s="281"/>
      <c r="KPB251" s="282"/>
      <c r="KPC251" s="242"/>
      <c r="KPD251" s="222"/>
      <c r="KPF251" s="118"/>
      <c r="KPG251" s="8"/>
      <c r="KPH251" s="281"/>
      <c r="KPI251" s="78"/>
      <c r="KPJ251" s="151"/>
      <c r="KPK251" s="278"/>
      <c r="KPL251" s="266"/>
      <c r="KPM251" s="279"/>
      <c r="KPN251" s="211"/>
      <c r="KPO251" s="211"/>
      <c r="KPP251" s="286"/>
      <c r="KPQ251" s="286"/>
      <c r="KPR251" s="280"/>
      <c r="KPS251" s="281"/>
      <c r="KPT251" s="282"/>
      <c r="KPU251" s="242"/>
      <c r="KPV251" s="222"/>
      <c r="KPX251" s="118"/>
      <c r="KPY251" s="8"/>
      <c r="KPZ251" s="281"/>
      <c r="KQA251" s="78"/>
      <c r="KQB251" s="151"/>
      <c r="KQC251" s="278"/>
      <c r="KQD251" s="266"/>
      <c r="KQE251" s="279"/>
      <c r="KQF251" s="211"/>
      <c r="KQG251" s="211"/>
      <c r="KQH251" s="286"/>
      <c r="KQI251" s="286"/>
      <c r="KQJ251" s="280"/>
      <c r="KQK251" s="281"/>
      <c r="KQL251" s="282"/>
      <c r="KQM251" s="242"/>
      <c r="KQN251" s="222"/>
      <c r="KQP251" s="118"/>
      <c r="KQQ251" s="8"/>
      <c r="KQR251" s="281"/>
      <c r="KQS251" s="78"/>
      <c r="KQT251" s="151"/>
      <c r="KQU251" s="278"/>
      <c r="KQV251" s="266"/>
      <c r="KQW251" s="279"/>
      <c r="KQX251" s="211"/>
      <c r="KQY251" s="211"/>
      <c r="KQZ251" s="286"/>
      <c r="KRA251" s="286"/>
      <c r="KRB251" s="280"/>
      <c r="KRC251" s="281"/>
      <c r="KRD251" s="282"/>
      <c r="KRE251" s="242"/>
      <c r="KRF251" s="222"/>
      <c r="KRH251" s="118"/>
      <c r="KRI251" s="8"/>
      <c r="KRJ251" s="281"/>
      <c r="KRK251" s="78"/>
      <c r="KRL251" s="151"/>
      <c r="KRM251" s="278"/>
      <c r="KRN251" s="266"/>
      <c r="KRO251" s="279"/>
      <c r="KRP251" s="211"/>
      <c r="KRQ251" s="211"/>
      <c r="KRR251" s="286"/>
      <c r="KRS251" s="286"/>
      <c r="KRT251" s="280"/>
      <c r="KRU251" s="281"/>
      <c r="KRV251" s="282"/>
      <c r="KRW251" s="242"/>
      <c r="KRX251" s="222"/>
      <c r="KRZ251" s="118"/>
      <c r="KSA251" s="8"/>
      <c r="KSB251" s="281"/>
      <c r="KSC251" s="78"/>
      <c r="KSD251" s="151"/>
      <c r="KSE251" s="278"/>
      <c r="KSF251" s="266"/>
      <c r="KSG251" s="279"/>
      <c r="KSH251" s="211"/>
      <c r="KSI251" s="211"/>
      <c r="KSJ251" s="286"/>
      <c r="KSK251" s="286"/>
      <c r="KSL251" s="280"/>
      <c r="KSM251" s="281"/>
      <c r="KSN251" s="282"/>
      <c r="KSO251" s="242"/>
      <c r="KSP251" s="222"/>
      <c r="KSR251" s="118"/>
      <c r="KSS251" s="8"/>
      <c r="KST251" s="281"/>
      <c r="KSU251" s="78"/>
      <c r="KSV251" s="151"/>
      <c r="KSW251" s="278"/>
      <c r="KSX251" s="266"/>
      <c r="KSY251" s="279"/>
      <c r="KSZ251" s="211"/>
      <c r="KTA251" s="211"/>
      <c r="KTB251" s="286"/>
      <c r="KTC251" s="286"/>
      <c r="KTD251" s="280"/>
      <c r="KTE251" s="281"/>
      <c r="KTF251" s="282"/>
      <c r="KTG251" s="242"/>
      <c r="KTH251" s="222"/>
      <c r="KTJ251" s="118"/>
      <c r="KTK251" s="8"/>
      <c r="KTL251" s="281"/>
      <c r="KTM251" s="78"/>
      <c r="KTN251" s="151"/>
      <c r="KTO251" s="278"/>
      <c r="KTP251" s="266"/>
      <c r="KTQ251" s="279"/>
      <c r="KTR251" s="211"/>
      <c r="KTS251" s="211"/>
      <c r="KTT251" s="286"/>
      <c r="KTU251" s="286"/>
      <c r="KTV251" s="280"/>
      <c r="KTW251" s="281"/>
      <c r="KTX251" s="282"/>
      <c r="KTY251" s="242"/>
      <c r="KTZ251" s="222"/>
      <c r="KUB251" s="118"/>
      <c r="KUC251" s="8"/>
      <c r="KUD251" s="281"/>
      <c r="KUE251" s="78"/>
      <c r="KUF251" s="151"/>
      <c r="KUG251" s="278"/>
      <c r="KUH251" s="266"/>
      <c r="KUI251" s="279"/>
      <c r="KUJ251" s="211"/>
      <c r="KUK251" s="211"/>
      <c r="KUL251" s="286"/>
      <c r="KUM251" s="286"/>
      <c r="KUN251" s="280"/>
      <c r="KUO251" s="281"/>
      <c r="KUP251" s="282"/>
      <c r="KUQ251" s="242"/>
      <c r="KUR251" s="222"/>
      <c r="KUT251" s="118"/>
      <c r="KUU251" s="8"/>
      <c r="KUV251" s="281"/>
      <c r="KUW251" s="78"/>
      <c r="KUX251" s="151"/>
      <c r="KUY251" s="278"/>
      <c r="KUZ251" s="266"/>
      <c r="KVA251" s="279"/>
      <c r="KVB251" s="211"/>
      <c r="KVC251" s="211"/>
      <c r="KVD251" s="286"/>
      <c r="KVE251" s="286"/>
      <c r="KVF251" s="280"/>
      <c r="KVG251" s="281"/>
      <c r="KVH251" s="282"/>
      <c r="KVI251" s="242"/>
      <c r="KVJ251" s="222"/>
      <c r="KVL251" s="118"/>
      <c r="KVM251" s="8"/>
      <c r="KVN251" s="281"/>
      <c r="KVO251" s="78"/>
      <c r="KVP251" s="151"/>
      <c r="KVQ251" s="278"/>
      <c r="KVR251" s="266"/>
      <c r="KVS251" s="279"/>
      <c r="KVT251" s="211"/>
      <c r="KVU251" s="211"/>
      <c r="KVV251" s="286"/>
      <c r="KVW251" s="286"/>
      <c r="KVX251" s="280"/>
      <c r="KVY251" s="281"/>
      <c r="KVZ251" s="282"/>
      <c r="KWA251" s="242"/>
      <c r="KWB251" s="222"/>
      <c r="KWD251" s="118"/>
      <c r="KWE251" s="8"/>
      <c r="KWF251" s="281"/>
      <c r="KWG251" s="78"/>
      <c r="KWH251" s="151"/>
      <c r="KWI251" s="278"/>
      <c r="KWJ251" s="266"/>
      <c r="KWK251" s="279"/>
      <c r="KWL251" s="211"/>
      <c r="KWM251" s="211"/>
      <c r="KWN251" s="286"/>
      <c r="KWO251" s="286"/>
      <c r="KWP251" s="280"/>
      <c r="KWQ251" s="281"/>
      <c r="KWR251" s="282"/>
      <c r="KWS251" s="242"/>
      <c r="KWT251" s="222"/>
      <c r="KWV251" s="118"/>
      <c r="KWW251" s="8"/>
      <c r="KWX251" s="281"/>
      <c r="KWY251" s="78"/>
      <c r="KWZ251" s="151"/>
      <c r="KXA251" s="278"/>
      <c r="KXB251" s="266"/>
      <c r="KXC251" s="279"/>
      <c r="KXD251" s="211"/>
      <c r="KXE251" s="211"/>
      <c r="KXF251" s="286"/>
      <c r="KXG251" s="286"/>
      <c r="KXH251" s="280"/>
      <c r="KXI251" s="281"/>
      <c r="KXJ251" s="282"/>
      <c r="KXK251" s="242"/>
      <c r="KXL251" s="222"/>
      <c r="KXN251" s="118"/>
      <c r="KXO251" s="8"/>
      <c r="KXP251" s="281"/>
      <c r="KXQ251" s="78"/>
      <c r="KXR251" s="151"/>
      <c r="KXS251" s="278"/>
      <c r="KXT251" s="266"/>
      <c r="KXU251" s="279"/>
      <c r="KXV251" s="211"/>
      <c r="KXW251" s="211"/>
      <c r="KXX251" s="286"/>
      <c r="KXY251" s="286"/>
      <c r="KXZ251" s="280"/>
      <c r="KYA251" s="281"/>
      <c r="KYB251" s="282"/>
      <c r="KYC251" s="242"/>
      <c r="KYD251" s="222"/>
      <c r="KYF251" s="118"/>
      <c r="KYG251" s="8"/>
      <c r="KYH251" s="281"/>
      <c r="KYI251" s="78"/>
      <c r="KYJ251" s="151"/>
      <c r="KYK251" s="278"/>
      <c r="KYL251" s="266"/>
      <c r="KYM251" s="279"/>
      <c r="KYN251" s="211"/>
      <c r="KYO251" s="211"/>
      <c r="KYP251" s="286"/>
      <c r="KYQ251" s="286"/>
      <c r="KYR251" s="280"/>
      <c r="KYS251" s="281"/>
      <c r="KYT251" s="282"/>
      <c r="KYU251" s="242"/>
      <c r="KYV251" s="222"/>
      <c r="KYX251" s="118"/>
      <c r="KYY251" s="8"/>
      <c r="KYZ251" s="281"/>
      <c r="KZA251" s="78"/>
      <c r="KZB251" s="151"/>
      <c r="KZC251" s="278"/>
      <c r="KZD251" s="266"/>
      <c r="KZE251" s="279"/>
      <c r="KZF251" s="211"/>
      <c r="KZG251" s="211"/>
      <c r="KZH251" s="286"/>
      <c r="KZI251" s="286"/>
      <c r="KZJ251" s="280"/>
      <c r="KZK251" s="281"/>
      <c r="KZL251" s="282"/>
      <c r="KZM251" s="242"/>
      <c r="KZN251" s="222"/>
      <c r="KZP251" s="118"/>
      <c r="KZQ251" s="8"/>
      <c r="KZR251" s="281"/>
      <c r="KZS251" s="78"/>
      <c r="KZT251" s="151"/>
      <c r="KZU251" s="278"/>
      <c r="KZV251" s="266"/>
      <c r="KZW251" s="279"/>
      <c r="KZX251" s="211"/>
      <c r="KZY251" s="211"/>
      <c r="KZZ251" s="286"/>
      <c r="LAA251" s="286"/>
      <c r="LAB251" s="280"/>
      <c r="LAC251" s="281"/>
      <c r="LAD251" s="282"/>
      <c r="LAE251" s="242"/>
      <c r="LAF251" s="222"/>
      <c r="LAH251" s="118"/>
      <c r="LAI251" s="8"/>
      <c r="LAJ251" s="281"/>
      <c r="LAK251" s="78"/>
      <c r="LAL251" s="151"/>
      <c r="LAM251" s="278"/>
      <c r="LAN251" s="266"/>
      <c r="LAO251" s="279"/>
      <c r="LAP251" s="211"/>
      <c r="LAQ251" s="211"/>
      <c r="LAR251" s="286"/>
      <c r="LAS251" s="286"/>
      <c r="LAT251" s="280"/>
      <c r="LAU251" s="281"/>
      <c r="LAV251" s="282"/>
      <c r="LAW251" s="242"/>
      <c r="LAX251" s="222"/>
      <c r="LAZ251" s="118"/>
      <c r="LBA251" s="8"/>
      <c r="LBB251" s="281"/>
      <c r="LBC251" s="78"/>
      <c r="LBD251" s="151"/>
      <c r="LBE251" s="278"/>
      <c r="LBF251" s="266"/>
      <c r="LBG251" s="279"/>
      <c r="LBH251" s="211"/>
      <c r="LBI251" s="211"/>
      <c r="LBJ251" s="286"/>
      <c r="LBK251" s="286"/>
      <c r="LBL251" s="280"/>
      <c r="LBM251" s="281"/>
      <c r="LBN251" s="282"/>
      <c r="LBO251" s="242"/>
      <c r="LBP251" s="222"/>
      <c r="LBR251" s="118"/>
      <c r="LBS251" s="8"/>
      <c r="LBT251" s="281"/>
      <c r="LBU251" s="78"/>
      <c r="LBV251" s="151"/>
      <c r="LBW251" s="278"/>
      <c r="LBX251" s="266"/>
      <c r="LBY251" s="279"/>
      <c r="LBZ251" s="211"/>
      <c r="LCA251" s="211"/>
      <c r="LCB251" s="286"/>
      <c r="LCC251" s="286"/>
      <c r="LCD251" s="280"/>
      <c r="LCE251" s="281"/>
      <c r="LCF251" s="282"/>
      <c r="LCG251" s="242"/>
      <c r="LCH251" s="222"/>
      <c r="LCJ251" s="118"/>
      <c r="LCK251" s="8"/>
      <c r="LCL251" s="281"/>
      <c r="LCM251" s="78"/>
      <c r="LCN251" s="151"/>
      <c r="LCO251" s="278"/>
      <c r="LCP251" s="266"/>
      <c r="LCQ251" s="279"/>
      <c r="LCR251" s="211"/>
      <c r="LCS251" s="211"/>
      <c r="LCT251" s="286"/>
      <c r="LCU251" s="286"/>
      <c r="LCV251" s="280"/>
      <c r="LCW251" s="281"/>
      <c r="LCX251" s="282"/>
      <c r="LCY251" s="242"/>
      <c r="LCZ251" s="222"/>
      <c r="LDB251" s="118"/>
      <c r="LDC251" s="8"/>
      <c r="LDD251" s="281"/>
      <c r="LDE251" s="78"/>
      <c r="LDF251" s="151"/>
      <c r="LDG251" s="278"/>
      <c r="LDH251" s="266"/>
      <c r="LDI251" s="279"/>
      <c r="LDJ251" s="211"/>
      <c r="LDK251" s="211"/>
      <c r="LDL251" s="286"/>
      <c r="LDM251" s="286"/>
      <c r="LDN251" s="280"/>
      <c r="LDO251" s="281"/>
      <c r="LDP251" s="282"/>
      <c r="LDQ251" s="242"/>
      <c r="LDR251" s="222"/>
      <c r="LDT251" s="118"/>
      <c r="LDU251" s="8"/>
      <c r="LDV251" s="281"/>
      <c r="LDW251" s="78"/>
      <c r="LDX251" s="151"/>
      <c r="LDY251" s="278"/>
      <c r="LDZ251" s="266"/>
      <c r="LEA251" s="279"/>
      <c r="LEB251" s="211"/>
      <c r="LEC251" s="211"/>
      <c r="LED251" s="286"/>
      <c r="LEE251" s="286"/>
      <c r="LEF251" s="280"/>
      <c r="LEG251" s="281"/>
      <c r="LEH251" s="282"/>
      <c r="LEI251" s="242"/>
      <c r="LEJ251" s="222"/>
      <c r="LEL251" s="118"/>
      <c r="LEM251" s="8"/>
      <c r="LEN251" s="281"/>
      <c r="LEO251" s="78"/>
      <c r="LEP251" s="151"/>
      <c r="LEQ251" s="278"/>
      <c r="LER251" s="266"/>
      <c r="LES251" s="279"/>
      <c r="LET251" s="211"/>
      <c r="LEU251" s="211"/>
      <c r="LEV251" s="286"/>
      <c r="LEW251" s="286"/>
      <c r="LEX251" s="280"/>
      <c r="LEY251" s="281"/>
      <c r="LEZ251" s="282"/>
      <c r="LFA251" s="242"/>
      <c r="LFB251" s="222"/>
      <c r="LFD251" s="118"/>
      <c r="LFE251" s="8"/>
      <c r="LFF251" s="281"/>
      <c r="LFG251" s="78"/>
      <c r="LFH251" s="151"/>
      <c r="LFI251" s="278"/>
      <c r="LFJ251" s="266"/>
      <c r="LFK251" s="279"/>
      <c r="LFL251" s="211"/>
      <c r="LFM251" s="211"/>
      <c r="LFN251" s="286"/>
      <c r="LFO251" s="286"/>
      <c r="LFP251" s="280"/>
      <c r="LFQ251" s="281"/>
      <c r="LFR251" s="282"/>
      <c r="LFS251" s="242"/>
      <c r="LFT251" s="222"/>
      <c r="LFV251" s="118"/>
      <c r="LFW251" s="8"/>
      <c r="LFX251" s="281"/>
      <c r="LFY251" s="78"/>
      <c r="LFZ251" s="151"/>
      <c r="LGA251" s="278"/>
      <c r="LGB251" s="266"/>
      <c r="LGC251" s="279"/>
      <c r="LGD251" s="211"/>
      <c r="LGE251" s="211"/>
      <c r="LGF251" s="286"/>
      <c r="LGG251" s="286"/>
      <c r="LGH251" s="280"/>
      <c r="LGI251" s="281"/>
      <c r="LGJ251" s="282"/>
      <c r="LGK251" s="242"/>
      <c r="LGL251" s="222"/>
      <c r="LGN251" s="118"/>
      <c r="LGO251" s="8"/>
      <c r="LGP251" s="281"/>
      <c r="LGQ251" s="78"/>
      <c r="LGR251" s="151"/>
      <c r="LGS251" s="278"/>
      <c r="LGT251" s="266"/>
      <c r="LGU251" s="279"/>
      <c r="LGV251" s="211"/>
      <c r="LGW251" s="211"/>
      <c r="LGX251" s="286"/>
      <c r="LGY251" s="286"/>
      <c r="LGZ251" s="280"/>
      <c r="LHA251" s="281"/>
      <c r="LHB251" s="282"/>
      <c r="LHC251" s="242"/>
      <c r="LHD251" s="222"/>
      <c r="LHF251" s="118"/>
      <c r="LHG251" s="8"/>
      <c r="LHH251" s="281"/>
      <c r="LHI251" s="78"/>
      <c r="LHJ251" s="151"/>
      <c r="LHK251" s="278"/>
      <c r="LHL251" s="266"/>
      <c r="LHM251" s="279"/>
      <c r="LHN251" s="211"/>
      <c r="LHO251" s="211"/>
      <c r="LHP251" s="286"/>
      <c r="LHQ251" s="286"/>
      <c r="LHR251" s="280"/>
      <c r="LHS251" s="281"/>
      <c r="LHT251" s="282"/>
      <c r="LHU251" s="242"/>
      <c r="LHV251" s="222"/>
      <c r="LHX251" s="118"/>
      <c r="LHY251" s="8"/>
      <c r="LHZ251" s="281"/>
      <c r="LIA251" s="78"/>
      <c r="LIB251" s="151"/>
      <c r="LIC251" s="278"/>
      <c r="LID251" s="266"/>
      <c r="LIE251" s="279"/>
      <c r="LIF251" s="211"/>
      <c r="LIG251" s="211"/>
      <c r="LIH251" s="286"/>
      <c r="LII251" s="286"/>
      <c r="LIJ251" s="280"/>
      <c r="LIK251" s="281"/>
      <c r="LIL251" s="282"/>
      <c r="LIM251" s="242"/>
      <c r="LIN251" s="222"/>
      <c r="LIP251" s="118"/>
      <c r="LIQ251" s="8"/>
      <c r="LIR251" s="281"/>
      <c r="LIS251" s="78"/>
      <c r="LIT251" s="151"/>
      <c r="LIU251" s="278"/>
      <c r="LIV251" s="266"/>
      <c r="LIW251" s="279"/>
      <c r="LIX251" s="211"/>
      <c r="LIY251" s="211"/>
      <c r="LIZ251" s="286"/>
      <c r="LJA251" s="286"/>
      <c r="LJB251" s="280"/>
      <c r="LJC251" s="281"/>
      <c r="LJD251" s="282"/>
      <c r="LJE251" s="242"/>
      <c r="LJF251" s="222"/>
      <c r="LJH251" s="118"/>
      <c r="LJI251" s="8"/>
      <c r="LJJ251" s="281"/>
      <c r="LJK251" s="78"/>
      <c r="LJL251" s="151"/>
      <c r="LJM251" s="278"/>
      <c r="LJN251" s="266"/>
      <c r="LJO251" s="279"/>
      <c r="LJP251" s="211"/>
      <c r="LJQ251" s="211"/>
      <c r="LJR251" s="286"/>
      <c r="LJS251" s="286"/>
      <c r="LJT251" s="280"/>
      <c r="LJU251" s="281"/>
      <c r="LJV251" s="282"/>
      <c r="LJW251" s="242"/>
      <c r="LJX251" s="222"/>
      <c r="LJZ251" s="118"/>
      <c r="LKA251" s="8"/>
      <c r="LKB251" s="281"/>
      <c r="LKC251" s="78"/>
      <c r="LKD251" s="151"/>
      <c r="LKE251" s="278"/>
      <c r="LKF251" s="266"/>
      <c r="LKG251" s="279"/>
      <c r="LKH251" s="211"/>
      <c r="LKI251" s="211"/>
      <c r="LKJ251" s="286"/>
      <c r="LKK251" s="286"/>
      <c r="LKL251" s="280"/>
      <c r="LKM251" s="281"/>
      <c r="LKN251" s="282"/>
      <c r="LKO251" s="242"/>
      <c r="LKP251" s="222"/>
      <c r="LKR251" s="118"/>
      <c r="LKS251" s="8"/>
      <c r="LKT251" s="281"/>
      <c r="LKU251" s="78"/>
      <c r="LKV251" s="151"/>
      <c r="LKW251" s="278"/>
      <c r="LKX251" s="266"/>
      <c r="LKY251" s="279"/>
      <c r="LKZ251" s="211"/>
      <c r="LLA251" s="211"/>
      <c r="LLB251" s="286"/>
      <c r="LLC251" s="286"/>
      <c r="LLD251" s="280"/>
      <c r="LLE251" s="281"/>
      <c r="LLF251" s="282"/>
      <c r="LLG251" s="242"/>
      <c r="LLH251" s="222"/>
      <c r="LLJ251" s="118"/>
      <c r="LLK251" s="8"/>
      <c r="LLL251" s="281"/>
      <c r="LLM251" s="78"/>
      <c r="LLN251" s="151"/>
      <c r="LLO251" s="278"/>
      <c r="LLP251" s="266"/>
      <c r="LLQ251" s="279"/>
      <c r="LLR251" s="211"/>
      <c r="LLS251" s="211"/>
      <c r="LLT251" s="286"/>
      <c r="LLU251" s="286"/>
      <c r="LLV251" s="280"/>
      <c r="LLW251" s="281"/>
      <c r="LLX251" s="282"/>
      <c r="LLY251" s="242"/>
      <c r="LLZ251" s="222"/>
      <c r="LMB251" s="118"/>
      <c r="LMC251" s="8"/>
      <c r="LMD251" s="281"/>
      <c r="LME251" s="78"/>
      <c r="LMF251" s="151"/>
      <c r="LMG251" s="278"/>
      <c r="LMH251" s="266"/>
      <c r="LMI251" s="279"/>
      <c r="LMJ251" s="211"/>
      <c r="LMK251" s="211"/>
      <c r="LML251" s="286"/>
      <c r="LMM251" s="286"/>
      <c r="LMN251" s="280"/>
      <c r="LMO251" s="281"/>
      <c r="LMP251" s="282"/>
      <c r="LMQ251" s="242"/>
      <c r="LMR251" s="222"/>
      <c r="LMT251" s="118"/>
      <c r="LMU251" s="8"/>
      <c r="LMV251" s="281"/>
      <c r="LMW251" s="78"/>
      <c r="LMX251" s="151"/>
      <c r="LMY251" s="278"/>
      <c r="LMZ251" s="266"/>
      <c r="LNA251" s="279"/>
      <c r="LNB251" s="211"/>
      <c r="LNC251" s="211"/>
      <c r="LND251" s="286"/>
      <c r="LNE251" s="286"/>
      <c r="LNF251" s="280"/>
      <c r="LNG251" s="281"/>
      <c r="LNH251" s="282"/>
      <c r="LNI251" s="242"/>
      <c r="LNJ251" s="222"/>
      <c r="LNL251" s="118"/>
      <c r="LNM251" s="8"/>
      <c r="LNN251" s="281"/>
      <c r="LNO251" s="78"/>
      <c r="LNP251" s="151"/>
      <c r="LNQ251" s="278"/>
      <c r="LNR251" s="266"/>
      <c r="LNS251" s="279"/>
      <c r="LNT251" s="211"/>
      <c r="LNU251" s="211"/>
      <c r="LNV251" s="286"/>
      <c r="LNW251" s="286"/>
      <c r="LNX251" s="280"/>
      <c r="LNY251" s="281"/>
      <c r="LNZ251" s="282"/>
      <c r="LOA251" s="242"/>
      <c r="LOB251" s="222"/>
      <c r="LOD251" s="118"/>
      <c r="LOE251" s="8"/>
      <c r="LOF251" s="281"/>
      <c r="LOG251" s="78"/>
      <c r="LOH251" s="151"/>
      <c r="LOI251" s="278"/>
      <c r="LOJ251" s="266"/>
      <c r="LOK251" s="279"/>
      <c r="LOL251" s="211"/>
      <c r="LOM251" s="211"/>
      <c r="LON251" s="286"/>
      <c r="LOO251" s="286"/>
      <c r="LOP251" s="280"/>
      <c r="LOQ251" s="281"/>
      <c r="LOR251" s="282"/>
      <c r="LOS251" s="242"/>
      <c r="LOT251" s="222"/>
      <c r="LOV251" s="118"/>
      <c r="LOW251" s="8"/>
      <c r="LOX251" s="281"/>
      <c r="LOY251" s="78"/>
      <c r="LOZ251" s="151"/>
      <c r="LPA251" s="278"/>
      <c r="LPB251" s="266"/>
      <c r="LPC251" s="279"/>
      <c r="LPD251" s="211"/>
      <c r="LPE251" s="211"/>
      <c r="LPF251" s="286"/>
      <c r="LPG251" s="286"/>
      <c r="LPH251" s="280"/>
      <c r="LPI251" s="281"/>
      <c r="LPJ251" s="282"/>
      <c r="LPK251" s="242"/>
      <c r="LPL251" s="222"/>
      <c r="LPN251" s="118"/>
      <c r="LPO251" s="8"/>
      <c r="LPP251" s="281"/>
      <c r="LPQ251" s="78"/>
      <c r="LPR251" s="151"/>
      <c r="LPS251" s="278"/>
      <c r="LPT251" s="266"/>
      <c r="LPU251" s="279"/>
      <c r="LPV251" s="211"/>
      <c r="LPW251" s="211"/>
      <c r="LPX251" s="286"/>
      <c r="LPY251" s="286"/>
      <c r="LPZ251" s="280"/>
      <c r="LQA251" s="281"/>
      <c r="LQB251" s="282"/>
      <c r="LQC251" s="242"/>
      <c r="LQD251" s="222"/>
      <c r="LQF251" s="118"/>
      <c r="LQG251" s="8"/>
      <c r="LQH251" s="281"/>
      <c r="LQI251" s="78"/>
      <c r="LQJ251" s="151"/>
      <c r="LQK251" s="278"/>
      <c r="LQL251" s="266"/>
      <c r="LQM251" s="279"/>
      <c r="LQN251" s="211"/>
      <c r="LQO251" s="211"/>
      <c r="LQP251" s="286"/>
      <c r="LQQ251" s="286"/>
      <c r="LQR251" s="280"/>
      <c r="LQS251" s="281"/>
      <c r="LQT251" s="282"/>
      <c r="LQU251" s="242"/>
      <c r="LQV251" s="222"/>
      <c r="LQX251" s="118"/>
      <c r="LQY251" s="8"/>
      <c r="LQZ251" s="281"/>
      <c r="LRA251" s="78"/>
      <c r="LRB251" s="151"/>
      <c r="LRC251" s="278"/>
      <c r="LRD251" s="266"/>
      <c r="LRE251" s="279"/>
      <c r="LRF251" s="211"/>
      <c r="LRG251" s="211"/>
      <c r="LRH251" s="286"/>
      <c r="LRI251" s="286"/>
      <c r="LRJ251" s="280"/>
      <c r="LRK251" s="281"/>
      <c r="LRL251" s="282"/>
      <c r="LRM251" s="242"/>
      <c r="LRN251" s="222"/>
      <c r="LRP251" s="118"/>
      <c r="LRQ251" s="8"/>
      <c r="LRR251" s="281"/>
      <c r="LRS251" s="78"/>
      <c r="LRT251" s="151"/>
      <c r="LRU251" s="278"/>
      <c r="LRV251" s="266"/>
      <c r="LRW251" s="279"/>
      <c r="LRX251" s="211"/>
      <c r="LRY251" s="211"/>
      <c r="LRZ251" s="286"/>
      <c r="LSA251" s="286"/>
      <c r="LSB251" s="280"/>
      <c r="LSC251" s="281"/>
      <c r="LSD251" s="282"/>
      <c r="LSE251" s="242"/>
      <c r="LSF251" s="222"/>
      <c r="LSH251" s="118"/>
      <c r="LSI251" s="8"/>
      <c r="LSJ251" s="281"/>
      <c r="LSK251" s="78"/>
      <c r="LSL251" s="151"/>
      <c r="LSM251" s="278"/>
      <c r="LSN251" s="266"/>
      <c r="LSO251" s="279"/>
      <c r="LSP251" s="211"/>
      <c r="LSQ251" s="211"/>
      <c r="LSR251" s="286"/>
      <c r="LSS251" s="286"/>
      <c r="LST251" s="280"/>
      <c r="LSU251" s="281"/>
      <c r="LSV251" s="282"/>
      <c r="LSW251" s="242"/>
      <c r="LSX251" s="222"/>
      <c r="LSZ251" s="118"/>
      <c r="LTA251" s="8"/>
      <c r="LTB251" s="281"/>
      <c r="LTC251" s="78"/>
      <c r="LTD251" s="151"/>
      <c r="LTE251" s="278"/>
      <c r="LTF251" s="266"/>
      <c r="LTG251" s="279"/>
      <c r="LTH251" s="211"/>
      <c r="LTI251" s="211"/>
      <c r="LTJ251" s="286"/>
      <c r="LTK251" s="286"/>
      <c r="LTL251" s="280"/>
      <c r="LTM251" s="281"/>
      <c r="LTN251" s="282"/>
      <c r="LTO251" s="242"/>
      <c r="LTP251" s="222"/>
      <c r="LTR251" s="118"/>
      <c r="LTS251" s="8"/>
      <c r="LTT251" s="281"/>
      <c r="LTU251" s="78"/>
      <c r="LTV251" s="151"/>
      <c r="LTW251" s="278"/>
      <c r="LTX251" s="266"/>
      <c r="LTY251" s="279"/>
      <c r="LTZ251" s="211"/>
      <c r="LUA251" s="211"/>
      <c r="LUB251" s="286"/>
      <c r="LUC251" s="286"/>
      <c r="LUD251" s="280"/>
      <c r="LUE251" s="281"/>
      <c r="LUF251" s="282"/>
      <c r="LUG251" s="242"/>
      <c r="LUH251" s="222"/>
      <c r="LUJ251" s="118"/>
      <c r="LUK251" s="8"/>
      <c r="LUL251" s="281"/>
      <c r="LUM251" s="78"/>
      <c r="LUN251" s="151"/>
      <c r="LUO251" s="278"/>
      <c r="LUP251" s="266"/>
      <c r="LUQ251" s="279"/>
      <c r="LUR251" s="211"/>
      <c r="LUS251" s="211"/>
      <c r="LUT251" s="286"/>
      <c r="LUU251" s="286"/>
      <c r="LUV251" s="280"/>
      <c r="LUW251" s="281"/>
      <c r="LUX251" s="282"/>
      <c r="LUY251" s="242"/>
      <c r="LUZ251" s="222"/>
      <c r="LVB251" s="118"/>
      <c r="LVC251" s="8"/>
      <c r="LVD251" s="281"/>
      <c r="LVE251" s="78"/>
      <c r="LVF251" s="151"/>
      <c r="LVG251" s="278"/>
      <c r="LVH251" s="266"/>
      <c r="LVI251" s="279"/>
      <c r="LVJ251" s="211"/>
      <c r="LVK251" s="211"/>
      <c r="LVL251" s="286"/>
      <c r="LVM251" s="286"/>
      <c r="LVN251" s="280"/>
      <c r="LVO251" s="281"/>
      <c r="LVP251" s="282"/>
      <c r="LVQ251" s="242"/>
      <c r="LVR251" s="222"/>
      <c r="LVT251" s="118"/>
      <c r="LVU251" s="8"/>
      <c r="LVV251" s="281"/>
      <c r="LVW251" s="78"/>
      <c r="LVX251" s="151"/>
      <c r="LVY251" s="278"/>
      <c r="LVZ251" s="266"/>
      <c r="LWA251" s="279"/>
      <c r="LWB251" s="211"/>
      <c r="LWC251" s="211"/>
      <c r="LWD251" s="286"/>
      <c r="LWE251" s="286"/>
      <c r="LWF251" s="280"/>
      <c r="LWG251" s="281"/>
      <c r="LWH251" s="282"/>
      <c r="LWI251" s="242"/>
      <c r="LWJ251" s="222"/>
      <c r="LWL251" s="118"/>
      <c r="LWM251" s="8"/>
      <c r="LWN251" s="281"/>
      <c r="LWO251" s="78"/>
      <c r="LWP251" s="151"/>
      <c r="LWQ251" s="278"/>
      <c r="LWR251" s="266"/>
      <c r="LWS251" s="279"/>
      <c r="LWT251" s="211"/>
      <c r="LWU251" s="211"/>
      <c r="LWV251" s="286"/>
      <c r="LWW251" s="286"/>
      <c r="LWX251" s="280"/>
      <c r="LWY251" s="281"/>
      <c r="LWZ251" s="282"/>
      <c r="LXA251" s="242"/>
      <c r="LXB251" s="222"/>
      <c r="LXD251" s="118"/>
      <c r="LXE251" s="8"/>
      <c r="LXF251" s="281"/>
      <c r="LXG251" s="78"/>
      <c r="LXH251" s="151"/>
      <c r="LXI251" s="278"/>
      <c r="LXJ251" s="266"/>
      <c r="LXK251" s="279"/>
      <c r="LXL251" s="211"/>
      <c r="LXM251" s="211"/>
      <c r="LXN251" s="286"/>
      <c r="LXO251" s="286"/>
      <c r="LXP251" s="280"/>
      <c r="LXQ251" s="281"/>
      <c r="LXR251" s="282"/>
      <c r="LXS251" s="242"/>
      <c r="LXT251" s="222"/>
      <c r="LXV251" s="118"/>
      <c r="LXW251" s="8"/>
      <c r="LXX251" s="281"/>
      <c r="LXY251" s="78"/>
      <c r="LXZ251" s="151"/>
      <c r="LYA251" s="278"/>
      <c r="LYB251" s="266"/>
      <c r="LYC251" s="279"/>
      <c r="LYD251" s="211"/>
      <c r="LYE251" s="211"/>
      <c r="LYF251" s="286"/>
      <c r="LYG251" s="286"/>
      <c r="LYH251" s="280"/>
      <c r="LYI251" s="281"/>
      <c r="LYJ251" s="282"/>
      <c r="LYK251" s="242"/>
      <c r="LYL251" s="222"/>
      <c r="LYN251" s="118"/>
      <c r="LYO251" s="8"/>
      <c r="LYP251" s="281"/>
      <c r="LYQ251" s="78"/>
      <c r="LYR251" s="151"/>
      <c r="LYS251" s="278"/>
      <c r="LYT251" s="266"/>
      <c r="LYU251" s="279"/>
      <c r="LYV251" s="211"/>
      <c r="LYW251" s="211"/>
      <c r="LYX251" s="286"/>
      <c r="LYY251" s="286"/>
      <c r="LYZ251" s="280"/>
      <c r="LZA251" s="281"/>
      <c r="LZB251" s="282"/>
      <c r="LZC251" s="242"/>
      <c r="LZD251" s="222"/>
      <c r="LZF251" s="118"/>
      <c r="LZG251" s="8"/>
      <c r="LZH251" s="281"/>
      <c r="LZI251" s="78"/>
      <c r="LZJ251" s="151"/>
      <c r="LZK251" s="278"/>
      <c r="LZL251" s="266"/>
      <c r="LZM251" s="279"/>
      <c r="LZN251" s="211"/>
      <c r="LZO251" s="211"/>
      <c r="LZP251" s="286"/>
      <c r="LZQ251" s="286"/>
      <c r="LZR251" s="280"/>
      <c r="LZS251" s="281"/>
      <c r="LZT251" s="282"/>
      <c r="LZU251" s="242"/>
      <c r="LZV251" s="222"/>
      <c r="LZX251" s="118"/>
      <c r="LZY251" s="8"/>
      <c r="LZZ251" s="281"/>
      <c r="MAA251" s="78"/>
      <c r="MAB251" s="151"/>
      <c r="MAC251" s="278"/>
      <c r="MAD251" s="266"/>
      <c r="MAE251" s="279"/>
      <c r="MAF251" s="211"/>
      <c r="MAG251" s="211"/>
      <c r="MAH251" s="286"/>
      <c r="MAI251" s="286"/>
      <c r="MAJ251" s="280"/>
      <c r="MAK251" s="281"/>
      <c r="MAL251" s="282"/>
      <c r="MAM251" s="242"/>
      <c r="MAN251" s="222"/>
      <c r="MAP251" s="118"/>
      <c r="MAQ251" s="8"/>
      <c r="MAR251" s="281"/>
      <c r="MAS251" s="78"/>
      <c r="MAT251" s="151"/>
      <c r="MAU251" s="278"/>
      <c r="MAV251" s="266"/>
      <c r="MAW251" s="279"/>
      <c r="MAX251" s="211"/>
      <c r="MAY251" s="211"/>
      <c r="MAZ251" s="286"/>
      <c r="MBA251" s="286"/>
      <c r="MBB251" s="280"/>
      <c r="MBC251" s="281"/>
      <c r="MBD251" s="282"/>
      <c r="MBE251" s="242"/>
      <c r="MBF251" s="222"/>
      <c r="MBH251" s="118"/>
      <c r="MBI251" s="8"/>
      <c r="MBJ251" s="281"/>
      <c r="MBK251" s="78"/>
      <c r="MBL251" s="151"/>
      <c r="MBM251" s="278"/>
      <c r="MBN251" s="266"/>
      <c r="MBO251" s="279"/>
      <c r="MBP251" s="211"/>
      <c r="MBQ251" s="211"/>
      <c r="MBR251" s="286"/>
      <c r="MBS251" s="286"/>
      <c r="MBT251" s="280"/>
      <c r="MBU251" s="281"/>
      <c r="MBV251" s="282"/>
      <c r="MBW251" s="242"/>
      <c r="MBX251" s="222"/>
      <c r="MBZ251" s="118"/>
      <c r="MCA251" s="8"/>
      <c r="MCB251" s="281"/>
      <c r="MCC251" s="78"/>
      <c r="MCD251" s="151"/>
      <c r="MCE251" s="278"/>
      <c r="MCF251" s="266"/>
      <c r="MCG251" s="279"/>
      <c r="MCH251" s="211"/>
      <c r="MCI251" s="211"/>
      <c r="MCJ251" s="286"/>
      <c r="MCK251" s="286"/>
      <c r="MCL251" s="280"/>
      <c r="MCM251" s="281"/>
      <c r="MCN251" s="282"/>
      <c r="MCO251" s="242"/>
      <c r="MCP251" s="222"/>
      <c r="MCR251" s="118"/>
      <c r="MCS251" s="8"/>
      <c r="MCT251" s="281"/>
      <c r="MCU251" s="78"/>
      <c r="MCV251" s="151"/>
      <c r="MCW251" s="278"/>
      <c r="MCX251" s="266"/>
      <c r="MCY251" s="279"/>
      <c r="MCZ251" s="211"/>
      <c r="MDA251" s="211"/>
      <c r="MDB251" s="286"/>
      <c r="MDC251" s="286"/>
      <c r="MDD251" s="280"/>
      <c r="MDE251" s="281"/>
      <c r="MDF251" s="282"/>
      <c r="MDG251" s="242"/>
      <c r="MDH251" s="222"/>
      <c r="MDJ251" s="118"/>
      <c r="MDK251" s="8"/>
      <c r="MDL251" s="281"/>
      <c r="MDM251" s="78"/>
      <c r="MDN251" s="151"/>
      <c r="MDO251" s="278"/>
      <c r="MDP251" s="266"/>
      <c r="MDQ251" s="279"/>
      <c r="MDR251" s="211"/>
      <c r="MDS251" s="211"/>
      <c r="MDT251" s="286"/>
      <c r="MDU251" s="286"/>
      <c r="MDV251" s="280"/>
      <c r="MDW251" s="281"/>
      <c r="MDX251" s="282"/>
      <c r="MDY251" s="242"/>
      <c r="MDZ251" s="222"/>
      <c r="MEB251" s="118"/>
      <c r="MEC251" s="8"/>
      <c r="MED251" s="281"/>
      <c r="MEE251" s="78"/>
      <c r="MEF251" s="151"/>
      <c r="MEG251" s="278"/>
      <c r="MEH251" s="266"/>
      <c r="MEI251" s="279"/>
      <c r="MEJ251" s="211"/>
      <c r="MEK251" s="211"/>
      <c r="MEL251" s="286"/>
      <c r="MEM251" s="286"/>
      <c r="MEN251" s="280"/>
      <c r="MEO251" s="281"/>
      <c r="MEP251" s="282"/>
      <c r="MEQ251" s="242"/>
      <c r="MER251" s="222"/>
      <c r="MET251" s="118"/>
      <c r="MEU251" s="8"/>
      <c r="MEV251" s="281"/>
      <c r="MEW251" s="78"/>
      <c r="MEX251" s="151"/>
      <c r="MEY251" s="278"/>
      <c r="MEZ251" s="266"/>
      <c r="MFA251" s="279"/>
      <c r="MFB251" s="211"/>
      <c r="MFC251" s="211"/>
      <c r="MFD251" s="286"/>
      <c r="MFE251" s="286"/>
      <c r="MFF251" s="280"/>
      <c r="MFG251" s="281"/>
      <c r="MFH251" s="282"/>
      <c r="MFI251" s="242"/>
      <c r="MFJ251" s="222"/>
      <c r="MFL251" s="118"/>
      <c r="MFM251" s="8"/>
      <c r="MFN251" s="281"/>
      <c r="MFO251" s="78"/>
      <c r="MFP251" s="151"/>
      <c r="MFQ251" s="278"/>
      <c r="MFR251" s="266"/>
      <c r="MFS251" s="279"/>
      <c r="MFT251" s="211"/>
      <c r="MFU251" s="211"/>
      <c r="MFV251" s="286"/>
      <c r="MFW251" s="286"/>
      <c r="MFX251" s="280"/>
      <c r="MFY251" s="281"/>
      <c r="MFZ251" s="282"/>
      <c r="MGA251" s="242"/>
      <c r="MGB251" s="222"/>
      <c r="MGD251" s="118"/>
      <c r="MGE251" s="8"/>
      <c r="MGF251" s="281"/>
      <c r="MGG251" s="78"/>
      <c r="MGH251" s="151"/>
      <c r="MGI251" s="278"/>
      <c r="MGJ251" s="266"/>
      <c r="MGK251" s="279"/>
      <c r="MGL251" s="211"/>
      <c r="MGM251" s="211"/>
      <c r="MGN251" s="286"/>
      <c r="MGO251" s="286"/>
      <c r="MGP251" s="280"/>
      <c r="MGQ251" s="281"/>
      <c r="MGR251" s="282"/>
      <c r="MGS251" s="242"/>
      <c r="MGT251" s="222"/>
      <c r="MGV251" s="118"/>
      <c r="MGW251" s="8"/>
      <c r="MGX251" s="281"/>
      <c r="MGY251" s="78"/>
      <c r="MGZ251" s="151"/>
      <c r="MHA251" s="278"/>
      <c r="MHB251" s="266"/>
      <c r="MHC251" s="279"/>
      <c r="MHD251" s="211"/>
      <c r="MHE251" s="211"/>
      <c r="MHF251" s="286"/>
      <c r="MHG251" s="286"/>
      <c r="MHH251" s="280"/>
      <c r="MHI251" s="281"/>
      <c r="MHJ251" s="282"/>
      <c r="MHK251" s="242"/>
      <c r="MHL251" s="222"/>
      <c r="MHN251" s="118"/>
      <c r="MHO251" s="8"/>
      <c r="MHP251" s="281"/>
      <c r="MHQ251" s="78"/>
      <c r="MHR251" s="151"/>
      <c r="MHS251" s="278"/>
      <c r="MHT251" s="266"/>
      <c r="MHU251" s="279"/>
      <c r="MHV251" s="211"/>
      <c r="MHW251" s="211"/>
      <c r="MHX251" s="286"/>
      <c r="MHY251" s="286"/>
      <c r="MHZ251" s="280"/>
      <c r="MIA251" s="281"/>
      <c r="MIB251" s="282"/>
      <c r="MIC251" s="242"/>
      <c r="MID251" s="222"/>
      <c r="MIF251" s="118"/>
      <c r="MIG251" s="8"/>
      <c r="MIH251" s="281"/>
      <c r="MII251" s="78"/>
      <c r="MIJ251" s="151"/>
      <c r="MIK251" s="278"/>
      <c r="MIL251" s="266"/>
      <c r="MIM251" s="279"/>
      <c r="MIN251" s="211"/>
      <c r="MIO251" s="211"/>
      <c r="MIP251" s="286"/>
      <c r="MIQ251" s="286"/>
      <c r="MIR251" s="280"/>
      <c r="MIS251" s="281"/>
      <c r="MIT251" s="282"/>
      <c r="MIU251" s="242"/>
      <c r="MIV251" s="222"/>
      <c r="MIX251" s="118"/>
      <c r="MIY251" s="8"/>
      <c r="MIZ251" s="281"/>
      <c r="MJA251" s="78"/>
      <c r="MJB251" s="151"/>
      <c r="MJC251" s="278"/>
      <c r="MJD251" s="266"/>
      <c r="MJE251" s="279"/>
      <c r="MJF251" s="211"/>
      <c r="MJG251" s="211"/>
      <c r="MJH251" s="286"/>
      <c r="MJI251" s="286"/>
      <c r="MJJ251" s="280"/>
      <c r="MJK251" s="281"/>
      <c r="MJL251" s="282"/>
      <c r="MJM251" s="242"/>
      <c r="MJN251" s="222"/>
      <c r="MJP251" s="118"/>
      <c r="MJQ251" s="8"/>
      <c r="MJR251" s="281"/>
      <c r="MJS251" s="78"/>
      <c r="MJT251" s="151"/>
      <c r="MJU251" s="278"/>
      <c r="MJV251" s="266"/>
      <c r="MJW251" s="279"/>
      <c r="MJX251" s="211"/>
      <c r="MJY251" s="211"/>
      <c r="MJZ251" s="286"/>
      <c r="MKA251" s="286"/>
      <c r="MKB251" s="280"/>
      <c r="MKC251" s="281"/>
      <c r="MKD251" s="282"/>
      <c r="MKE251" s="242"/>
      <c r="MKF251" s="222"/>
      <c r="MKH251" s="118"/>
      <c r="MKI251" s="8"/>
      <c r="MKJ251" s="281"/>
      <c r="MKK251" s="78"/>
      <c r="MKL251" s="151"/>
      <c r="MKM251" s="278"/>
      <c r="MKN251" s="266"/>
      <c r="MKO251" s="279"/>
      <c r="MKP251" s="211"/>
      <c r="MKQ251" s="211"/>
      <c r="MKR251" s="286"/>
      <c r="MKS251" s="286"/>
      <c r="MKT251" s="280"/>
      <c r="MKU251" s="281"/>
      <c r="MKV251" s="282"/>
      <c r="MKW251" s="242"/>
      <c r="MKX251" s="222"/>
      <c r="MKZ251" s="118"/>
      <c r="MLA251" s="8"/>
      <c r="MLB251" s="281"/>
      <c r="MLC251" s="78"/>
      <c r="MLD251" s="151"/>
      <c r="MLE251" s="278"/>
      <c r="MLF251" s="266"/>
      <c r="MLG251" s="279"/>
      <c r="MLH251" s="211"/>
      <c r="MLI251" s="211"/>
      <c r="MLJ251" s="286"/>
      <c r="MLK251" s="286"/>
      <c r="MLL251" s="280"/>
      <c r="MLM251" s="281"/>
      <c r="MLN251" s="282"/>
      <c r="MLO251" s="242"/>
      <c r="MLP251" s="222"/>
      <c r="MLR251" s="118"/>
      <c r="MLS251" s="8"/>
      <c r="MLT251" s="281"/>
      <c r="MLU251" s="78"/>
      <c r="MLV251" s="151"/>
      <c r="MLW251" s="278"/>
      <c r="MLX251" s="266"/>
      <c r="MLY251" s="279"/>
      <c r="MLZ251" s="211"/>
      <c r="MMA251" s="211"/>
      <c r="MMB251" s="286"/>
      <c r="MMC251" s="286"/>
      <c r="MMD251" s="280"/>
      <c r="MME251" s="281"/>
      <c r="MMF251" s="282"/>
      <c r="MMG251" s="242"/>
      <c r="MMH251" s="222"/>
      <c r="MMJ251" s="118"/>
      <c r="MMK251" s="8"/>
      <c r="MML251" s="281"/>
      <c r="MMM251" s="78"/>
      <c r="MMN251" s="151"/>
      <c r="MMO251" s="278"/>
      <c r="MMP251" s="266"/>
      <c r="MMQ251" s="279"/>
      <c r="MMR251" s="211"/>
      <c r="MMS251" s="211"/>
      <c r="MMT251" s="286"/>
      <c r="MMU251" s="286"/>
      <c r="MMV251" s="280"/>
      <c r="MMW251" s="281"/>
      <c r="MMX251" s="282"/>
      <c r="MMY251" s="242"/>
      <c r="MMZ251" s="222"/>
      <c r="MNB251" s="118"/>
      <c r="MNC251" s="8"/>
      <c r="MND251" s="281"/>
      <c r="MNE251" s="78"/>
      <c r="MNF251" s="151"/>
      <c r="MNG251" s="278"/>
      <c r="MNH251" s="266"/>
      <c r="MNI251" s="279"/>
      <c r="MNJ251" s="211"/>
      <c r="MNK251" s="211"/>
      <c r="MNL251" s="286"/>
      <c r="MNM251" s="286"/>
      <c r="MNN251" s="280"/>
      <c r="MNO251" s="281"/>
      <c r="MNP251" s="282"/>
      <c r="MNQ251" s="242"/>
      <c r="MNR251" s="222"/>
      <c r="MNT251" s="118"/>
      <c r="MNU251" s="8"/>
      <c r="MNV251" s="281"/>
      <c r="MNW251" s="78"/>
      <c r="MNX251" s="151"/>
      <c r="MNY251" s="278"/>
      <c r="MNZ251" s="266"/>
      <c r="MOA251" s="279"/>
      <c r="MOB251" s="211"/>
      <c r="MOC251" s="211"/>
      <c r="MOD251" s="286"/>
      <c r="MOE251" s="286"/>
      <c r="MOF251" s="280"/>
      <c r="MOG251" s="281"/>
      <c r="MOH251" s="282"/>
      <c r="MOI251" s="242"/>
      <c r="MOJ251" s="222"/>
      <c r="MOL251" s="118"/>
      <c r="MOM251" s="8"/>
      <c r="MON251" s="281"/>
      <c r="MOO251" s="78"/>
      <c r="MOP251" s="151"/>
      <c r="MOQ251" s="278"/>
      <c r="MOR251" s="266"/>
      <c r="MOS251" s="279"/>
      <c r="MOT251" s="211"/>
      <c r="MOU251" s="211"/>
      <c r="MOV251" s="286"/>
      <c r="MOW251" s="286"/>
      <c r="MOX251" s="280"/>
      <c r="MOY251" s="281"/>
      <c r="MOZ251" s="282"/>
      <c r="MPA251" s="242"/>
      <c r="MPB251" s="222"/>
      <c r="MPD251" s="118"/>
      <c r="MPE251" s="8"/>
      <c r="MPF251" s="281"/>
      <c r="MPG251" s="78"/>
      <c r="MPH251" s="151"/>
      <c r="MPI251" s="278"/>
      <c r="MPJ251" s="266"/>
      <c r="MPK251" s="279"/>
      <c r="MPL251" s="211"/>
      <c r="MPM251" s="211"/>
      <c r="MPN251" s="286"/>
      <c r="MPO251" s="286"/>
      <c r="MPP251" s="280"/>
      <c r="MPQ251" s="281"/>
      <c r="MPR251" s="282"/>
      <c r="MPS251" s="242"/>
      <c r="MPT251" s="222"/>
      <c r="MPV251" s="118"/>
      <c r="MPW251" s="8"/>
      <c r="MPX251" s="281"/>
      <c r="MPY251" s="78"/>
      <c r="MPZ251" s="151"/>
      <c r="MQA251" s="278"/>
      <c r="MQB251" s="266"/>
      <c r="MQC251" s="279"/>
      <c r="MQD251" s="211"/>
      <c r="MQE251" s="211"/>
      <c r="MQF251" s="286"/>
      <c r="MQG251" s="286"/>
      <c r="MQH251" s="280"/>
      <c r="MQI251" s="281"/>
      <c r="MQJ251" s="282"/>
      <c r="MQK251" s="242"/>
      <c r="MQL251" s="222"/>
      <c r="MQN251" s="118"/>
      <c r="MQO251" s="8"/>
      <c r="MQP251" s="281"/>
      <c r="MQQ251" s="78"/>
      <c r="MQR251" s="151"/>
      <c r="MQS251" s="278"/>
      <c r="MQT251" s="266"/>
      <c r="MQU251" s="279"/>
      <c r="MQV251" s="211"/>
      <c r="MQW251" s="211"/>
      <c r="MQX251" s="286"/>
      <c r="MQY251" s="286"/>
      <c r="MQZ251" s="280"/>
      <c r="MRA251" s="281"/>
      <c r="MRB251" s="282"/>
      <c r="MRC251" s="242"/>
      <c r="MRD251" s="222"/>
      <c r="MRF251" s="118"/>
      <c r="MRG251" s="8"/>
      <c r="MRH251" s="281"/>
      <c r="MRI251" s="78"/>
      <c r="MRJ251" s="151"/>
      <c r="MRK251" s="278"/>
      <c r="MRL251" s="266"/>
      <c r="MRM251" s="279"/>
      <c r="MRN251" s="211"/>
      <c r="MRO251" s="211"/>
      <c r="MRP251" s="286"/>
      <c r="MRQ251" s="286"/>
      <c r="MRR251" s="280"/>
      <c r="MRS251" s="281"/>
      <c r="MRT251" s="282"/>
      <c r="MRU251" s="242"/>
      <c r="MRV251" s="222"/>
      <c r="MRX251" s="118"/>
      <c r="MRY251" s="8"/>
      <c r="MRZ251" s="281"/>
      <c r="MSA251" s="78"/>
      <c r="MSB251" s="151"/>
      <c r="MSC251" s="278"/>
      <c r="MSD251" s="266"/>
      <c r="MSE251" s="279"/>
      <c r="MSF251" s="211"/>
      <c r="MSG251" s="211"/>
      <c r="MSH251" s="286"/>
      <c r="MSI251" s="286"/>
      <c r="MSJ251" s="280"/>
      <c r="MSK251" s="281"/>
      <c r="MSL251" s="282"/>
      <c r="MSM251" s="242"/>
      <c r="MSN251" s="222"/>
      <c r="MSP251" s="118"/>
      <c r="MSQ251" s="8"/>
      <c r="MSR251" s="281"/>
      <c r="MSS251" s="78"/>
      <c r="MST251" s="151"/>
      <c r="MSU251" s="278"/>
      <c r="MSV251" s="266"/>
      <c r="MSW251" s="279"/>
      <c r="MSX251" s="211"/>
      <c r="MSY251" s="211"/>
      <c r="MSZ251" s="286"/>
      <c r="MTA251" s="286"/>
      <c r="MTB251" s="280"/>
      <c r="MTC251" s="281"/>
      <c r="MTD251" s="282"/>
      <c r="MTE251" s="242"/>
      <c r="MTF251" s="222"/>
      <c r="MTH251" s="118"/>
      <c r="MTI251" s="8"/>
      <c r="MTJ251" s="281"/>
      <c r="MTK251" s="78"/>
      <c r="MTL251" s="151"/>
      <c r="MTM251" s="278"/>
      <c r="MTN251" s="266"/>
      <c r="MTO251" s="279"/>
      <c r="MTP251" s="211"/>
      <c r="MTQ251" s="211"/>
      <c r="MTR251" s="286"/>
      <c r="MTS251" s="286"/>
      <c r="MTT251" s="280"/>
      <c r="MTU251" s="281"/>
      <c r="MTV251" s="282"/>
      <c r="MTW251" s="242"/>
      <c r="MTX251" s="222"/>
      <c r="MTZ251" s="118"/>
      <c r="MUA251" s="8"/>
      <c r="MUB251" s="281"/>
      <c r="MUC251" s="78"/>
      <c r="MUD251" s="151"/>
      <c r="MUE251" s="278"/>
      <c r="MUF251" s="266"/>
      <c r="MUG251" s="279"/>
      <c r="MUH251" s="211"/>
      <c r="MUI251" s="211"/>
      <c r="MUJ251" s="286"/>
      <c r="MUK251" s="286"/>
      <c r="MUL251" s="280"/>
      <c r="MUM251" s="281"/>
      <c r="MUN251" s="282"/>
      <c r="MUO251" s="242"/>
      <c r="MUP251" s="222"/>
      <c r="MUR251" s="118"/>
      <c r="MUS251" s="8"/>
      <c r="MUT251" s="281"/>
      <c r="MUU251" s="78"/>
      <c r="MUV251" s="151"/>
      <c r="MUW251" s="278"/>
      <c r="MUX251" s="266"/>
      <c r="MUY251" s="279"/>
      <c r="MUZ251" s="211"/>
      <c r="MVA251" s="211"/>
      <c r="MVB251" s="286"/>
      <c r="MVC251" s="286"/>
      <c r="MVD251" s="280"/>
      <c r="MVE251" s="281"/>
      <c r="MVF251" s="282"/>
      <c r="MVG251" s="242"/>
      <c r="MVH251" s="222"/>
      <c r="MVJ251" s="118"/>
      <c r="MVK251" s="8"/>
      <c r="MVL251" s="281"/>
      <c r="MVM251" s="78"/>
      <c r="MVN251" s="151"/>
      <c r="MVO251" s="278"/>
      <c r="MVP251" s="266"/>
      <c r="MVQ251" s="279"/>
      <c r="MVR251" s="211"/>
      <c r="MVS251" s="211"/>
      <c r="MVT251" s="286"/>
      <c r="MVU251" s="286"/>
      <c r="MVV251" s="280"/>
      <c r="MVW251" s="281"/>
      <c r="MVX251" s="282"/>
      <c r="MVY251" s="242"/>
      <c r="MVZ251" s="222"/>
      <c r="MWB251" s="118"/>
      <c r="MWC251" s="8"/>
      <c r="MWD251" s="281"/>
      <c r="MWE251" s="78"/>
      <c r="MWF251" s="151"/>
      <c r="MWG251" s="278"/>
      <c r="MWH251" s="266"/>
      <c r="MWI251" s="279"/>
      <c r="MWJ251" s="211"/>
      <c r="MWK251" s="211"/>
      <c r="MWL251" s="286"/>
      <c r="MWM251" s="286"/>
      <c r="MWN251" s="280"/>
      <c r="MWO251" s="281"/>
      <c r="MWP251" s="282"/>
      <c r="MWQ251" s="242"/>
      <c r="MWR251" s="222"/>
      <c r="MWT251" s="118"/>
      <c r="MWU251" s="8"/>
      <c r="MWV251" s="281"/>
      <c r="MWW251" s="78"/>
      <c r="MWX251" s="151"/>
      <c r="MWY251" s="278"/>
      <c r="MWZ251" s="266"/>
      <c r="MXA251" s="279"/>
      <c r="MXB251" s="211"/>
      <c r="MXC251" s="211"/>
      <c r="MXD251" s="286"/>
      <c r="MXE251" s="286"/>
      <c r="MXF251" s="280"/>
      <c r="MXG251" s="281"/>
      <c r="MXH251" s="282"/>
      <c r="MXI251" s="242"/>
      <c r="MXJ251" s="222"/>
      <c r="MXL251" s="118"/>
      <c r="MXM251" s="8"/>
      <c r="MXN251" s="281"/>
      <c r="MXO251" s="78"/>
      <c r="MXP251" s="151"/>
      <c r="MXQ251" s="278"/>
      <c r="MXR251" s="266"/>
      <c r="MXS251" s="279"/>
      <c r="MXT251" s="211"/>
      <c r="MXU251" s="211"/>
      <c r="MXV251" s="286"/>
      <c r="MXW251" s="286"/>
      <c r="MXX251" s="280"/>
      <c r="MXY251" s="281"/>
      <c r="MXZ251" s="282"/>
      <c r="MYA251" s="242"/>
      <c r="MYB251" s="222"/>
      <c r="MYD251" s="118"/>
      <c r="MYE251" s="8"/>
      <c r="MYF251" s="281"/>
      <c r="MYG251" s="78"/>
      <c r="MYH251" s="151"/>
      <c r="MYI251" s="278"/>
      <c r="MYJ251" s="266"/>
      <c r="MYK251" s="279"/>
      <c r="MYL251" s="211"/>
      <c r="MYM251" s="211"/>
      <c r="MYN251" s="286"/>
      <c r="MYO251" s="286"/>
      <c r="MYP251" s="280"/>
      <c r="MYQ251" s="281"/>
      <c r="MYR251" s="282"/>
      <c r="MYS251" s="242"/>
      <c r="MYT251" s="222"/>
      <c r="MYV251" s="118"/>
      <c r="MYW251" s="8"/>
      <c r="MYX251" s="281"/>
      <c r="MYY251" s="78"/>
      <c r="MYZ251" s="151"/>
      <c r="MZA251" s="278"/>
      <c r="MZB251" s="266"/>
      <c r="MZC251" s="279"/>
      <c r="MZD251" s="211"/>
      <c r="MZE251" s="211"/>
      <c r="MZF251" s="286"/>
      <c r="MZG251" s="286"/>
      <c r="MZH251" s="280"/>
      <c r="MZI251" s="281"/>
      <c r="MZJ251" s="282"/>
      <c r="MZK251" s="242"/>
      <c r="MZL251" s="222"/>
      <c r="MZN251" s="118"/>
      <c r="MZO251" s="8"/>
      <c r="MZP251" s="281"/>
      <c r="MZQ251" s="78"/>
      <c r="MZR251" s="151"/>
      <c r="MZS251" s="278"/>
      <c r="MZT251" s="266"/>
      <c r="MZU251" s="279"/>
      <c r="MZV251" s="211"/>
      <c r="MZW251" s="211"/>
      <c r="MZX251" s="286"/>
      <c r="MZY251" s="286"/>
      <c r="MZZ251" s="280"/>
      <c r="NAA251" s="281"/>
      <c r="NAB251" s="282"/>
      <c r="NAC251" s="242"/>
      <c r="NAD251" s="222"/>
      <c r="NAF251" s="118"/>
      <c r="NAG251" s="8"/>
      <c r="NAH251" s="281"/>
      <c r="NAI251" s="78"/>
      <c r="NAJ251" s="151"/>
      <c r="NAK251" s="278"/>
      <c r="NAL251" s="266"/>
      <c r="NAM251" s="279"/>
      <c r="NAN251" s="211"/>
      <c r="NAO251" s="211"/>
      <c r="NAP251" s="286"/>
      <c r="NAQ251" s="286"/>
      <c r="NAR251" s="280"/>
      <c r="NAS251" s="281"/>
      <c r="NAT251" s="282"/>
      <c r="NAU251" s="242"/>
      <c r="NAV251" s="222"/>
      <c r="NAX251" s="118"/>
      <c r="NAY251" s="8"/>
      <c r="NAZ251" s="281"/>
      <c r="NBA251" s="78"/>
      <c r="NBB251" s="151"/>
      <c r="NBC251" s="278"/>
      <c r="NBD251" s="266"/>
      <c r="NBE251" s="279"/>
      <c r="NBF251" s="211"/>
      <c r="NBG251" s="211"/>
      <c r="NBH251" s="286"/>
      <c r="NBI251" s="286"/>
      <c r="NBJ251" s="280"/>
      <c r="NBK251" s="281"/>
      <c r="NBL251" s="282"/>
      <c r="NBM251" s="242"/>
      <c r="NBN251" s="222"/>
      <c r="NBP251" s="118"/>
      <c r="NBQ251" s="8"/>
      <c r="NBR251" s="281"/>
      <c r="NBS251" s="78"/>
      <c r="NBT251" s="151"/>
      <c r="NBU251" s="278"/>
      <c r="NBV251" s="266"/>
      <c r="NBW251" s="279"/>
      <c r="NBX251" s="211"/>
      <c r="NBY251" s="211"/>
      <c r="NBZ251" s="286"/>
      <c r="NCA251" s="286"/>
      <c r="NCB251" s="280"/>
      <c r="NCC251" s="281"/>
      <c r="NCD251" s="282"/>
      <c r="NCE251" s="242"/>
      <c r="NCF251" s="222"/>
      <c r="NCH251" s="118"/>
      <c r="NCI251" s="8"/>
      <c r="NCJ251" s="281"/>
      <c r="NCK251" s="78"/>
      <c r="NCL251" s="151"/>
      <c r="NCM251" s="278"/>
      <c r="NCN251" s="266"/>
      <c r="NCO251" s="279"/>
      <c r="NCP251" s="211"/>
      <c r="NCQ251" s="211"/>
      <c r="NCR251" s="286"/>
      <c r="NCS251" s="286"/>
      <c r="NCT251" s="280"/>
      <c r="NCU251" s="281"/>
      <c r="NCV251" s="282"/>
      <c r="NCW251" s="242"/>
      <c r="NCX251" s="222"/>
      <c r="NCZ251" s="118"/>
      <c r="NDA251" s="8"/>
      <c r="NDB251" s="281"/>
      <c r="NDC251" s="78"/>
      <c r="NDD251" s="151"/>
      <c r="NDE251" s="278"/>
      <c r="NDF251" s="266"/>
      <c r="NDG251" s="279"/>
      <c r="NDH251" s="211"/>
      <c r="NDI251" s="211"/>
      <c r="NDJ251" s="286"/>
      <c r="NDK251" s="286"/>
      <c r="NDL251" s="280"/>
      <c r="NDM251" s="281"/>
      <c r="NDN251" s="282"/>
      <c r="NDO251" s="242"/>
      <c r="NDP251" s="222"/>
      <c r="NDR251" s="118"/>
      <c r="NDS251" s="8"/>
      <c r="NDT251" s="281"/>
      <c r="NDU251" s="78"/>
      <c r="NDV251" s="151"/>
      <c r="NDW251" s="278"/>
      <c r="NDX251" s="266"/>
      <c r="NDY251" s="279"/>
      <c r="NDZ251" s="211"/>
      <c r="NEA251" s="211"/>
      <c r="NEB251" s="286"/>
      <c r="NEC251" s="286"/>
      <c r="NED251" s="280"/>
      <c r="NEE251" s="281"/>
      <c r="NEF251" s="282"/>
      <c r="NEG251" s="242"/>
      <c r="NEH251" s="222"/>
      <c r="NEJ251" s="118"/>
      <c r="NEK251" s="8"/>
      <c r="NEL251" s="281"/>
      <c r="NEM251" s="78"/>
      <c r="NEN251" s="151"/>
      <c r="NEO251" s="278"/>
      <c r="NEP251" s="266"/>
      <c r="NEQ251" s="279"/>
      <c r="NER251" s="211"/>
      <c r="NES251" s="211"/>
      <c r="NET251" s="286"/>
      <c r="NEU251" s="286"/>
      <c r="NEV251" s="280"/>
      <c r="NEW251" s="281"/>
      <c r="NEX251" s="282"/>
      <c r="NEY251" s="242"/>
      <c r="NEZ251" s="222"/>
      <c r="NFB251" s="118"/>
      <c r="NFC251" s="8"/>
      <c r="NFD251" s="281"/>
      <c r="NFE251" s="78"/>
      <c r="NFF251" s="151"/>
      <c r="NFG251" s="278"/>
      <c r="NFH251" s="266"/>
      <c r="NFI251" s="279"/>
      <c r="NFJ251" s="211"/>
      <c r="NFK251" s="211"/>
      <c r="NFL251" s="286"/>
      <c r="NFM251" s="286"/>
      <c r="NFN251" s="280"/>
      <c r="NFO251" s="281"/>
      <c r="NFP251" s="282"/>
      <c r="NFQ251" s="242"/>
      <c r="NFR251" s="222"/>
      <c r="NFT251" s="118"/>
      <c r="NFU251" s="8"/>
      <c r="NFV251" s="281"/>
      <c r="NFW251" s="78"/>
      <c r="NFX251" s="151"/>
      <c r="NFY251" s="278"/>
      <c r="NFZ251" s="266"/>
      <c r="NGA251" s="279"/>
      <c r="NGB251" s="211"/>
      <c r="NGC251" s="211"/>
      <c r="NGD251" s="286"/>
      <c r="NGE251" s="286"/>
      <c r="NGF251" s="280"/>
      <c r="NGG251" s="281"/>
      <c r="NGH251" s="282"/>
      <c r="NGI251" s="242"/>
      <c r="NGJ251" s="222"/>
      <c r="NGL251" s="118"/>
      <c r="NGM251" s="8"/>
      <c r="NGN251" s="281"/>
      <c r="NGO251" s="78"/>
      <c r="NGP251" s="151"/>
      <c r="NGQ251" s="278"/>
      <c r="NGR251" s="266"/>
      <c r="NGS251" s="279"/>
      <c r="NGT251" s="211"/>
      <c r="NGU251" s="211"/>
      <c r="NGV251" s="286"/>
      <c r="NGW251" s="286"/>
      <c r="NGX251" s="280"/>
      <c r="NGY251" s="281"/>
      <c r="NGZ251" s="282"/>
      <c r="NHA251" s="242"/>
      <c r="NHB251" s="222"/>
      <c r="NHD251" s="118"/>
      <c r="NHE251" s="8"/>
      <c r="NHF251" s="281"/>
      <c r="NHG251" s="78"/>
      <c r="NHH251" s="151"/>
      <c r="NHI251" s="278"/>
      <c r="NHJ251" s="266"/>
      <c r="NHK251" s="279"/>
      <c r="NHL251" s="211"/>
      <c r="NHM251" s="211"/>
      <c r="NHN251" s="286"/>
      <c r="NHO251" s="286"/>
      <c r="NHP251" s="280"/>
      <c r="NHQ251" s="281"/>
      <c r="NHR251" s="282"/>
      <c r="NHS251" s="242"/>
      <c r="NHT251" s="222"/>
      <c r="NHV251" s="118"/>
      <c r="NHW251" s="8"/>
      <c r="NHX251" s="281"/>
      <c r="NHY251" s="78"/>
      <c r="NHZ251" s="151"/>
      <c r="NIA251" s="278"/>
      <c r="NIB251" s="266"/>
      <c r="NIC251" s="279"/>
      <c r="NID251" s="211"/>
      <c r="NIE251" s="211"/>
      <c r="NIF251" s="286"/>
      <c r="NIG251" s="286"/>
      <c r="NIH251" s="280"/>
      <c r="NII251" s="281"/>
      <c r="NIJ251" s="282"/>
      <c r="NIK251" s="242"/>
      <c r="NIL251" s="222"/>
      <c r="NIN251" s="118"/>
      <c r="NIO251" s="8"/>
      <c r="NIP251" s="281"/>
      <c r="NIQ251" s="78"/>
      <c r="NIR251" s="151"/>
      <c r="NIS251" s="278"/>
      <c r="NIT251" s="266"/>
      <c r="NIU251" s="279"/>
      <c r="NIV251" s="211"/>
      <c r="NIW251" s="211"/>
      <c r="NIX251" s="286"/>
      <c r="NIY251" s="286"/>
      <c r="NIZ251" s="280"/>
      <c r="NJA251" s="281"/>
      <c r="NJB251" s="282"/>
      <c r="NJC251" s="242"/>
      <c r="NJD251" s="222"/>
      <c r="NJF251" s="118"/>
      <c r="NJG251" s="8"/>
      <c r="NJH251" s="281"/>
      <c r="NJI251" s="78"/>
      <c r="NJJ251" s="151"/>
      <c r="NJK251" s="278"/>
      <c r="NJL251" s="266"/>
      <c r="NJM251" s="279"/>
      <c r="NJN251" s="211"/>
      <c r="NJO251" s="211"/>
      <c r="NJP251" s="286"/>
      <c r="NJQ251" s="286"/>
      <c r="NJR251" s="280"/>
      <c r="NJS251" s="281"/>
      <c r="NJT251" s="282"/>
      <c r="NJU251" s="242"/>
      <c r="NJV251" s="222"/>
      <c r="NJX251" s="118"/>
      <c r="NJY251" s="8"/>
      <c r="NJZ251" s="281"/>
      <c r="NKA251" s="78"/>
      <c r="NKB251" s="151"/>
      <c r="NKC251" s="278"/>
      <c r="NKD251" s="266"/>
      <c r="NKE251" s="279"/>
      <c r="NKF251" s="211"/>
      <c r="NKG251" s="211"/>
      <c r="NKH251" s="286"/>
      <c r="NKI251" s="286"/>
      <c r="NKJ251" s="280"/>
      <c r="NKK251" s="281"/>
      <c r="NKL251" s="282"/>
      <c r="NKM251" s="242"/>
      <c r="NKN251" s="222"/>
      <c r="NKP251" s="118"/>
      <c r="NKQ251" s="8"/>
      <c r="NKR251" s="281"/>
      <c r="NKS251" s="78"/>
      <c r="NKT251" s="151"/>
      <c r="NKU251" s="278"/>
      <c r="NKV251" s="266"/>
      <c r="NKW251" s="279"/>
      <c r="NKX251" s="211"/>
      <c r="NKY251" s="211"/>
      <c r="NKZ251" s="286"/>
      <c r="NLA251" s="286"/>
      <c r="NLB251" s="280"/>
      <c r="NLC251" s="281"/>
      <c r="NLD251" s="282"/>
      <c r="NLE251" s="242"/>
      <c r="NLF251" s="222"/>
      <c r="NLH251" s="118"/>
      <c r="NLI251" s="8"/>
      <c r="NLJ251" s="281"/>
      <c r="NLK251" s="78"/>
      <c r="NLL251" s="151"/>
      <c r="NLM251" s="278"/>
      <c r="NLN251" s="266"/>
      <c r="NLO251" s="279"/>
      <c r="NLP251" s="211"/>
      <c r="NLQ251" s="211"/>
      <c r="NLR251" s="286"/>
      <c r="NLS251" s="286"/>
      <c r="NLT251" s="280"/>
      <c r="NLU251" s="281"/>
      <c r="NLV251" s="282"/>
      <c r="NLW251" s="242"/>
      <c r="NLX251" s="222"/>
      <c r="NLZ251" s="118"/>
      <c r="NMA251" s="8"/>
      <c r="NMB251" s="281"/>
      <c r="NMC251" s="78"/>
      <c r="NMD251" s="151"/>
      <c r="NME251" s="278"/>
      <c r="NMF251" s="266"/>
      <c r="NMG251" s="279"/>
      <c r="NMH251" s="211"/>
      <c r="NMI251" s="211"/>
      <c r="NMJ251" s="286"/>
      <c r="NMK251" s="286"/>
      <c r="NML251" s="280"/>
      <c r="NMM251" s="281"/>
      <c r="NMN251" s="282"/>
      <c r="NMO251" s="242"/>
      <c r="NMP251" s="222"/>
      <c r="NMR251" s="118"/>
      <c r="NMS251" s="8"/>
      <c r="NMT251" s="281"/>
      <c r="NMU251" s="78"/>
      <c r="NMV251" s="151"/>
      <c r="NMW251" s="278"/>
      <c r="NMX251" s="266"/>
      <c r="NMY251" s="279"/>
      <c r="NMZ251" s="211"/>
      <c r="NNA251" s="211"/>
      <c r="NNB251" s="286"/>
      <c r="NNC251" s="286"/>
      <c r="NND251" s="280"/>
      <c r="NNE251" s="281"/>
      <c r="NNF251" s="282"/>
      <c r="NNG251" s="242"/>
      <c r="NNH251" s="222"/>
      <c r="NNJ251" s="118"/>
      <c r="NNK251" s="8"/>
      <c r="NNL251" s="281"/>
      <c r="NNM251" s="78"/>
      <c r="NNN251" s="151"/>
      <c r="NNO251" s="278"/>
      <c r="NNP251" s="266"/>
      <c r="NNQ251" s="279"/>
      <c r="NNR251" s="211"/>
      <c r="NNS251" s="211"/>
      <c r="NNT251" s="286"/>
      <c r="NNU251" s="286"/>
      <c r="NNV251" s="280"/>
      <c r="NNW251" s="281"/>
      <c r="NNX251" s="282"/>
      <c r="NNY251" s="242"/>
      <c r="NNZ251" s="222"/>
      <c r="NOB251" s="118"/>
      <c r="NOC251" s="8"/>
      <c r="NOD251" s="281"/>
      <c r="NOE251" s="78"/>
      <c r="NOF251" s="151"/>
      <c r="NOG251" s="278"/>
      <c r="NOH251" s="266"/>
      <c r="NOI251" s="279"/>
      <c r="NOJ251" s="211"/>
      <c r="NOK251" s="211"/>
      <c r="NOL251" s="286"/>
      <c r="NOM251" s="286"/>
      <c r="NON251" s="280"/>
      <c r="NOO251" s="281"/>
      <c r="NOP251" s="282"/>
      <c r="NOQ251" s="242"/>
      <c r="NOR251" s="222"/>
      <c r="NOT251" s="118"/>
      <c r="NOU251" s="8"/>
      <c r="NOV251" s="281"/>
      <c r="NOW251" s="78"/>
      <c r="NOX251" s="151"/>
      <c r="NOY251" s="278"/>
      <c r="NOZ251" s="266"/>
      <c r="NPA251" s="279"/>
      <c r="NPB251" s="211"/>
      <c r="NPC251" s="211"/>
      <c r="NPD251" s="286"/>
      <c r="NPE251" s="286"/>
      <c r="NPF251" s="280"/>
      <c r="NPG251" s="281"/>
      <c r="NPH251" s="282"/>
      <c r="NPI251" s="242"/>
      <c r="NPJ251" s="222"/>
      <c r="NPL251" s="118"/>
      <c r="NPM251" s="8"/>
      <c r="NPN251" s="281"/>
      <c r="NPO251" s="78"/>
      <c r="NPP251" s="151"/>
      <c r="NPQ251" s="278"/>
      <c r="NPR251" s="266"/>
      <c r="NPS251" s="279"/>
      <c r="NPT251" s="211"/>
      <c r="NPU251" s="211"/>
      <c r="NPV251" s="286"/>
      <c r="NPW251" s="286"/>
      <c r="NPX251" s="280"/>
      <c r="NPY251" s="281"/>
      <c r="NPZ251" s="282"/>
      <c r="NQA251" s="242"/>
      <c r="NQB251" s="222"/>
      <c r="NQD251" s="118"/>
      <c r="NQE251" s="8"/>
      <c r="NQF251" s="281"/>
      <c r="NQG251" s="78"/>
      <c r="NQH251" s="151"/>
      <c r="NQI251" s="278"/>
      <c r="NQJ251" s="266"/>
      <c r="NQK251" s="279"/>
      <c r="NQL251" s="211"/>
      <c r="NQM251" s="211"/>
      <c r="NQN251" s="286"/>
      <c r="NQO251" s="286"/>
      <c r="NQP251" s="280"/>
      <c r="NQQ251" s="281"/>
      <c r="NQR251" s="282"/>
      <c r="NQS251" s="242"/>
      <c r="NQT251" s="222"/>
      <c r="NQV251" s="118"/>
      <c r="NQW251" s="8"/>
      <c r="NQX251" s="281"/>
      <c r="NQY251" s="78"/>
      <c r="NQZ251" s="151"/>
      <c r="NRA251" s="278"/>
      <c r="NRB251" s="266"/>
      <c r="NRC251" s="279"/>
      <c r="NRD251" s="211"/>
      <c r="NRE251" s="211"/>
      <c r="NRF251" s="286"/>
      <c r="NRG251" s="286"/>
      <c r="NRH251" s="280"/>
      <c r="NRI251" s="281"/>
      <c r="NRJ251" s="282"/>
      <c r="NRK251" s="242"/>
      <c r="NRL251" s="222"/>
      <c r="NRN251" s="118"/>
      <c r="NRO251" s="8"/>
      <c r="NRP251" s="281"/>
      <c r="NRQ251" s="78"/>
      <c r="NRR251" s="151"/>
      <c r="NRS251" s="278"/>
      <c r="NRT251" s="266"/>
      <c r="NRU251" s="279"/>
      <c r="NRV251" s="211"/>
      <c r="NRW251" s="211"/>
      <c r="NRX251" s="286"/>
      <c r="NRY251" s="286"/>
      <c r="NRZ251" s="280"/>
      <c r="NSA251" s="281"/>
      <c r="NSB251" s="282"/>
      <c r="NSC251" s="242"/>
      <c r="NSD251" s="222"/>
      <c r="NSF251" s="118"/>
      <c r="NSG251" s="8"/>
      <c r="NSH251" s="281"/>
      <c r="NSI251" s="78"/>
      <c r="NSJ251" s="151"/>
      <c r="NSK251" s="278"/>
      <c r="NSL251" s="266"/>
      <c r="NSM251" s="279"/>
      <c r="NSN251" s="211"/>
      <c r="NSO251" s="211"/>
      <c r="NSP251" s="286"/>
      <c r="NSQ251" s="286"/>
      <c r="NSR251" s="280"/>
      <c r="NSS251" s="281"/>
      <c r="NST251" s="282"/>
      <c r="NSU251" s="242"/>
      <c r="NSV251" s="222"/>
      <c r="NSX251" s="118"/>
      <c r="NSY251" s="8"/>
      <c r="NSZ251" s="281"/>
      <c r="NTA251" s="78"/>
      <c r="NTB251" s="151"/>
      <c r="NTC251" s="278"/>
      <c r="NTD251" s="266"/>
      <c r="NTE251" s="279"/>
      <c r="NTF251" s="211"/>
      <c r="NTG251" s="211"/>
      <c r="NTH251" s="286"/>
      <c r="NTI251" s="286"/>
      <c r="NTJ251" s="280"/>
      <c r="NTK251" s="281"/>
      <c r="NTL251" s="282"/>
      <c r="NTM251" s="242"/>
      <c r="NTN251" s="222"/>
      <c r="NTP251" s="118"/>
      <c r="NTQ251" s="8"/>
      <c r="NTR251" s="281"/>
      <c r="NTS251" s="78"/>
      <c r="NTT251" s="151"/>
      <c r="NTU251" s="278"/>
      <c r="NTV251" s="266"/>
      <c r="NTW251" s="279"/>
      <c r="NTX251" s="211"/>
      <c r="NTY251" s="211"/>
      <c r="NTZ251" s="286"/>
      <c r="NUA251" s="286"/>
      <c r="NUB251" s="280"/>
      <c r="NUC251" s="281"/>
      <c r="NUD251" s="282"/>
      <c r="NUE251" s="242"/>
      <c r="NUF251" s="222"/>
      <c r="NUH251" s="118"/>
      <c r="NUI251" s="8"/>
      <c r="NUJ251" s="281"/>
      <c r="NUK251" s="78"/>
      <c r="NUL251" s="151"/>
      <c r="NUM251" s="278"/>
      <c r="NUN251" s="266"/>
      <c r="NUO251" s="279"/>
      <c r="NUP251" s="211"/>
      <c r="NUQ251" s="211"/>
      <c r="NUR251" s="286"/>
      <c r="NUS251" s="286"/>
      <c r="NUT251" s="280"/>
      <c r="NUU251" s="281"/>
      <c r="NUV251" s="282"/>
      <c r="NUW251" s="242"/>
      <c r="NUX251" s="222"/>
      <c r="NUZ251" s="118"/>
      <c r="NVA251" s="8"/>
      <c r="NVB251" s="281"/>
      <c r="NVC251" s="78"/>
      <c r="NVD251" s="151"/>
      <c r="NVE251" s="278"/>
      <c r="NVF251" s="266"/>
      <c r="NVG251" s="279"/>
      <c r="NVH251" s="211"/>
      <c r="NVI251" s="211"/>
      <c r="NVJ251" s="286"/>
      <c r="NVK251" s="286"/>
      <c r="NVL251" s="280"/>
      <c r="NVM251" s="281"/>
      <c r="NVN251" s="282"/>
      <c r="NVO251" s="242"/>
      <c r="NVP251" s="222"/>
      <c r="NVR251" s="118"/>
      <c r="NVS251" s="8"/>
      <c r="NVT251" s="281"/>
      <c r="NVU251" s="78"/>
      <c r="NVV251" s="151"/>
      <c r="NVW251" s="278"/>
      <c r="NVX251" s="266"/>
      <c r="NVY251" s="279"/>
      <c r="NVZ251" s="211"/>
      <c r="NWA251" s="211"/>
      <c r="NWB251" s="286"/>
      <c r="NWC251" s="286"/>
      <c r="NWD251" s="280"/>
      <c r="NWE251" s="281"/>
      <c r="NWF251" s="282"/>
      <c r="NWG251" s="242"/>
      <c r="NWH251" s="222"/>
      <c r="NWJ251" s="118"/>
      <c r="NWK251" s="8"/>
      <c r="NWL251" s="281"/>
      <c r="NWM251" s="78"/>
      <c r="NWN251" s="151"/>
      <c r="NWO251" s="278"/>
      <c r="NWP251" s="266"/>
      <c r="NWQ251" s="279"/>
      <c r="NWR251" s="211"/>
      <c r="NWS251" s="211"/>
      <c r="NWT251" s="286"/>
      <c r="NWU251" s="286"/>
      <c r="NWV251" s="280"/>
      <c r="NWW251" s="281"/>
      <c r="NWX251" s="282"/>
      <c r="NWY251" s="242"/>
      <c r="NWZ251" s="222"/>
      <c r="NXB251" s="118"/>
      <c r="NXC251" s="8"/>
      <c r="NXD251" s="281"/>
      <c r="NXE251" s="78"/>
      <c r="NXF251" s="151"/>
      <c r="NXG251" s="278"/>
      <c r="NXH251" s="266"/>
      <c r="NXI251" s="279"/>
      <c r="NXJ251" s="211"/>
      <c r="NXK251" s="211"/>
      <c r="NXL251" s="286"/>
      <c r="NXM251" s="286"/>
      <c r="NXN251" s="280"/>
      <c r="NXO251" s="281"/>
      <c r="NXP251" s="282"/>
      <c r="NXQ251" s="242"/>
      <c r="NXR251" s="222"/>
      <c r="NXT251" s="118"/>
      <c r="NXU251" s="8"/>
      <c r="NXV251" s="281"/>
      <c r="NXW251" s="78"/>
      <c r="NXX251" s="151"/>
      <c r="NXY251" s="278"/>
      <c r="NXZ251" s="266"/>
      <c r="NYA251" s="279"/>
      <c r="NYB251" s="211"/>
      <c r="NYC251" s="211"/>
      <c r="NYD251" s="286"/>
      <c r="NYE251" s="286"/>
      <c r="NYF251" s="280"/>
      <c r="NYG251" s="281"/>
      <c r="NYH251" s="282"/>
      <c r="NYI251" s="242"/>
      <c r="NYJ251" s="222"/>
      <c r="NYL251" s="118"/>
      <c r="NYM251" s="8"/>
      <c r="NYN251" s="281"/>
      <c r="NYO251" s="78"/>
      <c r="NYP251" s="151"/>
      <c r="NYQ251" s="278"/>
      <c r="NYR251" s="266"/>
      <c r="NYS251" s="279"/>
      <c r="NYT251" s="211"/>
      <c r="NYU251" s="211"/>
      <c r="NYV251" s="286"/>
      <c r="NYW251" s="286"/>
      <c r="NYX251" s="280"/>
      <c r="NYY251" s="281"/>
      <c r="NYZ251" s="282"/>
      <c r="NZA251" s="242"/>
      <c r="NZB251" s="222"/>
      <c r="NZD251" s="118"/>
      <c r="NZE251" s="8"/>
      <c r="NZF251" s="281"/>
      <c r="NZG251" s="78"/>
      <c r="NZH251" s="151"/>
      <c r="NZI251" s="278"/>
      <c r="NZJ251" s="266"/>
      <c r="NZK251" s="279"/>
      <c r="NZL251" s="211"/>
      <c r="NZM251" s="211"/>
      <c r="NZN251" s="286"/>
      <c r="NZO251" s="286"/>
      <c r="NZP251" s="280"/>
      <c r="NZQ251" s="281"/>
      <c r="NZR251" s="282"/>
      <c r="NZS251" s="242"/>
      <c r="NZT251" s="222"/>
      <c r="NZV251" s="118"/>
      <c r="NZW251" s="8"/>
      <c r="NZX251" s="281"/>
      <c r="NZY251" s="78"/>
      <c r="NZZ251" s="151"/>
      <c r="OAA251" s="278"/>
      <c r="OAB251" s="266"/>
      <c r="OAC251" s="279"/>
      <c r="OAD251" s="211"/>
      <c r="OAE251" s="211"/>
      <c r="OAF251" s="286"/>
      <c r="OAG251" s="286"/>
      <c r="OAH251" s="280"/>
      <c r="OAI251" s="281"/>
      <c r="OAJ251" s="282"/>
      <c r="OAK251" s="242"/>
      <c r="OAL251" s="222"/>
      <c r="OAN251" s="118"/>
      <c r="OAO251" s="8"/>
      <c r="OAP251" s="281"/>
      <c r="OAQ251" s="78"/>
      <c r="OAR251" s="151"/>
      <c r="OAS251" s="278"/>
      <c r="OAT251" s="266"/>
      <c r="OAU251" s="279"/>
      <c r="OAV251" s="211"/>
      <c r="OAW251" s="211"/>
      <c r="OAX251" s="286"/>
      <c r="OAY251" s="286"/>
      <c r="OAZ251" s="280"/>
      <c r="OBA251" s="281"/>
      <c r="OBB251" s="282"/>
      <c r="OBC251" s="242"/>
      <c r="OBD251" s="222"/>
      <c r="OBF251" s="118"/>
      <c r="OBG251" s="8"/>
      <c r="OBH251" s="281"/>
      <c r="OBI251" s="78"/>
      <c r="OBJ251" s="151"/>
      <c r="OBK251" s="278"/>
      <c r="OBL251" s="266"/>
      <c r="OBM251" s="279"/>
      <c r="OBN251" s="211"/>
      <c r="OBO251" s="211"/>
      <c r="OBP251" s="286"/>
      <c r="OBQ251" s="286"/>
      <c r="OBR251" s="280"/>
      <c r="OBS251" s="281"/>
      <c r="OBT251" s="282"/>
      <c r="OBU251" s="242"/>
      <c r="OBV251" s="222"/>
      <c r="OBX251" s="118"/>
      <c r="OBY251" s="8"/>
      <c r="OBZ251" s="281"/>
      <c r="OCA251" s="78"/>
      <c r="OCB251" s="151"/>
      <c r="OCC251" s="278"/>
      <c r="OCD251" s="266"/>
      <c r="OCE251" s="279"/>
      <c r="OCF251" s="211"/>
      <c r="OCG251" s="211"/>
      <c r="OCH251" s="286"/>
      <c r="OCI251" s="286"/>
      <c r="OCJ251" s="280"/>
      <c r="OCK251" s="281"/>
      <c r="OCL251" s="282"/>
      <c r="OCM251" s="242"/>
      <c r="OCN251" s="222"/>
      <c r="OCP251" s="118"/>
      <c r="OCQ251" s="8"/>
      <c r="OCR251" s="281"/>
      <c r="OCS251" s="78"/>
      <c r="OCT251" s="151"/>
      <c r="OCU251" s="278"/>
      <c r="OCV251" s="266"/>
      <c r="OCW251" s="279"/>
      <c r="OCX251" s="211"/>
      <c r="OCY251" s="211"/>
      <c r="OCZ251" s="286"/>
      <c r="ODA251" s="286"/>
      <c r="ODB251" s="280"/>
      <c r="ODC251" s="281"/>
      <c r="ODD251" s="282"/>
      <c r="ODE251" s="242"/>
      <c r="ODF251" s="222"/>
      <c r="ODH251" s="118"/>
      <c r="ODI251" s="8"/>
      <c r="ODJ251" s="281"/>
      <c r="ODK251" s="78"/>
      <c r="ODL251" s="151"/>
      <c r="ODM251" s="278"/>
      <c r="ODN251" s="266"/>
      <c r="ODO251" s="279"/>
      <c r="ODP251" s="211"/>
      <c r="ODQ251" s="211"/>
      <c r="ODR251" s="286"/>
      <c r="ODS251" s="286"/>
      <c r="ODT251" s="280"/>
      <c r="ODU251" s="281"/>
      <c r="ODV251" s="282"/>
      <c r="ODW251" s="242"/>
      <c r="ODX251" s="222"/>
      <c r="ODZ251" s="118"/>
      <c r="OEA251" s="8"/>
      <c r="OEB251" s="281"/>
      <c r="OEC251" s="78"/>
      <c r="OED251" s="151"/>
      <c r="OEE251" s="278"/>
      <c r="OEF251" s="266"/>
      <c r="OEG251" s="279"/>
      <c r="OEH251" s="211"/>
      <c r="OEI251" s="211"/>
      <c r="OEJ251" s="286"/>
      <c r="OEK251" s="286"/>
      <c r="OEL251" s="280"/>
      <c r="OEM251" s="281"/>
      <c r="OEN251" s="282"/>
      <c r="OEO251" s="242"/>
      <c r="OEP251" s="222"/>
      <c r="OER251" s="118"/>
      <c r="OES251" s="8"/>
      <c r="OET251" s="281"/>
      <c r="OEU251" s="78"/>
      <c r="OEV251" s="151"/>
      <c r="OEW251" s="278"/>
      <c r="OEX251" s="266"/>
      <c r="OEY251" s="279"/>
      <c r="OEZ251" s="211"/>
      <c r="OFA251" s="211"/>
      <c r="OFB251" s="286"/>
      <c r="OFC251" s="286"/>
      <c r="OFD251" s="280"/>
      <c r="OFE251" s="281"/>
      <c r="OFF251" s="282"/>
      <c r="OFG251" s="242"/>
      <c r="OFH251" s="222"/>
      <c r="OFJ251" s="118"/>
      <c r="OFK251" s="8"/>
      <c r="OFL251" s="281"/>
      <c r="OFM251" s="78"/>
      <c r="OFN251" s="151"/>
      <c r="OFO251" s="278"/>
      <c r="OFP251" s="266"/>
      <c r="OFQ251" s="279"/>
      <c r="OFR251" s="211"/>
      <c r="OFS251" s="211"/>
      <c r="OFT251" s="286"/>
      <c r="OFU251" s="286"/>
      <c r="OFV251" s="280"/>
      <c r="OFW251" s="281"/>
      <c r="OFX251" s="282"/>
      <c r="OFY251" s="242"/>
      <c r="OFZ251" s="222"/>
      <c r="OGB251" s="118"/>
      <c r="OGC251" s="8"/>
      <c r="OGD251" s="281"/>
      <c r="OGE251" s="78"/>
      <c r="OGF251" s="151"/>
      <c r="OGG251" s="278"/>
      <c r="OGH251" s="266"/>
      <c r="OGI251" s="279"/>
      <c r="OGJ251" s="211"/>
      <c r="OGK251" s="211"/>
      <c r="OGL251" s="286"/>
      <c r="OGM251" s="286"/>
      <c r="OGN251" s="280"/>
      <c r="OGO251" s="281"/>
      <c r="OGP251" s="282"/>
      <c r="OGQ251" s="242"/>
      <c r="OGR251" s="222"/>
      <c r="OGT251" s="118"/>
      <c r="OGU251" s="8"/>
      <c r="OGV251" s="281"/>
      <c r="OGW251" s="78"/>
      <c r="OGX251" s="151"/>
      <c r="OGY251" s="278"/>
      <c r="OGZ251" s="266"/>
      <c r="OHA251" s="279"/>
      <c r="OHB251" s="211"/>
      <c r="OHC251" s="211"/>
      <c r="OHD251" s="286"/>
      <c r="OHE251" s="286"/>
      <c r="OHF251" s="280"/>
      <c r="OHG251" s="281"/>
      <c r="OHH251" s="282"/>
      <c r="OHI251" s="242"/>
      <c r="OHJ251" s="222"/>
      <c r="OHL251" s="118"/>
      <c r="OHM251" s="8"/>
      <c r="OHN251" s="281"/>
      <c r="OHO251" s="78"/>
      <c r="OHP251" s="151"/>
      <c r="OHQ251" s="278"/>
      <c r="OHR251" s="266"/>
      <c r="OHS251" s="279"/>
      <c r="OHT251" s="211"/>
      <c r="OHU251" s="211"/>
      <c r="OHV251" s="286"/>
      <c r="OHW251" s="286"/>
      <c r="OHX251" s="280"/>
      <c r="OHY251" s="281"/>
      <c r="OHZ251" s="282"/>
      <c r="OIA251" s="242"/>
      <c r="OIB251" s="222"/>
      <c r="OID251" s="118"/>
      <c r="OIE251" s="8"/>
      <c r="OIF251" s="281"/>
      <c r="OIG251" s="78"/>
      <c r="OIH251" s="151"/>
      <c r="OII251" s="278"/>
      <c r="OIJ251" s="266"/>
      <c r="OIK251" s="279"/>
      <c r="OIL251" s="211"/>
      <c r="OIM251" s="211"/>
      <c r="OIN251" s="286"/>
      <c r="OIO251" s="286"/>
      <c r="OIP251" s="280"/>
      <c r="OIQ251" s="281"/>
      <c r="OIR251" s="282"/>
      <c r="OIS251" s="242"/>
      <c r="OIT251" s="222"/>
      <c r="OIV251" s="118"/>
      <c r="OIW251" s="8"/>
      <c r="OIX251" s="281"/>
      <c r="OIY251" s="78"/>
      <c r="OIZ251" s="151"/>
      <c r="OJA251" s="278"/>
      <c r="OJB251" s="266"/>
      <c r="OJC251" s="279"/>
      <c r="OJD251" s="211"/>
      <c r="OJE251" s="211"/>
      <c r="OJF251" s="286"/>
      <c r="OJG251" s="286"/>
      <c r="OJH251" s="280"/>
      <c r="OJI251" s="281"/>
      <c r="OJJ251" s="282"/>
      <c r="OJK251" s="242"/>
      <c r="OJL251" s="222"/>
      <c r="OJN251" s="118"/>
      <c r="OJO251" s="8"/>
      <c r="OJP251" s="281"/>
      <c r="OJQ251" s="78"/>
      <c r="OJR251" s="151"/>
      <c r="OJS251" s="278"/>
      <c r="OJT251" s="266"/>
      <c r="OJU251" s="279"/>
      <c r="OJV251" s="211"/>
      <c r="OJW251" s="211"/>
      <c r="OJX251" s="286"/>
      <c r="OJY251" s="286"/>
      <c r="OJZ251" s="280"/>
      <c r="OKA251" s="281"/>
      <c r="OKB251" s="282"/>
      <c r="OKC251" s="242"/>
      <c r="OKD251" s="222"/>
      <c r="OKF251" s="118"/>
      <c r="OKG251" s="8"/>
      <c r="OKH251" s="281"/>
      <c r="OKI251" s="78"/>
      <c r="OKJ251" s="151"/>
      <c r="OKK251" s="278"/>
      <c r="OKL251" s="266"/>
      <c r="OKM251" s="279"/>
      <c r="OKN251" s="211"/>
      <c r="OKO251" s="211"/>
      <c r="OKP251" s="286"/>
      <c r="OKQ251" s="286"/>
      <c r="OKR251" s="280"/>
      <c r="OKS251" s="281"/>
      <c r="OKT251" s="282"/>
      <c r="OKU251" s="242"/>
      <c r="OKV251" s="222"/>
      <c r="OKX251" s="118"/>
      <c r="OKY251" s="8"/>
      <c r="OKZ251" s="281"/>
      <c r="OLA251" s="78"/>
      <c r="OLB251" s="151"/>
      <c r="OLC251" s="278"/>
      <c r="OLD251" s="266"/>
      <c r="OLE251" s="279"/>
      <c r="OLF251" s="211"/>
      <c r="OLG251" s="211"/>
      <c r="OLH251" s="286"/>
      <c r="OLI251" s="286"/>
      <c r="OLJ251" s="280"/>
      <c r="OLK251" s="281"/>
      <c r="OLL251" s="282"/>
      <c r="OLM251" s="242"/>
      <c r="OLN251" s="222"/>
      <c r="OLP251" s="118"/>
      <c r="OLQ251" s="8"/>
      <c r="OLR251" s="281"/>
      <c r="OLS251" s="78"/>
      <c r="OLT251" s="151"/>
      <c r="OLU251" s="278"/>
      <c r="OLV251" s="266"/>
      <c r="OLW251" s="279"/>
      <c r="OLX251" s="211"/>
      <c r="OLY251" s="211"/>
      <c r="OLZ251" s="286"/>
      <c r="OMA251" s="286"/>
      <c r="OMB251" s="280"/>
      <c r="OMC251" s="281"/>
      <c r="OMD251" s="282"/>
      <c r="OME251" s="242"/>
      <c r="OMF251" s="222"/>
      <c r="OMH251" s="118"/>
      <c r="OMI251" s="8"/>
      <c r="OMJ251" s="281"/>
      <c r="OMK251" s="78"/>
      <c r="OML251" s="151"/>
      <c r="OMM251" s="278"/>
      <c r="OMN251" s="266"/>
      <c r="OMO251" s="279"/>
      <c r="OMP251" s="211"/>
      <c r="OMQ251" s="211"/>
      <c r="OMR251" s="286"/>
      <c r="OMS251" s="286"/>
      <c r="OMT251" s="280"/>
      <c r="OMU251" s="281"/>
      <c r="OMV251" s="282"/>
      <c r="OMW251" s="242"/>
      <c r="OMX251" s="222"/>
      <c r="OMZ251" s="118"/>
      <c r="ONA251" s="8"/>
      <c r="ONB251" s="281"/>
      <c r="ONC251" s="78"/>
      <c r="OND251" s="151"/>
      <c r="ONE251" s="278"/>
      <c r="ONF251" s="266"/>
      <c r="ONG251" s="279"/>
      <c r="ONH251" s="211"/>
      <c r="ONI251" s="211"/>
      <c r="ONJ251" s="286"/>
      <c r="ONK251" s="286"/>
      <c r="ONL251" s="280"/>
      <c r="ONM251" s="281"/>
      <c r="ONN251" s="282"/>
      <c r="ONO251" s="242"/>
      <c r="ONP251" s="222"/>
      <c r="ONR251" s="118"/>
      <c r="ONS251" s="8"/>
      <c r="ONT251" s="281"/>
      <c r="ONU251" s="78"/>
      <c r="ONV251" s="151"/>
      <c r="ONW251" s="278"/>
      <c r="ONX251" s="266"/>
      <c r="ONY251" s="279"/>
      <c r="ONZ251" s="211"/>
      <c r="OOA251" s="211"/>
      <c r="OOB251" s="286"/>
      <c r="OOC251" s="286"/>
      <c r="OOD251" s="280"/>
      <c r="OOE251" s="281"/>
      <c r="OOF251" s="282"/>
      <c r="OOG251" s="242"/>
      <c r="OOH251" s="222"/>
      <c r="OOJ251" s="118"/>
      <c r="OOK251" s="8"/>
      <c r="OOL251" s="281"/>
      <c r="OOM251" s="78"/>
      <c r="OON251" s="151"/>
      <c r="OOO251" s="278"/>
      <c r="OOP251" s="266"/>
      <c r="OOQ251" s="279"/>
      <c r="OOR251" s="211"/>
      <c r="OOS251" s="211"/>
      <c r="OOT251" s="286"/>
      <c r="OOU251" s="286"/>
      <c r="OOV251" s="280"/>
      <c r="OOW251" s="281"/>
      <c r="OOX251" s="282"/>
      <c r="OOY251" s="242"/>
      <c r="OOZ251" s="222"/>
      <c r="OPB251" s="118"/>
      <c r="OPC251" s="8"/>
      <c r="OPD251" s="281"/>
      <c r="OPE251" s="78"/>
      <c r="OPF251" s="151"/>
      <c r="OPG251" s="278"/>
      <c r="OPH251" s="266"/>
      <c r="OPI251" s="279"/>
      <c r="OPJ251" s="211"/>
      <c r="OPK251" s="211"/>
      <c r="OPL251" s="286"/>
      <c r="OPM251" s="286"/>
      <c r="OPN251" s="280"/>
      <c r="OPO251" s="281"/>
      <c r="OPP251" s="282"/>
      <c r="OPQ251" s="242"/>
      <c r="OPR251" s="222"/>
      <c r="OPT251" s="118"/>
      <c r="OPU251" s="8"/>
      <c r="OPV251" s="281"/>
      <c r="OPW251" s="78"/>
      <c r="OPX251" s="151"/>
      <c r="OPY251" s="278"/>
      <c r="OPZ251" s="266"/>
      <c r="OQA251" s="279"/>
      <c r="OQB251" s="211"/>
      <c r="OQC251" s="211"/>
      <c r="OQD251" s="286"/>
      <c r="OQE251" s="286"/>
      <c r="OQF251" s="280"/>
      <c r="OQG251" s="281"/>
      <c r="OQH251" s="282"/>
      <c r="OQI251" s="242"/>
      <c r="OQJ251" s="222"/>
      <c r="OQL251" s="118"/>
      <c r="OQM251" s="8"/>
      <c r="OQN251" s="281"/>
      <c r="OQO251" s="78"/>
      <c r="OQP251" s="151"/>
      <c r="OQQ251" s="278"/>
      <c r="OQR251" s="266"/>
      <c r="OQS251" s="279"/>
      <c r="OQT251" s="211"/>
      <c r="OQU251" s="211"/>
      <c r="OQV251" s="286"/>
      <c r="OQW251" s="286"/>
      <c r="OQX251" s="280"/>
      <c r="OQY251" s="281"/>
      <c r="OQZ251" s="282"/>
      <c r="ORA251" s="242"/>
      <c r="ORB251" s="222"/>
      <c r="ORD251" s="118"/>
      <c r="ORE251" s="8"/>
      <c r="ORF251" s="281"/>
      <c r="ORG251" s="78"/>
      <c r="ORH251" s="151"/>
      <c r="ORI251" s="278"/>
      <c r="ORJ251" s="266"/>
      <c r="ORK251" s="279"/>
      <c r="ORL251" s="211"/>
      <c r="ORM251" s="211"/>
      <c r="ORN251" s="286"/>
      <c r="ORO251" s="286"/>
      <c r="ORP251" s="280"/>
      <c r="ORQ251" s="281"/>
      <c r="ORR251" s="282"/>
      <c r="ORS251" s="242"/>
      <c r="ORT251" s="222"/>
      <c r="ORV251" s="118"/>
      <c r="ORW251" s="8"/>
      <c r="ORX251" s="281"/>
      <c r="ORY251" s="78"/>
      <c r="ORZ251" s="151"/>
      <c r="OSA251" s="278"/>
      <c r="OSB251" s="266"/>
      <c r="OSC251" s="279"/>
      <c r="OSD251" s="211"/>
      <c r="OSE251" s="211"/>
      <c r="OSF251" s="286"/>
      <c r="OSG251" s="286"/>
      <c r="OSH251" s="280"/>
      <c r="OSI251" s="281"/>
      <c r="OSJ251" s="282"/>
      <c r="OSK251" s="242"/>
      <c r="OSL251" s="222"/>
      <c r="OSN251" s="118"/>
      <c r="OSO251" s="8"/>
      <c r="OSP251" s="281"/>
      <c r="OSQ251" s="78"/>
      <c r="OSR251" s="151"/>
      <c r="OSS251" s="278"/>
      <c r="OST251" s="266"/>
      <c r="OSU251" s="279"/>
      <c r="OSV251" s="211"/>
      <c r="OSW251" s="211"/>
      <c r="OSX251" s="286"/>
      <c r="OSY251" s="286"/>
      <c r="OSZ251" s="280"/>
      <c r="OTA251" s="281"/>
      <c r="OTB251" s="282"/>
      <c r="OTC251" s="242"/>
      <c r="OTD251" s="222"/>
      <c r="OTF251" s="118"/>
      <c r="OTG251" s="8"/>
      <c r="OTH251" s="281"/>
      <c r="OTI251" s="78"/>
      <c r="OTJ251" s="151"/>
      <c r="OTK251" s="278"/>
      <c r="OTL251" s="266"/>
      <c r="OTM251" s="279"/>
      <c r="OTN251" s="211"/>
      <c r="OTO251" s="211"/>
      <c r="OTP251" s="286"/>
      <c r="OTQ251" s="286"/>
      <c r="OTR251" s="280"/>
      <c r="OTS251" s="281"/>
      <c r="OTT251" s="282"/>
      <c r="OTU251" s="242"/>
      <c r="OTV251" s="222"/>
      <c r="OTX251" s="118"/>
      <c r="OTY251" s="8"/>
      <c r="OTZ251" s="281"/>
      <c r="OUA251" s="78"/>
      <c r="OUB251" s="151"/>
      <c r="OUC251" s="278"/>
      <c r="OUD251" s="266"/>
      <c r="OUE251" s="279"/>
      <c r="OUF251" s="211"/>
      <c r="OUG251" s="211"/>
      <c r="OUH251" s="286"/>
      <c r="OUI251" s="286"/>
      <c r="OUJ251" s="280"/>
      <c r="OUK251" s="281"/>
      <c r="OUL251" s="282"/>
      <c r="OUM251" s="242"/>
      <c r="OUN251" s="222"/>
      <c r="OUP251" s="118"/>
      <c r="OUQ251" s="8"/>
      <c r="OUR251" s="281"/>
      <c r="OUS251" s="78"/>
      <c r="OUT251" s="151"/>
      <c r="OUU251" s="278"/>
      <c r="OUV251" s="266"/>
      <c r="OUW251" s="279"/>
      <c r="OUX251" s="211"/>
      <c r="OUY251" s="211"/>
      <c r="OUZ251" s="286"/>
      <c r="OVA251" s="286"/>
      <c r="OVB251" s="280"/>
      <c r="OVC251" s="281"/>
      <c r="OVD251" s="282"/>
      <c r="OVE251" s="242"/>
      <c r="OVF251" s="222"/>
      <c r="OVH251" s="118"/>
      <c r="OVI251" s="8"/>
      <c r="OVJ251" s="281"/>
      <c r="OVK251" s="78"/>
      <c r="OVL251" s="151"/>
      <c r="OVM251" s="278"/>
      <c r="OVN251" s="266"/>
      <c r="OVO251" s="279"/>
      <c r="OVP251" s="211"/>
      <c r="OVQ251" s="211"/>
      <c r="OVR251" s="286"/>
      <c r="OVS251" s="286"/>
      <c r="OVT251" s="280"/>
      <c r="OVU251" s="281"/>
      <c r="OVV251" s="282"/>
      <c r="OVW251" s="242"/>
      <c r="OVX251" s="222"/>
      <c r="OVZ251" s="118"/>
      <c r="OWA251" s="8"/>
      <c r="OWB251" s="281"/>
      <c r="OWC251" s="78"/>
      <c r="OWD251" s="151"/>
      <c r="OWE251" s="278"/>
      <c r="OWF251" s="266"/>
      <c r="OWG251" s="279"/>
      <c r="OWH251" s="211"/>
      <c r="OWI251" s="211"/>
      <c r="OWJ251" s="286"/>
      <c r="OWK251" s="286"/>
      <c r="OWL251" s="280"/>
      <c r="OWM251" s="281"/>
      <c r="OWN251" s="282"/>
      <c r="OWO251" s="242"/>
      <c r="OWP251" s="222"/>
      <c r="OWR251" s="118"/>
      <c r="OWS251" s="8"/>
      <c r="OWT251" s="281"/>
      <c r="OWU251" s="78"/>
      <c r="OWV251" s="151"/>
      <c r="OWW251" s="278"/>
      <c r="OWX251" s="266"/>
      <c r="OWY251" s="279"/>
      <c r="OWZ251" s="211"/>
      <c r="OXA251" s="211"/>
      <c r="OXB251" s="286"/>
      <c r="OXC251" s="286"/>
      <c r="OXD251" s="280"/>
      <c r="OXE251" s="281"/>
      <c r="OXF251" s="282"/>
      <c r="OXG251" s="242"/>
      <c r="OXH251" s="222"/>
      <c r="OXJ251" s="118"/>
      <c r="OXK251" s="8"/>
      <c r="OXL251" s="281"/>
      <c r="OXM251" s="78"/>
      <c r="OXN251" s="151"/>
      <c r="OXO251" s="278"/>
      <c r="OXP251" s="266"/>
      <c r="OXQ251" s="279"/>
      <c r="OXR251" s="211"/>
      <c r="OXS251" s="211"/>
      <c r="OXT251" s="286"/>
      <c r="OXU251" s="286"/>
      <c r="OXV251" s="280"/>
      <c r="OXW251" s="281"/>
      <c r="OXX251" s="282"/>
      <c r="OXY251" s="242"/>
      <c r="OXZ251" s="222"/>
      <c r="OYB251" s="118"/>
      <c r="OYC251" s="8"/>
      <c r="OYD251" s="281"/>
      <c r="OYE251" s="78"/>
      <c r="OYF251" s="151"/>
      <c r="OYG251" s="278"/>
      <c r="OYH251" s="266"/>
      <c r="OYI251" s="279"/>
      <c r="OYJ251" s="211"/>
      <c r="OYK251" s="211"/>
      <c r="OYL251" s="286"/>
      <c r="OYM251" s="286"/>
      <c r="OYN251" s="280"/>
      <c r="OYO251" s="281"/>
      <c r="OYP251" s="282"/>
      <c r="OYQ251" s="242"/>
      <c r="OYR251" s="222"/>
      <c r="OYT251" s="118"/>
      <c r="OYU251" s="8"/>
      <c r="OYV251" s="281"/>
      <c r="OYW251" s="78"/>
      <c r="OYX251" s="151"/>
      <c r="OYY251" s="278"/>
      <c r="OYZ251" s="266"/>
      <c r="OZA251" s="279"/>
      <c r="OZB251" s="211"/>
      <c r="OZC251" s="211"/>
      <c r="OZD251" s="286"/>
      <c r="OZE251" s="286"/>
      <c r="OZF251" s="280"/>
      <c r="OZG251" s="281"/>
      <c r="OZH251" s="282"/>
      <c r="OZI251" s="242"/>
      <c r="OZJ251" s="222"/>
      <c r="OZL251" s="118"/>
      <c r="OZM251" s="8"/>
      <c r="OZN251" s="281"/>
      <c r="OZO251" s="78"/>
      <c r="OZP251" s="151"/>
      <c r="OZQ251" s="278"/>
      <c r="OZR251" s="266"/>
      <c r="OZS251" s="279"/>
      <c r="OZT251" s="211"/>
      <c r="OZU251" s="211"/>
      <c r="OZV251" s="286"/>
      <c r="OZW251" s="286"/>
      <c r="OZX251" s="280"/>
      <c r="OZY251" s="281"/>
      <c r="OZZ251" s="282"/>
      <c r="PAA251" s="242"/>
      <c r="PAB251" s="222"/>
      <c r="PAD251" s="118"/>
      <c r="PAE251" s="8"/>
      <c r="PAF251" s="281"/>
      <c r="PAG251" s="78"/>
      <c r="PAH251" s="151"/>
      <c r="PAI251" s="278"/>
      <c r="PAJ251" s="266"/>
      <c r="PAK251" s="279"/>
      <c r="PAL251" s="211"/>
      <c r="PAM251" s="211"/>
      <c r="PAN251" s="286"/>
      <c r="PAO251" s="286"/>
      <c r="PAP251" s="280"/>
      <c r="PAQ251" s="281"/>
      <c r="PAR251" s="282"/>
      <c r="PAS251" s="242"/>
      <c r="PAT251" s="222"/>
      <c r="PAV251" s="118"/>
      <c r="PAW251" s="8"/>
      <c r="PAX251" s="281"/>
      <c r="PAY251" s="78"/>
      <c r="PAZ251" s="151"/>
      <c r="PBA251" s="278"/>
      <c r="PBB251" s="266"/>
      <c r="PBC251" s="279"/>
      <c r="PBD251" s="211"/>
      <c r="PBE251" s="211"/>
      <c r="PBF251" s="286"/>
      <c r="PBG251" s="286"/>
      <c r="PBH251" s="280"/>
      <c r="PBI251" s="281"/>
      <c r="PBJ251" s="282"/>
      <c r="PBK251" s="242"/>
      <c r="PBL251" s="222"/>
      <c r="PBN251" s="118"/>
      <c r="PBO251" s="8"/>
      <c r="PBP251" s="281"/>
      <c r="PBQ251" s="78"/>
      <c r="PBR251" s="151"/>
      <c r="PBS251" s="278"/>
      <c r="PBT251" s="266"/>
      <c r="PBU251" s="279"/>
      <c r="PBV251" s="211"/>
      <c r="PBW251" s="211"/>
      <c r="PBX251" s="286"/>
      <c r="PBY251" s="286"/>
      <c r="PBZ251" s="280"/>
      <c r="PCA251" s="281"/>
      <c r="PCB251" s="282"/>
      <c r="PCC251" s="242"/>
      <c r="PCD251" s="222"/>
      <c r="PCF251" s="118"/>
      <c r="PCG251" s="8"/>
      <c r="PCH251" s="281"/>
      <c r="PCI251" s="78"/>
      <c r="PCJ251" s="151"/>
      <c r="PCK251" s="278"/>
      <c r="PCL251" s="266"/>
      <c r="PCM251" s="279"/>
      <c r="PCN251" s="211"/>
      <c r="PCO251" s="211"/>
      <c r="PCP251" s="286"/>
      <c r="PCQ251" s="286"/>
      <c r="PCR251" s="280"/>
      <c r="PCS251" s="281"/>
      <c r="PCT251" s="282"/>
      <c r="PCU251" s="242"/>
      <c r="PCV251" s="222"/>
      <c r="PCX251" s="118"/>
      <c r="PCY251" s="8"/>
      <c r="PCZ251" s="281"/>
      <c r="PDA251" s="78"/>
      <c r="PDB251" s="151"/>
      <c r="PDC251" s="278"/>
      <c r="PDD251" s="266"/>
      <c r="PDE251" s="279"/>
      <c r="PDF251" s="211"/>
      <c r="PDG251" s="211"/>
      <c r="PDH251" s="286"/>
      <c r="PDI251" s="286"/>
      <c r="PDJ251" s="280"/>
      <c r="PDK251" s="281"/>
      <c r="PDL251" s="282"/>
      <c r="PDM251" s="242"/>
      <c r="PDN251" s="222"/>
      <c r="PDP251" s="118"/>
      <c r="PDQ251" s="8"/>
      <c r="PDR251" s="281"/>
      <c r="PDS251" s="78"/>
      <c r="PDT251" s="151"/>
      <c r="PDU251" s="278"/>
      <c r="PDV251" s="266"/>
      <c r="PDW251" s="279"/>
      <c r="PDX251" s="211"/>
      <c r="PDY251" s="211"/>
      <c r="PDZ251" s="286"/>
      <c r="PEA251" s="286"/>
      <c r="PEB251" s="280"/>
      <c r="PEC251" s="281"/>
      <c r="PED251" s="282"/>
      <c r="PEE251" s="242"/>
      <c r="PEF251" s="222"/>
      <c r="PEH251" s="118"/>
      <c r="PEI251" s="8"/>
      <c r="PEJ251" s="281"/>
      <c r="PEK251" s="78"/>
      <c r="PEL251" s="151"/>
      <c r="PEM251" s="278"/>
      <c r="PEN251" s="266"/>
      <c r="PEO251" s="279"/>
      <c r="PEP251" s="211"/>
      <c r="PEQ251" s="211"/>
      <c r="PER251" s="286"/>
      <c r="PES251" s="286"/>
      <c r="PET251" s="280"/>
      <c r="PEU251" s="281"/>
      <c r="PEV251" s="282"/>
      <c r="PEW251" s="242"/>
      <c r="PEX251" s="222"/>
      <c r="PEZ251" s="118"/>
      <c r="PFA251" s="8"/>
      <c r="PFB251" s="281"/>
      <c r="PFC251" s="78"/>
      <c r="PFD251" s="151"/>
      <c r="PFE251" s="278"/>
      <c r="PFF251" s="266"/>
      <c r="PFG251" s="279"/>
      <c r="PFH251" s="211"/>
      <c r="PFI251" s="211"/>
      <c r="PFJ251" s="286"/>
      <c r="PFK251" s="286"/>
      <c r="PFL251" s="280"/>
      <c r="PFM251" s="281"/>
      <c r="PFN251" s="282"/>
      <c r="PFO251" s="242"/>
      <c r="PFP251" s="222"/>
      <c r="PFR251" s="118"/>
      <c r="PFS251" s="8"/>
      <c r="PFT251" s="281"/>
      <c r="PFU251" s="78"/>
      <c r="PFV251" s="151"/>
      <c r="PFW251" s="278"/>
      <c r="PFX251" s="266"/>
      <c r="PFY251" s="279"/>
      <c r="PFZ251" s="211"/>
      <c r="PGA251" s="211"/>
      <c r="PGB251" s="286"/>
      <c r="PGC251" s="286"/>
      <c r="PGD251" s="280"/>
      <c r="PGE251" s="281"/>
      <c r="PGF251" s="282"/>
      <c r="PGG251" s="242"/>
      <c r="PGH251" s="222"/>
      <c r="PGJ251" s="118"/>
      <c r="PGK251" s="8"/>
      <c r="PGL251" s="281"/>
      <c r="PGM251" s="78"/>
      <c r="PGN251" s="151"/>
      <c r="PGO251" s="278"/>
      <c r="PGP251" s="266"/>
      <c r="PGQ251" s="279"/>
      <c r="PGR251" s="211"/>
      <c r="PGS251" s="211"/>
      <c r="PGT251" s="286"/>
      <c r="PGU251" s="286"/>
      <c r="PGV251" s="280"/>
      <c r="PGW251" s="281"/>
      <c r="PGX251" s="282"/>
      <c r="PGY251" s="242"/>
      <c r="PGZ251" s="222"/>
      <c r="PHB251" s="118"/>
      <c r="PHC251" s="8"/>
      <c r="PHD251" s="281"/>
      <c r="PHE251" s="78"/>
      <c r="PHF251" s="151"/>
      <c r="PHG251" s="278"/>
      <c r="PHH251" s="266"/>
      <c r="PHI251" s="279"/>
      <c r="PHJ251" s="211"/>
      <c r="PHK251" s="211"/>
      <c r="PHL251" s="286"/>
      <c r="PHM251" s="286"/>
      <c r="PHN251" s="280"/>
      <c r="PHO251" s="281"/>
      <c r="PHP251" s="282"/>
      <c r="PHQ251" s="242"/>
      <c r="PHR251" s="222"/>
      <c r="PHT251" s="118"/>
      <c r="PHU251" s="8"/>
      <c r="PHV251" s="281"/>
      <c r="PHW251" s="78"/>
      <c r="PHX251" s="151"/>
      <c r="PHY251" s="278"/>
      <c r="PHZ251" s="266"/>
      <c r="PIA251" s="279"/>
      <c r="PIB251" s="211"/>
      <c r="PIC251" s="211"/>
      <c r="PID251" s="286"/>
      <c r="PIE251" s="286"/>
      <c r="PIF251" s="280"/>
      <c r="PIG251" s="281"/>
      <c r="PIH251" s="282"/>
      <c r="PII251" s="242"/>
      <c r="PIJ251" s="222"/>
      <c r="PIL251" s="118"/>
      <c r="PIM251" s="8"/>
      <c r="PIN251" s="281"/>
      <c r="PIO251" s="78"/>
      <c r="PIP251" s="151"/>
      <c r="PIQ251" s="278"/>
      <c r="PIR251" s="266"/>
      <c r="PIS251" s="279"/>
      <c r="PIT251" s="211"/>
      <c r="PIU251" s="211"/>
      <c r="PIV251" s="286"/>
      <c r="PIW251" s="286"/>
      <c r="PIX251" s="280"/>
      <c r="PIY251" s="281"/>
      <c r="PIZ251" s="282"/>
      <c r="PJA251" s="242"/>
      <c r="PJB251" s="222"/>
      <c r="PJD251" s="118"/>
      <c r="PJE251" s="8"/>
      <c r="PJF251" s="281"/>
      <c r="PJG251" s="78"/>
      <c r="PJH251" s="151"/>
      <c r="PJI251" s="278"/>
      <c r="PJJ251" s="266"/>
      <c r="PJK251" s="279"/>
      <c r="PJL251" s="211"/>
      <c r="PJM251" s="211"/>
      <c r="PJN251" s="286"/>
      <c r="PJO251" s="286"/>
      <c r="PJP251" s="280"/>
      <c r="PJQ251" s="281"/>
      <c r="PJR251" s="282"/>
      <c r="PJS251" s="242"/>
      <c r="PJT251" s="222"/>
      <c r="PJV251" s="118"/>
      <c r="PJW251" s="8"/>
      <c r="PJX251" s="281"/>
      <c r="PJY251" s="78"/>
      <c r="PJZ251" s="151"/>
      <c r="PKA251" s="278"/>
      <c r="PKB251" s="266"/>
      <c r="PKC251" s="279"/>
      <c r="PKD251" s="211"/>
      <c r="PKE251" s="211"/>
      <c r="PKF251" s="286"/>
      <c r="PKG251" s="286"/>
      <c r="PKH251" s="280"/>
      <c r="PKI251" s="281"/>
      <c r="PKJ251" s="282"/>
      <c r="PKK251" s="242"/>
      <c r="PKL251" s="222"/>
      <c r="PKN251" s="118"/>
      <c r="PKO251" s="8"/>
      <c r="PKP251" s="281"/>
      <c r="PKQ251" s="78"/>
      <c r="PKR251" s="151"/>
      <c r="PKS251" s="278"/>
      <c r="PKT251" s="266"/>
      <c r="PKU251" s="279"/>
      <c r="PKV251" s="211"/>
      <c r="PKW251" s="211"/>
      <c r="PKX251" s="286"/>
      <c r="PKY251" s="286"/>
      <c r="PKZ251" s="280"/>
      <c r="PLA251" s="281"/>
      <c r="PLB251" s="282"/>
      <c r="PLC251" s="242"/>
      <c r="PLD251" s="222"/>
      <c r="PLF251" s="118"/>
      <c r="PLG251" s="8"/>
      <c r="PLH251" s="281"/>
      <c r="PLI251" s="78"/>
      <c r="PLJ251" s="151"/>
      <c r="PLK251" s="278"/>
      <c r="PLL251" s="266"/>
      <c r="PLM251" s="279"/>
      <c r="PLN251" s="211"/>
      <c r="PLO251" s="211"/>
      <c r="PLP251" s="286"/>
      <c r="PLQ251" s="286"/>
      <c r="PLR251" s="280"/>
      <c r="PLS251" s="281"/>
      <c r="PLT251" s="282"/>
      <c r="PLU251" s="242"/>
      <c r="PLV251" s="222"/>
      <c r="PLX251" s="118"/>
      <c r="PLY251" s="8"/>
      <c r="PLZ251" s="281"/>
      <c r="PMA251" s="78"/>
      <c r="PMB251" s="151"/>
      <c r="PMC251" s="278"/>
      <c r="PMD251" s="266"/>
      <c r="PME251" s="279"/>
      <c r="PMF251" s="211"/>
      <c r="PMG251" s="211"/>
      <c r="PMH251" s="286"/>
      <c r="PMI251" s="286"/>
      <c r="PMJ251" s="280"/>
      <c r="PMK251" s="281"/>
      <c r="PML251" s="282"/>
      <c r="PMM251" s="242"/>
      <c r="PMN251" s="222"/>
      <c r="PMP251" s="118"/>
      <c r="PMQ251" s="8"/>
      <c r="PMR251" s="281"/>
      <c r="PMS251" s="78"/>
      <c r="PMT251" s="151"/>
      <c r="PMU251" s="278"/>
      <c r="PMV251" s="266"/>
      <c r="PMW251" s="279"/>
      <c r="PMX251" s="211"/>
      <c r="PMY251" s="211"/>
      <c r="PMZ251" s="286"/>
      <c r="PNA251" s="286"/>
      <c r="PNB251" s="280"/>
      <c r="PNC251" s="281"/>
      <c r="PND251" s="282"/>
      <c r="PNE251" s="242"/>
      <c r="PNF251" s="222"/>
      <c r="PNH251" s="118"/>
      <c r="PNI251" s="8"/>
      <c r="PNJ251" s="281"/>
      <c r="PNK251" s="78"/>
      <c r="PNL251" s="151"/>
      <c r="PNM251" s="278"/>
      <c r="PNN251" s="266"/>
      <c r="PNO251" s="279"/>
      <c r="PNP251" s="211"/>
      <c r="PNQ251" s="211"/>
      <c r="PNR251" s="286"/>
      <c r="PNS251" s="286"/>
      <c r="PNT251" s="280"/>
      <c r="PNU251" s="281"/>
      <c r="PNV251" s="282"/>
      <c r="PNW251" s="242"/>
      <c r="PNX251" s="222"/>
      <c r="PNZ251" s="118"/>
      <c r="POA251" s="8"/>
      <c r="POB251" s="281"/>
      <c r="POC251" s="78"/>
      <c r="POD251" s="151"/>
      <c r="POE251" s="278"/>
      <c r="POF251" s="266"/>
      <c r="POG251" s="279"/>
      <c r="POH251" s="211"/>
      <c r="POI251" s="211"/>
      <c r="POJ251" s="286"/>
      <c r="POK251" s="286"/>
      <c r="POL251" s="280"/>
      <c r="POM251" s="281"/>
      <c r="PON251" s="282"/>
      <c r="POO251" s="242"/>
      <c r="POP251" s="222"/>
      <c r="POR251" s="118"/>
      <c r="POS251" s="8"/>
      <c r="POT251" s="281"/>
      <c r="POU251" s="78"/>
      <c r="POV251" s="151"/>
      <c r="POW251" s="278"/>
      <c r="POX251" s="266"/>
      <c r="POY251" s="279"/>
      <c r="POZ251" s="211"/>
      <c r="PPA251" s="211"/>
      <c r="PPB251" s="286"/>
      <c r="PPC251" s="286"/>
      <c r="PPD251" s="280"/>
      <c r="PPE251" s="281"/>
      <c r="PPF251" s="282"/>
      <c r="PPG251" s="242"/>
      <c r="PPH251" s="222"/>
      <c r="PPJ251" s="118"/>
      <c r="PPK251" s="8"/>
      <c r="PPL251" s="281"/>
      <c r="PPM251" s="78"/>
      <c r="PPN251" s="151"/>
      <c r="PPO251" s="278"/>
      <c r="PPP251" s="266"/>
      <c r="PPQ251" s="279"/>
      <c r="PPR251" s="211"/>
      <c r="PPS251" s="211"/>
      <c r="PPT251" s="286"/>
      <c r="PPU251" s="286"/>
      <c r="PPV251" s="280"/>
      <c r="PPW251" s="281"/>
      <c r="PPX251" s="282"/>
      <c r="PPY251" s="242"/>
      <c r="PPZ251" s="222"/>
      <c r="PQB251" s="118"/>
      <c r="PQC251" s="8"/>
      <c r="PQD251" s="281"/>
      <c r="PQE251" s="78"/>
      <c r="PQF251" s="151"/>
      <c r="PQG251" s="278"/>
      <c r="PQH251" s="266"/>
      <c r="PQI251" s="279"/>
      <c r="PQJ251" s="211"/>
      <c r="PQK251" s="211"/>
      <c r="PQL251" s="286"/>
      <c r="PQM251" s="286"/>
      <c r="PQN251" s="280"/>
      <c r="PQO251" s="281"/>
      <c r="PQP251" s="282"/>
      <c r="PQQ251" s="242"/>
      <c r="PQR251" s="222"/>
      <c r="PQT251" s="118"/>
      <c r="PQU251" s="8"/>
      <c r="PQV251" s="281"/>
      <c r="PQW251" s="78"/>
      <c r="PQX251" s="151"/>
      <c r="PQY251" s="278"/>
      <c r="PQZ251" s="266"/>
      <c r="PRA251" s="279"/>
      <c r="PRB251" s="211"/>
      <c r="PRC251" s="211"/>
      <c r="PRD251" s="286"/>
      <c r="PRE251" s="286"/>
      <c r="PRF251" s="280"/>
      <c r="PRG251" s="281"/>
      <c r="PRH251" s="282"/>
      <c r="PRI251" s="242"/>
      <c r="PRJ251" s="222"/>
      <c r="PRL251" s="118"/>
      <c r="PRM251" s="8"/>
      <c r="PRN251" s="281"/>
      <c r="PRO251" s="78"/>
      <c r="PRP251" s="151"/>
      <c r="PRQ251" s="278"/>
      <c r="PRR251" s="266"/>
      <c r="PRS251" s="279"/>
      <c r="PRT251" s="211"/>
      <c r="PRU251" s="211"/>
      <c r="PRV251" s="286"/>
      <c r="PRW251" s="286"/>
      <c r="PRX251" s="280"/>
      <c r="PRY251" s="281"/>
      <c r="PRZ251" s="282"/>
      <c r="PSA251" s="242"/>
      <c r="PSB251" s="222"/>
      <c r="PSD251" s="118"/>
      <c r="PSE251" s="8"/>
      <c r="PSF251" s="281"/>
      <c r="PSG251" s="78"/>
      <c r="PSH251" s="151"/>
      <c r="PSI251" s="278"/>
      <c r="PSJ251" s="266"/>
      <c r="PSK251" s="279"/>
      <c r="PSL251" s="211"/>
      <c r="PSM251" s="211"/>
      <c r="PSN251" s="286"/>
      <c r="PSO251" s="286"/>
      <c r="PSP251" s="280"/>
      <c r="PSQ251" s="281"/>
      <c r="PSR251" s="282"/>
      <c r="PSS251" s="242"/>
      <c r="PST251" s="222"/>
      <c r="PSV251" s="118"/>
      <c r="PSW251" s="8"/>
      <c r="PSX251" s="281"/>
      <c r="PSY251" s="78"/>
      <c r="PSZ251" s="151"/>
      <c r="PTA251" s="278"/>
      <c r="PTB251" s="266"/>
      <c r="PTC251" s="279"/>
      <c r="PTD251" s="211"/>
      <c r="PTE251" s="211"/>
      <c r="PTF251" s="286"/>
      <c r="PTG251" s="286"/>
      <c r="PTH251" s="280"/>
      <c r="PTI251" s="281"/>
      <c r="PTJ251" s="282"/>
      <c r="PTK251" s="242"/>
      <c r="PTL251" s="222"/>
      <c r="PTN251" s="118"/>
      <c r="PTO251" s="8"/>
      <c r="PTP251" s="281"/>
      <c r="PTQ251" s="78"/>
      <c r="PTR251" s="151"/>
      <c r="PTS251" s="278"/>
      <c r="PTT251" s="266"/>
      <c r="PTU251" s="279"/>
      <c r="PTV251" s="211"/>
      <c r="PTW251" s="211"/>
      <c r="PTX251" s="286"/>
      <c r="PTY251" s="286"/>
      <c r="PTZ251" s="280"/>
      <c r="PUA251" s="281"/>
      <c r="PUB251" s="282"/>
      <c r="PUC251" s="242"/>
      <c r="PUD251" s="222"/>
      <c r="PUF251" s="118"/>
      <c r="PUG251" s="8"/>
      <c r="PUH251" s="281"/>
      <c r="PUI251" s="78"/>
      <c r="PUJ251" s="151"/>
      <c r="PUK251" s="278"/>
      <c r="PUL251" s="266"/>
      <c r="PUM251" s="279"/>
      <c r="PUN251" s="211"/>
      <c r="PUO251" s="211"/>
      <c r="PUP251" s="286"/>
      <c r="PUQ251" s="286"/>
      <c r="PUR251" s="280"/>
      <c r="PUS251" s="281"/>
      <c r="PUT251" s="282"/>
      <c r="PUU251" s="242"/>
      <c r="PUV251" s="222"/>
      <c r="PUX251" s="118"/>
      <c r="PUY251" s="8"/>
      <c r="PUZ251" s="281"/>
      <c r="PVA251" s="78"/>
      <c r="PVB251" s="151"/>
      <c r="PVC251" s="278"/>
      <c r="PVD251" s="266"/>
      <c r="PVE251" s="279"/>
      <c r="PVF251" s="211"/>
      <c r="PVG251" s="211"/>
      <c r="PVH251" s="286"/>
      <c r="PVI251" s="286"/>
      <c r="PVJ251" s="280"/>
      <c r="PVK251" s="281"/>
      <c r="PVL251" s="282"/>
      <c r="PVM251" s="242"/>
      <c r="PVN251" s="222"/>
      <c r="PVP251" s="118"/>
      <c r="PVQ251" s="8"/>
      <c r="PVR251" s="281"/>
      <c r="PVS251" s="78"/>
      <c r="PVT251" s="151"/>
      <c r="PVU251" s="278"/>
      <c r="PVV251" s="266"/>
      <c r="PVW251" s="279"/>
      <c r="PVX251" s="211"/>
      <c r="PVY251" s="211"/>
      <c r="PVZ251" s="286"/>
      <c r="PWA251" s="286"/>
      <c r="PWB251" s="280"/>
      <c r="PWC251" s="281"/>
      <c r="PWD251" s="282"/>
      <c r="PWE251" s="242"/>
      <c r="PWF251" s="222"/>
      <c r="PWH251" s="118"/>
      <c r="PWI251" s="8"/>
      <c r="PWJ251" s="281"/>
      <c r="PWK251" s="78"/>
      <c r="PWL251" s="151"/>
      <c r="PWM251" s="278"/>
      <c r="PWN251" s="266"/>
      <c r="PWO251" s="279"/>
      <c r="PWP251" s="211"/>
      <c r="PWQ251" s="211"/>
      <c r="PWR251" s="286"/>
      <c r="PWS251" s="286"/>
      <c r="PWT251" s="280"/>
      <c r="PWU251" s="281"/>
      <c r="PWV251" s="282"/>
      <c r="PWW251" s="242"/>
      <c r="PWX251" s="222"/>
      <c r="PWZ251" s="118"/>
      <c r="PXA251" s="8"/>
      <c r="PXB251" s="281"/>
      <c r="PXC251" s="78"/>
      <c r="PXD251" s="151"/>
      <c r="PXE251" s="278"/>
      <c r="PXF251" s="266"/>
      <c r="PXG251" s="279"/>
      <c r="PXH251" s="211"/>
      <c r="PXI251" s="211"/>
      <c r="PXJ251" s="286"/>
      <c r="PXK251" s="286"/>
      <c r="PXL251" s="280"/>
      <c r="PXM251" s="281"/>
      <c r="PXN251" s="282"/>
      <c r="PXO251" s="242"/>
      <c r="PXP251" s="222"/>
      <c r="PXR251" s="118"/>
      <c r="PXS251" s="8"/>
      <c r="PXT251" s="281"/>
      <c r="PXU251" s="78"/>
      <c r="PXV251" s="151"/>
      <c r="PXW251" s="278"/>
      <c r="PXX251" s="266"/>
      <c r="PXY251" s="279"/>
      <c r="PXZ251" s="211"/>
      <c r="PYA251" s="211"/>
      <c r="PYB251" s="286"/>
      <c r="PYC251" s="286"/>
      <c r="PYD251" s="280"/>
      <c r="PYE251" s="281"/>
      <c r="PYF251" s="282"/>
      <c r="PYG251" s="242"/>
      <c r="PYH251" s="222"/>
      <c r="PYJ251" s="118"/>
      <c r="PYK251" s="8"/>
      <c r="PYL251" s="281"/>
      <c r="PYM251" s="78"/>
      <c r="PYN251" s="151"/>
      <c r="PYO251" s="278"/>
      <c r="PYP251" s="266"/>
      <c r="PYQ251" s="279"/>
      <c r="PYR251" s="211"/>
      <c r="PYS251" s="211"/>
      <c r="PYT251" s="286"/>
      <c r="PYU251" s="286"/>
      <c r="PYV251" s="280"/>
      <c r="PYW251" s="281"/>
      <c r="PYX251" s="282"/>
      <c r="PYY251" s="242"/>
      <c r="PYZ251" s="222"/>
      <c r="PZB251" s="118"/>
      <c r="PZC251" s="8"/>
      <c r="PZD251" s="281"/>
      <c r="PZE251" s="78"/>
      <c r="PZF251" s="151"/>
      <c r="PZG251" s="278"/>
      <c r="PZH251" s="266"/>
      <c r="PZI251" s="279"/>
      <c r="PZJ251" s="211"/>
      <c r="PZK251" s="211"/>
      <c r="PZL251" s="286"/>
      <c r="PZM251" s="286"/>
      <c r="PZN251" s="280"/>
      <c r="PZO251" s="281"/>
      <c r="PZP251" s="282"/>
      <c r="PZQ251" s="242"/>
      <c r="PZR251" s="222"/>
      <c r="PZT251" s="118"/>
      <c r="PZU251" s="8"/>
      <c r="PZV251" s="281"/>
      <c r="PZW251" s="78"/>
      <c r="PZX251" s="151"/>
      <c r="PZY251" s="278"/>
      <c r="PZZ251" s="266"/>
      <c r="QAA251" s="279"/>
      <c r="QAB251" s="211"/>
      <c r="QAC251" s="211"/>
      <c r="QAD251" s="286"/>
      <c r="QAE251" s="286"/>
      <c r="QAF251" s="280"/>
      <c r="QAG251" s="281"/>
      <c r="QAH251" s="282"/>
      <c r="QAI251" s="242"/>
      <c r="QAJ251" s="222"/>
      <c r="QAL251" s="118"/>
      <c r="QAM251" s="8"/>
      <c r="QAN251" s="281"/>
      <c r="QAO251" s="78"/>
      <c r="QAP251" s="151"/>
      <c r="QAQ251" s="278"/>
      <c r="QAR251" s="266"/>
      <c r="QAS251" s="279"/>
      <c r="QAT251" s="211"/>
      <c r="QAU251" s="211"/>
      <c r="QAV251" s="286"/>
      <c r="QAW251" s="286"/>
      <c r="QAX251" s="280"/>
      <c r="QAY251" s="281"/>
      <c r="QAZ251" s="282"/>
      <c r="QBA251" s="242"/>
      <c r="QBB251" s="222"/>
      <c r="QBD251" s="118"/>
      <c r="QBE251" s="8"/>
      <c r="QBF251" s="281"/>
      <c r="QBG251" s="78"/>
      <c r="QBH251" s="151"/>
      <c r="QBI251" s="278"/>
      <c r="QBJ251" s="266"/>
      <c r="QBK251" s="279"/>
      <c r="QBL251" s="211"/>
      <c r="QBM251" s="211"/>
      <c r="QBN251" s="286"/>
      <c r="QBO251" s="286"/>
      <c r="QBP251" s="280"/>
      <c r="QBQ251" s="281"/>
      <c r="QBR251" s="282"/>
      <c r="QBS251" s="242"/>
      <c r="QBT251" s="222"/>
      <c r="QBV251" s="118"/>
      <c r="QBW251" s="8"/>
      <c r="QBX251" s="281"/>
      <c r="QBY251" s="78"/>
      <c r="QBZ251" s="151"/>
      <c r="QCA251" s="278"/>
      <c r="QCB251" s="266"/>
      <c r="QCC251" s="279"/>
      <c r="QCD251" s="211"/>
      <c r="QCE251" s="211"/>
      <c r="QCF251" s="286"/>
      <c r="QCG251" s="286"/>
      <c r="QCH251" s="280"/>
      <c r="QCI251" s="281"/>
      <c r="QCJ251" s="282"/>
      <c r="QCK251" s="242"/>
      <c r="QCL251" s="222"/>
      <c r="QCN251" s="118"/>
      <c r="QCO251" s="8"/>
      <c r="QCP251" s="281"/>
      <c r="QCQ251" s="78"/>
      <c r="QCR251" s="151"/>
      <c r="QCS251" s="278"/>
      <c r="QCT251" s="266"/>
      <c r="QCU251" s="279"/>
      <c r="QCV251" s="211"/>
      <c r="QCW251" s="211"/>
      <c r="QCX251" s="286"/>
      <c r="QCY251" s="286"/>
      <c r="QCZ251" s="280"/>
      <c r="QDA251" s="281"/>
      <c r="QDB251" s="282"/>
      <c r="QDC251" s="242"/>
      <c r="QDD251" s="222"/>
      <c r="QDF251" s="118"/>
      <c r="QDG251" s="8"/>
      <c r="QDH251" s="281"/>
      <c r="QDI251" s="78"/>
      <c r="QDJ251" s="151"/>
      <c r="QDK251" s="278"/>
      <c r="QDL251" s="266"/>
      <c r="QDM251" s="279"/>
      <c r="QDN251" s="211"/>
      <c r="QDO251" s="211"/>
      <c r="QDP251" s="286"/>
      <c r="QDQ251" s="286"/>
      <c r="QDR251" s="280"/>
      <c r="QDS251" s="281"/>
      <c r="QDT251" s="282"/>
      <c r="QDU251" s="242"/>
      <c r="QDV251" s="222"/>
      <c r="QDX251" s="118"/>
      <c r="QDY251" s="8"/>
      <c r="QDZ251" s="281"/>
      <c r="QEA251" s="78"/>
      <c r="QEB251" s="151"/>
      <c r="QEC251" s="278"/>
      <c r="QED251" s="266"/>
      <c r="QEE251" s="279"/>
      <c r="QEF251" s="211"/>
      <c r="QEG251" s="211"/>
      <c r="QEH251" s="286"/>
      <c r="QEI251" s="286"/>
      <c r="QEJ251" s="280"/>
      <c r="QEK251" s="281"/>
      <c r="QEL251" s="282"/>
      <c r="QEM251" s="242"/>
      <c r="QEN251" s="222"/>
      <c r="QEP251" s="118"/>
      <c r="QEQ251" s="8"/>
      <c r="QER251" s="281"/>
      <c r="QES251" s="78"/>
      <c r="QET251" s="151"/>
      <c r="QEU251" s="278"/>
      <c r="QEV251" s="266"/>
      <c r="QEW251" s="279"/>
      <c r="QEX251" s="211"/>
      <c r="QEY251" s="211"/>
      <c r="QEZ251" s="286"/>
      <c r="QFA251" s="286"/>
      <c r="QFB251" s="280"/>
      <c r="QFC251" s="281"/>
      <c r="QFD251" s="282"/>
      <c r="QFE251" s="242"/>
      <c r="QFF251" s="222"/>
      <c r="QFH251" s="118"/>
      <c r="QFI251" s="8"/>
      <c r="QFJ251" s="281"/>
      <c r="QFK251" s="78"/>
      <c r="QFL251" s="151"/>
      <c r="QFM251" s="278"/>
      <c r="QFN251" s="266"/>
      <c r="QFO251" s="279"/>
      <c r="QFP251" s="211"/>
      <c r="QFQ251" s="211"/>
      <c r="QFR251" s="286"/>
      <c r="QFS251" s="286"/>
      <c r="QFT251" s="280"/>
      <c r="QFU251" s="281"/>
      <c r="QFV251" s="282"/>
      <c r="QFW251" s="242"/>
      <c r="QFX251" s="222"/>
      <c r="QFZ251" s="118"/>
      <c r="QGA251" s="8"/>
      <c r="QGB251" s="281"/>
      <c r="QGC251" s="78"/>
      <c r="QGD251" s="151"/>
      <c r="QGE251" s="278"/>
      <c r="QGF251" s="266"/>
      <c r="QGG251" s="279"/>
      <c r="QGH251" s="211"/>
      <c r="QGI251" s="211"/>
      <c r="QGJ251" s="286"/>
      <c r="QGK251" s="286"/>
      <c r="QGL251" s="280"/>
      <c r="QGM251" s="281"/>
      <c r="QGN251" s="282"/>
      <c r="QGO251" s="242"/>
      <c r="QGP251" s="222"/>
      <c r="QGR251" s="118"/>
      <c r="QGS251" s="8"/>
      <c r="QGT251" s="281"/>
      <c r="QGU251" s="78"/>
      <c r="QGV251" s="151"/>
      <c r="QGW251" s="278"/>
      <c r="QGX251" s="266"/>
      <c r="QGY251" s="279"/>
      <c r="QGZ251" s="211"/>
      <c r="QHA251" s="211"/>
      <c r="QHB251" s="286"/>
      <c r="QHC251" s="286"/>
      <c r="QHD251" s="280"/>
      <c r="QHE251" s="281"/>
      <c r="QHF251" s="282"/>
      <c r="QHG251" s="242"/>
      <c r="QHH251" s="222"/>
      <c r="QHJ251" s="118"/>
      <c r="QHK251" s="8"/>
      <c r="QHL251" s="281"/>
      <c r="QHM251" s="78"/>
      <c r="QHN251" s="151"/>
      <c r="QHO251" s="278"/>
      <c r="QHP251" s="266"/>
      <c r="QHQ251" s="279"/>
      <c r="QHR251" s="211"/>
      <c r="QHS251" s="211"/>
      <c r="QHT251" s="286"/>
      <c r="QHU251" s="286"/>
      <c r="QHV251" s="280"/>
      <c r="QHW251" s="281"/>
      <c r="QHX251" s="282"/>
      <c r="QHY251" s="242"/>
      <c r="QHZ251" s="222"/>
      <c r="QIB251" s="118"/>
      <c r="QIC251" s="8"/>
      <c r="QID251" s="281"/>
      <c r="QIE251" s="78"/>
      <c r="QIF251" s="151"/>
      <c r="QIG251" s="278"/>
      <c r="QIH251" s="266"/>
      <c r="QII251" s="279"/>
      <c r="QIJ251" s="211"/>
      <c r="QIK251" s="211"/>
      <c r="QIL251" s="286"/>
      <c r="QIM251" s="286"/>
      <c r="QIN251" s="280"/>
      <c r="QIO251" s="281"/>
      <c r="QIP251" s="282"/>
      <c r="QIQ251" s="242"/>
      <c r="QIR251" s="222"/>
      <c r="QIT251" s="118"/>
      <c r="QIU251" s="8"/>
      <c r="QIV251" s="281"/>
      <c r="QIW251" s="78"/>
      <c r="QIX251" s="151"/>
      <c r="QIY251" s="278"/>
      <c r="QIZ251" s="266"/>
      <c r="QJA251" s="279"/>
      <c r="QJB251" s="211"/>
      <c r="QJC251" s="211"/>
      <c r="QJD251" s="286"/>
      <c r="QJE251" s="286"/>
      <c r="QJF251" s="280"/>
      <c r="QJG251" s="281"/>
      <c r="QJH251" s="282"/>
      <c r="QJI251" s="242"/>
      <c r="QJJ251" s="222"/>
      <c r="QJL251" s="118"/>
      <c r="QJM251" s="8"/>
      <c r="QJN251" s="281"/>
      <c r="QJO251" s="78"/>
      <c r="QJP251" s="151"/>
      <c r="QJQ251" s="278"/>
      <c r="QJR251" s="266"/>
      <c r="QJS251" s="279"/>
      <c r="QJT251" s="211"/>
      <c r="QJU251" s="211"/>
      <c r="QJV251" s="286"/>
      <c r="QJW251" s="286"/>
      <c r="QJX251" s="280"/>
      <c r="QJY251" s="281"/>
      <c r="QJZ251" s="282"/>
      <c r="QKA251" s="242"/>
      <c r="QKB251" s="222"/>
      <c r="QKD251" s="118"/>
      <c r="QKE251" s="8"/>
      <c r="QKF251" s="281"/>
      <c r="QKG251" s="78"/>
      <c r="QKH251" s="151"/>
      <c r="QKI251" s="278"/>
      <c r="QKJ251" s="266"/>
      <c r="QKK251" s="279"/>
      <c r="QKL251" s="211"/>
      <c r="QKM251" s="211"/>
      <c r="QKN251" s="286"/>
      <c r="QKO251" s="286"/>
      <c r="QKP251" s="280"/>
      <c r="QKQ251" s="281"/>
      <c r="QKR251" s="282"/>
      <c r="QKS251" s="242"/>
      <c r="QKT251" s="222"/>
      <c r="QKV251" s="118"/>
      <c r="QKW251" s="8"/>
      <c r="QKX251" s="281"/>
      <c r="QKY251" s="78"/>
      <c r="QKZ251" s="151"/>
      <c r="QLA251" s="278"/>
      <c r="QLB251" s="266"/>
      <c r="QLC251" s="279"/>
      <c r="QLD251" s="211"/>
      <c r="QLE251" s="211"/>
      <c r="QLF251" s="286"/>
      <c r="QLG251" s="286"/>
      <c r="QLH251" s="280"/>
      <c r="QLI251" s="281"/>
      <c r="QLJ251" s="282"/>
      <c r="QLK251" s="242"/>
      <c r="QLL251" s="222"/>
      <c r="QLN251" s="118"/>
      <c r="QLO251" s="8"/>
      <c r="QLP251" s="281"/>
      <c r="QLQ251" s="78"/>
      <c r="QLR251" s="151"/>
      <c r="QLS251" s="278"/>
      <c r="QLT251" s="266"/>
      <c r="QLU251" s="279"/>
      <c r="QLV251" s="211"/>
      <c r="QLW251" s="211"/>
      <c r="QLX251" s="286"/>
      <c r="QLY251" s="286"/>
      <c r="QLZ251" s="280"/>
      <c r="QMA251" s="281"/>
      <c r="QMB251" s="282"/>
      <c r="QMC251" s="242"/>
      <c r="QMD251" s="222"/>
      <c r="QMF251" s="118"/>
      <c r="QMG251" s="8"/>
      <c r="QMH251" s="281"/>
      <c r="QMI251" s="78"/>
      <c r="QMJ251" s="151"/>
      <c r="QMK251" s="278"/>
      <c r="QML251" s="266"/>
      <c r="QMM251" s="279"/>
      <c r="QMN251" s="211"/>
      <c r="QMO251" s="211"/>
      <c r="QMP251" s="286"/>
      <c r="QMQ251" s="286"/>
      <c r="QMR251" s="280"/>
      <c r="QMS251" s="281"/>
      <c r="QMT251" s="282"/>
      <c r="QMU251" s="242"/>
      <c r="QMV251" s="222"/>
      <c r="QMX251" s="118"/>
      <c r="QMY251" s="8"/>
      <c r="QMZ251" s="281"/>
      <c r="QNA251" s="78"/>
      <c r="QNB251" s="151"/>
      <c r="QNC251" s="278"/>
      <c r="QND251" s="266"/>
      <c r="QNE251" s="279"/>
      <c r="QNF251" s="211"/>
      <c r="QNG251" s="211"/>
      <c r="QNH251" s="286"/>
      <c r="QNI251" s="286"/>
      <c r="QNJ251" s="280"/>
      <c r="QNK251" s="281"/>
      <c r="QNL251" s="282"/>
      <c r="QNM251" s="242"/>
      <c r="QNN251" s="222"/>
      <c r="QNP251" s="118"/>
      <c r="QNQ251" s="8"/>
      <c r="QNR251" s="281"/>
      <c r="QNS251" s="78"/>
      <c r="QNT251" s="151"/>
      <c r="QNU251" s="278"/>
      <c r="QNV251" s="266"/>
      <c r="QNW251" s="279"/>
      <c r="QNX251" s="211"/>
      <c r="QNY251" s="211"/>
      <c r="QNZ251" s="286"/>
      <c r="QOA251" s="286"/>
      <c r="QOB251" s="280"/>
      <c r="QOC251" s="281"/>
      <c r="QOD251" s="282"/>
      <c r="QOE251" s="242"/>
      <c r="QOF251" s="222"/>
      <c r="QOH251" s="118"/>
      <c r="QOI251" s="8"/>
      <c r="QOJ251" s="281"/>
      <c r="QOK251" s="78"/>
      <c r="QOL251" s="151"/>
      <c r="QOM251" s="278"/>
      <c r="QON251" s="266"/>
      <c r="QOO251" s="279"/>
      <c r="QOP251" s="211"/>
      <c r="QOQ251" s="211"/>
      <c r="QOR251" s="286"/>
      <c r="QOS251" s="286"/>
      <c r="QOT251" s="280"/>
      <c r="QOU251" s="281"/>
      <c r="QOV251" s="282"/>
      <c r="QOW251" s="242"/>
      <c r="QOX251" s="222"/>
      <c r="QOZ251" s="118"/>
      <c r="QPA251" s="8"/>
      <c r="QPB251" s="281"/>
      <c r="QPC251" s="78"/>
      <c r="QPD251" s="151"/>
      <c r="QPE251" s="278"/>
      <c r="QPF251" s="266"/>
      <c r="QPG251" s="279"/>
      <c r="QPH251" s="211"/>
      <c r="QPI251" s="211"/>
      <c r="QPJ251" s="286"/>
      <c r="QPK251" s="286"/>
      <c r="QPL251" s="280"/>
      <c r="QPM251" s="281"/>
      <c r="QPN251" s="282"/>
      <c r="QPO251" s="242"/>
      <c r="QPP251" s="222"/>
      <c r="QPR251" s="118"/>
      <c r="QPS251" s="8"/>
      <c r="QPT251" s="281"/>
      <c r="QPU251" s="78"/>
      <c r="QPV251" s="151"/>
      <c r="QPW251" s="278"/>
      <c r="QPX251" s="266"/>
      <c r="QPY251" s="279"/>
      <c r="QPZ251" s="211"/>
      <c r="QQA251" s="211"/>
      <c r="QQB251" s="286"/>
      <c r="QQC251" s="286"/>
      <c r="QQD251" s="280"/>
      <c r="QQE251" s="281"/>
      <c r="QQF251" s="282"/>
      <c r="QQG251" s="242"/>
      <c r="QQH251" s="222"/>
      <c r="QQJ251" s="118"/>
      <c r="QQK251" s="8"/>
      <c r="QQL251" s="281"/>
      <c r="QQM251" s="78"/>
      <c r="QQN251" s="151"/>
      <c r="QQO251" s="278"/>
      <c r="QQP251" s="266"/>
      <c r="QQQ251" s="279"/>
      <c r="QQR251" s="211"/>
      <c r="QQS251" s="211"/>
      <c r="QQT251" s="286"/>
      <c r="QQU251" s="286"/>
      <c r="QQV251" s="280"/>
      <c r="QQW251" s="281"/>
      <c r="QQX251" s="282"/>
      <c r="QQY251" s="242"/>
      <c r="QQZ251" s="222"/>
      <c r="QRB251" s="118"/>
      <c r="QRC251" s="8"/>
      <c r="QRD251" s="281"/>
      <c r="QRE251" s="78"/>
      <c r="QRF251" s="151"/>
      <c r="QRG251" s="278"/>
      <c r="QRH251" s="266"/>
      <c r="QRI251" s="279"/>
      <c r="QRJ251" s="211"/>
      <c r="QRK251" s="211"/>
      <c r="QRL251" s="286"/>
      <c r="QRM251" s="286"/>
      <c r="QRN251" s="280"/>
      <c r="QRO251" s="281"/>
      <c r="QRP251" s="282"/>
      <c r="QRQ251" s="242"/>
      <c r="QRR251" s="222"/>
      <c r="QRT251" s="118"/>
      <c r="QRU251" s="8"/>
      <c r="QRV251" s="281"/>
      <c r="QRW251" s="78"/>
      <c r="QRX251" s="151"/>
      <c r="QRY251" s="278"/>
      <c r="QRZ251" s="266"/>
      <c r="QSA251" s="279"/>
      <c r="QSB251" s="211"/>
      <c r="QSC251" s="211"/>
      <c r="QSD251" s="286"/>
      <c r="QSE251" s="286"/>
      <c r="QSF251" s="280"/>
      <c r="QSG251" s="281"/>
      <c r="QSH251" s="282"/>
      <c r="QSI251" s="242"/>
      <c r="QSJ251" s="222"/>
      <c r="QSL251" s="118"/>
      <c r="QSM251" s="8"/>
      <c r="QSN251" s="281"/>
      <c r="QSO251" s="78"/>
      <c r="QSP251" s="151"/>
      <c r="QSQ251" s="278"/>
      <c r="QSR251" s="266"/>
      <c r="QSS251" s="279"/>
      <c r="QST251" s="211"/>
      <c r="QSU251" s="211"/>
      <c r="QSV251" s="286"/>
      <c r="QSW251" s="286"/>
      <c r="QSX251" s="280"/>
      <c r="QSY251" s="281"/>
      <c r="QSZ251" s="282"/>
      <c r="QTA251" s="242"/>
      <c r="QTB251" s="222"/>
      <c r="QTD251" s="118"/>
      <c r="QTE251" s="8"/>
      <c r="QTF251" s="281"/>
      <c r="QTG251" s="78"/>
      <c r="QTH251" s="151"/>
      <c r="QTI251" s="278"/>
      <c r="QTJ251" s="266"/>
      <c r="QTK251" s="279"/>
      <c r="QTL251" s="211"/>
      <c r="QTM251" s="211"/>
      <c r="QTN251" s="286"/>
      <c r="QTO251" s="286"/>
      <c r="QTP251" s="280"/>
      <c r="QTQ251" s="281"/>
      <c r="QTR251" s="282"/>
      <c r="QTS251" s="242"/>
      <c r="QTT251" s="222"/>
      <c r="QTV251" s="118"/>
      <c r="QTW251" s="8"/>
      <c r="QTX251" s="281"/>
      <c r="QTY251" s="78"/>
      <c r="QTZ251" s="151"/>
      <c r="QUA251" s="278"/>
      <c r="QUB251" s="266"/>
      <c r="QUC251" s="279"/>
      <c r="QUD251" s="211"/>
      <c r="QUE251" s="211"/>
      <c r="QUF251" s="286"/>
      <c r="QUG251" s="286"/>
      <c r="QUH251" s="280"/>
      <c r="QUI251" s="281"/>
      <c r="QUJ251" s="282"/>
      <c r="QUK251" s="242"/>
      <c r="QUL251" s="222"/>
      <c r="QUN251" s="118"/>
      <c r="QUO251" s="8"/>
      <c r="QUP251" s="281"/>
      <c r="QUQ251" s="78"/>
      <c r="QUR251" s="151"/>
      <c r="QUS251" s="278"/>
      <c r="QUT251" s="266"/>
      <c r="QUU251" s="279"/>
      <c r="QUV251" s="211"/>
      <c r="QUW251" s="211"/>
      <c r="QUX251" s="286"/>
      <c r="QUY251" s="286"/>
      <c r="QUZ251" s="280"/>
      <c r="QVA251" s="281"/>
      <c r="QVB251" s="282"/>
      <c r="QVC251" s="242"/>
      <c r="QVD251" s="222"/>
      <c r="QVF251" s="118"/>
      <c r="QVG251" s="8"/>
      <c r="QVH251" s="281"/>
      <c r="QVI251" s="78"/>
      <c r="QVJ251" s="151"/>
      <c r="QVK251" s="278"/>
      <c r="QVL251" s="266"/>
      <c r="QVM251" s="279"/>
      <c r="QVN251" s="211"/>
      <c r="QVO251" s="211"/>
      <c r="QVP251" s="286"/>
      <c r="QVQ251" s="286"/>
      <c r="QVR251" s="280"/>
      <c r="QVS251" s="281"/>
      <c r="QVT251" s="282"/>
      <c r="QVU251" s="242"/>
      <c r="QVV251" s="222"/>
      <c r="QVX251" s="118"/>
      <c r="QVY251" s="8"/>
      <c r="QVZ251" s="281"/>
      <c r="QWA251" s="78"/>
      <c r="QWB251" s="151"/>
      <c r="QWC251" s="278"/>
      <c r="QWD251" s="266"/>
      <c r="QWE251" s="279"/>
      <c r="QWF251" s="211"/>
      <c r="QWG251" s="211"/>
      <c r="QWH251" s="286"/>
      <c r="QWI251" s="286"/>
      <c r="QWJ251" s="280"/>
      <c r="QWK251" s="281"/>
      <c r="QWL251" s="282"/>
      <c r="QWM251" s="242"/>
      <c r="QWN251" s="222"/>
      <c r="QWP251" s="118"/>
      <c r="QWQ251" s="8"/>
      <c r="QWR251" s="281"/>
      <c r="QWS251" s="78"/>
      <c r="QWT251" s="151"/>
      <c r="QWU251" s="278"/>
      <c r="QWV251" s="266"/>
      <c r="QWW251" s="279"/>
      <c r="QWX251" s="211"/>
      <c r="QWY251" s="211"/>
      <c r="QWZ251" s="286"/>
      <c r="QXA251" s="286"/>
      <c r="QXB251" s="280"/>
      <c r="QXC251" s="281"/>
      <c r="QXD251" s="282"/>
      <c r="QXE251" s="242"/>
      <c r="QXF251" s="222"/>
      <c r="QXH251" s="118"/>
      <c r="QXI251" s="8"/>
      <c r="QXJ251" s="281"/>
      <c r="QXK251" s="78"/>
      <c r="QXL251" s="151"/>
      <c r="QXM251" s="278"/>
      <c r="QXN251" s="266"/>
      <c r="QXO251" s="279"/>
      <c r="QXP251" s="211"/>
      <c r="QXQ251" s="211"/>
      <c r="QXR251" s="286"/>
      <c r="QXS251" s="286"/>
      <c r="QXT251" s="280"/>
      <c r="QXU251" s="281"/>
      <c r="QXV251" s="282"/>
      <c r="QXW251" s="242"/>
      <c r="QXX251" s="222"/>
      <c r="QXZ251" s="118"/>
      <c r="QYA251" s="8"/>
      <c r="QYB251" s="281"/>
      <c r="QYC251" s="78"/>
      <c r="QYD251" s="151"/>
      <c r="QYE251" s="278"/>
      <c r="QYF251" s="266"/>
      <c r="QYG251" s="279"/>
      <c r="QYH251" s="211"/>
      <c r="QYI251" s="211"/>
      <c r="QYJ251" s="286"/>
      <c r="QYK251" s="286"/>
      <c r="QYL251" s="280"/>
      <c r="QYM251" s="281"/>
      <c r="QYN251" s="282"/>
      <c r="QYO251" s="242"/>
      <c r="QYP251" s="222"/>
      <c r="QYR251" s="118"/>
      <c r="QYS251" s="8"/>
      <c r="QYT251" s="281"/>
      <c r="QYU251" s="78"/>
      <c r="QYV251" s="151"/>
      <c r="QYW251" s="278"/>
      <c r="QYX251" s="266"/>
      <c r="QYY251" s="279"/>
      <c r="QYZ251" s="211"/>
      <c r="QZA251" s="211"/>
      <c r="QZB251" s="286"/>
      <c r="QZC251" s="286"/>
      <c r="QZD251" s="280"/>
      <c r="QZE251" s="281"/>
      <c r="QZF251" s="282"/>
      <c r="QZG251" s="242"/>
      <c r="QZH251" s="222"/>
      <c r="QZJ251" s="118"/>
      <c r="QZK251" s="8"/>
      <c r="QZL251" s="281"/>
      <c r="QZM251" s="78"/>
      <c r="QZN251" s="151"/>
      <c r="QZO251" s="278"/>
      <c r="QZP251" s="266"/>
      <c r="QZQ251" s="279"/>
      <c r="QZR251" s="211"/>
      <c r="QZS251" s="211"/>
      <c r="QZT251" s="286"/>
      <c r="QZU251" s="286"/>
      <c r="QZV251" s="280"/>
      <c r="QZW251" s="281"/>
      <c r="QZX251" s="282"/>
      <c r="QZY251" s="242"/>
      <c r="QZZ251" s="222"/>
      <c r="RAB251" s="118"/>
      <c r="RAC251" s="8"/>
      <c r="RAD251" s="281"/>
      <c r="RAE251" s="78"/>
      <c r="RAF251" s="151"/>
      <c r="RAG251" s="278"/>
      <c r="RAH251" s="266"/>
      <c r="RAI251" s="279"/>
      <c r="RAJ251" s="211"/>
      <c r="RAK251" s="211"/>
      <c r="RAL251" s="286"/>
      <c r="RAM251" s="286"/>
      <c r="RAN251" s="280"/>
      <c r="RAO251" s="281"/>
      <c r="RAP251" s="282"/>
      <c r="RAQ251" s="242"/>
      <c r="RAR251" s="222"/>
      <c r="RAT251" s="118"/>
      <c r="RAU251" s="8"/>
      <c r="RAV251" s="281"/>
      <c r="RAW251" s="78"/>
      <c r="RAX251" s="151"/>
      <c r="RAY251" s="278"/>
      <c r="RAZ251" s="266"/>
      <c r="RBA251" s="279"/>
      <c r="RBB251" s="211"/>
      <c r="RBC251" s="211"/>
      <c r="RBD251" s="286"/>
      <c r="RBE251" s="286"/>
      <c r="RBF251" s="280"/>
      <c r="RBG251" s="281"/>
      <c r="RBH251" s="282"/>
      <c r="RBI251" s="242"/>
      <c r="RBJ251" s="222"/>
      <c r="RBL251" s="118"/>
      <c r="RBM251" s="8"/>
      <c r="RBN251" s="281"/>
      <c r="RBO251" s="78"/>
      <c r="RBP251" s="151"/>
      <c r="RBQ251" s="278"/>
      <c r="RBR251" s="266"/>
      <c r="RBS251" s="279"/>
      <c r="RBT251" s="211"/>
      <c r="RBU251" s="211"/>
      <c r="RBV251" s="286"/>
      <c r="RBW251" s="286"/>
      <c r="RBX251" s="280"/>
      <c r="RBY251" s="281"/>
      <c r="RBZ251" s="282"/>
      <c r="RCA251" s="242"/>
      <c r="RCB251" s="222"/>
      <c r="RCD251" s="118"/>
      <c r="RCE251" s="8"/>
      <c r="RCF251" s="281"/>
      <c r="RCG251" s="78"/>
      <c r="RCH251" s="151"/>
      <c r="RCI251" s="278"/>
      <c r="RCJ251" s="266"/>
      <c r="RCK251" s="279"/>
      <c r="RCL251" s="211"/>
      <c r="RCM251" s="211"/>
      <c r="RCN251" s="286"/>
      <c r="RCO251" s="286"/>
      <c r="RCP251" s="280"/>
      <c r="RCQ251" s="281"/>
      <c r="RCR251" s="282"/>
      <c r="RCS251" s="242"/>
      <c r="RCT251" s="222"/>
      <c r="RCV251" s="118"/>
      <c r="RCW251" s="8"/>
      <c r="RCX251" s="281"/>
      <c r="RCY251" s="78"/>
      <c r="RCZ251" s="151"/>
      <c r="RDA251" s="278"/>
      <c r="RDB251" s="266"/>
      <c r="RDC251" s="279"/>
      <c r="RDD251" s="211"/>
      <c r="RDE251" s="211"/>
      <c r="RDF251" s="286"/>
      <c r="RDG251" s="286"/>
      <c r="RDH251" s="280"/>
      <c r="RDI251" s="281"/>
      <c r="RDJ251" s="282"/>
      <c r="RDK251" s="242"/>
      <c r="RDL251" s="222"/>
      <c r="RDN251" s="118"/>
      <c r="RDO251" s="8"/>
      <c r="RDP251" s="281"/>
      <c r="RDQ251" s="78"/>
      <c r="RDR251" s="151"/>
      <c r="RDS251" s="278"/>
      <c r="RDT251" s="266"/>
      <c r="RDU251" s="279"/>
      <c r="RDV251" s="211"/>
      <c r="RDW251" s="211"/>
      <c r="RDX251" s="286"/>
      <c r="RDY251" s="286"/>
      <c r="RDZ251" s="280"/>
      <c r="REA251" s="281"/>
      <c r="REB251" s="282"/>
      <c r="REC251" s="242"/>
      <c r="RED251" s="222"/>
      <c r="REF251" s="118"/>
      <c r="REG251" s="8"/>
      <c r="REH251" s="281"/>
      <c r="REI251" s="78"/>
      <c r="REJ251" s="151"/>
      <c r="REK251" s="278"/>
      <c r="REL251" s="266"/>
      <c r="REM251" s="279"/>
      <c r="REN251" s="211"/>
      <c r="REO251" s="211"/>
      <c r="REP251" s="286"/>
      <c r="REQ251" s="286"/>
      <c r="RER251" s="280"/>
      <c r="RES251" s="281"/>
      <c r="RET251" s="282"/>
      <c r="REU251" s="242"/>
      <c r="REV251" s="222"/>
      <c r="REX251" s="118"/>
      <c r="REY251" s="8"/>
      <c r="REZ251" s="281"/>
      <c r="RFA251" s="78"/>
      <c r="RFB251" s="151"/>
      <c r="RFC251" s="278"/>
      <c r="RFD251" s="266"/>
      <c r="RFE251" s="279"/>
      <c r="RFF251" s="211"/>
      <c r="RFG251" s="211"/>
      <c r="RFH251" s="286"/>
      <c r="RFI251" s="286"/>
      <c r="RFJ251" s="280"/>
      <c r="RFK251" s="281"/>
      <c r="RFL251" s="282"/>
      <c r="RFM251" s="242"/>
      <c r="RFN251" s="222"/>
      <c r="RFP251" s="118"/>
      <c r="RFQ251" s="8"/>
      <c r="RFR251" s="281"/>
      <c r="RFS251" s="78"/>
      <c r="RFT251" s="151"/>
      <c r="RFU251" s="278"/>
      <c r="RFV251" s="266"/>
      <c r="RFW251" s="279"/>
      <c r="RFX251" s="211"/>
      <c r="RFY251" s="211"/>
      <c r="RFZ251" s="286"/>
      <c r="RGA251" s="286"/>
      <c r="RGB251" s="280"/>
      <c r="RGC251" s="281"/>
      <c r="RGD251" s="282"/>
      <c r="RGE251" s="242"/>
      <c r="RGF251" s="222"/>
      <c r="RGH251" s="118"/>
      <c r="RGI251" s="8"/>
      <c r="RGJ251" s="281"/>
      <c r="RGK251" s="78"/>
      <c r="RGL251" s="151"/>
      <c r="RGM251" s="278"/>
      <c r="RGN251" s="266"/>
      <c r="RGO251" s="279"/>
      <c r="RGP251" s="211"/>
      <c r="RGQ251" s="211"/>
      <c r="RGR251" s="286"/>
      <c r="RGS251" s="286"/>
      <c r="RGT251" s="280"/>
      <c r="RGU251" s="281"/>
      <c r="RGV251" s="282"/>
      <c r="RGW251" s="242"/>
      <c r="RGX251" s="222"/>
      <c r="RGZ251" s="118"/>
      <c r="RHA251" s="8"/>
      <c r="RHB251" s="281"/>
      <c r="RHC251" s="78"/>
      <c r="RHD251" s="151"/>
      <c r="RHE251" s="278"/>
      <c r="RHF251" s="266"/>
      <c r="RHG251" s="279"/>
      <c r="RHH251" s="211"/>
      <c r="RHI251" s="211"/>
      <c r="RHJ251" s="286"/>
      <c r="RHK251" s="286"/>
      <c r="RHL251" s="280"/>
      <c r="RHM251" s="281"/>
      <c r="RHN251" s="282"/>
      <c r="RHO251" s="242"/>
      <c r="RHP251" s="222"/>
      <c r="RHR251" s="118"/>
      <c r="RHS251" s="8"/>
      <c r="RHT251" s="281"/>
      <c r="RHU251" s="78"/>
      <c r="RHV251" s="151"/>
      <c r="RHW251" s="278"/>
      <c r="RHX251" s="266"/>
      <c r="RHY251" s="279"/>
      <c r="RHZ251" s="211"/>
      <c r="RIA251" s="211"/>
      <c r="RIB251" s="286"/>
      <c r="RIC251" s="286"/>
      <c r="RID251" s="280"/>
      <c r="RIE251" s="281"/>
      <c r="RIF251" s="282"/>
      <c r="RIG251" s="242"/>
      <c r="RIH251" s="222"/>
      <c r="RIJ251" s="118"/>
      <c r="RIK251" s="8"/>
      <c r="RIL251" s="281"/>
      <c r="RIM251" s="78"/>
      <c r="RIN251" s="151"/>
      <c r="RIO251" s="278"/>
      <c r="RIP251" s="266"/>
      <c r="RIQ251" s="279"/>
      <c r="RIR251" s="211"/>
      <c r="RIS251" s="211"/>
      <c r="RIT251" s="286"/>
      <c r="RIU251" s="286"/>
      <c r="RIV251" s="280"/>
      <c r="RIW251" s="281"/>
      <c r="RIX251" s="282"/>
      <c r="RIY251" s="242"/>
      <c r="RIZ251" s="222"/>
      <c r="RJB251" s="118"/>
      <c r="RJC251" s="8"/>
      <c r="RJD251" s="281"/>
      <c r="RJE251" s="78"/>
      <c r="RJF251" s="151"/>
      <c r="RJG251" s="278"/>
      <c r="RJH251" s="266"/>
      <c r="RJI251" s="279"/>
      <c r="RJJ251" s="211"/>
      <c r="RJK251" s="211"/>
      <c r="RJL251" s="286"/>
      <c r="RJM251" s="286"/>
      <c r="RJN251" s="280"/>
      <c r="RJO251" s="281"/>
      <c r="RJP251" s="282"/>
      <c r="RJQ251" s="242"/>
      <c r="RJR251" s="222"/>
      <c r="RJT251" s="118"/>
      <c r="RJU251" s="8"/>
      <c r="RJV251" s="281"/>
      <c r="RJW251" s="78"/>
      <c r="RJX251" s="151"/>
      <c r="RJY251" s="278"/>
      <c r="RJZ251" s="266"/>
      <c r="RKA251" s="279"/>
      <c r="RKB251" s="211"/>
      <c r="RKC251" s="211"/>
      <c r="RKD251" s="286"/>
      <c r="RKE251" s="286"/>
      <c r="RKF251" s="280"/>
      <c r="RKG251" s="281"/>
      <c r="RKH251" s="282"/>
      <c r="RKI251" s="242"/>
      <c r="RKJ251" s="222"/>
      <c r="RKL251" s="118"/>
      <c r="RKM251" s="8"/>
      <c r="RKN251" s="281"/>
      <c r="RKO251" s="78"/>
      <c r="RKP251" s="151"/>
      <c r="RKQ251" s="278"/>
      <c r="RKR251" s="266"/>
      <c r="RKS251" s="279"/>
      <c r="RKT251" s="211"/>
      <c r="RKU251" s="211"/>
      <c r="RKV251" s="286"/>
      <c r="RKW251" s="286"/>
      <c r="RKX251" s="280"/>
      <c r="RKY251" s="281"/>
      <c r="RKZ251" s="282"/>
      <c r="RLA251" s="242"/>
      <c r="RLB251" s="222"/>
      <c r="RLD251" s="118"/>
      <c r="RLE251" s="8"/>
      <c r="RLF251" s="281"/>
      <c r="RLG251" s="78"/>
      <c r="RLH251" s="151"/>
      <c r="RLI251" s="278"/>
      <c r="RLJ251" s="266"/>
      <c r="RLK251" s="279"/>
      <c r="RLL251" s="211"/>
      <c r="RLM251" s="211"/>
      <c r="RLN251" s="286"/>
      <c r="RLO251" s="286"/>
      <c r="RLP251" s="280"/>
      <c r="RLQ251" s="281"/>
      <c r="RLR251" s="282"/>
      <c r="RLS251" s="242"/>
      <c r="RLT251" s="222"/>
      <c r="RLV251" s="118"/>
      <c r="RLW251" s="8"/>
      <c r="RLX251" s="281"/>
      <c r="RLY251" s="78"/>
      <c r="RLZ251" s="151"/>
      <c r="RMA251" s="278"/>
      <c r="RMB251" s="266"/>
      <c r="RMC251" s="279"/>
      <c r="RMD251" s="211"/>
      <c r="RME251" s="211"/>
      <c r="RMF251" s="286"/>
      <c r="RMG251" s="286"/>
      <c r="RMH251" s="280"/>
      <c r="RMI251" s="281"/>
      <c r="RMJ251" s="282"/>
      <c r="RMK251" s="242"/>
      <c r="RML251" s="222"/>
      <c r="RMN251" s="118"/>
      <c r="RMO251" s="8"/>
      <c r="RMP251" s="281"/>
      <c r="RMQ251" s="78"/>
      <c r="RMR251" s="151"/>
      <c r="RMS251" s="278"/>
      <c r="RMT251" s="266"/>
      <c r="RMU251" s="279"/>
      <c r="RMV251" s="211"/>
      <c r="RMW251" s="211"/>
      <c r="RMX251" s="286"/>
      <c r="RMY251" s="286"/>
      <c r="RMZ251" s="280"/>
      <c r="RNA251" s="281"/>
      <c r="RNB251" s="282"/>
      <c r="RNC251" s="242"/>
      <c r="RND251" s="222"/>
      <c r="RNF251" s="118"/>
      <c r="RNG251" s="8"/>
      <c r="RNH251" s="281"/>
      <c r="RNI251" s="78"/>
      <c r="RNJ251" s="151"/>
      <c r="RNK251" s="278"/>
      <c r="RNL251" s="266"/>
      <c r="RNM251" s="279"/>
      <c r="RNN251" s="211"/>
      <c r="RNO251" s="211"/>
      <c r="RNP251" s="286"/>
      <c r="RNQ251" s="286"/>
      <c r="RNR251" s="280"/>
      <c r="RNS251" s="281"/>
      <c r="RNT251" s="282"/>
      <c r="RNU251" s="242"/>
      <c r="RNV251" s="222"/>
      <c r="RNX251" s="118"/>
      <c r="RNY251" s="8"/>
      <c r="RNZ251" s="281"/>
      <c r="ROA251" s="78"/>
      <c r="ROB251" s="151"/>
      <c r="ROC251" s="278"/>
      <c r="ROD251" s="266"/>
      <c r="ROE251" s="279"/>
      <c r="ROF251" s="211"/>
      <c r="ROG251" s="211"/>
      <c r="ROH251" s="286"/>
      <c r="ROI251" s="286"/>
      <c r="ROJ251" s="280"/>
      <c r="ROK251" s="281"/>
      <c r="ROL251" s="282"/>
      <c r="ROM251" s="242"/>
      <c r="RON251" s="222"/>
      <c r="ROP251" s="118"/>
      <c r="ROQ251" s="8"/>
      <c r="ROR251" s="281"/>
      <c r="ROS251" s="78"/>
      <c r="ROT251" s="151"/>
      <c r="ROU251" s="278"/>
      <c r="ROV251" s="266"/>
      <c r="ROW251" s="279"/>
      <c r="ROX251" s="211"/>
      <c r="ROY251" s="211"/>
      <c r="ROZ251" s="286"/>
      <c r="RPA251" s="286"/>
      <c r="RPB251" s="280"/>
      <c r="RPC251" s="281"/>
      <c r="RPD251" s="282"/>
      <c r="RPE251" s="242"/>
      <c r="RPF251" s="222"/>
      <c r="RPH251" s="118"/>
      <c r="RPI251" s="8"/>
      <c r="RPJ251" s="281"/>
      <c r="RPK251" s="78"/>
      <c r="RPL251" s="151"/>
      <c r="RPM251" s="278"/>
      <c r="RPN251" s="266"/>
      <c r="RPO251" s="279"/>
      <c r="RPP251" s="211"/>
      <c r="RPQ251" s="211"/>
      <c r="RPR251" s="286"/>
      <c r="RPS251" s="286"/>
      <c r="RPT251" s="280"/>
      <c r="RPU251" s="281"/>
      <c r="RPV251" s="282"/>
      <c r="RPW251" s="242"/>
      <c r="RPX251" s="222"/>
      <c r="RPZ251" s="118"/>
      <c r="RQA251" s="8"/>
      <c r="RQB251" s="281"/>
      <c r="RQC251" s="78"/>
      <c r="RQD251" s="151"/>
      <c r="RQE251" s="278"/>
      <c r="RQF251" s="266"/>
      <c r="RQG251" s="279"/>
      <c r="RQH251" s="211"/>
      <c r="RQI251" s="211"/>
      <c r="RQJ251" s="286"/>
      <c r="RQK251" s="286"/>
      <c r="RQL251" s="280"/>
      <c r="RQM251" s="281"/>
      <c r="RQN251" s="282"/>
      <c r="RQO251" s="242"/>
      <c r="RQP251" s="222"/>
      <c r="RQR251" s="118"/>
      <c r="RQS251" s="8"/>
      <c r="RQT251" s="281"/>
      <c r="RQU251" s="78"/>
      <c r="RQV251" s="151"/>
      <c r="RQW251" s="278"/>
      <c r="RQX251" s="266"/>
      <c r="RQY251" s="279"/>
      <c r="RQZ251" s="211"/>
      <c r="RRA251" s="211"/>
      <c r="RRB251" s="286"/>
      <c r="RRC251" s="286"/>
      <c r="RRD251" s="280"/>
      <c r="RRE251" s="281"/>
      <c r="RRF251" s="282"/>
      <c r="RRG251" s="242"/>
      <c r="RRH251" s="222"/>
      <c r="RRJ251" s="118"/>
      <c r="RRK251" s="8"/>
      <c r="RRL251" s="281"/>
      <c r="RRM251" s="78"/>
      <c r="RRN251" s="151"/>
      <c r="RRO251" s="278"/>
      <c r="RRP251" s="266"/>
      <c r="RRQ251" s="279"/>
      <c r="RRR251" s="211"/>
      <c r="RRS251" s="211"/>
      <c r="RRT251" s="286"/>
      <c r="RRU251" s="286"/>
      <c r="RRV251" s="280"/>
      <c r="RRW251" s="281"/>
      <c r="RRX251" s="282"/>
      <c r="RRY251" s="242"/>
      <c r="RRZ251" s="222"/>
      <c r="RSB251" s="118"/>
      <c r="RSC251" s="8"/>
      <c r="RSD251" s="281"/>
      <c r="RSE251" s="78"/>
      <c r="RSF251" s="151"/>
      <c r="RSG251" s="278"/>
      <c r="RSH251" s="266"/>
      <c r="RSI251" s="279"/>
      <c r="RSJ251" s="211"/>
      <c r="RSK251" s="211"/>
      <c r="RSL251" s="286"/>
      <c r="RSM251" s="286"/>
      <c r="RSN251" s="280"/>
      <c r="RSO251" s="281"/>
      <c r="RSP251" s="282"/>
      <c r="RSQ251" s="242"/>
      <c r="RSR251" s="222"/>
      <c r="RST251" s="118"/>
      <c r="RSU251" s="8"/>
      <c r="RSV251" s="281"/>
      <c r="RSW251" s="78"/>
      <c r="RSX251" s="151"/>
      <c r="RSY251" s="278"/>
      <c r="RSZ251" s="266"/>
      <c r="RTA251" s="279"/>
      <c r="RTB251" s="211"/>
      <c r="RTC251" s="211"/>
      <c r="RTD251" s="286"/>
      <c r="RTE251" s="286"/>
      <c r="RTF251" s="280"/>
      <c r="RTG251" s="281"/>
      <c r="RTH251" s="282"/>
      <c r="RTI251" s="242"/>
      <c r="RTJ251" s="222"/>
      <c r="RTL251" s="118"/>
      <c r="RTM251" s="8"/>
      <c r="RTN251" s="281"/>
      <c r="RTO251" s="78"/>
      <c r="RTP251" s="151"/>
      <c r="RTQ251" s="278"/>
      <c r="RTR251" s="266"/>
      <c r="RTS251" s="279"/>
      <c r="RTT251" s="211"/>
      <c r="RTU251" s="211"/>
      <c r="RTV251" s="286"/>
      <c r="RTW251" s="286"/>
      <c r="RTX251" s="280"/>
      <c r="RTY251" s="281"/>
      <c r="RTZ251" s="282"/>
      <c r="RUA251" s="242"/>
      <c r="RUB251" s="222"/>
      <c r="RUD251" s="118"/>
      <c r="RUE251" s="8"/>
      <c r="RUF251" s="281"/>
      <c r="RUG251" s="78"/>
      <c r="RUH251" s="151"/>
      <c r="RUI251" s="278"/>
      <c r="RUJ251" s="266"/>
      <c r="RUK251" s="279"/>
      <c r="RUL251" s="211"/>
      <c r="RUM251" s="211"/>
      <c r="RUN251" s="286"/>
      <c r="RUO251" s="286"/>
      <c r="RUP251" s="280"/>
      <c r="RUQ251" s="281"/>
      <c r="RUR251" s="282"/>
      <c r="RUS251" s="242"/>
      <c r="RUT251" s="222"/>
      <c r="RUV251" s="118"/>
      <c r="RUW251" s="8"/>
      <c r="RUX251" s="281"/>
      <c r="RUY251" s="78"/>
      <c r="RUZ251" s="151"/>
      <c r="RVA251" s="278"/>
      <c r="RVB251" s="266"/>
      <c r="RVC251" s="279"/>
      <c r="RVD251" s="211"/>
      <c r="RVE251" s="211"/>
      <c r="RVF251" s="286"/>
      <c r="RVG251" s="286"/>
      <c r="RVH251" s="280"/>
      <c r="RVI251" s="281"/>
      <c r="RVJ251" s="282"/>
      <c r="RVK251" s="242"/>
      <c r="RVL251" s="222"/>
      <c r="RVN251" s="118"/>
      <c r="RVO251" s="8"/>
      <c r="RVP251" s="281"/>
      <c r="RVQ251" s="78"/>
      <c r="RVR251" s="151"/>
      <c r="RVS251" s="278"/>
      <c r="RVT251" s="266"/>
      <c r="RVU251" s="279"/>
      <c r="RVV251" s="211"/>
      <c r="RVW251" s="211"/>
      <c r="RVX251" s="286"/>
      <c r="RVY251" s="286"/>
      <c r="RVZ251" s="280"/>
      <c r="RWA251" s="281"/>
      <c r="RWB251" s="282"/>
      <c r="RWC251" s="242"/>
      <c r="RWD251" s="222"/>
      <c r="RWF251" s="118"/>
      <c r="RWG251" s="8"/>
      <c r="RWH251" s="281"/>
      <c r="RWI251" s="78"/>
      <c r="RWJ251" s="151"/>
      <c r="RWK251" s="278"/>
      <c r="RWL251" s="266"/>
      <c r="RWM251" s="279"/>
      <c r="RWN251" s="211"/>
      <c r="RWO251" s="211"/>
      <c r="RWP251" s="286"/>
      <c r="RWQ251" s="286"/>
      <c r="RWR251" s="280"/>
      <c r="RWS251" s="281"/>
      <c r="RWT251" s="282"/>
      <c r="RWU251" s="242"/>
      <c r="RWV251" s="222"/>
      <c r="RWX251" s="118"/>
      <c r="RWY251" s="8"/>
      <c r="RWZ251" s="281"/>
      <c r="RXA251" s="78"/>
      <c r="RXB251" s="151"/>
      <c r="RXC251" s="278"/>
      <c r="RXD251" s="266"/>
      <c r="RXE251" s="279"/>
      <c r="RXF251" s="211"/>
      <c r="RXG251" s="211"/>
      <c r="RXH251" s="286"/>
      <c r="RXI251" s="286"/>
      <c r="RXJ251" s="280"/>
      <c r="RXK251" s="281"/>
      <c r="RXL251" s="282"/>
      <c r="RXM251" s="242"/>
      <c r="RXN251" s="222"/>
      <c r="RXP251" s="118"/>
      <c r="RXQ251" s="8"/>
      <c r="RXR251" s="281"/>
      <c r="RXS251" s="78"/>
      <c r="RXT251" s="151"/>
      <c r="RXU251" s="278"/>
      <c r="RXV251" s="266"/>
      <c r="RXW251" s="279"/>
      <c r="RXX251" s="211"/>
      <c r="RXY251" s="211"/>
      <c r="RXZ251" s="286"/>
      <c r="RYA251" s="286"/>
      <c r="RYB251" s="280"/>
      <c r="RYC251" s="281"/>
      <c r="RYD251" s="282"/>
      <c r="RYE251" s="242"/>
      <c r="RYF251" s="222"/>
      <c r="RYH251" s="118"/>
      <c r="RYI251" s="8"/>
      <c r="RYJ251" s="281"/>
      <c r="RYK251" s="78"/>
      <c r="RYL251" s="151"/>
      <c r="RYM251" s="278"/>
      <c r="RYN251" s="266"/>
      <c r="RYO251" s="279"/>
      <c r="RYP251" s="211"/>
      <c r="RYQ251" s="211"/>
      <c r="RYR251" s="286"/>
      <c r="RYS251" s="286"/>
      <c r="RYT251" s="280"/>
      <c r="RYU251" s="281"/>
      <c r="RYV251" s="282"/>
      <c r="RYW251" s="242"/>
      <c r="RYX251" s="222"/>
      <c r="RYZ251" s="118"/>
      <c r="RZA251" s="8"/>
      <c r="RZB251" s="281"/>
      <c r="RZC251" s="78"/>
      <c r="RZD251" s="151"/>
      <c r="RZE251" s="278"/>
      <c r="RZF251" s="266"/>
      <c r="RZG251" s="279"/>
      <c r="RZH251" s="211"/>
      <c r="RZI251" s="211"/>
      <c r="RZJ251" s="286"/>
      <c r="RZK251" s="286"/>
      <c r="RZL251" s="280"/>
      <c r="RZM251" s="281"/>
      <c r="RZN251" s="282"/>
      <c r="RZO251" s="242"/>
      <c r="RZP251" s="222"/>
      <c r="RZR251" s="118"/>
      <c r="RZS251" s="8"/>
      <c r="RZT251" s="281"/>
      <c r="RZU251" s="78"/>
      <c r="RZV251" s="151"/>
      <c r="RZW251" s="278"/>
      <c r="RZX251" s="266"/>
      <c r="RZY251" s="279"/>
      <c r="RZZ251" s="211"/>
      <c r="SAA251" s="211"/>
      <c r="SAB251" s="286"/>
      <c r="SAC251" s="286"/>
      <c r="SAD251" s="280"/>
      <c r="SAE251" s="281"/>
      <c r="SAF251" s="282"/>
      <c r="SAG251" s="242"/>
      <c r="SAH251" s="222"/>
      <c r="SAJ251" s="118"/>
      <c r="SAK251" s="8"/>
      <c r="SAL251" s="281"/>
      <c r="SAM251" s="78"/>
      <c r="SAN251" s="151"/>
      <c r="SAO251" s="278"/>
      <c r="SAP251" s="266"/>
      <c r="SAQ251" s="279"/>
      <c r="SAR251" s="211"/>
      <c r="SAS251" s="211"/>
      <c r="SAT251" s="286"/>
      <c r="SAU251" s="286"/>
      <c r="SAV251" s="280"/>
      <c r="SAW251" s="281"/>
      <c r="SAX251" s="282"/>
      <c r="SAY251" s="242"/>
      <c r="SAZ251" s="222"/>
      <c r="SBB251" s="118"/>
      <c r="SBC251" s="8"/>
      <c r="SBD251" s="281"/>
      <c r="SBE251" s="78"/>
      <c r="SBF251" s="151"/>
      <c r="SBG251" s="278"/>
      <c r="SBH251" s="266"/>
      <c r="SBI251" s="279"/>
      <c r="SBJ251" s="211"/>
      <c r="SBK251" s="211"/>
      <c r="SBL251" s="286"/>
      <c r="SBM251" s="286"/>
      <c r="SBN251" s="280"/>
      <c r="SBO251" s="281"/>
      <c r="SBP251" s="282"/>
      <c r="SBQ251" s="242"/>
      <c r="SBR251" s="222"/>
      <c r="SBT251" s="118"/>
      <c r="SBU251" s="8"/>
      <c r="SBV251" s="281"/>
      <c r="SBW251" s="78"/>
      <c r="SBX251" s="151"/>
      <c r="SBY251" s="278"/>
      <c r="SBZ251" s="266"/>
      <c r="SCA251" s="279"/>
      <c r="SCB251" s="211"/>
      <c r="SCC251" s="211"/>
      <c r="SCD251" s="286"/>
      <c r="SCE251" s="286"/>
      <c r="SCF251" s="280"/>
      <c r="SCG251" s="281"/>
      <c r="SCH251" s="282"/>
      <c r="SCI251" s="242"/>
      <c r="SCJ251" s="222"/>
      <c r="SCL251" s="118"/>
      <c r="SCM251" s="8"/>
      <c r="SCN251" s="281"/>
      <c r="SCO251" s="78"/>
      <c r="SCP251" s="151"/>
      <c r="SCQ251" s="278"/>
      <c r="SCR251" s="266"/>
      <c r="SCS251" s="279"/>
      <c r="SCT251" s="211"/>
      <c r="SCU251" s="211"/>
      <c r="SCV251" s="286"/>
      <c r="SCW251" s="286"/>
      <c r="SCX251" s="280"/>
      <c r="SCY251" s="281"/>
      <c r="SCZ251" s="282"/>
      <c r="SDA251" s="242"/>
      <c r="SDB251" s="222"/>
      <c r="SDD251" s="118"/>
      <c r="SDE251" s="8"/>
      <c r="SDF251" s="281"/>
      <c r="SDG251" s="78"/>
      <c r="SDH251" s="151"/>
      <c r="SDI251" s="278"/>
      <c r="SDJ251" s="266"/>
      <c r="SDK251" s="279"/>
      <c r="SDL251" s="211"/>
      <c r="SDM251" s="211"/>
      <c r="SDN251" s="286"/>
      <c r="SDO251" s="286"/>
      <c r="SDP251" s="280"/>
      <c r="SDQ251" s="281"/>
      <c r="SDR251" s="282"/>
      <c r="SDS251" s="242"/>
      <c r="SDT251" s="222"/>
      <c r="SDV251" s="118"/>
      <c r="SDW251" s="8"/>
      <c r="SDX251" s="281"/>
      <c r="SDY251" s="78"/>
      <c r="SDZ251" s="151"/>
      <c r="SEA251" s="278"/>
      <c r="SEB251" s="266"/>
      <c r="SEC251" s="279"/>
      <c r="SED251" s="211"/>
      <c r="SEE251" s="211"/>
      <c r="SEF251" s="286"/>
      <c r="SEG251" s="286"/>
      <c r="SEH251" s="280"/>
      <c r="SEI251" s="281"/>
      <c r="SEJ251" s="282"/>
      <c r="SEK251" s="242"/>
      <c r="SEL251" s="222"/>
      <c r="SEN251" s="118"/>
      <c r="SEO251" s="8"/>
      <c r="SEP251" s="281"/>
      <c r="SEQ251" s="78"/>
      <c r="SER251" s="151"/>
      <c r="SES251" s="278"/>
      <c r="SET251" s="266"/>
      <c r="SEU251" s="279"/>
      <c r="SEV251" s="211"/>
      <c r="SEW251" s="211"/>
      <c r="SEX251" s="286"/>
      <c r="SEY251" s="286"/>
      <c r="SEZ251" s="280"/>
      <c r="SFA251" s="281"/>
      <c r="SFB251" s="282"/>
      <c r="SFC251" s="242"/>
      <c r="SFD251" s="222"/>
      <c r="SFF251" s="118"/>
      <c r="SFG251" s="8"/>
      <c r="SFH251" s="281"/>
      <c r="SFI251" s="78"/>
      <c r="SFJ251" s="151"/>
      <c r="SFK251" s="278"/>
      <c r="SFL251" s="266"/>
      <c r="SFM251" s="279"/>
      <c r="SFN251" s="211"/>
      <c r="SFO251" s="211"/>
      <c r="SFP251" s="286"/>
      <c r="SFQ251" s="286"/>
      <c r="SFR251" s="280"/>
      <c r="SFS251" s="281"/>
      <c r="SFT251" s="282"/>
      <c r="SFU251" s="242"/>
      <c r="SFV251" s="222"/>
      <c r="SFX251" s="118"/>
      <c r="SFY251" s="8"/>
      <c r="SFZ251" s="281"/>
      <c r="SGA251" s="78"/>
      <c r="SGB251" s="151"/>
      <c r="SGC251" s="278"/>
      <c r="SGD251" s="266"/>
      <c r="SGE251" s="279"/>
      <c r="SGF251" s="211"/>
      <c r="SGG251" s="211"/>
      <c r="SGH251" s="286"/>
      <c r="SGI251" s="286"/>
      <c r="SGJ251" s="280"/>
      <c r="SGK251" s="281"/>
      <c r="SGL251" s="282"/>
      <c r="SGM251" s="242"/>
      <c r="SGN251" s="222"/>
      <c r="SGP251" s="118"/>
      <c r="SGQ251" s="8"/>
      <c r="SGR251" s="281"/>
      <c r="SGS251" s="78"/>
      <c r="SGT251" s="151"/>
      <c r="SGU251" s="278"/>
      <c r="SGV251" s="266"/>
      <c r="SGW251" s="279"/>
      <c r="SGX251" s="211"/>
      <c r="SGY251" s="211"/>
      <c r="SGZ251" s="286"/>
      <c r="SHA251" s="286"/>
      <c r="SHB251" s="280"/>
      <c r="SHC251" s="281"/>
      <c r="SHD251" s="282"/>
      <c r="SHE251" s="242"/>
      <c r="SHF251" s="222"/>
      <c r="SHH251" s="118"/>
      <c r="SHI251" s="8"/>
      <c r="SHJ251" s="281"/>
      <c r="SHK251" s="78"/>
      <c r="SHL251" s="151"/>
      <c r="SHM251" s="278"/>
      <c r="SHN251" s="266"/>
      <c r="SHO251" s="279"/>
      <c r="SHP251" s="211"/>
      <c r="SHQ251" s="211"/>
      <c r="SHR251" s="286"/>
      <c r="SHS251" s="286"/>
      <c r="SHT251" s="280"/>
      <c r="SHU251" s="281"/>
      <c r="SHV251" s="282"/>
      <c r="SHW251" s="242"/>
      <c r="SHX251" s="222"/>
      <c r="SHZ251" s="118"/>
      <c r="SIA251" s="8"/>
      <c r="SIB251" s="281"/>
      <c r="SIC251" s="78"/>
      <c r="SID251" s="151"/>
      <c r="SIE251" s="278"/>
      <c r="SIF251" s="266"/>
      <c r="SIG251" s="279"/>
      <c r="SIH251" s="211"/>
      <c r="SII251" s="211"/>
      <c r="SIJ251" s="286"/>
      <c r="SIK251" s="286"/>
      <c r="SIL251" s="280"/>
      <c r="SIM251" s="281"/>
      <c r="SIN251" s="282"/>
      <c r="SIO251" s="242"/>
      <c r="SIP251" s="222"/>
      <c r="SIR251" s="118"/>
      <c r="SIS251" s="8"/>
      <c r="SIT251" s="281"/>
      <c r="SIU251" s="78"/>
      <c r="SIV251" s="151"/>
      <c r="SIW251" s="278"/>
      <c r="SIX251" s="266"/>
      <c r="SIY251" s="279"/>
      <c r="SIZ251" s="211"/>
      <c r="SJA251" s="211"/>
      <c r="SJB251" s="286"/>
      <c r="SJC251" s="286"/>
      <c r="SJD251" s="280"/>
      <c r="SJE251" s="281"/>
      <c r="SJF251" s="282"/>
      <c r="SJG251" s="242"/>
      <c r="SJH251" s="222"/>
      <c r="SJJ251" s="118"/>
      <c r="SJK251" s="8"/>
      <c r="SJL251" s="281"/>
      <c r="SJM251" s="78"/>
      <c r="SJN251" s="151"/>
      <c r="SJO251" s="278"/>
      <c r="SJP251" s="266"/>
      <c r="SJQ251" s="279"/>
      <c r="SJR251" s="211"/>
      <c r="SJS251" s="211"/>
      <c r="SJT251" s="286"/>
      <c r="SJU251" s="286"/>
      <c r="SJV251" s="280"/>
      <c r="SJW251" s="281"/>
      <c r="SJX251" s="282"/>
      <c r="SJY251" s="242"/>
      <c r="SJZ251" s="222"/>
      <c r="SKB251" s="118"/>
      <c r="SKC251" s="8"/>
      <c r="SKD251" s="281"/>
      <c r="SKE251" s="78"/>
      <c r="SKF251" s="151"/>
      <c r="SKG251" s="278"/>
      <c r="SKH251" s="266"/>
      <c r="SKI251" s="279"/>
      <c r="SKJ251" s="211"/>
      <c r="SKK251" s="211"/>
      <c r="SKL251" s="286"/>
      <c r="SKM251" s="286"/>
      <c r="SKN251" s="280"/>
      <c r="SKO251" s="281"/>
      <c r="SKP251" s="282"/>
      <c r="SKQ251" s="242"/>
      <c r="SKR251" s="222"/>
      <c r="SKT251" s="118"/>
      <c r="SKU251" s="8"/>
      <c r="SKV251" s="281"/>
      <c r="SKW251" s="78"/>
      <c r="SKX251" s="151"/>
      <c r="SKY251" s="278"/>
      <c r="SKZ251" s="266"/>
      <c r="SLA251" s="279"/>
      <c r="SLB251" s="211"/>
      <c r="SLC251" s="211"/>
      <c r="SLD251" s="286"/>
      <c r="SLE251" s="286"/>
      <c r="SLF251" s="280"/>
      <c r="SLG251" s="281"/>
      <c r="SLH251" s="282"/>
      <c r="SLI251" s="242"/>
      <c r="SLJ251" s="222"/>
      <c r="SLL251" s="118"/>
      <c r="SLM251" s="8"/>
      <c r="SLN251" s="281"/>
      <c r="SLO251" s="78"/>
      <c r="SLP251" s="151"/>
      <c r="SLQ251" s="278"/>
      <c r="SLR251" s="266"/>
      <c r="SLS251" s="279"/>
      <c r="SLT251" s="211"/>
      <c r="SLU251" s="211"/>
      <c r="SLV251" s="286"/>
      <c r="SLW251" s="286"/>
      <c r="SLX251" s="280"/>
      <c r="SLY251" s="281"/>
      <c r="SLZ251" s="282"/>
      <c r="SMA251" s="242"/>
      <c r="SMB251" s="222"/>
      <c r="SMD251" s="118"/>
      <c r="SME251" s="8"/>
      <c r="SMF251" s="281"/>
      <c r="SMG251" s="78"/>
      <c r="SMH251" s="151"/>
      <c r="SMI251" s="278"/>
      <c r="SMJ251" s="266"/>
      <c r="SMK251" s="279"/>
      <c r="SML251" s="211"/>
      <c r="SMM251" s="211"/>
      <c r="SMN251" s="286"/>
      <c r="SMO251" s="286"/>
      <c r="SMP251" s="280"/>
      <c r="SMQ251" s="281"/>
      <c r="SMR251" s="282"/>
      <c r="SMS251" s="242"/>
      <c r="SMT251" s="222"/>
      <c r="SMV251" s="118"/>
      <c r="SMW251" s="8"/>
      <c r="SMX251" s="281"/>
      <c r="SMY251" s="78"/>
      <c r="SMZ251" s="151"/>
      <c r="SNA251" s="278"/>
      <c r="SNB251" s="266"/>
      <c r="SNC251" s="279"/>
      <c r="SND251" s="211"/>
      <c r="SNE251" s="211"/>
      <c r="SNF251" s="286"/>
      <c r="SNG251" s="286"/>
      <c r="SNH251" s="280"/>
      <c r="SNI251" s="281"/>
      <c r="SNJ251" s="282"/>
      <c r="SNK251" s="242"/>
      <c r="SNL251" s="222"/>
      <c r="SNN251" s="118"/>
      <c r="SNO251" s="8"/>
      <c r="SNP251" s="281"/>
      <c r="SNQ251" s="78"/>
      <c r="SNR251" s="151"/>
      <c r="SNS251" s="278"/>
      <c r="SNT251" s="266"/>
      <c r="SNU251" s="279"/>
      <c r="SNV251" s="211"/>
      <c r="SNW251" s="211"/>
      <c r="SNX251" s="286"/>
      <c r="SNY251" s="286"/>
      <c r="SNZ251" s="280"/>
      <c r="SOA251" s="281"/>
      <c r="SOB251" s="282"/>
      <c r="SOC251" s="242"/>
      <c r="SOD251" s="222"/>
      <c r="SOF251" s="118"/>
      <c r="SOG251" s="8"/>
      <c r="SOH251" s="281"/>
      <c r="SOI251" s="78"/>
      <c r="SOJ251" s="151"/>
      <c r="SOK251" s="278"/>
      <c r="SOL251" s="266"/>
      <c r="SOM251" s="279"/>
      <c r="SON251" s="211"/>
      <c r="SOO251" s="211"/>
      <c r="SOP251" s="286"/>
      <c r="SOQ251" s="286"/>
      <c r="SOR251" s="280"/>
      <c r="SOS251" s="281"/>
      <c r="SOT251" s="282"/>
      <c r="SOU251" s="242"/>
      <c r="SOV251" s="222"/>
      <c r="SOX251" s="118"/>
      <c r="SOY251" s="8"/>
      <c r="SOZ251" s="281"/>
      <c r="SPA251" s="78"/>
      <c r="SPB251" s="151"/>
      <c r="SPC251" s="278"/>
      <c r="SPD251" s="266"/>
      <c r="SPE251" s="279"/>
      <c r="SPF251" s="211"/>
      <c r="SPG251" s="211"/>
      <c r="SPH251" s="286"/>
      <c r="SPI251" s="286"/>
      <c r="SPJ251" s="280"/>
      <c r="SPK251" s="281"/>
      <c r="SPL251" s="282"/>
      <c r="SPM251" s="242"/>
      <c r="SPN251" s="222"/>
      <c r="SPP251" s="118"/>
      <c r="SPQ251" s="8"/>
      <c r="SPR251" s="281"/>
      <c r="SPS251" s="78"/>
      <c r="SPT251" s="151"/>
      <c r="SPU251" s="278"/>
      <c r="SPV251" s="266"/>
      <c r="SPW251" s="279"/>
      <c r="SPX251" s="211"/>
      <c r="SPY251" s="211"/>
      <c r="SPZ251" s="286"/>
      <c r="SQA251" s="286"/>
      <c r="SQB251" s="280"/>
      <c r="SQC251" s="281"/>
      <c r="SQD251" s="282"/>
      <c r="SQE251" s="242"/>
      <c r="SQF251" s="222"/>
      <c r="SQH251" s="118"/>
      <c r="SQI251" s="8"/>
      <c r="SQJ251" s="281"/>
      <c r="SQK251" s="78"/>
      <c r="SQL251" s="151"/>
      <c r="SQM251" s="278"/>
      <c r="SQN251" s="266"/>
      <c r="SQO251" s="279"/>
      <c r="SQP251" s="211"/>
      <c r="SQQ251" s="211"/>
      <c r="SQR251" s="286"/>
      <c r="SQS251" s="286"/>
      <c r="SQT251" s="280"/>
      <c r="SQU251" s="281"/>
      <c r="SQV251" s="282"/>
      <c r="SQW251" s="242"/>
      <c r="SQX251" s="222"/>
      <c r="SQZ251" s="118"/>
      <c r="SRA251" s="8"/>
      <c r="SRB251" s="281"/>
      <c r="SRC251" s="78"/>
      <c r="SRD251" s="151"/>
      <c r="SRE251" s="278"/>
      <c r="SRF251" s="266"/>
      <c r="SRG251" s="279"/>
      <c r="SRH251" s="211"/>
      <c r="SRI251" s="211"/>
      <c r="SRJ251" s="286"/>
      <c r="SRK251" s="286"/>
      <c r="SRL251" s="280"/>
      <c r="SRM251" s="281"/>
      <c r="SRN251" s="282"/>
      <c r="SRO251" s="242"/>
      <c r="SRP251" s="222"/>
      <c r="SRR251" s="118"/>
      <c r="SRS251" s="8"/>
      <c r="SRT251" s="281"/>
      <c r="SRU251" s="78"/>
      <c r="SRV251" s="151"/>
      <c r="SRW251" s="278"/>
      <c r="SRX251" s="266"/>
      <c r="SRY251" s="279"/>
      <c r="SRZ251" s="211"/>
      <c r="SSA251" s="211"/>
      <c r="SSB251" s="286"/>
      <c r="SSC251" s="286"/>
      <c r="SSD251" s="280"/>
      <c r="SSE251" s="281"/>
      <c r="SSF251" s="282"/>
      <c r="SSG251" s="242"/>
      <c r="SSH251" s="222"/>
      <c r="SSJ251" s="118"/>
      <c r="SSK251" s="8"/>
      <c r="SSL251" s="281"/>
      <c r="SSM251" s="78"/>
      <c r="SSN251" s="151"/>
      <c r="SSO251" s="278"/>
      <c r="SSP251" s="266"/>
      <c r="SSQ251" s="279"/>
      <c r="SSR251" s="211"/>
      <c r="SSS251" s="211"/>
      <c r="SST251" s="286"/>
      <c r="SSU251" s="286"/>
      <c r="SSV251" s="280"/>
      <c r="SSW251" s="281"/>
      <c r="SSX251" s="282"/>
      <c r="SSY251" s="242"/>
      <c r="SSZ251" s="222"/>
      <c r="STB251" s="118"/>
      <c r="STC251" s="8"/>
      <c r="STD251" s="281"/>
      <c r="STE251" s="78"/>
      <c r="STF251" s="151"/>
      <c r="STG251" s="278"/>
      <c r="STH251" s="266"/>
      <c r="STI251" s="279"/>
      <c r="STJ251" s="211"/>
      <c r="STK251" s="211"/>
      <c r="STL251" s="286"/>
      <c r="STM251" s="286"/>
      <c r="STN251" s="280"/>
      <c r="STO251" s="281"/>
      <c r="STP251" s="282"/>
      <c r="STQ251" s="242"/>
      <c r="STR251" s="222"/>
      <c r="STT251" s="118"/>
      <c r="STU251" s="8"/>
      <c r="STV251" s="281"/>
      <c r="STW251" s="78"/>
      <c r="STX251" s="151"/>
      <c r="STY251" s="278"/>
      <c r="STZ251" s="266"/>
      <c r="SUA251" s="279"/>
      <c r="SUB251" s="211"/>
      <c r="SUC251" s="211"/>
      <c r="SUD251" s="286"/>
      <c r="SUE251" s="286"/>
      <c r="SUF251" s="280"/>
      <c r="SUG251" s="281"/>
      <c r="SUH251" s="282"/>
      <c r="SUI251" s="242"/>
      <c r="SUJ251" s="222"/>
      <c r="SUL251" s="118"/>
      <c r="SUM251" s="8"/>
      <c r="SUN251" s="281"/>
      <c r="SUO251" s="78"/>
      <c r="SUP251" s="151"/>
      <c r="SUQ251" s="278"/>
      <c r="SUR251" s="266"/>
      <c r="SUS251" s="279"/>
      <c r="SUT251" s="211"/>
      <c r="SUU251" s="211"/>
      <c r="SUV251" s="286"/>
      <c r="SUW251" s="286"/>
      <c r="SUX251" s="280"/>
      <c r="SUY251" s="281"/>
      <c r="SUZ251" s="282"/>
      <c r="SVA251" s="242"/>
      <c r="SVB251" s="222"/>
      <c r="SVD251" s="118"/>
      <c r="SVE251" s="8"/>
      <c r="SVF251" s="281"/>
      <c r="SVG251" s="78"/>
      <c r="SVH251" s="151"/>
      <c r="SVI251" s="278"/>
      <c r="SVJ251" s="266"/>
      <c r="SVK251" s="279"/>
      <c r="SVL251" s="211"/>
      <c r="SVM251" s="211"/>
      <c r="SVN251" s="286"/>
      <c r="SVO251" s="286"/>
      <c r="SVP251" s="280"/>
      <c r="SVQ251" s="281"/>
      <c r="SVR251" s="282"/>
      <c r="SVS251" s="242"/>
      <c r="SVT251" s="222"/>
      <c r="SVV251" s="118"/>
      <c r="SVW251" s="8"/>
      <c r="SVX251" s="281"/>
      <c r="SVY251" s="78"/>
      <c r="SVZ251" s="151"/>
      <c r="SWA251" s="278"/>
      <c r="SWB251" s="266"/>
      <c r="SWC251" s="279"/>
      <c r="SWD251" s="211"/>
      <c r="SWE251" s="211"/>
      <c r="SWF251" s="286"/>
      <c r="SWG251" s="286"/>
      <c r="SWH251" s="280"/>
      <c r="SWI251" s="281"/>
      <c r="SWJ251" s="282"/>
      <c r="SWK251" s="242"/>
      <c r="SWL251" s="222"/>
      <c r="SWN251" s="118"/>
      <c r="SWO251" s="8"/>
      <c r="SWP251" s="281"/>
      <c r="SWQ251" s="78"/>
      <c r="SWR251" s="151"/>
      <c r="SWS251" s="278"/>
      <c r="SWT251" s="266"/>
      <c r="SWU251" s="279"/>
      <c r="SWV251" s="211"/>
      <c r="SWW251" s="211"/>
      <c r="SWX251" s="286"/>
      <c r="SWY251" s="286"/>
      <c r="SWZ251" s="280"/>
      <c r="SXA251" s="281"/>
      <c r="SXB251" s="282"/>
      <c r="SXC251" s="242"/>
      <c r="SXD251" s="222"/>
      <c r="SXF251" s="118"/>
      <c r="SXG251" s="8"/>
      <c r="SXH251" s="281"/>
      <c r="SXI251" s="78"/>
      <c r="SXJ251" s="151"/>
      <c r="SXK251" s="278"/>
      <c r="SXL251" s="266"/>
      <c r="SXM251" s="279"/>
      <c r="SXN251" s="211"/>
      <c r="SXO251" s="211"/>
      <c r="SXP251" s="286"/>
      <c r="SXQ251" s="286"/>
      <c r="SXR251" s="280"/>
      <c r="SXS251" s="281"/>
      <c r="SXT251" s="282"/>
      <c r="SXU251" s="242"/>
      <c r="SXV251" s="222"/>
      <c r="SXX251" s="118"/>
      <c r="SXY251" s="8"/>
      <c r="SXZ251" s="281"/>
      <c r="SYA251" s="78"/>
      <c r="SYB251" s="151"/>
      <c r="SYC251" s="278"/>
      <c r="SYD251" s="266"/>
      <c r="SYE251" s="279"/>
      <c r="SYF251" s="211"/>
      <c r="SYG251" s="211"/>
      <c r="SYH251" s="286"/>
      <c r="SYI251" s="286"/>
      <c r="SYJ251" s="280"/>
      <c r="SYK251" s="281"/>
      <c r="SYL251" s="282"/>
      <c r="SYM251" s="242"/>
      <c r="SYN251" s="222"/>
      <c r="SYP251" s="118"/>
      <c r="SYQ251" s="8"/>
      <c r="SYR251" s="281"/>
      <c r="SYS251" s="78"/>
      <c r="SYT251" s="151"/>
      <c r="SYU251" s="278"/>
      <c r="SYV251" s="266"/>
      <c r="SYW251" s="279"/>
      <c r="SYX251" s="211"/>
      <c r="SYY251" s="211"/>
      <c r="SYZ251" s="286"/>
      <c r="SZA251" s="286"/>
      <c r="SZB251" s="280"/>
      <c r="SZC251" s="281"/>
      <c r="SZD251" s="282"/>
      <c r="SZE251" s="242"/>
      <c r="SZF251" s="222"/>
      <c r="SZH251" s="118"/>
      <c r="SZI251" s="8"/>
      <c r="SZJ251" s="281"/>
      <c r="SZK251" s="78"/>
      <c r="SZL251" s="151"/>
      <c r="SZM251" s="278"/>
      <c r="SZN251" s="266"/>
      <c r="SZO251" s="279"/>
      <c r="SZP251" s="211"/>
      <c r="SZQ251" s="211"/>
      <c r="SZR251" s="286"/>
      <c r="SZS251" s="286"/>
      <c r="SZT251" s="280"/>
      <c r="SZU251" s="281"/>
      <c r="SZV251" s="282"/>
      <c r="SZW251" s="242"/>
      <c r="SZX251" s="222"/>
      <c r="SZZ251" s="118"/>
      <c r="TAA251" s="8"/>
      <c r="TAB251" s="281"/>
      <c r="TAC251" s="78"/>
      <c r="TAD251" s="151"/>
      <c r="TAE251" s="278"/>
      <c r="TAF251" s="266"/>
      <c r="TAG251" s="279"/>
      <c r="TAH251" s="211"/>
      <c r="TAI251" s="211"/>
      <c r="TAJ251" s="286"/>
      <c r="TAK251" s="286"/>
      <c r="TAL251" s="280"/>
      <c r="TAM251" s="281"/>
      <c r="TAN251" s="282"/>
      <c r="TAO251" s="242"/>
      <c r="TAP251" s="222"/>
      <c r="TAR251" s="118"/>
      <c r="TAS251" s="8"/>
      <c r="TAT251" s="281"/>
      <c r="TAU251" s="78"/>
      <c r="TAV251" s="151"/>
      <c r="TAW251" s="278"/>
      <c r="TAX251" s="266"/>
      <c r="TAY251" s="279"/>
      <c r="TAZ251" s="211"/>
      <c r="TBA251" s="211"/>
      <c r="TBB251" s="286"/>
      <c r="TBC251" s="286"/>
      <c r="TBD251" s="280"/>
      <c r="TBE251" s="281"/>
      <c r="TBF251" s="282"/>
      <c r="TBG251" s="242"/>
      <c r="TBH251" s="222"/>
      <c r="TBJ251" s="118"/>
      <c r="TBK251" s="8"/>
      <c r="TBL251" s="281"/>
      <c r="TBM251" s="78"/>
      <c r="TBN251" s="151"/>
      <c r="TBO251" s="278"/>
      <c r="TBP251" s="266"/>
      <c r="TBQ251" s="279"/>
      <c r="TBR251" s="211"/>
      <c r="TBS251" s="211"/>
      <c r="TBT251" s="286"/>
      <c r="TBU251" s="286"/>
      <c r="TBV251" s="280"/>
      <c r="TBW251" s="281"/>
      <c r="TBX251" s="282"/>
      <c r="TBY251" s="242"/>
      <c r="TBZ251" s="222"/>
      <c r="TCB251" s="118"/>
      <c r="TCC251" s="8"/>
      <c r="TCD251" s="281"/>
      <c r="TCE251" s="78"/>
      <c r="TCF251" s="151"/>
      <c r="TCG251" s="278"/>
      <c r="TCH251" s="266"/>
      <c r="TCI251" s="279"/>
      <c r="TCJ251" s="211"/>
      <c r="TCK251" s="211"/>
      <c r="TCL251" s="286"/>
      <c r="TCM251" s="286"/>
      <c r="TCN251" s="280"/>
      <c r="TCO251" s="281"/>
      <c r="TCP251" s="282"/>
      <c r="TCQ251" s="242"/>
      <c r="TCR251" s="222"/>
      <c r="TCT251" s="118"/>
      <c r="TCU251" s="8"/>
      <c r="TCV251" s="281"/>
      <c r="TCW251" s="78"/>
      <c r="TCX251" s="151"/>
      <c r="TCY251" s="278"/>
      <c r="TCZ251" s="266"/>
      <c r="TDA251" s="279"/>
      <c r="TDB251" s="211"/>
      <c r="TDC251" s="211"/>
      <c r="TDD251" s="286"/>
      <c r="TDE251" s="286"/>
      <c r="TDF251" s="280"/>
      <c r="TDG251" s="281"/>
      <c r="TDH251" s="282"/>
      <c r="TDI251" s="242"/>
      <c r="TDJ251" s="222"/>
      <c r="TDL251" s="118"/>
      <c r="TDM251" s="8"/>
      <c r="TDN251" s="281"/>
      <c r="TDO251" s="78"/>
      <c r="TDP251" s="151"/>
      <c r="TDQ251" s="278"/>
      <c r="TDR251" s="266"/>
      <c r="TDS251" s="279"/>
      <c r="TDT251" s="211"/>
      <c r="TDU251" s="211"/>
      <c r="TDV251" s="286"/>
      <c r="TDW251" s="286"/>
      <c r="TDX251" s="280"/>
      <c r="TDY251" s="281"/>
      <c r="TDZ251" s="282"/>
      <c r="TEA251" s="242"/>
      <c r="TEB251" s="222"/>
      <c r="TED251" s="118"/>
      <c r="TEE251" s="8"/>
      <c r="TEF251" s="281"/>
      <c r="TEG251" s="78"/>
      <c r="TEH251" s="151"/>
      <c r="TEI251" s="278"/>
      <c r="TEJ251" s="266"/>
      <c r="TEK251" s="279"/>
      <c r="TEL251" s="211"/>
      <c r="TEM251" s="211"/>
      <c r="TEN251" s="286"/>
      <c r="TEO251" s="286"/>
      <c r="TEP251" s="280"/>
      <c r="TEQ251" s="281"/>
      <c r="TER251" s="282"/>
      <c r="TES251" s="242"/>
      <c r="TET251" s="222"/>
      <c r="TEV251" s="118"/>
      <c r="TEW251" s="8"/>
      <c r="TEX251" s="281"/>
      <c r="TEY251" s="78"/>
      <c r="TEZ251" s="151"/>
      <c r="TFA251" s="278"/>
      <c r="TFB251" s="266"/>
      <c r="TFC251" s="279"/>
      <c r="TFD251" s="211"/>
      <c r="TFE251" s="211"/>
      <c r="TFF251" s="286"/>
      <c r="TFG251" s="286"/>
      <c r="TFH251" s="280"/>
      <c r="TFI251" s="281"/>
      <c r="TFJ251" s="282"/>
      <c r="TFK251" s="242"/>
      <c r="TFL251" s="222"/>
      <c r="TFN251" s="118"/>
      <c r="TFO251" s="8"/>
      <c r="TFP251" s="281"/>
      <c r="TFQ251" s="78"/>
      <c r="TFR251" s="151"/>
      <c r="TFS251" s="278"/>
      <c r="TFT251" s="266"/>
      <c r="TFU251" s="279"/>
      <c r="TFV251" s="211"/>
      <c r="TFW251" s="211"/>
      <c r="TFX251" s="286"/>
      <c r="TFY251" s="286"/>
      <c r="TFZ251" s="280"/>
      <c r="TGA251" s="281"/>
      <c r="TGB251" s="282"/>
      <c r="TGC251" s="242"/>
      <c r="TGD251" s="222"/>
      <c r="TGF251" s="118"/>
      <c r="TGG251" s="8"/>
      <c r="TGH251" s="281"/>
      <c r="TGI251" s="78"/>
      <c r="TGJ251" s="151"/>
      <c r="TGK251" s="278"/>
      <c r="TGL251" s="266"/>
      <c r="TGM251" s="279"/>
      <c r="TGN251" s="211"/>
      <c r="TGO251" s="211"/>
      <c r="TGP251" s="286"/>
      <c r="TGQ251" s="286"/>
      <c r="TGR251" s="280"/>
      <c r="TGS251" s="281"/>
      <c r="TGT251" s="282"/>
      <c r="TGU251" s="242"/>
      <c r="TGV251" s="222"/>
      <c r="TGX251" s="118"/>
      <c r="TGY251" s="8"/>
      <c r="TGZ251" s="281"/>
      <c r="THA251" s="78"/>
      <c r="THB251" s="151"/>
      <c r="THC251" s="278"/>
      <c r="THD251" s="266"/>
      <c r="THE251" s="279"/>
      <c r="THF251" s="211"/>
      <c r="THG251" s="211"/>
      <c r="THH251" s="286"/>
      <c r="THI251" s="286"/>
      <c r="THJ251" s="280"/>
      <c r="THK251" s="281"/>
      <c r="THL251" s="282"/>
      <c r="THM251" s="242"/>
      <c r="THN251" s="222"/>
      <c r="THP251" s="118"/>
      <c r="THQ251" s="8"/>
      <c r="THR251" s="281"/>
      <c r="THS251" s="78"/>
      <c r="THT251" s="151"/>
      <c r="THU251" s="278"/>
      <c r="THV251" s="266"/>
      <c r="THW251" s="279"/>
      <c r="THX251" s="211"/>
      <c r="THY251" s="211"/>
      <c r="THZ251" s="286"/>
      <c r="TIA251" s="286"/>
      <c r="TIB251" s="280"/>
      <c r="TIC251" s="281"/>
      <c r="TID251" s="282"/>
      <c r="TIE251" s="242"/>
      <c r="TIF251" s="222"/>
      <c r="TIH251" s="118"/>
      <c r="TII251" s="8"/>
      <c r="TIJ251" s="281"/>
      <c r="TIK251" s="78"/>
      <c r="TIL251" s="151"/>
      <c r="TIM251" s="278"/>
      <c r="TIN251" s="266"/>
      <c r="TIO251" s="279"/>
      <c r="TIP251" s="211"/>
      <c r="TIQ251" s="211"/>
      <c r="TIR251" s="286"/>
      <c r="TIS251" s="286"/>
      <c r="TIT251" s="280"/>
      <c r="TIU251" s="281"/>
      <c r="TIV251" s="282"/>
      <c r="TIW251" s="242"/>
      <c r="TIX251" s="222"/>
      <c r="TIZ251" s="118"/>
      <c r="TJA251" s="8"/>
      <c r="TJB251" s="281"/>
      <c r="TJC251" s="78"/>
      <c r="TJD251" s="151"/>
      <c r="TJE251" s="278"/>
      <c r="TJF251" s="266"/>
      <c r="TJG251" s="279"/>
      <c r="TJH251" s="211"/>
      <c r="TJI251" s="211"/>
      <c r="TJJ251" s="286"/>
      <c r="TJK251" s="286"/>
      <c r="TJL251" s="280"/>
      <c r="TJM251" s="281"/>
      <c r="TJN251" s="282"/>
      <c r="TJO251" s="242"/>
      <c r="TJP251" s="222"/>
      <c r="TJR251" s="118"/>
      <c r="TJS251" s="8"/>
      <c r="TJT251" s="281"/>
      <c r="TJU251" s="78"/>
      <c r="TJV251" s="151"/>
      <c r="TJW251" s="278"/>
      <c r="TJX251" s="266"/>
      <c r="TJY251" s="279"/>
      <c r="TJZ251" s="211"/>
      <c r="TKA251" s="211"/>
      <c r="TKB251" s="286"/>
      <c r="TKC251" s="286"/>
      <c r="TKD251" s="280"/>
      <c r="TKE251" s="281"/>
      <c r="TKF251" s="282"/>
      <c r="TKG251" s="242"/>
      <c r="TKH251" s="222"/>
      <c r="TKJ251" s="118"/>
      <c r="TKK251" s="8"/>
      <c r="TKL251" s="281"/>
      <c r="TKM251" s="78"/>
      <c r="TKN251" s="151"/>
      <c r="TKO251" s="278"/>
      <c r="TKP251" s="266"/>
      <c r="TKQ251" s="279"/>
      <c r="TKR251" s="211"/>
      <c r="TKS251" s="211"/>
      <c r="TKT251" s="286"/>
      <c r="TKU251" s="286"/>
      <c r="TKV251" s="280"/>
      <c r="TKW251" s="281"/>
      <c r="TKX251" s="282"/>
      <c r="TKY251" s="242"/>
      <c r="TKZ251" s="222"/>
      <c r="TLB251" s="118"/>
      <c r="TLC251" s="8"/>
      <c r="TLD251" s="281"/>
      <c r="TLE251" s="78"/>
      <c r="TLF251" s="151"/>
      <c r="TLG251" s="278"/>
      <c r="TLH251" s="266"/>
      <c r="TLI251" s="279"/>
      <c r="TLJ251" s="211"/>
      <c r="TLK251" s="211"/>
      <c r="TLL251" s="286"/>
      <c r="TLM251" s="286"/>
      <c r="TLN251" s="280"/>
      <c r="TLO251" s="281"/>
      <c r="TLP251" s="282"/>
      <c r="TLQ251" s="242"/>
      <c r="TLR251" s="222"/>
      <c r="TLT251" s="118"/>
      <c r="TLU251" s="8"/>
      <c r="TLV251" s="281"/>
      <c r="TLW251" s="78"/>
      <c r="TLX251" s="151"/>
      <c r="TLY251" s="278"/>
      <c r="TLZ251" s="266"/>
      <c r="TMA251" s="279"/>
      <c r="TMB251" s="211"/>
      <c r="TMC251" s="211"/>
      <c r="TMD251" s="286"/>
      <c r="TME251" s="286"/>
      <c r="TMF251" s="280"/>
      <c r="TMG251" s="281"/>
      <c r="TMH251" s="282"/>
      <c r="TMI251" s="242"/>
      <c r="TMJ251" s="222"/>
      <c r="TML251" s="118"/>
      <c r="TMM251" s="8"/>
      <c r="TMN251" s="281"/>
      <c r="TMO251" s="78"/>
      <c r="TMP251" s="151"/>
      <c r="TMQ251" s="278"/>
      <c r="TMR251" s="266"/>
      <c r="TMS251" s="279"/>
      <c r="TMT251" s="211"/>
      <c r="TMU251" s="211"/>
      <c r="TMV251" s="286"/>
      <c r="TMW251" s="286"/>
      <c r="TMX251" s="280"/>
      <c r="TMY251" s="281"/>
      <c r="TMZ251" s="282"/>
      <c r="TNA251" s="242"/>
      <c r="TNB251" s="222"/>
      <c r="TND251" s="118"/>
      <c r="TNE251" s="8"/>
      <c r="TNF251" s="281"/>
      <c r="TNG251" s="78"/>
      <c r="TNH251" s="151"/>
      <c r="TNI251" s="278"/>
      <c r="TNJ251" s="266"/>
      <c r="TNK251" s="279"/>
      <c r="TNL251" s="211"/>
      <c r="TNM251" s="211"/>
      <c r="TNN251" s="286"/>
      <c r="TNO251" s="286"/>
      <c r="TNP251" s="280"/>
      <c r="TNQ251" s="281"/>
      <c r="TNR251" s="282"/>
      <c r="TNS251" s="242"/>
      <c r="TNT251" s="222"/>
      <c r="TNV251" s="118"/>
      <c r="TNW251" s="8"/>
      <c r="TNX251" s="281"/>
      <c r="TNY251" s="78"/>
      <c r="TNZ251" s="151"/>
      <c r="TOA251" s="278"/>
      <c r="TOB251" s="266"/>
      <c r="TOC251" s="279"/>
      <c r="TOD251" s="211"/>
      <c r="TOE251" s="211"/>
      <c r="TOF251" s="286"/>
      <c r="TOG251" s="286"/>
      <c r="TOH251" s="280"/>
      <c r="TOI251" s="281"/>
      <c r="TOJ251" s="282"/>
      <c r="TOK251" s="242"/>
      <c r="TOL251" s="222"/>
      <c r="TON251" s="118"/>
      <c r="TOO251" s="8"/>
      <c r="TOP251" s="281"/>
      <c r="TOQ251" s="78"/>
      <c r="TOR251" s="151"/>
      <c r="TOS251" s="278"/>
      <c r="TOT251" s="266"/>
      <c r="TOU251" s="279"/>
      <c r="TOV251" s="211"/>
      <c r="TOW251" s="211"/>
      <c r="TOX251" s="286"/>
      <c r="TOY251" s="286"/>
      <c r="TOZ251" s="280"/>
      <c r="TPA251" s="281"/>
      <c r="TPB251" s="282"/>
      <c r="TPC251" s="242"/>
      <c r="TPD251" s="222"/>
      <c r="TPF251" s="118"/>
      <c r="TPG251" s="8"/>
      <c r="TPH251" s="281"/>
      <c r="TPI251" s="78"/>
      <c r="TPJ251" s="151"/>
      <c r="TPK251" s="278"/>
      <c r="TPL251" s="266"/>
      <c r="TPM251" s="279"/>
      <c r="TPN251" s="211"/>
      <c r="TPO251" s="211"/>
      <c r="TPP251" s="286"/>
      <c r="TPQ251" s="286"/>
      <c r="TPR251" s="280"/>
      <c r="TPS251" s="281"/>
      <c r="TPT251" s="282"/>
      <c r="TPU251" s="242"/>
      <c r="TPV251" s="222"/>
      <c r="TPX251" s="118"/>
      <c r="TPY251" s="8"/>
      <c r="TPZ251" s="281"/>
      <c r="TQA251" s="78"/>
      <c r="TQB251" s="151"/>
      <c r="TQC251" s="278"/>
      <c r="TQD251" s="266"/>
      <c r="TQE251" s="279"/>
      <c r="TQF251" s="211"/>
      <c r="TQG251" s="211"/>
      <c r="TQH251" s="286"/>
      <c r="TQI251" s="286"/>
      <c r="TQJ251" s="280"/>
      <c r="TQK251" s="281"/>
      <c r="TQL251" s="282"/>
      <c r="TQM251" s="242"/>
      <c r="TQN251" s="222"/>
      <c r="TQP251" s="118"/>
      <c r="TQQ251" s="8"/>
      <c r="TQR251" s="281"/>
      <c r="TQS251" s="78"/>
      <c r="TQT251" s="151"/>
      <c r="TQU251" s="278"/>
      <c r="TQV251" s="266"/>
      <c r="TQW251" s="279"/>
      <c r="TQX251" s="211"/>
      <c r="TQY251" s="211"/>
      <c r="TQZ251" s="286"/>
      <c r="TRA251" s="286"/>
      <c r="TRB251" s="280"/>
      <c r="TRC251" s="281"/>
      <c r="TRD251" s="282"/>
      <c r="TRE251" s="242"/>
      <c r="TRF251" s="222"/>
      <c r="TRH251" s="118"/>
      <c r="TRI251" s="8"/>
      <c r="TRJ251" s="281"/>
      <c r="TRK251" s="78"/>
      <c r="TRL251" s="151"/>
      <c r="TRM251" s="278"/>
      <c r="TRN251" s="266"/>
      <c r="TRO251" s="279"/>
      <c r="TRP251" s="211"/>
      <c r="TRQ251" s="211"/>
      <c r="TRR251" s="286"/>
      <c r="TRS251" s="286"/>
      <c r="TRT251" s="280"/>
      <c r="TRU251" s="281"/>
      <c r="TRV251" s="282"/>
      <c r="TRW251" s="242"/>
      <c r="TRX251" s="222"/>
      <c r="TRZ251" s="118"/>
      <c r="TSA251" s="8"/>
      <c r="TSB251" s="281"/>
      <c r="TSC251" s="78"/>
      <c r="TSD251" s="151"/>
      <c r="TSE251" s="278"/>
      <c r="TSF251" s="266"/>
      <c r="TSG251" s="279"/>
      <c r="TSH251" s="211"/>
      <c r="TSI251" s="211"/>
      <c r="TSJ251" s="286"/>
      <c r="TSK251" s="286"/>
      <c r="TSL251" s="280"/>
      <c r="TSM251" s="281"/>
      <c r="TSN251" s="282"/>
      <c r="TSO251" s="242"/>
      <c r="TSP251" s="222"/>
      <c r="TSR251" s="118"/>
      <c r="TSS251" s="8"/>
      <c r="TST251" s="281"/>
      <c r="TSU251" s="78"/>
      <c r="TSV251" s="151"/>
      <c r="TSW251" s="278"/>
      <c r="TSX251" s="266"/>
      <c r="TSY251" s="279"/>
      <c r="TSZ251" s="211"/>
      <c r="TTA251" s="211"/>
      <c r="TTB251" s="286"/>
      <c r="TTC251" s="286"/>
      <c r="TTD251" s="280"/>
      <c r="TTE251" s="281"/>
      <c r="TTF251" s="282"/>
      <c r="TTG251" s="242"/>
      <c r="TTH251" s="222"/>
      <c r="TTJ251" s="118"/>
      <c r="TTK251" s="8"/>
      <c r="TTL251" s="281"/>
      <c r="TTM251" s="78"/>
      <c r="TTN251" s="151"/>
      <c r="TTO251" s="278"/>
      <c r="TTP251" s="266"/>
      <c r="TTQ251" s="279"/>
      <c r="TTR251" s="211"/>
      <c r="TTS251" s="211"/>
      <c r="TTT251" s="286"/>
      <c r="TTU251" s="286"/>
      <c r="TTV251" s="280"/>
      <c r="TTW251" s="281"/>
      <c r="TTX251" s="282"/>
      <c r="TTY251" s="242"/>
      <c r="TTZ251" s="222"/>
      <c r="TUB251" s="118"/>
      <c r="TUC251" s="8"/>
      <c r="TUD251" s="281"/>
      <c r="TUE251" s="78"/>
      <c r="TUF251" s="151"/>
      <c r="TUG251" s="278"/>
      <c r="TUH251" s="266"/>
      <c r="TUI251" s="279"/>
      <c r="TUJ251" s="211"/>
      <c r="TUK251" s="211"/>
      <c r="TUL251" s="286"/>
      <c r="TUM251" s="286"/>
      <c r="TUN251" s="280"/>
      <c r="TUO251" s="281"/>
      <c r="TUP251" s="282"/>
      <c r="TUQ251" s="242"/>
      <c r="TUR251" s="222"/>
      <c r="TUT251" s="118"/>
      <c r="TUU251" s="8"/>
      <c r="TUV251" s="281"/>
      <c r="TUW251" s="78"/>
      <c r="TUX251" s="151"/>
      <c r="TUY251" s="278"/>
      <c r="TUZ251" s="266"/>
      <c r="TVA251" s="279"/>
      <c r="TVB251" s="211"/>
      <c r="TVC251" s="211"/>
      <c r="TVD251" s="286"/>
      <c r="TVE251" s="286"/>
      <c r="TVF251" s="280"/>
      <c r="TVG251" s="281"/>
      <c r="TVH251" s="282"/>
      <c r="TVI251" s="242"/>
      <c r="TVJ251" s="222"/>
      <c r="TVL251" s="118"/>
      <c r="TVM251" s="8"/>
      <c r="TVN251" s="281"/>
      <c r="TVO251" s="78"/>
      <c r="TVP251" s="151"/>
      <c r="TVQ251" s="278"/>
      <c r="TVR251" s="266"/>
      <c r="TVS251" s="279"/>
      <c r="TVT251" s="211"/>
      <c r="TVU251" s="211"/>
      <c r="TVV251" s="286"/>
      <c r="TVW251" s="286"/>
      <c r="TVX251" s="280"/>
      <c r="TVY251" s="281"/>
      <c r="TVZ251" s="282"/>
      <c r="TWA251" s="242"/>
      <c r="TWB251" s="222"/>
      <c r="TWD251" s="118"/>
      <c r="TWE251" s="8"/>
      <c r="TWF251" s="281"/>
      <c r="TWG251" s="78"/>
      <c r="TWH251" s="151"/>
      <c r="TWI251" s="278"/>
      <c r="TWJ251" s="266"/>
      <c r="TWK251" s="279"/>
      <c r="TWL251" s="211"/>
      <c r="TWM251" s="211"/>
      <c r="TWN251" s="286"/>
      <c r="TWO251" s="286"/>
      <c r="TWP251" s="280"/>
      <c r="TWQ251" s="281"/>
      <c r="TWR251" s="282"/>
      <c r="TWS251" s="242"/>
      <c r="TWT251" s="222"/>
      <c r="TWV251" s="118"/>
      <c r="TWW251" s="8"/>
      <c r="TWX251" s="281"/>
      <c r="TWY251" s="78"/>
      <c r="TWZ251" s="151"/>
      <c r="TXA251" s="278"/>
      <c r="TXB251" s="266"/>
      <c r="TXC251" s="279"/>
      <c r="TXD251" s="211"/>
      <c r="TXE251" s="211"/>
      <c r="TXF251" s="286"/>
      <c r="TXG251" s="286"/>
      <c r="TXH251" s="280"/>
      <c r="TXI251" s="281"/>
      <c r="TXJ251" s="282"/>
      <c r="TXK251" s="242"/>
      <c r="TXL251" s="222"/>
      <c r="TXN251" s="118"/>
      <c r="TXO251" s="8"/>
      <c r="TXP251" s="281"/>
      <c r="TXQ251" s="78"/>
      <c r="TXR251" s="151"/>
      <c r="TXS251" s="278"/>
      <c r="TXT251" s="266"/>
      <c r="TXU251" s="279"/>
      <c r="TXV251" s="211"/>
      <c r="TXW251" s="211"/>
      <c r="TXX251" s="286"/>
      <c r="TXY251" s="286"/>
      <c r="TXZ251" s="280"/>
      <c r="TYA251" s="281"/>
      <c r="TYB251" s="282"/>
      <c r="TYC251" s="242"/>
      <c r="TYD251" s="222"/>
      <c r="TYF251" s="118"/>
      <c r="TYG251" s="8"/>
      <c r="TYH251" s="281"/>
      <c r="TYI251" s="78"/>
      <c r="TYJ251" s="151"/>
      <c r="TYK251" s="278"/>
      <c r="TYL251" s="266"/>
      <c r="TYM251" s="279"/>
      <c r="TYN251" s="211"/>
      <c r="TYO251" s="211"/>
      <c r="TYP251" s="286"/>
      <c r="TYQ251" s="286"/>
      <c r="TYR251" s="280"/>
      <c r="TYS251" s="281"/>
      <c r="TYT251" s="282"/>
      <c r="TYU251" s="242"/>
      <c r="TYV251" s="222"/>
      <c r="TYX251" s="118"/>
      <c r="TYY251" s="8"/>
      <c r="TYZ251" s="281"/>
      <c r="TZA251" s="78"/>
      <c r="TZB251" s="151"/>
      <c r="TZC251" s="278"/>
      <c r="TZD251" s="266"/>
      <c r="TZE251" s="279"/>
      <c r="TZF251" s="211"/>
      <c r="TZG251" s="211"/>
      <c r="TZH251" s="286"/>
      <c r="TZI251" s="286"/>
      <c r="TZJ251" s="280"/>
      <c r="TZK251" s="281"/>
      <c r="TZL251" s="282"/>
      <c r="TZM251" s="242"/>
      <c r="TZN251" s="222"/>
      <c r="TZP251" s="118"/>
      <c r="TZQ251" s="8"/>
      <c r="TZR251" s="281"/>
      <c r="TZS251" s="78"/>
      <c r="TZT251" s="151"/>
      <c r="TZU251" s="278"/>
      <c r="TZV251" s="266"/>
      <c r="TZW251" s="279"/>
      <c r="TZX251" s="211"/>
      <c r="TZY251" s="211"/>
      <c r="TZZ251" s="286"/>
      <c r="UAA251" s="286"/>
      <c r="UAB251" s="280"/>
      <c r="UAC251" s="281"/>
      <c r="UAD251" s="282"/>
      <c r="UAE251" s="242"/>
      <c r="UAF251" s="222"/>
      <c r="UAH251" s="118"/>
      <c r="UAI251" s="8"/>
      <c r="UAJ251" s="281"/>
      <c r="UAK251" s="78"/>
      <c r="UAL251" s="151"/>
      <c r="UAM251" s="278"/>
      <c r="UAN251" s="266"/>
      <c r="UAO251" s="279"/>
      <c r="UAP251" s="211"/>
      <c r="UAQ251" s="211"/>
      <c r="UAR251" s="286"/>
      <c r="UAS251" s="286"/>
      <c r="UAT251" s="280"/>
      <c r="UAU251" s="281"/>
      <c r="UAV251" s="282"/>
      <c r="UAW251" s="242"/>
      <c r="UAX251" s="222"/>
      <c r="UAZ251" s="118"/>
      <c r="UBA251" s="8"/>
      <c r="UBB251" s="281"/>
      <c r="UBC251" s="78"/>
      <c r="UBD251" s="151"/>
      <c r="UBE251" s="278"/>
      <c r="UBF251" s="266"/>
      <c r="UBG251" s="279"/>
      <c r="UBH251" s="211"/>
      <c r="UBI251" s="211"/>
      <c r="UBJ251" s="286"/>
      <c r="UBK251" s="286"/>
      <c r="UBL251" s="280"/>
      <c r="UBM251" s="281"/>
      <c r="UBN251" s="282"/>
      <c r="UBO251" s="242"/>
      <c r="UBP251" s="222"/>
      <c r="UBR251" s="118"/>
      <c r="UBS251" s="8"/>
      <c r="UBT251" s="281"/>
      <c r="UBU251" s="78"/>
      <c r="UBV251" s="151"/>
      <c r="UBW251" s="278"/>
      <c r="UBX251" s="266"/>
      <c r="UBY251" s="279"/>
      <c r="UBZ251" s="211"/>
      <c r="UCA251" s="211"/>
      <c r="UCB251" s="286"/>
      <c r="UCC251" s="286"/>
      <c r="UCD251" s="280"/>
      <c r="UCE251" s="281"/>
      <c r="UCF251" s="282"/>
      <c r="UCG251" s="242"/>
      <c r="UCH251" s="222"/>
      <c r="UCJ251" s="118"/>
      <c r="UCK251" s="8"/>
      <c r="UCL251" s="281"/>
      <c r="UCM251" s="78"/>
      <c r="UCN251" s="151"/>
      <c r="UCO251" s="278"/>
      <c r="UCP251" s="266"/>
      <c r="UCQ251" s="279"/>
      <c r="UCR251" s="211"/>
      <c r="UCS251" s="211"/>
      <c r="UCT251" s="286"/>
      <c r="UCU251" s="286"/>
      <c r="UCV251" s="280"/>
      <c r="UCW251" s="281"/>
      <c r="UCX251" s="282"/>
      <c r="UCY251" s="242"/>
      <c r="UCZ251" s="222"/>
      <c r="UDB251" s="118"/>
      <c r="UDC251" s="8"/>
      <c r="UDD251" s="281"/>
      <c r="UDE251" s="78"/>
      <c r="UDF251" s="151"/>
      <c r="UDG251" s="278"/>
      <c r="UDH251" s="266"/>
      <c r="UDI251" s="279"/>
      <c r="UDJ251" s="211"/>
      <c r="UDK251" s="211"/>
      <c r="UDL251" s="286"/>
      <c r="UDM251" s="286"/>
      <c r="UDN251" s="280"/>
      <c r="UDO251" s="281"/>
      <c r="UDP251" s="282"/>
      <c r="UDQ251" s="242"/>
      <c r="UDR251" s="222"/>
      <c r="UDT251" s="118"/>
      <c r="UDU251" s="8"/>
      <c r="UDV251" s="281"/>
      <c r="UDW251" s="78"/>
      <c r="UDX251" s="151"/>
      <c r="UDY251" s="278"/>
      <c r="UDZ251" s="266"/>
      <c r="UEA251" s="279"/>
      <c r="UEB251" s="211"/>
      <c r="UEC251" s="211"/>
      <c r="UED251" s="286"/>
      <c r="UEE251" s="286"/>
      <c r="UEF251" s="280"/>
      <c r="UEG251" s="281"/>
      <c r="UEH251" s="282"/>
      <c r="UEI251" s="242"/>
      <c r="UEJ251" s="222"/>
      <c r="UEL251" s="118"/>
      <c r="UEM251" s="8"/>
      <c r="UEN251" s="281"/>
      <c r="UEO251" s="78"/>
      <c r="UEP251" s="151"/>
      <c r="UEQ251" s="278"/>
      <c r="UER251" s="266"/>
      <c r="UES251" s="279"/>
      <c r="UET251" s="211"/>
      <c r="UEU251" s="211"/>
      <c r="UEV251" s="286"/>
      <c r="UEW251" s="286"/>
      <c r="UEX251" s="280"/>
      <c r="UEY251" s="281"/>
      <c r="UEZ251" s="282"/>
      <c r="UFA251" s="242"/>
      <c r="UFB251" s="222"/>
      <c r="UFD251" s="118"/>
      <c r="UFE251" s="8"/>
      <c r="UFF251" s="281"/>
      <c r="UFG251" s="78"/>
      <c r="UFH251" s="151"/>
      <c r="UFI251" s="278"/>
      <c r="UFJ251" s="266"/>
      <c r="UFK251" s="279"/>
      <c r="UFL251" s="211"/>
      <c r="UFM251" s="211"/>
      <c r="UFN251" s="286"/>
      <c r="UFO251" s="286"/>
      <c r="UFP251" s="280"/>
      <c r="UFQ251" s="281"/>
      <c r="UFR251" s="282"/>
      <c r="UFS251" s="242"/>
      <c r="UFT251" s="222"/>
      <c r="UFV251" s="118"/>
      <c r="UFW251" s="8"/>
      <c r="UFX251" s="281"/>
      <c r="UFY251" s="78"/>
      <c r="UFZ251" s="151"/>
      <c r="UGA251" s="278"/>
      <c r="UGB251" s="266"/>
      <c r="UGC251" s="279"/>
      <c r="UGD251" s="211"/>
      <c r="UGE251" s="211"/>
      <c r="UGF251" s="286"/>
      <c r="UGG251" s="286"/>
      <c r="UGH251" s="280"/>
      <c r="UGI251" s="281"/>
      <c r="UGJ251" s="282"/>
      <c r="UGK251" s="242"/>
      <c r="UGL251" s="222"/>
      <c r="UGN251" s="118"/>
      <c r="UGO251" s="8"/>
      <c r="UGP251" s="281"/>
      <c r="UGQ251" s="78"/>
      <c r="UGR251" s="151"/>
      <c r="UGS251" s="278"/>
      <c r="UGT251" s="266"/>
      <c r="UGU251" s="279"/>
      <c r="UGV251" s="211"/>
      <c r="UGW251" s="211"/>
      <c r="UGX251" s="286"/>
      <c r="UGY251" s="286"/>
      <c r="UGZ251" s="280"/>
      <c r="UHA251" s="281"/>
      <c r="UHB251" s="282"/>
      <c r="UHC251" s="242"/>
      <c r="UHD251" s="222"/>
      <c r="UHF251" s="118"/>
      <c r="UHG251" s="8"/>
      <c r="UHH251" s="281"/>
      <c r="UHI251" s="78"/>
      <c r="UHJ251" s="151"/>
      <c r="UHK251" s="278"/>
      <c r="UHL251" s="266"/>
      <c r="UHM251" s="279"/>
      <c r="UHN251" s="211"/>
      <c r="UHO251" s="211"/>
      <c r="UHP251" s="286"/>
      <c r="UHQ251" s="286"/>
      <c r="UHR251" s="280"/>
      <c r="UHS251" s="281"/>
      <c r="UHT251" s="282"/>
      <c r="UHU251" s="242"/>
      <c r="UHV251" s="222"/>
      <c r="UHX251" s="118"/>
      <c r="UHY251" s="8"/>
      <c r="UHZ251" s="281"/>
      <c r="UIA251" s="78"/>
      <c r="UIB251" s="151"/>
      <c r="UIC251" s="278"/>
      <c r="UID251" s="266"/>
      <c r="UIE251" s="279"/>
      <c r="UIF251" s="211"/>
      <c r="UIG251" s="211"/>
      <c r="UIH251" s="286"/>
      <c r="UII251" s="286"/>
      <c r="UIJ251" s="280"/>
      <c r="UIK251" s="281"/>
      <c r="UIL251" s="282"/>
      <c r="UIM251" s="242"/>
      <c r="UIN251" s="222"/>
      <c r="UIP251" s="118"/>
      <c r="UIQ251" s="8"/>
      <c r="UIR251" s="281"/>
      <c r="UIS251" s="78"/>
      <c r="UIT251" s="151"/>
      <c r="UIU251" s="278"/>
      <c r="UIV251" s="266"/>
      <c r="UIW251" s="279"/>
      <c r="UIX251" s="211"/>
      <c r="UIY251" s="211"/>
      <c r="UIZ251" s="286"/>
      <c r="UJA251" s="286"/>
      <c r="UJB251" s="280"/>
      <c r="UJC251" s="281"/>
      <c r="UJD251" s="282"/>
      <c r="UJE251" s="242"/>
      <c r="UJF251" s="222"/>
      <c r="UJH251" s="118"/>
      <c r="UJI251" s="8"/>
      <c r="UJJ251" s="281"/>
      <c r="UJK251" s="78"/>
      <c r="UJL251" s="151"/>
      <c r="UJM251" s="278"/>
      <c r="UJN251" s="266"/>
      <c r="UJO251" s="279"/>
      <c r="UJP251" s="211"/>
      <c r="UJQ251" s="211"/>
      <c r="UJR251" s="286"/>
      <c r="UJS251" s="286"/>
      <c r="UJT251" s="280"/>
      <c r="UJU251" s="281"/>
      <c r="UJV251" s="282"/>
      <c r="UJW251" s="242"/>
      <c r="UJX251" s="222"/>
      <c r="UJZ251" s="118"/>
      <c r="UKA251" s="8"/>
      <c r="UKB251" s="281"/>
      <c r="UKC251" s="78"/>
      <c r="UKD251" s="151"/>
      <c r="UKE251" s="278"/>
      <c r="UKF251" s="266"/>
      <c r="UKG251" s="279"/>
      <c r="UKH251" s="211"/>
      <c r="UKI251" s="211"/>
      <c r="UKJ251" s="286"/>
      <c r="UKK251" s="286"/>
      <c r="UKL251" s="280"/>
      <c r="UKM251" s="281"/>
      <c r="UKN251" s="282"/>
      <c r="UKO251" s="242"/>
      <c r="UKP251" s="222"/>
      <c r="UKR251" s="118"/>
      <c r="UKS251" s="8"/>
      <c r="UKT251" s="281"/>
      <c r="UKU251" s="78"/>
      <c r="UKV251" s="151"/>
      <c r="UKW251" s="278"/>
      <c r="UKX251" s="266"/>
      <c r="UKY251" s="279"/>
      <c r="UKZ251" s="211"/>
      <c r="ULA251" s="211"/>
      <c r="ULB251" s="286"/>
      <c r="ULC251" s="286"/>
      <c r="ULD251" s="280"/>
      <c r="ULE251" s="281"/>
      <c r="ULF251" s="282"/>
      <c r="ULG251" s="242"/>
      <c r="ULH251" s="222"/>
      <c r="ULJ251" s="118"/>
      <c r="ULK251" s="8"/>
      <c r="ULL251" s="281"/>
      <c r="ULM251" s="78"/>
      <c r="ULN251" s="151"/>
      <c r="ULO251" s="278"/>
      <c r="ULP251" s="266"/>
      <c r="ULQ251" s="279"/>
      <c r="ULR251" s="211"/>
      <c r="ULS251" s="211"/>
      <c r="ULT251" s="286"/>
      <c r="ULU251" s="286"/>
      <c r="ULV251" s="280"/>
      <c r="ULW251" s="281"/>
      <c r="ULX251" s="282"/>
      <c r="ULY251" s="242"/>
      <c r="ULZ251" s="222"/>
      <c r="UMB251" s="118"/>
      <c r="UMC251" s="8"/>
      <c r="UMD251" s="281"/>
      <c r="UME251" s="78"/>
      <c r="UMF251" s="151"/>
      <c r="UMG251" s="278"/>
      <c r="UMH251" s="266"/>
      <c r="UMI251" s="279"/>
      <c r="UMJ251" s="211"/>
      <c r="UMK251" s="211"/>
      <c r="UML251" s="286"/>
      <c r="UMM251" s="286"/>
      <c r="UMN251" s="280"/>
      <c r="UMO251" s="281"/>
      <c r="UMP251" s="282"/>
      <c r="UMQ251" s="242"/>
      <c r="UMR251" s="222"/>
      <c r="UMT251" s="118"/>
      <c r="UMU251" s="8"/>
      <c r="UMV251" s="281"/>
      <c r="UMW251" s="78"/>
      <c r="UMX251" s="151"/>
      <c r="UMY251" s="278"/>
      <c r="UMZ251" s="266"/>
      <c r="UNA251" s="279"/>
      <c r="UNB251" s="211"/>
      <c r="UNC251" s="211"/>
      <c r="UND251" s="286"/>
      <c r="UNE251" s="286"/>
      <c r="UNF251" s="280"/>
      <c r="UNG251" s="281"/>
      <c r="UNH251" s="282"/>
      <c r="UNI251" s="242"/>
      <c r="UNJ251" s="222"/>
      <c r="UNL251" s="118"/>
      <c r="UNM251" s="8"/>
      <c r="UNN251" s="281"/>
      <c r="UNO251" s="78"/>
      <c r="UNP251" s="151"/>
      <c r="UNQ251" s="278"/>
      <c r="UNR251" s="266"/>
      <c r="UNS251" s="279"/>
      <c r="UNT251" s="211"/>
      <c r="UNU251" s="211"/>
      <c r="UNV251" s="286"/>
      <c r="UNW251" s="286"/>
      <c r="UNX251" s="280"/>
      <c r="UNY251" s="281"/>
      <c r="UNZ251" s="282"/>
      <c r="UOA251" s="242"/>
      <c r="UOB251" s="222"/>
      <c r="UOD251" s="118"/>
      <c r="UOE251" s="8"/>
      <c r="UOF251" s="281"/>
      <c r="UOG251" s="78"/>
      <c r="UOH251" s="151"/>
      <c r="UOI251" s="278"/>
      <c r="UOJ251" s="266"/>
      <c r="UOK251" s="279"/>
      <c r="UOL251" s="211"/>
      <c r="UOM251" s="211"/>
      <c r="UON251" s="286"/>
      <c r="UOO251" s="286"/>
      <c r="UOP251" s="280"/>
      <c r="UOQ251" s="281"/>
      <c r="UOR251" s="282"/>
      <c r="UOS251" s="242"/>
      <c r="UOT251" s="222"/>
      <c r="UOV251" s="118"/>
      <c r="UOW251" s="8"/>
      <c r="UOX251" s="281"/>
      <c r="UOY251" s="78"/>
      <c r="UOZ251" s="151"/>
      <c r="UPA251" s="278"/>
      <c r="UPB251" s="266"/>
      <c r="UPC251" s="279"/>
      <c r="UPD251" s="211"/>
      <c r="UPE251" s="211"/>
      <c r="UPF251" s="286"/>
      <c r="UPG251" s="286"/>
      <c r="UPH251" s="280"/>
      <c r="UPI251" s="281"/>
      <c r="UPJ251" s="282"/>
      <c r="UPK251" s="242"/>
      <c r="UPL251" s="222"/>
      <c r="UPN251" s="118"/>
      <c r="UPO251" s="8"/>
      <c r="UPP251" s="281"/>
      <c r="UPQ251" s="78"/>
      <c r="UPR251" s="151"/>
      <c r="UPS251" s="278"/>
      <c r="UPT251" s="266"/>
      <c r="UPU251" s="279"/>
      <c r="UPV251" s="211"/>
      <c r="UPW251" s="211"/>
      <c r="UPX251" s="286"/>
      <c r="UPY251" s="286"/>
      <c r="UPZ251" s="280"/>
      <c r="UQA251" s="281"/>
      <c r="UQB251" s="282"/>
      <c r="UQC251" s="242"/>
      <c r="UQD251" s="222"/>
      <c r="UQF251" s="118"/>
      <c r="UQG251" s="8"/>
      <c r="UQH251" s="281"/>
      <c r="UQI251" s="78"/>
      <c r="UQJ251" s="151"/>
      <c r="UQK251" s="278"/>
      <c r="UQL251" s="266"/>
      <c r="UQM251" s="279"/>
      <c r="UQN251" s="211"/>
      <c r="UQO251" s="211"/>
      <c r="UQP251" s="286"/>
      <c r="UQQ251" s="286"/>
      <c r="UQR251" s="280"/>
      <c r="UQS251" s="281"/>
      <c r="UQT251" s="282"/>
      <c r="UQU251" s="242"/>
      <c r="UQV251" s="222"/>
      <c r="UQX251" s="118"/>
      <c r="UQY251" s="8"/>
      <c r="UQZ251" s="281"/>
      <c r="URA251" s="78"/>
      <c r="URB251" s="151"/>
      <c r="URC251" s="278"/>
      <c r="URD251" s="266"/>
      <c r="URE251" s="279"/>
      <c r="URF251" s="211"/>
      <c r="URG251" s="211"/>
      <c r="URH251" s="286"/>
      <c r="URI251" s="286"/>
      <c r="URJ251" s="280"/>
      <c r="URK251" s="281"/>
      <c r="URL251" s="282"/>
      <c r="URM251" s="242"/>
      <c r="URN251" s="222"/>
      <c r="URP251" s="118"/>
      <c r="URQ251" s="8"/>
      <c r="URR251" s="281"/>
      <c r="URS251" s="78"/>
      <c r="URT251" s="151"/>
      <c r="URU251" s="278"/>
      <c r="URV251" s="266"/>
      <c r="URW251" s="279"/>
      <c r="URX251" s="211"/>
      <c r="URY251" s="211"/>
      <c r="URZ251" s="286"/>
      <c r="USA251" s="286"/>
      <c r="USB251" s="280"/>
      <c r="USC251" s="281"/>
      <c r="USD251" s="282"/>
      <c r="USE251" s="242"/>
      <c r="USF251" s="222"/>
      <c r="USH251" s="118"/>
      <c r="USI251" s="8"/>
      <c r="USJ251" s="281"/>
      <c r="USK251" s="78"/>
      <c r="USL251" s="151"/>
      <c r="USM251" s="278"/>
      <c r="USN251" s="266"/>
      <c r="USO251" s="279"/>
      <c r="USP251" s="211"/>
      <c r="USQ251" s="211"/>
      <c r="USR251" s="286"/>
      <c r="USS251" s="286"/>
      <c r="UST251" s="280"/>
      <c r="USU251" s="281"/>
      <c r="USV251" s="282"/>
      <c r="USW251" s="242"/>
      <c r="USX251" s="222"/>
      <c r="USZ251" s="118"/>
      <c r="UTA251" s="8"/>
      <c r="UTB251" s="281"/>
      <c r="UTC251" s="78"/>
      <c r="UTD251" s="151"/>
      <c r="UTE251" s="278"/>
      <c r="UTF251" s="266"/>
      <c r="UTG251" s="279"/>
      <c r="UTH251" s="211"/>
      <c r="UTI251" s="211"/>
      <c r="UTJ251" s="286"/>
      <c r="UTK251" s="286"/>
      <c r="UTL251" s="280"/>
      <c r="UTM251" s="281"/>
      <c r="UTN251" s="282"/>
      <c r="UTO251" s="242"/>
      <c r="UTP251" s="222"/>
      <c r="UTR251" s="118"/>
      <c r="UTS251" s="8"/>
      <c r="UTT251" s="281"/>
      <c r="UTU251" s="78"/>
      <c r="UTV251" s="151"/>
      <c r="UTW251" s="278"/>
      <c r="UTX251" s="266"/>
      <c r="UTY251" s="279"/>
      <c r="UTZ251" s="211"/>
      <c r="UUA251" s="211"/>
      <c r="UUB251" s="286"/>
      <c r="UUC251" s="286"/>
      <c r="UUD251" s="280"/>
      <c r="UUE251" s="281"/>
      <c r="UUF251" s="282"/>
      <c r="UUG251" s="242"/>
      <c r="UUH251" s="222"/>
      <c r="UUJ251" s="118"/>
      <c r="UUK251" s="8"/>
      <c r="UUL251" s="281"/>
      <c r="UUM251" s="78"/>
      <c r="UUN251" s="151"/>
      <c r="UUO251" s="278"/>
      <c r="UUP251" s="266"/>
      <c r="UUQ251" s="279"/>
      <c r="UUR251" s="211"/>
      <c r="UUS251" s="211"/>
      <c r="UUT251" s="286"/>
      <c r="UUU251" s="286"/>
      <c r="UUV251" s="280"/>
      <c r="UUW251" s="281"/>
      <c r="UUX251" s="282"/>
      <c r="UUY251" s="242"/>
      <c r="UUZ251" s="222"/>
      <c r="UVB251" s="118"/>
      <c r="UVC251" s="8"/>
      <c r="UVD251" s="281"/>
      <c r="UVE251" s="78"/>
      <c r="UVF251" s="151"/>
      <c r="UVG251" s="278"/>
      <c r="UVH251" s="266"/>
      <c r="UVI251" s="279"/>
      <c r="UVJ251" s="211"/>
      <c r="UVK251" s="211"/>
      <c r="UVL251" s="286"/>
      <c r="UVM251" s="286"/>
      <c r="UVN251" s="280"/>
      <c r="UVO251" s="281"/>
      <c r="UVP251" s="282"/>
      <c r="UVQ251" s="242"/>
      <c r="UVR251" s="222"/>
      <c r="UVT251" s="118"/>
      <c r="UVU251" s="8"/>
      <c r="UVV251" s="281"/>
      <c r="UVW251" s="78"/>
      <c r="UVX251" s="151"/>
      <c r="UVY251" s="278"/>
      <c r="UVZ251" s="266"/>
      <c r="UWA251" s="279"/>
      <c r="UWB251" s="211"/>
      <c r="UWC251" s="211"/>
      <c r="UWD251" s="286"/>
      <c r="UWE251" s="286"/>
      <c r="UWF251" s="280"/>
      <c r="UWG251" s="281"/>
      <c r="UWH251" s="282"/>
      <c r="UWI251" s="242"/>
      <c r="UWJ251" s="222"/>
      <c r="UWL251" s="118"/>
      <c r="UWM251" s="8"/>
      <c r="UWN251" s="281"/>
      <c r="UWO251" s="78"/>
      <c r="UWP251" s="151"/>
      <c r="UWQ251" s="278"/>
      <c r="UWR251" s="266"/>
      <c r="UWS251" s="279"/>
      <c r="UWT251" s="211"/>
      <c r="UWU251" s="211"/>
      <c r="UWV251" s="286"/>
      <c r="UWW251" s="286"/>
      <c r="UWX251" s="280"/>
      <c r="UWY251" s="281"/>
      <c r="UWZ251" s="282"/>
      <c r="UXA251" s="242"/>
      <c r="UXB251" s="222"/>
      <c r="UXD251" s="118"/>
      <c r="UXE251" s="8"/>
      <c r="UXF251" s="281"/>
      <c r="UXG251" s="78"/>
      <c r="UXH251" s="151"/>
      <c r="UXI251" s="278"/>
      <c r="UXJ251" s="266"/>
      <c r="UXK251" s="279"/>
      <c r="UXL251" s="211"/>
      <c r="UXM251" s="211"/>
      <c r="UXN251" s="286"/>
      <c r="UXO251" s="286"/>
      <c r="UXP251" s="280"/>
      <c r="UXQ251" s="281"/>
      <c r="UXR251" s="282"/>
      <c r="UXS251" s="242"/>
      <c r="UXT251" s="222"/>
      <c r="UXV251" s="118"/>
      <c r="UXW251" s="8"/>
      <c r="UXX251" s="281"/>
      <c r="UXY251" s="78"/>
      <c r="UXZ251" s="151"/>
      <c r="UYA251" s="278"/>
      <c r="UYB251" s="266"/>
      <c r="UYC251" s="279"/>
      <c r="UYD251" s="211"/>
      <c r="UYE251" s="211"/>
      <c r="UYF251" s="286"/>
      <c r="UYG251" s="286"/>
      <c r="UYH251" s="280"/>
      <c r="UYI251" s="281"/>
      <c r="UYJ251" s="282"/>
      <c r="UYK251" s="242"/>
      <c r="UYL251" s="222"/>
      <c r="UYN251" s="118"/>
      <c r="UYO251" s="8"/>
      <c r="UYP251" s="281"/>
      <c r="UYQ251" s="78"/>
      <c r="UYR251" s="151"/>
      <c r="UYS251" s="278"/>
      <c r="UYT251" s="266"/>
      <c r="UYU251" s="279"/>
      <c r="UYV251" s="211"/>
      <c r="UYW251" s="211"/>
      <c r="UYX251" s="286"/>
      <c r="UYY251" s="286"/>
      <c r="UYZ251" s="280"/>
      <c r="UZA251" s="281"/>
      <c r="UZB251" s="282"/>
      <c r="UZC251" s="242"/>
      <c r="UZD251" s="222"/>
      <c r="UZF251" s="118"/>
      <c r="UZG251" s="8"/>
      <c r="UZH251" s="281"/>
      <c r="UZI251" s="78"/>
      <c r="UZJ251" s="151"/>
      <c r="UZK251" s="278"/>
      <c r="UZL251" s="266"/>
      <c r="UZM251" s="279"/>
      <c r="UZN251" s="211"/>
      <c r="UZO251" s="211"/>
      <c r="UZP251" s="286"/>
      <c r="UZQ251" s="286"/>
      <c r="UZR251" s="280"/>
      <c r="UZS251" s="281"/>
      <c r="UZT251" s="282"/>
      <c r="UZU251" s="242"/>
      <c r="UZV251" s="222"/>
      <c r="UZX251" s="118"/>
      <c r="UZY251" s="8"/>
      <c r="UZZ251" s="281"/>
      <c r="VAA251" s="78"/>
      <c r="VAB251" s="151"/>
      <c r="VAC251" s="278"/>
      <c r="VAD251" s="266"/>
      <c r="VAE251" s="279"/>
      <c r="VAF251" s="211"/>
      <c r="VAG251" s="211"/>
      <c r="VAH251" s="286"/>
      <c r="VAI251" s="286"/>
      <c r="VAJ251" s="280"/>
      <c r="VAK251" s="281"/>
      <c r="VAL251" s="282"/>
      <c r="VAM251" s="242"/>
      <c r="VAN251" s="222"/>
      <c r="VAP251" s="118"/>
      <c r="VAQ251" s="8"/>
      <c r="VAR251" s="281"/>
      <c r="VAS251" s="78"/>
      <c r="VAT251" s="151"/>
      <c r="VAU251" s="278"/>
      <c r="VAV251" s="266"/>
      <c r="VAW251" s="279"/>
      <c r="VAX251" s="211"/>
      <c r="VAY251" s="211"/>
      <c r="VAZ251" s="286"/>
      <c r="VBA251" s="286"/>
      <c r="VBB251" s="280"/>
      <c r="VBC251" s="281"/>
      <c r="VBD251" s="282"/>
      <c r="VBE251" s="242"/>
      <c r="VBF251" s="222"/>
      <c r="VBH251" s="118"/>
      <c r="VBI251" s="8"/>
      <c r="VBJ251" s="281"/>
      <c r="VBK251" s="78"/>
      <c r="VBL251" s="151"/>
      <c r="VBM251" s="278"/>
      <c r="VBN251" s="266"/>
      <c r="VBO251" s="279"/>
      <c r="VBP251" s="211"/>
      <c r="VBQ251" s="211"/>
      <c r="VBR251" s="286"/>
      <c r="VBS251" s="286"/>
      <c r="VBT251" s="280"/>
      <c r="VBU251" s="281"/>
      <c r="VBV251" s="282"/>
      <c r="VBW251" s="242"/>
      <c r="VBX251" s="222"/>
      <c r="VBZ251" s="118"/>
      <c r="VCA251" s="8"/>
      <c r="VCB251" s="281"/>
      <c r="VCC251" s="78"/>
      <c r="VCD251" s="151"/>
      <c r="VCE251" s="278"/>
      <c r="VCF251" s="266"/>
      <c r="VCG251" s="279"/>
      <c r="VCH251" s="211"/>
      <c r="VCI251" s="211"/>
      <c r="VCJ251" s="286"/>
      <c r="VCK251" s="286"/>
      <c r="VCL251" s="280"/>
      <c r="VCM251" s="281"/>
      <c r="VCN251" s="282"/>
      <c r="VCO251" s="242"/>
      <c r="VCP251" s="222"/>
      <c r="VCR251" s="118"/>
      <c r="VCS251" s="8"/>
      <c r="VCT251" s="281"/>
      <c r="VCU251" s="78"/>
      <c r="VCV251" s="151"/>
      <c r="VCW251" s="278"/>
      <c r="VCX251" s="266"/>
      <c r="VCY251" s="279"/>
      <c r="VCZ251" s="211"/>
      <c r="VDA251" s="211"/>
      <c r="VDB251" s="286"/>
      <c r="VDC251" s="286"/>
      <c r="VDD251" s="280"/>
      <c r="VDE251" s="281"/>
      <c r="VDF251" s="282"/>
      <c r="VDG251" s="242"/>
      <c r="VDH251" s="222"/>
      <c r="VDJ251" s="118"/>
      <c r="VDK251" s="8"/>
      <c r="VDL251" s="281"/>
      <c r="VDM251" s="78"/>
      <c r="VDN251" s="151"/>
      <c r="VDO251" s="278"/>
      <c r="VDP251" s="266"/>
      <c r="VDQ251" s="279"/>
      <c r="VDR251" s="211"/>
      <c r="VDS251" s="211"/>
      <c r="VDT251" s="286"/>
      <c r="VDU251" s="286"/>
      <c r="VDV251" s="280"/>
      <c r="VDW251" s="281"/>
      <c r="VDX251" s="282"/>
      <c r="VDY251" s="242"/>
      <c r="VDZ251" s="222"/>
      <c r="VEB251" s="118"/>
      <c r="VEC251" s="8"/>
      <c r="VED251" s="281"/>
      <c r="VEE251" s="78"/>
      <c r="VEF251" s="151"/>
      <c r="VEG251" s="278"/>
      <c r="VEH251" s="266"/>
      <c r="VEI251" s="279"/>
      <c r="VEJ251" s="211"/>
      <c r="VEK251" s="211"/>
      <c r="VEL251" s="286"/>
      <c r="VEM251" s="286"/>
      <c r="VEN251" s="280"/>
      <c r="VEO251" s="281"/>
      <c r="VEP251" s="282"/>
      <c r="VEQ251" s="242"/>
      <c r="VER251" s="222"/>
      <c r="VET251" s="118"/>
      <c r="VEU251" s="8"/>
      <c r="VEV251" s="281"/>
      <c r="VEW251" s="78"/>
      <c r="VEX251" s="151"/>
      <c r="VEY251" s="278"/>
      <c r="VEZ251" s="266"/>
      <c r="VFA251" s="279"/>
      <c r="VFB251" s="211"/>
      <c r="VFC251" s="211"/>
      <c r="VFD251" s="286"/>
      <c r="VFE251" s="286"/>
      <c r="VFF251" s="280"/>
      <c r="VFG251" s="281"/>
      <c r="VFH251" s="282"/>
      <c r="VFI251" s="242"/>
      <c r="VFJ251" s="222"/>
      <c r="VFL251" s="118"/>
      <c r="VFM251" s="8"/>
      <c r="VFN251" s="281"/>
      <c r="VFO251" s="78"/>
      <c r="VFP251" s="151"/>
      <c r="VFQ251" s="278"/>
      <c r="VFR251" s="266"/>
      <c r="VFS251" s="279"/>
      <c r="VFT251" s="211"/>
      <c r="VFU251" s="211"/>
      <c r="VFV251" s="286"/>
      <c r="VFW251" s="286"/>
      <c r="VFX251" s="280"/>
      <c r="VFY251" s="281"/>
      <c r="VFZ251" s="282"/>
      <c r="VGA251" s="242"/>
      <c r="VGB251" s="222"/>
      <c r="VGD251" s="118"/>
      <c r="VGE251" s="8"/>
      <c r="VGF251" s="281"/>
      <c r="VGG251" s="78"/>
      <c r="VGH251" s="151"/>
      <c r="VGI251" s="278"/>
      <c r="VGJ251" s="266"/>
      <c r="VGK251" s="279"/>
      <c r="VGL251" s="211"/>
      <c r="VGM251" s="211"/>
      <c r="VGN251" s="286"/>
      <c r="VGO251" s="286"/>
      <c r="VGP251" s="280"/>
      <c r="VGQ251" s="281"/>
      <c r="VGR251" s="282"/>
      <c r="VGS251" s="242"/>
      <c r="VGT251" s="222"/>
      <c r="VGV251" s="118"/>
      <c r="VGW251" s="8"/>
      <c r="VGX251" s="281"/>
      <c r="VGY251" s="78"/>
      <c r="VGZ251" s="151"/>
      <c r="VHA251" s="278"/>
      <c r="VHB251" s="266"/>
      <c r="VHC251" s="279"/>
      <c r="VHD251" s="211"/>
      <c r="VHE251" s="211"/>
      <c r="VHF251" s="286"/>
      <c r="VHG251" s="286"/>
      <c r="VHH251" s="280"/>
      <c r="VHI251" s="281"/>
      <c r="VHJ251" s="282"/>
      <c r="VHK251" s="242"/>
      <c r="VHL251" s="222"/>
      <c r="VHN251" s="118"/>
      <c r="VHO251" s="8"/>
      <c r="VHP251" s="281"/>
      <c r="VHQ251" s="78"/>
      <c r="VHR251" s="151"/>
      <c r="VHS251" s="278"/>
      <c r="VHT251" s="266"/>
      <c r="VHU251" s="279"/>
      <c r="VHV251" s="211"/>
      <c r="VHW251" s="211"/>
      <c r="VHX251" s="286"/>
      <c r="VHY251" s="286"/>
      <c r="VHZ251" s="280"/>
      <c r="VIA251" s="281"/>
      <c r="VIB251" s="282"/>
      <c r="VIC251" s="242"/>
      <c r="VID251" s="222"/>
      <c r="VIF251" s="118"/>
      <c r="VIG251" s="8"/>
      <c r="VIH251" s="281"/>
      <c r="VII251" s="78"/>
      <c r="VIJ251" s="151"/>
      <c r="VIK251" s="278"/>
      <c r="VIL251" s="266"/>
      <c r="VIM251" s="279"/>
      <c r="VIN251" s="211"/>
      <c r="VIO251" s="211"/>
      <c r="VIP251" s="286"/>
      <c r="VIQ251" s="286"/>
      <c r="VIR251" s="280"/>
      <c r="VIS251" s="281"/>
      <c r="VIT251" s="282"/>
      <c r="VIU251" s="242"/>
      <c r="VIV251" s="222"/>
      <c r="VIX251" s="118"/>
      <c r="VIY251" s="8"/>
      <c r="VIZ251" s="281"/>
      <c r="VJA251" s="78"/>
      <c r="VJB251" s="151"/>
      <c r="VJC251" s="278"/>
      <c r="VJD251" s="266"/>
      <c r="VJE251" s="279"/>
      <c r="VJF251" s="211"/>
      <c r="VJG251" s="211"/>
      <c r="VJH251" s="286"/>
      <c r="VJI251" s="286"/>
      <c r="VJJ251" s="280"/>
      <c r="VJK251" s="281"/>
      <c r="VJL251" s="282"/>
      <c r="VJM251" s="242"/>
      <c r="VJN251" s="222"/>
      <c r="VJP251" s="118"/>
      <c r="VJQ251" s="8"/>
      <c r="VJR251" s="281"/>
      <c r="VJS251" s="78"/>
      <c r="VJT251" s="151"/>
      <c r="VJU251" s="278"/>
      <c r="VJV251" s="266"/>
      <c r="VJW251" s="279"/>
      <c r="VJX251" s="211"/>
      <c r="VJY251" s="211"/>
      <c r="VJZ251" s="286"/>
      <c r="VKA251" s="286"/>
      <c r="VKB251" s="280"/>
      <c r="VKC251" s="281"/>
      <c r="VKD251" s="282"/>
      <c r="VKE251" s="242"/>
      <c r="VKF251" s="222"/>
      <c r="VKH251" s="118"/>
      <c r="VKI251" s="8"/>
      <c r="VKJ251" s="281"/>
      <c r="VKK251" s="78"/>
      <c r="VKL251" s="151"/>
      <c r="VKM251" s="278"/>
      <c r="VKN251" s="266"/>
      <c r="VKO251" s="279"/>
      <c r="VKP251" s="211"/>
      <c r="VKQ251" s="211"/>
      <c r="VKR251" s="286"/>
      <c r="VKS251" s="286"/>
      <c r="VKT251" s="280"/>
      <c r="VKU251" s="281"/>
      <c r="VKV251" s="282"/>
      <c r="VKW251" s="242"/>
      <c r="VKX251" s="222"/>
      <c r="VKZ251" s="118"/>
      <c r="VLA251" s="8"/>
      <c r="VLB251" s="281"/>
      <c r="VLC251" s="78"/>
      <c r="VLD251" s="151"/>
      <c r="VLE251" s="278"/>
      <c r="VLF251" s="266"/>
      <c r="VLG251" s="279"/>
      <c r="VLH251" s="211"/>
      <c r="VLI251" s="211"/>
      <c r="VLJ251" s="286"/>
      <c r="VLK251" s="286"/>
      <c r="VLL251" s="280"/>
      <c r="VLM251" s="281"/>
      <c r="VLN251" s="282"/>
      <c r="VLO251" s="242"/>
      <c r="VLP251" s="222"/>
      <c r="VLR251" s="118"/>
      <c r="VLS251" s="8"/>
      <c r="VLT251" s="281"/>
      <c r="VLU251" s="78"/>
      <c r="VLV251" s="151"/>
      <c r="VLW251" s="278"/>
      <c r="VLX251" s="266"/>
      <c r="VLY251" s="279"/>
      <c r="VLZ251" s="211"/>
      <c r="VMA251" s="211"/>
      <c r="VMB251" s="286"/>
      <c r="VMC251" s="286"/>
      <c r="VMD251" s="280"/>
      <c r="VME251" s="281"/>
      <c r="VMF251" s="282"/>
      <c r="VMG251" s="242"/>
      <c r="VMH251" s="222"/>
      <c r="VMJ251" s="118"/>
      <c r="VMK251" s="8"/>
      <c r="VML251" s="281"/>
      <c r="VMM251" s="78"/>
      <c r="VMN251" s="151"/>
      <c r="VMO251" s="278"/>
      <c r="VMP251" s="266"/>
      <c r="VMQ251" s="279"/>
      <c r="VMR251" s="211"/>
      <c r="VMS251" s="211"/>
      <c r="VMT251" s="286"/>
      <c r="VMU251" s="286"/>
      <c r="VMV251" s="280"/>
      <c r="VMW251" s="281"/>
      <c r="VMX251" s="282"/>
      <c r="VMY251" s="242"/>
      <c r="VMZ251" s="222"/>
      <c r="VNB251" s="118"/>
      <c r="VNC251" s="8"/>
      <c r="VND251" s="281"/>
      <c r="VNE251" s="78"/>
      <c r="VNF251" s="151"/>
      <c r="VNG251" s="278"/>
      <c r="VNH251" s="266"/>
      <c r="VNI251" s="279"/>
      <c r="VNJ251" s="211"/>
      <c r="VNK251" s="211"/>
      <c r="VNL251" s="286"/>
      <c r="VNM251" s="286"/>
      <c r="VNN251" s="280"/>
      <c r="VNO251" s="281"/>
      <c r="VNP251" s="282"/>
      <c r="VNQ251" s="242"/>
      <c r="VNR251" s="222"/>
      <c r="VNT251" s="118"/>
      <c r="VNU251" s="8"/>
      <c r="VNV251" s="281"/>
      <c r="VNW251" s="78"/>
      <c r="VNX251" s="151"/>
      <c r="VNY251" s="278"/>
      <c r="VNZ251" s="266"/>
      <c r="VOA251" s="279"/>
      <c r="VOB251" s="211"/>
      <c r="VOC251" s="211"/>
      <c r="VOD251" s="286"/>
      <c r="VOE251" s="286"/>
      <c r="VOF251" s="280"/>
      <c r="VOG251" s="281"/>
      <c r="VOH251" s="282"/>
      <c r="VOI251" s="242"/>
      <c r="VOJ251" s="222"/>
      <c r="VOL251" s="118"/>
      <c r="VOM251" s="8"/>
      <c r="VON251" s="281"/>
      <c r="VOO251" s="78"/>
      <c r="VOP251" s="151"/>
      <c r="VOQ251" s="278"/>
      <c r="VOR251" s="266"/>
      <c r="VOS251" s="279"/>
      <c r="VOT251" s="211"/>
      <c r="VOU251" s="211"/>
      <c r="VOV251" s="286"/>
      <c r="VOW251" s="286"/>
      <c r="VOX251" s="280"/>
      <c r="VOY251" s="281"/>
      <c r="VOZ251" s="282"/>
      <c r="VPA251" s="242"/>
      <c r="VPB251" s="222"/>
      <c r="VPD251" s="118"/>
      <c r="VPE251" s="8"/>
      <c r="VPF251" s="281"/>
      <c r="VPG251" s="78"/>
      <c r="VPH251" s="151"/>
      <c r="VPI251" s="278"/>
      <c r="VPJ251" s="266"/>
      <c r="VPK251" s="279"/>
      <c r="VPL251" s="211"/>
      <c r="VPM251" s="211"/>
      <c r="VPN251" s="286"/>
      <c r="VPO251" s="286"/>
      <c r="VPP251" s="280"/>
      <c r="VPQ251" s="281"/>
      <c r="VPR251" s="282"/>
      <c r="VPS251" s="242"/>
      <c r="VPT251" s="222"/>
      <c r="VPV251" s="118"/>
      <c r="VPW251" s="8"/>
      <c r="VPX251" s="281"/>
      <c r="VPY251" s="78"/>
      <c r="VPZ251" s="151"/>
      <c r="VQA251" s="278"/>
      <c r="VQB251" s="266"/>
      <c r="VQC251" s="279"/>
      <c r="VQD251" s="211"/>
      <c r="VQE251" s="211"/>
      <c r="VQF251" s="286"/>
      <c r="VQG251" s="286"/>
      <c r="VQH251" s="280"/>
      <c r="VQI251" s="281"/>
      <c r="VQJ251" s="282"/>
      <c r="VQK251" s="242"/>
      <c r="VQL251" s="222"/>
      <c r="VQN251" s="118"/>
      <c r="VQO251" s="8"/>
      <c r="VQP251" s="281"/>
      <c r="VQQ251" s="78"/>
      <c r="VQR251" s="151"/>
      <c r="VQS251" s="278"/>
      <c r="VQT251" s="266"/>
      <c r="VQU251" s="279"/>
      <c r="VQV251" s="211"/>
      <c r="VQW251" s="211"/>
      <c r="VQX251" s="286"/>
      <c r="VQY251" s="286"/>
      <c r="VQZ251" s="280"/>
      <c r="VRA251" s="281"/>
      <c r="VRB251" s="282"/>
      <c r="VRC251" s="242"/>
      <c r="VRD251" s="222"/>
      <c r="VRF251" s="118"/>
      <c r="VRG251" s="8"/>
      <c r="VRH251" s="281"/>
      <c r="VRI251" s="78"/>
      <c r="VRJ251" s="151"/>
      <c r="VRK251" s="278"/>
      <c r="VRL251" s="266"/>
      <c r="VRM251" s="279"/>
      <c r="VRN251" s="211"/>
      <c r="VRO251" s="211"/>
      <c r="VRP251" s="286"/>
      <c r="VRQ251" s="286"/>
      <c r="VRR251" s="280"/>
      <c r="VRS251" s="281"/>
      <c r="VRT251" s="282"/>
      <c r="VRU251" s="242"/>
      <c r="VRV251" s="222"/>
      <c r="VRX251" s="118"/>
      <c r="VRY251" s="8"/>
      <c r="VRZ251" s="281"/>
      <c r="VSA251" s="78"/>
      <c r="VSB251" s="151"/>
      <c r="VSC251" s="278"/>
      <c r="VSD251" s="266"/>
      <c r="VSE251" s="279"/>
      <c r="VSF251" s="211"/>
      <c r="VSG251" s="211"/>
      <c r="VSH251" s="286"/>
      <c r="VSI251" s="286"/>
      <c r="VSJ251" s="280"/>
      <c r="VSK251" s="281"/>
      <c r="VSL251" s="282"/>
      <c r="VSM251" s="242"/>
      <c r="VSN251" s="222"/>
      <c r="VSP251" s="118"/>
      <c r="VSQ251" s="8"/>
      <c r="VSR251" s="281"/>
      <c r="VSS251" s="78"/>
      <c r="VST251" s="151"/>
      <c r="VSU251" s="278"/>
      <c r="VSV251" s="266"/>
      <c r="VSW251" s="279"/>
      <c r="VSX251" s="211"/>
      <c r="VSY251" s="211"/>
      <c r="VSZ251" s="286"/>
      <c r="VTA251" s="286"/>
      <c r="VTB251" s="280"/>
      <c r="VTC251" s="281"/>
      <c r="VTD251" s="282"/>
      <c r="VTE251" s="242"/>
      <c r="VTF251" s="222"/>
      <c r="VTH251" s="118"/>
      <c r="VTI251" s="8"/>
      <c r="VTJ251" s="281"/>
      <c r="VTK251" s="78"/>
      <c r="VTL251" s="151"/>
      <c r="VTM251" s="278"/>
      <c r="VTN251" s="266"/>
      <c r="VTO251" s="279"/>
      <c r="VTP251" s="211"/>
      <c r="VTQ251" s="211"/>
      <c r="VTR251" s="286"/>
      <c r="VTS251" s="286"/>
      <c r="VTT251" s="280"/>
      <c r="VTU251" s="281"/>
      <c r="VTV251" s="282"/>
      <c r="VTW251" s="242"/>
      <c r="VTX251" s="222"/>
      <c r="VTZ251" s="118"/>
      <c r="VUA251" s="8"/>
      <c r="VUB251" s="281"/>
      <c r="VUC251" s="78"/>
      <c r="VUD251" s="151"/>
      <c r="VUE251" s="278"/>
      <c r="VUF251" s="266"/>
      <c r="VUG251" s="279"/>
      <c r="VUH251" s="211"/>
      <c r="VUI251" s="211"/>
      <c r="VUJ251" s="286"/>
      <c r="VUK251" s="286"/>
      <c r="VUL251" s="280"/>
      <c r="VUM251" s="281"/>
      <c r="VUN251" s="282"/>
      <c r="VUO251" s="242"/>
      <c r="VUP251" s="222"/>
      <c r="VUR251" s="118"/>
      <c r="VUS251" s="8"/>
      <c r="VUT251" s="281"/>
      <c r="VUU251" s="78"/>
      <c r="VUV251" s="151"/>
      <c r="VUW251" s="278"/>
      <c r="VUX251" s="266"/>
      <c r="VUY251" s="279"/>
      <c r="VUZ251" s="211"/>
      <c r="VVA251" s="211"/>
      <c r="VVB251" s="286"/>
      <c r="VVC251" s="286"/>
      <c r="VVD251" s="280"/>
      <c r="VVE251" s="281"/>
      <c r="VVF251" s="282"/>
      <c r="VVG251" s="242"/>
      <c r="VVH251" s="222"/>
      <c r="VVJ251" s="118"/>
      <c r="VVK251" s="8"/>
      <c r="VVL251" s="281"/>
      <c r="VVM251" s="78"/>
      <c r="VVN251" s="151"/>
      <c r="VVO251" s="278"/>
      <c r="VVP251" s="266"/>
      <c r="VVQ251" s="279"/>
      <c r="VVR251" s="211"/>
      <c r="VVS251" s="211"/>
      <c r="VVT251" s="286"/>
      <c r="VVU251" s="286"/>
      <c r="VVV251" s="280"/>
      <c r="VVW251" s="281"/>
      <c r="VVX251" s="282"/>
      <c r="VVY251" s="242"/>
      <c r="VVZ251" s="222"/>
      <c r="VWB251" s="118"/>
      <c r="VWC251" s="8"/>
      <c r="VWD251" s="281"/>
      <c r="VWE251" s="78"/>
      <c r="VWF251" s="151"/>
      <c r="VWG251" s="278"/>
      <c r="VWH251" s="266"/>
      <c r="VWI251" s="279"/>
      <c r="VWJ251" s="211"/>
      <c r="VWK251" s="211"/>
      <c r="VWL251" s="286"/>
      <c r="VWM251" s="286"/>
      <c r="VWN251" s="280"/>
      <c r="VWO251" s="281"/>
      <c r="VWP251" s="282"/>
      <c r="VWQ251" s="242"/>
      <c r="VWR251" s="222"/>
      <c r="VWT251" s="118"/>
      <c r="VWU251" s="8"/>
      <c r="VWV251" s="281"/>
      <c r="VWW251" s="78"/>
      <c r="VWX251" s="151"/>
      <c r="VWY251" s="278"/>
      <c r="VWZ251" s="266"/>
      <c r="VXA251" s="279"/>
      <c r="VXB251" s="211"/>
      <c r="VXC251" s="211"/>
      <c r="VXD251" s="286"/>
      <c r="VXE251" s="286"/>
      <c r="VXF251" s="280"/>
      <c r="VXG251" s="281"/>
      <c r="VXH251" s="282"/>
      <c r="VXI251" s="242"/>
      <c r="VXJ251" s="222"/>
      <c r="VXL251" s="118"/>
      <c r="VXM251" s="8"/>
      <c r="VXN251" s="281"/>
      <c r="VXO251" s="78"/>
      <c r="VXP251" s="151"/>
      <c r="VXQ251" s="278"/>
      <c r="VXR251" s="266"/>
      <c r="VXS251" s="279"/>
      <c r="VXT251" s="211"/>
      <c r="VXU251" s="211"/>
      <c r="VXV251" s="286"/>
      <c r="VXW251" s="286"/>
      <c r="VXX251" s="280"/>
      <c r="VXY251" s="281"/>
      <c r="VXZ251" s="282"/>
      <c r="VYA251" s="242"/>
      <c r="VYB251" s="222"/>
      <c r="VYD251" s="118"/>
      <c r="VYE251" s="8"/>
      <c r="VYF251" s="281"/>
      <c r="VYG251" s="78"/>
      <c r="VYH251" s="151"/>
      <c r="VYI251" s="278"/>
      <c r="VYJ251" s="266"/>
      <c r="VYK251" s="279"/>
      <c r="VYL251" s="211"/>
      <c r="VYM251" s="211"/>
      <c r="VYN251" s="286"/>
      <c r="VYO251" s="286"/>
      <c r="VYP251" s="280"/>
      <c r="VYQ251" s="281"/>
      <c r="VYR251" s="282"/>
      <c r="VYS251" s="242"/>
      <c r="VYT251" s="222"/>
      <c r="VYV251" s="118"/>
      <c r="VYW251" s="8"/>
      <c r="VYX251" s="281"/>
      <c r="VYY251" s="78"/>
      <c r="VYZ251" s="151"/>
      <c r="VZA251" s="278"/>
      <c r="VZB251" s="266"/>
      <c r="VZC251" s="279"/>
      <c r="VZD251" s="211"/>
      <c r="VZE251" s="211"/>
      <c r="VZF251" s="286"/>
      <c r="VZG251" s="286"/>
      <c r="VZH251" s="280"/>
      <c r="VZI251" s="281"/>
      <c r="VZJ251" s="282"/>
      <c r="VZK251" s="242"/>
      <c r="VZL251" s="222"/>
      <c r="VZN251" s="118"/>
      <c r="VZO251" s="8"/>
      <c r="VZP251" s="281"/>
      <c r="VZQ251" s="78"/>
      <c r="VZR251" s="151"/>
      <c r="VZS251" s="278"/>
      <c r="VZT251" s="266"/>
      <c r="VZU251" s="279"/>
      <c r="VZV251" s="211"/>
      <c r="VZW251" s="211"/>
      <c r="VZX251" s="286"/>
      <c r="VZY251" s="286"/>
      <c r="VZZ251" s="280"/>
      <c r="WAA251" s="281"/>
      <c r="WAB251" s="282"/>
      <c r="WAC251" s="242"/>
      <c r="WAD251" s="222"/>
      <c r="WAF251" s="118"/>
      <c r="WAG251" s="8"/>
      <c r="WAH251" s="281"/>
      <c r="WAI251" s="78"/>
      <c r="WAJ251" s="151"/>
      <c r="WAK251" s="278"/>
      <c r="WAL251" s="266"/>
      <c r="WAM251" s="279"/>
      <c r="WAN251" s="211"/>
      <c r="WAO251" s="211"/>
      <c r="WAP251" s="286"/>
      <c r="WAQ251" s="286"/>
      <c r="WAR251" s="280"/>
      <c r="WAS251" s="281"/>
      <c r="WAT251" s="282"/>
      <c r="WAU251" s="242"/>
      <c r="WAV251" s="222"/>
      <c r="WAX251" s="118"/>
      <c r="WAY251" s="8"/>
      <c r="WAZ251" s="281"/>
      <c r="WBA251" s="78"/>
      <c r="WBB251" s="151"/>
      <c r="WBC251" s="278"/>
      <c r="WBD251" s="266"/>
      <c r="WBE251" s="279"/>
      <c r="WBF251" s="211"/>
      <c r="WBG251" s="211"/>
      <c r="WBH251" s="286"/>
      <c r="WBI251" s="286"/>
      <c r="WBJ251" s="280"/>
      <c r="WBK251" s="281"/>
      <c r="WBL251" s="282"/>
      <c r="WBM251" s="242"/>
      <c r="WBN251" s="222"/>
      <c r="WBP251" s="118"/>
      <c r="WBQ251" s="8"/>
      <c r="WBR251" s="281"/>
      <c r="WBS251" s="78"/>
      <c r="WBT251" s="151"/>
      <c r="WBU251" s="278"/>
      <c r="WBV251" s="266"/>
      <c r="WBW251" s="279"/>
      <c r="WBX251" s="211"/>
      <c r="WBY251" s="211"/>
      <c r="WBZ251" s="286"/>
      <c r="WCA251" s="286"/>
      <c r="WCB251" s="280"/>
      <c r="WCC251" s="281"/>
      <c r="WCD251" s="282"/>
      <c r="WCE251" s="242"/>
      <c r="WCF251" s="222"/>
      <c r="WCH251" s="118"/>
      <c r="WCI251" s="8"/>
      <c r="WCJ251" s="281"/>
      <c r="WCK251" s="78"/>
      <c r="WCL251" s="151"/>
      <c r="WCM251" s="278"/>
      <c r="WCN251" s="266"/>
      <c r="WCO251" s="279"/>
      <c r="WCP251" s="211"/>
      <c r="WCQ251" s="211"/>
      <c r="WCR251" s="286"/>
      <c r="WCS251" s="286"/>
      <c r="WCT251" s="280"/>
      <c r="WCU251" s="281"/>
      <c r="WCV251" s="282"/>
      <c r="WCW251" s="242"/>
      <c r="WCX251" s="222"/>
      <c r="WCZ251" s="118"/>
      <c r="WDA251" s="8"/>
      <c r="WDB251" s="281"/>
      <c r="WDC251" s="78"/>
      <c r="WDD251" s="151"/>
      <c r="WDE251" s="278"/>
      <c r="WDF251" s="266"/>
      <c r="WDG251" s="279"/>
      <c r="WDH251" s="211"/>
      <c r="WDI251" s="211"/>
      <c r="WDJ251" s="286"/>
      <c r="WDK251" s="286"/>
      <c r="WDL251" s="280"/>
      <c r="WDM251" s="281"/>
      <c r="WDN251" s="282"/>
      <c r="WDO251" s="242"/>
      <c r="WDP251" s="222"/>
      <c r="WDR251" s="118"/>
      <c r="WDS251" s="8"/>
      <c r="WDT251" s="281"/>
      <c r="WDU251" s="78"/>
      <c r="WDV251" s="151"/>
      <c r="WDW251" s="278"/>
      <c r="WDX251" s="266"/>
      <c r="WDY251" s="279"/>
      <c r="WDZ251" s="211"/>
      <c r="WEA251" s="211"/>
      <c r="WEB251" s="286"/>
      <c r="WEC251" s="286"/>
      <c r="WED251" s="280"/>
      <c r="WEE251" s="281"/>
      <c r="WEF251" s="282"/>
      <c r="WEG251" s="242"/>
      <c r="WEH251" s="222"/>
      <c r="WEJ251" s="118"/>
      <c r="WEK251" s="8"/>
      <c r="WEL251" s="281"/>
      <c r="WEM251" s="78"/>
      <c r="WEN251" s="151"/>
      <c r="WEO251" s="278"/>
      <c r="WEP251" s="266"/>
      <c r="WEQ251" s="279"/>
      <c r="WER251" s="211"/>
      <c r="WES251" s="211"/>
      <c r="WET251" s="286"/>
      <c r="WEU251" s="286"/>
      <c r="WEV251" s="280"/>
      <c r="WEW251" s="281"/>
      <c r="WEX251" s="282"/>
      <c r="WEY251" s="242"/>
      <c r="WEZ251" s="222"/>
      <c r="WFB251" s="118"/>
      <c r="WFC251" s="8"/>
      <c r="WFD251" s="281"/>
      <c r="WFE251" s="78"/>
      <c r="WFF251" s="151"/>
      <c r="WFG251" s="278"/>
      <c r="WFH251" s="266"/>
      <c r="WFI251" s="279"/>
      <c r="WFJ251" s="211"/>
      <c r="WFK251" s="211"/>
      <c r="WFL251" s="286"/>
      <c r="WFM251" s="286"/>
      <c r="WFN251" s="280"/>
      <c r="WFO251" s="281"/>
      <c r="WFP251" s="282"/>
      <c r="WFQ251" s="242"/>
      <c r="WFR251" s="222"/>
      <c r="WFT251" s="118"/>
      <c r="WFU251" s="8"/>
      <c r="WFV251" s="281"/>
      <c r="WFW251" s="78"/>
      <c r="WFX251" s="151"/>
      <c r="WFY251" s="278"/>
      <c r="WFZ251" s="266"/>
      <c r="WGA251" s="279"/>
      <c r="WGB251" s="211"/>
      <c r="WGC251" s="211"/>
      <c r="WGD251" s="286"/>
      <c r="WGE251" s="286"/>
      <c r="WGF251" s="280"/>
      <c r="WGG251" s="281"/>
      <c r="WGH251" s="282"/>
      <c r="WGI251" s="242"/>
      <c r="WGJ251" s="222"/>
      <c r="WGL251" s="118"/>
      <c r="WGM251" s="8"/>
      <c r="WGN251" s="281"/>
      <c r="WGO251" s="78"/>
      <c r="WGP251" s="151"/>
      <c r="WGQ251" s="278"/>
      <c r="WGR251" s="266"/>
      <c r="WGS251" s="279"/>
      <c r="WGT251" s="211"/>
      <c r="WGU251" s="211"/>
      <c r="WGV251" s="286"/>
      <c r="WGW251" s="286"/>
      <c r="WGX251" s="280"/>
      <c r="WGY251" s="281"/>
      <c r="WGZ251" s="282"/>
      <c r="WHA251" s="242"/>
      <c r="WHB251" s="222"/>
      <c r="WHD251" s="118"/>
      <c r="WHE251" s="8"/>
      <c r="WHF251" s="281"/>
      <c r="WHG251" s="78"/>
      <c r="WHH251" s="151"/>
      <c r="WHI251" s="278"/>
      <c r="WHJ251" s="266"/>
      <c r="WHK251" s="279"/>
      <c r="WHL251" s="211"/>
      <c r="WHM251" s="211"/>
      <c r="WHN251" s="286"/>
      <c r="WHO251" s="286"/>
      <c r="WHP251" s="280"/>
      <c r="WHQ251" s="281"/>
      <c r="WHR251" s="282"/>
      <c r="WHS251" s="242"/>
      <c r="WHT251" s="222"/>
      <c r="WHV251" s="118"/>
      <c r="WHW251" s="8"/>
      <c r="WHX251" s="281"/>
      <c r="WHY251" s="78"/>
      <c r="WHZ251" s="151"/>
      <c r="WIA251" s="278"/>
      <c r="WIB251" s="266"/>
      <c r="WIC251" s="279"/>
      <c r="WID251" s="211"/>
      <c r="WIE251" s="211"/>
      <c r="WIF251" s="286"/>
      <c r="WIG251" s="286"/>
      <c r="WIH251" s="280"/>
      <c r="WII251" s="281"/>
      <c r="WIJ251" s="282"/>
      <c r="WIK251" s="242"/>
      <c r="WIL251" s="222"/>
      <c r="WIN251" s="118"/>
      <c r="WIO251" s="8"/>
      <c r="WIP251" s="281"/>
      <c r="WIQ251" s="78"/>
      <c r="WIR251" s="151"/>
      <c r="WIS251" s="278"/>
      <c r="WIT251" s="266"/>
      <c r="WIU251" s="279"/>
      <c r="WIV251" s="211"/>
      <c r="WIW251" s="211"/>
      <c r="WIX251" s="286"/>
      <c r="WIY251" s="286"/>
      <c r="WIZ251" s="280"/>
      <c r="WJA251" s="281"/>
      <c r="WJB251" s="282"/>
      <c r="WJC251" s="242"/>
      <c r="WJD251" s="222"/>
      <c r="WJF251" s="118"/>
      <c r="WJG251" s="8"/>
      <c r="WJH251" s="281"/>
      <c r="WJI251" s="78"/>
      <c r="WJJ251" s="151"/>
      <c r="WJK251" s="278"/>
      <c r="WJL251" s="266"/>
      <c r="WJM251" s="279"/>
      <c r="WJN251" s="211"/>
      <c r="WJO251" s="211"/>
      <c r="WJP251" s="286"/>
      <c r="WJQ251" s="286"/>
      <c r="WJR251" s="280"/>
      <c r="WJS251" s="281"/>
      <c r="WJT251" s="282"/>
      <c r="WJU251" s="242"/>
      <c r="WJV251" s="222"/>
      <c r="WJX251" s="118"/>
      <c r="WJY251" s="8"/>
      <c r="WJZ251" s="281"/>
      <c r="WKA251" s="78"/>
      <c r="WKB251" s="151"/>
      <c r="WKC251" s="278"/>
      <c r="WKD251" s="266"/>
      <c r="WKE251" s="279"/>
      <c r="WKF251" s="211"/>
      <c r="WKG251" s="211"/>
      <c r="WKH251" s="286"/>
      <c r="WKI251" s="286"/>
      <c r="WKJ251" s="280"/>
      <c r="WKK251" s="281"/>
      <c r="WKL251" s="282"/>
      <c r="WKM251" s="242"/>
      <c r="WKN251" s="222"/>
      <c r="WKP251" s="118"/>
      <c r="WKQ251" s="8"/>
      <c r="WKR251" s="281"/>
      <c r="WKS251" s="78"/>
      <c r="WKT251" s="151"/>
      <c r="WKU251" s="278"/>
      <c r="WKV251" s="266"/>
      <c r="WKW251" s="279"/>
      <c r="WKX251" s="211"/>
      <c r="WKY251" s="211"/>
      <c r="WKZ251" s="286"/>
      <c r="WLA251" s="286"/>
      <c r="WLB251" s="280"/>
      <c r="WLC251" s="281"/>
      <c r="WLD251" s="282"/>
      <c r="WLE251" s="242"/>
      <c r="WLF251" s="222"/>
      <c r="WLH251" s="118"/>
      <c r="WLI251" s="8"/>
      <c r="WLJ251" s="281"/>
      <c r="WLK251" s="78"/>
      <c r="WLL251" s="151"/>
      <c r="WLM251" s="278"/>
      <c r="WLN251" s="266"/>
      <c r="WLO251" s="279"/>
      <c r="WLP251" s="211"/>
      <c r="WLQ251" s="211"/>
      <c r="WLR251" s="286"/>
      <c r="WLS251" s="286"/>
      <c r="WLT251" s="280"/>
      <c r="WLU251" s="281"/>
      <c r="WLV251" s="282"/>
      <c r="WLW251" s="242"/>
      <c r="WLX251" s="222"/>
      <c r="WLZ251" s="118"/>
      <c r="WMA251" s="8"/>
      <c r="WMB251" s="281"/>
      <c r="WMC251" s="78"/>
      <c r="WMD251" s="151"/>
      <c r="WME251" s="278"/>
      <c r="WMF251" s="266"/>
      <c r="WMG251" s="279"/>
      <c r="WMH251" s="211"/>
      <c r="WMI251" s="211"/>
      <c r="WMJ251" s="286"/>
      <c r="WMK251" s="286"/>
      <c r="WML251" s="280"/>
      <c r="WMM251" s="281"/>
      <c r="WMN251" s="282"/>
      <c r="WMO251" s="242"/>
      <c r="WMP251" s="222"/>
      <c r="WMR251" s="118"/>
      <c r="WMS251" s="8"/>
      <c r="WMT251" s="281"/>
      <c r="WMU251" s="78"/>
      <c r="WMV251" s="151"/>
      <c r="WMW251" s="278"/>
      <c r="WMX251" s="266"/>
      <c r="WMY251" s="279"/>
      <c r="WMZ251" s="211"/>
      <c r="WNA251" s="211"/>
      <c r="WNB251" s="286"/>
      <c r="WNC251" s="286"/>
      <c r="WND251" s="280"/>
      <c r="WNE251" s="281"/>
      <c r="WNF251" s="282"/>
      <c r="WNG251" s="242"/>
      <c r="WNH251" s="222"/>
      <c r="WNJ251" s="118"/>
      <c r="WNK251" s="8"/>
      <c r="WNL251" s="281"/>
      <c r="WNM251" s="78"/>
      <c r="WNN251" s="151"/>
      <c r="WNO251" s="278"/>
      <c r="WNP251" s="266"/>
      <c r="WNQ251" s="279"/>
      <c r="WNR251" s="211"/>
      <c r="WNS251" s="211"/>
      <c r="WNT251" s="286"/>
      <c r="WNU251" s="286"/>
      <c r="WNV251" s="280"/>
      <c r="WNW251" s="281"/>
      <c r="WNX251" s="282"/>
      <c r="WNY251" s="242"/>
      <c r="WNZ251" s="222"/>
      <c r="WOB251" s="118"/>
      <c r="WOC251" s="8"/>
      <c r="WOD251" s="281"/>
      <c r="WOE251" s="78"/>
      <c r="WOF251" s="151"/>
      <c r="WOG251" s="278"/>
      <c r="WOH251" s="266"/>
      <c r="WOI251" s="279"/>
      <c r="WOJ251" s="211"/>
      <c r="WOK251" s="211"/>
      <c r="WOL251" s="286"/>
      <c r="WOM251" s="286"/>
      <c r="WON251" s="280"/>
      <c r="WOO251" s="281"/>
      <c r="WOP251" s="282"/>
      <c r="WOQ251" s="242"/>
      <c r="WOR251" s="222"/>
      <c r="WOT251" s="118"/>
      <c r="WOU251" s="8"/>
      <c r="WOV251" s="281"/>
      <c r="WOW251" s="78"/>
      <c r="WOX251" s="151"/>
      <c r="WOY251" s="278"/>
      <c r="WOZ251" s="266"/>
      <c r="WPA251" s="279"/>
      <c r="WPB251" s="211"/>
      <c r="WPC251" s="211"/>
      <c r="WPD251" s="286"/>
      <c r="WPE251" s="286"/>
      <c r="WPF251" s="280"/>
      <c r="WPG251" s="281"/>
      <c r="WPH251" s="282"/>
      <c r="WPI251" s="242"/>
      <c r="WPJ251" s="222"/>
      <c r="WPL251" s="118"/>
      <c r="WPM251" s="8"/>
      <c r="WPN251" s="281"/>
      <c r="WPO251" s="78"/>
      <c r="WPP251" s="151"/>
      <c r="WPQ251" s="278"/>
      <c r="WPR251" s="266"/>
      <c r="WPS251" s="279"/>
      <c r="WPT251" s="211"/>
      <c r="WPU251" s="211"/>
      <c r="WPV251" s="286"/>
      <c r="WPW251" s="286"/>
      <c r="WPX251" s="280"/>
      <c r="WPY251" s="281"/>
      <c r="WPZ251" s="282"/>
      <c r="WQA251" s="242"/>
      <c r="WQB251" s="222"/>
      <c r="WQD251" s="118"/>
      <c r="WQE251" s="8"/>
      <c r="WQF251" s="281"/>
      <c r="WQG251" s="78"/>
      <c r="WQH251" s="151"/>
      <c r="WQI251" s="278"/>
      <c r="WQJ251" s="266"/>
      <c r="WQK251" s="279"/>
      <c r="WQL251" s="211"/>
      <c r="WQM251" s="211"/>
      <c r="WQN251" s="286"/>
      <c r="WQO251" s="286"/>
      <c r="WQP251" s="280"/>
      <c r="WQQ251" s="281"/>
      <c r="WQR251" s="282"/>
      <c r="WQS251" s="242"/>
      <c r="WQT251" s="222"/>
      <c r="WQV251" s="118"/>
      <c r="WQW251" s="8"/>
      <c r="WQX251" s="281"/>
      <c r="WQY251" s="78"/>
      <c r="WQZ251" s="151"/>
      <c r="WRA251" s="278"/>
      <c r="WRB251" s="266"/>
      <c r="WRC251" s="279"/>
      <c r="WRD251" s="211"/>
      <c r="WRE251" s="211"/>
      <c r="WRF251" s="286"/>
      <c r="WRG251" s="286"/>
      <c r="WRH251" s="280"/>
      <c r="WRI251" s="281"/>
      <c r="WRJ251" s="282"/>
      <c r="WRK251" s="242"/>
      <c r="WRL251" s="222"/>
      <c r="WRN251" s="118"/>
      <c r="WRO251" s="8"/>
      <c r="WRP251" s="281"/>
      <c r="WRQ251" s="78"/>
      <c r="WRR251" s="151"/>
      <c r="WRS251" s="278"/>
      <c r="WRT251" s="266"/>
      <c r="WRU251" s="279"/>
      <c r="WRV251" s="211"/>
      <c r="WRW251" s="211"/>
      <c r="WRX251" s="286"/>
      <c r="WRY251" s="286"/>
      <c r="WRZ251" s="280"/>
      <c r="WSA251" s="281"/>
      <c r="WSB251" s="282"/>
      <c r="WSC251" s="242"/>
      <c r="WSD251" s="222"/>
      <c r="WSF251" s="118"/>
      <c r="WSG251" s="8"/>
      <c r="WSH251" s="281"/>
      <c r="WSI251" s="78"/>
      <c r="WSJ251" s="151"/>
      <c r="WSK251" s="278"/>
      <c r="WSL251" s="266"/>
      <c r="WSM251" s="279"/>
      <c r="WSN251" s="211"/>
      <c r="WSO251" s="211"/>
      <c r="WSP251" s="286"/>
      <c r="WSQ251" s="286"/>
      <c r="WSR251" s="280"/>
      <c r="WSS251" s="281"/>
      <c r="WST251" s="282"/>
      <c r="WSU251" s="242"/>
      <c r="WSV251" s="222"/>
      <c r="WSX251" s="118"/>
      <c r="WSY251" s="8"/>
      <c r="WSZ251" s="281"/>
      <c r="WTA251" s="78"/>
      <c r="WTB251" s="151"/>
      <c r="WTC251" s="278"/>
      <c r="WTD251" s="266"/>
      <c r="WTE251" s="279"/>
      <c r="WTF251" s="211"/>
      <c r="WTG251" s="211"/>
      <c r="WTH251" s="286"/>
      <c r="WTI251" s="286"/>
      <c r="WTJ251" s="280"/>
      <c r="WTK251" s="281"/>
      <c r="WTL251" s="282"/>
      <c r="WTM251" s="242"/>
      <c r="WTN251" s="222"/>
      <c r="WTP251" s="118"/>
      <c r="WTQ251" s="8"/>
      <c r="WTR251" s="281"/>
      <c r="WTS251" s="78"/>
      <c r="WTT251" s="151"/>
      <c r="WTU251" s="278"/>
      <c r="WTV251" s="266"/>
      <c r="WTW251" s="279"/>
      <c r="WTX251" s="211"/>
      <c r="WTY251" s="211"/>
      <c r="WTZ251" s="286"/>
      <c r="WUA251" s="286"/>
      <c r="WUB251" s="280"/>
      <c r="WUC251" s="281"/>
      <c r="WUD251" s="282"/>
      <c r="WUE251" s="242"/>
      <c r="WUF251" s="222"/>
      <c r="WUH251" s="118"/>
      <c r="WUI251" s="8"/>
      <c r="WUJ251" s="281"/>
      <c r="WUK251" s="78"/>
      <c r="WUL251" s="151"/>
      <c r="WUM251" s="278"/>
      <c r="WUN251" s="266"/>
      <c r="WUO251" s="279"/>
      <c r="WUP251" s="211"/>
      <c r="WUQ251" s="211"/>
      <c r="WUR251" s="286"/>
      <c r="WUS251" s="286"/>
      <c r="WUT251" s="280"/>
      <c r="WUU251" s="281"/>
      <c r="WUV251" s="282"/>
      <c r="WUW251" s="242"/>
      <c r="WUX251" s="222"/>
      <c r="WUZ251" s="118"/>
      <c r="WVA251" s="8"/>
      <c r="WVB251" s="281"/>
      <c r="WVC251" s="78"/>
      <c r="WVD251" s="151"/>
      <c r="WVE251" s="278"/>
      <c r="WVF251" s="266"/>
      <c r="WVG251" s="279"/>
      <c r="WVH251" s="211"/>
      <c r="WVI251" s="211"/>
      <c r="WVJ251" s="286"/>
      <c r="WVK251" s="286"/>
      <c r="WVL251" s="280"/>
      <c r="WVM251" s="281"/>
      <c r="WVN251" s="282"/>
      <c r="WVO251" s="242"/>
      <c r="WVP251" s="222"/>
      <c r="WVR251" s="118"/>
      <c r="WVS251" s="8"/>
      <c r="WVT251" s="281"/>
      <c r="WVU251" s="78"/>
      <c r="WVV251" s="151"/>
      <c r="WVW251" s="278"/>
      <c r="WVX251" s="266"/>
      <c r="WVY251" s="279"/>
      <c r="WVZ251" s="211"/>
      <c r="WWA251" s="211"/>
      <c r="WWB251" s="286"/>
      <c r="WWC251" s="286"/>
      <c r="WWD251" s="280"/>
      <c r="WWE251" s="281"/>
      <c r="WWF251" s="282"/>
      <c r="WWG251" s="242"/>
      <c r="WWH251" s="222"/>
      <c r="WWJ251" s="118"/>
      <c r="WWK251" s="8"/>
      <c r="WWL251" s="281"/>
      <c r="WWM251" s="78"/>
      <c r="WWN251" s="151"/>
      <c r="WWO251" s="278"/>
      <c r="WWP251" s="266"/>
      <c r="WWQ251" s="279"/>
      <c r="WWR251" s="211"/>
      <c r="WWS251" s="211"/>
      <c r="WWT251" s="286"/>
      <c r="WWU251" s="286"/>
      <c r="WWV251" s="280"/>
      <c r="WWW251" s="281"/>
      <c r="WWX251" s="282"/>
      <c r="WWY251" s="242"/>
      <c r="WWZ251" s="222"/>
      <c r="WXB251" s="118"/>
      <c r="WXC251" s="8"/>
      <c r="WXD251" s="281"/>
      <c r="WXE251" s="78"/>
      <c r="WXF251" s="151"/>
      <c r="WXG251" s="278"/>
      <c r="WXH251" s="266"/>
      <c r="WXI251" s="279"/>
      <c r="WXJ251" s="211"/>
      <c r="WXK251" s="211"/>
      <c r="WXL251" s="286"/>
      <c r="WXM251" s="286"/>
      <c r="WXN251" s="280"/>
      <c r="WXO251" s="281"/>
      <c r="WXP251" s="282"/>
      <c r="WXQ251" s="242"/>
      <c r="WXR251" s="222"/>
      <c r="WXT251" s="118"/>
      <c r="WXU251" s="8"/>
      <c r="WXV251" s="281"/>
      <c r="WXW251" s="78"/>
      <c r="WXX251" s="151"/>
      <c r="WXY251" s="278"/>
      <c r="WXZ251" s="266"/>
      <c r="WYA251" s="279"/>
      <c r="WYB251" s="211"/>
      <c r="WYC251" s="211"/>
      <c r="WYD251" s="286"/>
      <c r="WYE251" s="286"/>
      <c r="WYF251" s="280"/>
      <c r="WYG251" s="281"/>
      <c r="WYH251" s="282"/>
      <c r="WYI251" s="242"/>
      <c r="WYJ251" s="222"/>
      <c r="WYL251" s="118"/>
      <c r="WYM251" s="8"/>
      <c r="WYN251" s="281"/>
      <c r="WYO251" s="78"/>
      <c r="WYP251" s="151"/>
      <c r="WYQ251" s="278"/>
      <c r="WYR251" s="266"/>
      <c r="WYS251" s="279"/>
      <c r="WYT251" s="211"/>
      <c r="WYU251" s="211"/>
      <c r="WYV251" s="286"/>
      <c r="WYW251" s="286"/>
      <c r="WYX251" s="280"/>
      <c r="WYY251" s="281"/>
      <c r="WYZ251" s="282"/>
      <c r="WZA251" s="242"/>
      <c r="WZB251" s="222"/>
      <c r="WZD251" s="118"/>
      <c r="WZE251" s="8"/>
      <c r="WZF251" s="281"/>
      <c r="WZG251" s="78"/>
      <c r="WZH251" s="151"/>
      <c r="WZI251" s="278"/>
      <c r="WZJ251" s="266"/>
      <c r="WZK251" s="279"/>
      <c r="WZL251" s="211"/>
      <c r="WZM251" s="211"/>
      <c r="WZN251" s="286"/>
      <c r="WZO251" s="286"/>
      <c r="WZP251" s="280"/>
      <c r="WZQ251" s="281"/>
      <c r="WZR251" s="282"/>
      <c r="WZS251" s="242"/>
      <c r="WZT251" s="222"/>
      <c r="WZV251" s="118"/>
      <c r="WZW251" s="8"/>
      <c r="WZX251" s="281"/>
      <c r="WZY251" s="78"/>
      <c r="WZZ251" s="151"/>
      <c r="XAA251" s="278"/>
      <c r="XAB251" s="266"/>
      <c r="XAC251" s="279"/>
      <c r="XAD251" s="211"/>
      <c r="XAE251" s="211"/>
      <c r="XAF251" s="286"/>
      <c r="XAG251" s="286"/>
      <c r="XAH251" s="280"/>
      <c r="XAI251" s="281"/>
      <c r="XAJ251" s="282"/>
      <c r="XAK251" s="242"/>
      <c r="XAL251" s="222"/>
      <c r="XAN251" s="118"/>
      <c r="XAO251" s="8"/>
      <c r="XAP251" s="281"/>
      <c r="XAQ251" s="78"/>
      <c r="XAR251" s="151"/>
      <c r="XAS251" s="278"/>
      <c r="XAT251" s="266"/>
      <c r="XAU251" s="279"/>
      <c r="XAV251" s="211"/>
      <c r="XAW251" s="211"/>
      <c r="XAX251" s="286"/>
      <c r="XAY251" s="286"/>
      <c r="XAZ251" s="280"/>
      <c r="XBA251" s="281"/>
      <c r="XBB251" s="282"/>
      <c r="XBC251" s="242"/>
      <c r="XBD251" s="222"/>
      <c r="XBF251" s="118"/>
      <c r="XBG251" s="8"/>
      <c r="XBH251" s="281"/>
      <c r="XBI251" s="78"/>
      <c r="XBJ251" s="151"/>
      <c r="XBK251" s="278"/>
      <c r="XBL251" s="266"/>
      <c r="XBM251" s="279"/>
      <c r="XBN251" s="211"/>
      <c r="XBO251" s="211"/>
      <c r="XBP251" s="286"/>
      <c r="XBQ251" s="286"/>
      <c r="XBR251" s="280"/>
      <c r="XBS251" s="281"/>
      <c r="XBT251" s="282"/>
      <c r="XBU251" s="242"/>
      <c r="XBV251" s="222"/>
      <c r="XBX251" s="118"/>
      <c r="XBY251" s="8"/>
      <c r="XBZ251" s="281"/>
      <c r="XCA251" s="78"/>
      <c r="XCB251" s="151"/>
      <c r="XCC251" s="278"/>
      <c r="XCD251" s="266"/>
      <c r="XCE251" s="279"/>
      <c r="XCF251" s="211"/>
      <c r="XCG251" s="211"/>
      <c r="XCH251" s="286"/>
      <c r="XCI251" s="286"/>
      <c r="XCJ251" s="280"/>
      <c r="XCK251" s="281"/>
      <c r="XCL251" s="282"/>
      <c r="XCM251" s="242"/>
      <c r="XCN251" s="222"/>
      <c r="XCP251" s="118"/>
      <c r="XCQ251" s="8"/>
      <c r="XCR251" s="281"/>
      <c r="XCS251" s="78"/>
      <c r="XCT251" s="151"/>
      <c r="XCU251" s="278"/>
      <c r="XCV251" s="266"/>
      <c r="XCW251" s="279"/>
      <c r="XCX251" s="211"/>
      <c r="XCY251" s="211"/>
      <c r="XCZ251" s="286"/>
      <c r="XDA251" s="286"/>
      <c r="XDB251" s="280"/>
      <c r="XDC251" s="281"/>
      <c r="XDD251" s="282"/>
      <c r="XDE251" s="242"/>
      <c r="XDF251" s="222"/>
      <c r="XDH251" s="118"/>
      <c r="XDI251" s="8"/>
      <c r="XDJ251" s="281"/>
      <c r="XDK251" s="78"/>
      <c r="XDL251" s="151"/>
      <c r="XDM251" s="278"/>
      <c r="XDN251" s="266"/>
      <c r="XDO251" s="279"/>
      <c r="XDP251" s="211"/>
      <c r="XDQ251" s="211"/>
      <c r="XDR251" s="286"/>
      <c r="XDS251" s="286"/>
      <c r="XDT251" s="280"/>
      <c r="XDU251" s="281"/>
      <c r="XDV251" s="282"/>
      <c r="XDW251" s="242"/>
      <c r="XDX251" s="222"/>
      <c r="XDZ251" s="118"/>
      <c r="XEA251" s="8"/>
      <c r="XEB251" s="281"/>
      <c r="XEC251" s="78"/>
      <c r="XED251" s="151"/>
      <c r="XEE251" s="278"/>
      <c r="XEF251" s="266"/>
      <c r="XEG251" s="279"/>
      <c r="XEH251" s="211"/>
      <c r="XEI251" s="211"/>
      <c r="XEJ251" s="286"/>
      <c r="XEK251" s="286"/>
      <c r="XEL251" s="280"/>
      <c r="XEM251" s="281"/>
      <c r="XEN251" s="282"/>
      <c r="XEO251" s="242"/>
      <c r="XEP251" s="222"/>
      <c r="XER251" s="118"/>
      <c r="XES251" s="8"/>
      <c r="XET251" s="281"/>
      <c r="XEU251" s="78"/>
      <c r="XEV251" s="151"/>
      <c r="XEW251" s="278"/>
      <c r="XEX251" s="266"/>
      <c r="XEY251" s="279"/>
      <c r="XEZ251" s="211"/>
      <c r="XFA251" s="211"/>
      <c r="XFB251" s="286"/>
      <c r="XFC251" s="286"/>
      <c r="XFD251" s="280"/>
    </row>
    <row r="252" spans="1:5120 5122:14336 14338:16384" hidden="1">
      <c r="A252" s="286" t="s">
        <v>244</v>
      </c>
      <c r="B252" s="286" t="s">
        <v>221</v>
      </c>
      <c r="C252" s="280" t="s">
        <v>2</v>
      </c>
      <c r="D252" s="281" t="str">
        <f>IF(F252="","",CHOOSE(MONTH(F252),"Q4","Q4","Q4","Q1","Q1","Q1","Q2","Q2","Q2","Q3","Q3","Q3"))</f>
        <v>Q3</v>
      </c>
      <c r="E252" s="282" t="str">
        <f>IF(F252="","",CHOOSE(MONTH(F252),"10-JAN","11-FEB","12-MAR","01-APR","02-MAY","03-JUN","04-JUL","05-AUG","06-SEP","07-OCT","08-NOV","09-DEC"))</f>
        <v>08-NOV</v>
      </c>
      <c r="F252" s="242">
        <v>45240</v>
      </c>
      <c r="G252" s="55" t="s">
        <v>1014</v>
      </c>
      <c r="H252" s="459" t="s">
        <v>1304</v>
      </c>
      <c r="I252" s="29" t="s">
        <v>223</v>
      </c>
      <c r="J252" s="8" t="s">
        <v>130</v>
      </c>
      <c r="K252" s="281" t="str">
        <f>IF(H252="","",IFERROR(VLOOKUP(H252,Instructions!D:E,2,0),"BA"))</f>
        <v>BA</v>
      </c>
      <c r="L252" s="126" t="s">
        <v>1015</v>
      </c>
      <c r="M252" s="151">
        <f>IF(SUM(V252:BC252)=0,"-",SUM(V252:BC252))</f>
        <v>3</v>
      </c>
      <c r="N252" s="278">
        <f>IF(SUMPRODUCT($V$3:$BC$3,V252:BC252)=0,"-",SUMPRODUCT($V$3:$BC$3,V252:BC252))</f>
        <v>105</v>
      </c>
      <c r="O252" s="266" t="s">
        <v>1016</v>
      </c>
      <c r="P252" s="280" t="s">
        <v>481</v>
      </c>
      <c r="Q252" s="412">
        <v>4200679445</v>
      </c>
      <c r="R252" s="258"/>
      <c r="S252" s="211" t="s">
        <v>249</v>
      </c>
      <c r="T252" s="211" t="s">
        <v>1305</v>
      </c>
      <c r="U252" s="253" t="s">
        <v>1306</v>
      </c>
      <c r="W252" s="8">
        <v>3</v>
      </c>
      <c r="AZ252" s="8"/>
      <c r="BA252" s="7"/>
      <c r="BB252" s="8"/>
      <c r="BC252" s="7"/>
      <c r="BD252" s="5"/>
      <c r="BF252" s="9"/>
    </row>
    <row r="253" spans="1:5120 5122:14336 14338:16384" hidden="1">
      <c r="A253" s="286" t="s">
        <v>244</v>
      </c>
      <c r="B253" s="286" t="s">
        <v>221</v>
      </c>
      <c r="C253" s="280" t="s">
        <v>3</v>
      </c>
      <c r="D253" s="281" t="str">
        <f>IF(F253="","",CHOOSE(MONTH(F253),"Q4","Q4","Q4","Q1","Q1","Q1","Q2","Q2","Q2","Q3","Q3","Q3"))</f>
        <v>Q3</v>
      </c>
      <c r="E253" s="282" t="str">
        <f>IF(F253="","",CHOOSE(MONTH(F253),"10-JAN","11-FEB","12-MAR","01-APR","02-MAY","03-JUN","04-JUL","05-AUG","06-SEP","07-OCT","08-NOV","09-DEC"))</f>
        <v>08-NOV</v>
      </c>
      <c r="F253" s="242">
        <v>45242</v>
      </c>
      <c r="G253" s="55" t="s">
        <v>402</v>
      </c>
      <c r="H253" s="459" t="s">
        <v>31</v>
      </c>
      <c r="I253" s="29" t="s">
        <v>223</v>
      </c>
      <c r="J253" s="8" t="s">
        <v>69</v>
      </c>
      <c r="K253" s="281" t="s">
        <v>30</v>
      </c>
      <c r="L253" s="78" t="s">
        <v>403</v>
      </c>
      <c r="M253" s="151">
        <f>IF(SUM(V253:BC253)=0,"-",SUM(V253:BC253))</f>
        <v>18</v>
      </c>
      <c r="N253" s="241">
        <f>IF(SUMPRODUCT($V$3:$BC$3,V253:BC253)=0,"-",SUMPRODUCT($V$3:$BC$3,V253:BC253))</f>
        <v>885</v>
      </c>
      <c r="P253" s="279" t="str">
        <f>IF(G253="","",IFERROR(IF(S253="Sent","",IF(I253="Delivered","PO en attente","Projet en cours")),""))</f>
        <v/>
      </c>
      <c r="Q253" s="301">
        <v>4200657843</v>
      </c>
      <c r="R253" s="145" t="s">
        <v>363</v>
      </c>
      <c r="S253" s="211" t="s">
        <v>249</v>
      </c>
      <c r="T253" s="211" t="s">
        <v>394</v>
      </c>
      <c r="U253" s="316" t="s">
        <v>1217</v>
      </c>
      <c r="V253" s="7">
        <v>3</v>
      </c>
      <c r="W253" s="8">
        <f>18-V253</f>
        <v>15</v>
      </c>
      <c r="AZ253" s="8"/>
      <c r="BA253" s="7"/>
      <c r="BB253" s="8"/>
      <c r="BC253" s="7"/>
      <c r="BD253" s="5"/>
      <c r="BF253" s="9"/>
    </row>
    <row r="254" spans="1:5120 5122:14336 14338:16384" hidden="1">
      <c r="A254" s="286" t="s">
        <v>244</v>
      </c>
      <c r="B254" s="286" t="s">
        <v>221</v>
      </c>
      <c r="C254" s="280" t="s">
        <v>3</v>
      </c>
      <c r="D254" s="281" t="str">
        <f>IF(F254="","",CHOOSE(MONTH(F254),"Q4","Q4","Q4","Q1","Q1","Q1","Q2","Q2","Q2","Q3","Q3","Q3"))</f>
        <v>Q3</v>
      </c>
      <c r="E254" s="282" t="str">
        <f>IF(F254="","",CHOOSE(MONTH(F254),"10-JAN","11-FEB","12-MAR","01-APR","02-MAY","03-JUN","04-JUL","05-AUG","06-SEP","07-OCT","08-NOV","09-DEC"))</f>
        <v>08-NOV</v>
      </c>
      <c r="F254" s="242">
        <v>45243</v>
      </c>
      <c r="G254" s="55" t="s">
        <v>356</v>
      </c>
      <c r="H254" s="5" t="s">
        <v>26</v>
      </c>
      <c r="I254" s="29" t="s">
        <v>223</v>
      </c>
      <c r="J254" s="8" t="s">
        <v>130</v>
      </c>
      <c r="K254" s="281" t="s">
        <v>30</v>
      </c>
      <c r="L254" s="78" t="s">
        <v>357</v>
      </c>
      <c r="M254" s="151">
        <f>IF(SUM(V254:BC254)=0,"-",SUM(V254:BC254))</f>
        <v>1</v>
      </c>
      <c r="N254" s="241">
        <f>IF(SUMPRODUCT($V$3:$BC$3,V254:BC254)=0,"-",SUMPRODUCT($V$3:$BC$3,V254:BC254))</f>
        <v>135</v>
      </c>
      <c r="P254" s="279" t="str">
        <f>IF(G254="","",IFERROR(IF(S254="Sent","",IF(I254="Delivered","PO en attente","Projet en cours")),""))</f>
        <v/>
      </c>
      <c r="Q254" s="301">
        <v>4200653885</v>
      </c>
      <c r="R254" s="213" t="s">
        <v>351</v>
      </c>
      <c r="S254" s="211" t="s">
        <v>249</v>
      </c>
      <c r="T254" s="211" t="s">
        <v>346</v>
      </c>
      <c r="U254" s="263" t="s">
        <v>290</v>
      </c>
      <c r="AC254" s="7">
        <v>1</v>
      </c>
      <c r="AZ254" s="8"/>
      <c r="BA254" s="7"/>
      <c r="BB254" s="8"/>
      <c r="BC254" s="7"/>
      <c r="BD254" s="8"/>
      <c r="BE254" s="8"/>
      <c r="BF254" s="9"/>
    </row>
    <row r="255" spans="1:5120 5122:14336 14338:16384" hidden="1">
      <c r="A255" s="286" t="s">
        <v>244</v>
      </c>
      <c r="B255" s="286" t="s">
        <v>221</v>
      </c>
      <c r="C255" s="280" t="s">
        <v>3</v>
      </c>
      <c r="D255" s="281" t="str">
        <f>IF(F255="","",CHOOSE(MONTH(F255),"Q4","Q4","Q4","Q1","Q1","Q1","Q2","Q2","Q2","Q3","Q3","Q3"))</f>
        <v>Q3</v>
      </c>
      <c r="E255" s="282" t="str">
        <f>IF(F255="","",CHOOSE(MONTH(F255),"10-JAN","11-FEB","12-MAR","01-APR","02-MAY","03-JUN","04-JUL","05-AUG","06-SEP","07-OCT","08-NOV","09-DEC"))</f>
        <v>08-NOV</v>
      </c>
      <c r="F255" s="242">
        <v>45243</v>
      </c>
      <c r="G255" s="55" t="s">
        <v>366</v>
      </c>
      <c r="H255" s="5" t="s">
        <v>26</v>
      </c>
      <c r="I255" s="29" t="s">
        <v>223</v>
      </c>
      <c r="J255" s="8" t="s">
        <v>69</v>
      </c>
      <c r="K255" s="281" t="s">
        <v>30</v>
      </c>
      <c r="L255" s="78" t="s">
        <v>367</v>
      </c>
      <c r="M255" s="151">
        <f>IF(SUM(V255:BC255)=0,"-",SUM(V255:BC255))</f>
        <v>7</v>
      </c>
      <c r="N255" s="241">
        <f>IF(SUMPRODUCT($V$3:$BC$3,V255:BC255)=0,"-",SUMPRODUCT($V$3:$BC$3,V255:BC255))</f>
        <v>245</v>
      </c>
      <c r="P255" s="279" t="str">
        <f>IF(G255="","",IFERROR(IF(S255="Sent","",IF(I255="Delivered","PO en attente","Projet en cours")),""))</f>
        <v/>
      </c>
      <c r="Q255" s="301">
        <v>4200654186</v>
      </c>
      <c r="R255" s="260" t="s">
        <v>351</v>
      </c>
      <c r="S255" s="211" t="s">
        <v>249</v>
      </c>
      <c r="T255" s="211" t="s">
        <v>368</v>
      </c>
      <c r="U255" s="263" t="s">
        <v>290</v>
      </c>
      <c r="W255" s="8">
        <v>7</v>
      </c>
      <c r="AZ255" s="8"/>
      <c r="BA255" s="7"/>
      <c r="BB255" s="8"/>
      <c r="BC255" s="7"/>
      <c r="BD255" s="8"/>
      <c r="BE255" s="8"/>
      <c r="BF255" s="9"/>
    </row>
    <row r="256" spans="1:5120 5122:14336 14338:16384" hidden="1">
      <c r="A256" s="286" t="s">
        <v>244</v>
      </c>
      <c r="B256" s="286" t="s">
        <v>221</v>
      </c>
      <c r="C256" s="280" t="s">
        <v>3</v>
      </c>
      <c r="D256" s="281" t="str">
        <f>IF(F256="","",CHOOSE(MONTH(F256),"Q4","Q4","Q4","Q1","Q1","Q1","Q2","Q2","Q2","Q3","Q3","Q3"))</f>
        <v>Q3</v>
      </c>
      <c r="E256" s="282" t="str">
        <f>IF(F256="","",CHOOSE(MONTH(F256),"10-JAN","11-FEB","12-MAR","01-APR","02-MAY","03-JUN","04-JUL","05-AUG","06-SEP","07-OCT","08-NOV","09-DEC"))</f>
        <v>08-NOV</v>
      </c>
      <c r="F256" s="242">
        <v>45243</v>
      </c>
      <c r="G256" s="55" t="s">
        <v>1021</v>
      </c>
      <c r="H256" s="5" t="s">
        <v>35</v>
      </c>
      <c r="I256" s="29" t="s">
        <v>223</v>
      </c>
      <c r="J256" s="8" t="s">
        <v>129</v>
      </c>
      <c r="K256" s="281" t="s">
        <v>34</v>
      </c>
      <c r="L256" s="124" t="s">
        <v>1022</v>
      </c>
      <c r="M256" s="151">
        <f>IF(SUM(V256:BC256)=0,"-",SUM(V256:BC256))</f>
        <v>6</v>
      </c>
      <c r="N256" s="241">
        <f>IF(SUMPRODUCT($V$3:$BC$3,V256:BC256)=0,"-",SUMPRODUCT($V$3:$BC$3,V256:BC256))</f>
        <v>295</v>
      </c>
      <c r="O256" s="8" t="s">
        <v>1023</v>
      </c>
      <c r="P256" s="279" t="str">
        <f>IF(G256="","",IFERROR(IF(S256="Sent","",IF(I256="Delivered","PO en attente","Projet en cours")),""))</f>
        <v/>
      </c>
      <c r="Q256" s="341" t="s">
        <v>1307</v>
      </c>
      <c r="R256" s="211"/>
      <c r="S256" s="211" t="s">
        <v>249</v>
      </c>
      <c r="T256" s="211" t="s">
        <v>1002</v>
      </c>
      <c r="U256" s="257" t="s">
        <v>311</v>
      </c>
      <c r="V256" s="7">
        <v>1</v>
      </c>
      <c r="W256" s="8">
        <v>5</v>
      </c>
      <c r="AZ256" s="8"/>
      <c r="BA256" s="7"/>
      <c r="BB256" s="8"/>
      <c r="BC256" s="7"/>
      <c r="BD256" s="5"/>
      <c r="BF256" s="9"/>
    </row>
    <row r="257" spans="1:58" hidden="1">
      <c r="A257" s="286" t="s">
        <v>244</v>
      </c>
      <c r="B257" s="286" t="s">
        <v>221</v>
      </c>
      <c r="C257" s="280" t="s">
        <v>3</v>
      </c>
      <c r="D257" s="281" t="str">
        <f>IF(F257="","",CHOOSE(MONTH(F257),"Q4","Q4","Q4","Q1","Q1","Q1","Q2","Q2","Q2","Q3","Q3","Q3"))</f>
        <v>Q3</v>
      </c>
      <c r="E257" s="282" t="str">
        <f>IF(F257="","",CHOOSE(MONTH(F257),"10-JAN","11-FEB","12-MAR","01-APR","02-MAY","03-JUN","04-JUL","05-AUG","06-SEP","07-OCT","08-NOV","09-DEC"))</f>
        <v>08-NOV</v>
      </c>
      <c r="F257" s="242">
        <v>45243</v>
      </c>
      <c r="G257" s="55" t="s">
        <v>1019</v>
      </c>
      <c r="H257" s="459" t="s">
        <v>33</v>
      </c>
      <c r="I257" s="118" t="s">
        <v>223</v>
      </c>
      <c r="J257" s="8" t="s">
        <v>95</v>
      </c>
      <c r="K257" s="281" t="s">
        <v>30</v>
      </c>
      <c r="L257" s="124" t="s">
        <v>1010</v>
      </c>
      <c r="M257" s="151">
        <f>IF(SUM(V257:BC257)=0,"-",SUM(V257:BC257))</f>
        <v>3</v>
      </c>
      <c r="N257" s="278">
        <f>IF(SUMPRODUCT($V$3:$BC$3,V257:BC257)=0,"-",SUMPRODUCT($V$3:$BC$3,V257:BC257))</f>
        <v>105</v>
      </c>
      <c r="O257" s="266" t="s">
        <v>1020</v>
      </c>
      <c r="P257" s="269" t="str">
        <f>IF(G257="","",IFERROR(IF(S257="Sent","",IF(I257="Delivered","PO en attente","Projet en cours")),""))</f>
        <v/>
      </c>
      <c r="Q257" s="258">
        <v>4200657838</v>
      </c>
      <c r="R257" s="258" t="s">
        <v>1302</v>
      </c>
      <c r="S257" s="248" t="s">
        <v>249</v>
      </c>
      <c r="T257" s="248" t="s">
        <v>1201</v>
      </c>
      <c r="U257" s="372" t="s">
        <v>1202</v>
      </c>
      <c r="W257" s="8">
        <v>3</v>
      </c>
      <c r="AZ257" s="8"/>
      <c r="BA257" s="7"/>
      <c r="BB257" s="8"/>
      <c r="BC257" s="7"/>
      <c r="BD257" s="8"/>
      <c r="BE257" s="8"/>
      <c r="BF257" s="9"/>
    </row>
    <row r="258" spans="1:58" hidden="1">
      <c r="A258" s="286" t="s">
        <v>244</v>
      </c>
      <c r="B258" s="286" t="s">
        <v>221</v>
      </c>
      <c r="C258" s="280" t="s">
        <v>3</v>
      </c>
      <c r="D258" s="281" t="str">
        <f>IF(F258="","",CHOOSE(MONTH(F258),"Q4","Q4","Q4","Q1","Q1","Q1","Q2","Q2","Q2","Q3","Q3","Q3"))</f>
        <v>Q3</v>
      </c>
      <c r="E258" s="282" t="str">
        <f>IF(F258="","",CHOOSE(MONTH(F258),"10-JAN","11-FEB","12-MAR","01-APR","02-MAY","03-JUN","04-JUL","05-AUG","06-SEP","07-OCT","08-NOV","09-DEC"))</f>
        <v>08-NOV</v>
      </c>
      <c r="F258" s="242">
        <v>45245</v>
      </c>
      <c r="G258" s="55" t="s">
        <v>1025</v>
      </c>
      <c r="H258" s="5" t="s">
        <v>27</v>
      </c>
      <c r="I258" s="29" t="s">
        <v>223</v>
      </c>
      <c r="J258" s="8" t="s">
        <v>130</v>
      </c>
      <c r="K258" s="281" t="s">
        <v>34</v>
      </c>
      <c r="M258" s="151">
        <f>IF(SUM(V258:BC258)=0,"-",SUM(V258:BC258))</f>
        <v>2</v>
      </c>
      <c r="N258" s="241">
        <f>IF(SUMPRODUCT($V$3:$BC$3,V258:BC258)=0,"-",SUMPRODUCT($V$3:$BC$3,V258:BC258))</f>
        <v>255</v>
      </c>
      <c r="O258" s="266" t="s">
        <v>1026</v>
      </c>
      <c r="P258" s="269" t="str">
        <f>IF(G258="","",IFERROR(IF(S258="Sent","",IF(I258="Delivered","PO en attente","Projet en cours")),""))</f>
        <v/>
      </c>
      <c r="Q258" s="301" t="s">
        <v>481</v>
      </c>
      <c r="R258" s="256"/>
      <c r="S258" s="256" t="s">
        <v>249</v>
      </c>
      <c r="T258" s="256" t="s">
        <v>641</v>
      </c>
      <c r="U258" s="257" t="s">
        <v>481</v>
      </c>
      <c r="W258" s="8">
        <v>1</v>
      </c>
      <c r="X258" s="8">
        <v>1</v>
      </c>
      <c r="AZ258" s="8"/>
      <c r="BA258" s="7"/>
      <c r="BB258" s="8"/>
      <c r="BC258" s="7"/>
      <c r="BD258" s="5"/>
      <c r="BF258" s="9"/>
    </row>
    <row r="259" spans="1:58" hidden="1">
      <c r="A259" s="286" t="s">
        <v>244</v>
      </c>
      <c r="B259" s="286" t="s">
        <v>221</v>
      </c>
      <c r="C259" s="280" t="s">
        <v>3</v>
      </c>
      <c r="D259" s="281" t="str">
        <f>IF(F259="","",CHOOSE(MONTH(F259),"Q4","Q4","Q4","Q1","Q1","Q1","Q2","Q2","Q2","Q3","Q3","Q3"))</f>
        <v>Q3</v>
      </c>
      <c r="E259" s="282" t="str">
        <f>IF(F259="","",CHOOSE(MONTH(F259),"10-JAN","11-FEB","12-MAR","01-APR","02-MAY","03-JUN","04-JUL","05-AUG","06-SEP","07-OCT","08-NOV","09-DEC"))</f>
        <v>08-NOV</v>
      </c>
      <c r="F259" s="242">
        <v>45245</v>
      </c>
      <c r="G259" s="55" t="s">
        <v>1027</v>
      </c>
      <c r="H259" s="5" t="s">
        <v>35</v>
      </c>
      <c r="I259" s="29" t="s">
        <v>223</v>
      </c>
      <c r="J259" s="8" t="s">
        <v>130</v>
      </c>
      <c r="K259" s="281" t="s">
        <v>34</v>
      </c>
      <c r="L259" s="78" t="s">
        <v>1028</v>
      </c>
      <c r="M259" s="151">
        <f>IF(SUM(V259:BC259)=0,"-",SUM(V259:BC259))</f>
        <v>18</v>
      </c>
      <c r="N259" s="241">
        <f>IF(SUMPRODUCT($V$3:$BC$3,V259:BC259)=0,"-",SUMPRODUCT($V$3:$BC$3,V259:BC259))</f>
        <v>630</v>
      </c>
      <c r="O259" s="8" t="s">
        <v>1023</v>
      </c>
      <c r="P259" s="279" t="str">
        <f>IF(G259="","",IFERROR(IF(S259="Sent","",IF(I259="Delivered","PO en attente","Projet en cours")),""))</f>
        <v/>
      </c>
      <c r="Q259" s="301" t="s">
        <v>1307</v>
      </c>
      <c r="R259" s="211"/>
      <c r="S259" s="211" t="s">
        <v>249</v>
      </c>
      <c r="T259" s="211" t="s">
        <v>1002</v>
      </c>
      <c r="U259" s="257" t="s">
        <v>311</v>
      </c>
      <c r="W259" s="8">
        <v>18</v>
      </c>
      <c r="AZ259" s="8"/>
      <c r="BA259" s="7"/>
      <c r="BB259" s="8"/>
      <c r="BC259" s="7"/>
      <c r="BD259" s="5"/>
      <c r="BF259" s="9"/>
    </row>
    <row r="260" spans="1:58" hidden="1">
      <c r="A260" s="286" t="s">
        <v>244</v>
      </c>
      <c r="B260" s="286" t="s">
        <v>221</v>
      </c>
      <c r="C260" s="280" t="s">
        <v>3</v>
      </c>
      <c r="D260" s="281" t="str">
        <f>IF(F260="","",CHOOSE(MONTH(F260),"Q4","Q4","Q4","Q1","Q1","Q1","Q2","Q2","Q2","Q3","Q3","Q3"))</f>
        <v>Q3</v>
      </c>
      <c r="E260" s="282" t="str">
        <f>IF(F260="","",CHOOSE(MONTH(F260),"10-JAN","11-FEB","12-MAR","01-APR","02-MAY","03-JUN","04-JUL","05-AUG","06-SEP","07-OCT","08-NOV","09-DEC"))</f>
        <v>08-NOV</v>
      </c>
      <c r="F260" s="242">
        <v>45246</v>
      </c>
      <c r="G260" s="55" t="s">
        <v>1033</v>
      </c>
      <c r="H260" s="5" t="s">
        <v>27</v>
      </c>
      <c r="I260" s="29" t="s">
        <v>223</v>
      </c>
      <c r="J260" s="8" t="s">
        <v>130</v>
      </c>
      <c r="K260" s="281" t="s">
        <v>34</v>
      </c>
      <c r="L260" s="78" t="s">
        <v>1034</v>
      </c>
      <c r="M260" s="151">
        <f>IF(SUM(V260:BC260)=0,"-",SUM(V260:BC260))</f>
        <v>2</v>
      </c>
      <c r="N260" s="241">
        <f>IF(SUMPRODUCT($V$3:$BC$3,V260:BC260)=0,"-",SUMPRODUCT($V$3:$BC$3,V260:BC260))</f>
        <v>80</v>
      </c>
      <c r="O260" s="266" t="s">
        <v>1035</v>
      </c>
      <c r="P260" s="269" t="str">
        <f>IF(G260="","",IFERROR(IF(S260="Sent","",IF(I260="Delivered","PO en attente","Projet en cours")),""))</f>
        <v/>
      </c>
      <c r="Q260" s="301" t="s">
        <v>481</v>
      </c>
      <c r="R260" s="256"/>
      <c r="S260" s="256" t="s">
        <v>249</v>
      </c>
      <c r="T260" s="256" t="s">
        <v>641</v>
      </c>
      <c r="U260" s="257" t="s">
        <v>481</v>
      </c>
      <c r="AD260" s="8">
        <v>2</v>
      </c>
      <c r="AZ260" s="8"/>
      <c r="BA260" s="7"/>
      <c r="BB260" s="8"/>
      <c r="BC260" s="7"/>
      <c r="BD260" s="5"/>
      <c r="BF260" s="9"/>
    </row>
    <row r="261" spans="1:58" hidden="1">
      <c r="A261" s="288" t="s">
        <v>244</v>
      </c>
      <c r="B261" s="288" t="s">
        <v>221</v>
      </c>
      <c r="C261" s="284" t="s">
        <v>3</v>
      </c>
      <c r="D261" s="281" t="str">
        <f>IF(F261="","",CHOOSE(MONTH(F261),"Q4","Q4","Q4","Q1","Q1","Q1","Q2","Q2","Q2","Q3","Q3","Q3"))</f>
        <v>Q3</v>
      </c>
      <c r="E261" s="282" t="str">
        <f>IF(F261="","",CHOOSE(MONTH(F261),"10-JAN","11-FEB","12-MAR","01-APR","02-MAY","03-JUN","04-JUL","05-AUG","06-SEP","07-OCT","08-NOV","09-DEC"))</f>
        <v>08-NOV</v>
      </c>
      <c r="F261" s="243">
        <v>45246</v>
      </c>
      <c r="G261" s="159" t="s">
        <v>1030</v>
      </c>
      <c r="H261" s="157" t="s">
        <v>27</v>
      </c>
      <c r="I261" s="160" t="s">
        <v>223</v>
      </c>
      <c r="J261" s="8" t="s">
        <v>69</v>
      </c>
      <c r="K261" s="281" t="s">
        <v>34</v>
      </c>
      <c r="L261" s="78" t="s">
        <v>1031</v>
      </c>
      <c r="M261" s="151">
        <f>IF(SUM(V261:BC261)=0,"-",SUM(V261:BC261))</f>
        <v>1</v>
      </c>
      <c r="N261" s="241">
        <f>IF(SUMPRODUCT($V$3:$BC$3,V261:BC261)=0,"-",SUMPRODUCT($V$3:$BC$3,V261:BC261))</f>
        <v>135</v>
      </c>
      <c r="O261" s="266" t="s">
        <v>1032</v>
      </c>
      <c r="P261" s="269" t="str">
        <f>IF(G261="","",IFERROR(IF(S261="Sent","",IF(I261="Delivered","PO en attente","Projet en cours")),""))</f>
        <v/>
      </c>
      <c r="Q261" s="301">
        <v>4200655508</v>
      </c>
      <c r="R261" s="258"/>
      <c r="S261" s="211" t="s">
        <v>249</v>
      </c>
      <c r="T261" s="211" t="s">
        <v>924</v>
      </c>
      <c r="U261" s="257" t="s">
        <v>1284</v>
      </c>
      <c r="AC261" s="7">
        <v>1</v>
      </c>
      <c r="AZ261" s="8"/>
      <c r="BA261" s="7"/>
      <c r="BB261" s="8"/>
      <c r="BC261" s="7"/>
      <c r="BD261" s="5"/>
      <c r="BF261" s="9"/>
    </row>
    <row r="262" spans="1:58" hidden="1">
      <c r="A262" s="286" t="s">
        <v>244</v>
      </c>
      <c r="B262" s="286" t="s">
        <v>221</v>
      </c>
      <c r="C262" s="280" t="s">
        <v>3</v>
      </c>
      <c r="D262" s="281" t="str">
        <f>IF(F262="","",CHOOSE(MONTH(F262),"Q4","Q4","Q4","Q1","Q1","Q1","Q2","Q2","Q2","Q3","Q3","Q3"))</f>
        <v>Q3</v>
      </c>
      <c r="E262" s="282" t="str">
        <f>IF(F262="","",CHOOSE(MONTH(F262),"10-JAN","11-FEB","12-MAR","01-APR","02-MAY","03-JUN","04-JUL","05-AUG","06-SEP","07-OCT","08-NOV","09-DEC"))</f>
        <v>08-NOV</v>
      </c>
      <c r="F262" s="242">
        <v>45246</v>
      </c>
      <c r="G262" s="55" t="s">
        <v>1036</v>
      </c>
      <c r="H262" s="459" t="s">
        <v>33</v>
      </c>
      <c r="I262" s="118" t="s">
        <v>223</v>
      </c>
      <c r="J262" s="8" t="s">
        <v>95</v>
      </c>
      <c r="K262" s="281" t="s">
        <v>30</v>
      </c>
      <c r="M262" s="151">
        <f>IF(SUM(V262:BC262)=0,"-",SUM(V262:BC262))</f>
        <v>9</v>
      </c>
      <c r="N262" s="278">
        <f>IF(SUMPRODUCT($V$3:$BC$3,V262:BC262)=0,"-",SUMPRODUCT($V$3:$BC$3,V262:BC262))</f>
        <v>315</v>
      </c>
      <c r="O262" s="266" t="s">
        <v>1037</v>
      </c>
      <c r="P262" s="269" t="str">
        <f>IF(G262="","",IFERROR(IF(S262="Sent","",IF(I262="Delivered","PO en attente","Projet en cours")),""))</f>
        <v/>
      </c>
      <c r="Q262" s="258">
        <v>4200657838</v>
      </c>
      <c r="R262" s="258" t="s">
        <v>1302</v>
      </c>
      <c r="S262" s="248" t="s">
        <v>249</v>
      </c>
      <c r="T262" s="248" t="s">
        <v>1201</v>
      </c>
      <c r="U262" s="372" t="s">
        <v>1202</v>
      </c>
      <c r="W262" s="8">
        <v>9</v>
      </c>
      <c r="AZ262" s="8"/>
      <c r="BA262" s="7"/>
      <c r="BB262" s="8"/>
      <c r="BC262" s="7"/>
      <c r="BD262" s="8"/>
      <c r="BE262" s="8"/>
      <c r="BF262" s="9"/>
    </row>
    <row r="263" spans="1:58" hidden="1">
      <c r="A263" s="286" t="s">
        <v>244</v>
      </c>
      <c r="B263" s="286" t="s">
        <v>221</v>
      </c>
      <c r="C263" s="280" t="s">
        <v>3</v>
      </c>
      <c r="D263" s="281" t="str">
        <f>IF(F263="","",CHOOSE(MONTH(F263),"Q4","Q4","Q4","Q1","Q1","Q1","Q2","Q2","Q2","Q3","Q3","Q3"))</f>
        <v>Q3</v>
      </c>
      <c r="E263" s="282" t="str">
        <f>IF(F263="","",CHOOSE(MONTH(F263),"10-JAN","11-FEB","12-MAR","01-APR","02-MAY","03-JUN","04-JUL","05-AUG","06-SEP","07-OCT","08-NOV","09-DEC"))</f>
        <v>08-NOV</v>
      </c>
      <c r="F263" s="242">
        <v>45247</v>
      </c>
      <c r="G263" s="55" t="s">
        <v>1038</v>
      </c>
      <c r="H263" s="5" t="s">
        <v>36</v>
      </c>
      <c r="I263" s="29" t="s">
        <v>223</v>
      </c>
      <c r="J263" s="8" t="s">
        <v>69</v>
      </c>
      <c r="K263" s="281" t="s">
        <v>34</v>
      </c>
      <c r="L263" s="78" t="s">
        <v>1039</v>
      </c>
      <c r="M263" s="151">
        <f>IF(SUM(V263:BC263)=0,"-",SUM(V263:BC263))</f>
        <v>6</v>
      </c>
      <c r="N263" s="241">
        <f>IF(SUMPRODUCT($V$3:$BC$3,V263:BC263)=0,"-",SUMPRODUCT($V$3:$BC$3,V263:BC263))</f>
        <v>295</v>
      </c>
      <c r="O263" s="266" t="s">
        <v>1040</v>
      </c>
      <c r="P263" s="279" t="str">
        <f>IF(G263="","",IFERROR(IF(S263="Sent","",IF(I263="Delivered","PO en attente","Projet en cours")),""))</f>
        <v/>
      </c>
      <c r="Q263" s="258">
        <v>4200655684</v>
      </c>
      <c r="R263" s="258"/>
      <c r="S263" s="211" t="s">
        <v>249</v>
      </c>
      <c r="T263" s="211" t="s">
        <v>867</v>
      </c>
      <c r="U263" s="257" t="s">
        <v>1284</v>
      </c>
      <c r="V263" s="7">
        <v>1</v>
      </c>
      <c r="W263" s="8">
        <v>5</v>
      </c>
      <c r="AZ263" s="8"/>
      <c r="BA263" s="7"/>
      <c r="BB263" s="8"/>
      <c r="BC263" s="7"/>
      <c r="BD263" s="5"/>
      <c r="BF263" s="9"/>
    </row>
    <row r="264" spans="1:58" hidden="1">
      <c r="A264" s="286" t="s">
        <v>244</v>
      </c>
      <c r="B264" s="286" t="s">
        <v>221</v>
      </c>
      <c r="C264" s="280" t="s">
        <v>3</v>
      </c>
      <c r="D264" s="281" t="str">
        <f>IF(F264="","",CHOOSE(MONTH(F264),"Q4","Q4","Q4","Q1","Q1","Q1","Q2","Q2","Q2","Q3","Q3","Q3"))</f>
        <v>Q3</v>
      </c>
      <c r="E264" s="282" t="str">
        <f>IF(F264="","",CHOOSE(MONTH(F264),"10-JAN","11-FEB","12-MAR","01-APR","02-MAY","03-JUN","04-JUL","05-AUG","06-SEP","07-OCT","08-NOV","09-DEC"))</f>
        <v>08-NOV</v>
      </c>
      <c r="F264" s="242">
        <v>45247</v>
      </c>
      <c r="G264" s="56" t="s">
        <v>1041</v>
      </c>
      <c r="H264" s="5" t="s">
        <v>36</v>
      </c>
      <c r="I264" s="29" t="s">
        <v>223</v>
      </c>
      <c r="J264" s="21" t="s">
        <v>69</v>
      </c>
      <c r="K264" s="281" t="s">
        <v>34</v>
      </c>
      <c r="L264" s="78" t="s">
        <v>1042</v>
      </c>
      <c r="M264" s="151">
        <f>IF(SUM(V264:BC264)=0,"-",SUM(V264:BC264))</f>
        <v>2</v>
      </c>
      <c r="N264" s="241">
        <f>IF(SUMPRODUCT($V$3:$BC$3,V264:BC264)=0,"-",SUMPRODUCT($V$3:$BC$3,V264:BC264))</f>
        <v>300</v>
      </c>
      <c r="O264" s="266" t="s">
        <v>1308</v>
      </c>
      <c r="P264" s="279" t="str">
        <f>IF(G264="","",IFERROR(IF(S264="Sent","",IF(I264="Delivered","PO en attente","Projet en cours")),""))</f>
        <v/>
      </c>
      <c r="Q264" s="258">
        <v>4200658481</v>
      </c>
      <c r="R264" s="258"/>
      <c r="S264" s="211" t="s">
        <v>249</v>
      </c>
      <c r="T264" s="211" t="s">
        <v>1044</v>
      </c>
      <c r="U264" s="316" t="s">
        <v>1217</v>
      </c>
      <c r="V264" s="7">
        <v>1</v>
      </c>
      <c r="AE264" s="8">
        <v>1</v>
      </c>
      <c r="AZ264" s="8"/>
      <c r="BA264" s="7"/>
      <c r="BB264" s="8"/>
      <c r="BC264" s="7"/>
      <c r="BD264" s="5"/>
      <c r="BF264" s="9"/>
    </row>
    <row r="265" spans="1:58" hidden="1">
      <c r="A265" s="286" t="s">
        <v>244</v>
      </c>
      <c r="B265" s="286" t="s">
        <v>221</v>
      </c>
      <c r="C265" s="280" t="s">
        <v>3</v>
      </c>
      <c r="D265" s="281" t="str">
        <f>IF(F265="","",CHOOSE(MONTH(F265),"Q4","Q4","Q4","Q1","Q1","Q1","Q2","Q2","Q2","Q3","Q3","Q3"))</f>
        <v>Q3</v>
      </c>
      <c r="E265" s="282" t="str">
        <f>IF(F265="","",CHOOSE(MONTH(F265),"10-JAN","11-FEB","12-MAR","01-APR","02-MAY","03-JUN","04-JUL","05-AUG","06-SEP","07-OCT","08-NOV","09-DEC"))</f>
        <v>08-NOV</v>
      </c>
      <c r="F265" s="242">
        <v>45247</v>
      </c>
      <c r="G265" s="220" t="s">
        <v>400</v>
      </c>
      <c r="H265" s="5" t="s">
        <v>32</v>
      </c>
      <c r="I265" s="29" t="s">
        <v>223</v>
      </c>
      <c r="J265" s="8" t="s">
        <v>69</v>
      </c>
      <c r="K265" s="281" t="s">
        <v>30</v>
      </c>
      <c r="L265" s="78" t="s">
        <v>401</v>
      </c>
      <c r="M265" s="151">
        <f>IF(SUM(V265:BC265)=0,"-",SUM(V265:BC265))</f>
        <v>2</v>
      </c>
      <c r="N265" s="241">
        <f>IF(SUMPRODUCT($V$3:$BC$3,V265:BC265)=0,"-",SUMPRODUCT($V$3:$BC$3,V265:BC265))</f>
        <v>155</v>
      </c>
      <c r="P265" s="279" t="str">
        <f>IF(G265="","",IFERROR(IF(S265="Sent","",IF(I265="Delivered","PO en attente","Projet en cours")),""))</f>
        <v/>
      </c>
      <c r="Q265" s="145">
        <v>4200657843</v>
      </c>
      <c r="R265" s="145" t="s">
        <v>363</v>
      </c>
      <c r="S265" s="211" t="s">
        <v>249</v>
      </c>
      <c r="T265" s="211" t="s">
        <v>394</v>
      </c>
      <c r="U265" s="316" t="s">
        <v>1217</v>
      </c>
      <c r="V265" s="7">
        <v>1</v>
      </c>
      <c r="W265" s="8">
        <v>1</v>
      </c>
      <c r="AZ265" s="8"/>
      <c r="BA265" s="7"/>
      <c r="BB265" s="8"/>
      <c r="BC265" s="7"/>
      <c r="BD265" s="5"/>
      <c r="BF265" s="9"/>
    </row>
    <row r="266" spans="1:58" hidden="1">
      <c r="A266" s="286" t="s">
        <v>244</v>
      </c>
      <c r="B266" s="286" t="s">
        <v>221</v>
      </c>
      <c r="C266" s="280" t="s">
        <v>3</v>
      </c>
      <c r="D266" s="281" t="str">
        <f>IF(F266="","",CHOOSE(MONTH(F266),"Q4","Q4","Q4","Q1","Q1","Q1","Q2","Q2","Q2","Q3","Q3","Q3"))</f>
        <v>Q3</v>
      </c>
      <c r="E266" s="282" t="str">
        <f>IF(F266="","",CHOOSE(MONTH(F266),"10-JAN","11-FEB","12-MAR","01-APR","02-MAY","03-JUN","04-JUL","05-AUG","06-SEP","07-OCT","08-NOV","09-DEC"))</f>
        <v>08-NOV</v>
      </c>
      <c r="F266" s="242">
        <v>45250</v>
      </c>
      <c r="G266" s="55" t="s">
        <v>1049</v>
      </c>
      <c r="H266" s="5" t="s">
        <v>27</v>
      </c>
      <c r="I266" s="118" t="s">
        <v>223</v>
      </c>
      <c r="J266" s="8" t="s">
        <v>67</v>
      </c>
      <c r="K266" s="281" t="s">
        <v>34</v>
      </c>
      <c r="L266" s="78" t="s">
        <v>1050</v>
      </c>
      <c r="M266" s="151">
        <f>IF(SUM(V266:BC266)=0,"-",SUM(V266:BC266))</f>
        <v>4</v>
      </c>
      <c r="N266" s="241">
        <f>IF(SUMPRODUCT($V$3:$BC$3,V266:BC266)=0,"-",SUMPRODUCT($V$3:$BC$3,V266:BC266))</f>
        <v>225</v>
      </c>
      <c r="O266" s="266" t="s">
        <v>1051</v>
      </c>
      <c r="P266" s="269" t="str">
        <f>IF(G266="","",IFERROR(IF(S266="Sent","",IF(I266="Delivered","PO en attente","Projet en cours")),""))</f>
        <v/>
      </c>
      <c r="Q266" s="258">
        <v>4200657327</v>
      </c>
      <c r="R266" s="258"/>
      <c r="S266" s="211" t="s">
        <v>249</v>
      </c>
      <c r="T266" s="211" t="s">
        <v>981</v>
      </c>
      <c r="U266" s="249" t="s">
        <v>1246</v>
      </c>
      <c r="V266" s="7">
        <v>1</v>
      </c>
      <c r="W266" s="8">
        <v>3</v>
      </c>
      <c r="AZ266" s="8"/>
      <c r="BA266" s="7"/>
      <c r="BB266" s="8"/>
      <c r="BC266" s="7"/>
      <c r="BD266" s="8"/>
      <c r="BF266" s="9"/>
    </row>
    <row r="267" spans="1:58" hidden="1">
      <c r="A267" s="286" t="s">
        <v>244</v>
      </c>
      <c r="B267" s="286" t="s">
        <v>221</v>
      </c>
      <c r="C267" s="280" t="s">
        <v>3</v>
      </c>
      <c r="D267" s="281" t="str">
        <f>IF(F267="","",CHOOSE(MONTH(F267),"Q4","Q4","Q4","Q1","Q1","Q1","Q2","Q2","Q2","Q3","Q3","Q3"))</f>
        <v>Q3</v>
      </c>
      <c r="E267" s="282" t="str">
        <f>IF(F267="","",CHOOSE(MONTH(F267),"10-JAN","11-FEB","12-MAR","01-APR","02-MAY","03-JUN","04-JUL","05-AUG","06-SEP","07-OCT","08-NOV","09-DEC"))</f>
        <v>08-NOV</v>
      </c>
      <c r="F267" s="242">
        <v>45250</v>
      </c>
      <c r="G267" s="55" t="s">
        <v>1046</v>
      </c>
      <c r="H267" s="5" t="s">
        <v>36</v>
      </c>
      <c r="I267" s="29" t="s">
        <v>223</v>
      </c>
      <c r="J267" s="8" t="s">
        <v>69</v>
      </c>
      <c r="K267" s="281" t="s">
        <v>34</v>
      </c>
      <c r="L267" s="78" t="s">
        <v>1039</v>
      </c>
      <c r="M267" s="151">
        <f>IF(SUM(V267:BC267)=0,"-",SUM(V267:BC267))</f>
        <v>4</v>
      </c>
      <c r="N267" s="278">
        <f>IF(SUMPRODUCT($V$3:$BC$3,V267:BC267)=0,"-",SUMPRODUCT($V$3:$BC$3,V267:BC267))</f>
        <v>140</v>
      </c>
      <c r="O267" s="266" t="s">
        <v>1047</v>
      </c>
      <c r="P267" s="279" t="str">
        <f>IF(G267="","",IFERROR(IF(S267="Sent","",IF(I267="Delivered","PO en attente","Projet en cours")),""))</f>
        <v/>
      </c>
      <c r="Q267" s="301">
        <v>4200659650</v>
      </c>
      <c r="R267" s="258"/>
      <c r="S267" s="211" t="s">
        <v>249</v>
      </c>
      <c r="T267" s="211" t="s">
        <v>1309</v>
      </c>
      <c r="U267" s="249" t="s">
        <v>1202</v>
      </c>
      <c r="W267" s="8">
        <v>4</v>
      </c>
      <c r="AZ267" s="8"/>
      <c r="BA267" s="7"/>
      <c r="BB267" s="8"/>
      <c r="BC267" s="7"/>
      <c r="BD267" s="8"/>
      <c r="BE267" s="8"/>
      <c r="BF267" s="9"/>
    </row>
    <row r="268" spans="1:58" hidden="1">
      <c r="A268" s="286" t="s">
        <v>244</v>
      </c>
      <c r="B268" s="286" t="s">
        <v>221</v>
      </c>
      <c r="C268" s="280" t="s">
        <v>3</v>
      </c>
      <c r="D268" s="281" t="str">
        <f>IF(F268="","",CHOOSE(MONTH(F268),"Q4","Q4","Q4","Q1","Q1","Q1","Q2","Q2","Q2","Q3","Q3","Q3"))</f>
        <v>Q3</v>
      </c>
      <c r="E268" s="282" t="str">
        <f>IF(F268="","",CHOOSE(MONTH(F268),"10-JAN","11-FEB","12-MAR","01-APR","02-MAY","03-JUN","04-JUL","05-AUG","06-SEP","07-OCT","08-NOV","09-DEC"))</f>
        <v>08-NOV</v>
      </c>
      <c r="F268" s="242">
        <v>45251</v>
      </c>
      <c r="G268" s="220" t="s">
        <v>408</v>
      </c>
      <c r="H268" s="5" t="s">
        <v>26</v>
      </c>
      <c r="I268" s="29" t="s">
        <v>223</v>
      </c>
      <c r="J268" s="8" t="s">
        <v>130</v>
      </c>
      <c r="K268" s="281" t="s">
        <v>30</v>
      </c>
      <c r="L268" s="30" t="s">
        <v>409</v>
      </c>
      <c r="M268" s="151">
        <f>IF(SUM(V268:BC268)=0,"-",SUM(V268:BC268))</f>
        <v>2</v>
      </c>
      <c r="N268" s="241">
        <f>IF(SUMPRODUCT($V$3:$BC$3,V268:BC268)=0,"-",SUMPRODUCT($V$3:$BC$3,V268:BC268))</f>
        <v>155</v>
      </c>
      <c r="P268" s="279" t="str">
        <f>IF(G268="","",IFERROR(IF(S268="Sent","",IF(I268="Delivered","PO en attente","Projet en cours")),""))</f>
        <v/>
      </c>
      <c r="Q268" s="298">
        <v>4200653885</v>
      </c>
      <c r="R268" s="298" t="s">
        <v>309</v>
      </c>
      <c r="S268" s="211" t="s">
        <v>249</v>
      </c>
      <c r="T268" s="211" t="s">
        <v>410</v>
      </c>
      <c r="U268" s="263" t="s">
        <v>311</v>
      </c>
      <c r="V268" s="7">
        <v>1</v>
      </c>
      <c r="W268" s="8">
        <v>1</v>
      </c>
      <c r="AZ268" s="8"/>
      <c r="BA268" s="7"/>
      <c r="BB268" s="8"/>
      <c r="BC268" s="7"/>
      <c r="BD268" s="5"/>
      <c r="BF268" s="9"/>
    </row>
    <row r="269" spans="1:58" hidden="1">
      <c r="A269" s="286" t="s">
        <v>244</v>
      </c>
      <c r="B269" s="286" t="s">
        <v>221</v>
      </c>
      <c r="C269" s="280" t="s">
        <v>3</v>
      </c>
      <c r="D269" s="281" t="str">
        <f>IF(F269="","",CHOOSE(MONTH(F269),"Q4","Q4","Q4","Q1","Q1","Q1","Q2","Q2","Q2","Q3","Q3","Q3"))</f>
        <v>Q3</v>
      </c>
      <c r="E269" s="282" t="str">
        <f>IF(F269="","",CHOOSE(MONTH(F269),"10-JAN","11-FEB","12-MAR","01-APR","02-MAY","03-JUN","04-JUL","05-AUG","06-SEP","07-OCT","08-NOV","09-DEC"))</f>
        <v>08-NOV</v>
      </c>
      <c r="F269" s="242">
        <v>45251</v>
      </c>
      <c r="G269" s="220" t="s">
        <v>411</v>
      </c>
      <c r="H269" s="5" t="s">
        <v>26</v>
      </c>
      <c r="I269" s="29" t="s">
        <v>223</v>
      </c>
      <c r="J269" s="8" t="s">
        <v>130</v>
      </c>
      <c r="K269" s="281" t="s">
        <v>30</v>
      </c>
      <c r="L269" s="30" t="s">
        <v>412</v>
      </c>
      <c r="M269" s="151">
        <f>IF(SUM(V269:BC269)=0,"-",SUM(V269:BC269))</f>
        <v>2</v>
      </c>
      <c r="N269" s="241">
        <f>IF(SUMPRODUCT($V$3:$BC$3,V269:BC269)=0,"-",SUMPRODUCT($V$3:$BC$3,V269:BC269))</f>
        <v>70</v>
      </c>
      <c r="P269" s="279" t="str">
        <f>IF(G269="","",IFERROR(IF(S269="Sent","",IF(I269="Delivered","PO en attente","Projet en cours")),""))</f>
        <v/>
      </c>
      <c r="Q269" s="298">
        <v>4200653885</v>
      </c>
      <c r="R269" s="298" t="s">
        <v>309</v>
      </c>
      <c r="S269" s="211" t="s">
        <v>249</v>
      </c>
      <c r="T269" s="211" t="s">
        <v>410</v>
      </c>
      <c r="U269" s="263" t="s">
        <v>311</v>
      </c>
      <c r="W269" s="8">
        <v>2</v>
      </c>
      <c r="BB269" s="8"/>
      <c r="BC269" s="7"/>
      <c r="BD269" s="5"/>
      <c r="BF269" s="9"/>
    </row>
    <row r="270" spans="1:58" hidden="1">
      <c r="A270" s="286" t="s">
        <v>244</v>
      </c>
      <c r="B270" s="286" t="s">
        <v>221</v>
      </c>
      <c r="C270" s="280" t="s">
        <v>3</v>
      </c>
      <c r="D270" s="281" t="str">
        <f>IF(F270="","",CHOOSE(MONTH(F270),"Q4","Q4","Q4","Q1","Q1","Q1","Q2","Q2","Q2","Q3","Q3","Q3"))</f>
        <v>Q3</v>
      </c>
      <c r="E270" s="282" t="str">
        <f>IF(F270="","",CHOOSE(MONTH(F270),"10-JAN","11-FEB","12-MAR","01-APR","02-MAY","03-JUN","04-JUL","05-AUG","06-SEP","07-OCT","08-NOV","09-DEC"))</f>
        <v>08-NOV</v>
      </c>
      <c r="F270" s="242">
        <v>45254</v>
      </c>
      <c r="G270" s="55" t="s">
        <v>1052</v>
      </c>
      <c r="H270" s="5" t="s">
        <v>27</v>
      </c>
      <c r="I270" s="29" t="s">
        <v>223</v>
      </c>
      <c r="J270" s="8" t="s">
        <v>69</v>
      </c>
      <c r="K270" s="281" t="s">
        <v>34</v>
      </c>
      <c r="L270" s="78" t="s">
        <v>1053</v>
      </c>
      <c r="M270" s="151">
        <f>IF(SUM(V270:BC270)=0,"-",SUM(V270:BC270))</f>
        <v>2</v>
      </c>
      <c r="N270" s="241">
        <f>IF(SUMPRODUCT($V$3:$BC$3,V270:BC270)=0,"-",SUMPRODUCT($V$3:$BC$3,V270:BC270))</f>
        <v>240</v>
      </c>
      <c r="O270" s="266" t="s">
        <v>1054</v>
      </c>
      <c r="P270" s="269" t="str">
        <f>IF(G270="","",IFERROR(IF(S270="Sent","",IF(I270="Delivered","PO en attente","Projet en cours")),""))</f>
        <v/>
      </c>
      <c r="Q270" s="258">
        <v>4200657385</v>
      </c>
      <c r="R270" s="258"/>
      <c r="S270" s="211" t="s">
        <v>249</v>
      </c>
      <c r="T270" s="211" t="s">
        <v>1055</v>
      </c>
      <c r="U270" s="249" t="s">
        <v>1246</v>
      </c>
      <c r="V270" s="7">
        <v>2</v>
      </c>
      <c r="AZ270" s="8"/>
      <c r="BA270" s="7"/>
      <c r="BB270" s="8"/>
      <c r="BC270" s="7"/>
      <c r="BD270" s="5"/>
      <c r="BF270" s="9"/>
    </row>
    <row r="271" spans="1:58" hidden="1">
      <c r="A271" s="286" t="s">
        <v>244</v>
      </c>
      <c r="B271" s="286" t="s">
        <v>221</v>
      </c>
      <c r="C271" s="280" t="s">
        <v>3</v>
      </c>
      <c r="D271" s="281" t="str">
        <f>IF(F271="","",CHOOSE(MONTH(F271),"Q4","Q4","Q4","Q1","Q1","Q1","Q2","Q2","Q2","Q3","Q3","Q3"))</f>
        <v>Q3</v>
      </c>
      <c r="E271" s="282" t="str">
        <f>IF(F271="","",CHOOSE(MONTH(F271),"10-JAN","11-FEB","12-MAR","01-APR","02-MAY","03-JUN","04-JUL","05-AUG","06-SEP","07-OCT","08-NOV","09-DEC"))</f>
        <v>08-NOV</v>
      </c>
      <c r="F271" s="242">
        <v>45254</v>
      </c>
      <c r="G271" s="55" t="s">
        <v>361</v>
      </c>
      <c r="H271" s="5" t="s">
        <v>26</v>
      </c>
      <c r="I271" s="118" t="s">
        <v>223</v>
      </c>
      <c r="J271" s="8" t="s">
        <v>95</v>
      </c>
      <c r="K271" s="281" t="s">
        <v>30</v>
      </c>
      <c r="L271" s="124" t="s">
        <v>362</v>
      </c>
      <c r="M271" s="151">
        <f>IF(SUM(V271:BC271)=0,"-",SUM(V271:BC271))</f>
        <v>18</v>
      </c>
      <c r="N271" s="278">
        <f>IF(SUMPRODUCT($V$3:$BC$3,V271:BC271)=0,"-",SUMPRODUCT($V$3:$BC$3,V271:BC271))</f>
        <v>885</v>
      </c>
      <c r="P271" s="269" t="str">
        <f>IF(G271="","",IFERROR(IF(S271="Sent","",IF(I271="Delivered","PO en attente","Projet en cours")),""))</f>
        <v/>
      </c>
      <c r="Q271" s="301">
        <v>4200657838</v>
      </c>
      <c r="R271" s="260" t="s">
        <v>363</v>
      </c>
      <c r="S271" s="248" t="s">
        <v>249</v>
      </c>
      <c r="T271" s="248" t="s">
        <v>1201</v>
      </c>
      <c r="U271" s="372" t="s">
        <v>1202</v>
      </c>
      <c r="V271" s="7">
        <v>3</v>
      </c>
      <c r="W271" s="8">
        <f>18-V271</f>
        <v>15</v>
      </c>
      <c r="AZ271" s="8"/>
      <c r="BA271" s="7"/>
      <c r="BB271" s="8"/>
      <c r="BC271" s="7"/>
      <c r="BD271" s="8"/>
      <c r="BE271" s="8"/>
      <c r="BF271" s="9"/>
    </row>
    <row r="272" spans="1:58" hidden="1">
      <c r="A272" s="286" t="s">
        <v>244</v>
      </c>
      <c r="B272" s="286" t="s">
        <v>221</v>
      </c>
      <c r="C272" s="280" t="s">
        <v>3</v>
      </c>
      <c r="D272" s="281" t="str">
        <f>IF(F272="","",CHOOSE(MONTH(F272),"Q4","Q4","Q4","Q1","Q1","Q1","Q2","Q2","Q2","Q3","Q3","Q3"))</f>
        <v>Q3</v>
      </c>
      <c r="E272" s="282" t="str">
        <f>IF(F272="","",CHOOSE(MONTH(F272),"10-JAN","11-FEB","12-MAR","01-APR","02-MAY","03-JUN","04-JUL","05-AUG","06-SEP","07-OCT","08-NOV","09-DEC"))</f>
        <v>08-NOV</v>
      </c>
      <c r="F272" s="242">
        <v>45258</v>
      </c>
      <c r="G272" s="220" t="s">
        <v>1083</v>
      </c>
      <c r="H272" t="s">
        <v>27</v>
      </c>
      <c r="I272" s="29" t="s">
        <v>1084</v>
      </c>
      <c r="J272" s="8" t="s">
        <v>69</v>
      </c>
      <c r="K272" s="281" t="s">
        <v>34</v>
      </c>
      <c r="L272" s="78"/>
      <c r="M272" s="151" t="str">
        <f>IF(SUM(V272:BC272)=0,"-",SUM(V272:BC272))</f>
        <v>-</v>
      </c>
      <c r="N272" s="241" t="str">
        <f>IF(SUMPRODUCT($V$3:$BC$3,V272:BC272)=0,"-",SUMPRODUCT($V$3:$BC$3,V272:BC272))</f>
        <v>-</v>
      </c>
      <c r="O272" s="266"/>
      <c r="P272" s="269" t="str">
        <f>IF(G272="","",IFERROR(IF(S272="Sent","",IF(I272="Delivered","PO en attente","Projet en cours")),""))</f>
        <v/>
      </c>
      <c r="Q272" s="258">
        <v>4200655525</v>
      </c>
      <c r="R272" s="258"/>
      <c r="S272" s="211" t="s">
        <v>249</v>
      </c>
      <c r="T272" s="211" t="s">
        <v>1085</v>
      </c>
      <c r="U272" s="320" t="s">
        <v>1310</v>
      </c>
      <c r="AZ272" s="8"/>
      <c r="BA272" s="7"/>
      <c r="BB272" s="8"/>
      <c r="BC272" s="7"/>
      <c r="BD272" s="8"/>
      <c r="BE272" s="8"/>
      <c r="BF272" s="9"/>
    </row>
    <row r="273" spans="1:58" hidden="1">
      <c r="A273" s="286" t="s">
        <v>244</v>
      </c>
      <c r="B273" s="286" t="s">
        <v>221</v>
      </c>
      <c r="C273" s="280" t="s">
        <v>3</v>
      </c>
      <c r="D273" s="281" t="str">
        <f>IF(F273="","",CHOOSE(MONTH(F273),"Q4","Q4","Q4","Q1","Q1","Q1","Q2","Q2","Q2","Q3","Q3","Q3"))</f>
        <v>Q3</v>
      </c>
      <c r="E273" s="282" t="str">
        <f>IF(F273="","",CHOOSE(MONTH(F273),"10-JAN","11-FEB","12-MAR","01-APR","02-MAY","03-JUN","04-JUL","05-AUG","06-SEP","07-OCT","08-NOV","09-DEC"))</f>
        <v>08-NOV</v>
      </c>
      <c r="F273" s="242">
        <v>45258</v>
      </c>
      <c r="G273" s="55" t="s">
        <v>1057</v>
      </c>
      <c r="H273" s="5" t="s">
        <v>27</v>
      </c>
      <c r="I273" s="118" t="s">
        <v>223</v>
      </c>
      <c r="J273" s="8" t="s">
        <v>130</v>
      </c>
      <c r="K273" s="281" t="s">
        <v>34</v>
      </c>
      <c r="L273" s="78" t="s">
        <v>1058</v>
      </c>
      <c r="M273" s="151">
        <f>IF(SUM(V273:BC273)=0,"-",SUM(V273:BC273))</f>
        <v>14</v>
      </c>
      <c r="N273" s="241">
        <f>IF(SUMPRODUCT($V$3:$BC$3,V273:BC273)=0,"-",SUMPRODUCT($V$3:$BC$3,V273:BC273))</f>
        <v>695</v>
      </c>
      <c r="O273" s="266" t="s">
        <v>1059</v>
      </c>
      <c r="P273" s="269" t="str">
        <f>IF(G273="","",IFERROR(IF(S273="Sent","",IF(I273="Delivered","PO en attente","Projet en cours")),""))</f>
        <v/>
      </c>
      <c r="Q273" s="258">
        <v>4200657361</v>
      </c>
      <c r="R273" s="258"/>
      <c r="S273" s="211" t="s">
        <v>249</v>
      </c>
      <c r="T273" s="211" t="s">
        <v>684</v>
      </c>
      <c r="U273" s="249" t="s">
        <v>1246</v>
      </c>
      <c r="V273" s="7">
        <v>1</v>
      </c>
      <c r="W273" s="8">
        <v>8</v>
      </c>
      <c r="AC273" s="7">
        <v>1</v>
      </c>
      <c r="AD273" s="8">
        <v>4</v>
      </c>
      <c r="AZ273" s="8"/>
      <c r="BA273" s="7"/>
      <c r="BB273" s="8"/>
      <c r="BC273" s="7"/>
      <c r="BD273" s="5"/>
      <c r="BF273" s="9"/>
    </row>
    <row r="274" spans="1:58" hidden="1">
      <c r="A274" s="286" t="s">
        <v>244</v>
      </c>
      <c r="B274" s="286" t="s">
        <v>221</v>
      </c>
      <c r="C274" s="280" t="s">
        <v>3</v>
      </c>
      <c r="D274" s="281" t="str">
        <f>IF(F274="","",CHOOSE(MONTH(F274),"Q4","Q4","Q4","Q1","Q1","Q1","Q2","Q2","Q2","Q3","Q3","Q3"))</f>
        <v>Q3</v>
      </c>
      <c r="E274" s="282" t="str">
        <f>IF(F274="","",CHOOSE(MONTH(F274),"10-JAN","11-FEB","12-MAR","01-APR","02-MAY","03-JUN","04-JUL","05-AUG","06-SEP","07-OCT","08-NOV","09-DEC"))</f>
        <v>08-NOV</v>
      </c>
      <c r="F274" s="242">
        <v>45258</v>
      </c>
      <c r="G274" s="55" t="s">
        <v>1060</v>
      </c>
      <c r="H274" s="5" t="s">
        <v>43</v>
      </c>
      <c r="I274" s="29" t="s">
        <v>223</v>
      </c>
      <c r="J274" s="21" t="s">
        <v>69</v>
      </c>
      <c r="K274" s="281" t="s">
        <v>34</v>
      </c>
      <c r="L274" s="78" t="s">
        <v>1311</v>
      </c>
      <c r="M274" s="151">
        <f>IF(SUM(V274:BC274)=0,"-",SUM(V274:BC274))</f>
        <v>1</v>
      </c>
      <c r="N274" s="241">
        <f>IF(SUMPRODUCT($V$3:$BC$3,V274:BC274)=0,"-",SUMPRODUCT($V$3:$BC$3,V274:BC274))</f>
        <v>35</v>
      </c>
      <c r="O274" s="266" t="s">
        <v>1062</v>
      </c>
      <c r="P274" s="279" t="str">
        <f>IF(G274="","",IFERROR(IF(S274="Sent","",IF(I274="Delivered","PO en attente","Projet en cours")),""))</f>
        <v/>
      </c>
      <c r="Q274" s="258">
        <v>4270027413</v>
      </c>
      <c r="R274" s="258"/>
      <c r="S274" s="211" t="s">
        <v>249</v>
      </c>
      <c r="T274" s="211" t="s">
        <v>1063</v>
      </c>
      <c r="U274" s="257" t="s">
        <v>1217</v>
      </c>
      <c r="W274" s="8">
        <v>1</v>
      </c>
      <c r="AZ274" s="8"/>
      <c r="BA274" s="7"/>
      <c r="BB274" s="8"/>
      <c r="BC274" s="7"/>
      <c r="BD274" s="5"/>
      <c r="BF274" s="9"/>
    </row>
    <row r="275" spans="1:58" hidden="1">
      <c r="A275" s="286" t="s">
        <v>244</v>
      </c>
      <c r="B275" s="286" t="s">
        <v>221</v>
      </c>
      <c r="C275" s="280" t="s">
        <v>3</v>
      </c>
      <c r="D275" s="281" t="str">
        <f>IF(F275="","",CHOOSE(MONTH(F275),"Q4","Q4","Q4","Q1","Q1","Q1","Q2","Q2","Q2","Q3","Q3","Q3"))</f>
        <v>Q3</v>
      </c>
      <c r="E275" s="282" t="str">
        <f>IF(F275="","",CHOOSE(MONTH(F275),"10-JAN","11-FEB","12-MAR","01-APR","02-MAY","03-JUN","04-JUL","05-AUG","06-SEP","07-OCT","08-NOV","09-DEC"))</f>
        <v>08-NOV</v>
      </c>
      <c r="F275" s="242">
        <v>45259</v>
      </c>
      <c r="G275" s="55" t="s">
        <v>1065</v>
      </c>
      <c r="H275" s="5" t="s">
        <v>36</v>
      </c>
      <c r="I275" s="29" t="s">
        <v>223</v>
      </c>
      <c r="J275" s="21" t="s">
        <v>69</v>
      </c>
      <c r="K275" s="281" t="s">
        <v>34</v>
      </c>
      <c r="L275" s="78" t="s">
        <v>1066</v>
      </c>
      <c r="M275" s="151">
        <f>IF(SUM(V275:BC275)=0,"-",SUM(V275:BC275))</f>
        <v>1</v>
      </c>
      <c r="N275" s="241">
        <f>IF(SUMPRODUCT($V$3:$BC$3,V275:BC275)=0,"-",SUMPRODUCT($V$3:$BC$3,V275:BC275))</f>
        <v>35</v>
      </c>
      <c r="O275" s="266" t="s">
        <v>1067</v>
      </c>
      <c r="P275" s="279" t="str">
        <f>IF(G275="","",IFERROR(IF(S275="Sent","",IF(I275="Delivered","PO en attente","Projet en cours")),""))</f>
        <v/>
      </c>
      <c r="Q275" s="258">
        <v>4270027413</v>
      </c>
      <c r="R275" s="258"/>
      <c r="S275" s="211" t="s">
        <v>249</v>
      </c>
      <c r="T275" s="211" t="s">
        <v>1063</v>
      </c>
      <c r="U275" s="257" t="s">
        <v>1217</v>
      </c>
      <c r="W275" s="8">
        <v>1</v>
      </c>
      <c r="AZ275" s="8"/>
      <c r="BA275" s="7"/>
      <c r="BB275" s="8"/>
      <c r="BC275" s="7"/>
      <c r="BD275" s="5"/>
      <c r="BF275" s="9"/>
    </row>
    <row r="276" spans="1:58" hidden="1">
      <c r="A276" s="286" t="s">
        <v>244</v>
      </c>
      <c r="B276" s="286" t="s">
        <v>221</v>
      </c>
      <c r="C276" s="280" t="s">
        <v>3</v>
      </c>
      <c r="D276" s="281" t="str">
        <f>IF(F276="","",CHOOSE(MONTH(F276),"Q4","Q4","Q4","Q1","Q1","Q1","Q2","Q2","Q2","Q3","Q3","Q3"))</f>
        <v>Q3</v>
      </c>
      <c r="E276" s="282" t="str">
        <f>IF(F276="","",CHOOSE(MONTH(F276),"10-JAN","11-FEB","12-MAR","01-APR","02-MAY","03-JUN","04-JUL","05-AUG","06-SEP","07-OCT","08-NOV","09-DEC"))</f>
        <v>08-NOV</v>
      </c>
      <c r="F276" s="242">
        <v>45260</v>
      </c>
      <c r="G276" s="55" t="s">
        <v>1076</v>
      </c>
      <c r="H276" s="5" t="s">
        <v>27</v>
      </c>
      <c r="I276" s="29" t="s">
        <v>223</v>
      </c>
      <c r="J276" s="8" t="s">
        <v>130</v>
      </c>
      <c r="K276" s="281" t="s">
        <v>34</v>
      </c>
      <c r="L276" s="78" t="s">
        <v>1077</v>
      </c>
      <c r="M276" s="151">
        <f>IF(SUM(V276:BC276)=0,"-",SUM(V276:BC276))</f>
        <v>3</v>
      </c>
      <c r="N276" s="241">
        <f>IF(SUMPRODUCT($V$3:$BC$3,V276:BC276)=0,"-",SUMPRODUCT($V$3:$BC$3,V276:BC276))</f>
        <v>190</v>
      </c>
      <c r="O276" s="266" t="s">
        <v>1078</v>
      </c>
      <c r="P276" s="269" t="str">
        <f>IF(G276="","",IFERROR(IF(S276="Sent","",IF(I276="Delivered","PO en attente","Projet en cours")),""))</f>
        <v/>
      </c>
      <c r="Q276" s="256" t="s">
        <v>640</v>
      </c>
      <c r="R276" s="256"/>
      <c r="S276" s="256" t="s">
        <v>249</v>
      </c>
      <c r="T276" s="256" t="s">
        <v>641</v>
      </c>
      <c r="U276" s="257" t="s">
        <v>481</v>
      </c>
      <c r="V276" s="7">
        <v>1</v>
      </c>
      <c r="W276" s="8">
        <v>2</v>
      </c>
      <c r="BC276" s="7"/>
      <c r="BD276" s="5"/>
      <c r="BF276" s="9"/>
    </row>
    <row r="277" spans="1:58" hidden="1">
      <c r="A277" s="286" t="s">
        <v>244</v>
      </c>
      <c r="B277" s="286" t="s">
        <v>221</v>
      </c>
      <c r="C277" s="280" t="s">
        <v>3</v>
      </c>
      <c r="D277" s="281" t="str">
        <f>IF(F277="","",CHOOSE(MONTH(F277),"Q4","Q4","Q4","Q1","Q1","Q1","Q2","Q2","Q2","Q3","Q3","Q3"))</f>
        <v>Q3</v>
      </c>
      <c r="E277" s="282" t="str">
        <f>IF(F277="","",CHOOSE(MONTH(F277),"10-JAN","11-FEB","12-MAR","01-APR","02-MAY","03-JUN","04-JUL","05-AUG","06-SEP","07-OCT","08-NOV","09-DEC"))</f>
        <v>08-NOV</v>
      </c>
      <c r="F277" s="242">
        <v>45260</v>
      </c>
      <c r="G277" s="55" t="s">
        <v>1069</v>
      </c>
      <c r="H277" s="5" t="s">
        <v>27</v>
      </c>
      <c r="I277" s="29" t="s">
        <v>223</v>
      </c>
      <c r="J277" s="8" t="s">
        <v>130</v>
      </c>
      <c r="K277" s="281" t="s">
        <v>34</v>
      </c>
      <c r="L277" s="78" t="s">
        <v>1070</v>
      </c>
      <c r="M277" s="151">
        <f>IF(SUM(V277:BC277)=0,"-",SUM(V277:BC277))</f>
        <v>2</v>
      </c>
      <c r="N277" s="241">
        <f>IF(SUMPRODUCT($V$3:$BC$3,V277:BC277)=0,"-",SUMPRODUCT($V$3:$BC$3,V277:BC277))</f>
        <v>115</v>
      </c>
      <c r="O277" s="266" t="s">
        <v>1071</v>
      </c>
      <c r="P277" s="269" t="str">
        <f>IF(G277="","",IFERROR(IF(S277="Sent","",IF(I277="Delivered","PO en attente","Projet en cours")),""))</f>
        <v/>
      </c>
      <c r="Q277" s="258">
        <v>4200657357</v>
      </c>
      <c r="R277" s="258"/>
      <c r="S277" s="211" t="s">
        <v>249</v>
      </c>
      <c r="T277" s="211" t="s">
        <v>1072</v>
      </c>
      <c r="U277" s="249" t="s">
        <v>1246</v>
      </c>
      <c r="W277" s="8">
        <v>1</v>
      </c>
      <c r="AS277" s="7">
        <v>1</v>
      </c>
      <c r="AZ277" s="8"/>
      <c r="BA277" s="7"/>
      <c r="BB277" s="8"/>
      <c r="BC277" s="7"/>
      <c r="BD277" s="5"/>
      <c r="BF277" s="9"/>
    </row>
    <row r="278" spans="1:58" hidden="1">
      <c r="A278" s="286" t="s">
        <v>244</v>
      </c>
      <c r="B278" s="286" t="s">
        <v>221</v>
      </c>
      <c r="C278" s="280" t="s">
        <v>3</v>
      </c>
      <c r="D278" s="281" t="str">
        <f>IF(F278="","",CHOOSE(MONTH(F278),"Q4","Q4","Q4","Q1","Q1","Q1","Q2","Q2","Q2","Q3","Q3","Q3"))</f>
        <v>Q3</v>
      </c>
      <c r="E278" s="282" t="str">
        <f>IF(F278="","",CHOOSE(MONTH(F278),"10-JAN","11-FEB","12-MAR","01-APR","02-MAY","03-JUN","04-JUL","05-AUG","06-SEP","07-OCT","08-NOV","09-DEC"))</f>
        <v>08-NOV</v>
      </c>
      <c r="F278" s="242">
        <v>45260</v>
      </c>
      <c r="G278" s="462" t="s">
        <v>1073</v>
      </c>
      <c r="H278" s="459" t="s">
        <v>33</v>
      </c>
      <c r="I278" s="29" t="s">
        <v>223</v>
      </c>
      <c r="J278" s="8" t="s">
        <v>69</v>
      </c>
      <c r="K278" s="281" t="s">
        <v>30</v>
      </c>
      <c r="L278" s="78" t="s">
        <v>1074</v>
      </c>
      <c r="M278" s="151">
        <f>IF(SUM(V278:BC278)=0,"-",SUM(V278:BC278))</f>
        <v>1</v>
      </c>
      <c r="N278" s="278">
        <f>IF(SUMPRODUCT($V$3:$BC$3,V278:BC278)=0,"-",SUMPRODUCT($V$3:$BC$3,V278:BC278))</f>
        <v>250</v>
      </c>
      <c r="O278" s="266" t="s">
        <v>1075</v>
      </c>
      <c r="P278" s="279" t="str">
        <f>IF(G278="","",IFERROR(IF(S278="Sent","",IF(I278="Delivered","PO en attente","Projet en cours")),""))</f>
        <v/>
      </c>
      <c r="Q278" s="258" t="s">
        <v>1312</v>
      </c>
      <c r="R278" s="258"/>
      <c r="S278" s="211" t="s">
        <v>249</v>
      </c>
      <c r="T278" s="211" t="s">
        <v>1313</v>
      </c>
      <c r="U278" s="249" t="s">
        <v>1314</v>
      </c>
      <c r="AF278" s="8">
        <v>1</v>
      </c>
      <c r="AZ278" s="8"/>
      <c r="BA278" s="7"/>
      <c r="BB278" s="8"/>
      <c r="BC278" s="7"/>
      <c r="BD278" s="8"/>
      <c r="BE278" s="8"/>
      <c r="BF278" s="9"/>
    </row>
    <row r="279" spans="1:58" hidden="1">
      <c r="A279" s="286" t="s">
        <v>244</v>
      </c>
      <c r="B279" s="286" t="s">
        <v>221</v>
      </c>
      <c r="C279" s="280" t="s">
        <v>3</v>
      </c>
      <c r="D279" s="281" t="str">
        <f>IF(F279="","",CHOOSE(MONTH(F279),"Q4","Q4","Q4","Q1","Q1","Q1","Q2","Q2","Q2","Q3","Q3","Q3"))</f>
        <v>Q3</v>
      </c>
      <c r="E279" s="282" t="str">
        <f>IF(F279="","",CHOOSE(MONTH(F279),"10-JAN","11-FEB","12-MAR","01-APR","02-MAY","03-JUN","04-JUL","05-AUG","06-SEP","07-OCT","08-NOV","09-DEC"))</f>
        <v>09-DEC</v>
      </c>
      <c r="F279" s="242">
        <v>45274</v>
      </c>
      <c r="G279" s="55" t="s">
        <v>1080</v>
      </c>
      <c r="H279" s="5" t="s">
        <v>27</v>
      </c>
      <c r="I279" s="29" t="s">
        <v>223</v>
      </c>
      <c r="J279" s="8" t="s">
        <v>130</v>
      </c>
      <c r="K279" s="281" t="s">
        <v>34</v>
      </c>
      <c r="L279" s="78" t="s">
        <v>1081</v>
      </c>
      <c r="M279" s="151">
        <f>IF(SUM(V279:BC279)=0,"-",SUM(V279:BC279))</f>
        <v>2</v>
      </c>
      <c r="N279" s="241">
        <f>IF(SUMPRODUCT($V$3:$BC$3,V279:BC279)=0,"-",SUMPRODUCT($V$3:$BC$3,V279:BC279))</f>
        <v>70</v>
      </c>
      <c r="O279" s="266" t="s">
        <v>1082</v>
      </c>
      <c r="P279" s="269" t="str">
        <f>IF(G279="","",IFERROR(IF(S279="Sent","",IF(I279="Delivered","PO en attente","Projet en cours")),""))</f>
        <v/>
      </c>
      <c r="Q279" s="258">
        <v>4200657357</v>
      </c>
      <c r="R279" s="258"/>
      <c r="S279" s="211" t="s">
        <v>249</v>
      </c>
      <c r="T279" s="211" t="s">
        <v>1072</v>
      </c>
      <c r="U279" s="249" t="s">
        <v>1246</v>
      </c>
      <c r="W279" s="8">
        <v>2</v>
      </c>
      <c r="AZ279" s="8"/>
      <c r="BA279" s="7"/>
      <c r="BB279" s="8"/>
      <c r="BC279" s="7"/>
      <c r="BD279" s="5"/>
      <c r="BF279" s="9"/>
    </row>
    <row r="280" spans="1:58" hidden="1">
      <c r="A280" s="286" t="s">
        <v>244</v>
      </c>
      <c r="B280" s="286" t="s">
        <v>221</v>
      </c>
      <c r="C280" s="280" t="s">
        <v>3</v>
      </c>
      <c r="D280" s="281" t="str">
        <f>IF(F280="","",CHOOSE(MONTH(F280),"Q4","Q4","Q4","Q1","Q1","Q1","Q2","Q2","Q2","Q3","Q3","Q3"))</f>
        <v>Q3</v>
      </c>
      <c r="E280" s="282" t="str">
        <f>IF(F280="","",CHOOSE(MONTH(F280),"10-JAN","11-FEB","12-MAR","01-APR","02-MAY","03-JUN","04-JUL","05-AUG","06-SEP","07-OCT","08-NOV","09-DEC"))</f>
        <v>09-DEC</v>
      </c>
      <c r="F280" s="242">
        <v>45274</v>
      </c>
      <c r="G280" s="112" t="s">
        <v>369</v>
      </c>
      <c r="H280" s="459" t="s">
        <v>31</v>
      </c>
      <c r="I280" s="29" t="s">
        <v>223</v>
      </c>
      <c r="J280" s="8" t="s">
        <v>69</v>
      </c>
      <c r="K280" s="281" t="s">
        <v>30</v>
      </c>
      <c r="L280" s="30" t="s">
        <v>370</v>
      </c>
      <c r="M280" s="151">
        <f>IF(SUM(V280:BC280)=0,"-",SUM(V280:BC280))</f>
        <v>1</v>
      </c>
      <c r="N280" s="241">
        <f>IF(SUMPRODUCT($V$3:$BC$3,V280:BC280)=0,"-",SUMPRODUCT($V$3:$BC$3,V280:BC280))</f>
        <v>120</v>
      </c>
      <c r="P280" s="279" t="str">
        <f>IF(G280="","",IFERROR(IF(S280="Sent","",IF(I280="Delivered","PO en attente","Projet en cours")),""))</f>
        <v/>
      </c>
      <c r="Q280" s="296">
        <v>4200654186</v>
      </c>
      <c r="R280" s="260" t="s">
        <v>309</v>
      </c>
      <c r="S280" s="260" t="s">
        <v>249</v>
      </c>
      <c r="T280" s="260" t="s">
        <v>371</v>
      </c>
      <c r="U280" s="257" t="s">
        <v>1217</v>
      </c>
      <c r="V280" s="7">
        <v>1</v>
      </c>
      <c r="AZ280" s="8"/>
      <c r="BA280" s="7"/>
      <c r="BB280" s="8"/>
      <c r="BC280" s="7"/>
      <c r="BD280" s="5"/>
      <c r="BF280" s="9"/>
    </row>
    <row r="281" spans="1:58" hidden="1">
      <c r="A281" s="286" t="s">
        <v>244</v>
      </c>
      <c r="B281" s="286" t="s">
        <v>221</v>
      </c>
      <c r="C281" s="280" t="s">
        <v>3</v>
      </c>
      <c r="D281" s="281" t="str">
        <f>IF(F281="","",CHOOSE(MONTH(F281),"Q4","Q4","Q4","Q1","Q1","Q1","Q2","Q2","Q2","Q3","Q3","Q3"))</f>
        <v>Q3</v>
      </c>
      <c r="E281" s="282" t="str">
        <f>IF(F281="","",CHOOSE(MONTH(F281),"10-JAN","11-FEB","12-MAR","01-APR","02-MAY","03-JUN","04-JUL","05-AUG","06-SEP","07-OCT","08-NOV","09-DEC"))</f>
        <v>09-DEC</v>
      </c>
      <c r="F281" s="242">
        <v>45275</v>
      </c>
      <c r="G281" s="55" t="s">
        <v>1086</v>
      </c>
      <c r="H281" s="5" t="s">
        <v>36</v>
      </c>
      <c r="I281" s="29" t="s">
        <v>223</v>
      </c>
      <c r="J281" s="8" t="s">
        <v>69</v>
      </c>
      <c r="K281" s="281" t="s">
        <v>34</v>
      </c>
      <c r="L281" s="78" t="s">
        <v>1087</v>
      </c>
      <c r="M281" s="151">
        <f>IF(SUM(V281:BC281)=0,"-",SUM(V281:BC281))</f>
        <v>28</v>
      </c>
      <c r="N281" s="332">
        <f>IF(SUMPRODUCT($V$3:$BC$3,V281:BC281)=0,"-",SUMPRODUCT($V$3:$BC$3,V281:BC281))</f>
        <v>1535</v>
      </c>
      <c r="O281" s="333" t="s">
        <v>1088</v>
      </c>
      <c r="P281" s="279" t="str">
        <f>IF(G281="","",IFERROR(IF(S281="Sent","",IF(I281="Delivered","PO en attente","Projet en cours")),""))</f>
        <v/>
      </c>
      <c r="Q281" s="353">
        <v>4200656596</v>
      </c>
      <c r="R281" s="296"/>
      <c r="S281" s="260" t="s">
        <v>249</v>
      </c>
      <c r="T281" s="260" t="s">
        <v>1298</v>
      </c>
      <c r="U281" s="356" t="s">
        <v>1299</v>
      </c>
      <c r="V281" s="7">
        <v>3</v>
      </c>
      <c r="W281" s="8">
        <f>9*3-6</f>
        <v>21</v>
      </c>
      <c r="AD281" s="8">
        <v>2</v>
      </c>
      <c r="AE281" s="8">
        <v>2</v>
      </c>
      <c r="AZ281" s="8"/>
      <c r="BA281" s="7"/>
      <c r="BB281" s="8"/>
      <c r="BC281" s="7"/>
      <c r="BD281" s="5"/>
      <c r="BF281" s="9"/>
    </row>
    <row r="282" spans="1:58" hidden="1">
      <c r="A282" s="286" t="s">
        <v>244</v>
      </c>
      <c r="B282" s="286" t="s">
        <v>221</v>
      </c>
      <c r="C282" s="280" t="s">
        <v>3</v>
      </c>
      <c r="D282" s="281" t="str">
        <f>IF(F282="","",CHOOSE(MONTH(F282),"Q4","Q4","Q4","Q1","Q1","Q1","Q2","Q2","Q2","Q3","Q3","Q3"))</f>
        <v>Q3</v>
      </c>
      <c r="E282" s="282" t="str">
        <f>IF(F282="","",CHOOSE(MONTH(F282),"10-JAN","11-FEB","12-MAR","01-APR","02-MAY","03-JUN","04-JUL","05-AUG","06-SEP","07-OCT","08-NOV","09-DEC"))</f>
        <v>09-DEC</v>
      </c>
      <c r="F282" s="242">
        <v>45278</v>
      </c>
      <c r="G282" s="55" t="s">
        <v>1089</v>
      </c>
      <c r="H282" s="5" t="s">
        <v>27</v>
      </c>
      <c r="I282" s="29" t="s">
        <v>223</v>
      </c>
      <c r="J282" s="8" t="s">
        <v>67</v>
      </c>
      <c r="K282" s="281" t="s">
        <v>34</v>
      </c>
      <c r="L282" s="78" t="s">
        <v>1090</v>
      </c>
      <c r="M282" s="151">
        <f>IF(SUM(V282:BC282)=0,"-",SUM(V282:BC282))</f>
        <v>8</v>
      </c>
      <c r="N282" s="241">
        <f>IF(SUMPRODUCT($V$3:$BC$3,V282:BC282)=0,"-",SUMPRODUCT($V$3:$BC$3,V282:BC282))</f>
        <v>365</v>
      </c>
      <c r="O282" s="266" t="s">
        <v>1091</v>
      </c>
      <c r="P282" s="269" t="str">
        <f>IF(G282="","",IFERROR(IF(S282="Sent","",IF(I282="Delivered","PO en attente","Projet en cours")),""))</f>
        <v/>
      </c>
      <c r="Q282" s="258">
        <v>4200657327</v>
      </c>
      <c r="R282" s="258"/>
      <c r="S282" s="211" t="s">
        <v>249</v>
      </c>
      <c r="T282" s="211" t="s">
        <v>981</v>
      </c>
      <c r="U282" s="249" t="s">
        <v>1246</v>
      </c>
      <c r="V282" s="7">
        <v>1</v>
      </c>
      <c r="W282" s="8">
        <v>7</v>
      </c>
      <c r="AZ282" s="8"/>
      <c r="BA282" s="7"/>
      <c r="BB282" s="8"/>
      <c r="BC282" s="7"/>
      <c r="BD282" s="5"/>
      <c r="BF282" s="9"/>
    </row>
    <row r="283" spans="1:58" hidden="1">
      <c r="A283" s="286" t="s">
        <v>244</v>
      </c>
      <c r="B283" s="286" t="s">
        <v>221</v>
      </c>
      <c r="C283" s="280" t="s">
        <v>3</v>
      </c>
      <c r="D283" s="281" t="str">
        <f>IF(F283="","",CHOOSE(MONTH(F283),"Q4","Q4","Q4","Q1","Q1","Q1","Q2","Q2","Q2","Q3","Q3","Q3"))</f>
        <v>Q3</v>
      </c>
      <c r="E283" s="282" t="str">
        <f>IF(F283="","",CHOOSE(MONTH(F283),"10-JAN","11-FEB","12-MAR","01-APR","02-MAY","03-JUN","04-JUL","05-AUG","06-SEP","07-OCT","08-NOV","09-DEC"))</f>
        <v>09-DEC</v>
      </c>
      <c r="F283" s="242">
        <v>45280</v>
      </c>
      <c r="G283" s="55" t="s">
        <v>1092</v>
      </c>
      <c r="H283" s="113" t="s">
        <v>27</v>
      </c>
      <c r="I283" s="29" t="s">
        <v>223</v>
      </c>
      <c r="J283" s="8" t="s">
        <v>130</v>
      </c>
      <c r="K283" s="281" t="s">
        <v>34</v>
      </c>
      <c r="L283" s="78" t="s">
        <v>1093</v>
      </c>
      <c r="M283" s="151">
        <f>IF(SUM(V283:BC283)=0,"-",SUM(V283:BC283))</f>
        <v>1</v>
      </c>
      <c r="N283" s="241">
        <f>IF(SUMPRODUCT($V$3:$BC$3,V283:BC283)=0,"-",SUMPRODUCT($V$3:$BC$3,V283:BC283))</f>
        <v>35</v>
      </c>
      <c r="O283" s="266" t="s">
        <v>1094</v>
      </c>
      <c r="P283" s="269" t="str">
        <f>IF(G283="","",IFERROR(IF(S283="Sent","",IF(I283="Delivered","PO en attente","Projet en cours")),""))</f>
        <v/>
      </c>
      <c r="Q283" s="258">
        <v>4200657357</v>
      </c>
      <c r="R283" s="258"/>
      <c r="S283" s="211" t="s">
        <v>249</v>
      </c>
      <c r="T283" s="211" t="s">
        <v>1072</v>
      </c>
      <c r="U283" s="249" t="s">
        <v>1246</v>
      </c>
      <c r="W283" s="8">
        <v>1</v>
      </c>
      <c r="AZ283" s="8"/>
      <c r="BA283" s="7"/>
      <c r="BB283" s="8"/>
      <c r="BC283" s="7"/>
      <c r="BD283" s="5"/>
      <c r="BF283" s="9"/>
    </row>
    <row r="284" spans="1:58" hidden="1">
      <c r="A284" s="286" t="s">
        <v>244</v>
      </c>
      <c r="B284" s="286" t="s">
        <v>221</v>
      </c>
      <c r="C284" s="280" t="s">
        <v>3</v>
      </c>
      <c r="D284" s="281" t="str">
        <f>IF(F284="","",CHOOSE(MONTH(F284),"Q4","Q4","Q4","Q1","Q1","Q1","Q2","Q2","Q2","Q3","Q3","Q3"))</f>
        <v>Q3</v>
      </c>
      <c r="E284" s="282" t="str">
        <f>IF(F284="","",CHOOSE(MONTH(F284),"10-JAN","11-FEB","12-MAR","01-APR","02-MAY","03-JUN","04-JUL","05-AUG","06-SEP","07-OCT","08-NOV","09-DEC"))</f>
        <v>09-DEC</v>
      </c>
      <c r="F284" s="242">
        <v>45280</v>
      </c>
      <c r="G284" s="220" t="s">
        <v>1095</v>
      </c>
      <c r="H284" s="5" t="s">
        <v>27</v>
      </c>
      <c r="I284" s="118" t="s">
        <v>223</v>
      </c>
      <c r="J284" s="8" t="s">
        <v>95</v>
      </c>
      <c r="K284" s="281" t="s">
        <v>34</v>
      </c>
      <c r="L284" s="78" t="s">
        <v>1315</v>
      </c>
      <c r="M284" s="151">
        <f>IF(SUM(V284:BC284)=0,"-",SUM(V284:BC284))</f>
        <v>1</v>
      </c>
      <c r="N284" s="241">
        <f>IF(SUMPRODUCT($V$3:$BC$3,V284:BC284)=0,"-",SUMPRODUCT($V$3:$BC$3,V284:BC284))</f>
        <v>220</v>
      </c>
      <c r="O284" s="266" t="s">
        <v>1097</v>
      </c>
      <c r="P284" s="269" t="str">
        <f>IF(G284="","",IFERROR(IF(S284="Sent","",IF(I284="Delivered","PO en attente","Projet en cours")),""))</f>
        <v/>
      </c>
      <c r="Q284" s="258">
        <v>4200657347</v>
      </c>
      <c r="R284" s="258"/>
      <c r="S284" s="211" t="s">
        <v>249</v>
      </c>
      <c r="T284" s="211" t="s">
        <v>1098</v>
      </c>
      <c r="U284" s="249" t="s">
        <v>1246</v>
      </c>
      <c r="X284" s="8">
        <v>1</v>
      </c>
      <c r="AZ284" s="8"/>
      <c r="BA284" s="7"/>
      <c r="BB284" s="8"/>
      <c r="BC284" s="7"/>
      <c r="BD284" s="5"/>
      <c r="BF284" s="9"/>
    </row>
    <row r="285" spans="1:58" hidden="1">
      <c r="A285" s="286" t="s">
        <v>244</v>
      </c>
      <c r="B285" s="286" t="s">
        <v>221</v>
      </c>
      <c r="C285" s="280" t="s">
        <v>3</v>
      </c>
      <c r="D285" s="281" t="str">
        <f>IF(F285="","",CHOOSE(MONTH(F285),"Q4","Q4","Q4","Q1","Q1","Q1","Q2","Q2","Q2","Q3","Q3","Q3"))</f>
        <v>Q3</v>
      </c>
      <c r="E285" s="282" t="str">
        <f>IF(F285="","",CHOOSE(MONTH(F285),"10-JAN","11-FEB","12-MAR","01-APR","02-MAY","03-JUN","04-JUL","05-AUG","06-SEP","07-OCT","08-NOV","09-DEC"))</f>
        <v>09-DEC</v>
      </c>
      <c r="F285" s="242">
        <v>45280</v>
      </c>
      <c r="G285" s="55" t="s">
        <v>1099</v>
      </c>
      <c r="H285" s="5" t="s">
        <v>36</v>
      </c>
      <c r="I285" s="29" t="s">
        <v>223</v>
      </c>
      <c r="J285" s="8" t="s">
        <v>69</v>
      </c>
      <c r="K285" s="281" t="s">
        <v>34</v>
      </c>
      <c r="L285" s="78" t="s">
        <v>1100</v>
      </c>
      <c r="M285" s="151">
        <f>IF(SUM(V285:BC285)=0,"-",SUM(V285:BC285))</f>
        <v>11</v>
      </c>
      <c r="N285" s="278">
        <f>IF(SUMPRODUCT($V$3:$BC$3,V285:BC285)=0,"-",SUMPRODUCT($V$3:$BC$3,V285:BC285))</f>
        <v>880</v>
      </c>
      <c r="O285" s="266" t="s">
        <v>1101</v>
      </c>
      <c r="P285" s="279" t="str">
        <f>IF(G285="","",IFERROR(IF(S285="Sent","",IF(I285="Delivered","PO en attente","Projet en cours")),""))</f>
        <v/>
      </c>
      <c r="Q285" s="301">
        <v>4200659650</v>
      </c>
      <c r="R285" s="211"/>
      <c r="S285" s="211" t="s">
        <v>249</v>
      </c>
      <c r="T285" s="211" t="s">
        <v>1309</v>
      </c>
      <c r="U285" s="249" t="s">
        <v>1202</v>
      </c>
      <c r="V285" s="7">
        <v>1</v>
      </c>
      <c r="W285" s="8">
        <v>4</v>
      </c>
      <c r="AC285" s="7">
        <v>4</v>
      </c>
      <c r="AD285" s="8">
        <v>2</v>
      </c>
      <c r="AZ285" s="8"/>
      <c r="BA285" s="7"/>
      <c r="BB285" s="8"/>
      <c r="BC285" s="7"/>
      <c r="BD285" s="8"/>
      <c r="BE285" s="8"/>
      <c r="BF285" s="9"/>
    </row>
    <row r="286" spans="1:58" hidden="1">
      <c r="A286" s="286" t="s">
        <v>244</v>
      </c>
      <c r="B286" s="286" t="s">
        <v>221</v>
      </c>
      <c r="C286" s="280" t="s">
        <v>3</v>
      </c>
      <c r="D286" s="281" t="str">
        <f>IF(F286="","",CHOOSE(MONTH(F286),"Q4","Q4","Q4","Q1","Q1","Q1","Q2","Q2","Q2","Q3","Q3","Q3"))</f>
        <v>Q3</v>
      </c>
      <c r="E286" s="282" t="str">
        <f>IF(F286="","",CHOOSE(MONTH(F286),"10-JAN","11-FEB","12-MAR","01-APR","02-MAY","03-JUN","04-JUL","05-AUG","06-SEP","07-OCT","08-NOV","09-DEC"))</f>
        <v>09-DEC</v>
      </c>
      <c r="F286" s="242">
        <v>45286</v>
      </c>
      <c r="G286" s="55" t="s">
        <v>1102</v>
      </c>
      <c r="H286" s="5" t="s">
        <v>27</v>
      </c>
      <c r="I286" s="29" t="s">
        <v>223</v>
      </c>
      <c r="J286" s="8" t="s">
        <v>69</v>
      </c>
      <c r="K286" s="281" t="s">
        <v>34</v>
      </c>
      <c r="L286" s="78" t="s">
        <v>1103</v>
      </c>
      <c r="M286" s="151">
        <f>IF(SUM(V286:BC286)=0,"-",SUM(V286:BC286))</f>
        <v>1</v>
      </c>
      <c r="N286" s="241">
        <f>IF(SUMPRODUCT($V$3:$BC$3,V286:BC286)=0,"-",SUMPRODUCT($V$3:$BC$3,V286:BC286))</f>
        <v>220</v>
      </c>
      <c r="O286" s="266" t="s">
        <v>1104</v>
      </c>
      <c r="P286" s="269" t="str">
        <f>IF(G286="","",IFERROR(IF(S286="Sent","",IF(I286="Delivered","PO en attente","Projet en cours")),""))</f>
        <v/>
      </c>
      <c r="Q286" s="258">
        <v>4200657327</v>
      </c>
      <c r="R286" s="258"/>
      <c r="S286" s="211" t="s">
        <v>249</v>
      </c>
      <c r="T286" s="211" t="s">
        <v>981</v>
      </c>
      <c r="U286" s="249" t="s">
        <v>1246</v>
      </c>
      <c r="X286" s="8">
        <v>1</v>
      </c>
      <c r="AZ286" s="8"/>
      <c r="BA286" s="7"/>
      <c r="BB286" s="8"/>
      <c r="BC286" s="7"/>
      <c r="BD286" s="5"/>
      <c r="BF286" s="9"/>
    </row>
    <row r="287" spans="1:58" hidden="1">
      <c r="A287" s="286" t="s">
        <v>244</v>
      </c>
      <c r="B287" s="286" t="s">
        <v>221</v>
      </c>
      <c r="C287" s="280" t="s">
        <v>3</v>
      </c>
      <c r="D287" s="281" t="str">
        <f>IF(F287="","",CHOOSE(MONTH(F287),"Q4","Q4","Q4","Q1","Q1","Q1","Q2","Q2","Q2","Q3","Q3","Q3"))</f>
        <v>Q3</v>
      </c>
      <c r="E287" s="282" t="str">
        <f>IF(F287="","",CHOOSE(MONTH(F287),"10-JAN","11-FEB","12-MAR","01-APR","02-MAY","03-JUN","04-JUL","05-AUG","06-SEP","07-OCT","08-NOV","09-DEC"))</f>
        <v>09-DEC</v>
      </c>
      <c r="F287" s="242">
        <v>45288</v>
      </c>
      <c r="G287" s="55" t="s">
        <v>1105</v>
      </c>
      <c r="H287" s="5" t="s">
        <v>35</v>
      </c>
      <c r="I287" s="29" t="s">
        <v>223</v>
      </c>
      <c r="J287" s="8" t="s">
        <v>129</v>
      </c>
      <c r="K287" s="281" t="s">
        <v>34</v>
      </c>
      <c r="L287" s="78" t="s">
        <v>1107</v>
      </c>
      <c r="M287" s="151">
        <f>IF(SUM(V287:BC287)=0,"-",SUM(V287:BC287))</f>
        <v>4</v>
      </c>
      <c r="N287" s="241">
        <f>IF(SUMPRODUCT($V$3:$BC$3,V287:BC287)=0,"-",SUMPRODUCT($V$3:$BC$3,V287:BC287))</f>
        <v>160</v>
      </c>
      <c r="O287" s="266" t="s">
        <v>1108</v>
      </c>
      <c r="P287" s="279" t="str">
        <f>IF(G287="","",IFERROR(IF(S287="Sent","",IF(I287="Delivered","PO en attente","Projet en cours")),""))</f>
        <v/>
      </c>
      <c r="Q287" s="211">
        <v>4200658460</v>
      </c>
      <c r="R287" s="211"/>
      <c r="S287" s="211" t="s">
        <v>249</v>
      </c>
      <c r="T287" s="211" t="s">
        <v>1109</v>
      </c>
      <c r="U287" s="316" t="s">
        <v>1217</v>
      </c>
      <c r="AD287" s="8">
        <v>4</v>
      </c>
      <c r="AZ287" s="8"/>
      <c r="BA287" s="7"/>
      <c r="BB287" s="8"/>
      <c r="BC287" s="7"/>
      <c r="BD287" s="5"/>
      <c r="BF287" s="9"/>
    </row>
    <row r="288" spans="1:58" hidden="1">
      <c r="A288" s="286" t="s">
        <v>244</v>
      </c>
      <c r="B288" s="286" t="s">
        <v>221</v>
      </c>
      <c r="C288" s="280" t="s">
        <v>3</v>
      </c>
      <c r="D288" s="281" t="str">
        <f>IF(F288="","",CHOOSE(MONTH(F288),"Q4","Q4","Q4","Q1","Q1","Q1","Q2","Q2","Q2","Q3","Q3","Q3"))</f>
        <v>Q3</v>
      </c>
      <c r="E288" s="282" t="str">
        <f>IF(F288="","",CHOOSE(MONTH(F288),"10-JAN","11-FEB","12-MAR","01-APR","02-MAY","03-JUN","04-JUL","05-AUG","06-SEP","07-OCT","08-NOV","09-DEC"))</f>
        <v>09-DEC</v>
      </c>
      <c r="F288" s="242">
        <v>45289</v>
      </c>
      <c r="G288" s="55" t="s">
        <v>1110</v>
      </c>
      <c r="H288" s="5" t="s">
        <v>27</v>
      </c>
      <c r="I288" s="29" t="s">
        <v>223</v>
      </c>
      <c r="J288" s="8" t="s">
        <v>69</v>
      </c>
      <c r="K288" s="281" t="s">
        <v>34</v>
      </c>
      <c r="L288" s="78" t="s">
        <v>1111</v>
      </c>
      <c r="M288" s="151">
        <f>IF(SUM(V288:BC288)=0,"-",SUM(V288:BC288))</f>
        <v>10</v>
      </c>
      <c r="N288" s="241">
        <f>IF(SUMPRODUCT($V$3:$BC$3,V288:BC288)=0,"-",SUMPRODUCT($V$3:$BC$3,V288:BC288))</f>
        <v>605</v>
      </c>
      <c r="P288" s="269" t="str">
        <f>IF(G288="","",IFERROR(IF(S288="Sent","",IF(I288="Delivered","PO en attente","Projet en cours")),""))</f>
        <v/>
      </c>
      <c r="Q288" s="258">
        <v>4200655525</v>
      </c>
      <c r="R288" s="258"/>
      <c r="S288" s="211" t="s">
        <v>249</v>
      </c>
      <c r="T288" s="211" t="s">
        <v>1085</v>
      </c>
      <c r="U288" s="320" t="s">
        <v>1310</v>
      </c>
      <c r="V288" s="7">
        <v>3</v>
      </c>
      <c r="W288" s="8">
        <v>7</v>
      </c>
      <c r="AZ288" s="8"/>
      <c r="BA288" s="7"/>
      <c r="BB288" s="8"/>
      <c r="BC288" s="7"/>
      <c r="BD288" s="5"/>
      <c r="BF288" s="9"/>
    </row>
    <row r="289" spans="1:58" hidden="1">
      <c r="A289" s="286" t="s">
        <v>244</v>
      </c>
      <c r="B289" s="286" t="s">
        <v>221</v>
      </c>
      <c r="C289" s="280" t="s">
        <v>3</v>
      </c>
      <c r="D289" s="281" t="str">
        <f>IF(F289="","",CHOOSE(MONTH(F289),"Q4","Q4","Q4","Q1","Q1","Q1","Q2","Q2","Q2","Q3","Q3","Q3"))</f>
        <v>Q3</v>
      </c>
      <c r="E289" s="282" t="str">
        <f>IF(F289="","",CHOOSE(MONTH(F289),"10-JAN","11-FEB","12-MAR","01-APR","02-MAY","03-JUN","04-JUL","05-AUG","06-SEP","07-OCT","08-NOV","09-DEC"))</f>
        <v>09-DEC</v>
      </c>
      <c r="F289" s="242">
        <v>45291</v>
      </c>
      <c r="G289" s="231" t="s">
        <v>430</v>
      </c>
      <c r="H289" s="5" t="s">
        <v>26</v>
      </c>
      <c r="I289" s="118" t="s">
        <v>223</v>
      </c>
      <c r="J289" s="8" t="s">
        <v>95</v>
      </c>
      <c r="K289" s="281" t="s">
        <v>30</v>
      </c>
      <c r="L289" s="126" t="s">
        <v>431</v>
      </c>
      <c r="M289" s="151">
        <f>IF(SUM(V289:BC289)=0,"-",SUM(V289:BC289))</f>
        <v>2</v>
      </c>
      <c r="N289" s="278">
        <f>IF(SUMPRODUCT($V$3:$BC$3,V289:BC289)=0,"-",SUMPRODUCT($V$3:$BC$3,V289:BC289))</f>
        <v>155</v>
      </c>
      <c r="P289" s="269" t="str">
        <f>IF(G289="","",IFERROR(IF(S289="Sent","",IF(I289="Delivered","PO en attente","Projet en cours")),""))</f>
        <v/>
      </c>
      <c r="Q289" s="211">
        <v>4200657838</v>
      </c>
      <c r="R289" s="211" t="s">
        <v>1302</v>
      </c>
      <c r="S289" s="248" t="s">
        <v>249</v>
      </c>
      <c r="T289" s="248" t="s">
        <v>1201</v>
      </c>
      <c r="U289" s="372" t="s">
        <v>1202</v>
      </c>
      <c r="V289" s="7">
        <v>1</v>
      </c>
      <c r="W289" s="8">
        <v>1</v>
      </c>
      <c r="BD289" s="7"/>
    </row>
    <row r="290" spans="1:58" hidden="1">
      <c r="A290" s="286" t="s">
        <v>244</v>
      </c>
      <c r="B290" s="286" t="s">
        <v>221</v>
      </c>
      <c r="C290" s="280" t="s">
        <v>3</v>
      </c>
      <c r="D290" s="281" t="str">
        <f>IF(F290="","",CHOOSE(MONTH(F290),"Q4","Q4","Q4","Q1","Q1","Q1","Q2","Q2","Q2","Q3","Q3","Q3"))</f>
        <v>Q4</v>
      </c>
      <c r="E290" s="282" t="str">
        <f>IF(F290="","",CHOOSE(MONTH(F290),"10-JAN","11-FEB","12-MAR","01-APR","02-MAY","03-JUN","04-JUL","05-AUG","06-SEP","07-OCT","08-NOV","09-DEC"))</f>
        <v>10-JAN</v>
      </c>
      <c r="F290" s="242">
        <v>45294</v>
      </c>
      <c r="G290" s="236" t="s">
        <v>413</v>
      </c>
      <c r="H290" s="5" t="s">
        <v>26</v>
      </c>
      <c r="I290" s="29" t="s">
        <v>223</v>
      </c>
      <c r="J290" s="8" t="s">
        <v>130</v>
      </c>
      <c r="K290" s="281" t="s">
        <v>30</v>
      </c>
      <c r="L290" s="78" t="s">
        <v>1316</v>
      </c>
      <c r="M290" s="151">
        <f>IF(SUM(V290:BC290)=0,"-",SUM(V290:BC290))</f>
        <v>7</v>
      </c>
      <c r="N290" s="241">
        <f>IF(SUMPRODUCT($V$3:$BC$3,V290:BC290)=0,"-",SUMPRODUCT($V$3:$BC$3,V290:BC290))</f>
        <v>245</v>
      </c>
      <c r="P290" s="279" t="str">
        <f>IF(G290="","",IFERROR(IF(S290="Sent","",IF(I290="Delivered","PO en attente","Projet en cours")),""))</f>
        <v/>
      </c>
      <c r="Q290" s="211">
        <v>4200657852</v>
      </c>
      <c r="R290" s="211" t="s">
        <v>363</v>
      </c>
      <c r="S290" s="211" t="s">
        <v>249</v>
      </c>
      <c r="T290" s="211" t="s">
        <v>415</v>
      </c>
      <c r="U290" s="316" t="s">
        <v>1317</v>
      </c>
      <c r="W290" s="8">
        <v>7</v>
      </c>
    </row>
    <row r="291" spans="1:58" hidden="1">
      <c r="A291" s="286" t="s">
        <v>220</v>
      </c>
      <c r="B291" s="286" t="s">
        <v>221</v>
      </c>
      <c r="C291" s="280" t="s">
        <v>3</v>
      </c>
      <c r="D291" s="281" t="str">
        <f>IF(F291="","",CHOOSE(MONTH(F291),"Q4","Q4","Q4","Q1","Q1","Q1","Q2","Q2","Q2","Q3","Q3","Q3"))</f>
        <v>Q4</v>
      </c>
      <c r="E291" s="282" t="str">
        <f>IF(F291="","",CHOOSE(MONTH(F291),"10-JAN","11-FEB","12-MAR","01-APR","02-MAY","03-JUN","04-JUL","05-AUG","06-SEP","07-OCT","08-NOV","09-DEC"))</f>
        <v>10-JAN</v>
      </c>
      <c r="F291" s="242">
        <v>45294</v>
      </c>
      <c r="G291" s="231" t="s">
        <v>1118</v>
      </c>
      <c r="H291" s="459" t="s">
        <v>31</v>
      </c>
      <c r="I291" s="118" t="s">
        <v>223</v>
      </c>
      <c r="J291" s="8" t="s">
        <v>93</v>
      </c>
      <c r="K291" s="281" t="s">
        <v>30</v>
      </c>
      <c r="L291" s="78" t="s">
        <v>1119</v>
      </c>
      <c r="M291" s="151">
        <f>IF(SUM(V291:BC291)=0,"-",SUM(V291:BC291))</f>
        <v>4</v>
      </c>
      <c r="N291" s="241">
        <f>IF(SUMPRODUCT($V$3:$BC$3,V291:BC291)=0,"-",SUMPRODUCT($V$3:$BC$3,V291:BC291))</f>
        <v>140</v>
      </c>
      <c r="O291" s="266" t="s">
        <v>1120</v>
      </c>
      <c r="P291" s="279" t="str">
        <f>IF(G291="","",IFERROR(IF(#REF!="Sent","",IF(I291="Delivered","PO en attente","Projet en cours")),""))</f>
        <v/>
      </c>
      <c r="Q291" s="211">
        <v>4200657837</v>
      </c>
      <c r="R291" s="211" t="s">
        <v>309</v>
      </c>
      <c r="S291" s="211" t="s">
        <v>249</v>
      </c>
      <c r="T291" s="211" t="s">
        <v>378</v>
      </c>
      <c r="U291" s="249" t="s">
        <v>1217</v>
      </c>
      <c r="W291" s="8">
        <v>4</v>
      </c>
    </row>
    <row r="292" spans="1:58" hidden="1">
      <c r="A292" s="286" t="s">
        <v>220</v>
      </c>
      <c r="B292" s="286" t="s">
        <v>221</v>
      </c>
      <c r="C292" s="280" t="s">
        <v>3</v>
      </c>
      <c r="D292" s="281" t="str">
        <f>IF(F292="","",CHOOSE(MONTH(F292),"Q4","Q4","Q4","Q1","Q1","Q1","Q2","Q2","Q2","Q3","Q3","Q3"))</f>
        <v>Q4</v>
      </c>
      <c r="E292" s="282" t="str">
        <f>IF(F292="","",CHOOSE(MONTH(F292),"10-JAN","11-FEB","12-MAR","01-APR","02-MAY","03-JUN","04-JUL","05-AUG","06-SEP","07-OCT","08-NOV","09-DEC"))</f>
        <v>10-JAN</v>
      </c>
      <c r="F292" s="242">
        <v>45294</v>
      </c>
      <c r="G292" s="235" t="s">
        <v>1112</v>
      </c>
      <c r="H292" s="459" t="s">
        <v>31</v>
      </c>
      <c r="I292" s="118" t="s">
        <v>223</v>
      </c>
      <c r="J292" s="8" t="s">
        <v>95</v>
      </c>
      <c r="K292" s="281" t="s">
        <v>30</v>
      </c>
      <c r="L292" s="124" t="s">
        <v>1113</v>
      </c>
      <c r="M292" s="151">
        <f>IF(SUM(V292:BC292)=0,"-",SUM(V292:BC292))</f>
        <v>4</v>
      </c>
      <c r="N292" s="278">
        <f>IF(SUMPRODUCT($V$3:$BC$3,V292:BC292)=0,"-",SUMPRODUCT($V$3:$BC$3,V292:BC292))</f>
        <v>140</v>
      </c>
      <c r="O292" s="266" t="s">
        <v>1114</v>
      </c>
      <c r="P292" s="269" t="str">
        <f>IF(G292="","",IFERROR(IF(S292="Sent","",IF(I292="Delivered","PO en attente","Projet en cours")),""))</f>
        <v/>
      </c>
      <c r="Q292" s="258">
        <v>4200657838</v>
      </c>
      <c r="R292" s="258" t="s">
        <v>1302</v>
      </c>
      <c r="S292" s="248" t="s">
        <v>249</v>
      </c>
      <c r="T292" s="248" t="s">
        <v>1201</v>
      </c>
      <c r="U292" s="372" t="s">
        <v>1202</v>
      </c>
      <c r="W292" s="8">
        <v>4</v>
      </c>
      <c r="BD292" s="20"/>
      <c r="BE292" s="8"/>
    </row>
    <row r="293" spans="1:58" hidden="1">
      <c r="A293" s="286" t="s">
        <v>244</v>
      </c>
      <c r="B293" s="286" t="s">
        <v>221</v>
      </c>
      <c r="C293" s="280" t="s">
        <v>3</v>
      </c>
      <c r="D293" s="281" t="str">
        <f>IF(F293="","",CHOOSE(MONTH(F293),"Q4","Q4","Q4","Q1","Q1","Q1","Q2","Q2","Q2","Q3","Q3","Q3"))</f>
        <v>Q4</v>
      </c>
      <c r="E293" s="282" t="str">
        <f>IF(F293="","",CHOOSE(MONTH(F293),"10-JAN","11-FEB","12-MAR","01-APR","02-MAY","03-JUN","04-JUL","05-AUG","06-SEP","07-OCT","08-NOV","09-DEC"))</f>
        <v>10-JAN</v>
      </c>
      <c r="F293" s="242">
        <v>45294</v>
      </c>
      <c r="G293" s="231" t="s">
        <v>1115</v>
      </c>
      <c r="H293" s="459" t="s">
        <v>31</v>
      </c>
      <c r="I293" s="29" t="s">
        <v>223</v>
      </c>
      <c r="J293" s="8" t="s">
        <v>130</v>
      </c>
      <c r="K293" s="281" t="s">
        <v>30</v>
      </c>
      <c r="L293" s="78" t="s">
        <v>1318</v>
      </c>
      <c r="M293" s="151">
        <f>IF(SUM(V293:BC293)=0,"-",SUM(V293:BC293))</f>
        <v>2</v>
      </c>
      <c r="N293" s="278">
        <f>IF(SUMPRODUCT($V$3:$BC$3,V293:BC293)=0,"-",SUMPRODUCT($V$3:$BC$3,V293:BC293))</f>
        <v>155</v>
      </c>
      <c r="O293" s="266" t="s">
        <v>1117</v>
      </c>
      <c r="P293" s="279" t="str">
        <f>IF(G293="","",IFERROR(IF(S293="Sent","",IF(I293="Delivered","PO en attente","Projet en cours")),""))</f>
        <v/>
      </c>
      <c r="Q293" s="211">
        <v>4200663716</v>
      </c>
      <c r="R293" s="315" t="s">
        <v>225</v>
      </c>
      <c r="S293" s="260" t="s">
        <v>249</v>
      </c>
      <c r="T293" s="260" t="s">
        <v>1319</v>
      </c>
      <c r="U293" s="257" t="s">
        <v>1320</v>
      </c>
      <c r="V293" s="7">
        <v>1</v>
      </c>
      <c r="W293" s="8">
        <v>1</v>
      </c>
      <c r="BD293" s="7"/>
      <c r="BE293" s="8"/>
    </row>
    <row r="294" spans="1:58" hidden="1">
      <c r="A294" s="286" t="s">
        <v>220</v>
      </c>
      <c r="B294" s="286" t="s">
        <v>221</v>
      </c>
      <c r="C294" s="280" t="s">
        <v>3</v>
      </c>
      <c r="D294" s="281" t="str">
        <f>IF(F294="","",CHOOSE(MONTH(F294),"Q4","Q4","Q4","Q1","Q1","Q1","Q2","Q2","Q2","Q3","Q3","Q3"))</f>
        <v>Q4</v>
      </c>
      <c r="E294" s="282" t="str">
        <f>IF(F294="","",CHOOSE(MONTH(F294),"10-JAN","11-FEB","12-MAR","01-APR","02-MAY","03-JUN","04-JUL","05-AUG","06-SEP","07-OCT","08-NOV","09-DEC"))</f>
        <v>10-JAN</v>
      </c>
      <c r="F294" s="242">
        <v>45296</v>
      </c>
      <c r="G294" s="231" t="s">
        <v>1127</v>
      </c>
      <c r="H294" s="5" t="s">
        <v>36</v>
      </c>
      <c r="I294" s="118" t="s">
        <v>223</v>
      </c>
      <c r="J294" s="8" t="s">
        <v>69</v>
      </c>
      <c r="K294" s="281" t="s">
        <v>34</v>
      </c>
      <c r="L294" s="30" t="s">
        <v>405</v>
      </c>
      <c r="M294" s="151">
        <f>IF(SUM(V294:BC294)=0,"-",SUM(V294:BC294))</f>
        <v>7</v>
      </c>
      <c r="N294" s="278">
        <f>IF(SUMPRODUCT($V$3:$BC$3,V294:BC294)=0,"-",SUMPRODUCT($V$3:$BC$3,V294:BC294))</f>
        <v>475</v>
      </c>
      <c r="O294" s="266" t="s">
        <v>1128</v>
      </c>
      <c r="P294" s="279" t="str">
        <f>IF(G294="","",IFERROR(IF(S294="Sent","",IF(I294="Delivered","PO en attente","Projet en cours")),""))</f>
        <v/>
      </c>
      <c r="Q294" s="301">
        <v>4200659650</v>
      </c>
      <c r="R294" s="211"/>
      <c r="S294" s="211" t="s">
        <v>249</v>
      </c>
      <c r="T294" s="211" t="s">
        <v>1309</v>
      </c>
      <c r="U294" s="249" t="s">
        <v>1202</v>
      </c>
      <c r="V294" s="7">
        <v>1</v>
      </c>
      <c r="W294" s="8">
        <v>5</v>
      </c>
      <c r="AE294" s="8">
        <v>1</v>
      </c>
      <c r="BD294" s="7"/>
      <c r="BE294" s="8"/>
    </row>
    <row r="295" spans="1:58" hidden="1">
      <c r="A295" s="286" t="s">
        <v>220</v>
      </c>
      <c r="B295" s="286" t="s">
        <v>221</v>
      </c>
      <c r="C295" s="280" t="s">
        <v>3</v>
      </c>
      <c r="D295" s="281" t="str">
        <f>IF(F295="","",CHOOSE(MONTH(F295),"Q4","Q4","Q4","Q1","Q1","Q1","Q2","Q2","Q2","Q3","Q3","Q3"))</f>
        <v>Q4</v>
      </c>
      <c r="E295" s="282" t="str">
        <f>IF(F295="","",CHOOSE(MONTH(F295),"10-JAN","11-FEB","12-MAR","01-APR","02-MAY","03-JUN","04-JUL","05-AUG","06-SEP","07-OCT","08-NOV","09-DEC"))</f>
        <v>10-JAN</v>
      </c>
      <c r="F295" s="242">
        <v>45296</v>
      </c>
      <c r="G295" s="231" t="s">
        <v>1121</v>
      </c>
      <c r="H295" s="5" t="s">
        <v>27</v>
      </c>
      <c r="I295" s="29" t="s">
        <v>223</v>
      </c>
      <c r="J295" s="8" t="s">
        <v>130</v>
      </c>
      <c r="K295" s="281" t="s">
        <v>34</v>
      </c>
      <c r="L295" s="78" t="s">
        <v>1122</v>
      </c>
      <c r="M295" s="151">
        <f>IF(SUM(V295:BC295)=0,"-",SUM(V295:BC295))</f>
        <v>1</v>
      </c>
      <c r="N295" s="241">
        <f>IF(SUMPRODUCT($V$3:$BC$3,V295:BC295)=0,"-",SUMPRODUCT($V$3:$BC$3,V295:BC295))</f>
        <v>180</v>
      </c>
      <c r="O295" s="266" t="s">
        <v>1123</v>
      </c>
      <c r="P295" s="269" t="str">
        <f>IF(G295="","",IFERROR(IF(S295="Sent","",IF(I295="Delivered","PO en attente","Projet en cours")),""))</f>
        <v/>
      </c>
      <c r="Q295" s="211">
        <v>4200659864</v>
      </c>
      <c r="R295" s="211"/>
      <c r="S295" s="211" t="s">
        <v>249</v>
      </c>
      <c r="T295" s="211" t="s">
        <v>1321</v>
      </c>
      <c r="U295" s="249" t="s">
        <v>1322</v>
      </c>
      <c r="AE295" s="8">
        <v>1</v>
      </c>
    </row>
    <row r="296" spans="1:58" hidden="1">
      <c r="A296" s="286" t="s">
        <v>244</v>
      </c>
      <c r="B296" s="286" t="s">
        <v>221</v>
      </c>
      <c r="C296" s="280" t="s">
        <v>3</v>
      </c>
      <c r="D296" s="281" t="str">
        <f>IF(F296="","",CHOOSE(MONTH(F296),"Q4","Q4","Q4","Q1","Q1","Q1","Q2","Q2","Q2","Q3","Q3","Q3"))</f>
        <v>Q4</v>
      </c>
      <c r="E296" s="282" t="str">
        <f>IF(F296="","",CHOOSE(MONTH(F296),"10-JAN","11-FEB","12-MAR","01-APR","02-MAY","03-JUN","04-JUL","05-AUG","06-SEP","07-OCT","08-NOV","09-DEC"))</f>
        <v>10-JAN</v>
      </c>
      <c r="F296" s="242">
        <v>45296</v>
      </c>
      <c r="G296" s="231" t="s">
        <v>1124</v>
      </c>
      <c r="H296" s="5" t="s">
        <v>27</v>
      </c>
      <c r="I296" s="118" t="s">
        <v>223</v>
      </c>
      <c r="J296" s="8" t="s">
        <v>69</v>
      </c>
      <c r="K296" s="281" t="s">
        <v>34</v>
      </c>
      <c r="L296" s="78" t="s">
        <v>1125</v>
      </c>
      <c r="M296" s="151">
        <f>IF(SUM(V296:BC296)=0,"-",SUM(V296:BC296))</f>
        <v>1</v>
      </c>
      <c r="N296" s="278">
        <f>IF(SUMPRODUCT($V$3:$BC$3,V296:BC296)=0,"-",SUMPRODUCT($V$3:$BC$3,V296:BC296))</f>
        <v>135</v>
      </c>
      <c r="O296" s="266" t="s">
        <v>1126</v>
      </c>
      <c r="P296" s="269" t="str">
        <f>IF(G296="","",IFERROR(IF(S296="Sent","",IF(I296="Delivered","PO en attente","Projet en cours")),""))</f>
        <v/>
      </c>
      <c r="Q296" s="211">
        <v>4200659863</v>
      </c>
      <c r="R296" s="211"/>
      <c r="S296" s="211" t="s">
        <v>249</v>
      </c>
      <c r="T296" s="211" t="s">
        <v>1323</v>
      </c>
      <c r="U296" s="249" t="s">
        <v>1322</v>
      </c>
      <c r="X296" s="242"/>
      <c r="Y296" s="222"/>
      <c r="Z296" s="5"/>
      <c r="AA296" s="118"/>
      <c r="AC296" s="309">
        <v>1</v>
      </c>
      <c r="AD296" s="78"/>
      <c r="AE296" s="151"/>
      <c r="AF296" s="278"/>
      <c r="AG296" s="266"/>
      <c r="AH296" s="279"/>
      <c r="AI296" s="211"/>
      <c r="AJ296" s="211"/>
      <c r="AK296" s="286"/>
      <c r="AL296" s="310"/>
      <c r="AM296" s="311"/>
      <c r="AN296" s="281"/>
      <c r="AO296" s="282"/>
      <c r="AP296" s="242"/>
      <c r="AQ296" s="222"/>
      <c r="AR296" s="5"/>
      <c r="AS296" s="312"/>
      <c r="AT296" s="118"/>
      <c r="AV296" s="281"/>
      <c r="AW296" s="78"/>
      <c r="AX296" s="151"/>
      <c r="AY296" s="278"/>
      <c r="AZ296" s="488"/>
      <c r="BA296" s="279"/>
      <c r="BB296" s="313"/>
      <c r="BC296" s="211"/>
    </row>
    <row r="297" spans="1:58" hidden="1">
      <c r="A297" s="286" t="s">
        <v>244</v>
      </c>
      <c r="B297" s="286" t="s">
        <v>221</v>
      </c>
      <c r="C297" s="280" t="s">
        <v>3</v>
      </c>
      <c r="D297" s="281" t="str">
        <f>IF(F297="","",CHOOSE(MONTH(F297),"Q4","Q4","Q4","Q1","Q1","Q1","Q2","Q2","Q2","Q3","Q3","Q3"))</f>
        <v>Q4</v>
      </c>
      <c r="E297" s="282" t="str">
        <f>IF(F297="","",CHOOSE(MONTH(F297),"10-JAN","11-FEB","12-MAR","01-APR","02-MAY","03-JUN","04-JUL","05-AUG","06-SEP","07-OCT","08-NOV","09-DEC"))</f>
        <v>10-JAN</v>
      </c>
      <c r="F297" s="242">
        <v>45299</v>
      </c>
      <c r="G297" s="231" t="s">
        <v>416</v>
      </c>
      <c r="H297" s="5" t="s">
        <v>26</v>
      </c>
      <c r="I297" s="29" t="s">
        <v>223</v>
      </c>
      <c r="J297" s="8" t="s">
        <v>69</v>
      </c>
      <c r="K297" s="281" t="s">
        <v>30</v>
      </c>
      <c r="M297" s="151">
        <f>IF(SUM(V297:BC297)=0,"-",SUM(V297:BC297))</f>
        <v>4</v>
      </c>
      <c r="N297" s="241">
        <f>IF(SUMPRODUCT($V$3:$BC$3,V297:BC297)=0,"-",SUMPRODUCT($V$3:$BC$3,V297:BC297))</f>
        <v>140</v>
      </c>
      <c r="P297" s="279" t="str">
        <f>IF(G297="","",IFERROR(IF(S297="Sent","",IF(I297="Delivered","PO en attente","Projet en cours")),""))</f>
        <v/>
      </c>
      <c r="Q297" s="211">
        <v>4200657843</v>
      </c>
      <c r="R297" s="211" t="s">
        <v>309</v>
      </c>
      <c r="S297" s="211" t="s">
        <v>249</v>
      </c>
      <c r="T297" s="211" t="s">
        <v>415</v>
      </c>
      <c r="U297" s="316" t="s">
        <v>1317</v>
      </c>
      <c r="W297" s="8">
        <v>4</v>
      </c>
    </row>
    <row r="298" spans="1:58" hidden="1">
      <c r="A298" s="286" t="s">
        <v>220</v>
      </c>
      <c r="B298" s="286" t="s">
        <v>221</v>
      </c>
      <c r="C298" s="280" t="s">
        <v>3</v>
      </c>
      <c r="D298" s="281" t="str">
        <f>IF(F298="","",CHOOSE(MONTH(F298),"Q4","Q4","Q4","Q1","Q1","Q1","Q2","Q2","Q2","Q3","Q3","Q3"))</f>
        <v>Q4</v>
      </c>
      <c r="E298" s="282" t="str">
        <f>IF(F298="","",CHOOSE(MONTH(F298),"10-JAN","11-FEB","12-MAR","01-APR","02-MAY","03-JUN","04-JUL","05-AUG","06-SEP","07-OCT","08-NOV","09-DEC"))</f>
        <v>10-JAN</v>
      </c>
      <c r="F298" s="242">
        <v>45300</v>
      </c>
      <c r="G298" s="237" t="s">
        <v>1129</v>
      </c>
      <c r="H298" s="5" t="s">
        <v>36</v>
      </c>
      <c r="I298" s="29" t="s">
        <v>223</v>
      </c>
      <c r="J298" s="8" t="s">
        <v>69</v>
      </c>
      <c r="K298" s="281" t="s">
        <v>34</v>
      </c>
      <c r="L298" s="78" t="s">
        <v>1324</v>
      </c>
      <c r="M298" s="151">
        <f>IF(SUM(V298:BC298)=0,"-",SUM(V298:BC298))</f>
        <v>1</v>
      </c>
      <c r="N298" s="278">
        <f>IF(SUMPRODUCT($V$3:$BC$3,V298:BC298)=0,"-",SUMPRODUCT($V$3:$BC$3,V298:BC298))</f>
        <v>135</v>
      </c>
      <c r="O298" s="266" t="s">
        <v>1131</v>
      </c>
      <c r="P298" s="279" t="str">
        <f>IF(G298="","",IFERROR(IF(S298="Sent","",IF(I298="Delivered","PO en attente","Projet en cours")),""))</f>
        <v/>
      </c>
      <c r="Q298" s="211">
        <v>4200662212</v>
      </c>
      <c r="R298" s="211"/>
      <c r="S298" s="211" t="s">
        <v>249</v>
      </c>
      <c r="T298" s="211" t="s">
        <v>1325</v>
      </c>
      <c r="U298" s="249" t="s">
        <v>1314</v>
      </c>
      <c r="AC298" s="7">
        <v>1</v>
      </c>
    </row>
    <row r="299" spans="1:58" hidden="1">
      <c r="A299" s="286" t="s">
        <v>244</v>
      </c>
      <c r="B299" s="286" t="s">
        <v>221</v>
      </c>
      <c r="C299" s="280" t="s">
        <v>3</v>
      </c>
      <c r="D299" s="281" t="str">
        <f>IF(F299="","",CHOOSE(MONTH(F299),"Q4","Q4","Q4","Q1","Q1","Q1","Q2","Q2","Q2","Q3","Q3","Q3"))</f>
        <v>Q4</v>
      </c>
      <c r="E299" s="282" t="str">
        <f>IF(F299="","",CHOOSE(MONTH(F299),"10-JAN","11-FEB","12-MAR","01-APR","02-MAY","03-JUN","04-JUL","05-AUG","06-SEP","07-OCT","08-NOV","09-DEC"))</f>
        <v>10-JAN</v>
      </c>
      <c r="F299" s="242">
        <v>45301</v>
      </c>
      <c r="G299" s="222" t="s">
        <v>417</v>
      </c>
      <c r="H299" s="5" t="s">
        <v>26</v>
      </c>
      <c r="I299" s="29" t="s">
        <v>223</v>
      </c>
      <c r="J299" s="8" t="s">
        <v>130</v>
      </c>
      <c r="K299" s="281" t="s">
        <v>30</v>
      </c>
      <c r="L299" s="78" t="s">
        <v>418</v>
      </c>
      <c r="M299" s="151">
        <f>IF(SUM(V299:BC299)=0,"-",SUM(V299:BC299))</f>
        <v>2</v>
      </c>
      <c r="N299" s="241">
        <f>IF(SUMPRODUCT($V$3:$BC$3,V299:BC299)=0,"-",SUMPRODUCT($V$3:$BC$3,V299:BC299))</f>
        <v>155</v>
      </c>
      <c r="P299" s="279" t="str">
        <f>IF(G299="","",IFERROR(IF(S299="Sent","",IF(I299="Delivered","PO en attente","Projet en cours")),""))</f>
        <v/>
      </c>
      <c r="Q299" s="211">
        <v>4200657852</v>
      </c>
      <c r="R299" s="211" t="s">
        <v>363</v>
      </c>
      <c r="S299" s="211" t="s">
        <v>249</v>
      </c>
      <c r="T299" s="211" t="s">
        <v>415</v>
      </c>
      <c r="U299" s="316" t="s">
        <v>1317</v>
      </c>
      <c r="V299" s="7">
        <v>1</v>
      </c>
      <c r="W299" s="8">
        <v>1</v>
      </c>
      <c r="AC299" s="8"/>
      <c r="AL299" s="8"/>
      <c r="AM299" s="8"/>
      <c r="AS299" s="8"/>
      <c r="AZ299" s="8"/>
      <c r="BB299" s="8"/>
      <c r="BD299" s="5"/>
    </row>
    <row r="300" spans="1:58" hidden="1">
      <c r="A300" s="286" t="s">
        <v>220</v>
      </c>
      <c r="B300" s="286" t="s">
        <v>221</v>
      </c>
      <c r="C300" s="280" t="s">
        <v>3</v>
      </c>
      <c r="D300" s="281" t="str">
        <f>IF(F300="","",CHOOSE(MONTH(F300),"Q4","Q4","Q4","Q1","Q1","Q1","Q2","Q2","Q2","Q3","Q3","Q3"))</f>
        <v>Q4</v>
      </c>
      <c r="E300" s="282" t="str">
        <f>IF(F300="","",CHOOSE(MONTH(F300),"10-JAN","11-FEB","12-MAR","01-APR","02-MAY","03-JUN","04-JUL","05-AUG","06-SEP","07-OCT","08-NOV","09-DEC"))</f>
        <v>10-JAN</v>
      </c>
      <c r="F300" s="242">
        <v>45301</v>
      </c>
      <c r="G300" s="55" t="s">
        <v>1135</v>
      </c>
      <c r="H300" s="5" t="s">
        <v>27</v>
      </c>
      <c r="I300" s="29" t="s">
        <v>223</v>
      </c>
      <c r="J300" s="8" t="s">
        <v>93</v>
      </c>
      <c r="K300" s="281" t="s">
        <v>34</v>
      </c>
      <c r="L300" s="78" t="s">
        <v>1136</v>
      </c>
      <c r="M300" s="151">
        <f>IF(SUM(V300:BC300)=0,"-",SUM(V300:BC300))</f>
        <v>1</v>
      </c>
      <c r="N300" s="278">
        <f>IF(SUMPRODUCT($V$3:$BC$3,V300:BC300)=0,"-",SUMPRODUCT($V$3:$BC$3,V300:BC300))</f>
        <v>80</v>
      </c>
      <c r="O300" s="266" t="s">
        <v>1137</v>
      </c>
      <c r="P300" s="269" t="str">
        <f>IF(G300="","",IFERROR(IF(S300="Sent","",IF(I300="Delivered","PO en attente","Projet en cours")),""))</f>
        <v/>
      </c>
      <c r="Q300" s="211">
        <v>4200659852</v>
      </c>
      <c r="R300" s="211"/>
      <c r="S300" s="211" t="s">
        <v>249</v>
      </c>
      <c r="T300" s="211" t="s">
        <v>1326</v>
      </c>
      <c r="U300" s="249" t="s">
        <v>1202</v>
      </c>
      <c r="AS300" s="7">
        <v>1</v>
      </c>
      <c r="AZ300" s="8"/>
      <c r="BA300" s="7"/>
      <c r="BB300" s="8"/>
      <c r="BC300" s="7"/>
      <c r="BD300" s="8"/>
      <c r="BE300" s="8"/>
      <c r="BF300" s="9"/>
    </row>
    <row r="301" spans="1:58" hidden="1">
      <c r="A301" s="286" t="s">
        <v>220</v>
      </c>
      <c r="B301" s="286" t="s">
        <v>221</v>
      </c>
      <c r="C301" s="280" t="s">
        <v>3</v>
      </c>
      <c r="D301" s="281" t="str">
        <f>IF(F301="","",CHOOSE(MONTH(F301),"Q4","Q4","Q4","Q1","Q1","Q1","Q2","Q2","Q2","Q3","Q3","Q3"))</f>
        <v>Q4</v>
      </c>
      <c r="E301" s="282" t="str">
        <f>IF(F301="","",CHOOSE(MONTH(F301),"10-JAN","11-FEB","12-MAR","01-APR","02-MAY","03-JUN","04-JUL","05-AUG","06-SEP","07-OCT","08-NOV","09-DEC"))</f>
        <v>10-JAN</v>
      </c>
      <c r="F301" s="242">
        <v>45301</v>
      </c>
      <c r="G301" s="222" t="s">
        <v>1132</v>
      </c>
      <c r="H301" s="5" t="s">
        <v>36</v>
      </c>
      <c r="I301" s="29" t="s">
        <v>223</v>
      </c>
      <c r="J301" s="8" t="s">
        <v>69</v>
      </c>
      <c r="K301" s="281" t="s">
        <v>34</v>
      </c>
      <c r="L301" s="78" t="s">
        <v>1133</v>
      </c>
      <c r="M301" s="151">
        <f>IF(SUM(V301:BC301)=0,"-",SUM(V301:BC301))</f>
        <v>2</v>
      </c>
      <c r="N301" s="278">
        <f>IF(SUMPRODUCT($V$3:$BC$3,V301:BC301)=0,"-",SUMPRODUCT($V$3:$BC$3,V301:BC301))</f>
        <v>155</v>
      </c>
      <c r="O301" s="266" t="s">
        <v>1134</v>
      </c>
      <c r="P301" s="279" t="str">
        <f>IF(G301="","",IFERROR(IF(S301="Sent","",IF(I301="Delivered","PO en attente","Projet en cours")),""))</f>
        <v/>
      </c>
      <c r="Q301" s="211">
        <v>4200659667</v>
      </c>
      <c r="R301" s="211"/>
      <c r="S301" s="211" t="s">
        <v>249</v>
      </c>
      <c r="T301" s="211" t="s">
        <v>1327</v>
      </c>
      <c r="U301" s="249" t="s">
        <v>1202</v>
      </c>
      <c r="V301" s="7">
        <v>1</v>
      </c>
      <c r="W301" s="8">
        <v>1</v>
      </c>
      <c r="AZ301" s="8"/>
      <c r="BA301" s="7"/>
      <c r="BB301" s="8"/>
      <c r="BC301" s="7"/>
      <c r="BD301" s="8"/>
      <c r="BE301" s="8"/>
      <c r="BF301" s="9"/>
    </row>
    <row r="302" spans="1:58" hidden="1">
      <c r="A302" s="286" t="s">
        <v>244</v>
      </c>
      <c r="B302" s="286" t="s">
        <v>221</v>
      </c>
      <c r="C302" s="280" t="s">
        <v>3</v>
      </c>
      <c r="D302" s="281" t="str">
        <f>IF(F302="","",CHOOSE(MONTH(F302),"Q4","Q4","Q4","Q1","Q1","Q1","Q2","Q2","Q2","Q3","Q3","Q3"))</f>
        <v>Q4</v>
      </c>
      <c r="E302" s="282" t="str">
        <f>IF(F302="","",CHOOSE(MONTH(F302),"10-JAN","11-FEB","12-MAR","01-APR","02-MAY","03-JUN","04-JUL","05-AUG","06-SEP","07-OCT","08-NOV","09-DEC"))</f>
        <v>10-JAN</v>
      </c>
      <c r="F302" s="242">
        <v>45301</v>
      </c>
      <c r="G302" s="55" t="s">
        <v>1138</v>
      </c>
      <c r="H302" s="5" t="s">
        <v>36</v>
      </c>
      <c r="I302" s="29" t="s">
        <v>223</v>
      </c>
      <c r="J302" s="8" t="s">
        <v>69</v>
      </c>
      <c r="K302" s="281" t="s">
        <v>34</v>
      </c>
      <c r="L302" s="78" t="s">
        <v>1139</v>
      </c>
      <c r="M302" s="151">
        <f>IF(SUM(V302:BC302)=0,"-",SUM(V302:BC302))</f>
        <v>2</v>
      </c>
      <c r="N302" s="306">
        <f>IF(SUMPRODUCT($V$3:$BC$3,V302:BC302)=0,"-",SUMPRODUCT($V$3:$BC$3,V302:BC302))</f>
        <v>500</v>
      </c>
      <c r="O302" s="266" t="s">
        <v>1140</v>
      </c>
      <c r="P302" s="279"/>
      <c r="Q302" s="211" t="s">
        <v>1328</v>
      </c>
      <c r="R302" s="211"/>
      <c r="S302" s="211" t="s">
        <v>249</v>
      </c>
      <c r="T302" s="211" t="s">
        <v>1329</v>
      </c>
      <c r="U302" s="249" t="s">
        <v>1322</v>
      </c>
      <c r="AF302" s="8">
        <v>2</v>
      </c>
      <c r="AZ302" s="8"/>
      <c r="BA302" s="7"/>
      <c r="BB302" s="8"/>
      <c r="BC302" s="7"/>
      <c r="BD302" s="5"/>
      <c r="BF302" s="9"/>
    </row>
    <row r="303" spans="1:58" hidden="1">
      <c r="A303" s="286" t="s">
        <v>220</v>
      </c>
      <c r="B303" s="286" t="s">
        <v>221</v>
      </c>
      <c r="C303" s="280" t="s">
        <v>3</v>
      </c>
      <c r="D303" s="281" t="str">
        <f>IF(F303="","",CHOOSE(MONTH(F303),"Q4","Q4","Q4","Q1","Q1","Q1","Q2","Q2","Q2","Q3","Q3","Q3"))</f>
        <v>Q4</v>
      </c>
      <c r="E303" s="282" t="str">
        <f>IF(F303="","",CHOOSE(MONTH(F303),"10-JAN","11-FEB","12-MAR","01-APR","02-MAY","03-JUN","04-JUL","05-AUG","06-SEP","07-OCT","08-NOV","09-DEC"))</f>
        <v>10-JAN</v>
      </c>
      <c r="F303" s="242">
        <v>45302</v>
      </c>
      <c r="G303" s="220" t="s">
        <v>1142</v>
      </c>
      <c r="H303" s="5" t="s">
        <v>27</v>
      </c>
      <c r="I303" s="29" t="s">
        <v>223</v>
      </c>
      <c r="J303" s="8" t="s">
        <v>130</v>
      </c>
      <c r="K303" s="281" t="s">
        <v>34</v>
      </c>
      <c r="L303" s="78" t="s">
        <v>1143</v>
      </c>
      <c r="M303" s="151">
        <f>IF(SUM(V303:BC303)=0,"-",SUM(V303:BC303))</f>
        <v>7</v>
      </c>
      <c r="N303" s="241">
        <f>IF(SUMPRODUCT($V$3:$BC$3,V303:BC303)=0,"-",SUMPRODUCT($V$3:$BC$3,V303:BC303))</f>
        <v>245</v>
      </c>
      <c r="O303" s="266" t="s">
        <v>1144</v>
      </c>
      <c r="P303" s="269" t="str">
        <f>IF(G303="","",IFERROR(IF(S303="Sent","",IF(I303="Delivered","PO en attente","Projet en cours")),""))</f>
        <v/>
      </c>
      <c r="Q303" s="211">
        <v>4200659864</v>
      </c>
      <c r="R303" s="211"/>
      <c r="S303" s="211" t="s">
        <v>249</v>
      </c>
      <c r="T303" s="211" t="s">
        <v>1321</v>
      </c>
      <c r="U303" s="249" t="s">
        <v>1322</v>
      </c>
      <c r="W303" s="8">
        <v>7</v>
      </c>
      <c r="AZ303" s="8"/>
      <c r="BA303" s="7"/>
      <c r="BB303" s="8"/>
      <c r="BC303" s="7"/>
      <c r="BD303" s="5"/>
      <c r="BF303" s="9"/>
    </row>
    <row r="304" spans="1:58" hidden="1">
      <c r="A304" s="286" t="s">
        <v>244</v>
      </c>
      <c r="B304" s="286" t="s">
        <v>221</v>
      </c>
      <c r="C304" s="280" t="s">
        <v>2</v>
      </c>
      <c r="D304" s="281" t="str">
        <f>IF(F304="","",CHOOSE(MONTH(F304),"Q4","Q4","Q4","Q1","Q1","Q1","Q2","Q2","Q2","Q3","Q3","Q3"))</f>
        <v>Q4</v>
      </c>
      <c r="E304" s="282" t="str">
        <f>IF(F304="","",CHOOSE(MONTH(F304),"10-JAN","11-FEB","12-MAR","01-APR","02-MAY","03-JUN","04-JUL","05-AUG","06-SEP","07-OCT","08-NOV","09-DEC"))</f>
        <v>10-JAN</v>
      </c>
      <c r="F304" s="242">
        <v>45302</v>
      </c>
      <c r="G304" s="55" t="s">
        <v>88</v>
      </c>
      <c r="H304" s="459" t="s">
        <v>31</v>
      </c>
      <c r="I304" s="29" t="s">
        <v>223</v>
      </c>
      <c r="J304" s="8" t="s">
        <v>69</v>
      </c>
      <c r="K304" s="281" t="s">
        <v>30</v>
      </c>
      <c r="L304" s="53" t="s">
        <v>481</v>
      </c>
      <c r="M304" s="151">
        <f>IF(SUM(V304:BC304)=0,"-",SUM(V304:BC304))</f>
        <v>1</v>
      </c>
      <c r="N304" s="241">
        <f>IF(SUMPRODUCT($V$3:$BC$3,V304:BC304)=0,"-",SUMPRODUCT($V$3:$BC$3,V304:BC304))</f>
        <v>600</v>
      </c>
      <c r="O304" s="266" t="s">
        <v>1145</v>
      </c>
      <c r="P304" s="279" t="str">
        <f>IF(G304="","",IFERROR(IF(S304="Sent","",IF(I304="Delivered","PO en attente","Projet en cours")),""))</f>
        <v/>
      </c>
      <c r="Q304" s="211">
        <v>4200665906</v>
      </c>
      <c r="R304" s="211"/>
      <c r="S304" s="260" t="s">
        <v>249</v>
      </c>
      <c r="T304" s="260" t="s">
        <v>1330</v>
      </c>
      <c r="U304" s="253" t="s">
        <v>1331</v>
      </c>
      <c r="AN304" s="8">
        <v>1</v>
      </c>
      <c r="AZ304" s="8"/>
      <c r="BA304" s="7"/>
      <c r="BB304" s="8"/>
      <c r="BC304" s="7"/>
      <c r="BD304" s="8"/>
      <c r="BF304" s="9"/>
    </row>
    <row r="305" spans="1:5120 5122:14336 14338:16384" hidden="1">
      <c r="A305" s="286" t="s">
        <v>244</v>
      </c>
      <c r="B305" s="286" t="s">
        <v>221</v>
      </c>
      <c r="C305" s="280" t="s">
        <v>3</v>
      </c>
      <c r="D305" s="281" t="str">
        <f>IF(F305="","",CHOOSE(MONTH(F305),"Q4","Q4","Q4","Q1","Q1","Q1","Q2","Q2","Q2","Q3","Q3","Q3"))</f>
        <v>Q4</v>
      </c>
      <c r="E305" s="282" t="str">
        <f>IF(F305="","",CHOOSE(MONTH(F305),"10-JAN","11-FEB","12-MAR","01-APR","02-MAY","03-JUN","04-JUL","05-AUG","06-SEP","07-OCT","08-NOV","09-DEC"))</f>
        <v>10-JAN</v>
      </c>
      <c r="F305" s="242">
        <v>45303</v>
      </c>
      <c r="G305" s="55" t="s">
        <v>404</v>
      </c>
      <c r="H305" s="459" t="s">
        <v>31</v>
      </c>
      <c r="I305" s="29" t="s">
        <v>223</v>
      </c>
      <c r="J305" s="8" t="s">
        <v>69</v>
      </c>
      <c r="K305" s="281" t="s">
        <v>30</v>
      </c>
      <c r="L305" s="30" t="s">
        <v>405</v>
      </c>
      <c r="M305" s="151">
        <f>IF(SUM(V305:BC305)=0,"-",SUM(V305:BC305))</f>
        <v>1</v>
      </c>
      <c r="N305" s="241">
        <f>IF(SUMPRODUCT($V$3:$BC$3,V305:BC305)=0,"-",SUMPRODUCT($V$3:$BC$3,V305:BC305))</f>
        <v>35</v>
      </c>
      <c r="P305" s="279" t="str">
        <f>IF(G305="","",IFERROR(IF(S305="Sent","",IF(I305="Delivered","PO en attente","Projet en cours")),""))</f>
        <v/>
      </c>
      <c r="Q305" s="211">
        <v>4200657843</v>
      </c>
      <c r="R305" s="145" t="s">
        <v>363</v>
      </c>
      <c r="S305" s="211" t="s">
        <v>228</v>
      </c>
      <c r="T305" s="211" t="s">
        <v>406</v>
      </c>
      <c r="U305" s="316" t="s">
        <v>1317</v>
      </c>
      <c r="W305" s="8">
        <v>1</v>
      </c>
      <c r="BE305" s="9"/>
    </row>
    <row r="306" spans="1:5120 5122:14336 14338:16384" hidden="1">
      <c r="A306" s="286" t="s">
        <v>244</v>
      </c>
      <c r="B306" s="286" t="s">
        <v>221</v>
      </c>
      <c r="C306" s="280" t="s">
        <v>3</v>
      </c>
      <c r="D306" s="281" t="str">
        <f>IF(F306="","",CHOOSE(MONTH(F306),"Q4","Q4","Q4","Q1","Q1","Q1","Q2","Q2","Q2","Q3","Q3","Q3"))</f>
        <v>Q4</v>
      </c>
      <c r="E306" s="282" t="str">
        <f>IF(F306="","",CHOOSE(MONTH(F306),"10-JAN","11-FEB","12-MAR","01-APR","02-MAY","03-JUN","04-JUL","05-AUG","06-SEP","07-OCT","08-NOV","09-DEC"))</f>
        <v>10-JAN</v>
      </c>
      <c r="F306" s="242">
        <v>45306</v>
      </c>
      <c r="G306" s="55" t="s">
        <v>424</v>
      </c>
      <c r="H306" s="5" t="s">
        <v>35</v>
      </c>
      <c r="I306" s="29" t="s">
        <v>223</v>
      </c>
      <c r="J306" s="21" t="s">
        <v>95</v>
      </c>
      <c r="K306" s="281" t="s">
        <v>34</v>
      </c>
      <c r="L306" s="78" t="s">
        <v>425</v>
      </c>
      <c r="M306" s="151">
        <f>IF(SUM(V306:BC306)=0,"-",SUM(V306:BC306))</f>
        <v>1</v>
      </c>
      <c r="N306" s="278">
        <f>IF(SUMPRODUCT($V$3:$BC$3,V306:BC306)=0,"-",SUMPRODUCT($V$3:$BC$3,V306:BC306))</f>
        <v>40</v>
      </c>
      <c r="O306" s="114" t="s">
        <v>1332</v>
      </c>
      <c r="P306" s="279" t="str">
        <f>IF(G306="","",IFERROR(IF(S306="Sent","",IF(I306="Delivered","PO en attente","Projet en cours")),""))</f>
        <v/>
      </c>
      <c r="Q306" s="211">
        <v>4200659416</v>
      </c>
      <c r="R306" s="258" t="s">
        <v>225</v>
      </c>
      <c r="S306" s="211" t="s">
        <v>249</v>
      </c>
      <c r="T306" s="211" t="s">
        <v>1240</v>
      </c>
      <c r="U306" s="249" t="s">
        <v>1241</v>
      </c>
      <c r="AD306" s="8">
        <v>1</v>
      </c>
      <c r="AZ306" s="8"/>
      <c r="BA306" s="7"/>
      <c r="BB306" s="8"/>
      <c r="BC306" s="7"/>
      <c r="BD306" s="5"/>
      <c r="BF306" s="9"/>
    </row>
    <row r="307" spans="1:5120 5122:14336 14338:16384" hidden="1">
      <c r="A307" s="286" t="s">
        <v>244</v>
      </c>
      <c r="B307" s="286" t="s">
        <v>221</v>
      </c>
      <c r="C307" s="280" t="s">
        <v>3</v>
      </c>
      <c r="D307" s="281" t="str">
        <f>IF(F307="","",CHOOSE(MONTH(F307),"Q4","Q4","Q4","Q1","Q1","Q1","Q2","Q2","Q2","Q3","Q3","Q3"))</f>
        <v>Q4</v>
      </c>
      <c r="E307" s="282" t="str">
        <f>IF(F307="","",CHOOSE(MONTH(F307),"10-JAN","11-FEB","12-MAR","01-APR","02-MAY","03-JUN","04-JUL","05-AUG","06-SEP","07-OCT","08-NOV","09-DEC"))</f>
        <v>10-JAN</v>
      </c>
      <c r="F307" s="242">
        <v>45306</v>
      </c>
      <c r="G307" s="55" t="s">
        <v>422</v>
      </c>
      <c r="H307" s="459" t="s">
        <v>31</v>
      </c>
      <c r="I307" s="29" t="s">
        <v>223</v>
      </c>
      <c r="J307" s="8" t="s">
        <v>129</v>
      </c>
      <c r="K307" s="281" t="s">
        <v>30</v>
      </c>
      <c r="L307" s="78" t="s">
        <v>423</v>
      </c>
      <c r="M307" s="151">
        <f>IF(SUM(V307:BC307)=0,"-",SUM(V307:BC307))</f>
        <v>14</v>
      </c>
      <c r="N307" s="241">
        <f>IF(SUMPRODUCT($V$3:$BC$3,V307:BC307)=0,"-",SUMPRODUCT($V$3:$BC$3,V307:BC307))</f>
        <v>915</v>
      </c>
      <c r="O307" s="266"/>
      <c r="P307" s="279" t="str">
        <f>IF(G307="","",IFERROR(IF(S307="Sent","",IF(I307="Delivered","PO en attente","Projet en cours")),""))</f>
        <v/>
      </c>
      <c r="Q307" s="260">
        <v>4200657839</v>
      </c>
      <c r="R307" s="260" t="s">
        <v>1302</v>
      </c>
      <c r="S307" s="260" t="s">
        <v>249</v>
      </c>
      <c r="T307" s="260" t="s">
        <v>1333</v>
      </c>
      <c r="U307" s="249" t="s">
        <v>1202</v>
      </c>
      <c r="V307" s="7">
        <v>5</v>
      </c>
      <c r="W307" s="8">
        <v>9</v>
      </c>
      <c r="AZ307" s="8"/>
      <c r="BA307" s="7"/>
      <c r="BB307" s="8"/>
      <c r="BC307" s="7"/>
      <c r="BD307" s="8"/>
      <c r="BE307" s="8"/>
      <c r="BF307" s="9"/>
    </row>
    <row r="308" spans="1:5120 5122:14336 14338:16384" hidden="1">
      <c r="A308" s="286" t="s">
        <v>220</v>
      </c>
      <c r="B308" s="286" t="s">
        <v>221</v>
      </c>
      <c r="C308" s="280" t="s">
        <v>3</v>
      </c>
      <c r="D308" s="281" t="str">
        <f>IF(F308="","",CHOOSE(MONTH(F308),"Q4","Q4","Q4","Q1","Q1","Q1","Q2","Q2","Q2","Q3","Q3","Q3"))</f>
        <v>Q4</v>
      </c>
      <c r="E308" s="282" t="str">
        <f>IF(F308="","",CHOOSE(MONTH(F308),"10-JAN","11-FEB","12-MAR","01-APR","02-MAY","03-JUN","04-JUL","05-AUG","06-SEP","07-OCT","08-NOV","09-DEC"))</f>
        <v>10-JAN</v>
      </c>
      <c r="F308" s="242">
        <v>45309</v>
      </c>
      <c r="G308" s="55" t="s">
        <v>1146</v>
      </c>
      <c r="H308" s="5" t="s">
        <v>27</v>
      </c>
      <c r="I308" s="118" t="s">
        <v>223</v>
      </c>
      <c r="J308" s="8" t="s">
        <v>95</v>
      </c>
      <c r="K308" s="281" t="s">
        <v>34</v>
      </c>
      <c r="L308" s="78" t="s">
        <v>1334</v>
      </c>
      <c r="M308" s="151">
        <f>IF(SUM(V308:BC308)=0,"-",SUM(V308:BC308))</f>
        <v>1</v>
      </c>
      <c r="N308" s="278">
        <f>IF(SUMPRODUCT($V$3:$BC$3,V308:BC308)=0,"-",SUMPRODUCT($V$3:$BC$3,V308:BC308))</f>
        <v>35</v>
      </c>
      <c r="O308" s="266" t="s">
        <v>1148</v>
      </c>
      <c r="P308" s="269" t="str">
        <f>IF(G308="","",IFERROR(IF(S308="Sent","",IF(I308="Delivered","PO en attente","Projet en cours")),""))</f>
        <v/>
      </c>
      <c r="Q308" s="211">
        <v>4200659852</v>
      </c>
      <c r="R308" s="211"/>
      <c r="S308" s="211" t="s">
        <v>249</v>
      </c>
      <c r="T308" s="211" t="s">
        <v>1326</v>
      </c>
      <c r="U308" s="249" t="s">
        <v>1202</v>
      </c>
      <c r="W308" s="8">
        <v>1</v>
      </c>
      <c r="AZ308" s="8"/>
      <c r="BA308" s="7"/>
      <c r="BB308" s="8"/>
      <c r="BC308" s="7"/>
      <c r="BD308" s="8"/>
      <c r="BE308" s="8"/>
      <c r="BF308" s="9"/>
    </row>
    <row r="309" spans="1:5120 5122:14336 14338:16384" hidden="1">
      <c r="A309" s="286" t="s">
        <v>244</v>
      </c>
      <c r="B309" s="286" t="s">
        <v>221</v>
      </c>
      <c r="C309" s="280" t="s">
        <v>3</v>
      </c>
      <c r="D309" s="281" t="str">
        <f>IF(F309="","",CHOOSE(MONTH(F309),"Q4","Q4","Q4","Q1","Q1","Q1","Q2","Q2","Q2","Q3","Q3","Q3"))</f>
        <v>Q4</v>
      </c>
      <c r="E309" s="282" t="str">
        <f>IF(F309="","",CHOOSE(MONTH(F309),"10-JAN","11-FEB","12-MAR","01-APR","02-MAY","03-JUN","04-JUL","05-AUG","06-SEP","07-OCT","08-NOV","09-DEC"))</f>
        <v>10-JAN</v>
      </c>
      <c r="F309" s="242">
        <v>45309</v>
      </c>
      <c r="G309" s="55" t="s">
        <v>426</v>
      </c>
      <c r="H309" s="5" t="s">
        <v>26</v>
      </c>
      <c r="I309" s="118" t="s">
        <v>223</v>
      </c>
      <c r="J309" s="8" t="s">
        <v>95</v>
      </c>
      <c r="K309" s="281" t="s">
        <v>30</v>
      </c>
      <c r="M309" s="151">
        <f>IF(SUM(V309:BC309)=0,"-",SUM(V309:BC309))</f>
        <v>8</v>
      </c>
      <c r="N309" s="278">
        <f>IF(SUMPRODUCT($V$3:$BC$3,V309:BC309)=0,"-",SUMPRODUCT($V$3:$BC$3,V309:BC309))</f>
        <v>280</v>
      </c>
      <c r="P309" s="269" t="str">
        <f>IF(G309="","",IFERROR(IF(S309="Sent","",IF(I309="Delivered","PO en attente","Projet en cours")),""))</f>
        <v/>
      </c>
      <c r="Q309" s="211">
        <v>4200657838</v>
      </c>
      <c r="R309" s="211" t="s">
        <v>1302</v>
      </c>
      <c r="S309" s="248" t="s">
        <v>249</v>
      </c>
      <c r="T309" s="248" t="s">
        <v>1201</v>
      </c>
      <c r="U309" s="372" t="s">
        <v>1202</v>
      </c>
      <c r="W309" s="8">
        <v>8</v>
      </c>
      <c r="AZ309" s="8"/>
      <c r="BA309" s="7"/>
      <c r="BB309" s="8"/>
      <c r="BC309" s="7"/>
      <c r="BD309" s="8"/>
      <c r="BE309" s="8"/>
      <c r="BF309" s="9"/>
    </row>
    <row r="310" spans="1:5120 5122:14336 14338:16384" hidden="1">
      <c r="A310" s="286" t="s">
        <v>220</v>
      </c>
      <c r="B310" s="286" t="s">
        <v>221</v>
      </c>
      <c r="C310" s="280" t="s">
        <v>3</v>
      </c>
      <c r="D310" s="281" t="str">
        <f>IF(F310="","",CHOOSE(MONTH(F310),"Q4","Q4","Q4","Q1","Q1","Q1","Q2","Q2","Q2","Q3","Q3","Q3"))</f>
        <v>Q4</v>
      </c>
      <c r="E310" s="282" t="str">
        <f>IF(F310="","",CHOOSE(MONTH(F310),"10-JAN","11-FEB","12-MAR","01-APR","02-MAY","03-JUN","04-JUL","05-AUG","06-SEP","07-OCT","08-NOV","09-DEC"))</f>
        <v>10-JAN</v>
      </c>
      <c r="F310" s="242">
        <v>45310</v>
      </c>
      <c r="G310" s="112" t="s">
        <v>1149</v>
      </c>
      <c r="H310" s="459" t="s">
        <v>31</v>
      </c>
      <c r="I310" s="118" t="s">
        <v>223</v>
      </c>
      <c r="J310" s="8" t="s">
        <v>95</v>
      </c>
      <c r="K310" s="281" t="s">
        <v>30</v>
      </c>
      <c r="L310" s="124" t="s">
        <v>1150</v>
      </c>
      <c r="M310" s="151">
        <f>IF(SUM(V310:BC310)=0,"-",SUM(V310:BC310))</f>
        <v>1</v>
      </c>
      <c r="N310" s="278">
        <f>IF(SUMPRODUCT($V$3:$BC$3,V310:BC310)=0,"-",SUMPRODUCT($V$3:$BC$3,V310:BC310))</f>
        <v>40</v>
      </c>
      <c r="O310" s="266" t="s">
        <v>1151</v>
      </c>
      <c r="P310" s="269" t="str">
        <f>IF(G310="","",IFERROR(IF(S310="Sent","",IF(I310="Delivered","PO en attente","Projet en cours")),""))</f>
        <v/>
      </c>
      <c r="Q310" s="258">
        <v>4200657838</v>
      </c>
      <c r="R310" s="211" t="s">
        <v>1302</v>
      </c>
      <c r="S310" s="248" t="s">
        <v>249</v>
      </c>
      <c r="T310" s="248" t="s">
        <v>1201</v>
      </c>
      <c r="U310" s="372" t="s">
        <v>1202</v>
      </c>
      <c r="AD310" s="8">
        <v>1</v>
      </c>
      <c r="AZ310" s="8"/>
      <c r="BA310" s="7"/>
      <c r="BB310" s="8"/>
      <c r="BC310" s="7"/>
      <c r="BD310" s="8"/>
      <c r="BE310" s="8"/>
      <c r="BF310" s="9"/>
    </row>
    <row r="311" spans="1:5120 5122:14336 14338:16384" hidden="1">
      <c r="A311" s="286" t="s">
        <v>220</v>
      </c>
      <c r="B311" s="286" t="s">
        <v>221</v>
      </c>
      <c r="C311" s="280" t="s">
        <v>3</v>
      </c>
      <c r="D311" s="281" t="str">
        <f>IF(F311="","",CHOOSE(MONTH(F311),"Q4","Q4","Q4","Q1","Q1","Q1","Q2","Q2","Q2","Q3","Q3","Q3"))</f>
        <v>Q4</v>
      </c>
      <c r="E311" s="282" t="str">
        <f>IF(F311="","",CHOOSE(MONTH(F311),"10-JAN","11-FEB","12-MAR","01-APR","02-MAY","03-JUN","04-JUL","05-AUG","06-SEP","07-OCT","08-NOV","09-DEC"))</f>
        <v>10-JAN</v>
      </c>
      <c r="F311" s="242">
        <v>45313</v>
      </c>
      <c r="G311" s="222" t="s">
        <v>1152</v>
      </c>
      <c r="H311" s="5" t="s">
        <v>27</v>
      </c>
      <c r="I311" s="118" t="s">
        <v>223</v>
      </c>
      <c r="J311" s="8" t="s">
        <v>69</v>
      </c>
      <c r="K311" s="281" t="s">
        <v>34</v>
      </c>
      <c r="L311" s="78" t="s">
        <v>1153</v>
      </c>
      <c r="M311" s="151">
        <f>IF(SUM(V311:BC311)=0,"-",SUM(V311:BC311))</f>
        <v>3</v>
      </c>
      <c r="N311" s="278">
        <f>IF(SUMPRODUCT($V$3:$BC$3,V311:BC311)=0,"-",SUMPRODUCT($V$3:$BC$3,V311:BC311))</f>
        <v>405</v>
      </c>
      <c r="O311" s="266" t="s">
        <v>1154</v>
      </c>
      <c r="P311" s="269" t="str">
        <f>IF(G311="","",IFERROR(IF(S311="Sent","",IF(I311="Delivered","PO en attente","Projet en cours")),""))</f>
        <v/>
      </c>
      <c r="Q311" s="211">
        <v>4200659863</v>
      </c>
      <c r="R311" s="211"/>
      <c r="S311" s="211" t="s">
        <v>249</v>
      </c>
      <c r="T311" s="211" t="s">
        <v>1323</v>
      </c>
      <c r="U311" s="249" t="s">
        <v>1322</v>
      </c>
      <c r="X311" s="242"/>
      <c r="Y311" s="222"/>
      <c r="Z311" s="5"/>
      <c r="AA311" s="118"/>
      <c r="AC311" s="309">
        <v>3</v>
      </c>
      <c r="AD311" s="78"/>
      <c r="AE311" s="151"/>
      <c r="AF311" s="278"/>
      <c r="AG311" s="266"/>
      <c r="AH311" s="279"/>
      <c r="AI311" s="211"/>
      <c r="AJ311" s="211"/>
      <c r="AK311" s="286"/>
      <c r="AL311" s="310"/>
      <c r="AM311" s="311"/>
      <c r="AN311" s="281"/>
      <c r="AO311" s="282"/>
      <c r="AP311" s="242"/>
      <c r="AQ311" s="222"/>
      <c r="AR311" s="5"/>
      <c r="AS311" s="312"/>
      <c r="AT311" s="118"/>
      <c r="AV311" s="281"/>
      <c r="AW311" s="78"/>
      <c r="AX311" s="151"/>
      <c r="AY311" s="278"/>
      <c r="AZ311" s="465"/>
      <c r="BA311" s="466"/>
      <c r="BB311" s="211"/>
      <c r="BC311" s="313"/>
      <c r="BD311" s="5"/>
      <c r="BF311" s="9"/>
    </row>
    <row r="312" spans="1:5120 5122:14336 14338:16384" hidden="1">
      <c r="A312" s="286" t="s">
        <v>244</v>
      </c>
      <c r="B312" s="286" t="s">
        <v>221</v>
      </c>
      <c r="C312" s="280" t="s">
        <v>3</v>
      </c>
      <c r="D312" s="281" t="str">
        <f>IF(F312="","",CHOOSE(MONTH(F312),"Q4","Q4","Q4","Q1","Q1","Q1","Q2","Q2","Q2","Q3","Q3","Q3"))</f>
        <v>Q4</v>
      </c>
      <c r="E312" s="282" t="str">
        <f>IF(F312="","",CHOOSE(MONTH(F312),"10-JAN","11-FEB","12-MAR","01-APR","02-MAY","03-JUN","04-JUL","05-AUG","06-SEP","07-OCT","08-NOV","09-DEC"))</f>
        <v>10-JAN</v>
      </c>
      <c r="F312" s="242">
        <v>45313</v>
      </c>
      <c r="G312" s="472" t="s">
        <v>402</v>
      </c>
      <c r="H312" s="459" t="s">
        <v>31</v>
      </c>
      <c r="I312" s="118" t="s">
        <v>223</v>
      </c>
      <c r="J312" s="8" t="s">
        <v>95</v>
      </c>
      <c r="K312" s="281" t="s">
        <v>30</v>
      </c>
      <c r="L312" s="124" t="s">
        <v>423</v>
      </c>
      <c r="M312" s="151">
        <f>IF(SUM(V312:BC312)=0,"-",SUM(V312:BC312))</f>
        <v>2</v>
      </c>
      <c r="N312" s="278">
        <f>IF(SUMPRODUCT($V$3:$BC$3,V312:BC312)=0,"-",SUMPRODUCT($V$3:$BC$3,V312:BC312))</f>
        <v>155</v>
      </c>
      <c r="P312" s="269" t="str">
        <f>IF(G312="","",IFERROR(IF(S312="Sent","",IF(I312="Delivered","PO en attente","Projet en cours")),""))</f>
        <v/>
      </c>
      <c r="Q312" s="211">
        <v>4200657838</v>
      </c>
      <c r="R312" s="211" t="s">
        <v>1302</v>
      </c>
      <c r="S312" s="248" t="s">
        <v>249</v>
      </c>
      <c r="T312" s="248" t="s">
        <v>1201</v>
      </c>
      <c r="U312" s="372" t="s">
        <v>1202</v>
      </c>
      <c r="V312" s="7">
        <v>1</v>
      </c>
      <c r="W312" s="8">
        <v>1</v>
      </c>
      <c r="AZ312" s="8"/>
      <c r="BA312" s="7"/>
      <c r="BB312" s="8"/>
      <c r="BC312" s="7"/>
      <c r="BD312" s="8"/>
      <c r="BE312" s="8"/>
      <c r="BF312" s="9"/>
    </row>
    <row r="313" spans="1:5120 5122:14336 14338:16384" hidden="1">
      <c r="A313" s="286" t="s">
        <v>220</v>
      </c>
      <c r="B313" s="286" t="s">
        <v>221</v>
      </c>
      <c r="C313" s="280" t="s">
        <v>3</v>
      </c>
      <c r="D313" s="281" t="str">
        <f>IF(F313="","",CHOOSE(MONTH(F313),"Q4","Q4","Q4","Q1","Q1","Q1","Q2","Q2","Q2","Q3","Q3","Q3"))</f>
        <v>Q4</v>
      </c>
      <c r="E313" s="282" t="str">
        <f>IF(F313="","",CHOOSE(MONTH(F313),"10-JAN","11-FEB","12-MAR","01-APR","02-MAY","03-JUN","04-JUL","05-AUG","06-SEP","07-OCT","08-NOV","09-DEC"))</f>
        <v>10-JAN</v>
      </c>
      <c r="F313" s="242">
        <v>45314</v>
      </c>
      <c r="G313" s="55" t="s">
        <v>1155</v>
      </c>
      <c r="H313" s="5" t="s">
        <v>36</v>
      </c>
      <c r="I313" s="29" t="s">
        <v>223</v>
      </c>
      <c r="J313" s="8" t="s">
        <v>69</v>
      </c>
      <c r="K313" s="281" t="s">
        <v>34</v>
      </c>
      <c r="L313" s="78" t="s">
        <v>1156</v>
      </c>
      <c r="M313" s="151">
        <f>IF(SUM(V313:BC313)=0,"-",SUM(V313:BC313))</f>
        <v>3</v>
      </c>
      <c r="N313" s="278">
        <f>IF(SUMPRODUCT($V$3:$BC$3,V313:BC313)=0,"-",SUMPRODUCT($V$3:$BC$3,V313:BC313))</f>
        <v>215</v>
      </c>
      <c r="O313" s="266" t="s">
        <v>1157</v>
      </c>
      <c r="P313" s="279"/>
      <c r="Q313" s="211">
        <v>4200659622</v>
      </c>
      <c r="R313" s="211"/>
      <c r="S313" s="211" t="s">
        <v>249</v>
      </c>
      <c r="T313" s="211" t="s">
        <v>1335</v>
      </c>
      <c r="U313" s="393" t="s">
        <v>1241</v>
      </c>
      <c r="V313" s="8"/>
      <c r="AC313" s="7">
        <v>1</v>
      </c>
      <c r="AD313" s="8">
        <v>2</v>
      </c>
      <c r="AZ313" s="8"/>
      <c r="BA313" s="7"/>
      <c r="BB313" s="8"/>
      <c r="BC313" s="7"/>
      <c r="BD313" s="5"/>
      <c r="BF313" s="9"/>
    </row>
    <row r="314" spans="1:5120 5122:14336 14338:16384" hidden="1">
      <c r="A314" s="286" t="s">
        <v>220</v>
      </c>
      <c r="B314" s="286" t="s">
        <v>221</v>
      </c>
      <c r="C314" s="280" t="s">
        <v>3</v>
      </c>
      <c r="D314" s="281" t="str">
        <f>IF(F314="","",CHOOSE(MONTH(F314),"Q4","Q4","Q4","Q1","Q1","Q1","Q2","Q2","Q2","Q3","Q3","Q3"))</f>
        <v>Q4</v>
      </c>
      <c r="E314" s="282" t="str">
        <f>IF(F314="","",CHOOSE(MONTH(F314),"10-JAN","11-FEB","12-MAR","01-APR","02-MAY","03-JUN","04-JUL","05-AUG","06-SEP","07-OCT","08-NOV","09-DEC"))</f>
        <v>10-JAN</v>
      </c>
      <c r="F314" s="242">
        <v>45315</v>
      </c>
      <c r="G314" s="220" t="s">
        <v>1159</v>
      </c>
      <c r="H314" s="5" t="s">
        <v>27</v>
      </c>
      <c r="I314" s="29" t="s">
        <v>223</v>
      </c>
      <c r="J314" s="8" t="s">
        <v>93</v>
      </c>
      <c r="K314" s="281" t="s">
        <v>34</v>
      </c>
      <c r="L314" s="78" t="s">
        <v>1160</v>
      </c>
      <c r="M314" s="151">
        <f>IF(SUM(V314:BC314)=0,"-",SUM(V314:BC314))</f>
        <v>1</v>
      </c>
      <c r="N314" s="278">
        <f>IF(SUMPRODUCT($V$3:$BC$3,V314:BC314)=0,"-",SUMPRODUCT($V$3:$BC$3,V314:BC314))</f>
        <v>120</v>
      </c>
      <c r="O314" s="266" t="s">
        <v>1161</v>
      </c>
      <c r="P314" s="269" t="str">
        <f>IF(G314="","",IFERROR(IF(S314="Sent","",IF(I314="Delivered","PO en attente","Projet en cours")),""))</f>
        <v/>
      </c>
      <c r="Q314" s="211">
        <v>4200659852</v>
      </c>
      <c r="R314" s="211"/>
      <c r="S314" s="211" t="s">
        <v>249</v>
      </c>
      <c r="T314" s="211" t="s">
        <v>1326</v>
      </c>
      <c r="U314" s="393" t="s">
        <v>1202</v>
      </c>
      <c r="V314" s="8">
        <v>1</v>
      </c>
      <c r="AZ314" s="8"/>
      <c r="BA314" s="7"/>
      <c r="BB314" s="8"/>
      <c r="BC314" s="7"/>
      <c r="BD314" s="286"/>
      <c r="BE314" s="286"/>
      <c r="BF314" s="311"/>
      <c r="BG314" s="281"/>
      <c r="BH314" s="282"/>
      <c r="BI314" s="242"/>
      <c r="BJ314" s="222"/>
      <c r="BL314" s="118"/>
      <c r="BM314" s="8"/>
      <c r="BN314" s="281"/>
      <c r="BO314" s="78"/>
      <c r="BP314" s="151"/>
      <c r="BQ314" s="278"/>
      <c r="BR314" s="266"/>
      <c r="BS314" s="279"/>
      <c r="BT314" s="211"/>
      <c r="BU314" s="211"/>
      <c r="BV314" s="286"/>
      <c r="BW314" s="286"/>
      <c r="BX314" s="280"/>
      <c r="BY314" s="281"/>
      <c r="BZ314" s="282"/>
      <c r="CA314" s="242"/>
      <c r="CB314" s="222"/>
      <c r="CD314" s="118"/>
      <c r="CE314" s="8"/>
      <c r="CF314" s="281"/>
      <c r="CG314" s="78"/>
      <c r="CH314" s="151"/>
      <c r="CI314" s="278"/>
      <c r="CJ314" s="266"/>
      <c r="CK314" s="279"/>
      <c r="CL314" s="211"/>
      <c r="CM314" s="211"/>
      <c r="CN314" s="286"/>
      <c r="CO314" s="286"/>
      <c r="CP314" s="280"/>
      <c r="CQ314" s="281"/>
      <c r="CR314" s="282"/>
      <c r="CS314" s="242"/>
      <c r="CT314" s="222"/>
      <c r="CV314" s="118"/>
      <c r="CW314" s="8"/>
      <c r="CX314" s="281"/>
      <c r="CY314" s="78"/>
      <c r="CZ314" s="151"/>
      <c r="DA314" s="278"/>
      <c r="DB314" s="266"/>
      <c r="DC314" s="279"/>
      <c r="DD314" s="211"/>
      <c r="DE314" s="211"/>
      <c r="DF314" s="286"/>
      <c r="DG314" s="286"/>
      <c r="DH314" s="280"/>
      <c r="DI314" s="281"/>
      <c r="DJ314" s="282"/>
      <c r="DK314" s="242"/>
      <c r="DL314" s="222"/>
      <c r="DN314" s="118"/>
      <c r="DO314" s="8"/>
      <c r="DP314" s="281"/>
      <c r="DQ314" s="78"/>
      <c r="DR314" s="151"/>
      <c r="DS314" s="278"/>
      <c r="DT314" s="266"/>
      <c r="DU314" s="279"/>
      <c r="DV314" s="211"/>
      <c r="DW314" s="211"/>
      <c r="DX314" s="286"/>
      <c r="DY314" s="286"/>
      <c r="DZ314" s="280"/>
      <c r="EA314" s="281"/>
      <c r="EB314" s="282"/>
      <c r="EC314" s="242"/>
      <c r="ED314" s="222"/>
      <c r="EF314" s="118"/>
      <c r="EG314" s="8"/>
      <c r="EH314" s="281"/>
      <c r="EI314" s="78"/>
      <c r="EJ314" s="151"/>
      <c r="EK314" s="278"/>
      <c r="EL314" s="266"/>
      <c r="EM314" s="279"/>
      <c r="EN314" s="211"/>
      <c r="EO314" s="211"/>
      <c r="EP314" s="286"/>
      <c r="EQ314" s="286"/>
      <c r="ER314" s="280"/>
      <c r="ES314" s="281"/>
      <c r="ET314" s="282"/>
      <c r="EU314" s="242"/>
      <c r="EV314" s="222"/>
      <c r="EX314" s="118"/>
      <c r="EY314" s="8"/>
      <c r="EZ314" s="281"/>
      <c r="FA314" s="78"/>
      <c r="FB314" s="151"/>
      <c r="FC314" s="278"/>
      <c r="FD314" s="266"/>
      <c r="FE314" s="279"/>
      <c r="FF314" s="211"/>
      <c r="FG314" s="211"/>
      <c r="FH314" s="286"/>
      <c r="FI314" s="286"/>
      <c r="FJ314" s="280"/>
      <c r="FK314" s="281"/>
      <c r="FL314" s="282"/>
      <c r="FM314" s="242"/>
      <c r="FN314" s="222"/>
      <c r="FP314" s="118"/>
      <c r="FQ314" s="8"/>
      <c r="FR314" s="281"/>
      <c r="FS314" s="78"/>
      <c r="FT314" s="151"/>
      <c r="FU314" s="278"/>
      <c r="FV314" s="266"/>
      <c r="FW314" s="279"/>
      <c r="FX314" s="211"/>
      <c r="FY314" s="211"/>
      <c r="FZ314" s="286"/>
      <c r="GA314" s="286"/>
      <c r="GB314" s="280"/>
      <c r="GC314" s="281"/>
      <c r="GD314" s="282"/>
      <c r="GE314" s="242"/>
      <c r="GF314" s="222"/>
      <c r="GH314" s="118"/>
      <c r="GI314" s="8"/>
      <c r="GJ314" s="281"/>
      <c r="GK314" s="78"/>
      <c r="GL314" s="151"/>
      <c r="GM314" s="278"/>
      <c r="GN314" s="266"/>
      <c r="GO314" s="279"/>
      <c r="GP314" s="211"/>
      <c r="GQ314" s="211"/>
      <c r="GR314" s="286"/>
      <c r="GS314" s="286"/>
      <c r="GT314" s="280"/>
      <c r="GU314" s="281"/>
      <c r="GV314" s="282"/>
      <c r="GW314" s="242"/>
      <c r="GX314" s="222"/>
      <c r="GZ314" s="118"/>
      <c r="HA314" s="8"/>
      <c r="HB314" s="281"/>
      <c r="HC314" s="78"/>
      <c r="HD314" s="151"/>
      <c r="HE314" s="278"/>
      <c r="HF314" s="266"/>
      <c r="HG314" s="279"/>
      <c r="HH314" s="211"/>
      <c r="HI314" s="211"/>
      <c r="HJ314" s="286"/>
      <c r="HK314" s="286"/>
      <c r="HL314" s="280"/>
      <c r="HM314" s="281"/>
      <c r="HN314" s="282"/>
      <c r="HO314" s="242"/>
      <c r="HP314" s="222"/>
      <c r="HR314" s="118"/>
      <c r="HS314" s="8"/>
      <c r="HT314" s="281"/>
      <c r="HU314" s="78"/>
      <c r="HV314" s="151"/>
      <c r="HW314" s="278"/>
      <c r="HX314" s="266"/>
      <c r="HY314" s="279"/>
      <c r="HZ314" s="211"/>
      <c r="IA314" s="211"/>
      <c r="IB314" s="286"/>
      <c r="IC314" s="286"/>
      <c r="ID314" s="280"/>
      <c r="IE314" s="281"/>
      <c r="IF314" s="282"/>
      <c r="IG314" s="242"/>
      <c r="IH314" s="222"/>
      <c r="IJ314" s="118"/>
      <c r="IK314" s="8"/>
      <c r="IL314" s="281"/>
      <c r="IM314" s="78"/>
      <c r="IN314" s="151"/>
      <c r="IO314" s="278"/>
      <c r="IP314" s="266"/>
      <c r="IQ314" s="279"/>
      <c r="IR314" s="211"/>
      <c r="IS314" s="211"/>
      <c r="IT314" s="286"/>
      <c r="IU314" s="286"/>
      <c r="IV314" s="280"/>
      <c r="IW314" s="281"/>
      <c r="IX314" s="282"/>
      <c r="IY314" s="242"/>
      <c r="IZ314" s="222"/>
      <c r="JB314" s="118"/>
      <c r="JC314" s="8"/>
      <c r="JD314" s="281"/>
      <c r="JE314" s="78"/>
      <c r="JF314" s="151"/>
      <c r="JG314" s="278"/>
      <c r="JH314" s="266"/>
      <c r="JI314" s="279"/>
      <c r="JJ314" s="211"/>
      <c r="JK314" s="211"/>
      <c r="JL314" s="286"/>
      <c r="JM314" s="286"/>
      <c r="JN314" s="280"/>
      <c r="JO314" s="281"/>
      <c r="JP314" s="282"/>
      <c r="JQ314" s="242"/>
      <c r="JR314" s="222"/>
      <c r="JT314" s="118"/>
      <c r="JU314" s="8"/>
      <c r="JV314" s="281"/>
      <c r="JW314" s="78"/>
      <c r="JX314" s="151"/>
      <c r="JY314" s="278"/>
      <c r="JZ314" s="266"/>
      <c r="KA314" s="279"/>
      <c r="KB314" s="211"/>
      <c r="KC314" s="211"/>
      <c r="KD314" s="286"/>
      <c r="KE314" s="286"/>
      <c r="KF314" s="280"/>
      <c r="KG314" s="281"/>
      <c r="KH314" s="282"/>
      <c r="KI314" s="242"/>
      <c r="KJ314" s="222"/>
      <c r="KL314" s="118"/>
      <c r="KM314" s="8"/>
      <c r="KN314" s="281"/>
      <c r="KO314" s="78"/>
      <c r="KP314" s="151"/>
      <c r="KQ314" s="278"/>
      <c r="KR314" s="266"/>
      <c r="KS314" s="279"/>
      <c r="KT314" s="211"/>
      <c r="KU314" s="211"/>
      <c r="KV314" s="286"/>
      <c r="KW314" s="286"/>
      <c r="KX314" s="280"/>
      <c r="KY314" s="281"/>
      <c r="KZ314" s="282"/>
      <c r="LA314" s="242"/>
      <c r="LB314" s="222"/>
      <c r="LD314" s="118"/>
      <c r="LE314" s="8"/>
      <c r="LF314" s="281"/>
      <c r="LG314" s="78"/>
      <c r="LH314" s="151"/>
      <c r="LI314" s="278"/>
      <c r="LJ314" s="266"/>
      <c r="LK314" s="279"/>
      <c r="LL314" s="211"/>
      <c r="LM314" s="211"/>
      <c r="LN314" s="286"/>
      <c r="LO314" s="286"/>
      <c r="LP314" s="280"/>
      <c r="LQ314" s="281"/>
      <c r="LR314" s="282"/>
      <c r="LS314" s="242"/>
      <c r="LT314" s="222"/>
      <c r="LV314" s="118"/>
      <c r="LW314" s="8"/>
      <c r="LX314" s="281"/>
      <c r="LY314" s="78"/>
      <c r="LZ314" s="151"/>
      <c r="MA314" s="278"/>
      <c r="MB314" s="266"/>
      <c r="MC314" s="279"/>
      <c r="MD314" s="211"/>
      <c r="ME314" s="211"/>
      <c r="MF314" s="286"/>
      <c r="MG314" s="286"/>
      <c r="MH314" s="280"/>
      <c r="MI314" s="281"/>
      <c r="MJ314" s="282"/>
      <c r="MK314" s="242"/>
      <c r="ML314" s="222"/>
      <c r="MN314" s="118"/>
      <c r="MO314" s="8"/>
      <c r="MP314" s="281"/>
      <c r="MQ314" s="78"/>
      <c r="MR314" s="151"/>
      <c r="MS314" s="278"/>
      <c r="MT314" s="266"/>
      <c r="MU314" s="279"/>
      <c r="MV314" s="211"/>
      <c r="MW314" s="211"/>
      <c r="MX314" s="286"/>
      <c r="MY314" s="286"/>
      <c r="MZ314" s="280"/>
      <c r="NA314" s="281"/>
      <c r="NB314" s="282"/>
      <c r="NC314" s="242"/>
      <c r="ND314" s="222"/>
      <c r="NF314" s="118"/>
      <c r="NG314" s="8"/>
      <c r="NH314" s="281"/>
      <c r="NI314" s="78"/>
      <c r="NJ314" s="151"/>
      <c r="NK314" s="278"/>
      <c r="NL314" s="266"/>
      <c r="NM314" s="279"/>
      <c r="NN314" s="211"/>
      <c r="NO314" s="211"/>
      <c r="NP314" s="286"/>
      <c r="NQ314" s="286"/>
      <c r="NR314" s="280"/>
      <c r="NS314" s="281"/>
      <c r="NT314" s="282"/>
      <c r="NU314" s="242"/>
      <c r="NV314" s="222"/>
      <c r="NX314" s="118"/>
      <c r="NY314" s="8"/>
      <c r="NZ314" s="281"/>
      <c r="OA314" s="78"/>
      <c r="OB314" s="151"/>
      <c r="OC314" s="278"/>
      <c r="OD314" s="266"/>
      <c r="OE314" s="279"/>
      <c r="OF314" s="211"/>
      <c r="OG314" s="211"/>
      <c r="OH314" s="286"/>
      <c r="OI314" s="286"/>
      <c r="OJ314" s="280"/>
      <c r="OK314" s="281"/>
      <c r="OL314" s="282"/>
      <c r="OM314" s="242"/>
      <c r="ON314" s="222"/>
      <c r="OP314" s="118"/>
      <c r="OQ314" s="8"/>
      <c r="OR314" s="281"/>
      <c r="OS314" s="78"/>
      <c r="OT314" s="151"/>
      <c r="OU314" s="278"/>
      <c r="OV314" s="266"/>
      <c r="OW314" s="279"/>
      <c r="OX314" s="211"/>
      <c r="OY314" s="211"/>
      <c r="OZ314" s="286"/>
      <c r="PA314" s="286"/>
      <c r="PB314" s="280"/>
      <c r="PC314" s="281"/>
      <c r="PD314" s="282"/>
      <c r="PE314" s="242"/>
      <c r="PF314" s="222"/>
      <c r="PH314" s="118"/>
      <c r="PI314" s="8"/>
      <c r="PJ314" s="281"/>
      <c r="PK314" s="78"/>
      <c r="PL314" s="151"/>
      <c r="PM314" s="278"/>
      <c r="PN314" s="266"/>
      <c r="PO314" s="279"/>
      <c r="PP314" s="211"/>
      <c r="PQ314" s="211"/>
      <c r="PR314" s="286"/>
      <c r="PS314" s="286"/>
      <c r="PT314" s="280"/>
      <c r="PU314" s="281"/>
      <c r="PV314" s="282"/>
      <c r="PW314" s="242"/>
      <c r="PX314" s="222"/>
      <c r="PZ314" s="118"/>
      <c r="QA314" s="8"/>
      <c r="QB314" s="281"/>
      <c r="QC314" s="78"/>
      <c r="QD314" s="151"/>
      <c r="QE314" s="278"/>
      <c r="QF314" s="266"/>
      <c r="QG314" s="279"/>
      <c r="QH314" s="211"/>
      <c r="QI314" s="211"/>
      <c r="QJ314" s="286"/>
      <c r="QK314" s="286"/>
      <c r="QL314" s="280"/>
      <c r="QM314" s="281"/>
      <c r="QN314" s="282"/>
      <c r="QO314" s="242"/>
      <c r="QP314" s="222"/>
      <c r="QR314" s="118"/>
      <c r="QS314" s="8"/>
      <c r="QT314" s="281"/>
      <c r="QU314" s="78"/>
      <c r="QV314" s="151"/>
      <c r="QW314" s="278"/>
      <c r="QX314" s="266"/>
      <c r="QY314" s="279"/>
      <c r="QZ314" s="211"/>
      <c r="RA314" s="211"/>
      <c r="RB314" s="286"/>
      <c r="RC314" s="286"/>
      <c r="RD314" s="280"/>
      <c r="RE314" s="281"/>
      <c r="RF314" s="282"/>
      <c r="RG314" s="242"/>
      <c r="RH314" s="222"/>
      <c r="RJ314" s="118"/>
      <c r="RK314" s="8"/>
      <c r="RL314" s="281"/>
      <c r="RM314" s="78"/>
      <c r="RN314" s="151"/>
      <c r="RO314" s="278"/>
      <c r="RP314" s="266"/>
      <c r="RQ314" s="279"/>
      <c r="RR314" s="211"/>
      <c r="RS314" s="211"/>
      <c r="RT314" s="286"/>
      <c r="RU314" s="286"/>
      <c r="RV314" s="280"/>
      <c r="RW314" s="281"/>
      <c r="RX314" s="282"/>
      <c r="RY314" s="242"/>
      <c r="RZ314" s="222"/>
      <c r="SB314" s="118"/>
      <c r="SC314" s="8"/>
      <c r="SD314" s="281"/>
      <c r="SE314" s="78"/>
      <c r="SF314" s="151"/>
      <c r="SG314" s="278"/>
      <c r="SH314" s="266"/>
      <c r="SI314" s="279"/>
      <c r="SJ314" s="211"/>
      <c r="SK314" s="211"/>
      <c r="SL314" s="286"/>
      <c r="SM314" s="286"/>
      <c r="SN314" s="280"/>
      <c r="SO314" s="281"/>
      <c r="SP314" s="282"/>
      <c r="SQ314" s="242"/>
      <c r="SR314" s="222"/>
      <c r="ST314" s="118"/>
      <c r="SU314" s="8"/>
      <c r="SV314" s="281"/>
      <c r="SW314" s="78"/>
      <c r="SX314" s="151"/>
      <c r="SY314" s="278"/>
      <c r="SZ314" s="266"/>
      <c r="TA314" s="279"/>
      <c r="TB314" s="211"/>
      <c r="TC314" s="211"/>
      <c r="TD314" s="286"/>
      <c r="TE314" s="286"/>
      <c r="TF314" s="280"/>
      <c r="TG314" s="281"/>
      <c r="TH314" s="282"/>
      <c r="TI314" s="242"/>
      <c r="TJ314" s="222"/>
      <c r="TL314" s="118"/>
      <c r="TM314" s="8"/>
      <c r="TN314" s="281"/>
      <c r="TO314" s="78"/>
      <c r="TP314" s="151"/>
      <c r="TQ314" s="278"/>
      <c r="TR314" s="266"/>
      <c r="TS314" s="279"/>
      <c r="TT314" s="211"/>
      <c r="TU314" s="211"/>
      <c r="TV314" s="286"/>
      <c r="TW314" s="286"/>
      <c r="TX314" s="280"/>
      <c r="TY314" s="281"/>
      <c r="TZ314" s="282"/>
      <c r="UA314" s="242"/>
      <c r="UB314" s="222"/>
      <c r="UD314" s="118"/>
      <c r="UE314" s="8"/>
      <c r="UF314" s="281"/>
      <c r="UG314" s="78"/>
      <c r="UH314" s="151"/>
      <c r="UI314" s="278"/>
      <c r="UJ314" s="266"/>
      <c r="UK314" s="279"/>
      <c r="UL314" s="211"/>
      <c r="UM314" s="211"/>
      <c r="UN314" s="286"/>
      <c r="UO314" s="286"/>
      <c r="UP314" s="280"/>
      <c r="UQ314" s="281"/>
      <c r="UR314" s="282"/>
      <c r="US314" s="242"/>
      <c r="UT314" s="222"/>
      <c r="UV314" s="118"/>
      <c r="UW314" s="8"/>
      <c r="UX314" s="281"/>
      <c r="UY314" s="78"/>
      <c r="UZ314" s="151"/>
      <c r="VA314" s="278"/>
      <c r="VB314" s="266"/>
      <c r="VC314" s="279"/>
      <c r="VD314" s="211"/>
      <c r="VE314" s="211"/>
      <c r="VF314" s="286"/>
      <c r="VG314" s="286"/>
      <c r="VH314" s="280"/>
      <c r="VI314" s="281"/>
      <c r="VJ314" s="282"/>
      <c r="VK314" s="242"/>
      <c r="VL314" s="222"/>
      <c r="VN314" s="118"/>
      <c r="VO314" s="8"/>
      <c r="VP314" s="281"/>
      <c r="VQ314" s="78"/>
      <c r="VR314" s="151"/>
      <c r="VS314" s="278"/>
      <c r="VT314" s="266"/>
      <c r="VU314" s="279"/>
      <c r="VV314" s="211"/>
      <c r="VW314" s="211"/>
      <c r="VX314" s="286"/>
      <c r="VY314" s="286"/>
      <c r="VZ314" s="280"/>
      <c r="WA314" s="281"/>
      <c r="WB314" s="282"/>
      <c r="WC314" s="242"/>
      <c r="WD314" s="222"/>
      <c r="WF314" s="118"/>
      <c r="WG314" s="8"/>
      <c r="WH314" s="281"/>
      <c r="WI314" s="78"/>
      <c r="WJ314" s="151"/>
      <c r="WK314" s="278"/>
      <c r="WL314" s="266"/>
      <c r="WM314" s="279"/>
      <c r="WN314" s="211"/>
      <c r="WO314" s="211"/>
      <c r="WP314" s="286"/>
      <c r="WQ314" s="286"/>
      <c r="WR314" s="280"/>
      <c r="WS314" s="281"/>
      <c r="WT314" s="282"/>
      <c r="WU314" s="242"/>
      <c r="WV314" s="222"/>
      <c r="WX314" s="118"/>
      <c r="WY314" s="8"/>
      <c r="WZ314" s="281"/>
      <c r="XA314" s="78"/>
      <c r="XB314" s="151"/>
      <c r="XC314" s="278"/>
      <c r="XD314" s="266"/>
      <c r="XE314" s="279"/>
      <c r="XF314" s="211"/>
      <c r="XG314" s="211"/>
      <c r="XH314" s="286"/>
      <c r="XI314" s="286"/>
      <c r="XJ314" s="280"/>
      <c r="XK314" s="281"/>
      <c r="XL314" s="282"/>
      <c r="XM314" s="242"/>
      <c r="XN314" s="222"/>
      <c r="XP314" s="118"/>
      <c r="XQ314" s="8"/>
      <c r="XR314" s="281"/>
      <c r="XS314" s="78"/>
      <c r="XT314" s="151"/>
      <c r="XU314" s="278"/>
      <c r="XV314" s="266"/>
      <c r="XW314" s="279"/>
      <c r="XX314" s="211"/>
      <c r="XY314" s="211"/>
      <c r="XZ314" s="286"/>
      <c r="YA314" s="286"/>
      <c r="YB314" s="280"/>
      <c r="YC314" s="281"/>
      <c r="YD314" s="282"/>
      <c r="YE314" s="242"/>
      <c r="YF314" s="222"/>
      <c r="YH314" s="118"/>
      <c r="YI314" s="8"/>
      <c r="YJ314" s="281"/>
      <c r="YK314" s="78"/>
      <c r="YL314" s="151"/>
      <c r="YM314" s="278"/>
      <c r="YN314" s="266"/>
      <c r="YO314" s="279"/>
      <c r="YP314" s="211"/>
      <c r="YQ314" s="211"/>
      <c r="YR314" s="286"/>
      <c r="YS314" s="286"/>
      <c r="YT314" s="280"/>
      <c r="YU314" s="281"/>
      <c r="YV314" s="282"/>
      <c r="YW314" s="242"/>
      <c r="YX314" s="222"/>
      <c r="YZ314" s="118"/>
      <c r="ZA314" s="8"/>
      <c r="ZB314" s="281"/>
      <c r="ZC314" s="78"/>
      <c r="ZD314" s="151"/>
      <c r="ZE314" s="278"/>
      <c r="ZF314" s="266"/>
      <c r="ZG314" s="279"/>
      <c r="ZH314" s="211"/>
      <c r="ZI314" s="211"/>
      <c r="ZJ314" s="286"/>
      <c r="ZK314" s="286"/>
      <c r="ZL314" s="280"/>
      <c r="ZM314" s="281"/>
      <c r="ZN314" s="282"/>
      <c r="ZO314" s="242"/>
      <c r="ZP314" s="222"/>
      <c r="ZR314" s="118"/>
      <c r="ZS314" s="8"/>
      <c r="ZT314" s="281"/>
      <c r="ZU314" s="78"/>
      <c r="ZV314" s="151"/>
      <c r="ZW314" s="278"/>
      <c r="ZX314" s="266"/>
      <c r="ZY314" s="279"/>
      <c r="ZZ314" s="211"/>
      <c r="AAA314" s="211"/>
      <c r="AAB314" s="286"/>
      <c r="AAC314" s="286"/>
      <c r="AAD314" s="280"/>
      <c r="AAE314" s="281"/>
      <c r="AAF314" s="282"/>
      <c r="AAG314" s="242"/>
      <c r="AAH314" s="222"/>
      <c r="AAJ314" s="118"/>
      <c r="AAK314" s="8"/>
      <c r="AAL314" s="281"/>
      <c r="AAM314" s="78"/>
      <c r="AAN314" s="151"/>
      <c r="AAO314" s="278"/>
      <c r="AAP314" s="266"/>
      <c r="AAQ314" s="279"/>
      <c r="AAR314" s="211"/>
      <c r="AAS314" s="211"/>
      <c r="AAT314" s="286"/>
      <c r="AAU314" s="286"/>
      <c r="AAV314" s="280"/>
      <c r="AAW314" s="281"/>
      <c r="AAX314" s="282"/>
      <c r="AAY314" s="242"/>
      <c r="AAZ314" s="222"/>
      <c r="ABB314" s="118"/>
      <c r="ABC314" s="8"/>
      <c r="ABD314" s="281"/>
      <c r="ABE314" s="78"/>
      <c r="ABF314" s="151"/>
      <c r="ABG314" s="278"/>
      <c r="ABH314" s="266"/>
      <c r="ABI314" s="279"/>
      <c r="ABJ314" s="211"/>
      <c r="ABK314" s="211"/>
      <c r="ABL314" s="286"/>
      <c r="ABM314" s="286"/>
      <c r="ABN314" s="280"/>
      <c r="ABO314" s="281"/>
      <c r="ABP314" s="282"/>
      <c r="ABQ314" s="242"/>
      <c r="ABR314" s="222"/>
      <c r="ABT314" s="118"/>
      <c r="ABU314" s="8"/>
      <c r="ABV314" s="281"/>
      <c r="ABW314" s="78"/>
      <c r="ABX314" s="151"/>
      <c r="ABY314" s="278"/>
      <c r="ABZ314" s="266"/>
      <c r="ACA314" s="279"/>
      <c r="ACB314" s="211"/>
      <c r="ACC314" s="211"/>
      <c r="ACD314" s="286"/>
      <c r="ACE314" s="286"/>
      <c r="ACF314" s="280"/>
      <c r="ACG314" s="281"/>
      <c r="ACH314" s="282"/>
      <c r="ACI314" s="242"/>
      <c r="ACJ314" s="222"/>
      <c r="ACL314" s="118"/>
      <c r="ACM314" s="8"/>
      <c r="ACN314" s="281"/>
      <c r="ACO314" s="78"/>
      <c r="ACP314" s="151"/>
      <c r="ACQ314" s="278"/>
      <c r="ACR314" s="266"/>
      <c r="ACS314" s="279"/>
      <c r="ACT314" s="211"/>
      <c r="ACU314" s="211"/>
      <c r="ACV314" s="286"/>
      <c r="ACW314" s="286"/>
      <c r="ACX314" s="280"/>
      <c r="ACY314" s="281"/>
      <c r="ACZ314" s="282"/>
      <c r="ADA314" s="242"/>
      <c r="ADB314" s="222"/>
      <c r="ADD314" s="118"/>
      <c r="ADE314" s="8"/>
      <c r="ADF314" s="281"/>
      <c r="ADG314" s="78"/>
      <c r="ADH314" s="151"/>
      <c r="ADI314" s="278"/>
      <c r="ADJ314" s="266"/>
      <c r="ADK314" s="279"/>
      <c r="ADL314" s="211"/>
      <c r="ADM314" s="211"/>
      <c r="ADN314" s="286"/>
      <c r="ADO314" s="286"/>
      <c r="ADP314" s="280"/>
      <c r="ADQ314" s="281"/>
      <c r="ADR314" s="282"/>
      <c r="ADS314" s="242"/>
      <c r="ADT314" s="222"/>
      <c r="ADV314" s="118"/>
      <c r="ADW314" s="8"/>
      <c r="ADX314" s="281"/>
      <c r="ADY314" s="78"/>
      <c r="ADZ314" s="151"/>
      <c r="AEA314" s="278"/>
      <c r="AEB314" s="266"/>
      <c r="AEC314" s="279"/>
      <c r="AED314" s="211"/>
      <c r="AEE314" s="211"/>
      <c r="AEF314" s="286"/>
      <c r="AEG314" s="286"/>
      <c r="AEH314" s="280"/>
      <c r="AEI314" s="281"/>
      <c r="AEJ314" s="282"/>
      <c r="AEK314" s="242"/>
      <c r="AEL314" s="222"/>
      <c r="AEN314" s="118"/>
      <c r="AEO314" s="8"/>
      <c r="AEP314" s="281"/>
      <c r="AEQ314" s="78"/>
      <c r="AER314" s="151"/>
      <c r="AES314" s="278"/>
      <c r="AET314" s="266"/>
      <c r="AEU314" s="279"/>
      <c r="AEV314" s="211"/>
      <c r="AEW314" s="211"/>
      <c r="AEX314" s="286"/>
      <c r="AEY314" s="286"/>
      <c r="AEZ314" s="280"/>
      <c r="AFA314" s="281"/>
      <c r="AFB314" s="282"/>
      <c r="AFC314" s="242"/>
      <c r="AFD314" s="222"/>
      <c r="AFF314" s="118"/>
      <c r="AFG314" s="8"/>
      <c r="AFH314" s="281"/>
      <c r="AFI314" s="78"/>
      <c r="AFJ314" s="151"/>
      <c r="AFK314" s="278"/>
      <c r="AFL314" s="266"/>
      <c r="AFM314" s="279"/>
      <c r="AFN314" s="211"/>
      <c r="AFO314" s="211"/>
      <c r="AFP314" s="286"/>
      <c r="AFQ314" s="286"/>
      <c r="AFR314" s="280"/>
      <c r="AFS314" s="281"/>
      <c r="AFT314" s="282"/>
      <c r="AFU314" s="242"/>
      <c r="AFV314" s="222"/>
      <c r="AFX314" s="118"/>
      <c r="AFY314" s="8"/>
      <c r="AFZ314" s="281"/>
      <c r="AGA314" s="78"/>
      <c r="AGB314" s="151"/>
      <c r="AGC314" s="278"/>
      <c r="AGD314" s="266"/>
      <c r="AGE314" s="279"/>
      <c r="AGF314" s="211"/>
      <c r="AGG314" s="211"/>
      <c r="AGH314" s="286"/>
      <c r="AGI314" s="286"/>
      <c r="AGJ314" s="280"/>
      <c r="AGK314" s="281"/>
      <c r="AGL314" s="282"/>
      <c r="AGM314" s="242"/>
      <c r="AGN314" s="222"/>
      <c r="AGP314" s="118"/>
      <c r="AGQ314" s="8"/>
      <c r="AGR314" s="281"/>
      <c r="AGS314" s="78"/>
      <c r="AGT314" s="151"/>
      <c r="AGU314" s="278"/>
      <c r="AGV314" s="266"/>
      <c r="AGW314" s="279"/>
      <c r="AGX314" s="211"/>
      <c r="AGY314" s="211"/>
      <c r="AGZ314" s="286"/>
      <c r="AHA314" s="286"/>
      <c r="AHB314" s="280"/>
      <c r="AHC314" s="281"/>
      <c r="AHD314" s="282"/>
      <c r="AHE314" s="242"/>
      <c r="AHF314" s="222"/>
      <c r="AHH314" s="118"/>
      <c r="AHI314" s="8"/>
      <c r="AHJ314" s="281"/>
      <c r="AHK314" s="78"/>
      <c r="AHL314" s="151"/>
      <c r="AHM314" s="278"/>
      <c r="AHN314" s="266"/>
      <c r="AHO314" s="279"/>
      <c r="AHP314" s="211"/>
      <c r="AHQ314" s="211"/>
      <c r="AHR314" s="286"/>
      <c r="AHS314" s="286"/>
      <c r="AHT314" s="280"/>
      <c r="AHU314" s="281"/>
      <c r="AHV314" s="282"/>
      <c r="AHW314" s="242"/>
      <c r="AHX314" s="222"/>
      <c r="AHZ314" s="118"/>
      <c r="AIA314" s="8"/>
      <c r="AIB314" s="281"/>
      <c r="AIC314" s="78"/>
      <c r="AID314" s="151"/>
      <c r="AIE314" s="278"/>
      <c r="AIF314" s="266"/>
      <c r="AIG314" s="279"/>
      <c r="AIH314" s="211"/>
      <c r="AII314" s="211"/>
      <c r="AIJ314" s="286"/>
      <c r="AIK314" s="286"/>
      <c r="AIL314" s="280"/>
      <c r="AIM314" s="281"/>
      <c r="AIN314" s="282"/>
      <c r="AIO314" s="242"/>
      <c r="AIP314" s="222"/>
      <c r="AIR314" s="118"/>
      <c r="AIS314" s="8"/>
      <c r="AIT314" s="281"/>
      <c r="AIU314" s="78"/>
      <c r="AIV314" s="151"/>
      <c r="AIW314" s="278"/>
      <c r="AIX314" s="266"/>
      <c r="AIY314" s="279"/>
      <c r="AIZ314" s="211"/>
      <c r="AJA314" s="211"/>
      <c r="AJB314" s="286"/>
      <c r="AJC314" s="286"/>
      <c r="AJD314" s="280"/>
      <c r="AJE314" s="281"/>
      <c r="AJF314" s="282"/>
      <c r="AJG314" s="242"/>
      <c r="AJH314" s="222"/>
      <c r="AJJ314" s="118"/>
      <c r="AJK314" s="8"/>
      <c r="AJL314" s="281"/>
      <c r="AJM314" s="78"/>
      <c r="AJN314" s="151"/>
      <c r="AJO314" s="278"/>
      <c r="AJP314" s="266"/>
      <c r="AJQ314" s="279"/>
      <c r="AJR314" s="211"/>
      <c r="AJS314" s="211"/>
      <c r="AJT314" s="286"/>
      <c r="AJU314" s="286"/>
      <c r="AJV314" s="280"/>
      <c r="AJW314" s="281"/>
      <c r="AJX314" s="282"/>
      <c r="AJY314" s="242"/>
      <c r="AJZ314" s="222"/>
      <c r="AKB314" s="118"/>
      <c r="AKC314" s="8"/>
      <c r="AKD314" s="281"/>
      <c r="AKE314" s="78"/>
      <c r="AKF314" s="151"/>
      <c r="AKG314" s="278"/>
      <c r="AKH314" s="266"/>
      <c r="AKI314" s="279"/>
      <c r="AKJ314" s="211"/>
      <c r="AKK314" s="211"/>
      <c r="AKL314" s="286"/>
      <c r="AKM314" s="286"/>
      <c r="AKN314" s="280"/>
      <c r="AKO314" s="281"/>
      <c r="AKP314" s="282"/>
      <c r="AKQ314" s="242"/>
      <c r="AKR314" s="222"/>
      <c r="AKT314" s="118"/>
      <c r="AKU314" s="8"/>
      <c r="AKV314" s="281"/>
      <c r="AKW314" s="78"/>
      <c r="AKX314" s="151"/>
      <c r="AKY314" s="278"/>
      <c r="AKZ314" s="266"/>
      <c r="ALA314" s="279"/>
      <c r="ALB314" s="211"/>
      <c r="ALC314" s="211"/>
      <c r="ALD314" s="286"/>
      <c r="ALE314" s="286"/>
      <c r="ALF314" s="280"/>
      <c r="ALG314" s="281"/>
      <c r="ALH314" s="282"/>
      <c r="ALI314" s="242"/>
      <c r="ALJ314" s="222"/>
      <c r="ALL314" s="118"/>
      <c r="ALM314" s="8"/>
      <c r="ALN314" s="281"/>
      <c r="ALO314" s="78"/>
      <c r="ALP314" s="151"/>
      <c r="ALQ314" s="278"/>
      <c r="ALR314" s="266"/>
      <c r="ALS314" s="279"/>
      <c r="ALT314" s="211"/>
      <c r="ALU314" s="211"/>
      <c r="ALV314" s="286"/>
      <c r="ALW314" s="286"/>
      <c r="ALX314" s="280"/>
      <c r="ALY314" s="281"/>
      <c r="ALZ314" s="282"/>
      <c r="AMA314" s="242"/>
      <c r="AMB314" s="222"/>
      <c r="AMD314" s="118"/>
      <c r="AME314" s="8"/>
      <c r="AMF314" s="281"/>
      <c r="AMG314" s="78"/>
      <c r="AMH314" s="151"/>
      <c r="AMI314" s="278"/>
      <c r="AMJ314" s="266"/>
      <c r="AMK314" s="279"/>
      <c r="AML314" s="211"/>
      <c r="AMM314" s="211"/>
      <c r="AMN314" s="286"/>
      <c r="AMO314" s="286"/>
      <c r="AMP314" s="280"/>
      <c r="AMQ314" s="281"/>
      <c r="AMR314" s="282"/>
      <c r="AMS314" s="242"/>
      <c r="AMT314" s="222"/>
      <c r="AMV314" s="118"/>
      <c r="AMW314" s="8"/>
      <c r="AMX314" s="281"/>
      <c r="AMY314" s="78"/>
      <c r="AMZ314" s="151"/>
      <c r="ANA314" s="278"/>
      <c r="ANB314" s="266"/>
      <c r="ANC314" s="279"/>
      <c r="AND314" s="211"/>
      <c r="ANE314" s="211"/>
      <c r="ANF314" s="286"/>
      <c r="ANG314" s="286"/>
      <c r="ANH314" s="280"/>
      <c r="ANI314" s="281"/>
      <c r="ANJ314" s="282"/>
      <c r="ANK314" s="242"/>
      <c r="ANL314" s="222"/>
      <c r="ANN314" s="118"/>
      <c r="ANO314" s="8"/>
      <c r="ANP314" s="281"/>
      <c r="ANQ314" s="78"/>
      <c r="ANR314" s="151"/>
      <c r="ANS314" s="278"/>
      <c r="ANT314" s="266"/>
      <c r="ANU314" s="279"/>
      <c r="ANV314" s="211"/>
      <c r="ANW314" s="211"/>
      <c r="ANX314" s="286"/>
      <c r="ANY314" s="286"/>
      <c r="ANZ314" s="280"/>
      <c r="AOA314" s="281"/>
      <c r="AOB314" s="282"/>
      <c r="AOC314" s="242"/>
      <c r="AOD314" s="222"/>
      <c r="AOF314" s="118"/>
      <c r="AOG314" s="8"/>
      <c r="AOH314" s="281"/>
      <c r="AOI314" s="78"/>
      <c r="AOJ314" s="151"/>
      <c r="AOK314" s="278"/>
      <c r="AOL314" s="266"/>
      <c r="AOM314" s="279"/>
      <c r="AON314" s="211"/>
      <c r="AOO314" s="211"/>
      <c r="AOP314" s="286"/>
      <c r="AOQ314" s="286"/>
      <c r="AOR314" s="280"/>
      <c r="AOS314" s="281"/>
      <c r="AOT314" s="282"/>
      <c r="AOU314" s="242"/>
      <c r="AOV314" s="222"/>
      <c r="AOX314" s="118"/>
      <c r="AOY314" s="8"/>
      <c r="AOZ314" s="281"/>
      <c r="APA314" s="78"/>
      <c r="APB314" s="151"/>
      <c r="APC314" s="278"/>
      <c r="APD314" s="266"/>
      <c r="APE314" s="279"/>
      <c r="APF314" s="211"/>
      <c r="APG314" s="211"/>
      <c r="APH314" s="286"/>
      <c r="API314" s="286"/>
      <c r="APJ314" s="280"/>
      <c r="APK314" s="281"/>
      <c r="APL314" s="282"/>
      <c r="APM314" s="242"/>
      <c r="APN314" s="222"/>
      <c r="APP314" s="118"/>
      <c r="APQ314" s="8"/>
      <c r="APR314" s="281"/>
      <c r="APS314" s="78"/>
      <c r="APT314" s="151"/>
      <c r="APU314" s="278"/>
      <c r="APV314" s="266"/>
      <c r="APW314" s="279"/>
      <c r="APX314" s="211"/>
      <c r="APY314" s="211"/>
      <c r="APZ314" s="286"/>
      <c r="AQA314" s="286"/>
      <c r="AQB314" s="280"/>
      <c r="AQC314" s="281"/>
      <c r="AQD314" s="282"/>
      <c r="AQE314" s="242"/>
      <c r="AQF314" s="222"/>
      <c r="AQH314" s="118"/>
      <c r="AQI314" s="8"/>
      <c r="AQJ314" s="281"/>
      <c r="AQK314" s="78"/>
      <c r="AQL314" s="151"/>
      <c r="AQM314" s="278"/>
      <c r="AQN314" s="266"/>
      <c r="AQO314" s="279"/>
      <c r="AQP314" s="211"/>
      <c r="AQQ314" s="211"/>
      <c r="AQR314" s="286"/>
      <c r="AQS314" s="286"/>
      <c r="AQT314" s="280"/>
      <c r="AQU314" s="281"/>
      <c r="AQV314" s="282"/>
      <c r="AQW314" s="242"/>
      <c r="AQX314" s="222"/>
      <c r="AQZ314" s="118"/>
      <c r="ARA314" s="8"/>
      <c r="ARB314" s="281"/>
      <c r="ARC314" s="78"/>
      <c r="ARD314" s="151"/>
      <c r="ARE314" s="278"/>
      <c r="ARF314" s="266"/>
      <c r="ARG314" s="279"/>
      <c r="ARH314" s="211"/>
      <c r="ARI314" s="211"/>
      <c r="ARJ314" s="286"/>
      <c r="ARK314" s="286"/>
      <c r="ARL314" s="280"/>
      <c r="ARM314" s="281"/>
      <c r="ARN314" s="282"/>
      <c r="ARO314" s="242"/>
      <c r="ARP314" s="222"/>
      <c r="ARR314" s="118"/>
      <c r="ARS314" s="8"/>
      <c r="ART314" s="281"/>
      <c r="ARU314" s="78"/>
      <c r="ARV314" s="151"/>
      <c r="ARW314" s="278"/>
      <c r="ARX314" s="266"/>
      <c r="ARY314" s="279"/>
      <c r="ARZ314" s="211"/>
      <c r="ASA314" s="211"/>
      <c r="ASB314" s="286"/>
      <c r="ASC314" s="286"/>
      <c r="ASD314" s="280"/>
      <c r="ASE314" s="281"/>
      <c r="ASF314" s="282"/>
      <c r="ASG314" s="242"/>
      <c r="ASH314" s="222"/>
      <c r="ASJ314" s="118"/>
      <c r="ASK314" s="8"/>
      <c r="ASL314" s="281"/>
      <c r="ASM314" s="78"/>
      <c r="ASN314" s="151"/>
      <c r="ASO314" s="278"/>
      <c r="ASP314" s="266"/>
      <c r="ASQ314" s="279"/>
      <c r="ASR314" s="211"/>
      <c r="ASS314" s="211"/>
      <c r="AST314" s="286"/>
      <c r="ASU314" s="286"/>
      <c r="ASV314" s="280"/>
      <c r="ASW314" s="281"/>
      <c r="ASX314" s="282"/>
      <c r="ASY314" s="242"/>
      <c r="ASZ314" s="222"/>
      <c r="ATB314" s="118"/>
      <c r="ATC314" s="8"/>
      <c r="ATD314" s="281"/>
      <c r="ATE314" s="78"/>
      <c r="ATF314" s="151"/>
      <c r="ATG314" s="278"/>
      <c r="ATH314" s="266"/>
      <c r="ATI314" s="279"/>
      <c r="ATJ314" s="211"/>
      <c r="ATK314" s="211"/>
      <c r="ATL314" s="286"/>
      <c r="ATM314" s="286"/>
      <c r="ATN314" s="280"/>
      <c r="ATO314" s="281"/>
      <c r="ATP314" s="282"/>
      <c r="ATQ314" s="242"/>
      <c r="ATR314" s="222"/>
      <c r="ATT314" s="118"/>
      <c r="ATU314" s="8"/>
      <c r="ATV314" s="281"/>
      <c r="ATW314" s="78"/>
      <c r="ATX314" s="151"/>
      <c r="ATY314" s="278"/>
      <c r="ATZ314" s="266"/>
      <c r="AUA314" s="279"/>
      <c r="AUB314" s="211"/>
      <c r="AUC314" s="211"/>
      <c r="AUD314" s="286"/>
      <c r="AUE314" s="286"/>
      <c r="AUF314" s="280"/>
      <c r="AUG314" s="281"/>
      <c r="AUH314" s="282"/>
      <c r="AUI314" s="242"/>
      <c r="AUJ314" s="222"/>
      <c r="AUL314" s="118"/>
      <c r="AUM314" s="8"/>
      <c r="AUN314" s="281"/>
      <c r="AUO314" s="78"/>
      <c r="AUP314" s="151"/>
      <c r="AUQ314" s="278"/>
      <c r="AUR314" s="266"/>
      <c r="AUS314" s="279"/>
      <c r="AUT314" s="211"/>
      <c r="AUU314" s="211"/>
      <c r="AUV314" s="286"/>
      <c r="AUW314" s="286"/>
      <c r="AUX314" s="280"/>
      <c r="AUY314" s="281"/>
      <c r="AUZ314" s="282"/>
      <c r="AVA314" s="242"/>
      <c r="AVB314" s="222"/>
      <c r="AVD314" s="118"/>
      <c r="AVE314" s="8"/>
      <c r="AVF314" s="281"/>
      <c r="AVG314" s="78"/>
      <c r="AVH314" s="151"/>
      <c r="AVI314" s="278"/>
      <c r="AVJ314" s="266"/>
      <c r="AVK314" s="279"/>
      <c r="AVL314" s="211"/>
      <c r="AVM314" s="211"/>
      <c r="AVN314" s="286"/>
      <c r="AVO314" s="286"/>
      <c r="AVP314" s="280"/>
      <c r="AVQ314" s="281"/>
      <c r="AVR314" s="282"/>
      <c r="AVS314" s="242"/>
      <c r="AVT314" s="222"/>
      <c r="AVV314" s="118"/>
      <c r="AVW314" s="8"/>
      <c r="AVX314" s="281"/>
      <c r="AVY314" s="78"/>
      <c r="AVZ314" s="151"/>
      <c r="AWA314" s="278"/>
      <c r="AWB314" s="266"/>
      <c r="AWC314" s="279"/>
      <c r="AWD314" s="211"/>
      <c r="AWE314" s="211"/>
      <c r="AWF314" s="286"/>
      <c r="AWG314" s="286"/>
      <c r="AWH314" s="280"/>
      <c r="AWI314" s="281"/>
      <c r="AWJ314" s="282"/>
      <c r="AWK314" s="242"/>
      <c r="AWL314" s="222"/>
      <c r="AWN314" s="118"/>
      <c r="AWO314" s="8"/>
      <c r="AWP314" s="281"/>
      <c r="AWQ314" s="78"/>
      <c r="AWR314" s="151"/>
      <c r="AWS314" s="278"/>
      <c r="AWT314" s="266"/>
      <c r="AWU314" s="279"/>
      <c r="AWV314" s="211"/>
      <c r="AWW314" s="211"/>
      <c r="AWX314" s="286"/>
      <c r="AWY314" s="286"/>
      <c r="AWZ314" s="280"/>
      <c r="AXA314" s="281"/>
      <c r="AXB314" s="282"/>
      <c r="AXC314" s="242"/>
      <c r="AXD314" s="222"/>
      <c r="AXF314" s="118"/>
      <c r="AXG314" s="8"/>
      <c r="AXH314" s="281"/>
      <c r="AXI314" s="78"/>
      <c r="AXJ314" s="151"/>
      <c r="AXK314" s="278"/>
      <c r="AXL314" s="266"/>
      <c r="AXM314" s="279"/>
      <c r="AXN314" s="211"/>
      <c r="AXO314" s="211"/>
      <c r="AXP314" s="286"/>
      <c r="AXQ314" s="286"/>
      <c r="AXR314" s="280"/>
      <c r="AXS314" s="281"/>
      <c r="AXT314" s="282"/>
      <c r="AXU314" s="242"/>
      <c r="AXV314" s="222"/>
      <c r="AXX314" s="118"/>
      <c r="AXY314" s="8"/>
      <c r="AXZ314" s="281"/>
      <c r="AYA314" s="78"/>
      <c r="AYB314" s="151"/>
      <c r="AYC314" s="278"/>
      <c r="AYD314" s="266"/>
      <c r="AYE314" s="279"/>
      <c r="AYF314" s="211"/>
      <c r="AYG314" s="211"/>
      <c r="AYH314" s="286"/>
      <c r="AYI314" s="286"/>
      <c r="AYJ314" s="280"/>
      <c r="AYK314" s="281"/>
      <c r="AYL314" s="282"/>
      <c r="AYM314" s="242"/>
      <c r="AYN314" s="222"/>
      <c r="AYP314" s="118"/>
      <c r="AYQ314" s="8"/>
      <c r="AYR314" s="281"/>
      <c r="AYS314" s="78"/>
      <c r="AYT314" s="151"/>
      <c r="AYU314" s="278"/>
      <c r="AYV314" s="266"/>
      <c r="AYW314" s="279"/>
      <c r="AYX314" s="211"/>
      <c r="AYY314" s="211"/>
      <c r="AYZ314" s="286"/>
      <c r="AZA314" s="286"/>
      <c r="AZB314" s="280"/>
      <c r="AZC314" s="281"/>
      <c r="AZD314" s="282"/>
      <c r="AZE314" s="242"/>
      <c r="AZF314" s="222"/>
      <c r="AZH314" s="118"/>
      <c r="AZI314" s="8"/>
      <c r="AZJ314" s="281"/>
      <c r="AZK314" s="78"/>
      <c r="AZL314" s="151"/>
      <c r="AZM314" s="278"/>
      <c r="AZN314" s="266"/>
      <c r="AZO314" s="279"/>
      <c r="AZP314" s="211"/>
      <c r="AZQ314" s="211"/>
      <c r="AZR314" s="286"/>
      <c r="AZS314" s="286"/>
      <c r="AZT314" s="280"/>
      <c r="AZU314" s="281"/>
      <c r="AZV314" s="282"/>
      <c r="AZW314" s="242"/>
      <c r="AZX314" s="222"/>
      <c r="AZZ314" s="118"/>
      <c r="BAA314" s="8"/>
      <c r="BAB314" s="281"/>
      <c r="BAC314" s="78"/>
      <c r="BAD314" s="151"/>
      <c r="BAE314" s="278"/>
      <c r="BAF314" s="266"/>
      <c r="BAG314" s="279"/>
      <c r="BAH314" s="211"/>
      <c r="BAI314" s="211"/>
      <c r="BAJ314" s="286"/>
      <c r="BAK314" s="286"/>
      <c r="BAL314" s="280"/>
      <c r="BAM314" s="281"/>
      <c r="BAN314" s="282"/>
      <c r="BAO314" s="242"/>
      <c r="BAP314" s="222"/>
      <c r="BAR314" s="118"/>
      <c r="BAS314" s="8"/>
      <c r="BAT314" s="281"/>
      <c r="BAU314" s="78"/>
      <c r="BAV314" s="151"/>
      <c r="BAW314" s="278"/>
      <c r="BAX314" s="266"/>
      <c r="BAY314" s="279"/>
      <c r="BAZ314" s="211"/>
      <c r="BBA314" s="211"/>
      <c r="BBB314" s="286"/>
      <c r="BBC314" s="286"/>
      <c r="BBD314" s="280"/>
      <c r="BBE314" s="281"/>
      <c r="BBF314" s="282"/>
      <c r="BBG314" s="242"/>
      <c r="BBH314" s="222"/>
      <c r="BBJ314" s="118"/>
      <c r="BBK314" s="8"/>
      <c r="BBL314" s="281"/>
      <c r="BBM314" s="78"/>
      <c r="BBN314" s="151"/>
      <c r="BBO314" s="278"/>
      <c r="BBP314" s="266"/>
      <c r="BBQ314" s="279"/>
      <c r="BBR314" s="211"/>
      <c r="BBS314" s="211"/>
      <c r="BBT314" s="286"/>
      <c r="BBU314" s="286"/>
      <c r="BBV314" s="280"/>
      <c r="BBW314" s="281"/>
      <c r="BBX314" s="282"/>
      <c r="BBY314" s="242"/>
      <c r="BBZ314" s="222"/>
      <c r="BCB314" s="118"/>
      <c r="BCC314" s="8"/>
      <c r="BCD314" s="281"/>
      <c r="BCE314" s="78"/>
      <c r="BCF314" s="151"/>
      <c r="BCG314" s="278"/>
      <c r="BCH314" s="266"/>
      <c r="BCI314" s="279"/>
      <c r="BCJ314" s="211"/>
      <c r="BCK314" s="211"/>
      <c r="BCL314" s="286"/>
      <c r="BCM314" s="286"/>
      <c r="BCN314" s="280"/>
      <c r="BCO314" s="281"/>
      <c r="BCP314" s="282"/>
      <c r="BCQ314" s="242"/>
      <c r="BCR314" s="222"/>
      <c r="BCT314" s="118"/>
      <c r="BCU314" s="8"/>
      <c r="BCV314" s="281"/>
      <c r="BCW314" s="78"/>
      <c r="BCX314" s="151"/>
      <c r="BCY314" s="278"/>
      <c r="BCZ314" s="266"/>
      <c r="BDA314" s="279"/>
      <c r="BDB314" s="211"/>
      <c r="BDC314" s="211"/>
      <c r="BDD314" s="286"/>
      <c r="BDE314" s="286"/>
      <c r="BDF314" s="280"/>
      <c r="BDG314" s="281"/>
      <c r="BDH314" s="282"/>
      <c r="BDI314" s="242"/>
      <c r="BDJ314" s="222"/>
      <c r="BDL314" s="118"/>
      <c r="BDM314" s="8"/>
      <c r="BDN314" s="281"/>
      <c r="BDO314" s="78"/>
      <c r="BDP314" s="151"/>
      <c r="BDQ314" s="278"/>
      <c r="BDR314" s="266"/>
      <c r="BDS314" s="279"/>
      <c r="BDT314" s="211"/>
      <c r="BDU314" s="211"/>
      <c r="BDV314" s="286"/>
      <c r="BDW314" s="286"/>
      <c r="BDX314" s="280"/>
      <c r="BDY314" s="281"/>
      <c r="BDZ314" s="282"/>
      <c r="BEA314" s="242"/>
      <c r="BEB314" s="222"/>
      <c r="BED314" s="118"/>
      <c r="BEE314" s="8"/>
      <c r="BEF314" s="281"/>
      <c r="BEG314" s="78"/>
      <c r="BEH314" s="151"/>
      <c r="BEI314" s="278"/>
      <c r="BEJ314" s="266"/>
      <c r="BEK314" s="279"/>
      <c r="BEL314" s="211"/>
      <c r="BEM314" s="211"/>
      <c r="BEN314" s="286"/>
      <c r="BEO314" s="286"/>
      <c r="BEP314" s="280"/>
      <c r="BEQ314" s="281"/>
      <c r="BER314" s="282"/>
      <c r="BES314" s="242"/>
      <c r="BET314" s="222"/>
      <c r="BEV314" s="118"/>
      <c r="BEW314" s="8"/>
      <c r="BEX314" s="281"/>
      <c r="BEY314" s="78"/>
      <c r="BEZ314" s="151"/>
      <c r="BFA314" s="278"/>
      <c r="BFB314" s="266"/>
      <c r="BFC314" s="279"/>
      <c r="BFD314" s="211"/>
      <c r="BFE314" s="211"/>
      <c r="BFF314" s="286"/>
      <c r="BFG314" s="286"/>
      <c r="BFH314" s="280"/>
      <c r="BFI314" s="281"/>
      <c r="BFJ314" s="282"/>
      <c r="BFK314" s="242"/>
      <c r="BFL314" s="222"/>
      <c r="BFN314" s="118"/>
      <c r="BFO314" s="8"/>
      <c r="BFP314" s="281"/>
      <c r="BFQ314" s="78"/>
      <c r="BFR314" s="151"/>
      <c r="BFS314" s="278"/>
      <c r="BFT314" s="266"/>
      <c r="BFU314" s="279"/>
      <c r="BFV314" s="211"/>
      <c r="BFW314" s="211"/>
      <c r="BFX314" s="286"/>
      <c r="BFY314" s="286"/>
      <c r="BFZ314" s="280"/>
      <c r="BGA314" s="281"/>
      <c r="BGB314" s="282"/>
      <c r="BGC314" s="242"/>
      <c r="BGD314" s="222"/>
      <c r="BGF314" s="118"/>
      <c r="BGG314" s="8"/>
      <c r="BGH314" s="281"/>
      <c r="BGI314" s="78"/>
      <c r="BGJ314" s="151"/>
      <c r="BGK314" s="278"/>
      <c r="BGL314" s="266"/>
      <c r="BGM314" s="279"/>
      <c r="BGN314" s="211"/>
      <c r="BGO314" s="211"/>
      <c r="BGP314" s="286"/>
      <c r="BGQ314" s="286"/>
      <c r="BGR314" s="280"/>
      <c r="BGS314" s="281"/>
      <c r="BGT314" s="282"/>
      <c r="BGU314" s="242"/>
      <c r="BGV314" s="222"/>
      <c r="BGX314" s="118"/>
      <c r="BGY314" s="8"/>
      <c r="BGZ314" s="281"/>
      <c r="BHA314" s="78"/>
      <c r="BHB314" s="151"/>
      <c r="BHC314" s="278"/>
      <c r="BHD314" s="266"/>
      <c r="BHE314" s="279"/>
      <c r="BHF314" s="211"/>
      <c r="BHG314" s="211"/>
      <c r="BHH314" s="286"/>
      <c r="BHI314" s="286"/>
      <c r="BHJ314" s="280"/>
      <c r="BHK314" s="281"/>
      <c r="BHL314" s="282"/>
      <c r="BHM314" s="242"/>
      <c r="BHN314" s="222"/>
      <c r="BHP314" s="118"/>
      <c r="BHQ314" s="8"/>
      <c r="BHR314" s="281"/>
      <c r="BHS314" s="78"/>
      <c r="BHT314" s="151"/>
      <c r="BHU314" s="278"/>
      <c r="BHV314" s="266"/>
      <c r="BHW314" s="279"/>
      <c r="BHX314" s="211"/>
      <c r="BHY314" s="211"/>
      <c r="BHZ314" s="286"/>
      <c r="BIA314" s="286"/>
      <c r="BIB314" s="280"/>
      <c r="BIC314" s="281"/>
      <c r="BID314" s="282"/>
      <c r="BIE314" s="242"/>
      <c r="BIF314" s="222"/>
      <c r="BIH314" s="118"/>
      <c r="BII314" s="8"/>
      <c r="BIJ314" s="281"/>
      <c r="BIK314" s="78"/>
      <c r="BIL314" s="151"/>
      <c r="BIM314" s="278"/>
      <c r="BIN314" s="266"/>
      <c r="BIO314" s="279"/>
      <c r="BIP314" s="211"/>
      <c r="BIQ314" s="211"/>
      <c r="BIR314" s="286"/>
      <c r="BIS314" s="286"/>
      <c r="BIT314" s="280"/>
      <c r="BIU314" s="281"/>
      <c r="BIV314" s="282"/>
      <c r="BIW314" s="242"/>
      <c r="BIX314" s="222"/>
      <c r="BIZ314" s="118"/>
      <c r="BJA314" s="8"/>
      <c r="BJB314" s="281"/>
      <c r="BJC314" s="78"/>
      <c r="BJD314" s="151"/>
      <c r="BJE314" s="278"/>
      <c r="BJF314" s="266"/>
      <c r="BJG314" s="279"/>
      <c r="BJH314" s="211"/>
      <c r="BJI314" s="211"/>
      <c r="BJJ314" s="286"/>
      <c r="BJK314" s="286"/>
      <c r="BJL314" s="280"/>
      <c r="BJM314" s="281"/>
      <c r="BJN314" s="282"/>
      <c r="BJO314" s="242"/>
      <c r="BJP314" s="222"/>
      <c r="BJR314" s="118"/>
      <c r="BJS314" s="8"/>
      <c r="BJT314" s="281"/>
      <c r="BJU314" s="78"/>
      <c r="BJV314" s="151"/>
      <c r="BJW314" s="278"/>
      <c r="BJX314" s="266"/>
      <c r="BJY314" s="279"/>
      <c r="BJZ314" s="211"/>
      <c r="BKA314" s="211"/>
      <c r="BKB314" s="286"/>
      <c r="BKC314" s="286"/>
      <c r="BKD314" s="280"/>
      <c r="BKE314" s="281"/>
      <c r="BKF314" s="282"/>
      <c r="BKG314" s="242"/>
      <c r="BKH314" s="222"/>
      <c r="BKJ314" s="118"/>
      <c r="BKK314" s="8"/>
      <c r="BKL314" s="281"/>
      <c r="BKM314" s="78"/>
      <c r="BKN314" s="151"/>
      <c r="BKO314" s="278"/>
      <c r="BKP314" s="266"/>
      <c r="BKQ314" s="279"/>
      <c r="BKR314" s="211"/>
      <c r="BKS314" s="211"/>
      <c r="BKT314" s="286"/>
      <c r="BKU314" s="286"/>
      <c r="BKV314" s="280"/>
      <c r="BKW314" s="281"/>
      <c r="BKX314" s="282"/>
      <c r="BKY314" s="242"/>
      <c r="BKZ314" s="222"/>
      <c r="BLB314" s="118"/>
      <c r="BLC314" s="8"/>
      <c r="BLD314" s="281"/>
      <c r="BLE314" s="78"/>
      <c r="BLF314" s="151"/>
      <c r="BLG314" s="278"/>
      <c r="BLH314" s="266"/>
      <c r="BLI314" s="279"/>
      <c r="BLJ314" s="211"/>
      <c r="BLK314" s="211"/>
      <c r="BLL314" s="286"/>
      <c r="BLM314" s="286"/>
      <c r="BLN314" s="280"/>
      <c r="BLO314" s="281"/>
      <c r="BLP314" s="282"/>
      <c r="BLQ314" s="242"/>
      <c r="BLR314" s="222"/>
      <c r="BLT314" s="118"/>
      <c r="BLU314" s="8"/>
      <c r="BLV314" s="281"/>
      <c r="BLW314" s="78"/>
      <c r="BLX314" s="151"/>
      <c r="BLY314" s="278"/>
      <c r="BLZ314" s="266"/>
      <c r="BMA314" s="279"/>
      <c r="BMB314" s="211"/>
      <c r="BMC314" s="211"/>
      <c r="BMD314" s="286"/>
      <c r="BME314" s="286"/>
      <c r="BMF314" s="280"/>
      <c r="BMG314" s="281"/>
      <c r="BMH314" s="282"/>
      <c r="BMI314" s="242"/>
      <c r="BMJ314" s="222"/>
      <c r="BML314" s="118"/>
      <c r="BMM314" s="8"/>
      <c r="BMN314" s="281"/>
      <c r="BMO314" s="78"/>
      <c r="BMP314" s="151"/>
      <c r="BMQ314" s="278"/>
      <c r="BMR314" s="266"/>
      <c r="BMS314" s="279"/>
      <c r="BMT314" s="211"/>
      <c r="BMU314" s="211"/>
      <c r="BMV314" s="286"/>
      <c r="BMW314" s="286"/>
      <c r="BMX314" s="280"/>
      <c r="BMY314" s="281"/>
      <c r="BMZ314" s="282"/>
      <c r="BNA314" s="242"/>
      <c r="BNB314" s="222"/>
      <c r="BND314" s="118"/>
      <c r="BNE314" s="8"/>
      <c r="BNF314" s="281"/>
      <c r="BNG314" s="78"/>
      <c r="BNH314" s="151"/>
      <c r="BNI314" s="278"/>
      <c r="BNJ314" s="266"/>
      <c r="BNK314" s="279"/>
      <c r="BNL314" s="211"/>
      <c r="BNM314" s="211"/>
      <c r="BNN314" s="286"/>
      <c r="BNO314" s="286"/>
      <c r="BNP314" s="280"/>
      <c r="BNQ314" s="281"/>
      <c r="BNR314" s="282"/>
      <c r="BNS314" s="242"/>
      <c r="BNT314" s="222"/>
      <c r="BNV314" s="118"/>
      <c r="BNW314" s="8"/>
      <c r="BNX314" s="281"/>
      <c r="BNY314" s="78"/>
      <c r="BNZ314" s="151"/>
      <c r="BOA314" s="278"/>
      <c r="BOB314" s="266"/>
      <c r="BOC314" s="279"/>
      <c r="BOD314" s="211"/>
      <c r="BOE314" s="211"/>
      <c r="BOF314" s="286"/>
      <c r="BOG314" s="286"/>
      <c r="BOH314" s="280"/>
      <c r="BOI314" s="281"/>
      <c r="BOJ314" s="282"/>
      <c r="BOK314" s="242"/>
      <c r="BOL314" s="222"/>
      <c r="BON314" s="118"/>
      <c r="BOO314" s="8"/>
      <c r="BOP314" s="281"/>
      <c r="BOQ314" s="78"/>
      <c r="BOR314" s="151"/>
      <c r="BOS314" s="278"/>
      <c r="BOT314" s="266"/>
      <c r="BOU314" s="279"/>
      <c r="BOV314" s="211"/>
      <c r="BOW314" s="211"/>
      <c r="BOX314" s="286"/>
      <c r="BOY314" s="286"/>
      <c r="BOZ314" s="280"/>
      <c r="BPA314" s="281"/>
      <c r="BPB314" s="282"/>
      <c r="BPC314" s="242"/>
      <c r="BPD314" s="222"/>
      <c r="BPF314" s="118"/>
      <c r="BPG314" s="8"/>
      <c r="BPH314" s="281"/>
      <c r="BPI314" s="78"/>
      <c r="BPJ314" s="151"/>
      <c r="BPK314" s="278"/>
      <c r="BPL314" s="266"/>
      <c r="BPM314" s="279"/>
      <c r="BPN314" s="211"/>
      <c r="BPO314" s="211"/>
      <c r="BPP314" s="286"/>
      <c r="BPQ314" s="286"/>
      <c r="BPR314" s="280"/>
      <c r="BPS314" s="281"/>
      <c r="BPT314" s="282"/>
      <c r="BPU314" s="242"/>
      <c r="BPV314" s="222"/>
      <c r="BPX314" s="118"/>
      <c r="BPY314" s="8"/>
      <c r="BPZ314" s="281"/>
      <c r="BQA314" s="78"/>
      <c r="BQB314" s="151"/>
      <c r="BQC314" s="278"/>
      <c r="BQD314" s="266"/>
      <c r="BQE314" s="279"/>
      <c r="BQF314" s="211"/>
      <c r="BQG314" s="211"/>
      <c r="BQH314" s="286"/>
      <c r="BQI314" s="286"/>
      <c r="BQJ314" s="280"/>
      <c r="BQK314" s="281"/>
      <c r="BQL314" s="282"/>
      <c r="BQM314" s="242"/>
      <c r="BQN314" s="222"/>
      <c r="BQP314" s="118"/>
      <c r="BQQ314" s="8"/>
      <c r="BQR314" s="281"/>
      <c r="BQS314" s="78"/>
      <c r="BQT314" s="151"/>
      <c r="BQU314" s="278"/>
      <c r="BQV314" s="266"/>
      <c r="BQW314" s="279"/>
      <c r="BQX314" s="211"/>
      <c r="BQY314" s="211"/>
      <c r="BQZ314" s="286"/>
      <c r="BRA314" s="286"/>
      <c r="BRB314" s="280"/>
      <c r="BRC314" s="281"/>
      <c r="BRD314" s="282"/>
      <c r="BRE314" s="242"/>
      <c r="BRF314" s="222"/>
      <c r="BRH314" s="118"/>
      <c r="BRI314" s="8"/>
      <c r="BRJ314" s="281"/>
      <c r="BRK314" s="78"/>
      <c r="BRL314" s="151"/>
      <c r="BRM314" s="278"/>
      <c r="BRN314" s="266"/>
      <c r="BRO314" s="279"/>
      <c r="BRP314" s="211"/>
      <c r="BRQ314" s="211"/>
      <c r="BRR314" s="286"/>
      <c r="BRS314" s="286"/>
      <c r="BRT314" s="280"/>
      <c r="BRU314" s="281"/>
      <c r="BRV314" s="282"/>
      <c r="BRW314" s="242"/>
      <c r="BRX314" s="222"/>
      <c r="BRZ314" s="118"/>
      <c r="BSA314" s="8"/>
      <c r="BSB314" s="281"/>
      <c r="BSC314" s="78"/>
      <c r="BSD314" s="151"/>
      <c r="BSE314" s="278"/>
      <c r="BSF314" s="266"/>
      <c r="BSG314" s="279"/>
      <c r="BSH314" s="211"/>
      <c r="BSI314" s="211"/>
      <c r="BSJ314" s="286"/>
      <c r="BSK314" s="286"/>
      <c r="BSL314" s="280"/>
      <c r="BSM314" s="281"/>
      <c r="BSN314" s="282"/>
      <c r="BSO314" s="242"/>
      <c r="BSP314" s="222"/>
      <c r="BSR314" s="118"/>
      <c r="BSS314" s="8"/>
      <c r="BST314" s="281"/>
      <c r="BSU314" s="78"/>
      <c r="BSV314" s="151"/>
      <c r="BSW314" s="278"/>
      <c r="BSX314" s="266"/>
      <c r="BSY314" s="279"/>
      <c r="BSZ314" s="211"/>
      <c r="BTA314" s="211"/>
      <c r="BTB314" s="286"/>
      <c r="BTC314" s="286"/>
      <c r="BTD314" s="280"/>
      <c r="BTE314" s="281"/>
      <c r="BTF314" s="282"/>
      <c r="BTG314" s="242"/>
      <c r="BTH314" s="222"/>
      <c r="BTJ314" s="118"/>
      <c r="BTK314" s="8"/>
      <c r="BTL314" s="281"/>
      <c r="BTM314" s="78"/>
      <c r="BTN314" s="151"/>
      <c r="BTO314" s="278"/>
      <c r="BTP314" s="266"/>
      <c r="BTQ314" s="279"/>
      <c r="BTR314" s="211"/>
      <c r="BTS314" s="211"/>
      <c r="BTT314" s="286"/>
      <c r="BTU314" s="286"/>
      <c r="BTV314" s="280"/>
      <c r="BTW314" s="281"/>
      <c r="BTX314" s="282"/>
      <c r="BTY314" s="242"/>
      <c r="BTZ314" s="222"/>
      <c r="BUB314" s="118"/>
      <c r="BUC314" s="8"/>
      <c r="BUD314" s="281"/>
      <c r="BUE314" s="78"/>
      <c r="BUF314" s="151"/>
      <c r="BUG314" s="278"/>
      <c r="BUH314" s="266"/>
      <c r="BUI314" s="279"/>
      <c r="BUJ314" s="211"/>
      <c r="BUK314" s="211"/>
      <c r="BUL314" s="286"/>
      <c r="BUM314" s="286"/>
      <c r="BUN314" s="280"/>
      <c r="BUO314" s="281"/>
      <c r="BUP314" s="282"/>
      <c r="BUQ314" s="242"/>
      <c r="BUR314" s="222"/>
      <c r="BUT314" s="118"/>
      <c r="BUU314" s="8"/>
      <c r="BUV314" s="281"/>
      <c r="BUW314" s="78"/>
      <c r="BUX314" s="151"/>
      <c r="BUY314" s="278"/>
      <c r="BUZ314" s="266"/>
      <c r="BVA314" s="279"/>
      <c r="BVB314" s="211"/>
      <c r="BVC314" s="211"/>
      <c r="BVD314" s="286"/>
      <c r="BVE314" s="286"/>
      <c r="BVF314" s="280"/>
      <c r="BVG314" s="281"/>
      <c r="BVH314" s="282"/>
      <c r="BVI314" s="242"/>
      <c r="BVJ314" s="222"/>
      <c r="BVL314" s="118"/>
      <c r="BVM314" s="8"/>
      <c r="BVN314" s="281"/>
      <c r="BVO314" s="78"/>
      <c r="BVP314" s="151"/>
      <c r="BVQ314" s="278"/>
      <c r="BVR314" s="266"/>
      <c r="BVS314" s="279"/>
      <c r="BVT314" s="211"/>
      <c r="BVU314" s="211"/>
      <c r="BVV314" s="286"/>
      <c r="BVW314" s="286"/>
      <c r="BVX314" s="280"/>
      <c r="BVY314" s="281"/>
      <c r="BVZ314" s="282"/>
      <c r="BWA314" s="242"/>
      <c r="BWB314" s="222"/>
      <c r="BWD314" s="118"/>
      <c r="BWE314" s="8"/>
      <c r="BWF314" s="281"/>
      <c r="BWG314" s="78"/>
      <c r="BWH314" s="151"/>
      <c r="BWI314" s="278"/>
      <c r="BWJ314" s="266"/>
      <c r="BWK314" s="279"/>
      <c r="BWL314" s="211"/>
      <c r="BWM314" s="211"/>
      <c r="BWN314" s="286"/>
      <c r="BWO314" s="286"/>
      <c r="BWP314" s="280"/>
      <c r="BWQ314" s="281"/>
      <c r="BWR314" s="282"/>
      <c r="BWS314" s="242"/>
      <c r="BWT314" s="222"/>
      <c r="BWV314" s="118"/>
      <c r="BWW314" s="8"/>
      <c r="BWX314" s="281"/>
      <c r="BWY314" s="78"/>
      <c r="BWZ314" s="151"/>
      <c r="BXA314" s="278"/>
      <c r="BXB314" s="266"/>
      <c r="BXC314" s="279"/>
      <c r="BXD314" s="211"/>
      <c r="BXE314" s="211"/>
      <c r="BXF314" s="286"/>
      <c r="BXG314" s="286"/>
      <c r="BXH314" s="280"/>
      <c r="BXI314" s="281"/>
      <c r="BXJ314" s="282"/>
      <c r="BXK314" s="242"/>
      <c r="BXL314" s="222"/>
      <c r="BXN314" s="118"/>
      <c r="BXO314" s="8"/>
      <c r="BXP314" s="281"/>
      <c r="BXQ314" s="78"/>
      <c r="BXR314" s="151"/>
      <c r="BXS314" s="278"/>
      <c r="BXT314" s="266"/>
      <c r="BXU314" s="279"/>
      <c r="BXV314" s="211"/>
      <c r="BXW314" s="211"/>
      <c r="BXX314" s="286"/>
      <c r="BXY314" s="286"/>
      <c r="BXZ314" s="280"/>
      <c r="BYA314" s="281"/>
      <c r="BYB314" s="282"/>
      <c r="BYC314" s="242"/>
      <c r="BYD314" s="222"/>
      <c r="BYF314" s="118"/>
      <c r="BYG314" s="8"/>
      <c r="BYH314" s="281"/>
      <c r="BYI314" s="78"/>
      <c r="BYJ314" s="151"/>
      <c r="BYK314" s="278"/>
      <c r="BYL314" s="266"/>
      <c r="BYM314" s="279"/>
      <c r="BYN314" s="211"/>
      <c r="BYO314" s="211"/>
      <c r="BYP314" s="286"/>
      <c r="BYQ314" s="286"/>
      <c r="BYR314" s="280"/>
      <c r="BYS314" s="281"/>
      <c r="BYT314" s="282"/>
      <c r="BYU314" s="242"/>
      <c r="BYV314" s="222"/>
      <c r="BYX314" s="118"/>
      <c r="BYY314" s="8"/>
      <c r="BYZ314" s="281"/>
      <c r="BZA314" s="78"/>
      <c r="BZB314" s="151"/>
      <c r="BZC314" s="278"/>
      <c r="BZD314" s="266"/>
      <c r="BZE314" s="279"/>
      <c r="BZF314" s="211"/>
      <c r="BZG314" s="211"/>
      <c r="BZH314" s="286"/>
      <c r="BZI314" s="286"/>
      <c r="BZJ314" s="280"/>
      <c r="BZK314" s="281"/>
      <c r="BZL314" s="282"/>
      <c r="BZM314" s="242"/>
      <c r="BZN314" s="222"/>
      <c r="BZP314" s="118"/>
      <c r="BZQ314" s="8"/>
      <c r="BZR314" s="281"/>
      <c r="BZS314" s="78"/>
      <c r="BZT314" s="151"/>
      <c r="BZU314" s="278"/>
      <c r="BZV314" s="266"/>
      <c r="BZW314" s="279"/>
      <c r="BZX314" s="211"/>
      <c r="BZY314" s="211"/>
      <c r="BZZ314" s="286"/>
      <c r="CAA314" s="286"/>
      <c r="CAB314" s="280"/>
      <c r="CAC314" s="281"/>
      <c r="CAD314" s="282"/>
      <c r="CAE314" s="242"/>
      <c r="CAF314" s="222"/>
      <c r="CAH314" s="118"/>
      <c r="CAI314" s="8"/>
      <c r="CAJ314" s="281"/>
      <c r="CAK314" s="78"/>
      <c r="CAL314" s="151"/>
      <c r="CAM314" s="278"/>
      <c r="CAN314" s="266"/>
      <c r="CAO314" s="279"/>
      <c r="CAP314" s="211"/>
      <c r="CAQ314" s="211"/>
      <c r="CAR314" s="286"/>
      <c r="CAS314" s="286"/>
      <c r="CAT314" s="280"/>
      <c r="CAU314" s="281"/>
      <c r="CAV314" s="282"/>
      <c r="CAW314" s="242"/>
      <c r="CAX314" s="222"/>
      <c r="CAZ314" s="118"/>
      <c r="CBA314" s="8"/>
      <c r="CBB314" s="281"/>
      <c r="CBC314" s="78"/>
      <c r="CBD314" s="151"/>
      <c r="CBE314" s="278"/>
      <c r="CBF314" s="266"/>
      <c r="CBG314" s="279"/>
      <c r="CBH314" s="211"/>
      <c r="CBI314" s="211"/>
      <c r="CBJ314" s="286"/>
      <c r="CBK314" s="286"/>
      <c r="CBL314" s="280"/>
      <c r="CBM314" s="281"/>
      <c r="CBN314" s="282"/>
      <c r="CBO314" s="242"/>
      <c r="CBP314" s="222"/>
      <c r="CBR314" s="118"/>
      <c r="CBS314" s="8"/>
      <c r="CBT314" s="281"/>
      <c r="CBU314" s="78"/>
      <c r="CBV314" s="151"/>
      <c r="CBW314" s="278"/>
      <c r="CBX314" s="266"/>
      <c r="CBY314" s="279"/>
      <c r="CBZ314" s="211"/>
      <c r="CCA314" s="211"/>
      <c r="CCB314" s="286"/>
      <c r="CCC314" s="286"/>
      <c r="CCD314" s="280"/>
      <c r="CCE314" s="281"/>
      <c r="CCF314" s="282"/>
      <c r="CCG314" s="242"/>
      <c r="CCH314" s="222"/>
      <c r="CCJ314" s="118"/>
      <c r="CCK314" s="8"/>
      <c r="CCL314" s="281"/>
      <c r="CCM314" s="78"/>
      <c r="CCN314" s="151"/>
      <c r="CCO314" s="278"/>
      <c r="CCP314" s="266"/>
      <c r="CCQ314" s="279"/>
      <c r="CCR314" s="211"/>
      <c r="CCS314" s="211"/>
      <c r="CCT314" s="286"/>
      <c r="CCU314" s="286"/>
      <c r="CCV314" s="280"/>
      <c r="CCW314" s="281"/>
      <c r="CCX314" s="282"/>
      <c r="CCY314" s="242"/>
      <c r="CCZ314" s="222"/>
      <c r="CDB314" s="118"/>
      <c r="CDC314" s="8"/>
      <c r="CDD314" s="281"/>
      <c r="CDE314" s="78"/>
      <c r="CDF314" s="151"/>
      <c r="CDG314" s="278"/>
      <c r="CDH314" s="266"/>
      <c r="CDI314" s="279"/>
      <c r="CDJ314" s="211"/>
      <c r="CDK314" s="211"/>
      <c r="CDL314" s="286"/>
      <c r="CDM314" s="286"/>
      <c r="CDN314" s="280"/>
      <c r="CDO314" s="281"/>
      <c r="CDP314" s="282"/>
      <c r="CDQ314" s="242"/>
      <c r="CDR314" s="222"/>
      <c r="CDT314" s="118"/>
      <c r="CDU314" s="8"/>
      <c r="CDV314" s="281"/>
      <c r="CDW314" s="78"/>
      <c r="CDX314" s="151"/>
      <c r="CDY314" s="278"/>
      <c r="CDZ314" s="266"/>
      <c r="CEA314" s="279"/>
      <c r="CEB314" s="211"/>
      <c r="CEC314" s="211"/>
      <c r="CED314" s="286"/>
      <c r="CEE314" s="286"/>
      <c r="CEF314" s="280"/>
      <c r="CEG314" s="281"/>
      <c r="CEH314" s="282"/>
      <c r="CEI314" s="242"/>
      <c r="CEJ314" s="222"/>
      <c r="CEL314" s="118"/>
      <c r="CEM314" s="8"/>
      <c r="CEN314" s="281"/>
      <c r="CEO314" s="78"/>
      <c r="CEP314" s="151"/>
      <c r="CEQ314" s="278"/>
      <c r="CER314" s="266"/>
      <c r="CES314" s="279"/>
      <c r="CET314" s="211"/>
      <c r="CEU314" s="211"/>
      <c r="CEV314" s="286"/>
      <c r="CEW314" s="286"/>
      <c r="CEX314" s="280"/>
      <c r="CEY314" s="281"/>
      <c r="CEZ314" s="282"/>
      <c r="CFA314" s="242"/>
      <c r="CFB314" s="222"/>
      <c r="CFD314" s="118"/>
      <c r="CFE314" s="8"/>
      <c r="CFF314" s="281"/>
      <c r="CFG314" s="78"/>
      <c r="CFH314" s="151"/>
      <c r="CFI314" s="278"/>
      <c r="CFJ314" s="266"/>
      <c r="CFK314" s="279"/>
      <c r="CFL314" s="211"/>
      <c r="CFM314" s="211"/>
      <c r="CFN314" s="286"/>
      <c r="CFO314" s="286"/>
      <c r="CFP314" s="280"/>
      <c r="CFQ314" s="281"/>
      <c r="CFR314" s="282"/>
      <c r="CFS314" s="242"/>
      <c r="CFT314" s="222"/>
      <c r="CFV314" s="118"/>
      <c r="CFW314" s="8"/>
      <c r="CFX314" s="281"/>
      <c r="CFY314" s="78"/>
      <c r="CFZ314" s="151"/>
      <c r="CGA314" s="278"/>
      <c r="CGB314" s="266"/>
      <c r="CGC314" s="279"/>
      <c r="CGD314" s="211"/>
      <c r="CGE314" s="211"/>
      <c r="CGF314" s="286"/>
      <c r="CGG314" s="286"/>
      <c r="CGH314" s="280"/>
      <c r="CGI314" s="281"/>
      <c r="CGJ314" s="282"/>
      <c r="CGK314" s="242"/>
      <c r="CGL314" s="222"/>
      <c r="CGN314" s="118"/>
      <c r="CGO314" s="8"/>
      <c r="CGP314" s="281"/>
      <c r="CGQ314" s="78"/>
      <c r="CGR314" s="151"/>
      <c r="CGS314" s="278"/>
      <c r="CGT314" s="266"/>
      <c r="CGU314" s="279"/>
      <c r="CGV314" s="211"/>
      <c r="CGW314" s="211"/>
      <c r="CGX314" s="286"/>
      <c r="CGY314" s="286"/>
      <c r="CGZ314" s="280"/>
      <c r="CHA314" s="281"/>
      <c r="CHB314" s="282"/>
      <c r="CHC314" s="242"/>
      <c r="CHD314" s="222"/>
      <c r="CHF314" s="118"/>
      <c r="CHG314" s="8"/>
      <c r="CHH314" s="281"/>
      <c r="CHI314" s="78"/>
      <c r="CHJ314" s="151"/>
      <c r="CHK314" s="278"/>
      <c r="CHL314" s="266"/>
      <c r="CHM314" s="279"/>
      <c r="CHN314" s="211"/>
      <c r="CHO314" s="211"/>
      <c r="CHP314" s="286"/>
      <c r="CHQ314" s="286"/>
      <c r="CHR314" s="280"/>
      <c r="CHS314" s="281"/>
      <c r="CHT314" s="282"/>
      <c r="CHU314" s="242"/>
      <c r="CHV314" s="222"/>
      <c r="CHX314" s="118"/>
      <c r="CHY314" s="8"/>
      <c r="CHZ314" s="281"/>
      <c r="CIA314" s="78"/>
      <c r="CIB314" s="151"/>
      <c r="CIC314" s="278"/>
      <c r="CID314" s="266"/>
      <c r="CIE314" s="279"/>
      <c r="CIF314" s="211"/>
      <c r="CIG314" s="211"/>
      <c r="CIH314" s="286"/>
      <c r="CII314" s="286"/>
      <c r="CIJ314" s="280"/>
      <c r="CIK314" s="281"/>
      <c r="CIL314" s="282"/>
      <c r="CIM314" s="242"/>
      <c r="CIN314" s="222"/>
      <c r="CIP314" s="118"/>
      <c r="CIQ314" s="8"/>
      <c r="CIR314" s="281"/>
      <c r="CIS314" s="78"/>
      <c r="CIT314" s="151"/>
      <c r="CIU314" s="278"/>
      <c r="CIV314" s="266"/>
      <c r="CIW314" s="279"/>
      <c r="CIX314" s="211"/>
      <c r="CIY314" s="211"/>
      <c r="CIZ314" s="286"/>
      <c r="CJA314" s="286"/>
      <c r="CJB314" s="280"/>
      <c r="CJC314" s="281"/>
      <c r="CJD314" s="282"/>
      <c r="CJE314" s="242"/>
      <c r="CJF314" s="222"/>
      <c r="CJH314" s="118"/>
      <c r="CJI314" s="8"/>
      <c r="CJJ314" s="281"/>
      <c r="CJK314" s="78"/>
      <c r="CJL314" s="151"/>
      <c r="CJM314" s="278"/>
      <c r="CJN314" s="266"/>
      <c r="CJO314" s="279"/>
      <c r="CJP314" s="211"/>
      <c r="CJQ314" s="211"/>
      <c r="CJR314" s="286"/>
      <c r="CJS314" s="286"/>
      <c r="CJT314" s="280"/>
      <c r="CJU314" s="281"/>
      <c r="CJV314" s="282"/>
      <c r="CJW314" s="242"/>
      <c r="CJX314" s="222"/>
      <c r="CJZ314" s="118"/>
      <c r="CKA314" s="8"/>
      <c r="CKB314" s="281"/>
      <c r="CKC314" s="78"/>
      <c r="CKD314" s="151"/>
      <c r="CKE314" s="278"/>
      <c r="CKF314" s="266"/>
      <c r="CKG314" s="279"/>
      <c r="CKH314" s="211"/>
      <c r="CKI314" s="211"/>
      <c r="CKJ314" s="286"/>
      <c r="CKK314" s="286"/>
      <c r="CKL314" s="280"/>
      <c r="CKM314" s="281"/>
      <c r="CKN314" s="282"/>
      <c r="CKO314" s="242"/>
      <c r="CKP314" s="222"/>
      <c r="CKR314" s="118"/>
      <c r="CKS314" s="8"/>
      <c r="CKT314" s="281"/>
      <c r="CKU314" s="78"/>
      <c r="CKV314" s="151"/>
      <c r="CKW314" s="278"/>
      <c r="CKX314" s="266"/>
      <c r="CKY314" s="279"/>
      <c r="CKZ314" s="211"/>
      <c r="CLA314" s="211"/>
      <c r="CLB314" s="286"/>
      <c r="CLC314" s="286"/>
      <c r="CLD314" s="280"/>
      <c r="CLE314" s="281"/>
      <c r="CLF314" s="282"/>
      <c r="CLG314" s="242"/>
      <c r="CLH314" s="222"/>
      <c r="CLJ314" s="118"/>
      <c r="CLK314" s="8"/>
      <c r="CLL314" s="281"/>
      <c r="CLM314" s="78"/>
      <c r="CLN314" s="151"/>
      <c r="CLO314" s="278"/>
      <c r="CLP314" s="266"/>
      <c r="CLQ314" s="279"/>
      <c r="CLR314" s="211"/>
      <c r="CLS314" s="211"/>
      <c r="CLT314" s="286"/>
      <c r="CLU314" s="286"/>
      <c r="CLV314" s="280"/>
      <c r="CLW314" s="281"/>
      <c r="CLX314" s="282"/>
      <c r="CLY314" s="242"/>
      <c r="CLZ314" s="222"/>
      <c r="CMB314" s="118"/>
      <c r="CMC314" s="8"/>
      <c r="CMD314" s="281"/>
      <c r="CME314" s="78"/>
      <c r="CMF314" s="151"/>
      <c r="CMG314" s="278"/>
      <c r="CMH314" s="266"/>
      <c r="CMI314" s="279"/>
      <c r="CMJ314" s="211"/>
      <c r="CMK314" s="211"/>
      <c r="CML314" s="286"/>
      <c r="CMM314" s="286"/>
      <c r="CMN314" s="280"/>
      <c r="CMO314" s="281"/>
      <c r="CMP314" s="282"/>
      <c r="CMQ314" s="242"/>
      <c r="CMR314" s="222"/>
      <c r="CMT314" s="118"/>
      <c r="CMU314" s="8"/>
      <c r="CMV314" s="281"/>
      <c r="CMW314" s="78"/>
      <c r="CMX314" s="151"/>
      <c r="CMY314" s="278"/>
      <c r="CMZ314" s="266"/>
      <c r="CNA314" s="279"/>
      <c r="CNB314" s="211"/>
      <c r="CNC314" s="211"/>
      <c r="CND314" s="286"/>
      <c r="CNE314" s="286"/>
      <c r="CNF314" s="280"/>
      <c r="CNG314" s="281"/>
      <c r="CNH314" s="282"/>
      <c r="CNI314" s="242"/>
      <c r="CNJ314" s="222"/>
      <c r="CNL314" s="118"/>
      <c r="CNM314" s="8"/>
      <c r="CNN314" s="281"/>
      <c r="CNO314" s="78"/>
      <c r="CNP314" s="151"/>
      <c r="CNQ314" s="278"/>
      <c r="CNR314" s="266"/>
      <c r="CNS314" s="279"/>
      <c r="CNT314" s="211"/>
      <c r="CNU314" s="211"/>
      <c r="CNV314" s="286"/>
      <c r="CNW314" s="286"/>
      <c r="CNX314" s="280"/>
      <c r="CNY314" s="281"/>
      <c r="CNZ314" s="282"/>
      <c r="COA314" s="242"/>
      <c r="COB314" s="222"/>
      <c r="COD314" s="118"/>
      <c r="COE314" s="8"/>
      <c r="COF314" s="281"/>
      <c r="COG314" s="78"/>
      <c r="COH314" s="151"/>
      <c r="COI314" s="278"/>
      <c r="COJ314" s="266"/>
      <c r="COK314" s="279"/>
      <c r="COL314" s="211"/>
      <c r="COM314" s="211"/>
      <c r="CON314" s="286"/>
      <c r="COO314" s="286"/>
      <c r="COP314" s="280"/>
      <c r="COQ314" s="281"/>
      <c r="COR314" s="282"/>
      <c r="COS314" s="242"/>
      <c r="COT314" s="222"/>
      <c r="COV314" s="118"/>
      <c r="COW314" s="8"/>
      <c r="COX314" s="281"/>
      <c r="COY314" s="78"/>
      <c r="COZ314" s="151"/>
      <c r="CPA314" s="278"/>
      <c r="CPB314" s="266"/>
      <c r="CPC314" s="279"/>
      <c r="CPD314" s="211"/>
      <c r="CPE314" s="211"/>
      <c r="CPF314" s="286"/>
      <c r="CPG314" s="286"/>
      <c r="CPH314" s="280"/>
      <c r="CPI314" s="281"/>
      <c r="CPJ314" s="282"/>
      <c r="CPK314" s="242"/>
      <c r="CPL314" s="222"/>
      <c r="CPN314" s="118"/>
      <c r="CPO314" s="8"/>
      <c r="CPP314" s="281"/>
      <c r="CPQ314" s="78"/>
      <c r="CPR314" s="151"/>
      <c r="CPS314" s="278"/>
      <c r="CPT314" s="266"/>
      <c r="CPU314" s="279"/>
      <c r="CPV314" s="211"/>
      <c r="CPW314" s="211"/>
      <c r="CPX314" s="286"/>
      <c r="CPY314" s="286"/>
      <c r="CPZ314" s="280"/>
      <c r="CQA314" s="281"/>
      <c r="CQB314" s="282"/>
      <c r="CQC314" s="242"/>
      <c r="CQD314" s="222"/>
      <c r="CQF314" s="118"/>
      <c r="CQG314" s="8"/>
      <c r="CQH314" s="281"/>
      <c r="CQI314" s="78"/>
      <c r="CQJ314" s="151"/>
      <c r="CQK314" s="278"/>
      <c r="CQL314" s="266"/>
      <c r="CQM314" s="279"/>
      <c r="CQN314" s="211"/>
      <c r="CQO314" s="211"/>
      <c r="CQP314" s="286"/>
      <c r="CQQ314" s="286"/>
      <c r="CQR314" s="280"/>
      <c r="CQS314" s="281"/>
      <c r="CQT314" s="282"/>
      <c r="CQU314" s="242"/>
      <c r="CQV314" s="222"/>
      <c r="CQX314" s="118"/>
      <c r="CQY314" s="8"/>
      <c r="CQZ314" s="281"/>
      <c r="CRA314" s="78"/>
      <c r="CRB314" s="151"/>
      <c r="CRC314" s="278"/>
      <c r="CRD314" s="266"/>
      <c r="CRE314" s="279"/>
      <c r="CRF314" s="211"/>
      <c r="CRG314" s="211"/>
      <c r="CRH314" s="286"/>
      <c r="CRI314" s="286"/>
      <c r="CRJ314" s="280"/>
      <c r="CRK314" s="281"/>
      <c r="CRL314" s="282"/>
      <c r="CRM314" s="242"/>
      <c r="CRN314" s="222"/>
      <c r="CRP314" s="118"/>
      <c r="CRQ314" s="8"/>
      <c r="CRR314" s="281"/>
      <c r="CRS314" s="78"/>
      <c r="CRT314" s="151"/>
      <c r="CRU314" s="278"/>
      <c r="CRV314" s="266"/>
      <c r="CRW314" s="279"/>
      <c r="CRX314" s="211"/>
      <c r="CRY314" s="211"/>
      <c r="CRZ314" s="286"/>
      <c r="CSA314" s="286"/>
      <c r="CSB314" s="280"/>
      <c r="CSC314" s="281"/>
      <c r="CSD314" s="282"/>
      <c r="CSE314" s="242"/>
      <c r="CSF314" s="222"/>
      <c r="CSH314" s="118"/>
      <c r="CSI314" s="8"/>
      <c r="CSJ314" s="281"/>
      <c r="CSK314" s="78"/>
      <c r="CSL314" s="151"/>
      <c r="CSM314" s="278"/>
      <c r="CSN314" s="266"/>
      <c r="CSO314" s="279"/>
      <c r="CSP314" s="211"/>
      <c r="CSQ314" s="211"/>
      <c r="CSR314" s="286"/>
      <c r="CSS314" s="286"/>
      <c r="CST314" s="280"/>
      <c r="CSU314" s="281"/>
      <c r="CSV314" s="282"/>
      <c r="CSW314" s="242"/>
      <c r="CSX314" s="222"/>
      <c r="CSZ314" s="118"/>
      <c r="CTA314" s="8"/>
      <c r="CTB314" s="281"/>
      <c r="CTC314" s="78"/>
      <c r="CTD314" s="151"/>
      <c r="CTE314" s="278"/>
      <c r="CTF314" s="266"/>
      <c r="CTG314" s="279"/>
      <c r="CTH314" s="211"/>
      <c r="CTI314" s="211"/>
      <c r="CTJ314" s="286"/>
      <c r="CTK314" s="286"/>
      <c r="CTL314" s="280"/>
      <c r="CTM314" s="281"/>
      <c r="CTN314" s="282"/>
      <c r="CTO314" s="242"/>
      <c r="CTP314" s="222"/>
      <c r="CTR314" s="118"/>
      <c r="CTS314" s="8"/>
      <c r="CTT314" s="281"/>
      <c r="CTU314" s="78"/>
      <c r="CTV314" s="151"/>
      <c r="CTW314" s="278"/>
      <c r="CTX314" s="266"/>
      <c r="CTY314" s="279"/>
      <c r="CTZ314" s="211"/>
      <c r="CUA314" s="211"/>
      <c r="CUB314" s="286"/>
      <c r="CUC314" s="286"/>
      <c r="CUD314" s="280"/>
      <c r="CUE314" s="281"/>
      <c r="CUF314" s="282"/>
      <c r="CUG314" s="242"/>
      <c r="CUH314" s="222"/>
      <c r="CUJ314" s="118"/>
      <c r="CUK314" s="8"/>
      <c r="CUL314" s="281"/>
      <c r="CUM314" s="78"/>
      <c r="CUN314" s="151"/>
      <c r="CUO314" s="278"/>
      <c r="CUP314" s="266"/>
      <c r="CUQ314" s="279"/>
      <c r="CUR314" s="211"/>
      <c r="CUS314" s="211"/>
      <c r="CUT314" s="286"/>
      <c r="CUU314" s="286"/>
      <c r="CUV314" s="280"/>
      <c r="CUW314" s="281"/>
      <c r="CUX314" s="282"/>
      <c r="CUY314" s="242"/>
      <c r="CUZ314" s="222"/>
      <c r="CVB314" s="118"/>
      <c r="CVC314" s="8"/>
      <c r="CVD314" s="281"/>
      <c r="CVE314" s="78"/>
      <c r="CVF314" s="151"/>
      <c r="CVG314" s="278"/>
      <c r="CVH314" s="266"/>
      <c r="CVI314" s="279"/>
      <c r="CVJ314" s="211"/>
      <c r="CVK314" s="211"/>
      <c r="CVL314" s="286"/>
      <c r="CVM314" s="286"/>
      <c r="CVN314" s="280"/>
      <c r="CVO314" s="281"/>
      <c r="CVP314" s="282"/>
      <c r="CVQ314" s="242"/>
      <c r="CVR314" s="222"/>
      <c r="CVT314" s="118"/>
      <c r="CVU314" s="8"/>
      <c r="CVV314" s="281"/>
      <c r="CVW314" s="78"/>
      <c r="CVX314" s="151"/>
      <c r="CVY314" s="278"/>
      <c r="CVZ314" s="266"/>
      <c r="CWA314" s="279"/>
      <c r="CWB314" s="211"/>
      <c r="CWC314" s="211"/>
      <c r="CWD314" s="286"/>
      <c r="CWE314" s="286"/>
      <c r="CWF314" s="280"/>
      <c r="CWG314" s="281"/>
      <c r="CWH314" s="282"/>
      <c r="CWI314" s="242"/>
      <c r="CWJ314" s="222"/>
      <c r="CWL314" s="118"/>
      <c r="CWM314" s="8"/>
      <c r="CWN314" s="281"/>
      <c r="CWO314" s="78"/>
      <c r="CWP314" s="151"/>
      <c r="CWQ314" s="278"/>
      <c r="CWR314" s="266"/>
      <c r="CWS314" s="279"/>
      <c r="CWT314" s="211"/>
      <c r="CWU314" s="211"/>
      <c r="CWV314" s="286"/>
      <c r="CWW314" s="286"/>
      <c r="CWX314" s="280"/>
      <c r="CWY314" s="281"/>
      <c r="CWZ314" s="282"/>
      <c r="CXA314" s="242"/>
      <c r="CXB314" s="222"/>
      <c r="CXD314" s="118"/>
      <c r="CXE314" s="8"/>
      <c r="CXF314" s="281"/>
      <c r="CXG314" s="78"/>
      <c r="CXH314" s="151"/>
      <c r="CXI314" s="278"/>
      <c r="CXJ314" s="266"/>
      <c r="CXK314" s="279"/>
      <c r="CXL314" s="211"/>
      <c r="CXM314" s="211"/>
      <c r="CXN314" s="286"/>
      <c r="CXO314" s="286"/>
      <c r="CXP314" s="280"/>
      <c r="CXQ314" s="281"/>
      <c r="CXR314" s="282"/>
      <c r="CXS314" s="242"/>
      <c r="CXT314" s="222"/>
      <c r="CXV314" s="118"/>
      <c r="CXW314" s="8"/>
      <c r="CXX314" s="281"/>
      <c r="CXY314" s="78"/>
      <c r="CXZ314" s="151"/>
      <c r="CYA314" s="278"/>
      <c r="CYB314" s="266"/>
      <c r="CYC314" s="279"/>
      <c r="CYD314" s="211"/>
      <c r="CYE314" s="211"/>
      <c r="CYF314" s="286"/>
      <c r="CYG314" s="286"/>
      <c r="CYH314" s="280"/>
      <c r="CYI314" s="281"/>
      <c r="CYJ314" s="282"/>
      <c r="CYK314" s="242"/>
      <c r="CYL314" s="222"/>
      <c r="CYN314" s="118"/>
      <c r="CYO314" s="8"/>
      <c r="CYP314" s="281"/>
      <c r="CYQ314" s="78"/>
      <c r="CYR314" s="151"/>
      <c r="CYS314" s="278"/>
      <c r="CYT314" s="266"/>
      <c r="CYU314" s="279"/>
      <c r="CYV314" s="211"/>
      <c r="CYW314" s="211"/>
      <c r="CYX314" s="286"/>
      <c r="CYY314" s="286"/>
      <c r="CYZ314" s="280"/>
      <c r="CZA314" s="281"/>
      <c r="CZB314" s="282"/>
      <c r="CZC314" s="242"/>
      <c r="CZD314" s="222"/>
      <c r="CZF314" s="118"/>
      <c r="CZG314" s="8"/>
      <c r="CZH314" s="281"/>
      <c r="CZI314" s="78"/>
      <c r="CZJ314" s="151"/>
      <c r="CZK314" s="278"/>
      <c r="CZL314" s="266"/>
      <c r="CZM314" s="279"/>
      <c r="CZN314" s="211"/>
      <c r="CZO314" s="211"/>
      <c r="CZP314" s="286"/>
      <c r="CZQ314" s="286"/>
      <c r="CZR314" s="280"/>
      <c r="CZS314" s="281"/>
      <c r="CZT314" s="282"/>
      <c r="CZU314" s="242"/>
      <c r="CZV314" s="222"/>
      <c r="CZX314" s="118"/>
      <c r="CZY314" s="8"/>
      <c r="CZZ314" s="281"/>
      <c r="DAA314" s="78"/>
      <c r="DAB314" s="151"/>
      <c r="DAC314" s="278"/>
      <c r="DAD314" s="266"/>
      <c r="DAE314" s="279"/>
      <c r="DAF314" s="211"/>
      <c r="DAG314" s="211"/>
      <c r="DAH314" s="286"/>
      <c r="DAI314" s="286"/>
      <c r="DAJ314" s="280"/>
      <c r="DAK314" s="281"/>
      <c r="DAL314" s="282"/>
      <c r="DAM314" s="242"/>
      <c r="DAN314" s="222"/>
      <c r="DAP314" s="118"/>
      <c r="DAQ314" s="8"/>
      <c r="DAR314" s="281"/>
      <c r="DAS314" s="78"/>
      <c r="DAT314" s="151"/>
      <c r="DAU314" s="278"/>
      <c r="DAV314" s="266"/>
      <c r="DAW314" s="279"/>
      <c r="DAX314" s="211"/>
      <c r="DAY314" s="211"/>
      <c r="DAZ314" s="286"/>
      <c r="DBA314" s="286"/>
      <c r="DBB314" s="280"/>
      <c r="DBC314" s="281"/>
      <c r="DBD314" s="282"/>
      <c r="DBE314" s="242"/>
      <c r="DBF314" s="222"/>
      <c r="DBH314" s="118"/>
      <c r="DBI314" s="8"/>
      <c r="DBJ314" s="281"/>
      <c r="DBK314" s="78"/>
      <c r="DBL314" s="151"/>
      <c r="DBM314" s="278"/>
      <c r="DBN314" s="266"/>
      <c r="DBO314" s="279"/>
      <c r="DBP314" s="211"/>
      <c r="DBQ314" s="211"/>
      <c r="DBR314" s="286"/>
      <c r="DBS314" s="286"/>
      <c r="DBT314" s="280"/>
      <c r="DBU314" s="281"/>
      <c r="DBV314" s="282"/>
      <c r="DBW314" s="242"/>
      <c r="DBX314" s="222"/>
      <c r="DBZ314" s="118"/>
      <c r="DCA314" s="8"/>
      <c r="DCB314" s="281"/>
      <c r="DCC314" s="78"/>
      <c r="DCD314" s="151"/>
      <c r="DCE314" s="278"/>
      <c r="DCF314" s="266"/>
      <c r="DCG314" s="279"/>
      <c r="DCH314" s="211"/>
      <c r="DCI314" s="211"/>
      <c r="DCJ314" s="286"/>
      <c r="DCK314" s="286"/>
      <c r="DCL314" s="280"/>
      <c r="DCM314" s="281"/>
      <c r="DCN314" s="282"/>
      <c r="DCO314" s="242"/>
      <c r="DCP314" s="222"/>
      <c r="DCR314" s="118"/>
      <c r="DCS314" s="8"/>
      <c r="DCT314" s="281"/>
      <c r="DCU314" s="78"/>
      <c r="DCV314" s="151"/>
      <c r="DCW314" s="278"/>
      <c r="DCX314" s="266"/>
      <c r="DCY314" s="279"/>
      <c r="DCZ314" s="211"/>
      <c r="DDA314" s="211"/>
      <c r="DDB314" s="286"/>
      <c r="DDC314" s="286"/>
      <c r="DDD314" s="280"/>
      <c r="DDE314" s="281"/>
      <c r="DDF314" s="282"/>
      <c r="DDG314" s="242"/>
      <c r="DDH314" s="222"/>
      <c r="DDJ314" s="118"/>
      <c r="DDK314" s="8"/>
      <c r="DDL314" s="281"/>
      <c r="DDM314" s="78"/>
      <c r="DDN314" s="151"/>
      <c r="DDO314" s="278"/>
      <c r="DDP314" s="266"/>
      <c r="DDQ314" s="279"/>
      <c r="DDR314" s="211"/>
      <c r="DDS314" s="211"/>
      <c r="DDT314" s="286"/>
      <c r="DDU314" s="286"/>
      <c r="DDV314" s="280"/>
      <c r="DDW314" s="281"/>
      <c r="DDX314" s="282"/>
      <c r="DDY314" s="242"/>
      <c r="DDZ314" s="222"/>
      <c r="DEB314" s="118"/>
      <c r="DEC314" s="8"/>
      <c r="DED314" s="281"/>
      <c r="DEE314" s="78"/>
      <c r="DEF314" s="151"/>
      <c r="DEG314" s="278"/>
      <c r="DEH314" s="266"/>
      <c r="DEI314" s="279"/>
      <c r="DEJ314" s="211"/>
      <c r="DEK314" s="211"/>
      <c r="DEL314" s="286"/>
      <c r="DEM314" s="286"/>
      <c r="DEN314" s="280"/>
      <c r="DEO314" s="281"/>
      <c r="DEP314" s="282"/>
      <c r="DEQ314" s="242"/>
      <c r="DER314" s="222"/>
      <c r="DET314" s="118"/>
      <c r="DEU314" s="8"/>
      <c r="DEV314" s="281"/>
      <c r="DEW314" s="78"/>
      <c r="DEX314" s="151"/>
      <c r="DEY314" s="278"/>
      <c r="DEZ314" s="266"/>
      <c r="DFA314" s="279"/>
      <c r="DFB314" s="211"/>
      <c r="DFC314" s="211"/>
      <c r="DFD314" s="286"/>
      <c r="DFE314" s="286"/>
      <c r="DFF314" s="280"/>
      <c r="DFG314" s="281"/>
      <c r="DFH314" s="282"/>
      <c r="DFI314" s="242"/>
      <c r="DFJ314" s="222"/>
      <c r="DFL314" s="118"/>
      <c r="DFM314" s="8"/>
      <c r="DFN314" s="281"/>
      <c r="DFO314" s="78"/>
      <c r="DFP314" s="151"/>
      <c r="DFQ314" s="278"/>
      <c r="DFR314" s="266"/>
      <c r="DFS314" s="279"/>
      <c r="DFT314" s="211"/>
      <c r="DFU314" s="211"/>
      <c r="DFV314" s="286"/>
      <c r="DFW314" s="286"/>
      <c r="DFX314" s="280"/>
      <c r="DFY314" s="281"/>
      <c r="DFZ314" s="282"/>
      <c r="DGA314" s="242"/>
      <c r="DGB314" s="222"/>
      <c r="DGD314" s="118"/>
      <c r="DGE314" s="8"/>
      <c r="DGF314" s="281"/>
      <c r="DGG314" s="78"/>
      <c r="DGH314" s="151"/>
      <c r="DGI314" s="278"/>
      <c r="DGJ314" s="266"/>
      <c r="DGK314" s="279"/>
      <c r="DGL314" s="211"/>
      <c r="DGM314" s="211"/>
      <c r="DGN314" s="286"/>
      <c r="DGO314" s="286"/>
      <c r="DGP314" s="280"/>
      <c r="DGQ314" s="281"/>
      <c r="DGR314" s="282"/>
      <c r="DGS314" s="242"/>
      <c r="DGT314" s="222"/>
      <c r="DGV314" s="118"/>
      <c r="DGW314" s="8"/>
      <c r="DGX314" s="281"/>
      <c r="DGY314" s="78"/>
      <c r="DGZ314" s="151"/>
      <c r="DHA314" s="278"/>
      <c r="DHB314" s="266"/>
      <c r="DHC314" s="279"/>
      <c r="DHD314" s="211"/>
      <c r="DHE314" s="211"/>
      <c r="DHF314" s="286"/>
      <c r="DHG314" s="286"/>
      <c r="DHH314" s="280"/>
      <c r="DHI314" s="281"/>
      <c r="DHJ314" s="282"/>
      <c r="DHK314" s="242"/>
      <c r="DHL314" s="222"/>
      <c r="DHN314" s="118"/>
      <c r="DHO314" s="8"/>
      <c r="DHP314" s="281"/>
      <c r="DHQ314" s="78"/>
      <c r="DHR314" s="151"/>
      <c r="DHS314" s="278"/>
      <c r="DHT314" s="266"/>
      <c r="DHU314" s="279"/>
      <c r="DHV314" s="211"/>
      <c r="DHW314" s="211"/>
      <c r="DHX314" s="286"/>
      <c r="DHY314" s="286"/>
      <c r="DHZ314" s="280"/>
      <c r="DIA314" s="281"/>
      <c r="DIB314" s="282"/>
      <c r="DIC314" s="242"/>
      <c r="DID314" s="222"/>
      <c r="DIF314" s="118"/>
      <c r="DIG314" s="8"/>
      <c r="DIH314" s="281"/>
      <c r="DII314" s="78"/>
      <c r="DIJ314" s="151"/>
      <c r="DIK314" s="278"/>
      <c r="DIL314" s="266"/>
      <c r="DIM314" s="279"/>
      <c r="DIN314" s="211"/>
      <c r="DIO314" s="211"/>
      <c r="DIP314" s="286"/>
      <c r="DIQ314" s="286"/>
      <c r="DIR314" s="280"/>
      <c r="DIS314" s="281"/>
      <c r="DIT314" s="282"/>
      <c r="DIU314" s="242"/>
      <c r="DIV314" s="222"/>
      <c r="DIX314" s="118"/>
      <c r="DIY314" s="8"/>
      <c r="DIZ314" s="281"/>
      <c r="DJA314" s="78"/>
      <c r="DJB314" s="151"/>
      <c r="DJC314" s="278"/>
      <c r="DJD314" s="266"/>
      <c r="DJE314" s="279"/>
      <c r="DJF314" s="211"/>
      <c r="DJG314" s="211"/>
      <c r="DJH314" s="286"/>
      <c r="DJI314" s="286"/>
      <c r="DJJ314" s="280"/>
      <c r="DJK314" s="281"/>
      <c r="DJL314" s="282"/>
      <c r="DJM314" s="242"/>
      <c r="DJN314" s="222"/>
      <c r="DJP314" s="118"/>
      <c r="DJQ314" s="8"/>
      <c r="DJR314" s="281"/>
      <c r="DJS314" s="78"/>
      <c r="DJT314" s="151"/>
      <c r="DJU314" s="278"/>
      <c r="DJV314" s="266"/>
      <c r="DJW314" s="279"/>
      <c r="DJX314" s="211"/>
      <c r="DJY314" s="211"/>
      <c r="DJZ314" s="286"/>
      <c r="DKA314" s="286"/>
      <c r="DKB314" s="280"/>
      <c r="DKC314" s="281"/>
      <c r="DKD314" s="282"/>
      <c r="DKE314" s="242"/>
      <c r="DKF314" s="222"/>
      <c r="DKH314" s="118"/>
      <c r="DKI314" s="8"/>
      <c r="DKJ314" s="281"/>
      <c r="DKK314" s="78"/>
      <c r="DKL314" s="151"/>
      <c r="DKM314" s="278"/>
      <c r="DKN314" s="266"/>
      <c r="DKO314" s="279"/>
      <c r="DKP314" s="211"/>
      <c r="DKQ314" s="211"/>
      <c r="DKR314" s="286"/>
      <c r="DKS314" s="286"/>
      <c r="DKT314" s="280"/>
      <c r="DKU314" s="281"/>
      <c r="DKV314" s="282"/>
      <c r="DKW314" s="242"/>
      <c r="DKX314" s="222"/>
      <c r="DKZ314" s="118"/>
      <c r="DLA314" s="8"/>
      <c r="DLB314" s="281"/>
      <c r="DLC314" s="78"/>
      <c r="DLD314" s="151"/>
      <c r="DLE314" s="278"/>
      <c r="DLF314" s="266"/>
      <c r="DLG314" s="279"/>
      <c r="DLH314" s="211"/>
      <c r="DLI314" s="211"/>
      <c r="DLJ314" s="286"/>
      <c r="DLK314" s="286"/>
      <c r="DLL314" s="280"/>
      <c r="DLM314" s="281"/>
      <c r="DLN314" s="282"/>
      <c r="DLO314" s="242"/>
      <c r="DLP314" s="222"/>
      <c r="DLR314" s="118"/>
      <c r="DLS314" s="8"/>
      <c r="DLT314" s="281"/>
      <c r="DLU314" s="78"/>
      <c r="DLV314" s="151"/>
      <c r="DLW314" s="278"/>
      <c r="DLX314" s="266"/>
      <c r="DLY314" s="279"/>
      <c r="DLZ314" s="211"/>
      <c r="DMA314" s="211"/>
      <c r="DMB314" s="286"/>
      <c r="DMC314" s="286"/>
      <c r="DMD314" s="280"/>
      <c r="DME314" s="281"/>
      <c r="DMF314" s="282"/>
      <c r="DMG314" s="242"/>
      <c r="DMH314" s="222"/>
      <c r="DMJ314" s="118"/>
      <c r="DMK314" s="8"/>
      <c r="DML314" s="281"/>
      <c r="DMM314" s="78"/>
      <c r="DMN314" s="151"/>
      <c r="DMO314" s="278"/>
      <c r="DMP314" s="266"/>
      <c r="DMQ314" s="279"/>
      <c r="DMR314" s="211"/>
      <c r="DMS314" s="211"/>
      <c r="DMT314" s="286"/>
      <c r="DMU314" s="286"/>
      <c r="DMV314" s="280"/>
      <c r="DMW314" s="281"/>
      <c r="DMX314" s="282"/>
      <c r="DMY314" s="242"/>
      <c r="DMZ314" s="222"/>
      <c r="DNB314" s="118"/>
      <c r="DNC314" s="8"/>
      <c r="DND314" s="281"/>
      <c r="DNE314" s="78"/>
      <c r="DNF314" s="151"/>
      <c r="DNG314" s="278"/>
      <c r="DNH314" s="266"/>
      <c r="DNI314" s="279"/>
      <c r="DNJ314" s="211"/>
      <c r="DNK314" s="211"/>
      <c r="DNL314" s="286"/>
      <c r="DNM314" s="286"/>
      <c r="DNN314" s="280"/>
      <c r="DNO314" s="281"/>
      <c r="DNP314" s="282"/>
      <c r="DNQ314" s="242"/>
      <c r="DNR314" s="222"/>
      <c r="DNT314" s="118"/>
      <c r="DNU314" s="8"/>
      <c r="DNV314" s="281"/>
      <c r="DNW314" s="78"/>
      <c r="DNX314" s="151"/>
      <c r="DNY314" s="278"/>
      <c r="DNZ314" s="266"/>
      <c r="DOA314" s="279"/>
      <c r="DOB314" s="211"/>
      <c r="DOC314" s="211"/>
      <c r="DOD314" s="286"/>
      <c r="DOE314" s="286"/>
      <c r="DOF314" s="280"/>
      <c r="DOG314" s="281"/>
      <c r="DOH314" s="282"/>
      <c r="DOI314" s="242"/>
      <c r="DOJ314" s="222"/>
      <c r="DOL314" s="118"/>
      <c r="DOM314" s="8"/>
      <c r="DON314" s="281"/>
      <c r="DOO314" s="78"/>
      <c r="DOP314" s="151"/>
      <c r="DOQ314" s="278"/>
      <c r="DOR314" s="266"/>
      <c r="DOS314" s="279"/>
      <c r="DOT314" s="211"/>
      <c r="DOU314" s="211"/>
      <c r="DOV314" s="286"/>
      <c r="DOW314" s="286"/>
      <c r="DOX314" s="280"/>
      <c r="DOY314" s="281"/>
      <c r="DOZ314" s="282"/>
      <c r="DPA314" s="242"/>
      <c r="DPB314" s="222"/>
      <c r="DPD314" s="118"/>
      <c r="DPE314" s="8"/>
      <c r="DPF314" s="281"/>
      <c r="DPG314" s="78"/>
      <c r="DPH314" s="151"/>
      <c r="DPI314" s="278"/>
      <c r="DPJ314" s="266"/>
      <c r="DPK314" s="279"/>
      <c r="DPL314" s="211"/>
      <c r="DPM314" s="211"/>
      <c r="DPN314" s="286"/>
      <c r="DPO314" s="286"/>
      <c r="DPP314" s="280"/>
      <c r="DPQ314" s="281"/>
      <c r="DPR314" s="282"/>
      <c r="DPS314" s="242"/>
      <c r="DPT314" s="222"/>
      <c r="DPV314" s="118"/>
      <c r="DPW314" s="8"/>
      <c r="DPX314" s="281"/>
      <c r="DPY314" s="78"/>
      <c r="DPZ314" s="151"/>
      <c r="DQA314" s="278"/>
      <c r="DQB314" s="266"/>
      <c r="DQC314" s="279"/>
      <c r="DQD314" s="211"/>
      <c r="DQE314" s="211"/>
      <c r="DQF314" s="286"/>
      <c r="DQG314" s="286"/>
      <c r="DQH314" s="280"/>
      <c r="DQI314" s="281"/>
      <c r="DQJ314" s="282"/>
      <c r="DQK314" s="242"/>
      <c r="DQL314" s="222"/>
      <c r="DQN314" s="118"/>
      <c r="DQO314" s="8"/>
      <c r="DQP314" s="281"/>
      <c r="DQQ314" s="78"/>
      <c r="DQR314" s="151"/>
      <c r="DQS314" s="278"/>
      <c r="DQT314" s="266"/>
      <c r="DQU314" s="279"/>
      <c r="DQV314" s="211"/>
      <c r="DQW314" s="211"/>
      <c r="DQX314" s="286"/>
      <c r="DQY314" s="286"/>
      <c r="DQZ314" s="280"/>
      <c r="DRA314" s="281"/>
      <c r="DRB314" s="282"/>
      <c r="DRC314" s="242"/>
      <c r="DRD314" s="222"/>
      <c r="DRF314" s="118"/>
      <c r="DRG314" s="8"/>
      <c r="DRH314" s="281"/>
      <c r="DRI314" s="78"/>
      <c r="DRJ314" s="151"/>
      <c r="DRK314" s="278"/>
      <c r="DRL314" s="266"/>
      <c r="DRM314" s="279"/>
      <c r="DRN314" s="211"/>
      <c r="DRO314" s="211"/>
      <c r="DRP314" s="286"/>
      <c r="DRQ314" s="286"/>
      <c r="DRR314" s="280"/>
      <c r="DRS314" s="281"/>
      <c r="DRT314" s="282"/>
      <c r="DRU314" s="242"/>
      <c r="DRV314" s="222"/>
      <c r="DRX314" s="118"/>
      <c r="DRY314" s="8"/>
      <c r="DRZ314" s="281"/>
      <c r="DSA314" s="78"/>
      <c r="DSB314" s="151"/>
      <c r="DSC314" s="278"/>
      <c r="DSD314" s="266"/>
      <c r="DSE314" s="279"/>
      <c r="DSF314" s="211"/>
      <c r="DSG314" s="211"/>
      <c r="DSH314" s="286"/>
      <c r="DSI314" s="286"/>
      <c r="DSJ314" s="280"/>
      <c r="DSK314" s="281"/>
      <c r="DSL314" s="282"/>
      <c r="DSM314" s="242"/>
      <c r="DSN314" s="222"/>
      <c r="DSP314" s="118"/>
      <c r="DSQ314" s="8"/>
      <c r="DSR314" s="281"/>
      <c r="DSS314" s="78"/>
      <c r="DST314" s="151"/>
      <c r="DSU314" s="278"/>
      <c r="DSV314" s="266"/>
      <c r="DSW314" s="279"/>
      <c r="DSX314" s="211"/>
      <c r="DSY314" s="211"/>
      <c r="DSZ314" s="286"/>
      <c r="DTA314" s="286"/>
      <c r="DTB314" s="280"/>
      <c r="DTC314" s="281"/>
      <c r="DTD314" s="282"/>
      <c r="DTE314" s="242"/>
      <c r="DTF314" s="222"/>
      <c r="DTH314" s="118"/>
      <c r="DTI314" s="8"/>
      <c r="DTJ314" s="281"/>
      <c r="DTK314" s="78"/>
      <c r="DTL314" s="151"/>
      <c r="DTM314" s="278"/>
      <c r="DTN314" s="266"/>
      <c r="DTO314" s="279"/>
      <c r="DTP314" s="211"/>
      <c r="DTQ314" s="211"/>
      <c r="DTR314" s="286"/>
      <c r="DTS314" s="286"/>
      <c r="DTT314" s="280"/>
      <c r="DTU314" s="281"/>
      <c r="DTV314" s="282"/>
      <c r="DTW314" s="242"/>
      <c r="DTX314" s="222"/>
      <c r="DTZ314" s="118"/>
      <c r="DUA314" s="8"/>
      <c r="DUB314" s="281"/>
      <c r="DUC314" s="78"/>
      <c r="DUD314" s="151"/>
      <c r="DUE314" s="278"/>
      <c r="DUF314" s="266"/>
      <c r="DUG314" s="279"/>
      <c r="DUH314" s="211"/>
      <c r="DUI314" s="211"/>
      <c r="DUJ314" s="286"/>
      <c r="DUK314" s="286"/>
      <c r="DUL314" s="280"/>
      <c r="DUM314" s="281"/>
      <c r="DUN314" s="282"/>
      <c r="DUO314" s="242"/>
      <c r="DUP314" s="222"/>
      <c r="DUR314" s="118"/>
      <c r="DUS314" s="8"/>
      <c r="DUT314" s="281"/>
      <c r="DUU314" s="78"/>
      <c r="DUV314" s="151"/>
      <c r="DUW314" s="278"/>
      <c r="DUX314" s="266"/>
      <c r="DUY314" s="279"/>
      <c r="DUZ314" s="211"/>
      <c r="DVA314" s="211"/>
      <c r="DVB314" s="286"/>
      <c r="DVC314" s="286"/>
      <c r="DVD314" s="280"/>
      <c r="DVE314" s="281"/>
      <c r="DVF314" s="282"/>
      <c r="DVG314" s="242"/>
      <c r="DVH314" s="222"/>
      <c r="DVJ314" s="118"/>
      <c r="DVK314" s="8"/>
      <c r="DVL314" s="281"/>
      <c r="DVM314" s="78"/>
      <c r="DVN314" s="151"/>
      <c r="DVO314" s="278"/>
      <c r="DVP314" s="266"/>
      <c r="DVQ314" s="279"/>
      <c r="DVR314" s="211"/>
      <c r="DVS314" s="211"/>
      <c r="DVT314" s="286"/>
      <c r="DVU314" s="286"/>
      <c r="DVV314" s="280"/>
      <c r="DVW314" s="281"/>
      <c r="DVX314" s="282"/>
      <c r="DVY314" s="242"/>
      <c r="DVZ314" s="222"/>
      <c r="DWB314" s="118"/>
      <c r="DWC314" s="8"/>
      <c r="DWD314" s="281"/>
      <c r="DWE314" s="78"/>
      <c r="DWF314" s="151"/>
      <c r="DWG314" s="278"/>
      <c r="DWH314" s="266"/>
      <c r="DWI314" s="279"/>
      <c r="DWJ314" s="211"/>
      <c r="DWK314" s="211"/>
      <c r="DWL314" s="286"/>
      <c r="DWM314" s="286"/>
      <c r="DWN314" s="280"/>
      <c r="DWO314" s="281"/>
      <c r="DWP314" s="282"/>
      <c r="DWQ314" s="242"/>
      <c r="DWR314" s="222"/>
      <c r="DWT314" s="118"/>
      <c r="DWU314" s="8"/>
      <c r="DWV314" s="281"/>
      <c r="DWW314" s="78"/>
      <c r="DWX314" s="151"/>
      <c r="DWY314" s="278"/>
      <c r="DWZ314" s="266"/>
      <c r="DXA314" s="279"/>
      <c r="DXB314" s="211"/>
      <c r="DXC314" s="211"/>
      <c r="DXD314" s="286"/>
      <c r="DXE314" s="286"/>
      <c r="DXF314" s="280"/>
      <c r="DXG314" s="281"/>
      <c r="DXH314" s="282"/>
      <c r="DXI314" s="242"/>
      <c r="DXJ314" s="222"/>
      <c r="DXL314" s="118"/>
      <c r="DXM314" s="8"/>
      <c r="DXN314" s="281"/>
      <c r="DXO314" s="78"/>
      <c r="DXP314" s="151"/>
      <c r="DXQ314" s="278"/>
      <c r="DXR314" s="266"/>
      <c r="DXS314" s="279"/>
      <c r="DXT314" s="211"/>
      <c r="DXU314" s="211"/>
      <c r="DXV314" s="286"/>
      <c r="DXW314" s="286"/>
      <c r="DXX314" s="280"/>
      <c r="DXY314" s="281"/>
      <c r="DXZ314" s="282"/>
      <c r="DYA314" s="242"/>
      <c r="DYB314" s="222"/>
      <c r="DYD314" s="118"/>
      <c r="DYE314" s="8"/>
      <c r="DYF314" s="281"/>
      <c r="DYG314" s="78"/>
      <c r="DYH314" s="151"/>
      <c r="DYI314" s="278"/>
      <c r="DYJ314" s="266"/>
      <c r="DYK314" s="279"/>
      <c r="DYL314" s="211"/>
      <c r="DYM314" s="211"/>
      <c r="DYN314" s="286"/>
      <c r="DYO314" s="286"/>
      <c r="DYP314" s="280"/>
      <c r="DYQ314" s="281"/>
      <c r="DYR314" s="282"/>
      <c r="DYS314" s="242"/>
      <c r="DYT314" s="222"/>
      <c r="DYV314" s="118"/>
      <c r="DYW314" s="8"/>
      <c r="DYX314" s="281"/>
      <c r="DYY314" s="78"/>
      <c r="DYZ314" s="151"/>
      <c r="DZA314" s="278"/>
      <c r="DZB314" s="266"/>
      <c r="DZC314" s="279"/>
      <c r="DZD314" s="211"/>
      <c r="DZE314" s="211"/>
      <c r="DZF314" s="286"/>
      <c r="DZG314" s="286"/>
      <c r="DZH314" s="280"/>
      <c r="DZI314" s="281"/>
      <c r="DZJ314" s="282"/>
      <c r="DZK314" s="242"/>
      <c r="DZL314" s="222"/>
      <c r="DZN314" s="118"/>
      <c r="DZO314" s="8"/>
      <c r="DZP314" s="281"/>
      <c r="DZQ314" s="78"/>
      <c r="DZR314" s="151"/>
      <c r="DZS314" s="278"/>
      <c r="DZT314" s="266"/>
      <c r="DZU314" s="279"/>
      <c r="DZV314" s="211"/>
      <c r="DZW314" s="211"/>
      <c r="DZX314" s="286"/>
      <c r="DZY314" s="286"/>
      <c r="DZZ314" s="280"/>
      <c r="EAA314" s="281"/>
      <c r="EAB314" s="282"/>
      <c r="EAC314" s="242"/>
      <c r="EAD314" s="222"/>
      <c r="EAF314" s="118"/>
      <c r="EAG314" s="8"/>
      <c r="EAH314" s="281"/>
      <c r="EAI314" s="78"/>
      <c r="EAJ314" s="151"/>
      <c r="EAK314" s="278"/>
      <c r="EAL314" s="266"/>
      <c r="EAM314" s="279"/>
      <c r="EAN314" s="211"/>
      <c r="EAO314" s="211"/>
      <c r="EAP314" s="286"/>
      <c r="EAQ314" s="286"/>
      <c r="EAR314" s="280"/>
      <c r="EAS314" s="281"/>
      <c r="EAT314" s="282"/>
      <c r="EAU314" s="242"/>
      <c r="EAV314" s="222"/>
      <c r="EAX314" s="118"/>
      <c r="EAY314" s="8"/>
      <c r="EAZ314" s="281"/>
      <c r="EBA314" s="78"/>
      <c r="EBB314" s="151"/>
      <c r="EBC314" s="278"/>
      <c r="EBD314" s="266"/>
      <c r="EBE314" s="279"/>
      <c r="EBF314" s="211"/>
      <c r="EBG314" s="211"/>
      <c r="EBH314" s="286"/>
      <c r="EBI314" s="286"/>
      <c r="EBJ314" s="280"/>
      <c r="EBK314" s="281"/>
      <c r="EBL314" s="282"/>
      <c r="EBM314" s="242"/>
      <c r="EBN314" s="222"/>
      <c r="EBP314" s="118"/>
      <c r="EBQ314" s="8"/>
      <c r="EBR314" s="281"/>
      <c r="EBS314" s="78"/>
      <c r="EBT314" s="151"/>
      <c r="EBU314" s="278"/>
      <c r="EBV314" s="266"/>
      <c r="EBW314" s="279"/>
      <c r="EBX314" s="211"/>
      <c r="EBY314" s="211"/>
      <c r="EBZ314" s="286"/>
      <c r="ECA314" s="286"/>
      <c r="ECB314" s="280"/>
      <c r="ECC314" s="281"/>
      <c r="ECD314" s="282"/>
      <c r="ECE314" s="242"/>
      <c r="ECF314" s="222"/>
      <c r="ECH314" s="118"/>
      <c r="ECI314" s="8"/>
      <c r="ECJ314" s="281"/>
      <c r="ECK314" s="78"/>
      <c r="ECL314" s="151"/>
      <c r="ECM314" s="278"/>
      <c r="ECN314" s="266"/>
      <c r="ECO314" s="279"/>
      <c r="ECP314" s="211"/>
      <c r="ECQ314" s="211"/>
      <c r="ECR314" s="286"/>
      <c r="ECS314" s="286"/>
      <c r="ECT314" s="280"/>
      <c r="ECU314" s="281"/>
      <c r="ECV314" s="282"/>
      <c r="ECW314" s="242"/>
      <c r="ECX314" s="222"/>
      <c r="ECZ314" s="118"/>
      <c r="EDA314" s="8"/>
      <c r="EDB314" s="281"/>
      <c r="EDC314" s="78"/>
      <c r="EDD314" s="151"/>
      <c r="EDE314" s="278"/>
      <c r="EDF314" s="266"/>
      <c r="EDG314" s="279"/>
      <c r="EDH314" s="211"/>
      <c r="EDI314" s="211"/>
      <c r="EDJ314" s="286"/>
      <c r="EDK314" s="286"/>
      <c r="EDL314" s="280"/>
      <c r="EDM314" s="281"/>
      <c r="EDN314" s="282"/>
      <c r="EDO314" s="242"/>
      <c r="EDP314" s="222"/>
      <c r="EDR314" s="118"/>
      <c r="EDS314" s="8"/>
      <c r="EDT314" s="281"/>
      <c r="EDU314" s="78"/>
      <c r="EDV314" s="151"/>
      <c r="EDW314" s="278"/>
      <c r="EDX314" s="266"/>
      <c r="EDY314" s="279"/>
      <c r="EDZ314" s="211"/>
      <c r="EEA314" s="211"/>
      <c r="EEB314" s="286"/>
      <c r="EEC314" s="286"/>
      <c r="EED314" s="280"/>
      <c r="EEE314" s="281"/>
      <c r="EEF314" s="282"/>
      <c r="EEG314" s="242"/>
      <c r="EEH314" s="222"/>
      <c r="EEJ314" s="118"/>
      <c r="EEK314" s="8"/>
      <c r="EEL314" s="281"/>
      <c r="EEM314" s="78"/>
      <c r="EEN314" s="151"/>
      <c r="EEO314" s="278"/>
      <c r="EEP314" s="266"/>
      <c r="EEQ314" s="279"/>
      <c r="EER314" s="211"/>
      <c r="EES314" s="211"/>
      <c r="EET314" s="286"/>
      <c r="EEU314" s="286"/>
      <c r="EEV314" s="280"/>
      <c r="EEW314" s="281"/>
      <c r="EEX314" s="282"/>
      <c r="EEY314" s="242"/>
      <c r="EEZ314" s="222"/>
      <c r="EFB314" s="118"/>
      <c r="EFC314" s="8"/>
      <c r="EFD314" s="281"/>
      <c r="EFE314" s="78"/>
      <c r="EFF314" s="151"/>
      <c r="EFG314" s="278"/>
      <c r="EFH314" s="266"/>
      <c r="EFI314" s="279"/>
      <c r="EFJ314" s="211"/>
      <c r="EFK314" s="211"/>
      <c r="EFL314" s="286"/>
      <c r="EFM314" s="286"/>
      <c r="EFN314" s="280"/>
      <c r="EFO314" s="281"/>
      <c r="EFP314" s="282"/>
      <c r="EFQ314" s="242"/>
      <c r="EFR314" s="222"/>
      <c r="EFT314" s="118"/>
      <c r="EFU314" s="8"/>
      <c r="EFV314" s="281"/>
      <c r="EFW314" s="78"/>
      <c r="EFX314" s="151"/>
      <c r="EFY314" s="278"/>
      <c r="EFZ314" s="266"/>
      <c r="EGA314" s="279"/>
      <c r="EGB314" s="211"/>
      <c r="EGC314" s="211"/>
      <c r="EGD314" s="286"/>
      <c r="EGE314" s="286"/>
      <c r="EGF314" s="280"/>
      <c r="EGG314" s="281"/>
      <c r="EGH314" s="282"/>
      <c r="EGI314" s="242"/>
      <c r="EGJ314" s="222"/>
      <c r="EGL314" s="118"/>
      <c r="EGM314" s="8"/>
      <c r="EGN314" s="281"/>
      <c r="EGO314" s="78"/>
      <c r="EGP314" s="151"/>
      <c r="EGQ314" s="278"/>
      <c r="EGR314" s="266"/>
      <c r="EGS314" s="279"/>
      <c r="EGT314" s="211"/>
      <c r="EGU314" s="211"/>
      <c r="EGV314" s="286"/>
      <c r="EGW314" s="286"/>
      <c r="EGX314" s="280"/>
      <c r="EGY314" s="281"/>
      <c r="EGZ314" s="282"/>
      <c r="EHA314" s="242"/>
      <c r="EHB314" s="222"/>
      <c r="EHD314" s="118"/>
      <c r="EHE314" s="8"/>
      <c r="EHF314" s="281"/>
      <c r="EHG314" s="78"/>
      <c r="EHH314" s="151"/>
      <c r="EHI314" s="278"/>
      <c r="EHJ314" s="266"/>
      <c r="EHK314" s="279"/>
      <c r="EHL314" s="211"/>
      <c r="EHM314" s="211"/>
      <c r="EHN314" s="286"/>
      <c r="EHO314" s="286"/>
      <c r="EHP314" s="280"/>
      <c r="EHQ314" s="281"/>
      <c r="EHR314" s="282"/>
      <c r="EHS314" s="242"/>
      <c r="EHT314" s="222"/>
      <c r="EHV314" s="118"/>
      <c r="EHW314" s="8"/>
      <c r="EHX314" s="281"/>
      <c r="EHY314" s="78"/>
      <c r="EHZ314" s="151"/>
      <c r="EIA314" s="278"/>
      <c r="EIB314" s="266"/>
      <c r="EIC314" s="279"/>
      <c r="EID314" s="211"/>
      <c r="EIE314" s="211"/>
      <c r="EIF314" s="286"/>
      <c r="EIG314" s="286"/>
      <c r="EIH314" s="280"/>
      <c r="EII314" s="281"/>
      <c r="EIJ314" s="282"/>
      <c r="EIK314" s="242"/>
      <c r="EIL314" s="222"/>
      <c r="EIN314" s="118"/>
      <c r="EIO314" s="8"/>
      <c r="EIP314" s="281"/>
      <c r="EIQ314" s="78"/>
      <c r="EIR314" s="151"/>
      <c r="EIS314" s="278"/>
      <c r="EIT314" s="266"/>
      <c r="EIU314" s="279"/>
      <c r="EIV314" s="211"/>
      <c r="EIW314" s="211"/>
      <c r="EIX314" s="286"/>
      <c r="EIY314" s="286"/>
      <c r="EIZ314" s="280"/>
      <c r="EJA314" s="281"/>
      <c r="EJB314" s="282"/>
      <c r="EJC314" s="242"/>
      <c r="EJD314" s="222"/>
      <c r="EJF314" s="118"/>
      <c r="EJG314" s="8"/>
      <c r="EJH314" s="281"/>
      <c r="EJI314" s="78"/>
      <c r="EJJ314" s="151"/>
      <c r="EJK314" s="278"/>
      <c r="EJL314" s="266"/>
      <c r="EJM314" s="279"/>
      <c r="EJN314" s="211"/>
      <c r="EJO314" s="211"/>
      <c r="EJP314" s="286"/>
      <c r="EJQ314" s="286"/>
      <c r="EJR314" s="280"/>
      <c r="EJS314" s="281"/>
      <c r="EJT314" s="282"/>
      <c r="EJU314" s="242"/>
      <c r="EJV314" s="222"/>
      <c r="EJX314" s="118"/>
      <c r="EJY314" s="8"/>
      <c r="EJZ314" s="281"/>
      <c r="EKA314" s="78"/>
      <c r="EKB314" s="151"/>
      <c r="EKC314" s="278"/>
      <c r="EKD314" s="266"/>
      <c r="EKE314" s="279"/>
      <c r="EKF314" s="211"/>
      <c r="EKG314" s="211"/>
      <c r="EKH314" s="286"/>
      <c r="EKI314" s="286"/>
      <c r="EKJ314" s="280"/>
      <c r="EKK314" s="281"/>
      <c r="EKL314" s="282"/>
      <c r="EKM314" s="242"/>
      <c r="EKN314" s="222"/>
      <c r="EKP314" s="118"/>
      <c r="EKQ314" s="8"/>
      <c r="EKR314" s="281"/>
      <c r="EKS314" s="78"/>
      <c r="EKT314" s="151"/>
      <c r="EKU314" s="278"/>
      <c r="EKV314" s="266"/>
      <c r="EKW314" s="279"/>
      <c r="EKX314" s="211"/>
      <c r="EKY314" s="211"/>
      <c r="EKZ314" s="286"/>
      <c r="ELA314" s="286"/>
      <c r="ELB314" s="280"/>
      <c r="ELC314" s="281"/>
      <c r="ELD314" s="282"/>
      <c r="ELE314" s="242"/>
      <c r="ELF314" s="222"/>
      <c r="ELH314" s="118"/>
      <c r="ELI314" s="8"/>
      <c r="ELJ314" s="281"/>
      <c r="ELK314" s="78"/>
      <c r="ELL314" s="151"/>
      <c r="ELM314" s="278"/>
      <c r="ELN314" s="266"/>
      <c r="ELO314" s="279"/>
      <c r="ELP314" s="211"/>
      <c r="ELQ314" s="211"/>
      <c r="ELR314" s="286"/>
      <c r="ELS314" s="286"/>
      <c r="ELT314" s="280"/>
      <c r="ELU314" s="281"/>
      <c r="ELV314" s="282"/>
      <c r="ELW314" s="242"/>
      <c r="ELX314" s="222"/>
      <c r="ELZ314" s="118"/>
      <c r="EMA314" s="8"/>
      <c r="EMB314" s="281"/>
      <c r="EMC314" s="78"/>
      <c r="EMD314" s="151"/>
      <c r="EME314" s="278"/>
      <c r="EMF314" s="266"/>
      <c r="EMG314" s="279"/>
      <c r="EMH314" s="211"/>
      <c r="EMI314" s="211"/>
      <c r="EMJ314" s="286"/>
      <c r="EMK314" s="286"/>
      <c r="EML314" s="280"/>
      <c r="EMM314" s="281"/>
      <c r="EMN314" s="282"/>
      <c r="EMO314" s="242"/>
      <c r="EMP314" s="222"/>
      <c r="EMR314" s="118"/>
      <c r="EMS314" s="8"/>
      <c r="EMT314" s="281"/>
      <c r="EMU314" s="78"/>
      <c r="EMV314" s="151"/>
      <c r="EMW314" s="278"/>
      <c r="EMX314" s="266"/>
      <c r="EMY314" s="279"/>
      <c r="EMZ314" s="211"/>
      <c r="ENA314" s="211"/>
      <c r="ENB314" s="286"/>
      <c r="ENC314" s="286"/>
      <c r="END314" s="280"/>
      <c r="ENE314" s="281"/>
      <c r="ENF314" s="282"/>
      <c r="ENG314" s="242"/>
      <c r="ENH314" s="222"/>
      <c r="ENJ314" s="118"/>
      <c r="ENK314" s="8"/>
      <c r="ENL314" s="281"/>
      <c r="ENM314" s="78"/>
      <c r="ENN314" s="151"/>
      <c r="ENO314" s="278"/>
      <c r="ENP314" s="266"/>
      <c r="ENQ314" s="279"/>
      <c r="ENR314" s="211"/>
      <c r="ENS314" s="211"/>
      <c r="ENT314" s="286"/>
      <c r="ENU314" s="286"/>
      <c r="ENV314" s="280"/>
      <c r="ENW314" s="281"/>
      <c r="ENX314" s="282"/>
      <c r="ENY314" s="242"/>
      <c r="ENZ314" s="222"/>
      <c r="EOB314" s="118"/>
      <c r="EOC314" s="8"/>
      <c r="EOD314" s="281"/>
      <c r="EOE314" s="78"/>
      <c r="EOF314" s="151"/>
      <c r="EOG314" s="278"/>
      <c r="EOH314" s="266"/>
      <c r="EOI314" s="279"/>
      <c r="EOJ314" s="211"/>
      <c r="EOK314" s="211"/>
      <c r="EOL314" s="286"/>
      <c r="EOM314" s="286"/>
      <c r="EON314" s="280"/>
      <c r="EOO314" s="281"/>
      <c r="EOP314" s="282"/>
      <c r="EOQ314" s="242"/>
      <c r="EOR314" s="222"/>
      <c r="EOT314" s="118"/>
      <c r="EOU314" s="8"/>
      <c r="EOV314" s="281"/>
      <c r="EOW314" s="78"/>
      <c r="EOX314" s="151"/>
      <c r="EOY314" s="278"/>
      <c r="EOZ314" s="266"/>
      <c r="EPA314" s="279"/>
      <c r="EPB314" s="211"/>
      <c r="EPC314" s="211"/>
      <c r="EPD314" s="286"/>
      <c r="EPE314" s="286"/>
      <c r="EPF314" s="280"/>
      <c r="EPG314" s="281"/>
      <c r="EPH314" s="282"/>
      <c r="EPI314" s="242"/>
      <c r="EPJ314" s="222"/>
      <c r="EPL314" s="118"/>
      <c r="EPM314" s="8"/>
      <c r="EPN314" s="281"/>
      <c r="EPO314" s="78"/>
      <c r="EPP314" s="151"/>
      <c r="EPQ314" s="278"/>
      <c r="EPR314" s="266"/>
      <c r="EPS314" s="279"/>
      <c r="EPT314" s="211"/>
      <c r="EPU314" s="211"/>
      <c r="EPV314" s="286"/>
      <c r="EPW314" s="286"/>
      <c r="EPX314" s="280"/>
      <c r="EPY314" s="281"/>
      <c r="EPZ314" s="282"/>
      <c r="EQA314" s="242"/>
      <c r="EQB314" s="222"/>
      <c r="EQD314" s="118"/>
      <c r="EQE314" s="8"/>
      <c r="EQF314" s="281"/>
      <c r="EQG314" s="78"/>
      <c r="EQH314" s="151"/>
      <c r="EQI314" s="278"/>
      <c r="EQJ314" s="266"/>
      <c r="EQK314" s="279"/>
      <c r="EQL314" s="211"/>
      <c r="EQM314" s="211"/>
      <c r="EQN314" s="286"/>
      <c r="EQO314" s="286"/>
      <c r="EQP314" s="280"/>
      <c r="EQQ314" s="281"/>
      <c r="EQR314" s="282"/>
      <c r="EQS314" s="242"/>
      <c r="EQT314" s="222"/>
      <c r="EQV314" s="118"/>
      <c r="EQW314" s="8"/>
      <c r="EQX314" s="281"/>
      <c r="EQY314" s="78"/>
      <c r="EQZ314" s="151"/>
      <c r="ERA314" s="278"/>
      <c r="ERB314" s="266"/>
      <c r="ERC314" s="279"/>
      <c r="ERD314" s="211"/>
      <c r="ERE314" s="211"/>
      <c r="ERF314" s="286"/>
      <c r="ERG314" s="286"/>
      <c r="ERH314" s="280"/>
      <c r="ERI314" s="281"/>
      <c r="ERJ314" s="282"/>
      <c r="ERK314" s="242"/>
      <c r="ERL314" s="222"/>
      <c r="ERN314" s="118"/>
      <c r="ERO314" s="8"/>
      <c r="ERP314" s="281"/>
      <c r="ERQ314" s="78"/>
      <c r="ERR314" s="151"/>
      <c r="ERS314" s="278"/>
      <c r="ERT314" s="266"/>
      <c r="ERU314" s="279"/>
      <c r="ERV314" s="211"/>
      <c r="ERW314" s="211"/>
      <c r="ERX314" s="286"/>
      <c r="ERY314" s="286"/>
      <c r="ERZ314" s="280"/>
      <c r="ESA314" s="281"/>
      <c r="ESB314" s="282"/>
      <c r="ESC314" s="242"/>
      <c r="ESD314" s="222"/>
      <c r="ESF314" s="118"/>
      <c r="ESG314" s="8"/>
      <c r="ESH314" s="281"/>
      <c r="ESI314" s="78"/>
      <c r="ESJ314" s="151"/>
      <c r="ESK314" s="278"/>
      <c r="ESL314" s="266"/>
      <c r="ESM314" s="279"/>
      <c r="ESN314" s="211"/>
      <c r="ESO314" s="211"/>
      <c r="ESP314" s="286"/>
      <c r="ESQ314" s="286"/>
      <c r="ESR314" s="280"/>
      <c r="ESS314" s="281"/>
      <c r="EST314" s="282"/>
      <c r="ESU314" s="242"/>
      <c r="ESV314" s="222"/>
      <c r="ESX314" s="118"/>
      <c r="ESY314" s="8"/>
      <c r="ESZ314" s="281"/>
      <c r="ETA314" s="78"/>
      <c r="ETB314" s="151"/>
      <c r="ETC314" s="278"/>
      <c r="ETD314" s="266"/>
      <c r="ETE314" s="279"/>
      <c r="ETF314" s="211"/>
      <c r="ETG314" s="211"/>
      <c r="ETH314" s="286"/>
      <c r="ETI314" s="286"/>
      <c r="ETJ314" s="280"/>
      <c r="ETK314" s="281"/>
      <c r="ETL314" s="282"/>
      <c r="ETM314" s="242"/>
      <c r="ETN314" s="222"/>
      <c r="ETP314" s="118"/>
      <c r="ETQ314" s="8"/>
      <c r="ETR314" s="281"/>
      <c r="ETS314" s="78"/>
      <c r="ETT314" s="151"/>
      <c r="ETU314" s="278"/>
      <c r="ETV314" s="266"/>
      <c r="ETW314" s="279"/>
      <c r="ETX314" s="211"/>
      <c r="ETY314" s="211"/>
      <c r="ETZ314" s="286"/>
      <c r="EUA314" s="286"/>
      <c r="EUB314" s="280"/>
      <c r="EUC314" s="281"/>
      <c r="EUD314" s="282"/>
      <c r="EUE314" s="242"/>
      <c r="EUF314" s="222"/>
      <c r="EUH314" s="118"/>
      <c r="EUI314" s="8"/>
      <c r="EUJ314" s="281"/>
      <c r="EUK314" s="78"/>
      <c r="EUL314" s="151"/>
      <c r="EUM314" s="278"/>
      <c r="EUN314" s="266"/>
      <c r="EUO314" s="279"/>
      <c r="EUP314" s="211"/>
      <c r="EUQ314" s="211"/>
      <c r="EUR314" s="286"/>
      <c r="EUS314" s="286"/>
      <c r="EUT314" s="280"/>
      <c r="EUU314" s="281"/>
      <c r="EUV314" s="282"/>
      <c r="EUW314" s="242"/>
      <c r="EUX314" s="222"/>
      <c r="EUZ314" s="118"/>
      <c r="EVA314" s="8"/>
      <c r="EVB314" s="281"/>
      <c r="EVC314" s="78"/>
      <c r="EVD314" s="151"/>
      <c r="EVE314" s="278"/>
      <c r="EVF314" s="266"/>
      <c r="EVG314" s="279"/>
      <c r="EVH314" s="211"/>
      <c r="EVI314" s="211"/>
      <c r="EVJ314" s="286"/>
      <c r="EVK314" s="286"/>
      <c r="EVL314" s="280"/>
      <c r="EVM314" s="281"/>
      <c r="EVN314" s="282"/>
      <c r="EVO314" s="242"/>
      <c r="EVP314" s="222"/>
      <c r="EVR314" s="118"/>
      <c r="EVS314" s="8"/>
      <c r="EVT314" s="281"/>
      <c r="EVU314" s="78"/>
      <c r="EVV314" s="151"/>
      <c r="EVW314" s="278"/>
      <c r="EVX314" s="266"/>
      <c r="EVY314" s="279"/>
      <c r="EVZ314" s="211"/>
      <c r="EWA314" s="211"/>
      <c r="EWB314" s="286"/>
      <c r="EWC314" s="286"/>
      <c r="EWD314" s="280"/>
      <c r="EWE314" s="281"/>
      <c r="EWF314" s="282"/>
      <c r="EWG314" s="242"/>
      <c r="EWH314" s="222"/>
      <c r="EWJ314" s="118"/>
      <c r="EWK314" s="8"/>
      <c r="EWL314" s="281"/>
      <c r="EWM314" s="78"/>
      <c r="EWN314" s="151"/>
      <c r="EWO314" s="278"/>
      <c r="EWP314" s="266"/>
      <c r="EWQ314" s="279"/>
      <c r="EWR314" s="211"/>
      <c r="EWS314" s="211"/>
      <c r="EWT314" s="286"/>
      <c r="EWU314" s="286"/>
      <c r="EWV314" s="280"/>
      <c r="EWW314" s="281"/>
      <c r="EWX314" s="282"/>
      <c r="EWY314" s="242"/>
      <c r="EWZ314" s="222"/>
      <c r="EXB314" s="118"/>
      <c r="EXC314" s="8"/>
      <c r="EXD314" s="281"/>
      <c r="EXE314" s="78"/>
      <c r="EXF314" s="151"/>
      <c r="EXG314" s="278"/>
      <c r="EXH314" s="266"/>
      <c r="EXI314" s="279"/>
      <c r="EXJ314" s="211"/>
      <c r="EXK314" s="211"/>
      <c r="EXL314" s="286"/>
      <c r="EXM314" s="286"/>
      <c r="EXN314" s="280"/>
      <c r="EXO314" s="281"/>
      <c r="EXP314" s="282"/>
      <c r="EXQ314" s="242"/>
      <c r="EXR314" s="222"/>
      <c r="EXT314" s="118"/>
      <c r="EXU314" s="8"/>
      <c r="EXV314" s="281"/>
      <c r="EXW314" s="78"/>
      <c r="EXX314" s="151"/>
      <c r="EXY314" s="278"/>
      <c r="EXZ314" s="266"/>
      <c r="EYA314" s="279"/>
      <c r="EYB314" s="211"/>
      <c r="EYC314" s="211"/>
      <c r="EYD314" s="286"/>
      <c r="EYE314" s="286"/>
      <c r="EYF314" s="280"/>
      <c r="EYG314" s="281"/>
      <c r="EYH314" s="282"/>
      <c r="EYI314" s="242"/>
      <c r="EYJ314" s="222"/>
      <c r="EYL314" s="118"/>
      <c r="EYM314" s="8"/>
      <c r="EYN314" s="281"/>
      <c r="EYO314" s="78"/>
      <c r="EYP314" s="151"/>
      <c r="EYQ314" s="278"/>
      <c r="EYR314" s="266"/>
      <c r="EYS314" s="279"/>
      <c r="EYT314" s="211"/>
      <c r="EYU314" s="211"/>
      <c r="EYV314" s="286"/>
      <c r="EYW314" s="286"/>
      <c r="EYX314" s="280"/>
      <c r="EYY314" s="281"/>
      <c r="EYZ314" s="282"/>
      <c r="EZA314" s="242"/>
      <c r="EZB314" s="222"/>
      <c r="EZD314" s="118"/>
      <c r="EZE314" s="8"/>
      <c r="EZF314" s="281"/>
      <c r="EZG314" s="78"/>
      <c r="EZH314" s="151"/>
      <c r="EZI314" s="278"/>
      <c r="EZJ314" s="266"/>
      <c r="EZK314" s="279"/>
      <c r="EZL314" s="211"/>
      <c r="EZM314" s="211"/>
      <c r="EZN314" s="286"/>
      <c r="EZO314" s="286"/>
      <c r="EZP314" s="280"/>
      <c r="EZQ314" s="281"/>
      <c r="EZR314" s="282"/>
      <c r="EZS314" s="242"/>
      <c r="EZT314" s="222"/>
      <c r="EZV314" s="118"/>
      <c r="EZW314" s="8"/>
      <c r="EZX314" s="281"/>
      <c r="EZY314" s="78"/>
      <c r="EZZ314" s="151"/>
      <c r="FAA314" s="278"/>
      <c r="FAB314" s="266"/>
      <c r="FAC314" s="279"/>
      <c r="FAD314" s="211"/>
      <c r="FAE314" s="211"/>
      <c r="FAF314" s="286"/>
      <c r="FAG314" s="286"/>
      <c r="FAH314" s="280"/>
      <c r="FAI314" s="281"/>
      <c r="FAJ314" s="282"/>
      <c r="FAK314" s="242"/>
      <c r="FAL314" s="222"/>
      <c r="FAN314" s="118"/>
      <c r="FAO314" s="8"/>
      <c r="FAP314" s="281"/>
      <c r="FAQ314" s="78"/>
      <c r="FAR314" s="151"/>
      <c r="FAS314" s="278"/>
      <c r="FAT314" s="266"/>
      <c r="FAU314" s="279"/>
      <c r="FAV314" s="211"/>
      <c r="FAW314" s="211"/>
      <c r="FAX314" s="286"/>
      <c r="FAY314" s="286"/>
      <c r="FAZ314" s="280"/>
      <c r="FBA314" s="281"/>
      <c r="FBB314" s="282"/>
      <c r="FBC314" s="242"/>
      <c r="FBD314" s="222"/>
      <c r="FBF314" s="118"/>
      <c r="FBG314" s="8"/>
      <c r="FBH314" s="281"/>
      <c r="FBI314" s="78"/>
      <c r="FBJ314" s="151"/>
      <c r="FBK314" s="278"/>
      <c r="FBL314" s="266"/>
      <c r="FBM314" s="279"/>
      <c r="FBN314" s="211"/>
      <c r="FBO314" s="211"/>
      <c r="FBP314" s="286"/>
      <c r="FBQ314" s="286"/>
      <c r="FBR314" s="280"/>
      <c r="FBS314" s="281"/>
      <c r="FBT314" s="282"/>
      <c r="FBU314" s="242"/>
      <c r="FBV314" s="222"/>
      <c r="FBX314" s="118"/>
      <c r="FBY314" s="8"/>
      <c r="FBZ314" s="281"/>
      <c r="FCA314" s="78"/>
      <c r="FCB314" s="151"/>
      <c r="FCC314" s="278"/>
      <c r="FCD314" s="266"/>
      <c r="FCE314" s="279"/>
      <c r="FCF314" s="211"/>
      <c r="FCG314" s="211"/>
      <c r="FCH314" s="286"/>
      <c r="FCI314" s="286"/>
      <c r="FCJ314" s="280"/>
      <c r="FCK314" s="281"/>
      <c r="FCL314" s="282"/>
      <c r="FCM314" s="242"/>
      <c r="FCN314" s="222"/>
      <c r="FCP314" s="118"/>
      <c r="FCQ314" s="8"/>
      <c r="FCR314" s="281"/>
      <c r="FCS314" s="78"/>
      <c r="FCT314" s="151"/>
      <c r="FCU314" s="278"/>
      <c r="FCV314" s="266"/>
      <c r="FCW314" s="279"/>
      <c r="FCX314" s="211"/>
      <c r="FCY314" s="211"/>
      <c r="FCZ314" s="286"/>
      <c r="FDA314" s="286"/>
      <c r="FDB314" s="280"/>
      <c r="FDC314" s="281"/>
      <c r="FDD314" s="282"/>
      <c r="FDE314" s="242"/>
      <c r="FDF314" s="222"/>
      <c r="FDH314" s="118"/>
      <c r="FDI314" s="8"/>
      <c r="FDJ314" s="281"/>
      <c r="FDK314" s="78"/>
      <c r="FDL314" s="151"/>
      <c r="FDM314" s="278"/>
      <c r="FDN314" s="266"/>
      <c r="FDO314" s="279"/>
      <c r="FDP314" s="211"/>
      <c r="FDQ314" s="211"/>
      <c r="FDR314" s="286"/>
      <c r="FDS314" s="286"/>
      <c r="FDT314" s="280"/>
      <c r="FDU314" s="281"/>
      <c r="FDV314" s="282"/>
      <c r="FDW314" s="242"/>
      <c r="FDX314" s="222"/>
      <c r="FDZ314" s="118"/>
      <c r="FEA314" s="8"/>
      <c r="FEB314" s="281"/>
      <c r="FEC314" s="78"/>
      <c r="FED314" s="151"/>
      <c r="FEE314" s="278"/>
      <c r="FEF314" s="266"/>
      <c r="FEG314" s="279"/>
      <c r="FEH314" s="211"/>
      <c r="FEI314" s="211"/>
      <c r="FEJ314" s="286"/>
      <c r="FEK314" s="286"/>
      <c r="FEL314" s="280"/>
      <c r="FEM314" s="281"/>
      <c r="FEN314" s="282"/>
      <c r="FEO314" s="242"/>
      <c r="FEP314" s="222"/>
      <c r="FER314" s="118"/>
      <c r="FES314" s="8"/>
      <c r="FET314" s="281"/>
      <c r="FEU314" s="78"/>
      <c r="FEV314" s="151"/>
      <c r="FEW314" s="278"/>
      <c r="FEX314" s="266"/>
      <c r="FEY314" s="279"/>
      <c r="FEZ314" s="211"/>
      <c r="FFA314" s="211"/>
      <c r="FFB314" s="286"/>
      <c r="FFC314" s="286"/>
      <c r="FFD314" s="280"/>
      <c r="FFE314" s="281"/>
      <c r="FFF314" s="282"/>
      <c r="FFG314" s="242"/>
      <c r="FFH314" s="222"/>
      <c r="FFJ314" s="118"/>
      <c r="FFK314" s="8"/>
      <c r="FFL314" s="281"/>
      <c r="FFM314" s="78"/>
      <c r="FFN314" s="151"/>
      <c r="FFO314" s="278"/>
      <c r="FFP314" s="266"/>
      <c r="FFQ314" s="279"/>
      <c r="FFR314" s="211"/>
      <c r="FFS314" s="211"/>
      <c r="FFT314" s="286"/>
      <c r="FFU314" s="286"/>
      <c r="FFV314" s="280"/>
      <c r="FFW314" s="281"/>
      <c r="FFX314" s="282"/>
      <c r="FFY314" s="242"/>
      <c r="FFZ314" s="222"/>
      <c r="FGB314" s="118"/>
      <c r="FGC314" s="8"/>
      <c r="FGD314" s="281"/>
      <c r="FGE314" s="78"/>
      <c r="FGF314" s="151"/>
      <c r="FGG314" s="278"/>
      <c r="FGH314" s="266"/>
      <c r="FGI314" s="279"/>
      <c r="FGJ314" s="211"/>
      <c r="FGK314" s="211"/>
      <c r="FGL314" s="286"/>
      <c r="FGM314" s="286"/>
      <c r="FGN314" s="280"/>
      <c r="FGO314" s="281"/>
      <c r="FGP314" s="282"/>
      <c r="FGQ314" s="242"/>
      <c r="FGR314" s="222"/>
      <c r="FGT314" s="118"/>
      <c r="FGU314" s="8"/>
      <c r="FGV314" s="281"/>
      <c r="FGW314" s="78"/>
      <c r="FGX314" s="151"/>
      <c r="FGY314" s="278"/>
      <c r="FGZ314" s="266"/>
      <c r="FHA314" s="279"/>
      <c r="FHB314" s="211"/>
      <c r="FHC314" s="211"/>
      <c r="FHD314" s="286"/>
      <c r="FHE314" s="286"/>
      <c r="FHF314" s="280"/>
      <c r="FHG314" s="281"/>
      <c r="FHH314" s="282"/>
      <c r="FHI314" s="242"/>
      <c r="FHJ314" s="222"/>
      <c r="FHL314" s="118"/>
      <c r="FHM314" s="8"/>
      <c r="FHN314" s="281"/>
      <c r="FHO314" s="78"/>
      <c r="FHP314" s="151"/>
      <c r="FHQ314" s="278"/>
      <c r="FHR314" s="266"/>
      <c r="FHS314" s="279"/>
      <c r="FHT314" s="211"/>
      <c r="FHU314" s="211"/>
      <c r="FHV314" s="286"/>
      <c r="FHW314" s="286"/>
      <c r="FHX314" s="280"/>
      <c r="FHY314" s="281"/>
      <c r="FHZ314" s="282"/>
      <c r="FIA314" s="242"/>
      <c r="FIB314" s="222"/>
      <c r="FID314" s="118"/>
      <c r="FIE314" s="8"/>
      <c r="FIF314" s="281"/>
      <c r="FIG314" s="78"/>
      <c r="FIH314" s="151"/>
      <c r="FII314" s="278"/>
      <c r="FIJ314" s="266"/>
      <c r="FIK314" s="279"/>
      <c r="FIL314" s="211"/>
      <c r="FIM314" s="211"/>
      <c r="FIN314" s="286"/>
      <c r="FIO314" s="286"/>
      <c r="FIP314" s="280"/>
      <c r="FIQ314" s="281"/>
      <c r="FIR314" s="282"/>
      <c r="FIS314" s="242"/>
      <c r="FIT314" s="222"/>
      <c r="FIV314" s="118"/>
      <c r="FIW314" s="8"/>
      <c r="FIX314" s="281"/>
      <c r="FIY314" s="78"/>
      <c r="FIZ314" s="151"/>
      <c r="FJA314" s="278"/>
      <c r="FJB314" s="266"/>
      <c r="FJC314" s="279"/>
      <c r="FJD314" s="211"/>
      <c r="FJE314" s="211"/>
      <c r="FJF314" s="286"/>
      <c r="FJG314" s="286"/>
      <c r="FJH314" s="280"/>
      <c r="FJI314" s="281"/>
      <c r="FJJ314" s="282"/>
      <c r="FJK314" s="242"/>
      <c r="FJL314" s="222"/>
      <c r="FJN314" s="118"/>
      <c r="FJO314" s="8"/>
      <c r="FJP314" s="281"/>
      <c r="FJQ314" s="78"/>
      <c r="FJR314" s="151"/>
      <c r="FJS314" s="278"/>
      <c r="FJT314" s="266"/>
      <c r="FJU314" s="279"/>
      <c r="FJV314" s="211"/>
      <c r="FJW314" s="211"/>
      <c r="FJX314" s="286"/>
      <c r="FJY314" s="286"/>
      <c r="FJZ314" s="280"/>
      <c r="FKA314" s="281"/>
      <c r="FKB314" s="282"/>
      <c r="FKC314" s="242"/>
      <c r="FKD314" s="222"/>
      <c r="FKF314" s="118"/>
      <c r="FKG314" s="8"/>
      <c r="FKH314" s="281"/>
      <c r="FKI314" s="78"/>
      <c r="FKJ314" s="151"/>
      <c r="FKK314" s="278"/>
      <c r="FKL314" s="266"/>
      <c r="FKM314" s="279"/>
      <c r="FKN314" s="211"/>
      <c r="FKO314" s="211"/>
      <c r="FKP314" s="286"/>
      <c r="FKQ314" s="286"/>
      <c r="FKR314" s="280"/>
      <c r="FKS314" s="281"/>
      <c r="FKT314" s="282"/>
      <c r="FKU314" s="242"/>
      <c r="FKV314" s="222"/>
      <c r="FKX314" s="118"/>
      <c r="FKY314" s="8"/>
      <c r="FKZ314" s="281"/>
      <c r="FLA314" s="78"/>
      <c r="FLB314" s="151"/>
      <c r="FLC314" s="278"/>
      <c r="FLD314" s="266"/>
      <c r="FLE314" s="279"/>
      <c r="FLF314" s="211"/>
      <c r="FLG314" s="211"/>
      <c r="FLH314" s="286"/>
      <c r="FLI314" s="286"/>
      <c r="FLJ314" s="280"/>
      <c r="FLK314" s="281"/>
      <c r="FLL314" s="282"/>
      <c r="FLM314" s="242"/>
      <c r="FLN314" s="222"/>
      <c r="FLP314" s="118"/>
      <c r="FLQ314" s="8"/>
      <c r="FLR314" s="281"/>
      <c r="FLS314" s="78"/>
      <c r="FLT314" s="151"/>
      <c r="FLU314" s="278"/>
      <c r="FLV314" s="266"/>
      <c r="FLW314" s="279"/>
      <c r="FLX314" s="211"/>
      <c r="FLY314" s="211"/>
      <c r="FLZ314" s="286"/>
      <c r="FMA314" s="286"/>
      <c r="FMB314" s="280"/>
      <c r="FMC314" s="281"/>
      <c r="FMD314" s="282"/>
      <c r="FME314" s="242"/>
      <c r="FMF314" s="222"/>
      <c r="FMH314" s="118"/>
      <c r="FMI314" s="8"/>
      <c r="FMJ314" s="281"/>
      <c r="FMK314" s="78"/>
      <c r="FML314" s="151"/>
      <c r="FMM314" s="278"/>
      <c r="FMN314" s="266"/>
      <c r="FMO314" s="279"/>
      <c r="FMP314" s="211"/>
      <c r="FMQ314" s="211"/>
      <c r="FMR314" s="286"/>
      <c r="FMS314" s="286"/>
      <c r="FMT314" s="280"/>
      <c r="FMU314" s="281"/>
      <c r="FMV314" s="282"/>
      <c r="FMW314" s="242"/>
      <c r="FMX314" s="222"/>
      <c r="FMZ314" s="118"/>
      <c r="FNA314" s="8"/>
      <c r="FNB314" s="281"/>
      <c r="FNC314" s="78"/>
      <c r="FND314" s="151"/>
      <c r="FNE314" s="278"/>
      <c r="FNF314" s="266"/>
      <c r="FNG314" s="279"/>
      <c r="FNH314" s="211"/>
      <c r="FNI314" s="211"/>
      <c r="FNJ314" s="286"/>
      <c r="FNK314" s="286"/>
      <c r="FNL314" s="280"/>
      <c r="FNM314" s="281"/>
      <c r="FNN314" s="282"/>
      <c r="FNO314" s="242"/>
      <c r="FNP314" s="222"/>
      <c r="FNR314" s="118"/>
      <c r="FNS314" s="8"/>
      <c r="FNT314" s="281"/>
      <c r="FNU314" s="78"/>
      <c r="FNV314" s="151"/>
      <c r="FNW314" s="278"/>
      <c r="FNX314" s="266"/>
      <c r="FNY314" s="279"/>
      <c r="FNZ314" s="211"/>
      <c r="FOA314" s="211"/>
      <c r="FOB314" s="286"/>
      <c r="FOC314" s="286"/>
      <c r="FOD314" s="280"/>
      <c r="FOE314" s="281"/>
      <c r="FOF314" s="282"/>
      <c r="FOG314" s="242"/>
      <c r="FOH314" s="222"/>
      <c r="FOJ314" s="118"/>
      <c r="FOK314" s="8"/>
      <c r="FOL314" s="281"/>
      <c r="FOM314" s="78"/>
      <c r="FON314" s="151"/>
      <c r="FOO314" s="278"/>
      <c r="FOP314" s="266"/>
      <c r="FOQ314" s="279"/>
      <c r="FOR314" s="211"/>
      <c r="FOS314" s="211"/>
      <c r="FOT314" s="286"/>
      <c r="FOU314" s="286"/>
      <c r="FOV314" s="280"/>
      <c r="FOW314" s="281"/>
      <c r="FOX314" s="282"/>
      <c r="FOY314" s="242"/>
      <c r="FOZ314" s="222"/>
      <c r="FPB314" s="118"/>
      <c r="FPC314" s="8"/>
      <c r="FPD314" s="281"/>
      <c r="FPE314" s="78"/>
      <c r="FPF314" s="151"/>
      <c r="FPG314" s="278"/>
      <c r="FPH314" s="266"/>
      <c r="FPI314" s="279"/>
      <c r="FPJ314" s="211"/>
      <c r="FPK314" s="211"/>
      <c r="FPL314" s="286"/>
      <c r="FPM314" s="286"/>
      <c r="FPN314" s="280"/>
      <c r="FPO314" s="281"/>
      <c r="FPP314" s="282"/>
      <c r="FPQ314" s="242"/>
      <c r="FPR314" s="222"/>
      <c r="FPT314" s="118"/>
      <c r="FPU314" s="8"/>
      <c r="FPV314" s="281"/>
      <c r="FPW314" s="78"/>
      <c r="FPX314" s="151"/>
      <c r="FPY314" s="278"/>
      <c r="FPZ314" s="266"/>
      <c r="FQA314" s="279"/>
      <c r="FQB314" s="211"/>
      <c r="FQC314" s="211"/>
      <c r="FQD314" s="286"/>
      <c r="FQE314" s="286"/>
      <c r="FQF314" s="280"/>
      <c r="FQG314" s="281"/>
      <c r="FQH314" s="282"/>
      <c r="FQI314" s="242"/>
      <c r="FQJ314" s="222"/>
      <c r="FQL314" s="118"/>
      <c r="FQM314" s="8"/>
      <c r="FQN314" s="281"/>
      <c r="FQO314" s="78"/>
      <c r="FQP314" s="151"/>
      <c r="FQQ314" s="278"/>
      <c r="FQR314" s="266"/>
      <c r="FQS314" s="279"/>
      <c r="FQT314" s="211"/>
      <c r="FQU314" s="211"/>
      <c r="FQV314" s="286"/>
      <c r="FQW314" s="286"/>
      <c r="FQX314" s="280"/>
      <c r="FQY314" s="281"/>
      <c r="FQZ314" s="282"/>
      <c r="FRA314" s="242"/>
      <c r="FRB314" s="222"/>
      <c r="FRD314" s="118"/>
      <c r="FRE314" s="8"/>
      <c r="FRF314" s="281"/>
      <c r="FRG314" s="78"/>
      <c r="FRH314" s="151"/>
      <c r="FRI314" s="278"/>
      <c r="FRJ314" s="266"/>
      <c r="FRK314" s="279"/>
      <c r="FRL314" s="211"/>
      <c r="FRM314" s="211"/>
      <c r="FRN314" s="286"/>
      <c r="FRO314" s="286"/>
      <c r="FRP314" s="280"/>
      <c r="FRQ314" s="281"/>
      <c r="FRR314" s="282"/>
      <c r="FRS314" s="242"/>
      <c r="FRT314" s="222"/>
      <c r="FRV314" s="118"/>
      <c r="FRW314" s="8"/>
      <c r="FRX314" s="281"/>
      <c r="FRY314" s="78"/>
      <c r="FRZ314" s="151"/>
      <c r="FSA314" s="278"/>
      <c r="FSB314" s="266"/>
      <c r="FSC314" s="279"/>
      <c r="FSD314" s="211"/>
      <c r="FSE314" s="211"/>
      <c r="FSF314" s="286"/>
      <c r="FSG314" s="286"/>
      <c r="FSH314" s="280"/>
      <c r="FSI314" s="281"/>
      <c r="FSJ314" s="282"/>
      <c r="FSK314" s="242"/>
      <c r="FSL314" s="222"/>
      <c r="FSN314" s="118"/>
      <c r="FSO314" s="8"/>
      <c r="FSP314" s="281"/>
      <c r="FSQ314" s="78"/>
      <c r="FSR314" s="151"/>
      <c r="FSS314" s="278"/>
      <c r="FST314" s="266"/>
      <c r="FSU314" s="279"/>
      <c r="FSV314" s="211"/>
      <c r="FSW314" s="211"/>
      <c r="FSX314" s="286"/>
      <c r="FSY314" s="286"/>
      <c r="FSZ314" s="280"/>
      <c r="FTA314" s="281"/>
      <c r="FTB314" s="282"/>
      <c r="FTC314" s="242"/>
      <c r="FTD314" s="222"/>
      <c r="FTF314" s="118"/>
      <c r="FTG314" s="8"/>
      <c r="FTH314" s="281"/>
      <c r="FTI314" s="78"/>
      <c r="FTJ314" s="151"/>
      <c r="FTK314" s="278"/>
      <c r="FTL314" s="266"/>
      <c r="FTM314" s="279"/>
      <c r="FTN314" s="211"/>
      <c r="FTO314" s="211"/>
      <c r="FTP314" s="286"/>
      <c r="FTQ314" s="286"/>
      <c r="FTR314" s="280"/>
      <c r="FTS314" s="281"/>
      <c r="FTT314" s="282"/>
      <c r="FTU314" s="242"/>
      <c r="FTV314" s="222"/>
      <c r="FTX314" s="118"/>
      <c r="FTY314" s="8"/>
      <c r="FTZ314" s="281"/>
      <c r="FUA314" s="78"/>
      <c r="FUB314" s="151"/>
      <c r="FUC314" s="278"/>
      <c r="FUD314" s="266"/>
      <c r="FUE314" s="279"/>
      <c r="FUF314" s="211"/>
      <c r="FUG314" s="211"/>
      <c r="FUH314" s="286"/>
      <c r="FUI314" s="286"/>
      <c r="FUJ314" s="280"/>
      <c r="FUK314" s="281"/>
      <c r="FUL314" s="282"/>
      <c r="FUM314" s="242"/>
      <c r="FUN314" s="222"/>
      <c r="FUP314" s="118"/>
      <c r="FUQ314" s="8"/>
      <c r="FUR314" s="281"/>
      <c r="FUS314" s="78"/>
      <c r="FUT314" s="151"/>
      <c r="FUU314" s="278"/>
      <c r="FUV314" s="266"/>
      <c r="FUW314" s="279"/>
      <c r="FUX314" s="211"/>
      <c r="FUY314" s="211"/>
      <c r="FUZ314" s="286"/>
      <c r="FVA314" s="286"/>
      <c r="FVB314" s="280"/>
      <c r="FVC314" s="281"/>
      <c r="FVD314" s="282"/>
      <c r="FVE314" s="242"/>
      <c r="FVF314" s="222"/>
      <c r="FVH314" s="118"/>
      <c r="FVI314" s="8"/>
      <c r="FVJ314" s="281"/>
      <c r="FVK314" s="78"/>
      <c r="FVL314" s="151"/>
      <c r="FVM314" s="278"/>
      <c r="FVN314" s="266"/>
      <c r="FVO314" s="279"/>
      <c r="FVP314" s="211"/>
      <c r="FVQ314" s="211"/>
      <c r="FVR314" s="286"/>
      <c r="FVS314" s="286"/>
      <c r="FVT314" s="280"/>
      <c r="FVU314" s="281"/>
      <c r="FVV314" s="282"/>
      <c r="FVW314" s="242"/>
      <c r="FVX314" s="222"/>
      <c r="FVZ314" s="118"/>
      <c r="FWA314" s="8"/>
      <c r="FWB314" s="281"/>
      <c r="FWC314" s="78"/>
      <c r="FWD314" s="151"/>
      <c r="FWE314" s="278"/>
      <c r="FWF314" s="266"/>
      <c r="FWG314" s="279"/>
      <c r="FWH314" s="211"/>
      <c r="FWI314" s="211"/>
      <c r="FWJ314" s="286"/>
      <c r="FWK314" s="286"/>
      <c r="FWL314" s="280"/>
      <c r="FWM314" s="281"/>
      <c r="FWN314" s="282"/>
      <c r="FWO314" s="242"/>
      <c r="FWP314" s="222"/>
      <c r="FWR314" s="118"/>
      <c r="FWS314" s="8"/>
      <c r="FWT314" s="281"/>
      <c r="FWU314" s="78"/>
      <c r="FWV314" s="151"/>
      <c r="FWW314" s="278"/>
      <c r="FWX314" s="266"/>
      <c r="FWY314" s="279"/>
      <c r="FWZ314" s="211"/>
      <c r="FXA314" s="211"/>
      <c r="FXB314" s="286"/>
      <c r="FXC314" s="286"/>
      <c r="FXD314" s="280"/>
      <c r="FXE314" s="281"/>
      <c r="FXF314" s="282"/>
      <c r="FXG314" s="242"/>
      <c r="FXH314" s="222"/>
      <c r="FXJ314" s="118"/>
      <c r="FXK314" s="8"/>
      <c r="FXL314" s="281"/>
      <c r="FXM314" s="78"/>
      <c r="FXN314" s="151"/>
      <c r="FXO314" s="278"/>
      <c r="FXP314" s="266"/>
      <c r="FXQ314" s="279"/>
      <c r="FXR314" s="211"/>
      <c r="FXS314" s="211"/>
      <c r="FXT314" s="286"/>
      <c r="FXU314" s="286"/>
      <c r="FXV314" s="280"/>
      <c r="FXW314" s="281"/>
      <c r="FXX314" s="282"/>
      <c r="FXY314" s="242"/>
      <c r="FXZ314" s="222"/>
      <c r="FYB314" s="118"/>
      <c r="FYC314" s="8"/>
      <c r="FYD314" s="281"/>
      <c r="FYE314" s="78"/>
      <c r="FYF314" s="151"/>
      <c r="FYG314" s="278"/>
      <c r="FYH314" s="266"/>
      <c r="FYI314" s="279"/>
      <c r="FYJ314" s="211"/>
      <c r="FYK314" s="211"/>
      <c r="FYL314" s="286"/>
      <c r="FYM314" s="286"/>
      <c r="FYN314" s="280"/>
      <c r="FYO314" s="281"/>
      <c r="FYP314" s="282"/>
      <c r="FYQ314" s="242"/>
      <c r="FYR314" s="222"/>
      <c r="FYT314" s="118"/>
      <c r="FYU314" s="8"/>
      <c r="FYV314" s="281"/>
      <c r="FYW314" s="78"/>
      <c r="FYX314" s="151"/>
      <c r="FYY314" s="278"/>
      <c r="FYZ314" s="266"/>
      <c r="FZA314" s="279"/>
      <c r="FZB314" s="211"/>
      <c r="FZC314" s="211"/>
      <c r="FZD314" s="286"/>
      <c r="FZE314" s="286"/>
      <c r="FZF314" s="280"/>
      <c r="FZG314" s="281"/>
      <c r="FZH314" s="282"/>
      <c r="FZI314" s="242"/>
      <c r="FZJ314" s="222"/>
      <c r="FZL314" s="118"/>
      <c r="FZM314" s="8"/>
      <c r="FZN314" s="281"/>
      <c r="FZO314" s="78"/>
      <c r="FZP314" s="151"/>
      <c r="FZQ314" s="278"/>
      <c r="FZR314" s="266"/>
      <c r="FZS314" s="279"/>
      <c r="FZT314" s="211"/>
      <c r="FZU314" s="211"/>
      <c r="FZV314" s="286"/>
      <c r="FZW314" s="286"/>
      <c r="FZX314" s="280"/>
      <c r="FZY314" s="281"/>
      <c r="FZZ314" s="282"/>
      <c r="GAA314" s="242"/>
      <c r="GAB314" s="222"/>
      <c r="GAD314" s="118"/>
      <c r="GAE314" s="8"/>
      <c r="GAF314" s="281"/>
      <c r="GAG314" s="78"/>
      <c r="GAH314" s="151"/>
      <c r="GAI314" s="278"/>
      <c r="GAJ314" s="266"/>
      <c r="GAK314" s="279"/>
      <c r="GAL314" s="211"/>
      <c r="GAM314" s="211"/>
      <c r="GAN314" s="286"/>
      <c r="GAO314" s="286"/>
      <c r="GAP314" s="280"/>
      <c r="GAQ314" s="281"/>
      <c r="GAR314" s="282"/>
      <c r="GAS314" s="242"/>
      <c r="GAT314" s="222"/>
      <c r="GAV314" s="118"/>
      <c r="GAW314" s="8"/>
      <c r="GAX314" s="281"/>
      <c r="GAY314" s="78"/>
      <c r="GAZ314" s="151"/>
      <c r="GBA314" s="278"/>
      <c r="GBB314" s="266"/>
      <c r="GBC314" s="279"/>
      <c r="GBD314" s="211"/>
      <c r="GBE314" s="211"/>
      <c r="GBF314" s="286"/>
      <c r="GBG314" s="286"/>
      <c r="GBH314" s="280"/>
      <c r="GBI314" s="281"/>
      <c r="GBJ314" s="282"/>
      <c r="GBK314" s="242"/>
      <c r="GBL314" s="222"/>
      <c r="GBN314" s="118"/>
      <c r="GBO314" s="8"/>
      <c r="GBP314" s="281"/>
      <c r="GBQ314" s="78"/>
      <c r="GBR314" s="151"/>
      <c r="GBS314" s="278"/>
      <c r="GBT314" s="266"/>
      <c r="GBU314" s="279"/>
      <c r="GBV314" s="211"/>
      <c r="GBW314" s="211"/>
      <c r="GBX314" s="286"/>
      <c r="GBY314" s="286"/>
      <c r="GBZ314" s="280"/>
      <c r="GCA314" s="281"/>
      <c r="GCB314" s="282"/>
      <c r="GCC314" s="242"/>
      <c r="GCD314" s="222"/>
      <c r="GCF314" s="118"/>
      <c r="GCG314" s="8"/>
      <c r="GCH314" s="281"/>
      <c r="GCI314" s="78"/>
      <c r="GCJ314" s="151"/>
      <c r="GCK314" s="278"/>
      <c r="GCL314" s="266"/>
      <c r="GCM314" s="279"/>
      <c r="GCN314" s="211"/>
      <c r="GCO314" s="211"/>
      <c r="GCP314" s="286"/>
      <c r="GCQ314" s="286"/>
      <c r="GCR314" s="280"/>
      <c r="GCS314" s="281"/>
      <c r="GCT314" s="282"/>
      <c r="GCU314" s="242"/>
      <c r="GCV314" s="222"/>
      <c r="GCX314" s="118"/>
      <c r="GCY314" s="8"/>
      <c r="GCZ314" s="281"/>
      <c r="GDA314" s="78"/>
      <c r="GDB314" s="151"/>
      <c r="GDC314" s="278"/>
      <c r="GDD314" s="266"/>
      <c r="GDE314" s="279"/>
      <c r="GDF314" s="211"/>
      <c r="GDG314" s="211"/>
      <c r="GDH314" s="286"/>
      <c r="GDI314" s="286"/>
      <c r="GDJ314" s="280"/>
      <c r="GDK314" s="281"/>
      <c r="GDL314" s="282"/>
      <c r="GDM314" s="242"/>
      <c r="GDN314" s="222"/>
      <c r="GDP314" s="118"/>
      <c r="GDQ314" s="8"/>
      <c r="GDR314" s="281"/>
      <c r="GDS314" s="78"/>
      <c r="GDT314" s="151"/>
      <c r="GDU314" s="278"/>
      <c r="GDV314" s="266"/>
      <c r="GDW314" s="279"/>
      <c r="GDX314" s="211"/>
      <c r="GDY314" s="211"/>
      <c r="GDZ314" s="286"/>
      <c r="GEA314" s="286"/>
      <c r="GEB314" s="280"/>
      <c r="GEC314" s="281"/>
      <c r="GED314" s="282"/>
      <c r="GEE314" s="242"/>
      <c r="GEF314" s="222"/>
      <c r="GEH314" s="118"/>
      <c r="GEI314" s="8"/>
      <c r="GEJ314" s="281"/>
      <c r="GEK314" s="78"/>
      <c r="GEL314" s="151"/>
      <c r="GEM314" s="278"/>
      <c r="GEN314" s="266"/>
      <c r="GEO314" s="279"/>
      <c r="GEP314" s="211"/>
      <c r="GEQ314" s="211"/>
      <c r="GER314" s="286"/>
      <c r="GES314" s="286"/>
      <c r="GET314" s="280"/>
      <c r="GEU314" s="281"/>
      <c r="GEV314" s="282"/>
      <c r="GEW314" s="242"/>
      <c r="GEX314" s="222"/>
      <c r="GEZ314" s="118"/>
      <c r="GFA314" s="8"/>
      <c r="GFB314" s="281"/>
      <c r="GFC314" s="78"/>
      <c r="GFD314" s="151"/>
      <c r="GFE314" s="278"/>
      <c r="GFF314" s="266"/>
      <c r="GFG314" s="279"/>
      <c r="GFH314" s="211"/>
      <c r="GFI314" s="211"/>
      <c r="GFJ314" s="286"/>
      <c r="GFK314" s="286"/>
      <c r="GFL314" s="280"/>
      <c r="GFM314" s="281"/>
      <c r="GFN314" s="282"/>
      <c r="GFO314" s="242"/>
      <c r="GFP314" s="222"/>
      <c r="GFR314" s="118"/>
      <c r="GFS314" s="8"/>
      <c r="GFT314" s="281"/>
      <c r="GFU314" s="78"/>
      <c r="GFV314" s="151"/>
      <c r="GFW314" s="278"/>
      <c r="GFX314" s="266"/>
      <c r="GFY314" s="279"/>
      <c r="GFZ314" s="211"/>
      <c r="GGA314" s="211"/>
      <c r="GGB314" s="286"/>
      <c r="GGC314" s="286"/>
      <c r="GGD314" s="280"/>
      <c r="GGE314" s="281"/>
      <c r="GGF314" s="282"/>
      <c r="GGG314" s="242"/>
      <c r="GGH314" s="222"/>
      <c r="GGJ314" s="118"/>
      <c r="GGK314" s="8"/>
      <c r="GGL314" s="281"/>
      <c r="GGM314" s="78"/>
      <c r="GGN314" s="151"/>
      <c r="GGO314" s="278"/>
      <c r="GGP314" s="266"/>
      <c r="GGQ314" s="279"/>
      <c r="GGR314" s="211"/>
      <c r="GGS314" s="211"/>
      <c r="GGT314" s="286"/>
      <c r="GGU314" s="286"/>
      <c r="GGV314" s="280"/>
      <c r="GGW314" s="281"/>
      <c r="GGX314" s="282"/>
      <c r="GGY314" s="242"/>
      <c r="GGZ314" s="222"/>
      <c r="GHB314" s="118"/>
      <c r="GHC314" s="8"/>
      <c r="GHD314" s="281"/>
      <c r="GHE314" s="78"/>
      <c r="GHF314" s="151"/>
      <c r="GHG314" s="278"/>
      <c r="GHH314" s="266"/>
      <c r="GHI314" s="279"/>
      <c r="GHJ314" s="211"/>
      <c r="GHK314" s="211"/>
      <c r="GHL314" s="286"/>
      <c r="GHM314" s="286"/>
      <c r="GHN314" s="280"/>
      <c r="GHO314" s="281"/>
      <c r="GHP314" s="282"/>
      <c r="GHQ314" s="242"/>
      <c r="GHR314" s="222"/>
      <c r="GHT314" s="118"/>
      <c r="GHU314" s="8"/>
      <c r="GHV314" s="281"/>
      <c r="GHW314" s="78"/>
      <c r="GHX314" s="151"/>
      <c r="GHY314" s="278"/>
      <c r="GHZ314" s="266"/>
      <c r="GIA314" s="279"/>
      <c r="GIB314" s="211"/>
      <c r="GIC314" s="211"/>
      <c r="GID314" s="286"/>
      <c r="GIE314" s="286"/>
      <c r="GIF314" s="280"/>
      <c r="GIG314" s="281"/>
      <c r="GIH314" s="282"/>
      <c r="GII314" s="242"/>
      <c r="GIJ314" s="222"/>
      <c r="GIL314" s="118"/>
      <c r="GIM314" s="8"/>
      <c r="GIN314" s="281"/>
      <c r="GIO314" s="78"/>
      <c r="GIP314" s="151"/>
      <c r="GIQ314" s="278"/>
      <c r="GIR314" s="266"/>
      <c r="GIS314" s="279"/>
      <c r="GIT314" s="211"/>
      <c r="GIU314" s="211"/>
      <c r="GIV314" s="286"/>
      <c r="GIW314" s="286"/>
      <c r="GIX314" s="280"/>
      <c r="GIY314" s="281"/>
      <c r="GIZ314" s="282"/>
      <c r="GJA314" s="242"/>
      <c r="GJB314" s="222"/>
      <c r="GJD314" s="118"/>
      <c r="GJE314" s="8"/>
      <c r="GJF314" s="281"/>
      <c r="GJG314" s="78"/>
      <c r="GJH314" s="151"/>
      <c r="GJI314" s="278"/>
      <c r="GJJ314" s="266"/>
      <c r="GJK314" s="279"/>
      <c r="GJL314" s="211"/>
      <c r="GJM314" s="211"/>
      <c r="GJN314" s="286"/>
      <c r="GJO314" s="286"/>
      <c r="GJP314" s="280"/>
      <c r="GJQ314" s="281"/>
      <c r="GJR314" s="282"/>
      <c r="GJS314" s="242"/>
      <c r="GJT314" s="222"/>
      <c r="GJV314" s="118"/>
      <c r="GJW314" s="8"/>
      <c r="GJX314" s="281"/>
      <c r="GJY314" s="78"/>
      <c r="GJZ314" s="151"/>
      <c r="GKA314" s="278"/>
      <c r="GKB314" s="266"/>
      <c r="GKC314" s="279"/>
      <c r="GKD314" s="211"/>
      <c r="GKE314" s="211"/>
      <c r="GKF314" s="286"/>
      <c r="GKG314" s="286"/>
      <c r="GKH314" s="280"/>
      <c r="GKI314" s="281"/>
      <c r="GKJ314" s="282"/>
      <c r="GKK314" s="242"/>
      <c r="GKL314" s="222"/>
      <c r="GKN314" s="118"/>
      <c r="GKO314" s="8"/>
      <c r="GKP314" s="281"/>
      <c r="GKQ314" s="78"/>
      <c r="GKR314" s="151"/>
      <c r="GKS314" s="278"/>
      <c r="GKT314" s="266"/>
      <c r="GKU314" s="279"/>
      <c r="GKV314" s="211"/>
      <c r="GKW314" s="211"/>
      <c r="GKX314" s="286"/>
      <c r="GKY314" s="286"/>
      <c r="GKZ314" s="280"/>
      <c r="GLA314" s="281"/>
      <c r="GLB314" s="282"/>
      <c r="GLC314" s="242"/>
      <c r="GLD314" s="222"/>
      <c r="GLF314" s="118"/>
      <c r="GLG314" s="8"/>
      <c r="GLH314" s="281"/>
      <c r="GLI314" s="78"/>
      <c r="GLJ314" s="151"/>
      <c r="GLK314" s="278"/>
      <c r="GLL314" s="266"/>
      <c r="GLM314" s="279"/>
      <c r="GLN314" s="211"/>
      <c r="GLO314" s="211"/>
      <c r="GLP314" s="286"/>
      <c r="GLQ314" s="286"/>
      <c r="GLR314" s="280"/>
      <c r="GLS314" s="281"/>
      <c r="GLT314" s="282"/>
      <c r="GLU314" s="242"/>
      <c r="GLV314" s="222"/>
      <c r="GLX314" s="118"/>
      <c r="GLY314" s="8"/>
      <c r="GLZ314" s="281"/>
      <c r="GMA314" s="78"/>
      <c r="GMB314" s="151"/>
      <c r="GMC314" s="278"/>
      <c r="GMD314" s="266"/>
      <c r="GME314" s="279"/>
      <c r="GMF314" s="211"/>
      <c r="GMG314" s="211"/>
      <c r="GMH314" s="286"/>
      <c r="GMI314" s="286"/>
      <c r="GMJ314" s="280"/>
      <c r="GMK314" s="281"/>
      <c r="GML314" s="282"/>
      <c r="GMM314" s="242"/>
      <c r="GMN314" s="222"/>
      <c r="GMP314" s="118"/>
      <c r="GMQ314" s="8"/>
      <c r="GMR314" s="281"/>
      <c r="GMS314" s="78"/>
      <c r="GMT314" s="151"/>
      <c r="GMU314" s="278"/>
      <c r="GMV314" s="266"/>
      <c r="GMW314" s="279"/>
      <c r="GMX314" s="211"/>
      <c r="GMY314" s="211"/>
      <c r="GMZ314" s="286"/>
      <c r="GNA314" s="286"/>
      <c r="GNB314" s="280"/>
      <c r="GNC314" s="281"/>
      <c r="GND314" s="282"/>
      <c r="GNE314" s="242"/>
      <c r="GNF314" s="222"/>
      <c r="GNH314" s="118"/>
      <c r="GNI314" s="8"/>
      <c r="GNJ314" s="281"/>
      <c r="GNK314" s="78"/>
      <c r="GNL314" s="151"/>
      <c r="GNM314" s="278"/>
      <c r="GNN314" s="266"/>
      <c r="GNO314" s="279"/>
      <c r="GNP314" s="211"/>
      <c r="GNQ314" s="211"/>
      <c r="GNR314" s="286"/>
      <c r="GNS314" s="286"/>
      <c r="GNT314" s="280"/>
      <c r="GNU314" s="281"/>
      <c r="GNV314" s="282"/>
      <c r="GNW314" s="242"/>
      <c r="GNX314" s="222"/>
      <c r="GNZ314" s="118"/>
      <c r="GOA314" s="8"/>
      <c r="GOB314" s="281"/>
      <c r="GOC314" s="78"/>
      <c r="GOD314" s="151"/>
      <c r="GOE314" s="278"/>
      <c r="GOF314" s="266"/>
      <c r="GOG314" s="279"/>
      <c r="GOH314" s="211"/>
      <c r="GOI314" s="211"/>
      <c r="GOJ314" s="286"/>
      <c r="GOK314" s="286"/>
      <c r="GOL314" s="280"/>
      <c r="GOM314" s="281"/>
      <c r="GON314" s="282"/>
      <c r="GOO314" s="242"/>
      <c r="GOP314" s="222"/>
      <c r="GOR314" s="118"/>
      <c r="GOS314" s="8"/>
      <c r="GOT314" s="281"/>
      <c r="GOU314" s="78"/>
      <c r="GOV314" s="151"/>
      <c r="GOW314" s="278"/>
      <c r="GOX314" s="266"/>
      <c r="GOY314" s="279"/>
      <c r="GOZ314" s="211"/>
      <c r="GPA314" s="211"/>
      <c r="GPB314" s="286"/>
      <c r="GPC314" s="286"/>
      <c r="GPD314" s="280"/>
      <c r="GPE314" s="281"/>
      <c r="GPF314" s="282"/>
      <c r="GPG314" s="242"/>
      <c r="GPH314" s="222"/>
      <c r="GPJ314" s="118"/>
      <c r="GPK314" s="8"/>
      <c r="GPL314" s="281"/>
      <c r="GPM314" s="78"/>
      <c r="GPN314" s="151"/>
      <c r="GPO314" s="278"/>
      <c r="GPP314" s="266"/>
      <c r="GPQ314" s="279"/>
      <c r="GPR314" s="211"/>
      <c r="GPS314" s="211"/>
      <c r="GPT314" s="286"/>
      <c r="GPU314" s="286"/>
      <c r="GPV314" s="280"/>
      <c r="GPW314" s="281"/>
      <c r="GPX314" s="282"/>
      <c r="GPY314" s="242"/>
      <c r="GPZ314" s="222"/>
      <c r="GQB314" s="118"/>
      <c r="GQC314" s="8"/>
      <c r="GQD314" s="281"/>
      <c r="GQE314" s="78"/>
      <c r="GQF314" s="151"/>
      <c r="GQG314" s="278"/>
      <c r="GQH314" s="266"/>
      <c r="GQI314" s="279"/>
      <c r="GQJ314" s="211"/>
      <c r="GQK314" s="211"/>
      <c r="GQL314" s="286"/>
      <c r="GQM314" s="286"/>
      <c r="GQN314" s="280"/>
      <c r="GQO314" s="281"/>
      <c r="GQP314" s="282"/>
      <c r="GQQ314" s="242"/>
      <c r="GQR314" s="222"/>
      <c r="GQT314" s="118"/>
      <c r="GQU314" s="8"/>
      <c r="GQV314" s="281"/>
      <c r="GQW314" s="78"/>
      <c r="GQX314" s="151"/>
      <c r="GQY314" s="278"/>
      <c r="GQZ314" s="266"/>
      <c r="GRA314" s="279"/>
      <c r="GRB314" s="211"/>
      <c r="GRC314" s="211"/>
      <c r="GRD314" s="286"/>
      <c r="GRE314" s="286"/>
      <c r="GRF314" s="280"/>
      <c r="GRG314" s="281"/>
      <c r="GRH314" s="282"/>
      <c r="GRI314" s="242"/>
      <c r="GRJ314" s="222"/>
      <c r="GRL314" s="118"/>
      <c r="GRM314" s="8"/>
      <c r="GRN314" s="281"/>
      <c r="GRO314" s="78"/>
      <c r="GRP314" s="151"/>
      <c r="GRQ314" s="278"/>
      <c r="GRR314" s="266"/>
      <c r="GRS314" s="279"/>
      <c r="GRT314" s="211"/>
      <c r="GRU314" s="211"/>
      <c r="GRV314" s="286"/>
      <c r="GRW314" s="286"/>
      <c r="GRX314" s="280"/>
      <c r="GRY314" s="281"/>
      <c r="GRZ314" s="282"/>
      <c r="GSA314" s="242"/>
      <c r="GSB314" s="222"/>
      <c r="GSD314" s="118"/>
      <c r="GSE314" s="8"/>
      <c r="GSF314" s="281"/>
      <c r="GSG314" s="78"/>
      <c r="GSH314" s="151"/>
      <c r="GSI314" s="278"/>
      <c r="GSJ314" s="266"/>
      <c r="GSK314" s="279"/>
      <c r="GSL314" s="211"/>
      <c r="GSM314" s="211"/>
      <c r="GSN314" s="286"/>
      <c r="GSO314" s="286"/>
      <c r="GSP314" s="280"/>
      <c r="GSQ314" s="281"/>
      <c r="GSR314" s="282"/>
      <c r="GSS314" s="242"/>
      <c r="GST314" s="222"/>
      <c r="GSV314" s="118"/>
      <c r="GSW314" s="8"/>
      <c r="GSX314" s="281"/>
      <c r="GSY314" s="78"/>
      <c r="GSZ314" s="151"/>
      <c r="GTA314" s="278"/>
      <c r="GTB314" s="266"/>
      <c r="GTC314" s="279"/>
      <c r="GTD314" s="211"/>
      <c r="GTE314" s="211"/>
      <c r="GTF314" s="286"/>
      <c r="GTG314" s="286"/>
      <c r="GTH314" s="280"/>
      <c r="GTI314" s="281"/>
      <c r="GTJ314" s="282"/>
      <c r="GTK314" s="242"/>
      <c r="GTL314" s="222"/>
      <c r="GTN314" s="118"/>
      <c r="GTO314" s="8"/>
      <c r="GTP314" s="281"/>
      <c r="GTQ314" s="78"/>
      <c r="GTR314" s="151"/>
      <c r="GTS314" s="278"/>
      <c r="GTT314" s="266"/>
      <c r="GTU314" s="279"/>
      <c r="GTV314" s="211"/>
      <c r="GTW314" s="211"/>
      <c r="GTX314" s="286"/>
      <c r="GTY314" s="286"/>
      <c r="GTZ314" s="280"/>
      <c r="GUA314" s="281"/>
      <c r="GUB314" s="282"/>
      <c r="GUC314" s="242"/>
      <c r="GUD314" s="222"/>
      <c r="GUF314" s="118"/>
      <c r="GUG314" s="8"/>
      <c r="GUH314" s="281"/>
      <c r="GUI314" s="78"/>
      <c r="GUJ314" s="151"/>
      <c r="GUK314" s="278"/>
      <c r="GUL314" s="266"/>
      <c r="GUM314" s="279"/>
      <c r="GUN314" s="211"/>
      <c r="GUO314" s="211"/>
      <c r="GUP314" s="286"/>
      <c r="GUQ314" s="286"/>
      <c r="GUR314" s="280"/>
      <c r="GUS314" s="281"/>
      <c r="GUT314" s="282"/>
      <c r="GUU314" s="242"/>
      <c r="GUV314" s="222"/>
      <c r="GUX314" s="118"/>
      <c r="GUY314" s="8"/>
      <c r="GUZ314" s="281"/>
      <c r="GVA314" s="78"/>
      <c r="GVB314" s="151"/>
      <c r="GVC314" s="278"/>
      <c r="GVD314" s="266"/>
      <c r="GVE314" s="279"/>
      <c r="GVF314" s="211"/>
      <c r="GVG314" s="211"/>
      <c r="GVH314" s="286"/>
      <c r="GVI314" s="286"/>
      <c r="GVJ314" s="280"/>
      <c r="GVK314" s="281"/>
      <c r="GVL314" s="282"/>
      <c r="GVM314" s="242"/>
      <c r="GVN314" s="222"/>
      <c r="GVP314" s="118"/>
      <c r="GVQ314" s="8"/>
      <c r="GVR314" s="281"/>
      <c r="GVS314" s="78"/>
      <c r="GVT314" s="151"/>
      <c r="GVU314" s="278"/>
      <c r="GVV314" s="266"/>
      <c r="GVW314" s="279"/>
      <c r="GVX314" s="211"/>
      <c r="GVY314" s="211"/>
      <c r="GVZ314" s="286"/>
      <c r="GWA314" s="286"/>
      <c r="GWB314" s="280"/>
      <c r="GWC314" s="281"/>
      <c r="GWD314" s="282"/>
      <c r="GWE314" s="242"/>
      <c r="GWF314" s="222"/>
      <c r="GWH314" s="118"/>
      <c r="GWI314" s="8"/>
      <c r="GWJ314" s="281"/>
      <c r="GWK314" s="78"/>
      <c r="GWL314" s="151"/>
      <c r="GWM314" s="278"/>
      <c r="GWN314" s="266"/>
      <c r="GWO314" s="279"/>
      <c r="GWP314" s="211"/>
      <c r="GWQ314" s="211"/>
      <c r="GWR314" s="286"/>
      <c r="GWS314" s="286"/>
      <c r="GWT314" s="280"/>
      <c r="GWU314" s="281"/>
      <c r="GWV314" s="282"/>
      <c r="GWW314" s="242"/>
      <c r="GWX314" s="222"/>
      <c r="GWZ314" s="118"/>
      <c r="GXA314" s="8"/>
      <c r="GXB314" s="281"/>
      <c r="GXC314" s="78"/>
      <c r="GXD314" s="151"/>
      <c r="GXE314" s="278"/>
      <c r="GXF314" s="266"/>
      <c r="GXG314" s="279"/>
      <c r="GXH314" s="211"/>
      <c r="GXI314" s="211"/>
      <c r="GXJ314" s="286"/>
      <c r="GXK314" s="286"/>
      <c r="GXL314" s="280"/>
      <c r="GXM314" s="281"/>
      <c r="GXN314" s="282"/>
      <c r="GXO314" s="242"/>
      <c r="GXP314" s="222"/>
      <c r="GXR314" s="118"/>
      <c r="GXS314" s="8"/>
      <c r="GXT314" s="281"/>
      <c r="GXU314" s="78"/>
      <c r="GXV314" s="151"/>
      <c r="GXW314" s="278"/>
      <c r="GXX314" s="266"/>
      <c r="GXY314" s="279"/>
      <c r="GXZ314" s="211"/>
      <c r="GYA314" s="211"/>
      <c r="GYB314" s="286"/>
      <c r="GYC314" s="286"/>
      <c r="GYD314" s="280"/>
      <c r="GYE314" s="281"/>
      <c r="GYF314" s="282"/>
      <c r="GYG314" s="242"/>
      <c r="GYH314" s="222"/>
      <c r="GYJ314" s="118"/>
      <c r="GYK314" s="8"/>
      <c r="GYL314" s="281"/>
      <c r="GYM314" s="78"/>
      <c r="GYN314" s="151"/>
      <c r="GYO314" s="278"/>
      <c r="GYP314" s="266"/>
      <c r="GYQ314" s="279"/>
      <c r="GYR314" s="211"/>
      <c r="GYS314" s="211"/>
      <c r="GYT314" s="286"/>
      <c r="GYU314" s="286"/>
      <c r="GYV314" s="280"/>
      <c r="GYW314" s="281"/>
      <c r="GYX314" s="282"/>
      <c r="GYY314" s="242"/>
      <c r="GYZ314" s="222"/>
      <c r="GZB314" s="118"/>
      <c r="GZC314" s="8"/>
      <c r="GZD314" s="281"/>
      <c r="GZE314" s="78"/>
      <c r="GZF314" s="151"/>
      <c r="GZG314" s="278"/>
      <c r="GZH314" s="266"/>
      <c r="GZI314" s="279"/>
      <c r="GZJ314" s="211"/>
      <c r="GZK314" s="211"/>
      <c r="GZL314" s="286"/>
      <c r="GZM314" s="286"/>
      <c r="GZN314" s="280"/>
      <c r="GZO314" s="281"/>
      <c r="GZP314" s="282"/>
      <c r="GZQ314" s="242"/>
      <c r="GZR314" s="222"/>
      <c r="GZT314" s="118"/>
      <c r="GZU314" s="8"/>
      <c r="GZV314" s="281"/>
      <c r="GZW314" s="78"/>
      <c r="GZX314" s="151"/>
      <c r="GZY314" s="278"/>
      <c r="GZZ314" s="266"/>
      <c r="HAA314" s="279"/>
      <c r="HAB314" s="211"/>
      <c r="HAC314" s="211"/>
      <c r="HAD314" s="286"/>
      <c r="HAE314" s="286"/>
      <c r="HAF314" s="280"/>
      <c r="HAG314" s="281"/>
      <c r="HAH314" s="282"/>
      <c r="HAI314" s="242"/>
      <c r="HAJ314" s="222"/>
      <c r="HAL314" s="118"/>
      <c r="HAM314" s="8"/>
      <c r="HAN314" s="281"/>
      <c r="HAO314" s="78"/>
      <c r="HAP314" s="151"/>
      <c r="HAQ314" s="278"/>
      <c r="HAR314" s="266"/>
      <c r="HAS314" s="279"/>
      <c r="HAT314" s="211"/>
      <c r="HAU314" s="211"/>
      <c r="HAV314" s="286"/>
      <c r="HAW314" s="286"/>
      <c r="HAX314" s="280"/>
      <c r="HAY314" s="281"/>
      <c r="HAZ314" s="282"/>
      <c r="HBA314" s="242"/>
      <c r="HBB314" s="222"/>
      <c r="HBD314" s="118"/>
      <c r="HBE314" s="8"/>
      <c r="HBF314" s="281"/>
      <c r="HBG314" s="78"/>
      <c r="HBH314" s="151"/>
      <c r="HBI314" s="278"/>
      <c r="HBJ314" s="266"/>
      <c r="HBK314" s="279"/>
      <c r="HBL314" s="211"/>
      <c r="HBM314" s="211"/>
      <c r="HBN314" s="286"/>
      <c r="HBO314" s="286"/>
      <c r="HBP314" s="280"/>
      <c r="HBQ314" s="281"/>
      <c r="HBR314" s="282"/>
      <c r="HBS314" s="242"/>
      <c r="HBT314" s="222"/>
      <c r="HBV314" s="118"/>
      <c r="HBW314" s="8"/>
      <c r="HBX314" s="281"/>
      <c r="HBY314" s="78"/>
      <c r="HBZ314" s="151"/>
      <c r="HCA314" s="278"/>
      <c r="HCB314" s="266"/>
      <c r="HCC314" s="279"/>
      <c r="HCD314" s="211"/>
      <c r="HCE314" s="211"/>
      <c r="HCF314" s="286"/>
      <c r="HCG314" s="286"/>
      <c r="HCH314" s="280"/>
      <c r="HCI314" s="281"/>
      <c r="HCJ314" s="282"/>
      <c r="HCK314" s="242"/>
      <c r="HCL314" s="222"/>
      <c r="HCN314" s="118"/>
      <c r="HCO314" s="8"/>
      <c r="HCP314" s="281"/>
      <c r="HCQ314" s="78"/>
      <c r="HCR314" s="151"/>
      <c r="HCS314" s="278"/>
      <c r="HCT314" s="266"/>
      <c r="HCU314" s="279"/>
      <c r="HCV314" s="211"/>
      <c r="HCW314" s="211"/>
      <c r="HCX314" s="286"/>
      <c r="HCY314" s="286"/>
      <c r="HCZ314" s="280"/>
      <c r="HDA314" s="281"/>
      <c r="HDB314" s="282"/>
      <c r="HDC314" s="242"/>
      <c r="HDD314" s="222"/>
      <c r="HDF314" s="118"/>
      <c r="HDG314" s="8"/>
      <c r="HDH314" s="281"/>
      <c r="HDI314" s="78"/>
      <c r="HDJ314" s="151"/>
      <c r="HDK314" s="278"/>
      <c r="HDL314" s="266"/>
      <c r="HDM314" s="279"/>
      <c r="HDN314" s="211"/>
      <c r="HDO314" s="211"/>
      <c r="HDP314" s="286"/>
      <c r="HDQ314" s="286"/>
      <c r="HDR314" s="280"/>
      <c r="HDS314" s="281"/>
      <c r="HDT314" s="282"/>
      <c r="HDU314" s="242"/>
      <c r="HDV314" s="222"/>
      <c r="HDX314" s="118"/>
      <c r="HDY314" s="8"/>
      <c r="HDZ314" s="281"/>
      <c r="HEA314" s="78"/>
      <c r="HEB314" s="151"/>
      <c r="HEC314" s="278"/>
      <c r="HED314" s="266"/>
      <c r="HEE314" s="279"/>
      <c r="HEF314" s="211"/>
      <c r="HEG314" s="211"/>
      <c r="HEH314" s="286"/>
      <c r="HEI314" s="286"/>
      <c r="HEJ314" s="280"/>
      <c r="HEK314" s="281"/>
      <c r="HEL314" s="282"/>
      <c r="HEM314" s="242"/>
      <c r="HEN314" s="222"/>
      <c r="HEP314" s="118"/>
      <c r="HEQ314" s="8"/>
      <c r="HER314" s="281"/>
      <c r="HES314" s="78"/>
      <c r="HET314" s="151"/>
      <c r="HEU314" s="278"/>
      <c r="HEV314" s="266"/>
      <c r="HEW314" s="279"/>
      <c r="HEX314" s="211"/>
      <c r="HEY314" s="211"/>
      <c r="HEZ314" s="286"/>
      <c r="HFA314" s="286"/>
      <c r="HFB314" s="280"/>
      <c r="HFC314" s="281"/>
      <c r="HFD314" s="282"/>
      <c r="HFE314" s="242"/>
      <c r="HFF314" s="222"/>
      <c r="HFH314" s="118"/>
      <c r="HFI314" s="8"/>
      <c r="HFJ314" s="281"/>
      <c r="HFK314" s="78"/>
      <c r="HFL314" s="151"/>
      <c r="HFM314" s="278"/>
      <c r="HFN314" s="266"/>
      <c r="HFO314" s="279"/>
      <c r="HFP314" s="211"/>
      <c r="HFQ314" s="211"/>
      <c r="HFR314" s="286"/>
      <c r="HFS314" s="286"/>
      <c r="HFT314" s="280"/>
      <c r="HFU314" s="281"/>
      <c r="HFV314" s="282"/>
      <c r="HFW314" s="242"/>
      <c r="HFX314" s="222"/>
      <c r="HFZ314" s="118"/>
      <c r="HGA314" s="8"/>
      <c r="HGB314" s="281"/>
      <c r="HGC314" s="78"/>
      <c r="HGD314" s="151"/>
      <c r="HGE314" s="278"/>
      <c r="HGF314" s="266"/>
      <c r="HGG314" s="279"/>
      <c r="HGH314" s="211"/>
      <c r="HGI314" s="211"/>
      <c r="HGJ314" s="286"/>
      <c r="HGK314" s="286"/>
      <c r="HGL314" s="280"/>
      <c r="HGM314" s="281"/>
      <c r="HGN314" s="282"/>
      <c r="HGO314" s="242"/>
      <c r="HGP314" s="222"/>
      <c r="HGR314" s="118"/>
      <c r="HGS314" s="8"/>
      <c r="HGT314" s="281"/>
      <c r="HGU314" s="78"/>
      <c r="HGV314" s="151"/>
      <c r="HGW314" s="278"/>
      <c r="HGX314" s="266"/>
      <c r="HGY314" s="279"/>
      <c r="HGZ314" s="211"/>
      <c r="HHA314" s="211"/>
      <c r="HHB314" s="286"/>
      <c r="HHC314" s="286"/>
      <c r="HHD314" s="280"/>
      <c r="HHE314" s="281"/>
      <c r="HHF314" s="282"/>
      <c r="HHG314" s="242"/>
      <c r="HHH314" s="222"/>
      <c r="HHJ314" s="118"/>
      <c r="HHK314" s="8"/>
      <c r="HHL314" s="281"/>
      <c r="HHM314" s="78"/>
      <c r="HHN314" s="151"/>
      <c r="HHO314" s="278"/>
      <c r="HHP314" s="266"/>
      <c r="HHQ314" s="279"/>
      <c r="HHR314" s="211"/>
      <c r="HHS314" s="211"/>
      <c r="HHT314" s="286"/>
      <c r="HHU314" s="286"/>
      <c r="HHV314" s="280"/>
      <c r="HHW314" s="281"/>
      <c r="HHX314" s="282"/>
      <c r="HHY314" s="242"/>
      <c r="HHZ314" s="222"/>
      <c r="HIB314" s="118"/>
      <c r="HIC314" s="8"/>
      <c r="HID314" s="281"/>
      <c r="HIE314" s="78"/>
      <c r="HIF314" s="151"/>
      <c r="HIG314" s="278"/>
      <c r="HIH314" s="266"/>
      <c r="HII314" s="279"/>
      <c r="HIJ314" s="211"/>
      <c r="HIK314" s="211"/>
      <c r="HIL314" s="286"/>
      <c r="HIM314" s="286"/>
      <c r="HIN314" s="280"/>
      <c r="HIO314" s="281"/>
      <c r="HIP314" s="282"/>
      <c r="HIQ314" s="242"/>
      <c r="HIR314" s="222"/>
      <c r="HIT314" s="118"/>
      <c r="HIU314" s="8"/>
      <c r="HIV314" s="281"/>
      <c r="HIW314" s="78"/>
      <c r="HIX314" s="151"/>
      <c r="HIY314" s="278"/>
      <c r="HIZ314" s="266"/>
      <c r="HJA314" s="279"/>
      <c r="HJB314" s="211"/>
      <c r="HJC314" s="211"/>
      <c r="HJD314" s="286"/>
      <c r="HJE314" s="286"/>
      <c r="HJF314" s="280"/>
      <c r="HJG314" s="281"/>
      <c r="HJH314" s="282"/>
      <c r="HJI314" s="242"/>
      <c r="HJJ314" s="222"/>
      <c r="HJL314" s="118"/>
      <c r="HJM314" s="8"/>
      <c r="HJN314" s="281"/>
      <c r="HJO314" s="78"/>
      <c r="HJP314" s="151"/>
      <c r="HJQ314" s="278"/>
      <c r="HJR314" s="266"/>
      <c r="HJS314" s="279"/>
      <c r="HJT314" s="211"/>
      <c r="HJU314" s="211"/>
      <c r="HJV314" s="286"/>
      <c r="HJW314" s="286"/>
      <c r="HJX314" s="280"/>
      <c r="HJY314" s="281"/>
      <c r="HJZ314" s="282"/>
      <c r="HKA314" s="242"/>
      <c r="HKB314" s="222"/>
      <c r="HKD314" s="118"/>
      <c r="HKE314" s="8"/>
      <c r="HKF314" s="281"/>
      <c r="HKG314" s="78"/>
      <c r="HKH314" s="151"/>
      <c r="HKI314" s="278"/>
      <c r="HKJ314" s="266"/>
      <c r="HKK314" s="279"/>
      <c r="HKL314" s="211"/>
      <c r="HKM314" s="211"/>
      <c r="HKN314" s="286"/>
      <c r="HKO314" s="286"/>
      <c r="HKP314" s="280"/>
      <c r="HKQ314" s="281"/>
      <c r="HKR314" s="282"/>
      <c r="HKS314" s="242"/>
      <c r="HKT314" s="222"/>
      <c r="HKV314" s="118"/>
      <c r="HKW314" s="8"/>
      <c r="HKX314" s="281"/>
      <c r="HKY314" s="78"/>
      <c r="HKZ314" s="151"/>
      <c r="HLA314" s="278"/>
      <c r="HLB314" s="266"/>
      <c r="HLC314" s="279"/>
      <c r="HLD314" s="211"/>
      <c r="HLE314" s="211"/>
      <c r="HLF314" s="286"/>
      <c r="HLG314" s="286"/>
      <c r="HLH314" s="280"/>
      <c r="HLI314" s="281"/>
      <c r="HLJ314" s="282"/>
      <c r="HLK314" s="242"/>
      <c r="HLL314" s="222"/>
      <c r="HLN314" s="118"/>
      <c r="HLO314" s="8"/>
      <c r="HLP314" s="281"/>
      <c r="HLQ314" s="78"/>
      <c r="HLR314" s="151"/>
      <c r="HLS314" s="278"/>
      <c r="HLT314" s="266"/>
      <c r="HLU314" s="279"/>
      <c r="HLV314" s="211"/>
      <c r="HLW314" s="211"/>
      <c r="HLX314" s="286"/>
      <c r="HLY314" s="286"/>
      <c r="HLZ314" s="280"/>
      <c r="HMA314" s="281"/>
      <c r="HMB314" s="282"/>
      <c r="HMC314" s="242"/>
      <c r="HMD314" s="222"/>
      <c r="HMF314" s="118"/>
      <c r="HMG314" s="8"/>
      <c r="HMH314" s="281"/>
      <c r="HMI314" s="78"/>
      <c r="HMJ314" s="151"/>
      <c r="HMK314" s="278"/>
      <c r="HML314" s="266"/>
      <c r="HMM314" s="279"/>
      <c r="HMN314" s="211"/>
      <c r="HMO314" s="211"/>
      <c r="HMP314" s="286"/>
      <c r="HMQ314" s="286"/>
      <c r="HMR314" s="280"/>
      <c r="HMS314" s="281"/>
      <c r="HMT314" s="282"/>
      <c r="HMU314" s="242"/>
      <c r="HMV314" s="222"/>
      <c r="HMX314" s="118"/>
      <c r="HMY314" s="8"/>
      <c r="HMZ314" s="281"/>
      <c r="HNA314" s="78"/>
      <c r="HNB314" s="151"/>
      <c r="HNC314" s="278"/>
      <c r="HND314" s="266"/>
      <c r="HNE314" s="279"/>
      <c r="HNF314" s="211"/>
      <c r="HNG314" s="211"/>
      <c r="HNH314" s="286"/>
      <c r="HNI314" s="286"/>
      <c r="HNJ314" s="280"/>
      <c r="HNK314" s="281"/>
      <c r="HNL314" s="282"/>
      <c r="HNM314" s="242"/>
      <c r="HNN314" s="222"/>
      <c r="HNP314" s="118"/>
      <c r="HNQ314" s="8"/>
      <c r="HNR314" s="281"/>
      <c r="HNS314" s="78"/>
      <c r="HNT314" s="151"/>
      <c r="HNU314" s="278"/>
      <c r="HNV314" s="266"/>
      <c r="HNW314" s="279"/>
      <c r="HNX314" s="211"/>
      <c r="HNY314" s="211"/>
      <c r="HNZ314" s="286"/>
      <c r="HOA314" s="286"/>
      <c r="HOB314" s="280"/>
      <c r="HOC314" s="281"/>
      <c r="HOD314" s="282"/>
      <c r="HOE314" s="242"/>
      <c r="HOF314" s="222"/>
      <c r="HOH314" s="118"/>
      <c r="HOI314" s="8"/>
      <c r="HOJ314" s="281"/>
      <c r="HOK314" s="78"/>
      <c r="HOL314" s="151"/>
      <c r="HOM314" s="278"/>
      <c r="HON314" s="266"/>
      <c r="HOO314" s="279"/>
      <c r="HOP314" s="211"/>
      <c r="HOQ314" s="211"/>
      <c r="HOR314" s="286"/>
      <c r="HOS314" s="286"/>
      <c r="HOT314" s="280"/>
      <c r="HOU314" s="281"/>
      <c r="HOV314" s="282"/>
      <c r="HOW314" s="242"/>
      <c r="HOX314" s="222"/>
      <c r="HOZ314" s="118"/>
      <c r="HPA314" s="8"/>
      <c r="HPB314" s="281"/>
      <c r="HPC314" s="78"/>
      <c r="HPD314" s="151"/>
      <c r="HPE314" s="278"/>
      <c r="HPF314" s="266"/>
      <c r="HPG314" s="279"/>
      <c r="HPH314" s="211"/>
      <c r="HPI314" s="211"/>
      <c r="HPJ314" s="286"/>
      <c r="HPK314" s="286"/>
      <c r="HPL314" s="280"/>
      <c r="HPM314" s="281"/>
      <c r="HPN314" s="282"/>
      <c r="HPO314" s="242"/>
      <c r="HPP314" s="222"/>
      <c r="HPR314" s="118"/>
      <c r="HPS314" s="8"/>
      <c r="HPT314" s="281"/>
      <c r="HPU314" s="78"/>
      <c r="HPV314" s="151"/>
      <c r="HPW314" s="278"/>
      <c r="HPX314" s="266"/>
      <c r="HPY314" s="279"/>
      <c r="HPZ314" s="211"/>
      <c r="HQA314" s="211"/>
      <c r="HQB314" s="286"/>
      <c r="HQC314" s="286"/>
      <c r="HQD314" s="280"/>
      <c r="HQE314" s="281"/>
      <c r="HQF314" s="282"/>
      <c r="HQG314" s="242"/>
      <c r="HQH314" s="222"/>
      <c r="HQJ314" s="118"/>
      <c r="HQK314" s="8"/>
      <c r="HQL314" s="281"/>
      <c r="HQM314" s="78"/>
      <c r="HQN314" s="151"/>
      <c r="HQO314" s="278"/>
      <c r="HQP314" s="266"/>
      <c r="HQQ314" s="279"/>
      <c r="HQR314" s="211"/>
      <c r="HQS314" s="211"/>
      <c r="HQT314" s="286"/>
      <c r="HQU314" s="286"/>
      <c r="HQV314" s="280"/>
      <c r="HQW314" s="281"/>
      <c r="HQX314" s="282"/>
      <c r="HQY314" s="242"/>
      <c r="HQZ314" s="222"/>
      <c r="HRB314" s="118"/>
      <c r="HRC314" s="8"/>
      <c r="HRD314" s="281"/>
      <c r="HRE314" s="78"/>
      <c r="HRF314" s="151"/>
      <c r="HRG314" s="278"/>
      <c r="HRH314" s="266"/>
      <c r="HRI314" s="279"/>
      <c r="HRJ314" s="211"/>
      <c r="HRK314" s="211"/>
      <c r="HRL314" s="286"/>
      <c r="HRM314" s="286"/>
      <c r="HRN314" s="280"/>
      <c r="HRO314" s="281"/>
      <c r="HRP314" s="282"/>
      <c r="HRQ314" s="242"/>
      <c r="HRR314" s="222"/>
      <c r="HRT314" s="118"/>
      <c r="HRU314" s="8"/>
      <c r="HRV314" s="281"/>
      <c r="HRW314" s="78"/>
      <c r="HRX314" s="151"/>
      <c r="HRY314" s="278"/>
      <c r="HRZ314" s="266"/>
      <c r="HSA314" s="279"/>
      <c r="HSB314" s="211"/>
      <c r="HSC314" s="211"/>
      <c r="HSD314" s="286"/>
      <c r="HSE314" s="286"/>
      <c r="HSF314" s="280"/>
      <c r="HSG314" s="281"/>
      <c r="HSH314" s="282"/>
      <c r="HSI314" s="242"/>
      <c r="HSJ314" s="222"/>
      <c r="HSL314" s="118"/>
      <c r="HSM314" s="8"/>
      <c r="HSN314" s="281"/>
      <c r="HSO314" s="78"/>
      <c r="HSP314" s="151"/>
      <c r="HSQ314" s="278"/>
      <c r="HSR314" s="266"/>
      <c r="HSS314" s="279"/>
      <c r="HST314" s="211"/>
      <c r="HSU314" s="211"/>
      <c r="HSV314" s="286"/>
      <c r="HSW314" s="286"/>
      <c r="HSX314" s="280"/>
      <c r="HSY314" s="281"/>
      <c r="HSZ314" s="282"/>
      <c r="HTA314" s="242"/>
      <c r="HTB314" s="222"/>
      <c r="HTD314" s="118"/>
      <c r="HTE314" s="8"/>
      <c r="HTF314" s="281"/>
      <c r="HTG314" s="78"/>
      <c r="HTH314" s="151"/>
      <c r="HTI314" s="278"/>
      <c r="HTJ314" s="266"/>
      <c r="HTK314" s="279"/>
      <c r="HTL314" s="211"/>
      <c r="HTM314" s="211"/>
      <c r="HTN314" s="286"/>
      <c r="HTO314" s="286"/>
      <c r="HTP314" s="280"/>
      <c r="HTQ314" s="281"/>
      <c r="HTR314" s="282"/>
      <c r="HTS314" s="242"/>
      <c r="HTT314" s="222"/>
      <c r="HTV314" s="118"/>
      <c r="HTW314" s="8"/>
      <c r="HTX314" s="281"/>
      <c r="HTY314" s="78"/>
      <c r="HTZ314" s="151"/>
      <c r="HUA314" s="278"/>
      <c r="HUB314" s="266"/>
      <c r="HUC314" s="279"/>
      <c r="HUD314" s="211"/>
      <c r="HUE314" s="211"/>
      <c r="HUF314" s="286"/>
      <c r="HUG314" s="286"/>
      <c r="HUH314" s="280"/>
      <c r="HUI314" s="281"/>
      <c r="HUJ314" s="282"/>
      <c r="HUK314" s="242"/>
      <c r="HUL314" s="222"/>
      <c r="HUN314" s="118"/>
      <c r="HUO314" s="8"/>
      <c r="HUP314" s="281"/>
      <c r="HUQ314" s="78"/>
      <c r="HUR314" s="151"/>
      <c r="HUS314" s="278"/>
      <c r="HUT314" s="266"/>
      <c r="HUU314" s="279"/>
      <c r="HUV314" s="211"/>
      <c r="HUW314" s="211"/>
      <c r="HUX314" s="286"/>
      <c r="HUY314" s="286"/>
      <c r="HUZ314" s="280"/>
      <c r="HVA314" s="281"/>
      <c r="HVB314" s="282"/>
      <c r="HVC314" s="242"/>
      <c r="HVD314" s="222"/>
      <c r="HVF314" s="118"/>
      <c r="HVG314" s="8"/>
      <c r="HVH314" s="281"/>
      <c r="HVI314" s="78"/>
      <c r="HVJ314" s="151"/>
      <c r="HVK314" s="278"/>
      <c r="HVL314" s="266"/>
      <c r="HVM314" s="279"/>
      <c r="HVN314" s="211"/>
      <c r="HVO314" s="211"/>
      <c r="HVP314" s="286"/>
      <c r="HVQ314" s="286"/>
      <c r="HVR314" s="280"/>
      <c r="HVS314" s="281"/>
      <c r="HVT314" s="282"/>
      <c r="HVU314" s="242"/>
      <c r="HVV314" s="222"/>
      <c r="HVX314" s="118"/>
      <c r="HVY314" s="8"/>
      <c r="HVZ314" s="281"/>
      <c r="HWA314" s="78"/>
      <c r="HWB314" s="151"/>
      <c r="HWC314" s="278"/>
      <c r="HWD314" s="266"/>
      <c r="HWE314" s="279"/>
      <c r="HWF314" s="211"/>
      <c r="HWG314" s="211"/>
      <c r="HWH314" s="286"/>
      <c r="HWI314" s="286"/>
      <c r="HWJ314" s="280"/>
      <c r="HWK314" s="281"/>
      <c r="HWL314" s="282"/>
      <c r="HWM314" s="242"/>
      <c r="HWN314" s="222"/>
      <c r="HWP314" s="118"/>
      <c r="HWQ314" s="8"/>
      <c r="HWR314" s="281"/>
      <c r="HWS314" s="78"/>
      <c r="HWT314" s="151"/>
      <c r="HWU314" s="278"/>
      <c r="HWV314" s="266"/>
      <c r="HWW314" s="279"/>
      <c r="HWX314" s="211"/>
      <c r="HWY314" s="211"/>
      <c r="HWZ314" s="286"/>
      <c r="HXA314" s="286"/>
      <c r="HXB314" s="280"/>
      <c r="HXC314" s="281"/>
      <c r="HXD314" s="282"/>
      <c r="HXE314" s="242"/>
      <c r="HXF314" s="222"/>
      <c r="HXH314" s="118"/>
      <c r="HXI314" s="8"/>
      <c r="HXJ314" s="281"/>
      <c r="HXK314" s="78"/>
      <c r="HXL314" s="151"/>
      <c r="HXM314" s="278"/>
      <c r="HXN314" s="266"/>
      <c r="HXO314" s="279"/>
      <c r="HXP314" s="211"/>
      <c r="HXQ314" s="211"/>
      <c r="HXR314" s="286"/>
      <c r="HXS314" s="286"/>
      <c r="HXT314" s="280"/>
      <c r="HXU314" s="281"/>
      <c r="HXV314" s="282"/>
      <c r="HXW314" s="242"/>
      <c r="HXX314" s="222"/>
      <c r="HXZ314" s="118"/>
      <c r="HYA314" s="8"/>
      <c r="HYB314" s="281"/>
      <c r="HYC314" s="78"/>
      <c r="HYD314" s="151"/>
      <c r="HYE314" s="278"/>
      <c r="HYF314" s="266"/>
      <c r="HYG314" s="279"/>
      <c r="HYH314" s="211"/>
      <c r="HYI314" s="211"/>
      <c r="HYJ314" s="286"/>
      <c r="HYK314" s="286"/>
      <c r="HYL314" s="280"/>
      <c r="HYM314" s="281"/>
      <c r="HYN314" s="282"/>
      <c r="HYO314" s="242"/>
      <c r="HYP314" s="222"/>
      <c r="HYR314" s="118"/>
      <c r="HYS314" s="8"/>
      <c r="HYT314" s="281"/>
      <c r="HYU314" s="78"/>
      <c r="HYV314" s="151"/>
      <c r="HYW314" s="278"/>
      <c r="HYX314" s="266"/>
      <c r="HYY314" s="279"/>
      <c r="HYZ314" s="211"/>
      <c r="HZA314" s="211"/>
      <c r="HZB314" s="286"/>
      <c r="HZC314" s="286"/>
      <c r="HZD314" s="280"/>
      <c r="HZE314" s="281"/>
      <c r="HZF314" s="282"/>
      <c r="HZG314" s="242"/>
      <c r="HZH314" s="222"/>
      <c r="HZJ314" s="118"/>
      <c r="HZK314" s="8"/>
      <c r="HZL314" s="281"/>
      <c r="HZM314" s="78"/>
      <c r="HZN314" s="151"/>
      <c r="HZO314" s="278"/>
      <c r="HZP314" s="266"/>
      <c r="HZQ314" s="279"/>
      <c r="HZR314" s="211"/>
      <c r="HZS314" s="211"/>
      <c r="HZT314" s="286"/>
      <c r="HZU314" s="286"/>
      <c r="HZV314" s="280"/>
      <c r="HZW314" s="281"/>
      <c r="HZX314" s="282"/>
      <c r="HZY314" s="242"/>
      <c r="HZZ314" s="222"/>
      <c r="IAB314" s="118"/>
      <c r="IAC314" s="8"/>
      <c r="IAD314" s="281"/>
      <c r="IAE314" s="78"/>
      <c r="IAF314" s="151"/>
      <c r="IAG314" s="278"/>
      <c r="IAH314" s="266"/>
      <c r="IAI314" s="279"/>
      <c r="IAJ314" s="211"/>
      <c r="IAK314" s="211"/>
      <c r="IAL314" s="286"/>
      <c r="IAM314" s="286"/>
      <c r="IAN314" s="280"/>
      <c r="IAO314" s="281"/>
      <c r="IAP314" s="282"/>
      <c r="IAQ314" s="242"/>
      <c r="IAR314" s="222"/>
      <c r="IAT314" s="118"/>
      <c r="IAU314" s="8"/>
      <c r="IAV314" s="281"/>
      <c r="IAW314" s="78"/>
      <c r="IAX314" s="151"/>
      <c r="IAY314" s="278"/>
      <c r="IAZ314" s="266"/>
      <c r="IBA314" s="279"/>
      <c r="IBB314" s="211"/>
      <c r="IBC314" s="211"/>
      <c r="IBD314" s="286"/>
      <c r="IBE314" s="286"/>
      <c r="IBF314" s="280"/>
      <c r="IBG314" s="281"/>
      <c r="IBH314" s="282"/>
      <c r="IBI314" s="242"/>
      <c r="IBJ314" s="222"/>
      <c r="IBL314" s="118"/>
      <c r="IBM314" s="8"/>
      <c r="IBN314" s="281"/>
      <c r="IBO314" s="78"/>
      <c r="IBP314" s="151"/>
      <c r="IBQ314" s="278"/>
      <c r="IBR314" s="266"/>
      <c r="IBS314" s="279"/>
      <c r="IBT314" s="211"/>
      <c r="IBU314" s="211"/>
      <c r="IBV314" s="286"/>
      <c r="IBW314" s="286"/>
      <c r="IBX314" s="280"/>
      <c r="IBY314" s="281"/>
      <c r="IBZ314" s="282"/>
      <c r="ICA314" s="242"/>
      <c r="ICB314" s="222"/>
      <c r="ICD314" s="118"/>
      <c r="ICE314" s="8"/>
      <c r="ICF314" s="281"/>
      <c r="ICG314" s="78"/>
      <c r="ICH314" s="151"/>
      <c r="ICI314" s="278"/>
      <c r="ICJ314" s="266"/>
      <c r="ICK314" s="279"/>
      <c r="ICL314" s="211"/>
      <c r="ICM314" s="211"/>
      <c r="ICN314" s="286"/>
      <c r="ICO314" s="286"/>
      <c r="ICP314" s="280"/>
      <c r="ICQ314" s="281"/>
      <c r="ICR314" s="282"/>
      <c r="ICS314" s="242"/>
      <c r="ICT314" s="222"/>
      <c r="ICV314" s="118"/>
      <c r="ICW314" s="8"/>
      <c r="ICX314" s="281"/>
      <c r="ICY314" s="78"/>
      <c r="ICZ314" s="151"/>
      <c r="IDA314" s="278"/>
      <c r="IDB314" s="266"/>
      <c r="IDC314" s="279"/>
      <c r="IDD314" s="211"/>
      <c r="IDE314" s="211"/>
      <c r="IDF314" s="286"/>
      <c r="IDG314" s="286"/>
      <c r="IDH314" s="280"/>
      <c r="IDI314" s="281"/>
      <c r="IDJ314" s="282"/>
      <c r="IDK314" s="242"/>
      <c r="IDL314" s="222"/>
      <c r="IDN314" s="118"/>
      <c r="IDO314" s="8"/>
      <c r="IDP314" s="281"/>
      <c r="IDQ314" s="78"/>
      <c r="IDR314" s="151"/>
      <c r="IDS314" s="278"/>
      <c r="IDT314" s="266"/>
      <c r="IDU314" s="279"/>
      <c r="IDV314" s="211"/>
      <c r="IDW314" s="211"/>
      <c r="IDX314" s="286"/>
      <c r="IDY314" s="286"/>
      <c r="IDZ314" s="280"/>
      <c r="IEA314" s="281"/>
      <c r="IEB314" s="282"/>
      <c r="IEC314" s="242"/>
      <c r="IED314" s="222"/>
      <c r="IEF314" s="118"/>
      <c r="IEG314" s="8"/>
      <c r="IEH314" s="281"/>
      <c r="IEI314" s="78"/>
      <c r="IEJ314" s="151"/>
      <c r="IEK314" s="278"/>
      <c r="IEL314" s="266"/>
      <c r="IEM314" s="279"/>
      <c r="IEN314" s="211"/>
      <c r="IEO314" s="211"/>
      <c r="IEP314" s="286"/>
      <c r="IEQ314" s="286"/>
      <c r="IER314" s="280"/>
      <c r="IES314" s="281"/>
      <c r="IET314" s="282"/>
      <c r="IEU314" s="242"/>
      <c r="IEV314" s="222"/>
      <c r="IEX314" s="118"/>
      <c r="IEY314" s="8"/>
      <c r="IEZ314" s="281"/>
      <c r="IFA314" s="78"/>
      <c r="IFB314" s="151"/>
      <c r="IFC314" s="278"/>
      <c r="IFD314" s="266"/>
      <c r="IFE314" s="279"/>
      <c r="IFF314" s="211"/>
      <c r="IFG314" s="211"/>
      <c r="IFH314" s="286"/>
      <c r="IFI314" s="286"/>
      <c r="IFJ314" s="280"/>
      <c r="IFK314" s="281"/>
      <c r="IFL314" s="282"/>
      <c r="IFM314" s="242"/>
      <c r="IFN314" s="222"/>
      <c r="IFP314" s="118"/>
      <c r="IFQ314" s="8"/>
      <c r="IFR314" s="281"/>
      <c r="IFS314" s="78"/>
      <c r="IFT314" s="151"/>
      <c r="IFU314" s="278"/>
      <c r="IFV314" s="266"/>
      <c r="IFW314" s="279"/>
      <c r="IFX314" s="211"/>
      <c r="IFY314" s="211"/>
      <c r="IFZ314" s="286"/>
      <c r="IGA314" s="286"/>
      <c r="IGB314" s="280"/>
      <c r="IGC314" s="281"/>
      <c r="IGD314" s="282"/>
      <c r="IGE314" s="242"/>
      <c r="IGF314" s="222"/>
      <c r="IGH314" s="118"/>
      <c r="IGI314" s="8"/>
      <c r="IGJ314" s="281"/>
      <c r="IGK314" s="78"/>
      <c r="IGL314" s="151"/>
      <c r="IGM314" s="278"/>
      <c r="IGN314" s="266"/>
      <c r="IGO314" s="279"/>
      <c r="IGP314" s="211"/>
      <c r="IGQ314" s="211"/>
      <c r="IGR314" s="286"/>
      <c r="IGS314" s="286"/>
      <c r="IGT314" s="280"/>
      <c r="IGU314" s="281"/>
      <c r="IGV314" s="282"/>
      <c r="IGW314" s="242"/>
      <c r="IGX314" s="222"/>
      <c r="IGZ314" s="118"/>
      <c r="IHA314" s="8"/>
      <c r="IHB314" s="281"/>
      <c r="IHC314" s="78"/>
      <c r="IHD314" s="151"/>
      <c r="IHE314" s="278"/>
      <c r="IHF314" s="266"/>
      <c r="IHG314" s="279"/>
      <c r="IHH314" s="211"/>
      <c r="IHI314" s="211"/>
      <c r="IHJ314" s="286"/>
      <c r="IHK314" s="286"/>
      <c r="IHL314" s="280"/>
      <c r="IHM314" s="281"/>
      <c r="IHN314" s="282"/>
      <c r="IHO314" s="242"/>
      <c r="IHP314" s="222"/>
      <c r="IHR314" s="118"/>
      <c r="IHS314" s="8"/>
      <c r="IHT314" s="281"/>
      <c r="IHU314" s="78"/>
      <c r="IHV314" s="151"/>
      <c r="IHW314" s="278"/>
      <c r="IHX314" s="266"/>
      <c r="IHY314" s="279"/>
      <c r="IHZ314" s="211"/>
      <c r="IIA314" s="211"/>
      <c r="IIB314" s="286"/>
      <c r="IIC314" s="286"/>
      <c r="IID314" s="280"/>
      <c r="IIE314" s="281"/>
      <c r="IIF314" s="282"/>
      <c r="IIG314" s="242"/>
      <c r="IIH314" s="222"/>
      <c r="IIJ314" s="118"/>
      <c r="IIK314" s="8"/>
      <c r="IIL314" s="281"/>
      <c r="IIM314" s="78"/>
      <c r="IIN314" s="151"/>
      <c r="IIO314" s="278"/>
      <c r="IIP314" s="266"/>
      <c r="IIQ314" s="279"/>
      <c r="IIR314" s="211"/>
      <c r="IIS314" s="211"/>
      <c r="IIT314" s="286"/>
      <c r="IIU314" s="286"/>
      <c r="IIV314" s="280"/>
      <c r="IIW314" s="281"/>
      <c r="IIX314" s="282"/>
      <c r="IIY314" s="242"/>
      <c r="IIZ314" s="222"/>
      <c r="IJB314" s="118"/>
      <c r="IJC314" s="8"/>
      <c r="IJD314" s="281"/>
      <c r="IJE314" s="78"/>
      <c r="IJF314" s="151"/>
      <c r="IJG314" s="278"/>
      <c r="IJH314" s="266"/>
      <c r="IJI314" s="279"/>
      <c r="IJJ314" s="211"/>
      <c r="IJK314" s="211"/>
      <c r="IJL314" s="286"/>
      <c r="IJM314" s="286"/>
      <c r="IJN314" s="280"/>
      <c r="IJO314" s="281"/>
      <c r="IJP314" s="282"/>
      <c r="IJQ314" s="242"/>
      <c r="IJR314" s="222"/>
      <c r="IJT314" s="118"/>
      <c r="IJU314" s="8"/>
      <c r="IJV314" s="281"/>
      <c r="IJW314" s="78"/>
      <c r="IJX314" s="151"/>
      <c r="IJY314" s="278"/>
      <c r="IJZ314" s="266"/>
      <c r="IKA314" s="279"/>
      <c r="IKB314" s="211"/>
      <c r="IKC314" s="211"/>
      <c r="IKD314" s="286"/>
      <c r="IKE314" s="286"/>
      <c r="IKF314" s="280"/>
      <c r="IKG314" s="281"/>
      <c r="IKH314" s="282"/>
      <c r="IKI314" s="242"/>
      <c r="IKJ314" s="222"/>
      <c r="IKL314" s="118"/>
      <c r="IKM314" s="8"/>
      <c r="IKN314" s="281"/>
      <c r="IKO314" s="78"/>
      <c r="IKP314" s="151"/>
      <c r="IKQ314" s="278"/>
      <c r="IKR314" s="266"/>
      <c r="IKS314" s="279"/>
      <c r="IKT314" s="211"/>
      <c r="IKU314" s="211"/>
      <c r="IKV314" s="286"/>
      <c r="IKW314" s="286"/>
      <c r="IKX314" s="280"/>
      <c r="IKY314" s="281"/>
      <c r="IKZ314" s="282"/>
      <c r="ILA314" s="242"/>
      <c r="ILB314" s="222"/>
      <c r="ILD314" s="118"/>
      <c r="ILE314" s="8"/>
      <c r="ILF314" s="281"/>
      <c r="ILG314" s="78"/>
      <c r="ILH314" s="151"/>
      <c r="ILI314" s="278"/>
      <c r="ILJ314" s="266"/>
      <c r="ILK314" s="279"/>
      <c r="ILL314" s="211"/>
      <c r="ILM314" s="211"/>
      <c r="ILN314" s="286"/>
      <c r="ILO314" s="286"/>
      <c r="ILP314" s="280"/>
      <c r="ILQ314" s="281"/>
      <c r="ILR314" s="282"/>
      <c r="ILS314" s="242"/>
      <c r="ILT314" s="222"/>
      <c r="ILV314" s="118"/>
      <c r="ILW314" s="8"/>
      <c r="ILX314" s="281"/>
      <c r="ILY314" s="78"/>
      <c r="ILZ314" s="151"/>
      <c r="IMA314" s="278"/>
      <c r="IMB314" s="266"/>
      <c r="IMC314" s="279"/>
      <c r="IMD314" s="211"/>
      <c r="IME314" s="211"/>
      <c r="IMF314" s="286"/>
      <c r="IMG314" s="286"/>
      <c r="IMH314" s="280"/>
      <c r="IMI314" s="281"/>
      <c r="IMJ314" s="282"/>
      <c r="IMK314" s="242"/>
      <c r="IML314" s="222"/>
      <c r="IMN314" s="118"/>
      <c r="IMO314" s="8"/>
      <c r="IMP314" s="281"/>
      <c r="IMQ314" s="78"/>
      <c r="IMR314" s="151"/>
      <c r="IMS314" s="278"/>
      <c r="IMT314" s="266"/>
      <c r="IMU314" s="279"/>
      <c r="IMV314" s="211"/>
      <c r="IMW314" s="211"/>
      <c r="IMX314" s="286"/>
      <c r="IMY314" s="286"/>
      <c r="IMZ314" s="280"/>
      <c r="INA314" s="281"/>
      <c r="INB314" s="282"/>
      <c r="INC314" s="242"/>
      <c r="IND314" s="222"/>
      <c r="INF314" s="118"/>
      <c r="ING314" s="8"/>
      <c r="INH314" s="281"/>
      <c r="INI314" s="78"/>
      <c r="INJ314" s="151"/>
      <c r="INK314" s="278"/>
      <c r="INL314" s="266"/>
      <c r="INM314" s="279"/>
      <c r="INN314" s="211"/>
      <c r="INO314" s="211"/>
      <c r="INP314" s="286"/>
      <c r="INQ314" s="286"/>
      <c r="INR314" s="280"/>
      <c r="INS314" s="281"/>
      <c r="INT314" s="282"/>
      <c r="INU314" s="242"/>
      <c r="INV314" s="222"/>
      <c r="INX314" s="118"/>
      <c r="INY314" s="8"/>
      <c r="INZ314" s="281"/>
      <c r="IOA314" s="78"/>
      <c r="IOB314" s="151"/>
      <c r="IOC314" s="278"/>
      <c r="IOD314" s="266"/>
      <c r="IOE314" s="279"/>
      <c r="IOF314" s="211"/>
      <c r="IOG314" s="211"/>
      <c r="IOH314" s="286"/>
      <c r="IOI314" s="286"/>
      <c r="IOJ314" s="280"/>
      <c r="IOK314" s="281"/>
      <c r="IOL314" s="282"/>
      <c r="IOM314" s="242"/>
      <c r="ION314" s="222"/>
      <c r="IOP314" s="118"/>
      <c r="IOQ314" s="8"/>
      <c r="IOR314" s="281"/>
      <c r="IOS314" s="78"/>
      <c r="IOT314" s="151"/>
      <c r="IOU314" s="278"/>
      <c r="IOV314" s="266"/>
      <c r="IOW314" s="279"/>
      <c r="IOX314" s="211"/>
      <c r="IOY314" s="211"/>
      <c r="IOZ314" s="286"/>
      <c r="IPA314" s="286"/>
      <c r="IPB314" s="280"/>
      <c r="IPC314" s="281"/>
      <c r="IPD314" s="282"/>
      <c r="IPE314" s="242"/>
      <c r="IPF314" s="222"/>
      <c r="IPH314" s="118"/>
      <c r="IPI314" s="8"/>
      <c r="IPJ314" s="281"/>
      <c r="IPK314" s="78"/>
      <c r="IPL314" s="151"/>
      <c r="IPM314" s="278"/>
      <c r="IPN314" s="266"/>
      <c r="IPO314" s="279"/>
      <c r="IPP314" s="211"/>
      <c r="IPQ314" s="211"/>
      <c r="IPR314" s="286"/>
      <c r="IPS314" s="286"/>
      <c r="IPT314" s="280"/>
      <c r="IPU314" s="281"/>
      <c r="IPV314" s="282"/>
      <c r="IPW314" s="242"/>
      <c r="IPX314" s="222"/>
      <c r="IPZ314" s="118"/>
      <c r="IQA314" s="8"/>
      <c r="IQB314" s="281"/>
      <c r="IQC314" s="78"/>
      <c r="IQD314" s="151"/>
      <c r="IQE314" s="278"/>
      <c r="IQF314" s="266"/>
      <c r="IQG314" s="279"/>
      <c r="IQH314" s="211"/>
      <c r="IQI314" s="211"/>
      <c r="IQJ314" s="286"/>
      <c r="IQK314" s="286"/>
      <c r="IQL314" s="280"/>
      <c r="IQM314" s="281"/>
      <c r="IQN314" s="282"/>
      <c r="IQO314" s="242"/>
      <c r="IQP314" s="222"/>
      <c r="IQR314" s="118"/>
      <c r="IQS314" s="8"/>
      <c r="IQT314" s="281"/>
      <c r="IQU314" s="78"/>
      <c r="IQV314" s="151"/>
      <c r="IQW314" s="278"/>
      <c r="IQX314" s="266"/>
      <c r="IQY314" s="279"/>
      <c r="IQZ314" s="211"/>
      <c r="IRA314" s="211"/>
      <c r="IRB314" s="286"/>
      <c r="IRC314" s="286"/>
      <c r="IRD314" s="280"/>
      <c r="IRE314" s="281"/>
      <c r="IRF314" s="282"/>
      <c r="IRG314" s="242"/>
      <c r="IRH314" s="222"/>
      <c r="IRJ314" s="118"/>
      <c r="IRK314" s="8"/>
      <c r="IRL314" s="281"/>
      <c r="IRM314" s="78"/>
      <c r="IRN314" s="151"/>
      <c r="IRO314" s="278"/>
      <c r="IRP314" s="266"/>
      <c r="IRQ314" s="279"/>
      <c r="IRR314" s="211"/>
      <c r="IRS314" s="211"/>
      <c r="IRT314" s="286"/>
      <c r="IRU314" s="286"/>
      <c r="IRV314" s="280"/>
      <c r="IRW314" s="281"/>
      <c r="IRX314" s="282"/>
      <c r="IRY314" s="242"/>
      <c r="IRZ314" s="222"/>
      <c r="ISB314" s="118"/>
      <c r="ISC314" s="8"/>
      <c r="ISD314" s="281"/>
      <c r="ISE314" s="78"/>
      <c r="ISF314" s="151"/>
      <c r="ISG314" s="278"/>
      <c r="ISH314" s="266"/>
      <c r="ISI314" s="279"/>
      <c r="ISJ314" s="211"/>
      <c r="ISK314" s="211"/>
      <c r="ISL314" s="286"/>
      <c r="ISM314" s="286"/>
      <c r="ISN314" s="280"/>
      <c r="ISO314" s="281"/>
      <c r="ISP314" s="282"/>
      <c r="ISQ314" s="242"/>
      <c r="ISR314" s="222"/>
      <c r="IST314" s="118"/>
      <c r="ISU314" s="8"/>
      <c r="ISV314" s="281"/>
      <c r="ISW314" s="78"/>
      <c r="ISX314" s="151"/>
      <c r="ISY314" s="278"/>
      <c r="ISZ314" s="266"/>
      <c r="ITA314" s="279"/>
      <c r="ITB314" s="211"/>
      <c r="ITC314" s="211"/>
      <c r="ITD314" s="286"/>
      <c r="ITE314" s="286"/>
      <c r="ITF314" s="280"/>
      <c r="ITG314" s="281"/>
      <c r="ITH314" s="282"/>
      <c r="ITI314" s="242"/>
      <c r="ITJ314" s="222"/>
      <c r="ITL314" s="118"/>
      <c r="ITM314" s="8"/>
      <c r="ITN314" s="281"/>
      <c r="ITO314" s="78"/>
      <c r="ITP314" s="151"/>
      <c r="ITQ314" s="278"/>
      <c r="ITR314" s="266"/>
      <c r="ITS314" s="279"/>
      <c r="ITT314" s="211"/>
      <c r="ITU314" s="211"/>
      <c r="ITV314" s="286"/>
      <c r="ITW314" s="286"/>
      <c r="ITX314" s="280"/>
      <c r="ITY314" s="281"/>
      <c r="ITZ314" s="282"/>
      <c r="IUA314" s="242"/>
      <c r="IUB314" s="222"/>
      <c r="IUD314" s="118"/>
      <c r="IUE314" s="8"/>
      <c r="IUF314" s="281"/>
      <c r="IUG314" s="78"/>
      <c r="IUH314" s="151"/>
      <c r="IUI314" s="278"/>
      <c r="IUJ314" s="266"/>
      <c r="IUK314" s="279"/>
      <c r="IUL314" s="211"/>
      <c r="IUM314" s="211"/>
      <c r="IUN314" s="286"/>
      <c r="IUO314" s="286"/>
      <c r="IUP314" s="280"/>
      <c r="IUQ314" s="281"/>
      <c r="IUR314" s="282"/>
      <c r="IUS314" s="242"/>
      <c r="IUT314" s="222"/>
      <c r="IUV314" s="118"/>
      <c r="IUW314" s="8"/>
      <c r="IUX314" s="281"/>
      <c r="IUY314" s="78"/>
      <c r="IUZ314" s="151"/>
      <c r="IVA314" s="278"/>
      <c r="IVB314" s="266"/>
      <c r="IVC314" s="279"/>
      <c r="IVD314" s="211"/>
      <c r="IVE314" s="211"/>
      <c r="IVF314" s="286"/>
      <c r="IVG314" s="286"/>
      <c r="IVH314" s="280"/>
      <c r="IVI314" s="281"/>
      <c r="IVJ314" s="282"/>
      <c r="IVK314" s="242"/>
      <c r="IVL314" s="222"/>
      <c r="IVN314" s="118"/>
      <c r="IVO314" s="8"/>
      <c r="IVP314" s="281"/>
      <c r="IVQ314" s="78"/>
      <c r="IVR314" s="151"/>
      <c r="IVS314" s="278"/>
      <c r="IVT314" s="266"/>
      <c r="IVU314" s="279"/>
      <c r="IVV314" s="211"/>
      <c r="IVW314" s="211"/>
      <c r="IVX314" s="286"/>
      <c r="IVY314" s="286"/>
      <c r="IVZ314" s="280"/>
      <c r="IWA314" s="281"/>
      <c r="IWB314" s="282"/>
      <c r="IWC314" s="242"/>
      <c r="IWD314" s="222"/>
      <c r="IWF314" s="118"/>
      <c r="IWG314" s="8"/>
      <c r="IWH314" s="281"/>
      <c r="IWI314" s="78"/>
      <c r="IWJ314" s="151"/>
      <c r="IWK314" s="278"/>
      <c r="IWL314" s="266"/>
      <c r="IWM314" s="279"/>
      <c r="IWN314" s="211"/>
      <c r="IWO314" s="211"/>
      <c r="IWP314" s="286"/>
      <c r="IWQ314" s="286"/>
      <c r="IWR314" s="280"/>
      <c r="IWS314" s="281"/>
      <c r="IWT314" s="282"/>
      <c r="IWU314" s="242"/>
      <c r="IWV314" s="222"/>
      <c r="IWX314" s="118"/>
      <c r="IWY314" s="8"/>
      <c r="IWZ314" s="281"/>
      <c r="IXA314" s="78"/>
      <c r="IXB314" s="151"/>
      <c r="IXC314" s="278"/>
      <c r="IXD314" s="266"/>
      <c r="IXE314" s="279"/>
      <c r="IXF314" s="211"/>
      <c r="IXG314" s="211"/>
      <c r="IXH314" s="286"/>
      <c r="IXI314" s="286"/>
      <c r="IXJ314" s="280"/>
      <c r="IXK314" s="281"/>
      <c r="IXL314" s="282"/>
      <c r="IXM314" s="242"/>
      <c r="IXN314" s="222"/>
      <c r="IXP314" s="118"/>
      <c r="IXQ314" s="8"/>
      <c r="IXR314" s="281"/>
      <c r="IXS314" s="78"/>
      <c r="IXT314" s="151"/>
      <c r="IXU314" s="278"/>
      <c r="IXV314" s="266"/>
      <c r="IXW314" s="279"/>
      <c r="IXX314" s="211"/>
      <c r="IXY314" s="211"/>
      <c r="IXZ314" s="286"/>
      <c r="IYA314" s="286"/>
      <c r="IYB314" s="280"/>
      <c r="IYC314" s="281"/>
      <c r="IYD314" s="282"/>
      <c r="IYE314" s="242"/>
      <c r="IYF314" s="222"/>
      <c r="IYH314" s="118"/>
      <c r="IYI314" s="8"/>
      <c r="IYJ314" s="281"/>
      <c r="IYK314" s="78"/>
      <c r="IYL314" s="151"/>
      <c r="IYM314" s="278"/>
      <c r="IYN314" s="266"/>
      <c r="IYO314" s="279"/>
      <c r="IYP314" s="211"/>
      <c r="IYQ314" s="211"/>
      <c r="IYR314" s="286"/>
      <c r="IYS314" s="286"/>
      <c r="IYT314" s="280"/>
      <c r="IYU314" s="281"/>
      <c r="IYV314" s="282"/>
      <c r="IYW314" s="242"/>
      <c r="IYX314" s="222"/>
      <c r="IYZ314" s="118"/>
      <c r="IZA314" s="8"/>
      <c r="IZB314" s="281"/>
      <c r="IZC314" s="78"/>
      <c r="IZD314" s="151"/>
      <c r="IZE314" s="278"/>
      <c r="IZF314" s="266"/>
      <c r="IZG314" s="279"/>
      <c r="IZH314" s="211"/>
      <c r="IZI314" s="211"/>
      <c r="IZJ314" s="286"/>
      <c r="IZK314" s="286"/>
      <c r="IZL314" s="280"/>
      <c r="IZM314" s="281"/>
      <c r="IZN314" s="282"/>
      <c r="IZO314" s="242"/>
      <c r="IZP314" s="222"/>
      <c r="IZR314" s="118"/>
      <c r="IZS314" s="8"/>
      <c r="IZT314" s="281"/>
      <c r="IZU314" s="78"/>
      <c r="IZV314" s="151"/>
      <c r="IZW314" s="278"/>
      <c r="IZX314" s="266"/>
      <c r="IZY314" s="279"/>
      <c r="IZZ314" s="211"/>
      <c r="JAA314" s="211"/>
      <c r="JAB314" s="286"/>
      <c r="JAC314" s="286"/>
      <c r="JAD314" s="280"/>
      <c r="JAE314" s="281"/>
      <c r="JAF314" s="282"/>
      <c r="JAG314" s="242"/>
      <c r="JAH314" s="222"/>
      <c r="JAJ314" s="118"/>
      <c r="JAK314" s="8"/>
      <c r="JAL314" s="281"/>
      <c r="JAM314" s="78"/>
      <c r="JAN314" s="151"/>
      <c r="JAO314" s="278"/>
      <c r="JAP314" s="266"/>
      <c r="JAQ314" s="279"/>
      <c r="JAR314" s="211"/>
      <c r="JAS314" s="211"/>
      <c r="JAT314" s="286"/>
      <c r="JAU314" s="286"/>
      <c r="JAV314" s="280"/>
      <c r="JAW314" s="281"/>
      <c r="JAX314" s="282"/>
      <c r="JAY314" s="242"/>
      <c r="JAZ314" s="222"/>
      <c r="JBB314" s="118"/>
      <c r="JBC314" s="8"/>
      <c r="JBD314" s="281"/>
      <c r="JBE314" s="78"/>
      <c r="JBF314" s="151"/>
      <c r="JBG314" s="278"/>
      <c r="JBH314" s="266"/>
      <c r="JBI314" s="279"/>
      <c r="JBJ314" s="211"/>
      <c r="JBK314" s="211"/>
      <c r="JBL314" s="286"/>
      <c r="JBM314" s="286"/>
      <c r="JBN314" s="280"/>
      <c r="JBO314" s="281"/>
      <c r="JBP314" s="282"/>
      <c r="JBQ314" s="242"/>
      <c r="JBR314" s="222"/>
      <c r="JBT314" s="118"/>
      <c r="JBU314" s="8"/>
      <c r="JBV314" s="281"/>
      <c r="JBW314" s="78"/>
      <c r="JBX314" s="151"/>
      <c r="JBY314" s="278"/>
      <c r="JBZ314" s="266"/>
      <c r="JCA314" s="279"/>
      <c r="JCB314" s="211"/>
      <c r="JCC314" s="211"/>
      <c r="JCD314" s="286"/>
      <c r="JCE314" s="286"/>
      <c r="JCF314" s="280"/>
      <c r="JCG314" s="281"/>
      <c r="JCH314" s="282"/>
      <c r="JCI314" s="242"/>
      <c r="JCJ314" s="222"/>
      <c r="JCL314" s="118"/>
      <c r="JCM314" s="8"/>
      <c r="JCN314" s="281"/>
      <c r="JCO314" s="78"/>
      <c r="JCP314" s="151"/>
      <c r="JCQ314" s="278"/>
      <c r="JCR314" s="266"/>
      <c r="JCS314" s="279"/>
      <c r="JCT314" s="211"/>
      <c r="JCU314" s="211"/>
      <c r="JCV314" s="286"/>
      <c r="JCW314" s="286"/>
      <c r="JCX314" s="280"/>
      <c r="JCY314" s="281"/>
      <c r="JCZ314" s="282"/>
      <c r="JDA314" s="242"/>
      <c r="JDB314" s="222"/>
      <c r="JDD314" s="118"/>
      <c r="JDE314" s="8"/>
      <c r="JDF314" s="281"/>
      <c r="JDG314" s="78"/>
      <c r="JDH314" s="151"/>
      <c r="JDI314" s="278"/>
      <c r="JDJ314" s="266"/>
      <c r="JDK314" s="279"/>
      <c r="JDL314" s="211"/>
      <c r="JDM314" s="211"/>
      <c r="JDN314" s="286"/>
      <c r="JDO314" s="286"/>
      <c r="JDP314" s="280"/>
      <c r="JDQ314" s="281"/>
      <c r="JDR314" s="282"/>
      <c r="JDS314" s="242"/>
      <c r="JDT314" s="222"/>
      <c r="JDV314" s="118"/>
      <c r="JDW314" s="8"/>
      <c r="JDX314" s="281"/>
      <c r="JDY314" s="78"/>
      <c r="JDZ314" s="151"/>
      <c r="JEA314" s="278"/>
      <c r="JEB314" s="266"/>
      <c r="JEC314" s="279"/>
      <c r="JED314" s="211"/>
      <c r="JEE314" s="211"/>
      <c r="JEF314" s="286"/>
      <c r="JEG314" s="286"/>
      <c r="JEH314" s="280"/>
      <c r="JEI314" s="281"/>
      <c r="JEJ314" s="282"/>
      <c r="JEK314" s="242"/>
      <c r="JEL314" s="222"/>
      <c r="JEN314" s="118"/>
      <c r="JEO314" s="8"/>
      <c r="JEP314" s="281"/>
      <c r="JEQ314" s="78"/>
      <c r="JER314" s="151"/>
      <c r="JES314" s="278"/>
      <c r="JET314" s="266"/>
      <c r="JEU314" s="279"/>
      <c r="JEV314" s="211"/>
      <c r="JEW314" s="211"/>
      <c r="JEX314" s="286"/>
      <c r="JEY314" s="286"/>
      <c r="JEZ314" s="280"/>
      <c r="JFA314" s="281"/>
      <c r="JFB314" s="282"/>
      <c r="JFC314" s="242"/>
      <c r="JFD314" s="222"/>
      <c r="JFF314" s="118"/>
      <c r="JFG314" s="8"/>
      <c r="JFH314" s="281"/>
      <c r="JFI314" s="78"/>
      <c r="JFJ314" s="151"/>
      <c r="JFK314" s="278"/>
      <c r="JFL314" s="266"/>
      <c r="JFM314" s="279"/>
      <c r="JFN314" s="211"/>
      <c r="JFO314" s="211"/>
      <c r="JFP314" s="286"/>
      <c r="JFQ314" s="286"/>
      <c r="JFR314" s="280"/>
      <c r="JFS314" s="281"/>
      <c r="JFT314" s="282"/>
      <c r="JFU314" s="242"/>
      <c r="JFV314" s="222"/>
      <c r="JFX314" s="118"/>
      <c r="JFY314" s="8"/>
      <c r="JFZ314" s="281"/>
      <c r="JGA314" s="78"/>
      <c r="JGB314" s="151"/>
      <c r="JGC314" s="278"/>
      <c r="JGD314" s="266"/>
      <c r="JGE314" s="279"/>
      <c r="JGF314" s="211"/>
      <c r="JGG314" s="211"/>
      <c r="JGH314" s="286"/>
      <c r="JGI314" s="286"/>
      <c r="JGJ314" s="280"/>
      <c r="JGK314" s="281"/>
      <c r="JGL314" s="282"/>
      <c r="JGM314" s="242"/>
      <c r="JGN314" s="222"/>
      <c r="JGP314" s="118"/>
      <c r="JGQ314" s="8"/>
      <c r="JGR314" s="281"/>
      <c r="JGS314" s="78"/>
      <c r="JGT314" s="151"/>
      <c r="JGU314" s="278"/>
      <c r="JGV314" s="266"/>
      <c r="JGW314" s="279"/>
      <c r="JGX314" s="211"/>
      <c r="JGY314" s="211"/>
      <c r="JGZ314" s="286"/>
      <c r="JHA314" s="286"/>
      <c r="JHB314" s="280"/>
      <c r="JHC314" s="281"/>
      <c r="JHD314" s="282"/>
      <c r="JHE314" s="242"/>
      <c r="JHF314" s="222"/>
      <c r="JHH314" s="118"/>
      <c r="JHI314" s="8"/>
      <c r="JHJ314" s="281"/>
      <c r="JHK314" s="78"/>
      <c r="JHL314" s="151"/>
      <c r="JHM314" s="278"/>
      <c r="JHN314" s="266"/>
      <c r="JHO314" s="279"/>
      <c r="JHP314" s="211"/>
      <c r="JHQ314" s="211"/>
      <c r="JHR314" s="286"/>
      <c r="JHS314" s="286"/>
      <c r="JHT314" s="280"/>
      <c r="JHU314" s="281"/>
      <c r="JHV314" s="282"/>
      <c r="JHW314" s="242"/>
      <c r="JHX314" s="222"/>
      <c r="JHZ314" s="118"/>
      <c r="JIA314" s="8"/>
      <c r="JIB314" s="281"/>
      <c r="JIC314" s="78"/>
      <c r="JID314" s="151"/>
      <c r="JIE314" s="278"/>
      <c r="JIF314" s="266"/>
      <c r="JIG314" s="279"/>
      <c r="JIH314" s="211"/>
      <c r="JII314" s="211"/>
      <c r="JIJ314" s="286"/>
      <c r="JIK314" s="286"/>
      <c r="JIL314" s="280"/>
      <c r="JIM314" s="281"/>
      <c r="JIN314" s="282"/>
      <c r="JIO314" s="242"/>
      <c r="JIP314" s="222"/>
      <c r="JIR314" s="118"/>
      <c r="JIS314" s="8"/>
      <c r="JIT314" s="281"/>
      <c r="JIU314" s="78"/>
      <c r="JIV314" s="151"/>
      <c r="JIW314" s="278"/>
      <c r="JIX314" s="266"/>
      <c r="JIY314" s="279"/>
      <c r="JIZ314" s="211"/>
      <c r="JJA314" s="211"/>
      <c r="JJB314" s="286"/>
      <c r="JJC314" s="286"/>
      <c r="JJD314" s="280"/>
      <c r="JJE314" s="281"/>
      <c r="JJF314" s="282"/>
      <c r="JJG314" s="242"/>
      <c r="JJH314" s="222"/>
      <c r="JJJ314" s="118"/>
      <c r="JJK314" s="8"/>
      <c r="JJL314" s="281"/>
      <c r="JJM314" s="78"/>
      <c r="JJN314" s="151"/>
      <c r="JJO314" s="278"/>
      <c r="JJP314" s="266"/>
      <c r="JJQ314" s="279"/>
      <c r="JJR314" s="211"/>
      <c r="JJS314" s="211"/>
      <c r="JJT314" s="286"/>
      <c r="JJU314" s="286"/>
      <c r="JJV314" s="280"/>
      <c r="JJW314" s="281"/>
      <c r="JJX314" s="282"/>
      <c r="JJY314" s="242"/>
      <c r="JJZ314" s="222"/>
      <c r="JKB314" s="118"/>
      <c r="JKC314" s="8"/>
      <c r="JKD314" s="281"/>
      <c r="JKE314" s="78"/>
      <c r="JKF314" s="151"/>
      <c r="JKG314" s="278"/>
      <c r="JKH314" s="266"/>
      <c r="JKI314" s="279"/>
      <c r="JKJ314" s="211"/>
      <c r="JKK314" s="211"/>
      <c r="JKL314" s="286"/>
      <c r="JKM314" s="286"/>
      <c r="JKN314" s="280"/>
      <c r="JKO314" s="281"/>
      <c r="JKP314" s="282"/>
      <c r="JKQ314" s="242"/>
      <c r="JKR314" s="222"/>
      <c r="JKT314" s="118"/>
      <c r="JKU314" s="8"/>
      <c r="JKV314" s="281"/>
      <c r="JKW314" s="78"/>
      <c r="JKX314" s="151"/>
      <c r="JKY314" s="278"/>
      <c r="JKZ314" s="266"/>
      <c r="JLA314" s="279"/>
      <c r="JLB314" s="211"/>
      <c r="JLC314" s="211"/>
      <c r="JLD314" s="286"/>
      <c r="JLE314" s="286"/>
      <c r="JLF314" s="280"/>
      <c r="JLG314" s="281"/>
      <c r="JLH314" s="282"/>
      <c r="JLI314" s="242"/>
      <c r="JLJ314" s="222"/>
      <c r="JLL314" s="118"/>
      <c r="JLM314" s="8"/>
      <c r="JLN314" s="281"/>
      <c r="JLO314" s="78"/>
      <c r="JLP314" s="151"/>
      <c r="JLQ314" s="278"/>
      <c r="JLR314" s="266"/>
      <c r="JLS314" s="279"/>
      <c r="JLT314" s="211"/>
      <c r="JLU314" s="211"/>
      <c r="JLV314" s="286"/>
      <c r="JLW314" s="286"/>
      <c r="JLX314" s="280"/>
      <c r="JLY314" s="281"/>
      <c r="JLZ314" s="282"/>
      <c r="JMA314" s="242"/>
      <c r="JMB314" s="222"/>
      <c r="JMD314" s="118"/>
      <c r="JME314" s="8"/>
      <c r="JMF314" s="281"/>
      <c r="JMG314" s="78"/>
      <c r="JMH314" s="151"/>
      <c r="JMI314" s="278"/>
      <c r="JMJ314" s="266"/>
      <c r="JMK314" s="279"/>
      <c r="JML314" s="211"/>
      <c r="JMM314" s="211"/>
      <c r="JMN314" s="286"/>
      <c r="JMO314" s="286"/>
      <c r="JMP314" s="280"/>
      <c r="JMQ314" s="281"/>
      <c r="JMR314" s="282"/>
      <c r="JMS314" s="242"/>
      <c r="JMT314" s="222"/>
      <c r="JMV314" s="118"/>
      <c r="JMW314" s="8"/>
      <c r="JMX314" s="281"/>
      <c r="JMY314" s="78"/>
      <c r="JMZ314" s="151"/>
      <c r="JNA314" s="278"/>
      <c r="JNB314" s="266"/>
      <c r="JNC314" s="279"/>
      <c r="JND314" s="211"/>
      <c r="JNE314" s="211"/>
      <c r="JNF314" s="286"/>
      <c r="JNG314" s="286"/>
      <c r="JNH314" s="280"/>
      <c r="JNI314" s="281"/>
      <c r="JNJ314" s="282"/>
      <c r="JNK314" s="242"/>
      <c r="JNL314" s="222"/>
      <c r="JNN314" s="118"/>
      <c r="JNO314" s="8"/>
      <c r="JNP314" s="281"/>
      <c r="JNQ314" s="78"/>
      <c r="JNR314" s="151"/>
      <c r="JNS314" s="278"/>
      <c r="JNT314" s="266"/>
      <c r="JNU314" s="279"/>
      <c r="JNV314" s="211"/>
      <c r="JNW314" s="211"/>
      <c r="JNX314" s="286"/>
      <c r="JNY314" s="286"/>
      <c r="JNZ314" s="280"/>
      <c r="JOA314" s="281"/>
      <c r="JOB314" s="282"/>
      <c r="JOC314" s="242"/>
      <c r="JOD314" s="222"/>
      <c r="JOF314" s="118"/>
      <c r="JOG314" s="8"/>
      <c r="JOH314" s="281"/>
      <c r="JOI314" s="78"/>
      <c r="JOJ314" s="151"/>
      <c r="JOK314" s="278"/>
      <c r="JOL314" s="266"/>
      <c r="JOM314" s="279"/>
      <c r="JON314" s="211"/>
      <c r="JOO314" s="211"/>
      <c r="JOP314" s="286"/>
      <c r="JOQ314" s="286"/>
      <c r="JOR314" s="280"/>
      <c r="JOS314" s="281"/>
      <c r="JOT314" s="282"/>
      <c r="JOU314" s="242"/>
      <c r="JOV314" s="222"/>
      <c r="JOX314" s="118"/>
      <c r="JOY314" s="8"/>
      <c r="JOZ314" s="281"/>
      <c r="JPA314" s="78"/>
      <c r="JPB314" s="151"/>
      <c r="JPC314" s="278"/>
      <c r="JPD314" s="266"/>
      <c r="JPE314" s="279"/>
      <c r="JPF314" s="211"/>
      <c r="JPG314" s="211"/>
      <c r="JPH314" s="286"/>
      <c r="JPI314" s="286"/>
      <c r="JPJ314" s="280"/>
      <c r="JPK314" s="281"/>
      <c r="JPL314" s="282"/>
      <c r="JPM314" s="242"/>
      <c r="JPN314" s="222"/>
      <c r="JPP314" s="118"/>
      <c r="JPQ314" s="8"/>
      <c r="JPR314" s="281"/>
      <c r="JPS314" s="78"/>
      <c r="JPT314" s="151"/>
      <c r="JPU314" s="278"/>
      <c r="JPV314" s="266"/>
      <c r="JPW314" s="279"/>
      <c r="JPX314" s="211"/>
      <c r="JPY314" s="211"/>
      <c r="JPZ314" s="286"/>
      <c r="JQA314" s="286"/>
      <c r="JQB314" s="280"/>
      <c r="JQC314" s="281"/>
      <c r="JQD314" s="282"/>
      <c r="JQE314" s="242"/>
      <c r="JQF314" s="222"/>
      <c r="JQH314" s="118"/>
      <c r="JQI314" s="8"/>
      <c r="JQJ314" s="281"/>
      <c r="JQK314" s="78"/>
      <c r="JQL314" s="151"/>
      <c r="JQM314" s="278"/>
      <c r="JQN314" s="266"/>
      <c r="JQO314" s="279"/>
      <c r="JQP314" s="211"/>
      <c r="JQQ314" s="211"/>
      <c r="JQR314" s="286"/>
      <c r="JQS314" s="286"/>
      <c r="JQT314" s="280"/>
      <c r="JQU314" s="281"/>
      <c r="JQV314" s="282"/>
      <c r="JQW314" s="242"/>
      <c r="JQX314" s="222"/>
      <c r="JQZ314" s="118"/>
      <c r="JRA314" s="8"/>
      <c r="JRB314" s="281"/>
      <c r="JRC314" s="78"/>
      <c r="JRD314" s="151"/>
      <c r="JRE314" s="278"/>
      <c r="JRF314" s="266"/>
      <c r="JRG314" s="279"/>
      <c r="JRH314" s="211"/>
      <c r="JRI314" s="211"/>
      <c r="JRJ314" s="286"/>
      <c r="JRK314" s="286"/>
      <c r="JRL314" s="280"/>
      <c r="JRM314" s="281"/>
      <c r="JRN314" s="282"/>
      <c r="JRO314" s="242"/>
      <c r="JRP314" s="222"/>
      <c r="JRR314" s="118"/>
      <c r="JRS314" s="8"/>
      <c r="JRT314" s="281"/>
      <c r="JRU314" s="78"/>
      <c r="JRV314" s="151"/>
      <c r="JRW314" s="278"/>
      <c r="JRX314" s="266"/>
      <c r="JRY314" s="279"/>
      <c r="JRZ314" s="211"/>
      <c r="JSA314" s="211"/>
      <c r="JSB314" s="286"/>
      <c r="JSC314" s="286"/>
      <c r="JSD314" s="280"/>
      <c r="JSE314" s="281"/>
      <c r="JSF314" s="282"/>
      <c r="JSG314" s="242"/>
      <c r="JSH314" s="222"/>
      <c r="JSJ314" s="118"/>
      <c r="JSK314" s="8"/>
      <c r="JSL314" s="281"/>
      <c r="JSM314" s="78"/>
      <c r="JSN314" s="151"/>
      <c r="JSO314" s="278"/>
      <c r="JSP314" s="266"/>
      <c r="JSQ314" s="279"/>
      <c r="JSR314" s="211"/>
      <c r="JSS314" s="211"/>
      <c r="JST314" s="286"/>
      <c r="JSU314" s="286"/>
      <c r="JSV314" s="280"/>
      <c r="JSW314" s="281"/>
      <c r="JSX314" s="282"/>
      <c r="JSY314" s="242"/>
      <c r="JSZ314" s="222"/>
      <c r="JTB314" s="118"/>
      <c r="JTC314" s="8"/>
      <c r="JTD314" s="281"/>
      <c r="JTE314" s="78"/>
      <c r="JTF314" s="151"/>
      <c r="JTG314" s="278"/>
      <c r="JTH314" s="266"/>
      <c r="JTI314" s="279"/>
      <c r="JTJ314" s="211"/>
      <c r="JTK314" s="211"/>
      <c r="JTL314" s="286"/>
      <c r="JTM314" s="286"/>
      <c r="JTN314" s="280"/>
      <c r="JTO314" s="281"/>
      <c r="JTP314" s="282"/>
      <c r="JTQ314" s="242"/>
      <c r="JTR314" s="222"/>
      <c r="JTT314" s="118"/>
      <c r="JTU314" s="8"/>
      <c r="JTV314" s="281"/>
      <c r="JTW314" s="78"/>
      <c r="JTX314" s="151"/>
      <c r="JTY314" s="278"/>
      <c r="JTZ314" s="266"/>
      <c r="JUA314" s="279"/>
      <c r="JUB314" s="211"/>
      <c r="JUC314" s="211"/>
      <c r="JUD314" s="286"/>
      <c r="JUE314" s="286"/>
      <c r="JUF314" s="280"/>
      <c r="JUG314" s="281"/>
      <c r="JUH314" s="282"/>
      <c r="JUI314" s="242"/>
      <c r="JUJ314" s="222"/>
      <c r="JUL314" s="118"/>
      <c r="JUM314" s="8"/>
      <c r="JUN314" s="281"/>
      <c r="JUO314" s="78"/>
      <c r="JUP314" s="151"/>
      <c r="JUQ314" s="278"/>
      <c r="JUR314" s="266"/>
      <c r="JUS314" s="279"/>
      <c r="JUT314" s="211"/>
      <c r="JUU314" s="211"/>
      <c r="JUV314" s="286"/>
      <c r="JUW314" s="286"/>
      <c r="JUX314" s="280"/>
      <c r="JUY314" s="281"/>
      <c r="JUZ314" s="282"/>
      <c r="JVA314" s="242"/>
      <c r="JVB314" s="222"/>
      <c r="JVD314" s="118"/>
      <c r="JVE314" s="8"/>
      <c r="JVF314" s="281"/>
      <c r="JVG314" s="78"/>
      <c r="JVH314" s="151"/>
      <c r="JVI314" s="278"/>
      <c r="JVJ314" s="266"/>
      <c r="JVK314" s="279"/>
      <c r="JVL314" s="211"/>
      <c r="JVM314" s="211"/>
      <c r="JVN314" s="286"/>
      <c r="JVO314" s="286"/>
      <c r="JVP314" s="280"/>
      <c r="JVQ314" s="281"/>
      <c r="JVR314" s="282"/>
      <c r="JVS314" s="242"/>
      <c r="JVT314" s="222"/>
      <c r="JVV314" s="118"/>
      <c r="JVW314" s="8"/>
      <c r="JVX314" s="281"/>
      <c r="JVY314" s="78"/>
      <c r="JVZ314" s="151"/>
      <c r="JWA314" s="278"/>
      <c r="JWB314" s="266"/>
      <c r="JWC314" s="279"/>
      <c r="JWD314" s="211"/>
      <c r="JWE314" s="211"/>
      <c r="JWF314" s="286"/>
      <c r="JWG314" s="286"/>
      <c r="JWH314" s="280"/>
      <c r="JWI314" s="281"/>
      <c r="JWJ314" s="282"/>
      <c r="JWK314" s="242"/>
      <c r="JWL314" s="222"/>
      <c r="JWN314" s="118"/>
      <c r="JWO314" s="8"/>
      <c r="JWP314" s="281"/>
      <c r="JWQ314" s="78"/>
      <c r="JWR314" s="151"/>
      <c r="JWS314" s="278"/>
      <c r="JWT314" s="266"/>
      <c r="JWU314" s="279"/>
      <c r="JWV314" s="211"/>
      <c r="JWW314" s="211"/>
      <c r="JWX314" s="286"/>
      <c r="JWY314" s="286"/>
      <c r="JWZ314" s="280"/>
      <c r="JXA314" s="281"/>
      <c r="JXB314" s="282"/>
      <c r="JXC314" s="242"/>
      <c r="JXD314" s="222"/>
      <c r="JXF314" s="118"/>
      <c r="JXG314" s="8"/>
      <c r="JXH314" s="281"/>
      <c r="JXI314" s="78"/>
      <c r="JXJ314" s="151"/>
      <c r="JXK314" s="278"/>
      <c r="JXL314" s="266"/>
      <c r="JXM314" s="279"/>
      <c r="JXN314" s="211"/>
      <c r="JXO314" s="211"/>
      <c r="JXP314" s="286"/>
      <c r="JXQ314" s="286"/>
      <c r="JXR314" s="280"/>
      <c r="JXS314" s="281"/>
      <c r="JXT314" s="282"/>
      <c r="JXU314" s="242"/>
      <c r="JXV314" s="222"/>
      <c r="JXX314" s="118"/>
      <c r="JXY314" s="8"/>
      <c r="JXZ314" s="281"/>
      <c r="JYA314" s="78"/>
      <c r="JYB314" s="151"/>
      <c r="JYC314" s="278"/>
      <c r="JYD314" s="266"/>
      <c r="JYE314" s="279"/>
      <c r="JYF314" s="211"/>
      <c r="JYG314" s="211"/>
      <c r="JYH314" s="286"/>
      <c r="JYI314" s="286"/>
      <c r="JYJ314" s="280"/>
      <c r="JYK314" s="281"/>
      <c r="JYL314" s="282"/>
      <c r="JYM314" s="242"/>
      <c r="JYN314" s="222"/>
      <c r="JYP314" s="118"/>
      <c r="JYQ314" s="8"/>
      <c r="JYR314" s="281"/>
      <c r="JYS314" s="78"/>
      <c r="JYT314" s="151"/>
      <c r="JYU314" s="278"/>
      <c r="JYV314" s="266"/>
      <c r="JYW314" s="279"/>
      <c r="JYX314" s="211"/>
      <c r="JYY314" s="211"/>
      <c r="JYZ314" s="286"/>
      <c r="JZA314" s="286"/>
      <c r="JZB314" s="280"/>
      <c r="JZC314" s="281"/>
      <c r="JZD314" s="282"/>
      <c r="JZE314" s="242"/>
      <c r="JZF314" s="222"/>
      <c r="JZH314" s="118"/>
      <c r="JZI314" s="8"/>
      <c r="JZJ314" s="281"/>
      <c r="JZK314" s="78"/>
      <c r="JZL314" s="151"/>
      <c r="JZM314" s="278"/>
      <c r="JZN314" s="266"/>
      <c r="JZO314" s="279"/>
      <c r="JZP314" s="211"/>
      <c r="JZQ314" s="211"/>
      <c r="JZR314" s="286"/>
      <c r="JZS314" s="286"/>
      <c r="JZT314" s="280"/>
      <c r="JZU314" s="281"/>
      <c r="JZV314" s="282"/>
      <c r="JZW314" s="242"/>
      <c r="JZX314" s="222"/>
      <c r="JZZ314" s="118"/>
      <c r="KAA314" s="8"/>
      <c r="KAB314" s="281"/>
      <c r="KAC314" s="78"/>
      <c r="KAD314" s="151"/>
      <c r="KAE314" s="278"/>
      <c r="KAF314" s="266"/>
      <c r="KAG314" s="279"/>
      <c r="KAH314" s="211"/>
      <c r="KAI314" s="211"/>
      <c r="KAJ314" s="286"/>
      <c r="KAK314" s="286"/>
      <c r="KAL314" s="280"/>
      <c r="KAM314" s="281"/>
      <c r="KAN314" s="282"/>
      <c r="KAO314" s="242"/>
      <c r="KAP314" s="222"/>
      <c r="KAR314" s="118"/>
      <c r="KAS314" s="8"/>
      <c r="KAT314" s="281"/>
      <c r="KAU314" s="78"/>
      <c r="KAV314" s="151"/>
      <c r="KAW314" s="278"/>
      <c r="KAX314" s="266"/>
      <c r="KAY314" s="279"/>
      <c r="KAZ314" s="211"/>
      <c r="KBA314" s="211"/>
      <c r="KBB314" s="286"/>
      <c r="KBC314" s="286"/>
      <c r="KBD314" s="280"/>
      <c r="KBE314" s="281"/>
      <c r="KBF314" s="282"/>
      <c r="KBG314" s="242"/>
      <c r="KBH314" s="222"/>
      <c r="KBJ314" s="118"/>
      <c r="KBK314" s="8"/>
      <c r="KBL314" s="281"/>
      <c r="KBM314" s="78"/>
      <c r="KBN314" s="151"/>
      <c r="KBO314" s="278"/>
      <c r="KBP314" s="266"/>
      <c r="KBQ314" s="279"/>
      <c r="KBR314" s="211"/>
      <c r="KBS314" s="211"/>
      <c r="KBT314" s="286"/>
      <c r="KBU314" s="286"/>
      <c r="KBV314" s="280"/>
      <c r="KBW314" s="281"/>
      <c r="KBX314" s="282"/>
      <c r="KBY314" s="242"/>
      <c r="KBZ314" s="222"/>
      <c r="KCB314" s="118"/>
      <c r="KCC314" s="8"/>
      <c r="KCD314" s="281"/>
      <c r="KCE314" s="78"/>
      <c r="KCF314" s="151"/>
      <c r="KCG314" s="278"/>
      <c r="KCH314" s="266"/>
      <c r="KCI314" s="279"/>
      <c r="KCJ314" s="211"/>
      <c r="KCK314" s="211"/>
      <c r="KCL314" s="286"/>
      <c r="KCM314" s="286"/>
      <c r="KCN314" s="280"/>
      <c r="KCO314" s="281"/>
      <c r="KCP314" s="282"/>
      <c r="KCQ314" s="242"/>
      <c r="KCR314" s="222"/>
      <c r="KCT314" s="118"/>
      <c r="KCU314" s="8"/>
      <c r="KCV314" s="281"/>
      <c r="KCW314" s="78"/>
      <c r="KCX314" s="151"/>
      <c r="KCY314" s="278"/>
      <c r="KCZ314" s="266"/>
      <c r="KDA314" s="279"/>
      <c r="KDB314" s="211"/>
      <c r="KDC314" s="211"/>
      <c r="KDD314" s="286"/>
      <c r="KDE314" s="286"/>
      <c r="KDF314" s="280"/>
      <c r="KDG314" s="281"/>
      <c r="KDH314" s="282"/>
      <c r="KDI314" s="242"/>
      <c r="KDJ314" s="222"/>
      <c r="KDL314" s="118"/>
      <c r="KDM314" s="8"/>
      <c r="KDN314" s="281"/>
      <c r="KDO314" s="78"/>
      <c r="KDP314" s="151"/>
      <c r="KDQ314" s="278"/>
      <c r="KDR314" s="266"/>
      <c r="KDS314" s="279"/>
      <c r="KDT314" s="211"/>
      <c r="KDU314" s="211"/>
      <c r="KDV314" s="286"/>
      <c r="KDW314" s="286"/>
      <c r="KDX314" s="280"/>
      <c r="KDY314" s="281"/>
      <c r="KDZ314" s="282"/>
      <c r="KEA314" s="242"/>
      <c r="KEB314" s="222"/>
      <c r="KED314" s="118"/>
      <c r="KEE314" s="8"/>
      <c r="KEF314" s="281"/>
      <c r="KEG314" s="78"/>
      <c r="KEH314" s="151"/>
      <c r="KEI314" s="278"/>
      <c r="KEJ314" s="266"/>
      <c r="KEK314" s="279"/>
      <c r="KEL314" s="211"/>
      <c r="KEM314" s="211"/>
      <c r="KEN314" s="286"/>
      <c r="KEO314" s="286"/>
      <c r="KEP314" s="280"/>
      <c r="KEQ314" s="281"/>
      <c r="KER314" s="282"/>
      <c r="KES314" s="242"/>
      <c r="KET314" s="222"/>
      <c r="KEV314" s="118"/>
      <c r="KEW314" s="8"/>
      <c r="KEX314" s="281"/>
      <c r="KEY314" s="78"/>
      <c r="KEZ314" s="151"/>
      <c r="KFA314" s="278"/>
      <c r="KFB314" s="266"/>
      <c r="KFC314" s="279"/>
      <c r="KFD314" s="211"/>
      <c r="KFE314" s="211"/>
      <c r="KFF314" s="286"/>
      <c r="KFG314" s="286"/>
      <c r="KFH314" s="280"/>
      <c r="KFI314" s="281"/>
      <c r="KFJ314" s="282"/>
      <c r="KFK314" s="242"/>
      <c r="KFL314" s="222"/>
      <c r="KFN314" s="118"/>
      <c r="KFO314" s="8"/>
      <c r="KFP314" s="281"/>
      <c r="KFQ314" s="78"/>
      <c r="KFR314" s="151"/>
      <c r="KFS314" s="278"/>
      <c r="KFT314" s="266"/>
      <c r="KFU314" s="279"/>
      <c r="KFV314" s="211"/>
      <c r="KFW314" s="211"/>
      <c r="KFX314" s="286"/>
      <c r="KFY314" s="286"/>
      <c r="KFZ314" s="280"/>
      <c r="KGA314" s="281"/>
      <c r="KGB314" s="282"/>
      <c r="KGC314" s="242"/>
      <c r="KGD314" s="222"/>
      <c r="KGF314" s="118"/>
      <c r="KGG314" s="8"/>
      <c r="KGH314" s="281"/>
      <c r="KGI314" s="78"/>
      <c r="KGJ314" s="151"/>
      <c r="KGK314" s="278"/>
      <c r="KGL314" s="266"/>
      <c r="KGM314" s="279"/>
      <c r="KGN314" s="211"/>
      <c r="KGO314" s="211"/>
      <c r="KGP314" s="286"/>
      <c r="KGQ314" s="286"/>
      <c r="KGR314" s="280"/>
      <c r="KGS314" s="281"/>
      <c r="KGT314" s="282"/>
      <c r="KGU314" s="242"/>
      <c r="KGV314" s="222"/>
      <c r="KGX314" s="118"/>
      <c r="KGY314" s="8"/>
      <c r="KGZ314" s="281"/>
      <c r="KHA314" s="78"/>
      <c r="KHB314" s="151"/>
      <c r="KHC314" s="278"/>
      <c r="KHD314" s="266"/>
      <c r="KHE314" s="279"/>
      <c r="KHF314" s="211"/>
      <c r="KHG314" s="211"/>
      <c r="KHH314" s="286"/>
      <c r="KHI314" s="286"/>
      <c r="KHJ314" s="280"/>
      <c r="KHK314" s="281"/>
      <c r="KHL314" s="282"/>
      <c r="KHM314" s="242"/>
      <c r="KHN314" s="222"/>
      <c r="KHP314" s="118"/>
      <c r="KHQ314" s="8"/>
      <c r="KHR314" s="281"/>
      <c r="KHS314" s="78"/>
      <c r="KHT314" s="151"/>
      <c r="KHU314" s="278"/>
      <c r="KHV314" s="266"/>
      <c r="KHW314" s="279"/>
      <c r="KHX314" s="211"/>
      <c r="KHY314" s="211"/>
      <c r="KHZ314" s="286"/>
      <c r="KIA314" s="286"/>
      <c r="KIB314" s="280"/>
      <c r="KIC314" s="281"/>
      <c r="KID314" s="282"/>
      <c r="KIE314" s="242"/>
      <c r="KIF314" s="222"/>
      <c r="KIH314" s="118"/>
      <c r="KII314" s="8"/>
      <c r="KIJ314" s="281"/>
      <c r="KIK314" s="78"/>
      <c r="KIL314" s="151"/>
      <c r="KIM314" s="278"/>
      <c r="KIN314" s="266"/>
      <c r="KIO314" s="279"/>
      <c r="KIP314" s="211"/>
      <c r="KIQ314" s="211"/>
      <c r="KIR314" s="286"/>
      <c r="KIS314" s="286"/>
      <c r="KIT314" s="280"/>
      <c r="KIU314" s="281"/>
      <c r="KIV314" s="282"/>
      <c r="KIW314" s="242"/>
      <c r="KIX314" s="222"/>
      <c r="KIZ314" s="118"/>
      <c r="KJA314" s="8"/>
      <c r="KJB314" s="281"/>
      <c r="KJC314" s="78"/>
      <c r="KJD314" s="151"/>
      <c r="KJE314" s="278"/>
      <c r="KJF314" s="266"/>
      <c r="KJG314" s="279"/>
      <c r="KJH314" s="211"/>
      <c r="KJI314" s="211"/>
      <c r="KJJ314" s="286"/>
      <c r="KJK314" s="286"/>
      <c r="KJL314" s="280"/>
      <c r="KJM314" s="281"/>
      <c r="KJN314" s="282"/>
      <c r="KJO314" s="242"/>
      <c r="KJP314" s="222"/>
      <c r="KJR314" s="118"/>
      <c r="KJS314" s="8"/>
      <c r="KJT314" s="281"/>
      <c r="KJU314" s="78"/>
      <c r="KJV314" s="151"/>
      <c r="KJW314" s="278"/>
      <c r="KJX314" s="266"/>
      <c r="KJY314" s="279"/>
      <c r="KJZ314" s="211"/>
      <c r="KKA314" s="211"/>
      <c r="KKB314" s="286"/>
      <c r="KKC314" s="286"/>
      <c r="KKD314" s="280"/>
      <c r="KKE314" s="281"/>
      <c r="KKF314" s="282"/>
      <c r="KKG314" s="242"/>
      <c r="KKH314" s="222"/>
      <c r="KKJ314" s="118"/>
      <c r="KKK314" s="8"/>
      <c r="KKL314" s="281"/>
      <c r="KKM314" s="78"/>
      <c r="KKN314" s="151"/>
      <c r="KKO314" s="278"/>
      <c r="KKP314" s="266"/>
      <c r="KKQ314" s="279"/>
      <c r="KKR314" s="211"/>
      <c r="KKS314" s="211"/>
      <c r="KKT314" s="286"/>
      <c r="KKU314" s="286"/>
      <c r="KKV314" s="280"/>
      <c r="KKW314" s="281"/>
      <c r="KKX314" s="282"/>
      <c r="KKY314" s="242"/>
      <c r="KKZ314" s="222"/>
      <c r="KLB314" s="118"/>
      <c r="KLC314" s="8"/>
      <c r="KLD314" s="281"/>
      <c r="KLE314" s="78"/>
      <c r="KLF314" s="151"/>
      <c r="KLG314" s="278"/>
      <c r="KLH314" s="266"/>
      <c r="KLI314" s="279"/>
      <c r="KLJ314" s="211"/>
      <c r="KLK314" s="211"/>
      <c r="KLL314" s="286"/>
      <c r="KLM314" s="286"/>
      <c r="KLN314" s="280"/>
      <c r="KLO314" s="281"/>
      <c r="KLP314" s="282"/>
      <c r="KLQ314" s="242"/>
      <c r="KLR314" s="222"/>
      <c r="KLT314" s="118"/>
      <c r="KLU314" s="8"/>
      <c r="KLV314" s="281"/>
      <c r="KLW314" s="78"/>
      <c r="KLX314" s="151"/>
      <c r="KLY314" s="278"/>
      <c r="KLZ314" s="266"/>
      <c r="KMA314" s="279"/>
      <c r="KMB314" s="211"/>
      <c r="KMC314" s="211"/>
      <c r="KMD314" s="286"/>
      <c r="KME314" s="286"/>
      <c r="KMF314" s="280"/>
      <c r="KMG314" s="281"/>
      <c r="KMH314" s="282"/>
      <c r="KMI314" s="242"/>
      <c r="KMJ314" s="222"/>
      <c r="KML314" s="118"/>
      <c r="KMM314" s="8"/>
      <c r="KMN314" s="281"/>
      <c r="KMO314" s="78"/>
      <c r="KMP314" s="151"/>
      <c r="KMQ314" s="278"/>
      <c r="KMR314" s="266"/>
      <c r="KMS314" s="279"/>
      <c r="KMT314" s="211"/>
      <c r="KMU314" s="211"/>
      <c r="KMV314" s="286"/>
      <c r="KMW314" s="286"/>
      <c r="KMX314" s="280"/>
      <c r="KMY314" s="281"/>
      <c r="KMZ314" s="282"/>
      <c r="KNA314" s="242"/>
      <c r="KNB314" s="222"/>
      <c r="KND314" s="118"/>
      <c r="KNE314" s="8"/>
      <c r="KNF314" s="281"/>
      <c r="KNG314" s="78"/>
      <c r="KNH314" s="151"/>
      <c r="KNI314" s="278"/>
      <c r="KNJ314" s="266"/>
      <c r="KNK314" s="279"/>
      <c r="KNL314" s="211"/>
      <c r="KNM314" s="211"/>
      <c r="KNN314" s="286"/>
      <c r="KNO314" s="286"/>
      <c r="KNP314" s="280"/>
      <c r="KNQ314" s="281"/>
      <c r="KNR314" s="282"/>
      <c r="KNS314" s="242"/>
      <c r="KNT314" s="222"/>
      <c r="KNV314" s="118"/>
      <c r="KNW314" s="8"/>
      <c r="KNX314" s="281"/>
      <c r="KNY314" s="78"/>
      <c r="KNZ314" s="151"/>
      <c r="KOA314" s="278"/>
      <c r="KOB314" s="266"/>
      <c r="KOC314" s="279"/>
      <c r="KOD314" s="211"/>
      <c r="KOE314" s="211"/>
      <c r="KOF314" s="286"/>
      <c r="KOG314" s="286"/>
      <c r="KOH314" s="280"/>
      <c r="KOI314" s="281"/>
      <c r="KOJ314" s="282"/>
      <c r="KOK314" s="242"/>
      <c r="KOL314" s="222"/>
      <c r="KON314" s="118"/>
      <c r="KOO314" s="8"/>
      <c r="KOP314" s="281"/>
      <c r="KOQ314" s="78"/>
      <c r="KOR314" s="151"/>
      <c r="KOS314" s="278"/>
      <c r="KOT314" s="266"/>
      <c r="KOU314" s="279"/>
      <c r="KOV314" s="211"/>
      <c r="KOW314" s="211"/>
      <c r="KOX314" s="286"/>
      <c r="KOY314" s="286"/>
      <c r="KOZ314" s="280"/>
      <c r="KPA314" s="281"/>
      <c r="KPB314" s="282"/>
      <c r="KPC314" s="242"/>
      <c r="KPD314" s="222"/>
      <c r="KPF314" s="118"/>
      <c r="KPG314" s="8"/>
      <c r="KPH314" s="281"/>
      <c r="KPI314" s="78"/>
      <c r="KPJ314" s="151"/>
      <c r="KPK314" s="278"/>
      <c r="KPL314" s="266"/>
      <c r="KPM314" s="279"/>
      <c r="KPN314" s="211"/>
      <c r="KPO314" s="211"/>
      <c r="KPP314" s="286"/>
      <c r="KPQ314" s="286"/>
      <c r="KPR314" s="280"/>
      <c r="KPS314" s="281"/>
      <c r="KPT314" s="282"/>
      <c r="KPU314" s="242"/>
      <c r="KPV314" s="222"/>
      <c r="KPX314" s="118"/>
      <c r="KPY314" s="8"/>
      <c r="KPZ314" s="281"/>
      <c r="KQA314" s="78"/>
      <c r="KQB314" s="151"/>
      <c r="KQC314" s="278"/>
      <c r="KQD314" s="266"/>
      <c r="KQE314" s="279"/>
      <c r="KQF314" s="211"/>
      <c r="KQG314" s="211"/>
      <c r="KQH314" s="286"/>
      <c r="KQI314" s="286"/>
      <c r="KQJ314" s="280"/>
      <c r="KQK314" s="281"/>
      <c r="KQL314" s="282"/>
      <c r="KQM314" s="242"/>
      <c r="KQN314" s="222"/>
      <c r="KQP314" s="118"/>
      <c r="KQQ314" s="8"/>
      <c r="KQR314" s="281"/>
      <c r="KQS314" s="78"/>
      <c r="KQT314" s="151"/>
      <c r="KQU314" s="278"/>
      <c r="KQV314" s="266"/>
      <c r="KQW314" s="279"/>
      <c r="KQX314" s="211"/>
      <c r="KQY314" s="211"/>
      <c r="KQZ314" s="286"/>
      <c r="KRA314" s="286"/>
      <c r="KRB314" s="280"/>
      <c r="KRC314" s="281"/>
      <c r="KRD314" s="282"/>
      <c r="KRE314" s="242"/>
      <c r="KRF314" s="222"/>
      <c r="KRH314" s="118"/>
      <c r="KRI314" s="8"/>
      <c r="KRJ314" s="281"/>
      <c r="KRK314" s="78"/>
      <c r="KRL314" s="151"/>
      <c r="KRM314" s="278"/>
      <c r="KRN314" s="266"/>
      <c r="KRO314" s="279"/>
      <c r="KRP314" s="211"/>
      <c r="KRQ314" s="211"/>
      <c r="KRR314" s="286"/>
      <c r="KRS314" s="286"/>
      <c r="KRT314" s="280"/>
      <c r="KRU314" s="281"/>
      <c r="KRV314" s="282"/>
      <c r="KRW314" s="242"/>
      <c r="KRX314" s="222"/>
      <c r="KRZ314" s="118"/>
      <c r="KSA314" s="8"/>
      <c r="KSB314" s="281"/>
      <c r="KSC314" s="78"/>
      <c r="KSD314" s="151"/>
      <c r="KSE314" s="278"/>
      <c r="KSF314" s="266"/>
      <c r="KSG314" s="279"/>
      <c r="KSH314" s="211"/>
      <c r="KSI314" s="211"/>
      <c r="KSJ314" s="286"/>
      <c r="KSK314" s="286"/>
      <c r="KSL314" s="280"/>
      <c r="KSM314" s="281"/>
      <c r="KSN314" s="282"/>
      <c r="KSO314" s="242"/>
      <c r="KSP314" s="222"/>
      <c r="KSR314" s="118"/>
      <c r="KSS314" s="8"/>
      <c r="KST314" s="281"/>
      <c r="KSU314" s="78"/>
      <c r="KSV314" s="151"/>
      <c r="KSW314" s="278"/>
      <c r="KSX314" s="266"/>
      <c r="KSY314" s="279"/>
      <c r="KSZ314" s="211"/>
      <c r="KTA314" s="211"/>
      <c r="KTB314" s="286"/>
      <c r="KTC314" s="286"/>
      <c r="KTD314" s="280"/>
      <c r="KTE314" s="281"/>
      <c r="KTF314" s="282"/>
      <c r="KTG314" s="242"/>
      <c r="KTH314" s="222"/>
      <c r="KTJ314" s="118"/>
      <c r="KTK314" s="8"/>
      <c r="KTL314" s="281"/>
      <c r="KTM314" s="78"/>
      <c r="KTN314" s="151"/>
      <c r="KTO314" s="278"/>
      <c r="KTP314" s="266"/>
      <c r="KTQ314" s="279"/>
      <c r="KTR314" s="211"/>
      <c r="KTS314" s="211"/>
      <c r="KTT314" s="286"/>
      <c r="KTU314" s="286"/>
      <c r="KTV314" s="280"/>
      <c r="KTW314" s="281"/>
      <c r="KTX314" s="282"/>
      <c r="KTY314" s="242"/>
      <c r="KTZ314" s="222"/>
      <c r="KUB314" s="118"/>
      <c r="KUC314" s="8"/>
      <c r="KUD314" s="281"/>
      <c r="KUE314" s="78"/>
      <c r="KUF314" s="151"/>
      <c r="KUG314" s="278"/>
      <c r="KUH314" s="266"/>
      <c r="KUI314" s="279"/>
      <c r="KUJ314" s="211"/>
      <c r="KUK314" s="211"/>
      <c r="KUL314" s="286"/>
      <c r="KUM314" s="286"/>
      <c r="KUN314" s="280"/>
      <c r="KUO314" s="281"/>
      <c r="KUP314" s="282"/>
      <c r="KUQ314" s="242"/>
      <c r="KUR314" s="222"/>
      <c r="KUT314" s="118"/>
      <c r="KUU314" s="8"/>
      <c r="KUV314" s="281"/>
      <c r="KUW314" s="78"/>
      <c r="KUX314" s="151"/>
      <c r="KUY314" s="278"/>
      <c r="KUZ314" s="266"/>
      <c r="KVA314" s="279"/>
      <c r="KVB314" s="211"/>
      <c r="KVC314" s="211"/>
      <c r="KVD314" s="286"/>
      <c r="KVE314" s="286"/>
      <c r="KVF314" s="280"/>
      <c r="KVG314" s="281"/>
      <c r="KVH314" s="282"/>
      <c r="KVI314" s="242"/>
      <c r="KVJ314" s="222"/>
      <c r="KVL314" s="118"/>
      <c r="KVM314" s="8"/>
      <c r="KVN314" s="281"/>
      <c r="KVO314" s="78"/>
      <c r="KVP314" s="151"/>
      <c r="KVQ314" s="278"/>
      <c r="KVR314" s="266"/>
      <c r="KVS314" s="279"/>
      <c r="KVT314" s="211"/>
      <c r="KVU314" s="211"/>
      <c r="KVV314" s="286"/>
      <c r="KVW314" s="286"/>
      <c r="KVX314" s="280"/>
      <c r="KVY314" s="281"/>
      <c r="KVZ314" s="282"/>
      <c r="KWA314" s="242"/>
      <c r="KWB314" s="222"/>
      <c r="KWD314" s="118"/>
      <c r="KWE314" s="8"/>
      <c r="KWF314" s="281"/>
      <c r="KWG314" s="78"/>
      <c r="KWH314" s="151"/>
      <c r="KWI314" s="278"/>
      <c r="KWJ314" s="266"/>
      <c r="KWK314" s="279"/>
      <c r="KWL314" s="211"/>
      <c r="KWM314" s="211"/>
      <c r="KWN314" s="286"/>
      <c r="KWO314" s="286"/>
      <c r="KWP314" s="280"/>
      <c r="KWQ314" s="281"/>
      <c r="KWR314" s="282"/>
      <c r="KWS314" s="242"/>
      <c r="KWT314" s="222"/>
      <c r="KWV314" s="118"/>
      <c r="KWW314" s="8"/>
      <c r="KWX314" s="281"/>
      <c r="KWY314" s="78"/>
      <c r="KWZ314" s="151"/>
      <c r="KXA314" s="278"/>
      <c r="KXB314" s="266"/>
      <c r="KXC314" s="279"/>
      <c r="KXD314" s="211"/>
      <c r="KXE314" s="211"/>
      <c r="KXF314" s="286"/>
      <c r="KXG314" s="286"/>
      <c r="KXH314" s="280"/>
      <c r="KXI314" s="281"/>
      <c r="KXJ314" s="282"/>
      <c r="KXK314" s="242"/>
      <c r="KXL314" s="222"/>
      <c r="KXN314" s="118"/>
      <c r="KXO314" s="8"/>
      <c r="KXP314" s="281"/>
      <c r="KXQ314" s="78"/>
      <c r="KXR314" s="151"/>
      <c r="KXS314" s="278"/>
      <c r="KXT314" s="266"/>
      <c r="KXU314" s="279"/>
      <c r="KXV314" s="211"/>
      <c r="KXW314" s="211"/>
      <c r="KXX314" s="286"/>
      <c r="KXY314" s="286"/>
      <c r="KXZ314" s="280"/>
      <c r="KYA314" s="281"/>
      <c r="KYB314" s="282"/>
      <c r="KYC314" s="242"/>
      <c r="KYD314" s="222"/>
      <c r="KYF314" s="118"/>
      <c r="KYG314" s="8"/>
      <c r="KYH314" s="281"/>
      <c r="KYI314" s="78"/>
      <c r="KYJ314" s="151"/>
      <c r="KYK314" s="278"/>
      <c r="KYL314" s="266"/>
      <c r="KYM314" s="279"/>
      <c r="KYN314" s="211"/>
      <c r="KYO314" s="211"/>
      <c r="KYP314" s="286"/>
      <c r="KYQ314" s="286"/>
      <c r="KYR314" s="280"/>
      <c r="KYS314" s="281"/>
      <c r="KYT314" s="282"/>
      <c r="KYU314" s="242"/>
      <c r="KYV314" s="222"/>
      <c r="KYX314" s="118"/>
      <c r="KYY314" s="8"/>
      <c r="KYZ314" s="281"/>
      <c r="KZA314" s="78"/>
      <c r="KZB314" s="151"/>
      <c r="KZC314" s="278"/>
      <c r="KZD314" s="266"/>
      <c r="KZE314" s="279"/>
      <c r="KZF314" s="211"/>
      <c r="KZG314" s="211"/>
      <c r="KZH314" s="286"/>
      <c r="KZI314" s="286"/>
      <c r="KZJ314" s="280"/>
      <c r="KZK314" s="281"/>
      <c r="KZL314" s="282"/>
      <c r="KZM314" s="242"/>
      <c r="KZN314" s="222"/>
      <c r="KZP314" s="118"/>
      <c r="KZQ314" s="8"/>
      <c r="KZR314" s="281"/>
      <c r="KZS314" s="78"/>
      <c r="KZT314" s="151"/>
      <c r="KZU314" s="278"/>
      <c r="KZV314" s="266"/>
      <c r="KZW314" s="279"/>
      <c r="KZX314" s="211"/>
      <c r="KZY314" s="211"/>
      <c r="KZZ314" s="286"/>
      <c r="LAA314" s="286"/>
      <c r="LAB314" s="280"/>
      <c r="LAC314" s="281"/>
      <c r="LAD314" s="282"/>
      <c r="LAE314" s="242"/>
      <c r="LAF314" s="222"/>
      <c r="LAH314" s="118"/>
      <c r="LAI314" s="8"/>
      <c r="LAJ314" s="281"/>
      <c r="LAK314" s="78"/>
      <c r="LAL314" s="151"/>
      <c r="LAM314" s="278"/>
      <c r="LAN314" s="266"/>
      <c r="LAO314" s="279"/>
      <c r="LAP314" s="211"/>
      <c r="LAQ314" s="211"/>
      <c r="LAR314" s="286"/>
      <c r="LAS314" s="286"/>
      <c r="LAT314" s="280"/>
      <c r="LAU314" s="281"/>
      <c r="LAV314" s="282"/>
      <c r="LAW314" s="242"/>
      <c r="LAX314" s="222"/>
      <c r="LAZ314" s="118"/>
      <c r="LBA314" s="8"/>
      <c r="LBB314" s="281"/>
      <c r="LBC314" s="78"/>
      <c r="LBD314" s="151"/>
      <c r="LBE314" s="278"/>
      <c r="LBF314" s="266"/>
      <c r="LBG314" s="279"/>
      <c r="LBH314" s="211"/>
      <c r="LBI314" s="211"/>
      <c r="LBJ314" s="286"/>
      <c r="LBK314" s="286"/>
      <c r="LBL314" s="280"/>
      <c r="LBM314" s="281"/>
      <c r="LBN314" s="282"/>
      <c r="LBO314" s="242"/>
      <c r="LBP314" s="222"/>
      <c r="LBR314" s="118"/>
      <c r="LBS314" s="8"/>
      <c r="LBT314" s="281"/>
      <c r="LBU314" s="78"/>
      <c r="LBV314" s="151"/>
      <c r="LBW314" s="278"/>
      <c r="LBX314" s="266"/>
      <c r="LBY314" s="279"/>
      <c r="LBZ314" s="211"/>
      <c r="LCA314" s="211"/>
      <c r="LCB314" s="286"/>
      <c r="LCC314" s="286"/>
      <c r="LCD314" s="280"/>
      <c r="LCE314" s="281"/>
      <c r="LCF314" s="282"/>
      <c r="LCG314" s="242"/>
      <c r="LCH314" s="222"/>
      <c r="LCJ314" s="118"/>
      <c r="LCK314" s="8"/>
      <c r="LCL314" s="281"/>
      <c r="LCM314" s="78"/>
      <c r="LCN314" s="151"/>
      <c r="LCO314" s="278"/>
      <c r="LCP314" s="266"/>
      <c r="LCQ314" s="279"/>
      <c r="LCR314" s="211"/>
      <c r="LCS314" s="211"/>
      <c r="LCT314" s="286"/>
      <c r="LCU314" s="286"/>
      <c r="LCV314" s="280"/>
      <c r="LCW314" s="281"/>
      <c r="LCX314" s="282"/>
      <c r="LCY314" s="242"/>
      <c r="LCZ314" s="222"/>
      <c r="LDB314" s="118"/>
      <c r="LDC314" s="8"/>
      <c r="LDD314" s="281"/>
      <c r="LDE314" s="78"/>
      <c r="LDF314" s="151"/>
      <c r="LDG314" s="278"/>
      <c r="LDH314" s="266"/>
      <c r="LDI314" s="279"/>
      <c r="LDJ314" s="211"/>
      <c r="LDK314" s="211"/>
      <c r="LDL314" s="286"/>
      <c r="LDM314" s="286"/>
      <c r="LDN314" s="280"/>
      <c r="LDO314" s="281"/>
      <c r="LDP314" s="282"/>
      <c r="LDQ314" s="242"/>
      <c r="LDR314" s="222"/>
      <c r="LDT314" s="118"/>
      <c r="LDU314" s="8"/>
      <c r="LDV314" s="281"/>
      <c r="LDW314" s="78"/>
      <c r="LDX314" s="151"/>
      <c r="LDY314" s="278"/>
      <c r="LDZ314" s="266"/>
      <c r="LEA314" s="279"/>
      <c r="LEB314" s="211"/>
      <c r="LEC314" s="211"/>
      <c r="LED314" s="286"/>
      <c r="LEE314" s="286"/>
      <c r="LEF314" s="280"/>
      <c r="LEG314" s="281"/>
      <c r="LEH314" s="282"/>
      <c r="LEI314" s="242"/>
      <c r="LEJ314" s="222"/>
      <c r="LEL314" s="118"/>
      <c r="LEM314" s="8"/>
      <c r="LEN314" s="281"/>
      <c r="LEO314" s="78"/>
      <c r="LEP314" s="151"/>
      <c r="LEQ314" s="278"/>
      <c r="LER314" s="266"/>
      <c r="LES314" s="279"/>
      <c r="LET314" s="211"/>
      <c r="LEU314" s="211"/>
      <c r="LEV314" s="286"/>
      <c r="LEW314" s="286"/>
      <c r="LEX314" s="280"/>
      <c r="LEY314" s="281"/>
      <c r="LEZ314" s="282"/>
      <c r="LFA314" s="242"/>
      <c r="LFB314" s="222"/>
      <c r="LFD314" s="118"/>
      <c r="LFE314" s="8"/>
      <c r="LFF314" s="281"/>
      <c r="LFG314" s="78"/>
      <c r="LFH314" s="151"/>
      <c r="LFI314" s="278"/>
      <c r="LFJ314" s="266"/>
      <c r="LFK314" s="279"/>
      <c r="LFL314" s="211"/>
      <c r="LFM314" s="211"/>
      <c r="LFN314" s="286"/>
      <c r="LFO314" s="286"/>
      <c r="LFP314" s="280"/>
      <c r="LFQ314" s="281"/>
      <c r="LFR314" s="282"/>
      <c r="LFS314" s="242"/>
      <c r="LFT314" s="222"/>
      <c r="LFV314" s="118"/>
      <c r="LFW314" s="8"/>
      <c r="LFX314" s="281"/>
      <c r="LFY314" s="78"/>
      <c r="LFZ314" s="151"/>
      <c r="LGA314" s="278"/>
      <c r="LGB314" s="266"/>
      <c r="LGC314" s="279"/>
      <c r="LGD314" s="211"/>
      <c r="LGE314" s="211"/>
      <c r="LGF314" s="286"/>
      <c r="LGG314" s="286"/>
      <c r="LGH314" s="280"/>
      <c r="LGI314" s="281"/>
      <c r="LGJ314" s="282"/>
      <c r="LGK314" s="242"/>
      <c r="LGL314" s="222"/>
      <c r="LGN314" s="118"/>
      <c r="LGO314" s="8"/>
      <c r="LGP314" s="281"/>
      <c r="LGQ314" s="78"/>
      <c r="LGR314" s="151"/>
      <c r="LGS314" s="278"/>
      <c r="LGT314" s="266"/>
      <c r="LGU314" s="279"/>
      <c r="LGV314" s="211"/>
      <c r="LGW314" s="211"/>
      <c r="LGX314" s="286"/>
      <c r="LGY314" s="286"/>
      <c r="LGZ314" s="280"/>
      <c r="LHA314" s="281"/>
      <c r="LHB314" s="282"/>
      <c r="LHC314" s="242"/>
      <c r="LHD314" s="222"/>
      <c r="LHF314" s="118"/>
      <c r="LHG314" s="8"/>
      <c r="LHH314" s="281"/>
      <c r="LHI314" s="78"/>
      <c r="LHJ314" s="151"/>
      <c r="LHK314" s="278"/>
      <c r="LHL314" s="266"/>
      <c r="LHM314" s="279"/>
      <c r="LHN314" s="211"/>
      <c r="LHO314" s="211"/>
      <c r="LHP314" s="286"/>
      <c r="LHQ314" s="286"/>
      <c r="LHR314" s="280"/>
      <c r="LHS314" s="281"/>
      <c r="LHT314" s="282"/>
      <c r="LHU314" s="242"/>
      <c r="LHV314" s="222"/>
      <c r="LHX314" s="118"/>
      <c r="LHY314" s="8"/>
      <c r="LHZ314" s="281"/>
      <c r="LIA314" s="78"/>
      <c r="LIB314" s="151"/>
      <c r="LIC314" s="278"/>
      <c r="LID314" s="266"/>
      <c r="LIE314" s="279"/>
      <c r="LIF314" s="211"/>
      <c r="LIG314" s="211"/>
      <c r="LIH314" s="286"/>
      <c r="LII314" s="286"/>
      <c r="LIJ314" s="280"/>
      <c r="LIK314" s="281"/>
      <c r="LIL314" s="282"/>
      <c r="LIM314" s="242"/>
      <c r="LIN314" s="222"/>
      <c r="LIP314" s="118"/>
      <c r="LIQ314" s="8"/>
      <c r="LIR314" s="281"/>
      <c r="LIS314" s="78"/>
      <c r="LIT314" s="151"/>
      <c r="LIU314" s="278"/>
      <c r="LIV314" s="266"/>
      <c r="LIW314" s="279"/>
      <c r="LIX314" s="211"/>
      <c r="LIY314" s="211"/>
      <c r="LIZ314" s="286"/>
      <c r="LJA314" s="286"/>
      <c r="LJB314" s="280"/>
      <c r="LJC314" s="281"/>
      <c r="LJD314" s="282"/>
      <c r="LJE314" s="242"/>
      <c r="LJF314" s="222"/>
      <c r="LJH314" s="118"/>
      <c r="LJI314" s="8"/>
      <c r="LJJ314" s="281"/>
      <c r="LJK314" s="78"/>
      <c r="LJL314" s="151"/>
      <c r="LJM314" s="278"/>
      <c r="LJN314" s="266"/>
      <c r="LJO314" s="279"/>
      <c r="LJP314" s="211"/>
      <c r="LJQ314" s="211"/>
      <c r="LJR314" s="286"/>
      <c r="LJS314" s="286"/>
      <c r="LJT314" s="280"/>
      <c r="LJU314" s="281"/>
      <c r="LJV314" s="282"/>
      <c r="LJW314" s="242"/>
      <c r="LJX314" s="222"/>
      <c r="LJZ314" s="118"/>
      <c r="LKA314" s="8"/>
      <c r="LKB314" s="281"/>
      <c r="LKC314" s="78"/>
      <c r="LKD314" s="151"/>
      <c r="LKE314" s="278"/>
      <c r="LKF314" s="266"/>
      <c r="LKG314" s="279"/>
      <c r="LKH314" s="211"/>
      <c r="LKI314" s="211"/>
      <c r="LKJ314" s="286"/>
      <c r="LKK314" s="286"/>
      <c r="LKL314" s="280"/>
      <c r="LKM314" s="281"/>
      <c r="LKN314" s="282"/>
      <c r="LKO314" s="242"/>
      <c r="LKP314" s="222"/>
      <c r="LKR314" s="118"/>
      <c r="LKS314" s="8"/>
      <c r="LKT314" s="281"/>
      <c r="LKU314" s="78"/>
      <c r="LKV314" s="151"/>
      <c r="LKW314" s="278"/>
      <c r="LKX314" s="266"/>
      <c r="LKY314" s="279"/>
      <c r="LKZ314" s="211"/>
      <c r="LLA314" s="211"/>
      <c r="LLB314" s="286"/>
      <c r="LLC314" s="286"/>
      <c r="LLD314" s="280"/>
      <c r="LLE314" s="281"/>
      <c r="LLF314" s="282"/>
      <c r="LLG314" s="242"/>
      <c r="LLH314" s="222"/>
      <c r="LLJ314" s="118"/>
      <c r="LLK314" s="8"/>
      <c r="LLL314" s="281"/>
      <c r="LLM314" s="78"/>
      <c r="LLN314" s="151"/>
      <c r="LLO314" s="278"/>
      <c r="LLP314" s="266"/>
      <c r="LLQ314" s="279"/>
      <c r="LLR314" s="211"/>
      <c r="LLS314" s="211"/>
      <c r="LLT314" s="286"/>
      <c r="LLU314" s="286"/>
      <c r="LLV314" s="280"/>
      <c r="LLW314" s="281"/>
      <c r="LLX314" s="282"/>
      <c r="LLY314" s="242"/>
      <c r="LLZ314" s="222"/>
      <c r="LMB314" s="118"/>
      <c r="LMC314" s="8"/>
      <c r="LMD314" s="281"/>
      <c r="LME314" s="78"/>
      <c r="LMF314" s="151"/>
      <c r="LMG314" s="278"/>
      <c r="LMH314" s="266"/>
      <c r="LMI314" s="279"/>
      <c r="LMJ314" s="211"/>
      <c r="LMK314" s="211"/>
      <c r="LML314" s="286"/>
      <c r="LMM314" s="286"/>
      <c r="LMN314" s="280"/>
      <c r="LMO314" s="281"/>
      <c r="LMP314" s="282"/>
      <c r="LMQ314" s="242"/>
      <c r="LMR314" s="222"/>
      <c r="LMT314" s="118"/>
      <c r="LMU314" s="8"/>
      <c r="LMV314" s="281"/>
      <c r="LMW314" s="78"/>
      <c r="LMX314" s="151"/>
      <c r="LMY314" s="278"/>
      <c r="LMZ314" s="266"/>
      <c r="LNA314" s="279"/>
      <c r="LNB314" s="211"/>
      <c r="LNC314" s="211"/>
      <c r="LND314" s="286"/>
      <c r="LNE314" s="286"/>
      <c r="LNF314" s="280"/>
      <c r="LNG314" s="281"/>
      <c r="LNH314" s="282"/>
      <c r="LNI314" s="242"/>
      <c r="LNJ314" s="222"/>
      <c r="LNL314" s="118"/>
      <c r="LNM314" s="8"/>
      <c r="LNN314" s="281"/>
      <c r="LNO314" s="78"/>
      <c r="LNP314" s="151"/>
      <c r="LNQ314" s="278"/>
      <c r="LNR314" s="266"/>
      <c r="LNS314" s="279"/>
      <c r="LNT314" s="211"/>
      <c r="LNU314" s="211"/>
      <c r="LNV314" s="286"/>
      <c r="LNW314" s="286"/>
      <c r="LNX314" s="280"/>
      <c r="LNY314" s="281"/>
      <c r="LNZ314" s="282"/>
      <c r="LOA314" s="242"/>
      <c r="LOB314" s="222"/>
      <c r="LOD314" s="118"/>
      <c r="LOE314" s="8"/>
      <c r="LOF314" s="281"/>
      <c r="LOG314" s="78"/>
      <c r="LOH314" s="151"/>
      <c r="LOI314" s="278"/>
      <c r="LOJ314" s="266"/>
      <c r="LOK314" s="279"/>
      <c r="LOL314" s="211"/>
      <c r="LOM314" s="211"/>
      <c r="LON314" s="286"/>
      <c r="LOO314" s="286"/>
      <c r="LOP314" s="280"/>
      <c r="LOQ314" s="281"/>
      <c r="LOR314" s="282"/>
      <c r="LOS314" s="242"/>
      <c r="LOT314" s="222"/>
      <c r="LOV314" s="118"/>
      <c r="LOW314" s="8"/>
      <c r="LOX314" s="281"/>
      <c r="LOY314" s="78"/>
      <c r="LOZ314" s="151"/>
      <c r="LPA314" s="278"/>
      <c r="LPB314" s="266"/>
      <c r="LPC314" s="279"/>
      <c r="LPD314" s="211"/>
      <c r="LPE314" s="211"/>
      <c r="LPF314" s="286"/>
      <c r="LPG314" s="286"/>
      <c r="LPH314" s="280"/>
      <c r="LPI314" s="281"/>
      <c r="LPJ314" s="282"/>
      <c r="LPK314" s="242"/>
      <c r="LPL314" s="222"/>
      <c r="LPN314" s="118"/>
      <c r="LPO314" s="8"/>
      <c r="LPP314" s="281"/>
      <c r="LPQ314" s="78"/>
      <c r="LPR314" s="151"/>
      <c r="LPS314" s="278"/>
      <c r="LPT314" s="266"/>
      <c r="LPU314" s="279"/>
      <c r="LPV314" s="211"/>
      <c r="LPW314" s="211"/>
      <c r="LPX314" s="286"/>
      <c r="LPY314" s="286"/>
      <c r="LPZ314" s="280"/>
      <c r="LQA314" s="281"/>
      <c r="LQB314" s="282"/>
      <c r="LQC314" s="242"/>
      <c r="LQD314" s="222"/>
      <c r="LQF314" s="118"/>
      <c r="LQG314" s="8"/>
      <c r="LQH314" s="281"/>
      <c r="LQI314" s="78"/>
      <c r="LQJ314" s="151"/>
      <c r="LQK314" s="278"/>
      <c r="LQL314" s="266"/>
      <c r="LQM314" s="279"/>
      <c r="LQN314" s="211"/>
      <c r="LQO314" s="211"/>
      <c r="LQP314" s="286"/>
      <c r="LQQ314" s="286"/>
      <c r="LQR314" s="280"/>
      <c r="LQS314" s="281"/>
      <c r="LQT314" s="282"/>
      <c r="LQU314" s="242"/>
      <c r="LQV314" s="222"/>
      <c r="LQX314" s="118"/>
      <c r="LQY314" s="8"/>
      <c r="LQZ314" s="281"/>
      <c r="LRA314" s="78"/>
      <c r="LRB314" s="151"/>
      <c r="LRC314" s="278"/>
      <c r="LRD314" s="266"/>
      <c r="LRE314" s="279"/>
      <c r="LRF314" s="211"/>
      <c r="LRG314" s="211"/>
      <c r="LRH314" s="286"/>
      <c r="LRI314" s="286"/>
      <c r="LRJ314" s="280"/>
      <c r="LRK314" s="281"/>
      <c r="LRL314" s="282"/>
      <c r="LRM314" s="242"/>
      <c r="LRN314" s="222"/>
      <c r="LRP314" s="118"/>
      <c r="LRQ314" s="8"/>
      <c r="LRR314" s="281"/>
      <c r="LRS314" s="78"/>
      <c r="LRT314" s="151"/>
      <c r="LRU314" s="278"/>
      <c r="LRV314" s="266"/>
      <c r="LRW314" s="279"/>
      <c r="LRX314" s="211"/>
      <c r="LRY314" s="211"/>
      <c r="LRZ314" s="286"/>
      <c r="LSA314" s="286"/>
      <c r="LSB314" s="280"/>
      <c r="LSC314" s="281"/>
      <c r="LSD314" s="282"/>
      <c r="LSE314" s="242"/>
      <c r="LSF314" s="222"/>
      <c r="LSH314" s="118"/>
      <c r="LSI314" s="8"/>
      <c r="LSJ314" s="281"/>
      <c r="LSK314" s="78"/>
      <c r="LSL314" s="151"/>
      <c r="LSM314" s="278"/>
      <c r="LSN314" s="266"/>
      <c r="LSO314" s="279"/>
      <c r="LSP314" s="211"/>
      <c r="LSQ314" s="211"/>
      <c r="LSR314" s="286"/>
      <c r="LSS314" s="286"/>
      <c r="LST314" s="280"/>
      <c r="LSU314" s="281"/>
      <c r="LSV314" s="282"/>
      <c r="LSW314" s="242"/>
      <c r="LSX314" s="222"/>
      <c r="LSZ314" s="118"/>
      <c r="LTA314" s="8"/>
      <c r="LTB314" s="281"/>
      <c r="LTC314" s="78"/>
      <c r="LTD314" s="151"/>
      <c r="LTE314" s="278"/>
      <c r="LTF314" s="266"/>
      <c r="LTG314" s="279"/>
      <c r="LTH314" s="211"/>
      <c r="LTI314" s="211"/>
      <c r="LTJ314" s="286"/>
      <c r="LTK314" s="286"/>
      <c r="LTL314" s="280"/>
      <c r="LTM314" s="281"/>
      <c r="LTN314" s="282"/>
      <c r="LTO314" s="242"/>
      <c r="LTP314" s="222"/>
      <c r="LTR314" s="118"/>
      <c r="LTS314" s="8"/>
      <c r="LTT314" s="281"/>
      <c r="LTU314" s="78"/>
      <c r="LTV314" s="151"/>
      <c r="LTW314" s="278"/>
      <c r="LTX314" s="266"/>
      <c r="LTY314" s="279"/>
      <c r="LTZ314" s="211"/>
      <c r="LUA314" s="211"/>
      <c r="LUB314" s="286"/>
      <c r="LUC314" s="286"/>
      <c r="LUD314" s="280"/>
      <c r="LUE314" s="281"/>
      <c r="LUF314" s="282"/>
      <c r="LUG314" s="242"/>
      <c r="LUH314" s="222"/>
      <c r="LUJ314" s="118"/>
      <c r="LUK314" s="8"/>
      <c r="LUL314" s="281"/>
      <c r="LUM314" s="78"/>
      <c r="LUN314" s="151"/>
      <c r="LUO314" s="278"/>
      <c r="LUP314" s="266"/>
      <c r="LUQ314" s="279"/>
      <c r="LUR314" s="211"/>
      <c r="LUS314" s="211"/>
      <c r="LUT314" s="286"/>
      <c r="LUU314" s="286"/>
      <c r="LUV314" s="280"/>
      <c r="LUW314" s="281"/>
      <c r="LUX314" s="282"/>
      <c r="LUY314" s="242"/>
      <c r="LUZ314" s="222"/>
      <c r="LVB314" s="118"/>
      <c r="LVC314" s="8"/>
      <c r="LVD314" s="281"/>
      <c r="LVE314" s="78"/>
      <c r="LVF314" s="151"/>
      <c r="LVG314" s="278"/>
      <c r="LVH314" s="266"/>
      <c r="LVI314" s="279"/>
      <c r="LVJ314" s="211"/>
      <c r="LVK314" s="211"/>
      <c r="LVL314" s="286"/>
      <c r="LVM314" s="286"/>
      <c r="LVN314" s="280"/>
      <c r="LVO314" s="281"/>
      <c r="LVP314" s="282"/>
      <c r="LVQ314" s="242"/>
      <c r="LVR314" s="222"/>
      <c r="LVT314" s="118"/>
      <c r="LVU314" s="8"/>
      <c r="LVV314" s="281"/>
      <c r="LVW314" s="78"/>
      <c r="LVX314" s="151"/>
      <c r="LVY314" s="278"/>
      <c r="LVZ314" s="266"/>
      <c r="LWA314" s="279"/>
      <c r="LWB314" s="211"/>
      <c r="LWC314" s="211"/>
      <c r="LWD314" s="286"/>
      <c r="LWE314" s="286"/>
      <c r="LWF314" s="280"/>
      <c r="LWG314" s="281"/>
      <c r="LWH314" s="282"/>
      <c r="LWI314" s="242"/>
      <c r="LWJ314" s="222"/>
      <c r="LWL314" s="118"/>
      <c r="LWM314" s="8"/>
      <c r="LWN314" s="281"/>
      <c r="LWO314" s="78"/>
      <c r="LWP314" s="151"/>
      <c r="LWQ314" s="278"/>
      <c r="LWR314" s="266"/>
      <c r="LWS314" s="279"/>
      <c r="LWT314" s="211"/>
      <c r="LWU314" s="211"/>
      <c r="LWV314" s="286"/>
      <c r="LWW314" s="286"/>
      <c r="LWX314" s="280"/>
      <c r="LWY314" s="281"/>
      <c r="LWZ314" s="282"/>
      <c r="LXA314" s="242"/>
      <c r="LXB314" s="222"/>
      <c r="LXD314" s="118"/>
      <c r="LXE314" s="8"/>
      <c r="LXF314" s="281"/>
      <c r="LXG314" s="78"/>
      <c r="LXH314" s="151"/>
      <c r="LXI314" s="278"/>
      <c r="LXJ314" s="266"/>
      <c r="LXK314" s="279"/>
      <c r="LXL314" s="211"/>
      <c r="LXM314" s="211"/>
      <c r="LXN314" s="286"/>
      <c r="LXO314" s="286"/>
      <c r="LXP314" s="280"/>
      <c r="LXQ314" s="281"/>
      <c r="LXR314" s="282"/>
      <c r="LXS314" s="242"/>
      <c r="LXT314" s="222"/>
      <c r="LXV314" s="118"/>
      <c r="LXW314" s="8"/>
      <c r="LXX314" s="281"/>
      <c r="LXY314" s="78"/>
      <c r="LXZ314" s="151"/>
      <c r="LYA314" s="278"/>
      <c r="LYB314" s="266"/>
      <c r="LYC314" s="279"/>
      <c r="LYD314" s="211"/>
      <c r="LYE314" s="211"/>
      <c r="LYF314" s="286"/>
      <c r="LYG314" s="286"/>
      <c r="LYH314" s="280"/>
      <c r="LYI314" s="281"/>
      <c r="LYJ314" s="282"/>
      <c r="LYK314" s="242"/>
      <c r="LYL314" s="222"/>
      <c r="LYN314" s="118"/>
      <c r="LYO314" s="8"/>
      <c r="LYP314" s="281"/>
      <c r="LYQ314" s="78"/>
      <c r="LYR314" s="151"/>
      <c r="LYS314" s="278"/>
      <c r="LYT314" s="266"/>
      <c r="LYU314" s="279"/>
      <c r="LYV314" s="211"/>
      <c r="LYW314" s="211"/>
      <c r="LYX314" s="286"/>
      <c r="LYY314" s="286"/>
      <c r="LYZ314" s="280"/>
      <c r="LZA314" s="281"/>
      <c r="LZB314" s="282"/>
      <c r="LZC314" s="242"/>
      <c r="LZD314" s="222"/>
      <c r="LZF314" s="118"/>
      <c r="LZG314" s="8"/>
      <c r="LZH314" s="281"/>
      <c r="LZI314" s="78"/>
      <c r="LZJ314" s="151"/>
      <c r="LZK314" s="278"/>
      <c r="LZL314" s="266"/>
      <c r="LZM314" s="279"/>
      <c r="LZN314" s="211"/>
      <c r="LZO314" s="211"/>
      <c r="LZP314" s="286"/>
      <c r="LZQ314" s="286"/>
      <c r="LZR314" s="280"/>
      <c r="LZS314" s="281"/>
      <c r="LZT314" s="282"/>
      <c r="LZU314" s="242"/>
      <c r="LZV314" s="222"/>
      <c r="LZX314" s="118"/>
      <c r="LZY314" s="8"/>
      <c r="LZZ314" s="281"/>
      <c r="MAA314" s="78"/>
      <c r="MAB314" s="151"/>
      <c r="MAC314" s="278"/>
      <c r="MAD314" s="266"/>
      <c r="MAE314" s="279"/>
      <c r="MAF314" s="211"/>
      <c r="MAG314" s="211"/>
      <c r="MAH314" s="286"/>
      <c r="MAI314" s="286"/>
      <c r="MAJ314" s="280"/>
      <c r="MAK314" s="281"/>
      <c r="MAL314" s="282"/>
      <c r="MAM314" s="242"/>
      <c r="MAN314" s="222"/>
      <c r="MAP314" s="118"/>
      <c r="MAQ314" s="8"/>
      <c r="MAR314" s="281"/>
      <c r="MAS314" s="78"/>
      <c r="MAT314" s="151"/>
      <c r="MAU314" s="278"/>
      <c r="MAV314" s="266"/>
      <c r="MAW314" s="279"/>
      <c r="MAX314" s="211"/>
      <c r="MAY314" s="211"/>
      <c r="MAZ314" s="286"/>
      <c r="MBA314" s="286"/>
      <c r="MBB314" s="280"/>
      <c r="MBC314" s="281"/>
      <c r="MBD314" s="282"/>
      <c r="MBE314" s="242"/>
      <c r="MBF314" s="222"/>
      <c r="MBH314" s="118"/>
      <c r="MBI314" s="8"/>
      <c r="MBJ314" s="281"/>
      <c r="MBK314" s="78"/>
      <c r="MBL314" s="151"/>
      <c r="MBM314" s="278"/>
      <c r="MBN314" s="266"/>
      <c r="MBO314" s="279"/>
      <c r="MBP314" s="211"/>
      <c r="MBQ314" s="211"/>
      <c r="MBR314" s="286"/>
      <c r="MBS314" s="286"/>
      <c r="MBT314" s="280"/>
      <c r="MBU314" s="281"/>
      <c r="MBV314" s="282"/>
      <c r="MBW314" s="242"/>
      <c r="MBX314" s="222"/>
      <c r="MBZ314" s="118"/>
      <c r="MCA314" s="8"/>
      <c r="MCB314" s="281"/>
      <c r="MCC314" s="78"/>
      <c r="MCD314" s="151"/>
      <c r="MCE314" s="278"/>
      <c r="MCF314" s="266"/>
      <c r="MCG314" s="279"/>
      <c r="MCH314" s="211"/>
      <c r="MCI314" s="211"/>
      <c r="MCJ314" s="286"/>
      <c r="MCK314" s="286"/>
      <c r="MCL314" s="280"/>
      <c r="MCM314" s="281"/>
      <c r="MCN314" s="282"/>
      <c r="MCO314" s="242"/>
      <c r="MCP314" s="222"/>
      <c r="MCR314" s="118"/>
      <c r="MCS314" s="8"/>
      <c r="MCT314" s="281"/>
      <c r="MCU314" s="78"/>
      <c r="MCV314" s="151"/>
      <c r="MCW314" s="278"/>
      <c r="MCX314" s="266"/>
      <c r="MCY314" s="279"/>
      <c r="MCZ314" s="211"/>
      <c r="MDA314" s="211"/>
      <c r="MDB314" s="286"/>
      <c r="MDC314" s="286"/>
      <c r="MDD314" s="280"/>
      <c r="MDE314" s="281"/>
      <c r="MDF314" s="282"/>
      <c r="MDG314" s="242"/>
      <c r="MDH314" s="222"/>
      <c r="MDJ314" s="118"/>
      <c r="MDK314" s="8"/>
      <c r="MDL314" s="281"/>
      <c r="MDM314" s="78"/>
      <c r="MDN314" s="151"/>
      <c r="MDO314" s="278"/>
      <c r="MDP314" s="266"/>
      <c r="MDQ314" s="279"/>
      <c r="MDR314" s="211"/>
      <c r="MDS314" s="211"/>
      <c r="MDT314" s="286"/>
      <c r="MDU314" s="286"/>
      <c r="MDV314" s="280"/>
      <c r="MDW314" s="281"/>
      <c r="MDX314" s="282"/>
      <c r="MDY314" s="242"/>
      <c r="MDZ314" s="222"/>
      <c r="MEB314" s="118"/>
      <c r="MEC314" s="8"/>
      <c r="MED314" s="281"/>
      <c r="MEE314" s="78"/>
      <c r="MEF314" s="151"/>
      <c r="MEG314" s="278"/>
      <c r="MEH314" s="266"/>
      <c r="MEI314" s="279"/>
      <c r="MEJ314" s="211"/>
      <c r="MEK314" s="211"/>
      <c r="MEL314" s="286"/>
      <c r="MEM314" s="286"/>
      <c r="MEN314" s="280"/>
      <c r="MEO314" s="281"/>
      <c r="MEP314" s="282"/>
      <c r="MEQ314" s="242"/>
      <c r="MER314" s="222"/>
      <c r="MET314" s="118"/>
      <c r="MEU314" s="8"/>
      <c r="MEV314" s="281"/>
      <c r="MEW314" s="78"/>
      <c r="MEX314" s="151"/>
      <c r="MEY314" s="278"/>
      <c r="MEZ314" s="266"/>
      <c r="MFA314" s="279"/>
      <c r="MFB314" s="211"/>
      <c r="MFC314" s="211"/>
      <c r="MFD314" s="286"/>
      <c r="MFE314" s="286"/>
      <c r="MFF314" s="280"/>
      <c r="MFG314" s="281"/>
      <c r="MFH314" s="282"/>
      <c r="MFI314" s="242"/>
      <c r="MFJ314" s="222"/>
      <c r="MFL314" s="118"/>
      <c r="MFM314" s="8"/>
      <c r="MFN314" s="281"/>
      <c r="MFO314" s="78"/>
      <c r="MFP314" s="151"/>
      <c r="MFQ314" s="278"/>
      <c r="MFR314" s="266"/>
      <c r="MFS314" s="279"/>
      <c r="MFT314" s="211"/>
      <c r="MFU314" s="211"/>
      <c r="MFV314" s="286"/>
      <c r="MFW314" s="286"/>
      <c r="MFX314" s="280"/>
      <c r="MFY314" s="281"/>
      <c r="MFZ314" s="282"/>
      <c r="MGA314" s="242"/>
      <c r="MGB314" s="222"/>
      <c r="MGD314" s="118"/>
      <c r="MGE314" s="8"/>
      <c r="MGF314" s="281"/>
      <c r="MGG314" s="78"/>
      <c r="MGH314" s="151"/>
      <c r="MGI314" s="278"/>
      <c r="MGJ314" s="266"/>
      <c r="MGK314" s="279"/>
      <c r="MGL314" s="211"/>
      <c r="MGM314" s="211"/>
      <c r="MGN314" s="286"/>
      <c r="MGO314" s="286"/>
      <c r="MGP314" s="280"/>
      <c r="MGQ314" s="281"/>
      <c r="MGR314" s="282"/>
      <c r="MGS314" s="242"/>
      <c r="MGT314" s="222"/>
      <c r="MGV314" s="118"/>
      <c r="MGW314" s="8"/>
      <c r="MGX314" s="281"/>
      <c r="MGY314" s="78"/>
      <c r="MGZ314" s="151"/>
      <c r="MHA314" s="278"/>
      <c r="MHB314" s="266"/>
      <c r="MHC314" s="279"/>
      <c r="MHD314" s="211"/>
      <c r="MHE314" s="211"/>
      <c r="MHF314" s="286"/>
      <c r="MHG314" s="286"/>
      <c r="MHH314" s="280"/>
      <c r="MHI314" s="281"/>
      <c r="MHJ314" s="282"/>
      <c r="MHK314" s="242"/>
      <c r="MHL314" s="222"/>
      <c r="MHN314" s="118"/>
      <c r="MHO314" s="8"/>
      <c r="MHP314" s="281"/>
      <c r="MHQ314" s="78"/>
      <c r="MHR314" s="151"/>
      <c r="MHS314" s="278"/>
      <c r="MHT314" s="266"/>
      <c r="MHU314" s="279"/>
      <c r="MHV314" s="211"/>
      <c r="MHW314" s="211"/>
      <c r="MHX314" s="286"/>
      <c r="MHY314" s="286"/>
      <c r="MHZ314" s="280"/>
      <c r="MIA314" s="281"/>
      <c r="MIB314" s="282"/>
      <c r="MIC314" s="242"/>
      <c r="MID314" s="222"/>
      <c r="MIF314" s="118"/>
      <c r="MIG314" s="8"/>
      <c r="MIH314" s="281"/>
      <c r="MII314" s="78"/>
      <c r="MIJ314" s="151"/>
      <c r="MIK314" s="278"/>
      <c r="MIL314" s="266"/>
      <c r="MIM314" s="279"/>
      <c r="MIN314" s="211"/>
      <c r="MIO314" s="211"/>
      <c r="MIP314" s="286"/>
      <c r="MIQ314" s="286"/>
      <c r="MIR314" s="280"/>
      <c r="MIS314" s="281"/>
      <c r="MIT314" s="282"/>
      <c r="MIU314" s="242"/>
      <c r="MIV314" s="222"/>
      <c r="MIX314" s="118"/>
      <c r="MIY314" s="8"/>
      <c r="MIZ314" s="281"/>
      <c r="MJA314" s="78"/>
      <c r="MJB314" s="151"/>
      <c r="MJC314" s="278"/>
      <c r="MJD314" s="266"/>
      <c r="MJE314" s="279"/>
      <c r="MJF314" s="211"/>
      <c r="MJG314" s="211"/>
      <c r="MJH314" s="286"/>
      <c r="MJI314" s="286"/>
      <c r="MJJ314" s="280"/>
      <c r="MJK314" s="281"/>
      <c r="MJL314" s="282"/>
      <c r="MJM314" s="242"/>
      <c r="MJN314" s="222"/>
      <c r="MJP314" s="118"/>
      <c r="MJQ314" s="8"/>
      <c r="MJR314" s="281"/>
      <c r="MJS314" s="78"/>
      <c r="MJT314" s="151"/>
      <c r="MJU314" s="278"/>
      <c r="MJV314" s="266"/>
      <c r="MJW314" s="279"/>
      <c r="MJX314" s="211"/>
      <c r="MJY314" s="211"/>
      <c r="MJZ314" s="286"/>
      <c r="MKA314" s="286"/>
      <c r="MKB314" s="280"/>
      <c r="MKC314" s="281"/>
      <c r="MKD314" s="282"/>
      <c r="MKE314" s="242"/>
      <c r="MKF314" s="222"/>
      <c r="MKH314" s="118"/>
      <c r="MKI314" s="8"/>
      <c r="MKJ314" s="281"/>
      <c r="MKK314" s="78"/>
      <c r="MKL314" s="151"/>
      <c r="MKM314" s="278"/>
      <c r="MKN314" s="266"/>
      <c r="MKO314" s="279"/>
      <c r="MKP314" s="211"/>
      <c r="MKQ314" s="211"/>
      <c r="MKR314" s="286"/>
      <c r="MKS314" s="286"/>
      <c r="MKT314" s="280"/>
      <c r="MKU314" s="281"/>
      <c r="MKV314" s="282"/>
      <c r="MKW314" s="242"/>
      <c r="MKX314" s="222"/>
      <c r="MKZ314" s="118"/>
      <c r="MLA314" s="8"/>
      <c r="MLB314" s="281"/>
      <c r="MLC314" s="78"/>
      <c r="MLD314" s="151"/>
      <c r="MLE314" s="278"/>
      <c r="MLF314" s="266"/>
      <c r="MLG314" s="279"/>
      <c r="MLH314" s="211"/>
      <c r="MLI314" s="211"/>
      <c r="MLJ314" s="286"/>
      <c r="MLK314" s="286"/>
      <c r="MLL314" s="280"/>
      <c r="MLM314" s="281"/>
      <c r="MLN314" s="282"/>
      <c r="MLO314" s="242"/>
      <c r="MLP314" s="222"/>
      <c r="MLR314" s="118"/>
      <c r="MLS314" s="8"/>
      <c r="MLT314" s="281"/>
      <c r="MLU314" s="78"/>
      <c r="MLV314" s="151"/>
      <c r="MLW314" s="278"/>
      <c r="MLX314" s="266"/>
      <c r="MLY314" s="279"/>
      <c r="MLZ314" s="211"/>
      <c r="MMA314" s="211"/>
      <c r="MMB314" s="286"/>
      <c r="MMC314" s="286"/>
      <c r="MMD314" s="280"/>
      <c r="MME314" s="281"/>
      <c r="MMF314" s="282"/>
      <c r="MMG314" s="242"/>
      <c r="MMH314" s="222"/>
      <c r="MMJ314" s="118"/>
      <c r="MMK314" s="8"/>
      <c r="MML314" s="281"/>
      <c r="MMM314" s="78"/>
      <c r="MMN314" s="151"/>
      <c r="MMO314" s="278"/>
      <c r="MMP314" s="266"/>
      <c r="MMQ314" s="279"/>
      <c r="MMR314" s="211"/>
      <c r="MMS314" s="211"/>
      <c r="MMT314" s="286"/>
      <c r="MMU314" s="286"/>
      <c r="MMV314" s="280"/>
      <c r="MMW314" s="281"/>
      <c r="MMX314" s="282"/>
      <c r="MMY314" s="242"/>
      <c r="MMZ314" s="222"/>
      <c r="MNB314" s="118"/>
      <c r="MNC314" s="8"/>
      <c r="MND314" s="281"/>
      <c r="MNE314" s="78"/>
      <c r="MNF314" s="151"/>
      <c r="MNG314" s="278"/>
      <c r="MNH314" s="266"/>
      <c r="MNI314" s="279"/>
      <c r="MNJ314" s="211"/>
      <c r="MNK314" s="211"/>
      <c r="MNL314" s="286"/>
      <c r="MNM314" s="286"/>
      <c r="MNN314" s="280"/>
      <c r="MNO314" s="281"/>
      <c r="MNP314" s="282"/>
      <c r="MNQ314" s="242"/>
      <c r="MNR314" s="222"/>
      <c r="MNT314" s="118"/>
      <c r="MNU314" s="8"/>
      <c r="MNV314" s="281"/>
      <c r="MNW314" s="78"/>
      <c r="MNX314" s="151"/>
      <c r="MNY314" s="278"/>
      <c r="MNZ314" s="266"/>
      <c r="MOA314" s="279"/>
      <c r="MOB314" s="211"/>
      <c r="MOC314" s="211"/>
      <c r="MOD314" s="286"/>
      <c r="MOE314" s="286"/>
      <c r="MOF314" s="280"/>
      <c r="MOG314" s="281"/>
      <c r="MOH314" s="282"/>
      <c r="MOI314" s="242"/>
      <c r="MOJ314" s="222"/>
      <c r="MOL314" s="118"/>
      <c r="MOM314" s="8"/>
      <c r="MON314" s="281"/>
      <c r="MOO314" s="78"/>
      <c r="MOP314" s="151"/>
      <c r="MOQ314" s="278"/>
      <c r="MOR314" s="266"/>
      <c r="MOS314" s="279"/>
      <c r="MOT314" s="211"/>
      <c r="MOU314" s="211"/>
      <c r="MOV314" s="286"/>
      <c r="MOW314" s="286"/>
      <c r="MOX314" s="280"/>
      <c r="MOY314" s="281"/>
      <c r="MOZ314" s="282"/>
      <c r="MPA314" s="242"/>
      <c r="MPB314" s="222"/>
      <c r="MPD314" s="118"/>
      <c r="MPE314" s="8"/>
      <c r="MPF314" s="281"/>
      <c r="MPG314" s="78"/>
      <c r="MPH314" s="151"/>
      <c r="MPI314" s="278"/>
      <c r="MPJ314" s="266"/>
      <c r="MPK314" s="279"/>
      <c r="MPL314" s="211"/>
      <c r="MPM314" s="211"/>
      <c r="MPN314" s="286"/>
      <c r="MPO314" s="286"/>
      <c r="MPP314" s="280"/>
      <c r="MPQ314" s="281"/>
      <c r="MPR314" s="282"/>
      <c r="MPS314" s="242"/>
      <c r="MPT314" s="222"/>
      <c r="MPV314" s="118"/>
      <c r="MPW314" s="8"/>
      <c r="MPX314" s="281"/>
      <c r="MPY314" s="78"/>
      <c r="MPZ314" s="151"/>
      <c r="MQA314" s="278"/>
      <c r="MQB314" s="266"/>
      <c r="MQC314" s="279"/>
      <c r="MQD314" s="211"/>
      <c r="MQE314" s="211"/>
      <c r="MQF314" s="286"/>
      <c r="MQG314" s="286"/>
      <c r="MQH314" s="280"/>
      <c r="MQI314" s="281"/>
      <c r="MQJ314" s="282"/>
      <c r="MQK314" s="242"/>
      <c r="MQL314" s="222"/>
      <c r="MQN314" s="118"/>
      <c r="MQO314" s="8"/>
      <c r="MQP314" s="281"/>
      <c r="MQQ314" s="78"/>
      <c r="MQR314" s="151"/>
      <c r="MQS314" s="278"/>
      <c r="MQT314" s="266"/>
      <c r="MQU314" s="279"/>
      <c r="MQV314" s="211"/>
      <c r="MQW314" s="211"/>
      <c r="MQX314" s="286"/>
      <c r="MQY314" s="286"/>
      <c r="MQZ314" s="280"/>
      <c r="MRA314" s="281"/>
      <c r="MRB314" s="282"/>
      <c r="MRC314" s="242"/>
      <c r="MRD314" s="222"/>
      <c r="MRF314" s="118"/>
      <c r="MRG314" s="8"/>
      <c r="MRH314" s="281"/>
      <c r="MRI314" s="78"/>
      <c r="MRJ314" s="151"/>
      <c r="MRK314" s="278"/>
      <c r="MRL314" s="266"/>
      <c r="MRM314" s="279"/>
      <c r="MRN314" s="211"/>
      <c r="MRO314" s="211"/>
      <c r="MRP314" s="286"/>
      <c r="MRQ314" s="286"/>
      <c r="MRR314" s="280"/>
      <c r="MRS314" s="281"/>
      <c r="MRT314" s="282"/>
      <c r="MRU314" s="242"/>
      <c r="MRV314" s="222"/>
      <c r="MRX314" s="118"/>
      <c r="MRY314" s="8"/>
      <c r="MRZ314" s="281"/>
      <c r="MSA314" s="78"/>
      <c r="MSB314" s="151"/>
      <c r="MSC314" s="278"/>
      <c r="MSD314" s="266"/>
      <c r="MSE314" s="279"/>
      <c r="MSF314" s="211"/>
      <c r="MSG314" s="211"/>
      <c r="MSH314" s="286"/>
      <c r="MSI314" s="286"/>
      <c r="MSJ314" s="280"/>
      <c r="MSK314" s="281"/>
      <c r="MSL314" s="282"/>
      <c r="MSM314" s="242"/>
      <c r="MSN314" s="222"/>
      <c r="MSP314" s="118"/>
      <c r="MSQ314" s="8"/>
      <c r="MSR314" s="281"/>
      <c r="MSS314" s="78"/>
      <c r="MST314" s="151"/>
      <c r="MSU314" s="278"/>
      <c r="MSV314" s="266"/>
      <c r="MSW314" s="279"/>
      <c r="MSX314" s="211"/>
      <c r="MSY314" s="211"/>
      <c r="MSZ314" s="286"/>
      <c r="MTA314" s="286"/>
      <c r="MTB314" s="280"/>
      <c r="MTC314" s="281"/>
      <c r="MTD314" s="282"/>
      <c r="MTE314" s="242"/>
      <c r="MTF314" s="222"/>
      <c r="MTH314" s="118"/>
      <c r="MTI314" s="8"/>
      <c r="MTJ314" s="281"/>
      <c r="MTK314" s="78"/>
      <c r="MTL314" s="151"/>
      <c r="MTM314" s="278"/>
      <c r="MTN314" s="266"/>
      <c r="MTO314" s="279"/>
      <c r="MTP314" s="211"/>
      <c r="MTQ314" s="211"/>
      <c r="MTR314" s="286"/>
      <c r="MTS314" s="286"/>
      <c r="MTT314" s="280"/>
      <c r="MTU314" s="281"/>
      <c r="MTV314" s="282"/>
      <c r="MTW314" s="242"/>
      <c r="MTX314" s="222"/>
      <c r="MTZ314" s="118"/>
      <c r="MUA314" s="8"/>
      <c r="MUB314" s="281"/>
      <c r="MUC314" s="78"/>
      <c r="MUD314" s="151"/>
      <c r="MUE314" s="278"/>
      <c r="MUF314" s="266"/>
      <c r="MUG314" s="279"/>
      <c r="MUH314" s="211"/>
      <c r="MUI314" s="211"/>
      <c r="MUJ314" s="286"/>
      <c r="MUK314" s="286"/>
      <c r="MUL314" s="280"/>
      <c r="MUM314" s="281"/>
      <c r="MUN314" s="282"/>
      <c r="MUO314" s="242"/>
      <c r="MUP314" s="222"/>
      <c r="MUR314" s="118"/>
      <c r="MUS314" s="8"/>
      <c r="MUT314" s="281"/>
      <c r="MUU314" s="78"/>
      <c r="MUV314" s="151"/>
      <c r="MUW314" s="278"/>
      <c r="MUX314" s="266"/>
      <c r="MUY314" s="279"/>
      <c r="MUZ314" s="211"/>
      <c r="MVA314" s="211"/>
      <c r="MVB314" s="286"/>
      <c r="MVC314" s="286"/>
      <c r="MVD314" s="280"/>
      <c r="MVE314" s="281"/>
      <c r="MVF314" s="282"/>
      <c r="MVG314" s="242"/>
      <c r="MVH314" s="222"/>
      <c r="MVJ314" s="118"/>
      <c r="MVK314" s="8"/>
      <c r="MVL314" s="281"/>
      <c r="MVM314" s="78"/>
      <c r="MVN314" s="151"/>
      <c r="MVO314" s="278"/>
      <c r="MVP314" s="266"/>
      <c r="MVQ314" s="279"/>
      <c r="MVR314" s="211"/>
      <c r="MVS314" s="211"/>
      <c r="MVT314" s="286"/>
      <c r="MVU314" s="286"/>
      <c r="MVV314" s="280"/>
      <c r="MVW314" s="281"/>
      <c r="MVX314" s="282"/>
      <c r="MVY314" s="242"/>
      <c r="MVZ314" s="222"/>
      <c r="MWB314" s="118"/>
      <c r="MWC314" s="8"/>
      <c r="MWD314" s="281"/>
      <c r="MWE314" s="78"/>
      <c r="MWF314" s="151"/>
      <c r="MWG314" s="278"/>
      <c r="MWH314" s="266"/>
      <c r="MWI314" s="279"/>
      <c r="MWJ314" s="211"/>
      <c r="MWK314" s="211"/>
      <c r="MWL314" s="286"/>
      <c r="MWM314" s="286"/>
      <c r="MWN314" s="280"/>
      <c r="MWO314" s="281"/>
      <c r="MWP314" s="282"/>
      <c r="MWQ314" s="242"/>
      <c r="MWR314" s="222"/>
      <c r="MWT314" s="118"/>
      <c r="MWU314" s="8"/>
      <c r="MWV314" s="281"/>
      <c r="MWW314" s="78"/>
      <c r="MWX314" s="151"/>
      <c r="MWY314" s="278"/>
      <c r="MWZ314" s="266"/>
      <c r="MXA314" s="279"/>
      <c r="MXB314" s="211"/>
      <c r="MXC314" s="211"/>
      <c r="MXD314" s="286"/>
      <c r="MXE314" s="286"/>
      <c r="MXF314" s="280"/>
      <c r="MXG314" s="281"/>
      <c r="MXH314" s="282"/>
      <c r="MXI314" s="242"/>
      <c r="MXJ314" s="222"/>
      <c r="MXL314" s="118"/>
      <c r="MXM314" s="8"/>
      <c r="MXN314" s="281"/>
      <c r="MXO314" s="78"/>
      <c r="MXP314" s="151"/>
      <c r="MXQ314" s="278"/>
      <c r="MXR314" s="266"/>
      <c r="MXS314" s="279"/>
      <c r="MXT314" s="211"/>
      <c r="MXU314" s="211"/>
      <c r="MXV314" s="286"/>
      <c r="MXW314" s="286"/>
      <c r="MXX314" s="280"/>
      <c r="MXY314" s="281"/>
      <c r="MXZ314" s="282"/>
      <c r="MYA314" s="242"/>
      <c r="MYB314" s="222"/>
      <c r="MYD314" s="118"/>
      <c r="MYE314" s="8"/>
      <c r="MYF314" s="281"/>
      <c r="MYG314" s="78"/>
      <c r="MYH314" s="151"/>
      <c r="MYI314" s="278"/>
      <c r="MYJ314" s="266"/>
      <c r="MYK314" s="279"/>
      <c r="MYL314" s="211"/>
      <c r="MYM314" s="211"/>
      <c r="MYN314" s="286"/>
      <c r="MYO314" s="286"/>
      <c r="MYP314" s="280"/>
      <c r="MYQ314" s="281"/>
      <c r="MYR314" s="282"/>
      <c r="MYS314" s="242"/>
      <c r="MYT314" s="222"/>
      <c r="MYV314" s="118"/>
      <c r="MYW314" s="8"/>
      <c r="MYX314" s="281"/>
      <c r="MYY314" s="78"/>
      <c r="MYZ314" s="151"/>
      <c r="MZA314" s="278"/>
      <c r="MZB314" s="266"/>
      <c r="MZC314" s="279"/>
      <c r="MZD314" s="211"/>
      <c r="MZE314" s="211"/>
      <c r="MZF314" s="286"/>
      <c r="MZG314" s="286"/>
      <c r="MZH314" s="280"/>
      <c r="MZI314" s="281"/>
      <c r="MZJ314" s="282"/>
      <c r="MZK314" s="242"/>
      <c r="MZL314" s="222"/>
      <c r="MZN314" s="118"/>
      <c r="MZO314" s="8"/>
      <c r="MZP314" s="281"/>
      <c r="MZQ314" s="78"/>
      <c r="MZR314" s="151"/>
      <c r="MZS314" s="278"/>
      <c r="MZT314" s="266"/>
      <c r="MZU314" s="279"/>
      <c r="MZV314" s="211"/>
      <c r="MZW314" s="211"/>
      <c r="MZX314" s="286"/>
      <c r="MZY314" s="286"/>
      <c r="MZZ314" s="280"/>
      <c r="NAA314" s="281"/>
      <c r="NAB314" s="282"/>
      <c r="NAC314" s="242"/>
      <c r="NAD314" s="222"/>
      <c r="NAF314" s="118"/>
      <c r="NAG314" s="8"/>
      <c r="NAH314" s="281"/>
      <c r="NAI314" s="78"/>
      <c r="NAJ314" s="151"/>
      <c r="NAK314" s="278"/>
      <c r="NAL314" s="266"/>
      <c r="NAM314" s="279"/>
      <c r="NAN314" s="211"/>
      <c r="NAO314" s="211"/>
      <c r="NAP314" s="286"/>
      <c r="NAQ314" s="286"/>
      <c r="NAR314" s="280"/>
      <c r="NAS314" s="281"/>
      <c r="NAT314" s="282"/>
      <c r="NAU314" s="242"/>
      <c r="NAV314" s="222"/>
      <c r="NAX314" s="118"/>
      <c r="NAY314" s="8"/>
      <c r="NAZ314" s="281"/>
      <c r="NBA314" s="78"/>
      <c r="NBB314" s="151"/>
      <c r="NBC314" s="278"/>
      <c r="NBD314" s="266"/>
      <c r="NBE314" s="279"/>
      <c r="NBF314" s="211"/>
      <c r="NBG314" s="211"/>
      <c r="NBH314" s="286"/>
      <c r="NBI314" s="286"/>
      <c r="NBJ314" s="280"/>
      <c r="NBK314" s="281"/>
      <c r="NBL314" s="282"/>
      <c r="NBM314" s="242"/>
      <c r="NBN314" s="222"/>
      <c r="NBP314" s="118"/>
      <c r="NBQ314" s="8"/>
      <c r="NBR314" s="281"/>
      <c r="NBS314" s="78"/>
      <c r="NBT314" s="151"/>
      <c r="NBU314" s="278"/>
      <c r="NBV314" s="266"/>
      <c r="NBW314" s="279"/>
      <c r="NBX314" s="211"/>
      <c r="NBY314" s="211"/>
      <c r="NBZ314" s="286"/>
      <c r="NCA314" s="286"/>
      <c r="NCB314" s="280"/>
      <c r="NCC314" s="281"/>
      <c r="NCD314" s="282"/>
      <c r="NCE314" s="242"/>
      <c r="NCF314" s="222"/>
      <c r="NCH314" s="118"/>
      <c r="NCI314" s="8"/>
      <c r="NCJ314" s="281"/>
      <c r="NCK314" s="78"/>
      <c r="NCL314" s="151"/>
      <c r="NCM314" s="278"/>
      <c r="NCN314" s="266"/>
      <c r="NCO314" s="279"/>
      <c r="NCP314" s="211"/>
      <c r="NCQ314" s="211"/>
      <c r="NCR314" s="286"/>
      <c r="NCS314" s="286"/>
      <c r="NCT314" s="280"/>
      <c r="NCU314" s="281"/>
      <c r="NCV314" s="282"/>
      <c r="NCW314" s="242"/>
      <c r="NCX314" s="222"/>
      <c r="NCZ314" s="118"/>
      <c r="NDA314" s="8"/>
      <c r="NDB314" s="281"/>
      <c r="NDC314" s="78"/>
      <c r="NDD314" s="151"/>
      <c r="NDE314" s="278"/>
      <c r="NDF314" s="266"/>
      <c r="NDG314" s="279"/>
      <c r="NDH314" s="211"/>
      <c r="NDI314" s="211"/>
      <c r="NDJ314" s="286"/>
      <c r="NDK314" s="286"/>
      <c r="NDL314" s="280"/>
      <c r="NDM314" s="281"/>
      <c r="NDN314" s="282"/>
      <c r="NDO314" s="242"/>
      <c r="NDP314" s="222"/>
      <c r="NDR314" s="118"/>
      <c r="NDS314" s="8"/>
      <c r="NDT314" s="281"/>
      <c r="NDU314" s="78"/>
      <c r="NDV314" s="151"/>
      <c r="NDW314" s="278"/>
      <c r="NDX314" s="266"/>
      <c r="NDY314" s="279"/>
      <c r="NDZ314" s="211"/>
      <c r="NEA314" s="211"/>
      <c r="NEB314" s="286"/>
      <c r="NEC314" s="286"/>
      <c r="NED314" s="280"/>
      <c r="NEE314" s="281"/>
      <c r="NEF314" s="282"/>
      <c r="NEG314" s="242"/>
      <c r="NEH314" s="222"/>
      <c r="NEJ314" s="118"/>
      <c r="NEK314" s="8"/>
      <c r="NEL314" s="281"/>
      <c r="NEM314" s="78"/>
      <c r="NEN314" s="151"/>
      <c r="NEO314" s="278"/>
      <c r="NEP314" s="266"/>
      <c r="NEQ314" s="279"/>
      <c r="NER314" s="211"/>
      <c r="NES314" s="211"/>
      <c r="NET314" s="286"/>
      <c r="NEU314" s="286"/>
      <c r="NEV314" s="280"/>
      <c r="NEW314" s="281"/>
      <c r="NEX314" s="282"/>
      <c r="NEY314" s="242"/>
      <c r="NEZ314" s="222"/>
      <c r="NFB314" s="118"/>
      <c r="NFC314" s="8"/>
      <c r="NFD314" s="281"/>
      <c r="NFE314" s="78"/>
      <c r="NFF314" s="151"/>
      <c r="NFG314" s="278"/>
      <c r="NFH314" s="266"/>
      <c r="NFI314" s="279"/>
      <c r="NFJ314" s="211"/>
      <c r="NFK314" s="211"/>
      <c r="NFL314" s="286"/>
      <c r="NFM314" s="286"/>
      <c r="NFN314" s="280"/>
      <c r="NFO314" s="281"/>
      <c r="NFP314" s="282"/>
      <c r="NFQ314" s="242"/>
      <c r="NFR314" s="222"/>
      <c r="NFT314" s="118"/>
      <c r="NFU314" s="8"/>
      <c r="NFV314" s="281"/>
      <c r="NFW314" s="78"/>
      <c r="NFX314" s="151"/>
      <c r="NFY314" s="278"/>
      <c r="NFZ314" s="266"/>
      <c r="NGA314" s="279"/>
      <c r="NGB314" s="211"/>
      <c r="NGC314" s="211"/>
      <c r="NGD314" s="286"/>
      <c r="NGE314" s="286"/>
      <c r="NGF314" s="280"/>
      <c r="NGG314" s="281"/>
      <c r="NGH314" s="282"/>
      <c r="NGI314" s="242"/>
      <c r="NGJ314" s="222"/>
      <c r="NGL314" s="118"/>
      <c r="NGM314" s="8"/>
      <c r="NGN314" s="281"/>
      <c r="NGO314" s="78"/>
      <c r="NGP314" s="151"/>
      <c r="NGQ314" s="278"/>
      <c r="NGR314" s="266"/>
      <c r="NGS314" s="279"/>
      <c r="NGT314" s="211"/>
      <c r="NGU314" s="211"/>
      <c r="NGV314" s="286"/>
      <c r="NGW314" s="286"/>
      <c r="NGX314" s="280"/>
      <c r="NGY314" s="281"/>
      <c r="NGZ314" s="282"/>
      <c r="NHA314" s="242"/>
      <c r="NHB314" s="222"/>
      <c r="NHD314" s="118"/>
      <c r="NHE314" s="8"/>
      <c r="NHF314" s="281"/>
      <c r="NHG314" s="78"/>
      <c r="NHH314" s="151"/>
      <c r="NHI314" s="278"/>
      <c r="NHJ314" s="266"/>
      <c r="NHK314" s="279"/>
      <c r="NHL314" s="211"/>
      <c r="NHM314" s="211"/>
      <c r="NHN314" s="286"/>
      <c r="NHO314" s="286"/>
      <c r="NHP314" s="280"/>
      <c r="NHQ314" s="281"/>
      <c r="NHR314" s="282"/>
      <c r="NHS314" s="242"/>
      <c r="NHT314" s="222"/>
      <c r="NHV314" s="118"/>
      <c r="NHW314" s="8"/>
      <c r="NHX314" s="281"/>
      <c r="NHY314" s="78"/>
      <c r="NHZ314" s="151"/>
      <c r="NIA314" s="278"/>
      <c r="NIB314" s="266"/>
      <c r="NIC314" s="279"/>
      <c r="NID314" s="211"/>
      <c r="NIE314" s="211"/>
      <c r="NIF314" s="286"/>
      <c r="NIG314" s="286"/>
      <c r="NIH314" s="280"/>
      <c r="NII314" s="281"/>
      <c r="NIJ314" s="282"/>
      <c r="NIK314" s="242"/>
      <c r="NIL314" s="222"/>
      <c r="NIN314" s="118"/>
      <c r="NIO314" s="8"/>
      <c r="NIP314" s="281"/>
      <c r="NIQ314" s="78"/>
      <c r="NIR314" s="151"/>
      <c r="NIS314" s="278"/>
      <c r="NIT314" s="266"/>
      <c r="NIU314" s="279"/>
      <c r="NIV314" s="211"/>
      <c r="NIW314" s="211"/>
      <c r="NIX314" s="286"/>
      <c r="NIY314" s="286"/>
      <c r="NIZ314" s="280"/>
      <c r="NJA314" s="281"/>
      <c r="NJB314" s="282"/>
      <c r="NJC314" s="242"/>
      <c r="NJD314" s="222"/>
      <c r="NJF314" s="118"/>
      <c r="NJG314" s="8"/>
      <c r="NJH314" s="281"/>
      <c r="NJI314" s="78"/>
      <c r="NJJ314" s="151"/>
      <c r="NJK314" s="278"/>
      <c r="NJL314" s="266"/>
      <c r="NJM314" s="279"/>
      <c r="NJN314" s="211"/>
      <c r="NJO314" s="211"/>
      <c r="NJP314" s="286"/>
      <c r="NJQ314" s="286"/>
      <c r="NJR314" s="280"/>
      <c r="NJS314" s="281"/>
      <c r="NJT314" s="282"/>
      <c r="NJU314" s="242"/>
      <c r="NJV314" s="222"/>
      <c r="NJX314" s="118"/>
      <c r="NJY314" s="8"/>
      <c r="NJZ314" s="281"/>
      <c r="NKA314" s="78"/>
      <c r="NKB314" s="151"/>
      <c r="NKC314" s="278"/>
      <c r="NKD314" s="266"/>
      <c r="NKE314" s="279"/>
      <c r="NKF314" s="211"/>
      <c r="NKG314" s="211"/>
      <c r="NKH314" s="286"/>
      <c r="NKI314" s="286"/>
      <c r="NKJ314" s="280"/>
      <c r="NKK314" s="281"/>
      <c r="NKL314" s="282"/>
      <c r="NKM314" s="242"/>
      <c r="NKN314" s="222"/>
      <c r="NKP314" s="118"/>
      <c r="NKQ314" s="8"/>
      <c r="NKR314" s="281"/>
      <c r="NKS314" s="78"/>
      <c r="NKT314" s="151"/>
      <c r="NKU314" s="278"/>
      <c r="NKV314" s="266"/>
      <c r="NKW314" s="279"/>
      <c r="NKX314" s="211"/>
      <c r="NKY314" s="211"/>
      <c r="NKZ314" s="286"/>
      <c r="NLA314" s="286"/>
      <c r="NLB314" s="280"/>
      <c r="NLC314" s="281"/>
      <c r="NLD314" s="282"/>
      <c r="NLE314" s="242"/>
      <c r="NLF314" s="222"/>
      <c r="NLH314" s="118"/>
      <c r="NLI314" s="8"/>
      <c r="NLJ314" s="281"/>
      <c r="NLK314" s="78"/>
      <c r="NLL314" s="151"/>
      <c r="NLM314" s="278"/>
      <c r="NLN314" s="266"/>
      <c r="NLO314" s="279"/>
      <c r="NLP314" s="211"/>
      <c r="NLQ314" s="211"/>
      <c r="NLR314" s="286"/>
      <c r="NLS314" s="286"/>
      <c r="NLT314" s="280"/>
      <c r="NLU314" s="281"/>
      <c r="NLV314" s="282"/>
      <c r="NLW314" s="242"/>
      <c r="NLX314" s="222"/>
      <c r="NLZ314" s="118"/>
      <c r="NMA314" s="8"/>
      <c r="NMB314" s="281"/>
      <c r="NMC314" s="78"/>
      <c r="NMD314" s="151"/>
      <c r="NME314" s="278"/>
      <c r="NMF314" s="266"/>
      <c r="NMG314" s="279"/>
      <c r="NMH314" s="211"/>
      <c r="NMI314" s="211"/>
      <c r="NMJ314" s="286"/>
      <c r="NMK314" s="286"/>
      <c r="NML314" s="280"/>
      <c r="NMM314" s="281"/>
      <c r="NMN314" s="282"/>
      <c r="NMO314" s="242"/>
      <c r="NMP314" s="222"/>
      <c r="NMR314" s="118"/>
      <c r="NMS314" s="8"/>
      <c r="NMT314" s="281"/>
      <c r="NMU314" s="78"/>
      <c r="NMV314" s="151"/>
      <c r="NMW314" s="278"/>
      <c r="NMX314" s="266"/>
      <c r="NMY314" s="279"/>
      <c r="NMZ314" s="211"/>
      <c r="NNA314" s="211"/>
      <c r="NNB314" s="286"/>
      <c r="NNC314" s="286"/>
      <c r="NND314" s="280"/>
      <c r="NNE314" s="281"/>
      <c r="NNF314" s="282"/>
      <c r="NNG314" s="242"/>
      <c r="NNH314" s="222"/>
      <c r="NNJ314" s="118"/>
      <c r="NNK314" s="8"/>
      <c r="NNL314" s="281"/>
      <c r="NNM314" s="78"/>
      <c r="NNN314" s="151"/>
      <c r="NNO314" s="278"/>
      <c r="NNP314" s="266"/>
      <c r="NNQ314" s="279"/>
      <c r="NNR314" s="211"/>
      <c r="NNS314" s="211"/>
      <c r="NNT314" s="286"/>
      <c r="NNU314" s="286"/>
      <c r="NNV314" s="280"/>
      <c r="NNW314" s="281"/>
      <c r="NNX314" s="282"/>
      <c r="NNY314" s="242"/>
      <c r="NNZ314" s="222"/>
      <c r="NOB314" s="118"/>
      <c r="NOC314" s="8"/>
      <c r="NOD314" s="281"/>
      <c r="NOE314" s="78"/>
      <c r="NOF314" s="151"/>
      <c r="NOG314" s="278"/>
      <c r="NOH314" s="266"/>
      <c r="NOI314" s="279"/>
      <c r="NOJ314" s="211"/>
      <c r="NOK314" s="211"/>
      <c r="NOL314" s="286"/>
      <c r="NOM314" s="286"/>
      <c r="NON314" s="280"/>
      <c r="NOO314" s="281"/>
      <c r="NOP314" s="282"/>
      <c r="NOQ314" s="242"/>
      <c r="NOR314" s="222"/>
      <c r="NOT314" s="118"/>
      <c r="NOU314" s="8"/>
      <c r="NOV314" s="281"/>
      <c r="NOW314" s="78"/>
      <c r="NOX314" s="151"/>
      <c r="NOY314" s="278"/>
      <c r="NOZ314" s="266"/>
      <c r="NPA314" s="279"/>
      <c r="NPB314" s="211"/>
      <c r="NPC314" s="211"/>
      <c r="NPD314" s="286"/>
      <c r="NPE314" s="286"/>
      <c r="NPF314" s="280"/>
      <c r="NPG314" s="281"/>
      <c r="NPH314" s="282"/>
      <c r="NPI314" s="242"/>
      <c r="NPJ314" s="222"/>
      <c r="NPL314" s="118"/>
      <c r="NPM314" s="8"/>
      <c r="NPN314" s="281"/>
      <c r="NPO314" s="78"/>
      <c r="NPP314" s="151"/>
      <c r="NPQ314" s="278"/>
      <c r="NPR314" s="266"/>
      <c r="NPS314" s="279"/>
      <c r="NPT314" s="211"/>
      <c r="NPU314" s="211"/>
      <c r="NPV314" s="286"/>
      <c r="NPW314" s="286"/>
      <c r="NPX314" s="280"/>
      <c r="NPY314" s="281"/>
      <c r="NPZ314" s="282"/>
      <c r="NQA314" s="242"/>
      <c r="NQB314" s="222"/>
      <c r="NQD314" s="118"/>
      <c r="NQE314" s="8"/>
      <c r="NQF314" s="281"/>
      <c r="NQG314" s="78"/>
      <c r="NQH314" s="151"/>
      <c r="NQI314" s="278"/>
      <c r="NQJ314" s="266"/>
      <c r="NQK314" s="279"/>
      <c r="NQL314" s="211"/>
      <c r="NQM314" s="211"/>
      <c r="NQN314" s="286"/>
      <c r="NQO314" s="286"/>
      <c r="NQP314" s="280"/>
      <c r="NQQ314" s="281"/>
      <c r="NQR314" s="282"/>
      <c r="NQS314" s="242"/>
      <c r="NQT314" s="222"/>
      <c r="NQV314" s="118"/>
      <c r="NQW314" s="8"/>
      <c r="NQX314" s="281"/>
      <c r="NQY314" s="78"/>
      <c r="NQZ314" s="151"/>
      <c r="NRA314" s="278"/>
      <c r="NRB314" s="266"/>
      <c r="NRC314" s="279"/>
      <c r="NRD314" s="211"/>
      <c r="NRE314" s="211"/>
      <c r="NRF314" s="286"/>
      <c r="NRG314" s="286"/>
      <c r="NRH314" s="280"/>
      <c r="NRI314" s="281"/>
      <c r="NRJ314" s="282"/>
      <c r="NRK314" s="242"/>
      <c r="NRL314" s="222"/>
      <c r="NRN314" s="118"/>
      <c r="NRO314" s="8"/>
      <c r="NRP314" s="281"/>
      <c r="NRQ314" s="78"/>
      <c r="NRR314" s="151"/>
      <c r="NRS314" s="278"/>
      <c r="NRT314" s="266"/>
      <c r="NRU314" s="279"/>
      <c r="NRV314" s="211"/>
      <c r="NRW314" s="211"/>
      <c r="NRX314" s="286"/>
      <c r="NRY314" s="286"/>
      <c r="NRZ314" s="280"/>
      <c r="NSA314" s="281"/>
      <c r="NSB314" s="282"/>
      <c r="NSC314" s="242"/>
      <c r="NSD314" s="222"/>
      <c r="NSF314" s="118"/>
      <c r="NSG314" s="8"/>
      <c r="NSH314" s="281"/>
      <c r="NSI314" s="78"/>
      <c r="NSJ314" s="151"/>
      <c r="NSK314" s="278"/>
      <c r="NSL314" s="266"/>
      <c r="NSM314" s="279"/>
      <c r="NSN314" s="211"/>
      <c r="NSO314" s="211"/>
      <c r="NSP314" s="286"/>
      <c r="NSQ314" s="286"/>
      <c r="NSR314" s="280"/>
      <c r="NSS314" s="281"/>
      <c r="NST314" s="282"/>
      <c r="NSU314" s="242"/>
      <c r="NSV314" s="222"/>
      <c r="NSX314" s="118"/>
      <c r="NSY314" s="8"/>
      <c r="NSZ314" s="281"/>
      <c r="NTA314" s="78"/>
      <c r="NTB314" s="151"/>
      <c r="NTC314" s="278"/>
      <c r="NTD314" s="266"/>
      <c r="NTE314" s="279"/>
      <c r="NTF314" s="211"/>
      <c r="NTG314" s="211"/>
      <c r="NTH314" s="286"/>
      <c r="NTI314" s="286"/>
      <c r="NTJ314" s="280"/>
      <c r="NTK314" s="281"/>
      <c r="NTL314" s="282"/>
      <c r="NTM314" s="242"/>
      <c r="NTN314" s="222"/>
      <c r="NTP314" s="118"/>
      <c r="NTQ314" s="8"/>
      <c r="NTR314" s="281"/>
      <c r="NTS314" s="78"/>
      <c r="NTT314" s="151"/>
      <c r="NTU314" s="278"/>
      <c r="NTV314" s="266"/>
      <c r="NTW314" s="279"/>
      <c r="NTX314" s="211"/>
      <c r="NTY314" s="211"/>
      <c r="NTZ314" s="286"/>
      <c r="NUA314" s="286"/>
      <c r="NUB314" s="280"/>
      <c r="NUC314" s="281"/>
      <c r="NUD314" s="282"/>
      <c r="NUE314" s="242"/>
      <c r="NUF314" s="222"/>
      <c r="NUH314" s="118"/>
      <c r="NUI314" s="8"/>
      <c r="NUJ314" s="281"/>
      <c r="NUK314" s="78"/>
      <c r="NUL314" s="151"/>
      <c r="NUM314" s="278"/>
      <c r="NUN314" s="266"/>
      <c r="NUO314" s="279"/>
      <c r="NUP314" s="211"/>
      <c r="NUQ314" s="211"/>
      <c r="NUR314" s="286"/>
      <c r="NUS314" s="286"/>
      <c r="NUT314" s="280"/>
      <c r="NUU314" s="281"/>
      <c r="NUV314" s="282"/>
      <c r="NUW314" s="242"/>
      <c r="NUX314" s="222"/>
      <c r="NUZ314" s="118"/>
      <c r="NVA314" s="8"/>
      <c r="NVB314" s="281"/>
      <c r="NVC314" s="78"/>
      <c r="NVD314" s="151"/>
      <c r="NVE314" s="278"/>
      <c r="NVF314" s="266"/>
      <c r="NVG314" s="279"/>
      <c r="NVH314" s="211"/>
      <c r="NVI314" s="211"/>
      <c r="NVJ314" s="286"/>
      <c r="NVK314" s="286"/>
      <c r="NVL314" s="280"/>
      <c r="NVM314" s="281"/>
      <c r="NVN314" s="282"/>
      <c r="NVO314" s="242"/>
      <c r="NVP314" s="222"/>
      <c r="NVR314" s="118"/>
      <c r="NVS314" s="8"/>
      <c r="NVT314" s="281"/>
      <c r="NVU314" s="78"/>
      <c r="NVV314" s="151"/>
      <c r="NVW314" s="278"/>
      <c r="NVX314" s="266"/>
      <c r="NVY314" s="279"/>
      <c r="NVZ314" s="211"/>
      <c r="NWA314" s="211"/>
      <c r="NWB314" s="286"/>
      <c r="NWC314" s="286"/>
      <c r="NWD314" s="280"/>
      <c r="NWE314" s="281"/>
      <c r="NWF314" s="282"/>
      <c r="NWG314" s="242"/>
      <c r="NWH314" s="222"/>
      <c r="NWJ314" s="118"/>
      <c r="NWK314" s="8"/>
      <c r="NWL314" s="281"/>
      <c r="NWM314" s="78"/>
      <c r="NWN314" s="151"/>
      <c r="NWO314" s="278"/>
      <c r="NWP314" s="266"/>
      <c r="NWQ314" s="279"/>
      <c r="NWR314" s="211"/>
      <c r="NWS314" s="211"/>
      <c r="NWT314" s="286"/>
      <c r="NWU314" s="286"/>
      <c r="NWV314" s="280"/>
      <c r="NWW314" s="281"/>
      <c r="NWX314" s="282"/>
      <c r="NWY314" s="242"/>
      <c r="NWZ314" s="222"/>
      <c r="NXB314" s="118"/>
      <c r="NXC314" s="8"/>
      <c r="NXD314" s="281"/>
      <c r="NXE314" s="78"/>
      <c r="NXF314" s="151"/>
      <c r="NXG314" s="278"/>
      <c r="NXH314" s="266"/>
      <c r="NXI314" s="279"/>
      <c r="NXJ314" s="211"/>
      <c r="NXK314" s="211"/>
      <c r="NXL314" s="286"/>
      <c r="NXM314" s="286"/>
      <c r="NXN314" s="280"/>
      <c r="NXO314" s="281"/>
      <c r="NXP314" s="282"/>
      <c r="NXQ314" s="242"/>
      <c r="NXR314" s="222"/>
      <c r="NXT314" s="118"/>
      <c r="NXU314" s="8"/>
      <c r="NXV314" s="281"/>
      <c r="NXW314" s="78"/>
      <c r="NXX314" s="151"/>
      <c r="NXY314" s="278"/>
      <c r="NXZ314" s="266"/>
      <c r="NYA314" s="279"/>
      <c r="NYB314" s="211"/>
      <c r="NYC314" s="211"/>
      <c r="NYD314" s="286"/>
      <c r="NYE314" s="286"/>
      <c r="NYF314" s="280"/>
      <c r="NYG314" s="281"/>
      <c r="NYH314" s="282"/>
      <c r="NYI314" s="242"/>
      <c r="NYJ314" s="222"/>
      <c r="NYL314" s="118"/>
      <c r="NYM314" s="8"/>
      <c r="NYN314" s="281"/>
      <c r="NYO314" s="78"/>
      <c r="NYP314" s="151"/>
      <c r="NYQ314" s="278"/>
      <c r="NYR314" s="266"/>
      <c r="NYS314" s="279"/>
      <c r="NYT314" s="211"/>
      <c r="NYU314" s="211"/>
      <c r="NYV314" s="286"/>
      <c r="NYW314" s="286"/>
      <c r="NYX314" s="280"/>
      <c r="NYY314" s="281"/>
      <c r="NYZ314" s="282"/>
      <c r="NZA314" s="242"/>
      <c r="NZB314" s="222"/>
      <c r="NZD314" s="118"/>
      <c r="NZE314" s="8"/>
      <c r="NZF314" s="281"/>
      <c r="NZG314" s="78"/>
      <c r="NZH314" s="151"/>
      <c r="NZI314" s="278"/>
      <c r="NZJ314" s="266"/>
      <c r="NZK314" s="279"/>
      <c r="NZL314" s="211"/>
      <c r="NZM314" s="211"/>
      <c r="NZN314" s="286"/>
      <c r="NZO314" s="286"/>
      <c r="NZP314" s="280"/>
      <c r="NZQ314" s="281"/>
      <c r="NZR314" s="282"/>
      <c r="NZS314" s="242"/>
      <c r="NZT314" s="222"/>
      <c r="NZV314" s="118"/>
      <c r="NZW314" s="8"/>
      <c r="NZX314" s="281"/>
      <c r="NZY314" s="78"/>
      <c r="NZZ314" s="151"/>
      <c r="OAA314" s="278"/>
      <c r="OAB314" s="266"/>
      <c r="OAC314" s="279"/>
      <c r="OAD314" s="211"/>
      <c r="OAE314" s="211"/>
      <c r="OAF314" s="286"/>
      <c r="OAG314" s="286"/>
      <c r="OAH314" s="280"/>
      <c r="OAI314" s="281"/>
      <c r="OAJ314" s="282"/>
      <c r="OAK314" s="242"/>
      <c r="OAL314" s="222"/>
      <c r="OAN314" s="118"/>
      <c r="OAO314" s="8"/>
      <c r="OAP314" s="281"/>
      <c r="OAQ314" s="78"/>
      <c r="OAR314" s="151"/>
      <c r="OAS314" s="278"/>
      <c r="OAT314" s="266"/>
      <c r="OAU314" s="279"/>
      <c r="OAV314" s="211"/>
      <c r="OAW314" s="211"/>
      <c r="OAX314" s="286"/>
      <c r="OAY314" s="286"/>
      <c r="OAZ314" s="280"/>
      <c r="OBA314" s="281"/>
      <c r="OBB314" s="282"/>
      <c r="OBC314" s="242"/>
      <c r="OBD314" s="222"/>
      <c r="OBF314" s="118"/>
      <c r="OBG314" s="8"/>
      <c r="OBH314" s="281"/>
      <c r="OBI314" s="78"/>
      <c r="OBJ314" s="151"/>
      <c r="OBK314" s="278"/>
      <c r="OBL314" s="266"/>
      <c r="OBM314" s="279"/>
      <c r="OBN314" s="211"/>
      <c r="OBO314" s="211"/>
      <c r="OBP314" s="286"/>
      <c r="OBQ314" s="286"/>
      <c r="OBR314" s="280"/>
      <c r="OBS314" s="281"/>
      <c r="OBT314" s="282"/>
      <c r="OBU314" s="242"/>
      <c r="OBV314" s="222"/>
      <c r="OBX314" s="118"/>
      <c r="OBY314" s="8"/>
      <c r="OBZ314" s="281"/>
      <c r="OCA314" s="78"/>
      <c r="OCB314" s="151"/>
      <c r="OCC314" s="278"/>
      <c r="OCD314" s="266"/>
      <c r="OCE314" s="279"/>
      <c r="OCF314" s="211"/>
      <c r="OCG314" s="211"/>
      <c r="OCH314" s="286"/>
      <c r="OCI314" s="286"/>
      <c r="OCJ314" s="280"/>
      <c r="OCK314" s="281"/>
      <c r="OCL314" s="282"/>
      <c r="OCM314" s="242"/>
      <c r="OCN314" s="222"/>
      <c r="OCP314" s="118"/>
      <c r="OCQ314" s="8"/>
      <c r="OCR314" s="281"/>
      <c r="OCS314" s="78"/>
      <c r="OCT314" s="151"/>
      <c r="OCU314" s="278"/>
      <c r="OCV314" s="266"/>
      <c r="OCW314" s="279"/>
      <c r="OCX314" s="211"/>
      <c r="OCY314" s="211"/>
      <c r="OCZ314" s="286"/>
      <c r="ODA314" s="286"/>
      <c r="ODB314" s="280"/>
      <c r="ODC314" s="281"/>
      <c r="ODD314" s="282"/>
      <c r="ODE314" s="242"/>
      <c r="ODF314" s="222"/>
      <c r="ODH314" s="118"/>
      <c r="ODI314" s="8"/>
      <c r="ODJ314" s="281"/>
      <c r="ODK314" s="78"/>
      <c r="ODL314" s="151"/>
      <c r="ODM314" s="278"/>
      <c r="ODN314" s="266"/>
      <c r="ODO314" s="279"/>
      <c r="ODP314" s="211"/>
      <c r="ODQ314" s="211"/>
      <c r="ODR314" s="286"/>
      <c r="ODS314" s="286"/>
      <c r="ODT314" s="280"/>
      <c r="ODU314" s="281"/>
      <c r="ODV314" s="282"/>
      <c r="ODW314" s="242"/>
      <c r="ODX314" s="222"/>
      <c r="ODZ314" s="118"/>
      <c r="OEA314" s="8"/>
      <c r="OEB314" s="281"/>
      <c r="OEC314" s="78"/>
      <c r="OED314" s="151"/>
      <c r="OEE314" s="278"/>
      <c r="OEF314" s="266"/>
      <c r="OEG314" s="279"/>
      <c r="OEH314" s="211"/>
      <c r="OEI314" s="211"/>
      <c r="OEJ314" s="286"/>
      <c r="OEK314" s="286"/>
      <c r="OEL314" s="280"/>
      <c r="OEM314" s="281"/>
      <c r="OEN314" s="282"/>
      <c r="OEO314" s="242"/>
      <c r="OEP314" s="222"/>
      <c r="OER314" s="118"/>
      <c r="OES314" s="8"/>
      <c r="OET314" s="281"/>
      <c r="OEU314" s="78"/>
      <c r="OEV314" s="151"/>
      <c r="OEW314" s="278"/>
      <c r="OEX314" s="266"/>
      <c r="OEY314" s="279"/>
      <c r="OEZ314" s="211"/>
      <c r="OFA314" s="211"/>
      <c r="OFB314" s="286"/>
      <c r="OFC314" s="286"/>
      <c r="OFD314" s="280"/>
      <c r="OFE314" s="281"/>
      <c r="OFF314" s="282"/>
      <c r="OFG314" s="242"/>
      <c r="OFH314" s="222"/>
      <c r="OFJ314" s="118"/>
      <c r="OFK314" s="8"/>
      <c r="OFL314" s="281"/>
      <c r="OFM314" s="78"/>
      <c r="OFN314" s="151"/>
      <c r="OFO314" s="278"/>
      <c r="OFP314" s="266"/>
      <c r="OFQ314" s="279"/>
      <c r="OFR314" s="211"/>
      <c r="OFS314" s="211"/>
      <c r="OFT314" s="286"/>
      <c r="OFU314" s="286"/>
      <c r="OFV314" s="280"/>
      <c r="OFW314" s="281"/>
      <c r="OFX314" s="282"/>
      <c r="OFY314" s="242"/>
      <c r="OFZ314" s="222"/>
      <c r="OGB314" s="118"/>
      <c r="OGC314" s="8"/>
      <c r="OGD314" s="281"/>
      <c r="OGE314" s="78"/>
      <c r="OGF314" s="151"/>
      <c r="OGG314" s="278"/>
      <c r="OGH314" s="266"/>
      <c r="OGI314" s="279"/>
      <c r="OGJ314" s="211"/>
      <c r="OGK314" s="211"/>
      <c r="OGL314" s="286"/>
      <c r="OGM314" s="286"/>
      <c r="OGN314" s="280"/>
      <c r="OGO314" s="281"/>
      <c r="OGP314" s="282"/>
      <c r="OGQ314" s="242"/>
      <c r="OGR314" s="222"/>
      <c r="OGT314" s="118"/>
      <c r="OGU314" s="8"/>
      <c r="OGV314" s="281"/>
      <c r="OGW314" s="78"/>
      <c r="OGX314" s="151"/>
      <c r="OGY314" s="278"/>
      <c r="OGZ314" s="266"/>
      <c r="OHA314" s="279"/>
      <c r="OHB314" s="211"/>
      <c r="OHC314" s="211"/>
      <c r="OHD314" s="286"/>
      <c r="OHE314" s="286"/>
      <c r="OHF314" s="280"/>
      <c r="OHG314" s="281"/>
      <c r="OHH314" s="282"/>
      <c r="OHI314" s="242"/>
      <c r="OHJ314" s="222"/>
      <c r="OHL314" s="118"/>
      <c r="OHM314" s="8"/>
      <c r="OHN314" s="281"/>
      <c r="OHO314" s="78"/>
      <c r="OHP314" s="151"/>
      <c r="OHQ314" s="278"/>
      <c r="OHR314" s="266"/>
      <c r="OHS314" s="279"/>
      <c r="OHT314" s="211"/>
      <c r="OHU314" s="211"/>
      <c r="OHV314" s="286"/>
      <c r="OHW314" s="286"/>
      <c r="OHX314" s="280"/>
      <c r="OHY314" s="281"/>
      <c r="OHZ314" s="282"/>
      <c r="OIA314" s="242"/>
      <c r="OIB314" s="222"/>
      <c r="OID314" s="118"/>
      <c r="OIE314" s="8"/>
      <c r="OIF314" s="281"/>
      <c r="OIG314" s="78"/>
      <c r="OIH314" s="151"/>
      <c r="OII314" s="278"/>
      <c r="OIJ314" s="266"/>
      <c r="OIK314" s="279"/>
      <c r="OIL314" s="211"/>
      <c r="OIM314" s="211"/>
      <c r="OIN314" s="286"/>
      <c r="OIO314" s="286"/>
      <c r="OIP314" s="280"/>
      <c r="OIQ314" s="281"/>
      <c r="OIR314" s="282"/>
      <c r="OIS314" s="242"/>
      <c r="OIT314" s="222"/>
      <c r="OIV314" s="118"/>
      <c r="OIW314" s="8"/>
      <c r="OIX314" s="281"/>
      <c r="OIY314" s="78"/>
      <c r="OIZ314" s="151"/>
      <c r="OJA314" s="278"/>
      <c r="OJB314" s="266"/>
      <c r="OJC314" s="279"/>
      <c r="OJD314" s="211"/>
      <c r="OJE314" s="211"/>
      <c r="OJF314" s="286"/>
      <c r="OJG314" s="286"/>
      <c r="OJH314" s="280"/>
      <c r="OJI314" s="281"/>
      <c r="OJJ314" s="282"/>
      <c r="OJK314" s="242"/>
      <c r="OJL314" s="222"/>
      <c r="OJN314" s="118"/>
      <c r="OJO314" s="8"/>
      <c r="OJP314" s="281"/>
      <c r="OJQ314" s="78"/>
      <c r="OJR314" s="151"/>
      <c r="OJS314" s="278"/>
      <c r="OJT314" s="266"/>
      <c r="OJU314" s="279"/>
      <c r="OJV314" s="211"/>
      <c r="OJW314" s="211"/>
      <c r="OJX314" s="286"/>
      <c r="OJY314" s="286"/>
      <c r="OJZ314" s="280"/>
      <c r="OKA314" s="281"/>
      <c r="OKB314" s="282"/>
      <c r="OKC314" s="242"/>
      <c r="OKD314" s="222"/>
      <c r="OKF314" s="118"/>
      <c r="OKG314" s="8"/>
      <c r="OKH314" s="281"/>
      <c r="OKI314" s="78"/>
      <c r="OKJ314" s="151"/>
      <c r="OKK314" s="278"/>
      <c r="OKL314" s="266"/>
      <c r="OKM314" s="279"/>
      <c r="OKN314" s="211"/>
      <c r="OKO314" s="211"/>
      <c r="OKP314" s="286"/>
      <c r="OKQ314" s="286"/>
      <c r="OKR314" s="280"/>
      <c r="OKS314" s="281"/>
      <c r="OKT314" s="282"/>
      <c r="OKU314" s="242"/>
      <c r="OKV314" s="222"/>
      <c r="OKX314" s="118"/>
      <c r="OKY314" s="8"/>
      <c r="OKZ314" s="281"/>
      <c r="OLA314" s="78"/>
      <c r="OLB314" s="151"/>
      <c r="OLC314" s="278"/>
      <c r="OLD314" s="266"/>
      <c r="OLE314" s="279"/>
      <c r="OLF314" s="211"/>
      <c r="OLG314" s="211"/>
      <c r="OLH314" s="286"/>
      <c r="OLI314" s="286"/>
      <c r="OLJ314" s="280"/>
      <c r="OLK314" s="281"/>
      <c r="OLL314" s="282"/>
      <c r="OLM314" s="242"/>
      <c r="OLN314" s="222"/>
      <c r="OLP314" s="118"/>
      <c r="OLQ314" s="8"/>
      <c r="OLR314" s="281"/>
      <c r="OLS314" s="78"/>
      <c r="OLT314" s="151"/>
      <c r="OLU314" s="278"/>
      <c r="OLV314" s="266"/>
      <c r="OLW314" s="279"/>
      <c r="OLX314" s="211"/>
      <c r="OLY314" s="211"/>
      <c r="OLZ314" s="286"/>
      <c r="OMA314" s="286"/>
      <c r="OMB314" s="280"/>
      <c r="OMC314" s="281"/>
      <c r="OMD314" s="282"/>
      <c r="OME314" s="242"/>
      <c r="OMF314" s="222"/>
      <c r="OMH314" s="118"/>
      <c r="OMI314" s="8"/>
      <c r="OMJ314" s="281"/>
      <c r="OMK314" s="78"/>
      <c r="OML314" s="151"/>
      <c r="OMM314" s="278"/>
      <c r="OMN314" s="266"/>
      <c r="OMO314" s="279"/>
      <c r="OMP314" s="211"/>
      <c r="OMQ314" s="211"/>
      <c r="OMR314" s="286"/>
      <c r="OMS314" s="286"/>
      <c r="OMT314" s="280"/>
      <c r="OMU314" s="281"/>
      <c r="OMV314" s="282"/>
      <c r="OMW314" s="242"/>
      <c r="OMX314" s="222"/>
      <c r="OMZ314" s="118"/>
      <c r="ONA314" s="8"/>
      <c r="ONB314" s="281"/>
      <c r="ONC314" s="78"/>
      <c r="OND314" s="151"/>
      <c r="ONE314" s="278"/>
      <c r="ONF314" s="266"/>
      <c r="ONG314" s="279"/>
      <c r="ONH314" s="211"/>
      <c r="ONI314" s="211"/>
      <c r="ONJ314" s="286"/>
      <c r="ONK314" s="286"/>
      <c r="ONL314" s="280"/>
      <c r="ONM314" s="281"/>
      <c r="ONN314" s="282"/>
      <c r="ONO314" s="242"/>
      <c r="ONP314" s="222"/>
      <c r="ONR314" s="118"/>
      <c r="ONS314" s="8"/>
      <c r="ONT314" s="281"/>
      <c r="ONU314" s="78"/>
      <c r="ONV314" s="151"/>
      <c r="ONW314" s="278"/>
      <c r="ONX314" s="266"/>
      <c r="ONY314" s="279"/>
      <c r="ONZ314" s="211"/>
      <c r="OOA314" s="211"/>
      <c r="OOB314" s="286"/>
      <c r="OOC314" s="286"/>
      <c r="OOD314" s="280"/>
      <c r="OOE314" s="281"/>
      <c r="OOF314" s="282"/>
      <c r="OOG314" s="242"/>
      <c r="OOH314" s="222"/>
      <c r="OOJ314" s="118"/>
      <c r="OOK314" s="8"/>
      <c r="OOL314" s="281"/>
      <c r="OOM314" s="78"/>
      <c r="OON314" s="151"/>
      <c r="OOO314" s="278"/>
      <c r="OOP314" s="266"/>
      <c r="OOQ314" s="279"/>
      <c r="OOR314" s="211"/>
      <c r="OOS314" s="211"/>
      <c r="OOT314" s="286"/>
      <c r="OOU314" s="286"/>
      <c r="OOV314" s="280"/>
      <c r="OOW314" s="281"/>
      <c r="OOX314" s="282"/>
      <c r="OOY314" s="242"/>
      <c r="OOZ314" s="222"/>
      <c r="OPB314" s="118"/>
      <c r="OPC314" s="8"/>
      <c r="OPD314" s="281"/>
      <c r="OPE314" s="78"/>
      <c r="OPF314" s="151"/>
      <c r="OPG314" s="278"/>
      <c r="OPH314" s="266"/>
      <c r="OPI314" s="279"/>
      <c r="OPJ314" s="211"/>
      <c r="OPK314" s="211"/>
      <c r="OPL314" s="286"/>
      <c r="OPM314" s="286"/>
      <c r="OPN314" s="280"/>
      <c r="OPO314" s="281"/>
      <c r="OPP314" s="282"/>
      <c r="OPQ314" s="242"/>
      <c r="OPR314" s="222"/>
      <c r="OPT314" s="118"/>
      <c r="OPU314" s="8"/>
      <c r="OPV314" s="281"/>
      <c r="OPW314" s="78"/>
      <c r="OPX314" s="151"/>
      <c r="OPY314" s="278"/>
      <c r="OPZ314" s="266"/>
      <c r="OQA314" s="279"/>
      <c r="OQB314" s="211"/>
      <c r="OQC314" s="211"/>
      <c r="OQD314" s="286"/>
      <c r="OQE314" s="286"/>
      <c r="OQF314" s="280"/>
      <c r="OQG314" s="281"/>
      <c r="OQH314" s="282"/>
      <c r="OQI314" s="242"/>
      <c r="OQJ314" s="222"/>
      <c r="OQL314" s="118"/>
      <c r="OQM314" s="8"/>
      <c r="OQN314" s="281"/>
      <c r="OQO314" s="78"/>
      <c r="OQP314" s="151"/>
      <c r="OQQ314" s="278"/>
      <c r="OQR314" s="266"/>
      <c r="OQS314" s="279"/>
      <c r="OQT314" s="211"/>
      <c r="OQU314" s="211"/>
      <c r="OQV314" s="286"/>
      <c r="OQW314" s="286"/>
      <c r="OQX314" s="280"/>
      <c r="OQY314" s="281"/>
      <c r="OQZ314" s="282"/>
      <c r="ORA314" s="242"/>
      <c r="ORB314" s="222"/>
      <c r="ORD314" s="118"/>
      <c r="ORE314" s="8"/>
      <c r="ORF314" s="281"/>
      <c r="ORG314" s="78"/>
      <c r="ORH314" s="151"/>
      <c r="ORI314" s="278"/>
      <c r="ORJ314" s="266"/>
      <c r="ORK314" s="279"/>
      <c r="ORL314" s="211"/>
      <c r="ORM314" s="211"/>
      <c r="ORN314" s="286"/>
      <c r="ORO314" s="286"/>
      <c r="ORP314" s="280"/>
      <c r="ORQ314" s="281"/>
      <c r="ORR314" s="282"/>
      <c r="ORS314" s="242"/>
      <c r="ORT314" s="222"/>
      <c r="ORV314" s="118"/>
      <c r="ORW314" s="8"/>
      <c r="ORX314" s="281"/>
      <c r="ORY314" s="78"/>
      <c r="ORZ314" s="151"/>
      <c r="OSA314" s="278"/>
      <c r="OSB314" s="266"/>
      <c r="OSC314" s="279"/>
      <c r="OSD314" s="211"/>
      <c r="OSE314" s="211"/>
      <c r="OSF314" s="286"/>
      <c r="OSG314" s="286"/>
      <c r="OSH314" s="280"/>
      <c r="OSI314" s="281"/>
      <c r="OSJ314" s="282"/>
      <c r="OSK314" s="242"/>
      <c r="OSL314" s="222"/>
      <c r="OSN314" s="118"/>
      <c r="OSO314" s="8"/>
      <c r="OSP314" s="281"/>
      <c r="OSQ314" s="78"/>
      <c r="OSR314" s="151"/>
      <c r="OSS314" s="278"/>
      <c r="OST314" s="266"/>
      <c r="OSU314" s="279"/>
      <c r="OSV314" s="211"/>
      <c r="OSW314" s="211"/>
      <c r="OSX314" s="286"/>
      <c r="OSY314" s="286"/>
      <c r="OSZ314" s="280"/>
      <c r="OTA314" s="281"/>
      <c r="OTB314" s="282"/>
      <c r="OTC314" s="242"/>
      <c r="OTD314" s="222"/>
      <c r="OTF314" s="118"/>
      <c r="OTG314" s="8"/>
      <c r="OTH314" s="281"/>
      <c r="OTI314" s="78"/>
      <c r="OTJ314" s="151"/>
      <c r="OTK314" s="278"/>
      <c r="OTL314" s="266"/>
      <c r="OTM314" s="279"/>
      <c r="OTN314" s="211"/>
      <c r="OTO314" s="211"/>
      <c r="OTP314" s="286"/>
      <c r="OTQ314" s="286"/>
      <c r="OTR314" s="280"/>
      <c r="OTS314" s="281"/>
      <c r="OTT314" s="282"/>
      <c r="OTU314" s="242"/>
      <c r="OTV314" s="222"/>
      <c r="OTX314" s="118"/>
      <c r="OTY314" s="8"/>
      <c r="OTZ314" s="281"/>
      <c r="OUA314" s="78"/>
      <c r="OUB314" s="151"/>
      <c r="OUC314" s="278"/>
      <c r="OUD314" s="266"/>
      <c r="OUE314" s="279"/>
      <c r="OUF314" s="211"/>
      <c r="OUG314" s="211"/>
      <c r="OUH314" s="286"/>
      <c r="OUI314" s="286"/>
      <c r="OUJ314" s="280"/>
      <c r="OUK314" s="281"/>
      <c r="OUL314" s="282"/>
      <c r="OUM314" s="242"/>
      <c r="OUN314" s="222"/>
      <c r="OUP314" s="118"/>
      <c r="OUQ314" s="8"/>
      <c r="OUR314" s="281"/>
      <c r="OUS314" s="78"/>
      <c r="OUT314" s="151"/>
      <c r="OUU314" s="278"/>
      <c r="OUV314" s="266"/>
      <c r="OUW314" s="279"/>
      <c r="OUX314" s="211"/>
      <c r="OUY314" s="211"/>
      <c r="OUZ314" s="286"/>
      <c r="OVA314" s="286"/>
      <c r="OVB314" s="280"/>
      <c r="OVC314" s="281"/>
      <c r="OVD314" s="282"/>
      <c r="OVE314" s="242"/>
      <c r="OVF314" s="222"/>
      <c r="OVH314" s="118"/>
      <c r="OVI314" s="8"/>
      <c r="OVJ314" s="281"/>
      <c r="OVK314" s="78"/>
      <c r="OVL314" s="151"/>
      <c r="OVM314" s="278"/>
      <c r="OVN314" s="266"/>
      <c r="OVO314" s="279"/>
      <c r="OVP314" s="211"/>
      <c r="OVQ314" s="211"/>
      <c r="OVR314" s="286"/>
      <c r="OVS314" s="286"/>
      <c r="OVT314" s="280"/>
      <c r="OVU314" s="281"/>
      <c r="OVV314" s="282"/>
      <c r="OVW314" s="242"/>
      <c r="OVX314" s="222"/>
      <c r="OVZ314" s="118"/>
      <c r="OWA314" s="8"/>
      <c r="OWB314" s="281"/>
      <c r="OWC314" s="78"/>
      <c r="OWD314" s="151"/>
      <c r="OWE314" s="278"/>
      <c r="OWF314" s="266"/>
      <c r="OWG314" s="279"/>
      <c r="OWH314" s="211"/>
      <c r="OWI314" s="211"/>
      <c r="OWJ314" s="286"/>
      <c r="OWK314" s="286"/>
      <c r="OWL314" s="280"/>
      <c r="OWM314" s="281"/>
      <c r="OWN314" s="282"/>
      <c r="OWO314" s="242"/>
      <c r="OWP314" s="222"/>
      <c r="OWR314" s="118"/>
      <c r="OWS314" s="8"/>
      <c r="OWT314" s="281"/>
      <c r="OWU314" s="78"/>
      <c r="OWV314" s="151"/>
      <c r="OWW314" s="278"/>
      <c r="OWX314" s="266"/>
      <c r="OWY314" s="279"/>
      <c r="OWZ314" s="211"/>
      <c r="OXA314" s="211"/>
      <c r="OXB314" s="286"/>
      <c r="OXC314" s="286"/>
      <c r="OXD314" s="280"/>
      <c r="OXE314" s="281"/>
      <c r="OXF314" s="282"/>
      <c r="OXG314" s="242"/>
      <c r="OXH314" s="222"/>
      <c r="OXJ314" s="118"/>
      <c r="OXK314" s="8"/>
      <c r="OXL314" s="281"/>
      <c r="OXM314" s="78"/>
      <c r="OXN314" s="151"/>
      <c r="OXO314" s="278"/>
      <c r="OXP314" s="266"/>
      <c r="OXQ314" s="279"/>
      <c r="OXR314" s="211"/>
      <c r="OXS314" s="211"/>
      <c r="OXT314" s="286"/>
      <c r="OXU314" s="286"/>
      <c r="OXV314" s="280"/>
      <c r="OXW314" s="281"/>
      <c r="OXX314" s="282"/>
      <c r="OXY314" s="242"/>
      <c r="OXZ314" s="222"/>
      <c r="OYB314" s="118"/>
      <c r="OYC314" s="8"/>
      <c r="OYD314" s="281"/>
      <c r="OYE314" s="78"/>
      <c r="OYF314" s="151"/>
      <c r="OYG314" s="278"/>
      <c r="OYH314" s="266"/>
      <c r="OYI314" s="279"/>
      <c r="OYJ314" s="211"/>
      <c r="OYK314" s="211"/>
      <c r="OYL314" s="286"/>
      <c r="OYM314" s="286"/>
      <c r="OYN314" s="280"/>
      <c r="OYO314" s="281"/>
      <c r="OYP314" s="282"/>
      <c r="OYQ314" s="242"/>
      <c r="OYR314" s="222"/>
      <c r="OYT314" s="118"/>
      <c r="OYU314" s="8"/>
      <c r="OYV314" s="281"/>
      <c r="OYW314" s="78"/>
      <c r="OYX314" s="151"/>
      <c r="OYY314" s="278"/>
      <c r="OYZ314" s="266"/>
      <c r="OZA314" s="279"/>
      <c r="OZB314" s="211"/>
      <c r="OZC314" s="211"/>
      <c r="OZD314" s="286"/>
      <c r="OZE314" s="286"/>
      <c r="OZF314" s="280"/>
      <c r="OZG314" s="281"/>
      <c r="OZH314" s="282"/>
      <c r="OZI314" s="242"/>
      <c r="OZJ314" s="222"/>
      <c r="OZL314" s="118"/>
      <c r="OZM314" s="8"/>
      <c r="OZN314" s="281"/>
      <c r="OZO314" s="78"/>
      <c r="OZP314" s="151"/>
      <c r="OZQ314" s="278"/>
      <c r="OZR314" s="266"/>
      <c r="OZS314" s="279"/>
      <c r="OZT314" s="211"/>
      <c r="OZU314" s="211"/>
      <c r="OZV314" s="286"/>
      <c r="OZW314" s="286"/>
      <c r="OZX314" s="280"/>
      <c r="OZY314" s="281"/>
      <c r="OZZ314" s="282"/>
      <c r="PAA314" s="242"/>
      <c r="PAB314" s="222"/>
      <c r="PAD314" s="118"/>
      <c r="PAE314" s="8"/>
      <c r="PAF314" s="281"/>
      <c r="PAG314" s="78"/>
      <c r="PAH314" s="151"/>
      <c r="PAI314" s="278"/>
      <c r="PAJ314" s="266"/>
      <c r="PAK314" s="279"/>
      <c r="PAL314" s="211"/>
      <c r="PAM314" s="211"/>
      <c r="PAN314" s="286"/>
      <c r="PAO314" s="286"/>
      <c r="PAP314" s="280"/>
      <c r="PAQ314" s="281"/>
      <c r="PAR314" s="282"/>
      <c r="PAS314" s="242"/>
      <c r="PAT314" s="222"/>
      <c r="PAV314" s="118"/>
      <c r="PAW314" s="8"/>
      <c r="PAX314" s="281"/>
      <c r="PAY314" s="78"/>
      <c r="PAZ314" s="151"/>
      <c r="PBA314" s="278"/>
      <c r="PBB314" s="266"/>
      <c r="PBC314" s="279"/>
      <c r="PBD314" s="211"/>
      <c r="PBE314" s="211"/>
      <c r="PBF314" s="286"/>
      <c r="PBG314" s="286"/>
      <c r="PBH314" s="280"/>
      <c r="PBI314" s="281"/>
      <c r="PBJ314" s="282"/>
      <c r="PBK314" s="242"/>
      <c r="PBL314" s="222"/>
      <c r="PBN314" s="118"/>
      <c r="PBO314" s="8"/>
      <c r="PBP314" s="281"/>
      <c r="PBQ314" s="78"/>
      <c r="PBR314" s="151"/>
      <c r="PBS314" s="278"/>
      <c r="PBT314" s="266"/>
      <c r="PBU314" s="279"/>
      <c r="PBV314" s="211"/>
      <c r="PBW314" s="211"/>
      <c r="PBX314" s="286"/>
      <c r="PBY314" s="286"/>
      <c r="PBZ314" s="280"/>
      <c r="PCA314" s="281"/>
      <c r="PCB314" s="282"/>
      <c r="PCC314" s="242"/>
      <c r="PCD314" s="222"/>
      <c r="PCF314" s="118"/>
      <c r="PCG314" s="8"/>
      <c r="PCH314" s="281"/>
      <c r="PCI314" s="78"/>
      <c r="PCJ314" s="151"/>
      <c r="PCK314" s="278"/>
      <c r="PCL314" s="266"/>
      <c r="PCM314" s="279"/>
      <c r="PCN314" s="211"/>
      <c r="PCO314" s="211"/>
      <c r="PCP314" s="286"/>
      <c r="PCQ314" s="286"/>
      <c r="PCR314" s="280"/>
      <c r="PCS314" s="281"/>
      <c r="PCT314" s="282"/>
      <c r="PCU314" s="242"/>
      <c r="PCV314" s="222"/>
      <c r="PCX314" s="118"/>
      <c r="PCY314" s="8"/>
      <c r="PCZ314" s="281"/>
      <c r="PDA314" s="78"/>
      <c r="PDB314" s="151"/>
      <c r="PDC314" s="278"/>
      <c r="PDD314" s="266"/>
      <c r="PDE314" s="279"/>
      <c r="PDF314" s="211"/>
      <c r="PDG314" s="211"/>
      <c r="PDH314" s="286"/>
      <c r="PDI314" s="286"/>
      <c r="PDJ314" s="280"/>
      <c r="PDK314" s="281"/>
      <c r="PDL314" s="282"/>
      <c r="PDM314" s="242"/>
      <c r="PDN314" s="222"/>
      <c r="PDP314" s="118"/>
      <c r="PDQ314" s="8"/>
      <c r="PDR314" s="281"/>
      <c r="PDS314" s="78"/>
      <c r="PDT314" s="151"/>
      <c r="PDU314" s="278"/>
      <c r="PDV314" s="266"/>
      <c r="PDW314" s="279"/>
      <c r="PDX314" s="211"/>
      <c r="PDY314" s="211"/>
      <c r="PDZ314" s="286"/>
      <c r="PEA314" s="286"/>
      <c r="PEB314" s="280"/>
      <c r="PEC314" s="281"/>
      <c r="PED314" s="282"/>
      <c r="PEE314" s="242"/>
      <c r="PEF314" s="222"/>
      <c r="PEH314" s="118"/>
      <c r="PEI314" s="8"/>
      <c r="PEJ314" s="281"/>
      <c r="PEK314" s="78"/>
      <c r="PEL314" s="151"/>
      <c r="PEM314" s="278"/>
      <c r="PEN314" s="266"/>
      <c r="PEO314" s="279"/>
      <c r="PEP314" s="211"/>
      <c r="PEQ314" s="211"/>
      <c r="PER314" s="286"/>
      <c r="PES314" s="286"/>
      <c r="PET314" s="280"/>
      <c r="PEU314" s="281"/>
      <c r="PEV314" s="282"/>
      <c r="PEW314" s="242"/>
      <c r="PEX314" s="222"/>
      <c r="PEZ314" s="118"/>
      <c r="PFA314" s="8"/>
      <c r="PFB314" s="281"/>
      <c r="PFC314" s="78"/>
      <c r="PFD314" s="151"/>
      <c r="PFE314" s="278"/>
      <c r="PFF314" s="266"/>
      <c r="PFG314" s="279"/>
      <c r="PFH314" s="211"/>
      <c r="PFI314" s="211"/>
      <c r="PFJ314" s="286"/>
      <c r="PFK314" s="286"/>
      <c r="PFL314" s="280"/>
      <c r="PFM314" s="281"/>
      <c r="PFN314" s="282"/>
      <c r="PFO314" s="242"/>
      <c r="PFP314" s="222"/>
      <c r="PFR314" s="118"/>
      <c r="PFS314" s="8"/>
      <c r="PFT314" s="281"/>
      <c r="PFU314" s="78"/>
      <c r="PFV314" s="151"/>
      <c r="PFW314" s="278"/>
      <c r="PFX314" s="266"/>
      <c r="PFY314" s="279"/>
      <c r="PFZ314" s="211"/>
      <c r="PGA314" s="211"/>
      <c r="PGB314" s="286"/>
      <c r="PGC314" s="286"/>
      <c r="PGD314" s="280"/>
      <c r="PGE314" s="281"/>
      <c r="PGF314" s="282"/>
      <c r="PGG314" s="242"/>
      <c r="PGH314" s="222"/>
      <c r="PGJ314" s="118"/>
      <c r="PGK314" s="8"/>
      <c r="PGL314" s="281"/>
      <c r="PGM314" s="78"/>
      <c r="PGN314" s="151"/>
      <c r="PGO314" s="278"/>
      <c r="PGP314" s="266"/>
      <c r="PGQ314" s="279"/>
      <c r="PGR314" s="211"/>
      <c r="PGS314" s="211"/>
      <c r="PGT314" s="286"/>
      <c r="PGU314" s="286"/>
      <c r="PGV314" s="280"/>
      <c r="PGW314" s="281"/>
      <c r="PGX314" s="282"/>
      <c r="PGY314" s="242"/>
      <c r="PGZ314" s="222"/>
      <c r="PHB314" s="118"/>
      <c r="PHC314" s="8"/>
      <c r="PHD314" s="281"/>
      <c r="PHE314" s="78"/>
      <c r="PHF314" s="151"/>
      <c r="PHG314" s="278"/>
      <c r="PHH314" s="266"/>
      <c r="PHI314" s="279"/>
      <c r="PHJ314" s="211"/>
      <c r="PHK314" s="211"/>
      <c r="PHL314" s="286"/>
      <c r="PHM314" s="286"/>
      <c r="PHN314" s="280"/>
      <c r="PHO314" s="281"/>
      <c r="PHP314" s="282"/>
      <c r="PHQ314" s="242"/>
      <c r="PHR314" s="222"/>
      <c r="PHT314" s="118"/>
      <c r="PHU314" s="8"/>
      <c r="PHV314" s="281"/>
      <c r="PHW314" s="78"/>
      <c r="PHX314" s="151"/>
      <c r="PHY314" s="278"/>
      <c r="PHZ314" s="266"/>
      <c r="PIA314" s="279"/>
      <c r="PIB314" s="211"/>
      <c r="PIC314" s="211"/>
      <c r="PID314" s="286"/>
      <c r="PIE314" s="286"/>
      <c r="PIF314" s="280"/>
      <c r="PIG314" s="281"/>
      <c r="PIH314" s="282"/>
      <c r="PII314" s="242"/>
      <c r="PIJ314" s="222"/>
      <c r="PIL314" s="118"/>
      <c r="PIM314" s="8"/>
      <c r="PIN314" s="281"/>
      <c r="PIO314" s="78"/>
      <c r="PIP314" s="151"/>
      <c r="PIQ314" s="278"/>
      <c r="PIR314" s="266"/>
      <c r="PIS314" s="279"/>
      <c r="PIT314" s="211"/>
      <c r="PIU314" s="211"/>
      <c r="PIV314" s="286"/>
      <c r="PIW314" s="286"/>
      <c r="PIX314" s="280"/>
      <c r="PIY314" s="281"/>
      <c r="PIZ314" s="282"/>
      <c r="PJA314" s="242"/>
      <c r="PJB314" s="222"/>
      <c r="PJD314" s="118"/>
      <c r="PJE314" s="8"/>
      <c r="PJF314" s="281"/>
      <c r="PJG314" s="78"/>
      <c r="PJH314" s="151"/>
      <c r="PJI314" s="278"/>
      <c r="PJJ314" s="266"/>
      <c r="PJK314" s="279"/>
      <c r="PJL314" s="211"/>
      <c r="PJM314" s="211"/>
      <c r="PJN314" s="286"/>
      <c r="PJO314" s="286"/>
      <c r="PJP314" s="280"/>
      <c r="PJQ314" s="281"/>
      <c r="PJR314" s="282"/>
      <c r="PJS314" s="242"/>
      <c r="PJT314" s="222"/>
      <c r="PJV314" s="118"/>
      <c r="PJW314" s="8"/>
      <c r="PJX314" s="281"/>
      <c r="PJY314" s="78"/>
      <c r="PJZ314" s="151"/>
      <c r="PKA314" s="278"/>
      <c r="PKB314" s="266"/>
      <c r="PKC314" s="279"/>
      <c r="PKD314" s="211"/>
      <c r="PKE314" s="211"/>
      <c r="PKF314" s="286"/>
      <c r="PKG314" s="286"/>
      <c r="PKH314" s="280"/>
      <c r="PKI314" s="281"/>
      <c r="PKJ314" s="282"/>
      <c r="PKK314" s="242"/>
      <c r="PKL314" s="222"/>
      <c r="PKN314" s="118"/>
      <c r="PKO314" s="8"/>
      <c r="PKP314" s="281"/>
      <c r="PKQ314" s="78"/>
      <c r="PKR314" s="151"/>
      <c r="PKS314" s="278"/>
      <c r="PKT314" s="266"/>
      <c r="PKU314" s="279"/>
      <c r="PKV314" s="211"/>
      <c r="PKW314" s="211"/>
      <c r="PKX314" s="286"/>
      <c r="PKY314" s="286"/>
      <c r="PKZ314" s="280"/>
      <c r="PLA314" s="281"/>
      <c r="PLB314" s="282"/>
      <c r="PLC314" s="242"/>
      <c r="PLD314" s="222"/>
      <c r="PLF314" s="118"/>
      <c r="PLG314" s="8"/>
      <c r="PLH314" s="281"/>
      <c r="PLI314" s="78"/>
      <c r="PLJ314" s="151"/>
      <c r="PLK314" s="278"/>
      <c r="PLL314" s="266"/>
      <c r="PLM314" s="279"/>
      <c r="PLN314" s="211"/>
      <c r="PLO314" s="211"/>
      <c r="PLP314" s="286"/>
      <c r="PLQ314" s="286"/>
      <c r="PLR314" s="280"/>
      <c r="PLS314" s="281"/>
      <c r="PLT314" s="282"/>
      <c r="PLU314" s="242"/>
      <c r="PLV314" s="222"/>
      <c r="PLX314" s="118"/>
      <c r="PLY314" s="8"/>
      <c r="PLZ314" s="281"/>
      <c r="PMA314" s="78"/>
      <c r="PMB314" s="151"/>
      <c r="PMC314" s="278"/>
      <c r="PMD314" s="266"/>
      <c r="PME314" s="279"/>
      <c r="PMF314" s="211"/>
      <c r="PMG314" s="211"/>
      <c r="PMH314" s="286"/>
      <c r="PMI314" s="286"/>
      <c r="PMJ314" s="280"/>
      <c r="PMK314" s="281"/>
      <c r="PML314" s="282"/>
      <c r="PMM314" s="242"/>
      <c r="PMN314" s="222"/>
      <c r="PMP314" s="118"/>
      <c r="PMQ314" s="8"/>
      <c r="PMR314" s="281"/>
      <c r="PMS314" s="78"/>
      <c r="PMT314" s="151"/>
      <c r="PMU314" s="278"/>
      <c r="PMV314" s="266"/>
      <c r="PMW314" s="279"/>
      <c r="PMX314" s="211"/>
      <c r="PMY314" s="211"/>
      <c r="PMZ314" s="286"/>
      <c r="PNA314" s="286"/>
      <c r="PNB314" s="280"/>
      <c r="PNC314" s="281"/>
      <c r="PND314" s="282"/>
      <c r="PNE314" s="242"/>
      <c r="PNF314" s="222"/>
      <c r="PNH314" s="118"/>
      <c r="PNI314" s="8"/>
      <c r="PNJ314" s="281"/>
      <c r="PNK314" s="78"/>
      <c r="PNL314" s="151"/>
      <c r="PNM314" s="278"/>
      <c r="PNN314" s="266"/>
      <c r="PNO314" s="279"/>
      <c r="PNP314" s="211"/>
      <c r="PNQ314" s="211"/>
      <c r="PNR314" s="286"/>
      <c r="PNS314" s="286"/>
      <c r="PNT314" s="280"/>
      <c r="PNU314" s="281"/>
      <c r="PNV314" s="282"/>
      <c r="PNW314" s="242"/>
      <c r="PNX314" s="222"/>
      <c r="PNZ314" s="118"/>
      <c r="POA314" s="8"/>
      <c r="POB314" s="281"/>
      <c r="POC314" s="78"/>
      <c r="POD314" s="151"/>
      <c r="POE314" s="278"/>
      <c r="POF314" s="266"/>
      <c r="POG314" s="279"/>
      <c r="POH314" s="211"/>
      <c r="POI314" s="211"/>
      <c r="POJ314" s="286"/>
      <c r="POK314" s="286"/>
      <c r="POL314" s="280"/>
      <c r="POM314" s="281"/>
      <c r="PON314" s="282"/>
      <c r="POO314" s="242"/>
      <c r="POP314" s="222"/>
      <c r="POR314" s="118"/>
      <c r="POS314" s="8"/>
      <c r="POT314" s="281"/>
      <c r="POU314" s="78"/>
      <c r="POV314" s="151"/>
      <c r="POW314" s="278"/>
      <c r="POX314" s="266"/>
      <c r="POY314" s="279"/>
      <c r="POZ314" s="211"/>
      <c r="PPA314" s="211"/>
      <c r="PPB314" s="286"/>
      <c r="PPC314" s="286"/>
      <c r="PPD314" s="280"/>
      <c r="PPE314" s="281"/>
      <c r="PPF314" s="282"/>
      <c r="PPG314" s="242"/>
      <c r="PPH314" s="222"/>
      <c r="PPJ314" s="118"/>
      <c r="PPK314" s="8"/>
      <c r="PPL314" s="281"/>
      <c r="PPM314" s="78"/>
      <c r="PPN314" s="151"/>
      <c r="PPO314" s="278"/>
      <c r="PPP314" s="266"/>
      <c r="PPQ314" s="279"/>
      <c r="PPR314" s="211"/>
      <c r="PPS314" s="211"/>
      <c r="PPT314" s="286"/>
      <c r="PPU314" s="286"/>
      <c r="PPV314" s="280"/>
      <c r="PPW314" s="281"/>
      <c r="PPX314" s="282"/>
      <c r="PPY314" s="242"/>
      <c r="PPZ314" s="222"/>
      <c r="PQB314" s="118"/>
      <c r="PQC314" s="8"/>
      <c r="PQD314" s="281"/>
      <c r="PQE314" s="78"/>
      <c r="PQF314" s="151"/>
      <c r="PQG314" s="278"/>
      <c r="PQH314" s="266"/>
      <c r="PQI314" s="279"/>
      <c r="PQJ314" s="211"/>
      <c r="PQK314" s="211"/>
      <c r="PQL314" s="286"/>
      <c r="PQM314" s="286"/>
      <c r="PQN314" s="280"/>
      <c r="PQO314" s="281"/>
      <c r="PQP314" s="282"/>
      <c r="PQQ314" s="242"/>
      <c r="PQR314" s="222"/>
      <c r="PQT314" s="118"/>
      <c r="PQU314" s="8"/>
      <c r="PQV314" s="281"/>
      <c r="PQW314" s="78"/>
      <c r="PQX314" s="151"/>
      <c r="PQY314" s="278"/>
      <c r="PQZ314" s="266"/>
      <c r="PRA314" s="279"/>
      <c r="PRB314" s="211"/>
      <c r="PRC314" s="211"/>
      <c r="PRD314" s="286"/>
      <c r="PRE314" s="286"/>
      <c r="PRF314" s="280"/>
      <c r="PRG314" s="281"/>
      <c r="PRH314" s="282"/>
      <c r="PRI314" s="242"/>
      <c r="PRJ314" s="222"/>
      <c r="PRL314" s="118"/>
      <c r="PRM314" s="8"/>
      <c r="PRN314" s="281"/>
      <c r="PRO314" s="78"/>
      <c r="PRP314" s="151"/>
      <c r="PRQ314" s="278"/>
      <c r="PRR314" s="266"/>
      <c r="PRS314" s="279"/>
      <c r="PRT314" s="211"/>
      <c r="PRU314" s="211"/>
      <c r="PRV314" s="286"/>
      <c r="PRW314" s="286"/>
      <c r="PRX314" s="280"/>
      <c r="PRY314" s="281"/>
      <c r="PRZ314" s="282"/>
      <c r="PSA314" s="242"/>
      <c r="PSB314" s="222"/>
      <c r="PSD314" s="118"/>
      <c r="PSE314" s="8"/>
      <c r="PSF314" s="281"/>
      <c r="PSG314" s="78"/>
      <c r="PSH314" s="151"/>
      <c r="PSI314" s="278"/>
      <c r="PSJ314" s="266"/>
      <c r="PSK314" s="279"/>
      <c r="PSL314" s="211"/>
      <c r="PSM314" s="211"/>
      <c r="PSN314" s="286"/>
      <c r="PSO314" s="286"/>
      <c r="PSP314" s="280"/>
      <c r="PSQ314" s="281"/>
      <c r="PSR314" s="282"/>
      <c r="PSS314" s="242"/>
      <c r="PST314" s="222"/>
      <c r="PSV314" s="118"/>
      <c r="PSW314" s="8"/>
      <c r="PSX314" s="281"/>
      <c r="PSY314" s="78"/>
      <c r="PSZ314" s="151"/>
      <c r="PTA314" s="278"/>
      <c r="PTB314" s="266"/>
      <c r="PTC314" s="279"/>
      <c r="PTD314" s="211"/>
      <c r="PTE314" s="211"/>
      <c r="PTF314" s="286"/>
      <c r="PTG314" s="286"/>
      <c r="PTH314" s="280"/>
      <c r="PTI314" s="281"/>
      <c r="PTJ314" s="282"/>
      <c r="PTK314" s="242"/>
      <c r="PTL314" s="222"/>
      <c r="PTN314" s="118"/>
      <c r="PTO314" s="8"/>
      <c r="PTP314" s="281"/>
      <c r="PTQ314" s="78"/>
      <c r="PTR314" s="151"/>
      <c r="PTS314" s="278"/>
      <c r="PTT314" s="266"/>
      <c r="PTU314" s="279"/>
      <c r="PTV314" s="211"/>
      <c r="PTW314" s="211"/>
      <c r="PTX314" s="286"/>
      <c r="PTY314" s="286"/>
      <c r="PTZ314" s="280"/>
      <c r="PUA314" s="281"/>
      <c r="PUB314" s="282"/>
      <c r="PUC314" s="242"/>
      <c r="PUD314" s="222"/>
      <c r="PUF314" s="118"/>
      <c r="PUG314" s="8"/>
      <c r="PUH314" s="281"/>
      <c r="PUI314" s="78"/>
      <c r="PUJ314" s="151"/>
      <c r="PUK314" s="278"/>
      <c r="PUL314" s="266"/>
      <c r="PUM314" s="279"/>
      <c r="PUN314" s="211"/>
      <c r="PUO314" s="211"/>
      <c r="PUP314" s="286"/>
      <c r="PUQ314" s="286"/>
      <c r="PUR314" s="280"/>
      <c r="PUS314" s="281"/>
      <c r="PUT314" s="282"/>
      <c r="PUU314" s="242"/>
      <c r="PUV314" s="222"/>
      <c r="PUX314" s="118"/>
      <c r="PUY314" s="8"/>
      <c r="PUZ314" s="281"/>
      <c r="PVA314" s="78"/>
      <c r="PVB314" s="151"/>
      <c r="PVC314" s="278"/>
      <c r="PVD314" s="266"/>
      <c r="PVE314" s="279"/>
      <c r="PVF314" s="211"/>
      <c r="PVG314" s="211"/>
      <c r="PVH314" s="286"/>
      <c r="PVI314" s="286"/>
      <c r="PVJ314" s="280"/>
      <c r="PVK314" s="281"/>
      <c r="PVL314" s="282"/>
      <c r="PVM314" s="242"/>
      <c r="PVN314" s="222"/>
      <c r="PVP314" s="118"/>
      <c r="PVQ314" s="8"/>
      <c r="PVR314" s="281"/>
      <c r="PVS314" s="78"/>
      <c r="PVT314" s="151"/>
      <c r="PVU314" s="278"/>
      <c r="PVV314" s="266"/>
      <c r="PVW314" s="279"/>
      <c r="PVX314" s="211"/>
      <c r="PVY314" s="211"/>
      <c r="PVZ314" s="286"/>
      <c r="PWA314" s="286"/>
      <c r="PWB314" s="280"/>
      <c r="PWC314" s="281"/>
      <c r="PWD314" s="282"/>
      <c r="PWE314" s="242"/>
      <c r="PWF314" s="222"/>
      <c r="PWH314" s="118"/>
      <c r="PWI314" s="8"/>
      <c r="PWJ314" s="281"/>
      <c r="PWK314" s="78"/>
      <c r="PWL314" s="151"/>
      <c r="PWM314" s="278"/>
      <c r="PWN314" s="266"/>
      <c r="PWO314" s="279"/>
      <c r="PWP314" s="211"/>
      <c r="PWQ314" s="211"/>
      <c r="PWR314" s="286"/>
      <c r="PWS314" s="286"/>
      <c r="PWT314" s="280"/>
      <c r="PWU314" s="281"/>
      <c r="PWV314" s="282"/>
      <c r="PWW314" s="242"/>
      <c r="PWX314" s="222"/>
      <c r="PWZ314" s="118"/>
      <c r="PXA314" s="8"/>
      <c r="PXB314" s="281"/>
      <c r="PXC314" s="78"/>
      <c r="PXD314" s="151"/>
      <c r="PXE314" s="278"/>
      <c r="PXF314" s="266"/>
      <c r="PXG314" s="279"/>
      <c r="PXH314" s="211"/>
      <c r="PXI314" s="211"/>
      <c r="PXJ314" s="286"/>
      <c r="PXK314" s="286"/>
      <c r="PXL314" s="280"/>
      <c r="PXM314" s="281"/>
      <c r="PXN314" s="282"/>
      <c r="PXO314" s="242"/>
      <c r="PXP314" s="222"/>
      <c r="PXR314" s="118"/>
      <c r="PXS314" s="8"/>
      <c r="PXT314" s="281"/>
      <c r="PXU314" s="78"/>
      <c r="PXV314" s="151"/>
      <c r="PXW314" s="278"/>
      <c r="PXX314" s="266"/>
      <c r="PXY314" s="279"/>
      <c r="PXZ314" s="211"/>
      <c r="PYA314" s="211"/>
      <c r="PYB314" s="286"/>
      <c r="PYC314" s="286"/>
      <c r="PYD314" s="280"/>
      <c r="PYE314" s="281"/>
      <c r="PYF314" s="282"/>
      <c r="PYG314" s="242"/>
      <c r="PYH314" s="222"/>
      <c r="PYJ314" s="118"/>
      <c r="PYK314" s="8"/>
      <c r="PYL314" s="281"/>
      <c r="PYM314" s="78"/>
      <c r="PYN314" s="151"/>
      <c r="PYO314" s="278"/>
      <c r="PYP314" s="266"/>
      <c r="PYQ314" s="279"/>
      <c r="PYR314" s="211"/>
      <c r="PYS314" s="211"/>
      <c r="PYT314" s="286"/>
      <c r="PYU314" s="286"/>
      <c r="PYV314" s="280"/>
      <c r="PYW314" s="281"/>
      <c r="PYX314" s="282"/>
      <c r="PYY314" s="242"/>
      <c r="PYZ314" s="222"/>
      <c r="PZB314" s="118"/>
      <c r="PZC314" s="8"/>
      <c r="PZD314" s="281"/>
      <c r="PZE314" s="78"/>
      <c r="PZF314" s="151"/>
      <c r="PZG314" s="278"/>
      <c r="PZH314" s="266"/>
      <c r="PZI314" s="279"/>
      <c r="PZJ314" s="211"/>
      <c r="PZK314" s="211"/>
      <c r="PZL314" s="286"/>
      <c r="PZM314" s="286"/>
      <c r="PZN314" s="280"/>
      <c r="PZO314" s="281"/>
      <c r="PZP314" s="282"/>
      <c r="PZQ314" s="242"/>
      <c r="PZR314" s="222"/>
      <c r="PZT314" s="118"/>
      <c r="PZU314" s="8"/>
      <c r="PZV314" s="281"/>
      <c r="PZW314" s="78"/>
      <c r="PZX314" s="151"/>
      <c r="PZY314" s="278"/>
      <c r="PZZ314" s="266"/>
      <c r="QAA314" s="279"/>
      <c r="QAB314" s="211"/>
      <c r="QAC314" s="211"/>
      <c r="QAD314" s="286"/>
      <c r="QAE314" s="286"/>
      <c r="QAF314" s="280"/>
      <c r="QAG314" s="281"/>
      <c r="QAH314" s="282"/>
      <c r="QAI314" s="242"/>
      <c r="QAJ314" s="222"/>
      <c r="QAL314" s="118"/>
      <c r="QAM314" s="8"/>
      <c r="QAN314" s="281"/>
      <c r="QAO314" s="78"/>
      <c r="QAP314" s="151"/>
      <c r="QAQ314" s="278"/>
      <c r="QAR314" s="266"/>
      <c r="QAS314" s="279"/>
      <c r="QAT314" s="211"/>
      <c r="QAU314" s="211"/>
      <c r="QAV314" s="286"/>
      <c r="QAW314" s="286"/>
      <c r="QAX314" s="280"/>
      <c r="QAY314" s="281"/>
      <c r="QAZ314" s="282"/>
      <c r="QBA314" s="242"/>
      <c r="QBB314" s="222"/>
      <c r="QBD314" s="118"/>
      <c r="QBE314" s="8"/>
      <c r="QBF314" s="281"/>
      <c r="QBG314" s="78"/>
      <c r="QBH314" s="151"/>
      <c r="QBI314" s="278"/>
      <c r="QBJ314" s="266"/>
      <c r="QBK314" s="279"/>
      <c r="QBL314" s="211"/>
      <c r="QBM314" s="211"/>
      <c r="QBN314" s="286"/>
      <c r="QBO314" s="286"/>
      <c r="QBP314" s="280"/>
      <c r="QBQ314" s="281"/>
      <c r="QBR314" s="282"/>
      <c r="QBS314" s="242"/>
      <c r="QBT314" s="222"/>
      <c r="QBV314" s="118"/>
      <c r="QBW314" s="8"/>
      <c r="QBX314" s="281"/>
      <c r="QBY314" s="78"/>
      <c r="QBZ314" s="151"/>
      <c r="QCA314" s="278"/>
      <c r="QCB314" s="266"/>
      <c r="QCC314" s="279"/>
      <c r="QCD314" s="211"/>
      <c r="QCE314" s="211"/>
      <c r="QCF314" s="286"/>
      <c r="QCG314" s="286"/>
      <c r="QCH314" s="280"/>
      <c r="QCI314" s="281"/>
      <c r="QCJ314" s="282"/>
      <c r="QCK314" s="242"/>
      <c r="QCL314" s="222"/>
      <c r="QCN314" s="118"/>
      <c r="QCO314" s="8"/>
      <c r="QCP314" s="281"/>
      <c r="QCQ314" s="78"/>
      <c r="QCR314" s="151"/>
      <c r="QCS314" s="278"/>
      <c r="QCT314" s="266"/>
      <c r="QCU314" s="279"/>
      <c r="QCV314" s="211"/>
      <c r="QCW314" s="211"/>
      <c r="QCX314" s="286"/>
      <c r="QCY314" s="286"/>
      <c r="QCZ314" s="280"/>
      <c r="QDA314" s="281"/>
      <c r="QDB314" s="282"/>
      <c r="QDC314" s="242"/>
      <c r="QDD314" s="222"/>
      <c r="QDF314" s="118"/>
      <c r="QDG314" s="8"/>
      <c r="QDH314" s="281"/>
      <c r="QDI314" s="78"/>
      <c r="QDJ314" s="151"/>
      <c r="QDK314" s="278"/>
      <c r="QDL314" s="266"/>
      <c r="QDM314" s="279"/>
      <c r="QDN314" s="211"/>
      <c r="QDO314" s="211"/>
      <c r="QDP314" s="286"/>
      <c r="QDQ314" s="286"/>
      <c r="QDR314" s="280"/>
      <c r="QDS314" s="281"/>
      <c r="QDT314" s="282"/>
      <c r="QDU314" s="242"/>
      <c r="QDV314" s="222"/>
      <c r="QDX314" s="118"/>
      <c r="QDY314" s="8"/>
      <c r="QDZ314" s="281"/>
      <c r="QEA314" s="78"/>
      <c r="QEB314" s="151"/>
      <c r="QEC314" s="278"/>
      <c r="QED314" s="266"/>
      <c r="QEE314" s="279"/>
      <c r="QEF314" s="211"/>
      <c r="QEG314" s="211"/>
      <c r="QEH314" s="286"/>
      <c r="QEI314" s="286"/>
      <c r="QEJ314" s="280"/>
      <c r="QEK314" s="281"/>
      <c r="QEL314" s="282"/>
      <c r="QEM314" s="242"/>
      <c r="QEN314" s="222"/>
      <c r="QEP314" s="118"/>
      <c r="QEQ314" s="8"/>
      <c r="QER314" s="281"/>
      <c r="QES314" s="78"/>
      <c r="QET314" s="151"/>
      <c r="QEU314" s="278"/>
      <c r="QEV314" s="266"/>
      <c r="QEW314" s="279"/>
      <c r="QEX314" s="211"/>
      <c r="QEY314" s="211"/>
      <c r="QEZ314" s="286"/>
      <c r="QFA314" s="286"/>
      <c r="QFB314" s="280"/>
      <c r="QFC314" s="281"/>
      <c r="QFD314" s="282"/>
      <c r="QFE314" s="242"/>
      <c r="QFF314" s="222"/>
      <c r="QFH314" s="118"/>
      <c r="QFI314" s="8"/>
      <c r="QFJ314" s="281"/>
      <c r="QFK314" s="78"/>
      <c r="QFL314" s="151"/>
      <c r="QFM314" s="278"/>
      <c r="QFN314" s="266"/>
      <c r="QFO314" s="279"/>
      <c r="QFP314" s="211"/>
      <c r="QFQ314" s="211"/>
      <c r="QFR314" s="286"/>
      <c r="QFS314" s="286"/>
      <c r="QFT314" s="280"/>
      <c r="QFU314" s="281"/>
      <c r="QFV314" s="282"/>
      <c r="QFW314" s="242"/>
      <c r="QFX314" s="222"/>
      <c r="QFZ314" s="118"/>
      <c r="QGA314" s="8"/>
      <c r="QGB314" s="281"/>
      <c r="QGC314" s="78"/>
      <c r="QGD314" s="151"/>
      <c r="QGE314" s="278"/>
      <c r="QGF314" s="266"/>
      <c r="QGG314" s="279"/>
      <c r="QGH314" s="211"/>
      <c r="QGI314" s="211"/>
      <c r="QGJ314" s="286"/>
      <c r="QGK314" s="286"/>
      <c r="QGL314" s="280"/>
      <c r="QGM314" s="281"/>
      <c r="QGN314" s="282"/>
      <c r="QGO314" s="242"/>
      <c r="QGP314" s="222"/>
      <c r="QGR314" s="118"/>
      <c r="QGS314" s="8"/>
      <c r="QGT314" s="281"/>
      <c r="QGU314" s="78"/>
      <c r="QGV314" s="151"/>
      <c r="QGW314" s="278"/>
      <c r="QGX314" s="266"/>
      <c r="QGY314" s="279"/>
      <c r="QGZ314" s="211"/>
      <c r="QHA314" s="211"/>
      <c r="QHB314" s="286"/>
      <c r="QHC314" s="286"/>
      <c r="QHD314" s="280"/>
      <c r="QHE314" s="281"/>
      <c r="QHF314" s="282"/>
      <c r="QHG314" s="242"/>
      <c r="QHH314" s="222"/>
      <c r="QHJ314" s="118"/>
      <c r="QHK314" s="8"/>
      <c r="QHL314" s="281"/>
      <c r="QHM314" s="78"/>
      <c r="QHN314" s="151"/>
      <c r="QHO314" s="278"/>
      <c r="QHP314" s="266"/>
      <c r="QHQ314" s="279"/>
      <c r="QHR314" s="211"/>
      <c r="QHS314" s="211"/>
      <c r="QHT314" s="286"/>
      <c r="QHU314" s="286"/>
      <c r="QHV314" s="280"/>
      <c r="QHW314" s="281"/>
      <c r="QHX314" s="282"/>
      <c r="QHY314" s="242"/>
      <c r="QHZ314" s="222"/>
      <c r="QIB314" s="118"/>
      <c r="QIC314" s="8"/>
      <c r="QID314" s="281"/>
      <c r="QIE314" s="78"/>
      <c r="QIF314" s="151"/>
      <c r="QIG314" s="278"/>
      <c r="QIH314" s="266"/>
      <c r="QII314" s="279"/>
      <c r="QIJ314" s="211"/>
      <c r="QIK314" s="211"/>
      <c r="QIL314" s="286"/>
      <c r="QIM314" s="286"/>
      <c r="QIN314" s="280"/>
      <c r="QIO314" s="281"/>
      <c r="QIP314" s="282"/>
      <c r="QIQ314" s="242"/>
      <c r="QIR314" s="222"/>
      <c r="QIT314" s="118"/>
      <c r="QIU314" s="8"/>
      <c r="QIV314" s="281"/>
      <c r="QIW314" s="78"/>
      <c r="QIX314" s="151"/>
      <c r="QIY314" s="278"/>
      <c r="QIZ314" s="266"/>
      <c r="QJA314" s="279"/>
      <c r="QJB314" s="211"/>
      <c r="QJC314" s="211"/>
      <c r="QJD314" s="286"/>
      <c r="QJE314" s="286"/>
      <c r="QJF314" s="280"/>
      <c r="QJG314" s="281"/>
      <c r="QJH314" s="282"/>
      <c r="QJI314" s="242"/>
      <c r="QJJ314" s="222"/>
      <c r="QJL314" s="118"/>
      <c r="QJM314" s="8"/>
      <c r="QJN314" s="281"/>
      <c r="QJO314" s="78"/>
      <c r="QJP314" s="151"/>
      <c r="QJQ314" s="278"/>
      <c r="QJR314" s="266"/>
      <c r="QJS314" s="279"/>
      <c r="QJT314" s="211"/>
      <c r="QJU314" s="211"/>
      <c r="QJV314" s="286"/>
      <c r="QJW314" s="286"/>
      <c r="QJX314" s="280"/>
      <c r="QJY314" s="281"/>
      <c r="QJZ314" s="282"/>
      <c r="QKA314" s="242"/>
      <c r="QKB314" s="222"/>
      <c r="QKD314" s="118"/>
      <c r="QKE314" s="8"/>
      <c r="QKF314" s="281"/>
      <c r="QKG314" s="78"/>
      <c r="QKH314" s="151"/>
      <c r="QKI314" s="278"/>
      <c r="QKJ314" s="266"/>
      <c r="QKK314" s="279"/>
      <c r="QKL314" s="211"/>
      <c r="QKM314" s="211"/>
      <c r="QKN314" s="286"/>
      <c r="QKO314" s="286"/>
      <c r="QKP314" s="280"/>
      <c r="QKQ314" s="281"/>
      <c r="QKR314" s="282"/>
      <c r="QKS314" s="242"/>
      <c r="QKT314" s="222"/>
      <c r="QKV314" s="118"/>
      <c r="QKW314" s="8"/>
      <c r="QKX314" s="281"/>
      <c r="QKY314" s="78"/>
      <c r="QKZ314" s="151"/>
      <c r="QLA314" s="278"/>
      <c r="QLB314" s="266"/>
      <c r="QLC314" s="279"/>
      <c r="QLD314" s="211"/>
      <c r="QLE314" s="211"/>
      <c r="QLF314" s="286"/>
      <c r="QLG314" s="286"/>
      <c r="QLH314" s="280"/>
      <c r="QLI314" s="281"/>
      <c r="QLJ314" s="282"/>
      <c r="QLK314" s="242"/>
      <c r="QLL314" s="222"/>
      <c r="QLN314" s="118"/>
      <c r="QLO314" s="8"/>
      <c r="QLP314" s="281"/>
      <c r="QLQ314" s="78"/>
      <c r="QLR314" s="151"/>
      <c r="QLS314" s="278"/>
      <c r="QLT314" s="266"/>
      <c r="QLU314" s="279"/>
      <c r="QLV314" s="211"/>
      <c r="QLW314" s="211"/>
      <c r="QLX314" s="286"/>
      <c r="QLY314" s="286"/>
      <c r="QLZ314" s="280"/>
      <c r="QMA314" s="281"/>
      <c r="QMB314" s="282"/>
      <c r="QMC314" s="242"/>
      <c r="QMD314" s="222"/>
      <c r="QMF314" s="118"/>
      <c r="QMG314" s="8"/>
      <c r="QMH314" s="281"/>
      <c r="QMI314" s="78"/>
      <c r="QMJ314" s="151"/>
      <c r="QMK314" s="278"/>
      <c r="QML314" s="266"/>
      <c r="QMM314" s="279"/>
      <c r="QMN314" s="211"/>
      <c r="QMO314" s="211"/>
      <c r="QMP314" s="286"/>
      <c r="QMQ314" s="286"/>
      <c r="QMR314" s="280"/>
      <c r="QMS314" s="281"/>
      <c r="QMT314" s="282"/>
      <c r="QMU314" s="242"/>
      <c r="QMV314" s="222"/>
      <c r="QMX314" s="118"/>
      <c r="QMY314" s="8"/>
      <c r="QMZ314" s="281"/>
      <c r="QNA314" s="78"/>
      <c r="QNB314" s="151"/>
      <c r="QNC314" s="278"/>
      <c r="QND314" s="266"/>
      <c r="QNE314" s="279"/>
      <c r="QNF314" s="211"/>
      <c r="QNG314" s="211"/>
      <c r="QNH314" s="286"/>
      <c r="QNI314" s="286"/>
      <c r="QNJ314" s="280"/>
      <c r="QNK314" s="281"/>
      <c r="QNL314" s="282"/>
      <c r="QNM314" s="242"/>
      <c r="QNN314" s="222"/>
      <c r="QNP314" s="118"/>
      <c r="QNQ314" s="8"/>
      <c r="QNR314" s="281"/>
      <c r="QNS314" s="78"/>
      <c r="QNT314" s="151"/>
      <c r="QNU314" s="278"/>
      <c r="QNV314" s="266"/>
      <c r="QNW314" s="279"/>
      <c r="QNX314" s="211"/>
      <c r="QNY314" s="211"/>
      <c r="QNZ314" s="286"/>
      <c r="QOA314" s="286"/>
      <c r="QOB314" s="280"/>
      <c r="QOC314" s="281"/>
      <c r="QOD314" s="282"/>
      <c r="QOE314" s="242"/>
      <c r="QOF314" s="222"/>
      <c r="QOH314" s="118"/>
      <c r="QOI314" s="8"/>
      <c r="QOJ314" s="281"/>
      <c r="QOK314" s="78"/>
      <c r="QOL314" s="151"/>
      <c r="QOM314" s="278"/>
      <c r="QON314" s="266"/>
      <c r="QOO314" s="279"/>
      <c r="QOP314" s="211"/>
      <c r="QOQ314" s="211"/>
      <c r="QOR314" s="286"/>
      <c r="QOS314" s="286"/>
      <c r="QOT314" s="280"/>
      <c r="QOU314" s="281"/>
      <c r="QOV314" s="282"/>
      <c r="QOW314" s="242"/>
      <c r="QOX314" s="222"/>
      <c r="QOZ314" s="118"/>
      <c r="QPA314" s="8"/>
      <c r="QPB314" s="281"/>
      <c r="QPC314" s="78"/>
      <c r="QPD314" s="151"/>
      <c r="QPE314" s="278"/>
      <c r="QPF314" s="266"/>
      <c r="QPG314" s="279"/>
      <c r="QPH314" s="211"/>
      <c r="QPI314" s="211"/>
      <c r="QPJ314" s="286"/>
      <c r="QPK314" s="286"/>
      <c r="QPL314" s="280"/>
      <c r="QPM314" s="281"/>
      <c r="QPN314" s="282"/>
      <c r="QPO314" s="242"/>
      <c r="QPP314" s="222"/>
      <c r="QPR314" s="118"/>
      <c r="QPS314" s="8"/>
      <c r="QPT314" s="281"/>
      <c r="QPU314" s="78"/>
      <c r="QPV314" s="151"/>
      <c r="QPW314" s="278"/>
      <c r="QPX314" s="266"/>
      <c r="QPY314" s="279"/>
      <c r="QPZ314" s="211"/>
      <c r="QQA314" s="211"/>
      <c r="QQB314" s="286"/>
      <c r="QQC314" s="286"/>
      <c r="QQD314" s="280"/>
      <c r="QQE314" s="281"/>
      <c r="QQF314" s="282"/>
      <c r="QQG314" s="242"/>
      <c r="QQH314" s="222"/>
      <c r="QQJ314" s="118"/>
      <c r="QQK314" s="8"/>
      <c r="QQL314" s="281"/>
      <c r="QQM314" s="78"/>
      <c r="QQN314" s="151"/>
      <c r="QQO314" s="278"/>
      <c r="QQP314" s="266"/>
      <c r="QQQ314" s="279"/>
      <c r="QQR314" s="211"/>
      <c r="QQS314" s="211"/>
      <c r="QQT314" s="286"/>
      <c r="QQU314" s="286"/>
      <c r="QQV314" s="280"/>
      <c r="QQW314" s="281"/>
      <c r="QQX314" s="282"/>
      <c r="QQY314" s="242"/>
      <c r="QQZ314" s="222"/>
      <c r="QRB314" s="118"/>
      <c r="QRC314" s="8"/>
      <c r="QRD314" s="281"/>
      <c r="QRE314" s="78"/>
      <c r="QRF314" s="151"/>
      <c r="QRG314" s="278"/>
      <c r="QRH314" s="266"/>
      <c r="QRI314" s="279"/>
      <c r="QRJ314" s="211"/>
      <c r="QRK314" s="211"/>
      <c r="QRL314" s="286"/>
      <c r="QRM314" s="286"/>
      <c r="QRN314" s="280"/>
      <c r="QRO314" s="281"/>
      <c r="QRP314" s="282"/>
      <c r="QRQ314" s="242"/>
      <c r="QRR314" s="222"/>
      <c r="QRT314" s="118"/>
      <c r="QRU314" s="8"/>
      <c r="QRV314" s="281"/>
      <c r="QRW314" s="78"/>
      <c r="QRX314" s="151"/>
      <c r="QRY314" s="278"/>
      <c r="QRZ314" s="266"/>
      <c r="QSA314" s="279"/>
      <c r="QSB314" s="211"/>
      <c r="QSC314" s="211"/>
      <c r="QSD314" s="286"/>
      <c r="QSE314" s="286"/>
      <c r="QSF314" s="280"/>
      <c r="QSG314" s="281"/>
      <c r="QSH314" s="282"/>
      <c r="QSI314" s="242"/>
      <c r="QSJ314" s="222"/>
      <c r="QSL314" s="118"/>
      <c r="QSM314" s="8"/>
      <c r="QSN314" s="281"/>
      <c r="QSO314" s="78"/>
      <c r="QSP314" s="151"/>
      <c r="QSQ314" s="278"/>
      <c r="QSR314" s="266"/>
      <c r="QSS314" s="279"/>
      <c r="QST314" s="211"/>
      <c r="QSU314" s="211"/>
      <c r="QSV314" s="286"/>
      <c r="QSW314" s="286"/>
      <c r="QSX314" s="280"/>
      <c r="QSY314" s="281"/>
      <c r="QSZ314" s="282"/>
      <c r="QTA314" s="242"/>
      <c r="QTB314" s="222"/>
      <c r="QTD314" s="118"/>
      <c r="QTE314" s="8"/>
      <c r="QTF314" s="281"/>
      <c r="QTG314" s="78"/>
      <c r="QTH314" s="151"/>
      <c r="QTI314" s="278"/>
      <c r="QTJ314" s="266"/>
      <c r="QTK314" s="279"/>
      <c r="QTL314" s="211"/>
      <c r="QTM314" s="211"/>
      <c r="QTN314" s="286"/>
      <c r="QTO314" s="286"/>
      <c r="QTP314" s="280"/>
      <c r="QTQ314" s="281"/>
      <c r="QTR314" s="282"/>
      <c r="QTS314" s="242"/>
      <c r="QTT314" s="222"/>
      <c r="QTV314" s="118"/>
      <c r="QTW314" s="8"/>
      <c r="QTX314" s="281"/>
      <c r="QTY314" s="78"/>
      <c r="QTZ314" s="151"/>
      <c r="QUA314" s="278"/>
      <c r="QUB314" s="266"/>
      <c r="QUC314" s="279"/>
      <c r="QUD314" s="211"/>
      <c r="QUE314" s="211"/>
      <c r="QUF314" s="286"/>
      <c r="QUG314" s="286"/>
      <c r="QUH314" s="280"/>
      <c r="QUI314" s="281"/>
      <c r="QUJ314" s="282"/>
      <c r="QUK314" s="242"/>
      <c r="QUL314" s="222"/>
      <c r="QUN314" s="118"/>
      <c r="QUO314" s="8"/>
      <c r="QUP314" s="281"/>
      <c r="QUQ314" s="78"/>
      <c r="QUR314" s="151"/>
      <c r="QUS314" s="278"/>
      <c r="QUT314" s="266"/>
      <c r="QUU314" s="279"/>
      <c r="QUV314" s="211"/>
      <c r="QUW314" s="211"/>
      <c r="QUX314" s="286"/>
      <c r="QUY314" s="286"/>
      <c r="QUZ314" s="280"/>
      <c r="QVA314" s="281"/>
      <c r="QVB314" s="282"/>
      <c r="QVC314" s="242"/>
      <c r="QVD314" s="222"/>
      <c r="QVF314" s="118"/>
      <c r="QVG314" s="8"/>
      <c r="QVH314" s="281"/>
      <c r="QVI314" s="78"/>
      <c r="QVJ314" s="151"/>
      <c r="QVK314" s="278"/>
      <c r="QVL314" s="266"/>
      <c r="QVM314" s="279"/>
      <c r="QVN314" s="211"/>
      <c r="QVO314" s="211"/>
      <c r="QVP314" s="286"/>
      <c r="QVQ314" s="286"/>
      <c r="QVR314" s="280"/>
      <c r="QVS314" s="281"/>
      <c r="QVT314" s="282"/>
      <c r="QVU314" s="242"/>
      <c r="QVV314" s="222"/>
      <c r="QVX314" s="118"/>
      <c r="QVY314" s="8"/>
      <c r="QVZ314" s="281"/>
      <c r="QWA314" s="78"/>
      <c r="QWB314" s="151"/>
      <c r="QWC314" s="278"/>
      <c r="QWD314" s="266"/>
      <c r="QWE314" s="279"/>
      <c r="QWF314" s="211"/>
      <c r="QWG314" s="211"/>
      <c r="QWH314" s="286"/>
      <c r="QWI314" s="286"/>
      <c r="QWJ314" s="280"/>
      <c r="QWK314" s="281"/>
      <c r="QWL314" s="282"/>
      <c r="QWM314" s="242"/>
      <c r="QWN314" s="222"/>
      <c r="QWP314" s="118"/>
      <c r="QWQ314" s="8"/>
      <c r="QWR314" s="281"/>
      <c r="QWS314" s="78"/>
      <c r="QWT314" s="151"/>
      <c r="QWU314" s="278"/>
      <c r="QWV314" s="266"/>
      <c r="QWW314" s="279"/>
      <c r="QWX314" s="211"/>
      <c r="QWY314" s="211"/>
      <c r="QWZ314" s="286"/>
      <c r="QXA314" s="286"/>
      <c r="QXB314" s="280"/>
      <c r="QXC314" s="281"/>
      <c r="QXD314" s="282"/>
      <c r="QXE314" s="242"/>
      <c r="QXF314" s="222"/>
      <c r="QXH314" s="118"/>
      <c r="QXI314" s="8"/>
      <c r="QXJ314" s="281"/>
      <c r="QXK314" s="78"/>
      <c r="QXL314" s="151"/>
      <c r="QXM314" s="278"/>
      <c r="QXN314" s="266"/>
      <c r="QXO314" s="279"/>
      <c r="QXP314" s="211"/>
      <c r="QXQ314" s="211"/>
      <c r="QXR314" s="286"/>
      <c r="QXS314" s="286"/>
      <c r="QXT314" s="280"/>
      <c r="QXU314" s="281"/>
      <c r="QXV314" s="282"/>
      <c r="QXW314" s="242"/>
      <c r="QXX314" s="222"/>
      <c r="QXZ314" s="118"/>
      <c r="QYA314" s="8"/>
      <c r="QYB314" s="281"/>
      <c r="QYC314" s="78"/>
      <c r="QYD314" s="151"/>
      <c r="QYE314" s="278"/>
      <c r="QYF314" s="266"/>
      <c r="QYG314" s="279"/>
      <c r="QYH314" s="211"/>
      <c r="QYI314" s="211"/>
      <c r="QYJ314" s="286"/>
      <c r="QYK314" s="286"/>
      <c r="QYL314" s="280"/>
      <c r="QYM314" s="281"/>
      <c r="QYN314" s="282"/>
      <c r="QYO314" s="242"/>
      <c r="QYP314" s="222"/>
      <c r="QYR314" s="118"/>
      <c r="QYS314" s="8"/>
      <c r="QYT314" s="281"/>
      <c r="QYU314" s="78"/>
      <c r="QYV314" s="151"/>
      <c r="QYW314" s="278"/>
      <c r="QYX314" s="266"/>
      <c r="QYY314" s="279"/>
      <c r="QYZ314" s="211"/>
      <c r="QZA314" s="211"/>
      <c r="QZB314" s="286"/>
      <c r="QZC314" s="286"/>
      <c r="QZD314" s="280"/>
      <c r="QZE314" s="281"/>
      <c r="QZF314" s="282"/>
      <c r="QZG314" s="242"/>
      <c r="QZH314" s="222"/>
      <c r="QZJ314" s="118"/>
      <c r="QZK314" s="8"/>
      <c r="QZL314" s="281"/>
      <c r="QZM314" s="78"/>
      <c r="QZN314" s="151"/>
      <c r="QZO314" s="278"/>
      <c r="QZP314" s="266"/>
      <c r="QZQ314" s="279"/>
      <c r="QZR314" s="211"/>
      <c r="QZS314" s="211"/>
      <c r="QZT314" s="286"/>
      <c r="QZU314" s="286"/>
      <c r="QZV314" s="280"/>
      <c r="QZW314" s="281"/>
      <c r="QZX314" s="282"/>
      <c r="QZY314" s="242"/>
      <c r="QZZ314" s="222"/>
      <c r="RAB314" s="118"/>
      <c r="RAC314" s="8"/>
      <c r="RAD314" s="281"/>
      <c r="RAE314" s="78"/>
      <c r="RAF314" s="151"/>
      <c r="RAG314" s="278"/>
      <c r="RAH314" s="266"/>
      <c r="RAI314" s="279"/>
      <c r="RAJ314" s="211"/>
      <c r="RAK314" s="211"/>
      <c r="RAL314" s="286"/>
      <c r="RAM314" s="286"/>
      <c r="RAN314" s="280"/>
      <c r="RAO314" s="281"/>
      <c r="RAP314" s="282"/>
      <c r="RAQ314" s="242"/>
      <c r="RAR314" s="222"/>
      <c r="RAT314" s="118"/>
      <c r="RAU314" s="8"/>
      <c r="RAV314" s="281"/>
      <c r="RAW314" s="78"/>
      <c r="RAX314" s="151"/>
      <c r="RAY314" s="278"/>
      <c r="RAZ314" s="266"/>
      <c r="RBA314" s="279"/>
      <c r="RBB314" s="211"/>
      <c r="RBC314" s="211"/>
      <c r="RBD314" s="286"/>
      <c r="RBE314" s="286"/>
      <c r="RBF314" s="280"/>
      <c r="RBG314" s="281"/>
      <c r="RBH314" s="282"/>
      <c r="RBI314" s="242"/>
      <c r="RBJ314" s="222"/>
      <c r="RBL314" s="118"/>
      <c r="RBM314" s="8"/>
      <c r="RBN314" s="281"/>
      <c r="RBO314" s="78"/>
      <c r="RBP314" s="151"/>
      <c r="RBQ314" s="278"/>
      <c r="RBR314" s="266"/>
      <c r="RBS314" s="279"/>
      <c r="RBT314" s="211"/>
      <c r="RBU314" s="211"/>
      <c r="RBV314" s="286"/>
      <c r="RBW314" s="286"/>
      <c r="RBX314" s="280"/>
      <c r="RBY314" s="281"/>
      <c r="RBZ314" s="282"/>
      <c r="RCA314" s="242"/>
      <c r="RCB314" s="222"/>
      <c r="RCD314" s="118"/>
      <c r="RCE314" s="8"/>
      <c r="RCF314" s="281"/>
      <c r="RCG314" s="78"/>
      <c r="RCH314" s="151"/>
      <c r="RCI314" s="278"/>
      <c r="RCJ314" s="266"/>
      <c r="RCK314" s="279"/>
      <c r="RCL314" s="211"/>
      <c r="RCM314" s="211"/>
      <c r="RCN314" s="286"/>
      <c r="RCO314" s="286"/>
      <c r="RCP314" s="280"/>
      <c r="RCQ314" s="281"/>
      <c r="RCR314" s="282"/>
      <c r="RCS314" s="242"/>
      <c r="RCT314" s="222"/>
      <c r="RCV314" s="118"/>
      <c r="RCW314" s="8"/>
      <c r="RCX314" s="281"/>
      <c r="RCY314" s="78"/>
      <c r="RCZ314" s="151"/>
      <c r="RDA314" s="278"/>
      <c r="RDB314" s="266"/>
      <c r="RDC314" s="279"/>
      <c r="RDD314" s="211"/>
      <c r="RDE314" s="211"/>
      <c r="RDF314" s="286"/>
      <c r="RDG314" s="286"/>
      <c r="RDH314" s="280"/>
      <c r="RDI314" s="281"/>
      <c r="RDJ314" s="282"/>
      <c r="RDK314" s="242"/>
      <c r="RDL314" s="222"/>
      <c r="RDN314" s="118"/>
      <c r="RDO314" s="8"/>
      <c r="RDP314" s="281"/>
      <c r="RDQ314" s="78"/>
      <c r="RDR314" s="151"/>
      <c r="RDS314" s="278"/>
      <c r="RDT314" s="266"/>
      <c r="RDU314" s="279"/>
      <c r="RDV314" s="211"/>
      <c r="RDW314" s="211"/>
      <c r="RDX314" s="286"/>
      <c r="RDY314" s="286"/>
      <c r="RDZ314" s="280"/>
      <c r="REA314" s="281"/>
      <c r="REB314" s="282"/>
      <c r="REC314" s="242"/>
      <c r="RED314" s="222"/>
      <c r="REF314" s="118"/>
      <c r="REG314" s="8"/>
      <c r="REH314" s="281"/>
      <c r="REI314" s="78"/>
      <c r="REJ314" s="151"/>
      <c r="REK314" s="278"/>
      <c r="REL314" s="266"/>
      <c r="REM314" s="279"/>
      <c r="REN314" s="211"/>
      <c r="REO314" s="211"/>
      <c r="REP314" s="286"/>
      <c r="REQ314" s="286"/>
      <c r="RER314" s="280"/>
      <c r="RES314" s="281"/>
      <c r="RET314" s="282"/>
      <c r="REU314" s="242"/>
      <c r="REV314" s="222"/>
      <c r="REX314" s="118"/>
      <c r="REY314" s="8"/>
      <c r="REZ314" s="281"/>
      <c r="RFA314" s="78"/>
      <c r="RFB314" s="151"/>
      <c r="RFC314" s="278"/>
      <c r="RFD314" s="266"/>
      <c r="RFE314" s="279"/>
      <c r="RFF314" s="211"/>
      <c r="RFG314" s="211"/>
      <c r="RFH314" s="286"/>
      <c r="RFI314" s="286"/>
      <c r="RFJ314" s="280"/>
      <c r="RFK314" s="281"/>
      <c r="RFL314" s="282"/>
      <c r="RFM314" s="242"/>
      <c r="RFN314" s="222"/>
      <c r="RFP314" s="118"/>
      <c r="RFQ314" s="8"/>
      <c r="RFR314" s="281"/>
      <c r="RFS314" s="78"/>
      <c r="RFT314" s="151"/>
      <c r="RFU314" s="278"/>
      <c r="RFV314" s="266"/>
      <c r="RFW314" s="279"/>
      <c r="RFX314" s="211"/>
      <c r="RFY314" s="211"/>
      <c r="RFZ314" s="286"/>
      <c r="RGA314" s="286"/>
      <c r="RGB314" s="280"/>
      <c r="RGC314" s="281"/>
      <c r="RGD314" s="282"/>
      <c r="RGE314" s="242"/>
      <c r="RGF314" s="222"/>
      <c r="RGH314" s="118"/>
      <c r="RGI314" s="8"/>
      <c r="RGJ314" s="281"/>
      <c r="RGK314" s="78"/>
      <c r="RGL314" s="151"/>
      <c r="RGM314" s="278"/>
      <c r="RGN314" s="266"/>
      <c r="RGO314" s="279"/>
      <c r="RGP314" s="211"/>
      <c r="RGQ314" s="211"/>
      <c r="RGR314" s="286"/>
      <c r="RGS314" s="286"/>
      <c r="RGT314" s="280"/>
      <c r="RGU314" s="281"/>
      <c r="RGV314" s="282"/>
      <c r="RGW314" s="242"/>
      <c r="RGX314" s="222"/>
      <c r="RGZ314" s="118"/>
      <c r="RHA314" s="8"/>
      <c r="RHB314" s="281"/>
      <c r="RHC314" s="78"/>
      <c r="RHD314" s="151"/>
      <c r="RHE314" s="278"/>
      <c r="RHF314" s="266"/>
      <c r="RHG314" s="279"/>
      <c r="RHH314" s="211"/>
      <c r="RHI314" s="211"/>
      <c r="RHJ314" s="286"/>
      <c r="RHK314" s="286"/>
      <c r="RHL314" s="280"/>
      <c r="RHM314" s="281"/>
      <c r="RHN314" s="282"/>
      <c r="RHO314" s="242"/>
      <c r="RHP314" s="222"/>
      <c r="RHR314" s="118"/>
      <c r="RHS314" s="8"/>
      <c r="RHT314" s="281"/>
      <c r="RHU314" s="78"/>
      <c r="RHV314" s="151"/>
      <c r="RHW314" s="278"/>
      <c r="RHX314" s="266"/>
      <c r="RHY314" s="279"/>
      <c r="RHZ314" s="211"/>
      <c r="RIA314" s="211"/>
      <c r="RIB314" s="286"/>
      <c r="RIC314" s="286"/>
      <c r="RID314" s="280"/>
      <c r="RIE314" s="281"/>
      <c r="RIF314" s="282"/>
      <c r="RIG314" s="242"/>
      <c r="RIH314" s="222"/>
      <c r="RIJ314" s="118"/>
      <c r="RIK314" s="8"/>
      <c r="RIL314" s="281"/>
      <c r="RIM314" s="78"/>
      <c r="RIN314" s="151"/>
      <c r="RIO314" s="278"/>
      <c r="RIP314" s="266"/>
      <c r="RIQ314" s="279"/>
      <c r="RIR314" s="211"/>
      <c r="RIS314" s="211"/>
      <c r="RIT314" s="286"/>
      <c r="RIU314" s="286"/>
      <c r="RIV314" s="280"/>
      <c r="RIW314" s="281"/>
      <c r="RIX314" s="282"/>
      <c r="RIY314" s="242"/>
      <c r="RIZ314" s="222"/>
      <c r="RJB314" s="118"/>
      <c r="RJC314" s="8"/>
      <c r="RJD314" s="281"/>
      <c r="RJE314" s="78"/>
      <c r="RJF314" s="151"/>
      <c r="RJG314" s="278"/>
      <c r="RJH314" s="266"/>
      <c r="RJI314" s="279"/>
      <c r="RJJ314" s="211"/>
      <c r="RJK314" s="211"/>
      <c r="RJL314" s="286"/>
      <c r="RJM314" s="286"/>
      <c r="RJN314" s="280"/>
      <c r="RJO314" s="281"/>
      <c r="RJP314" s="282"/>
      <c r="RJQ314" s="242"/>
      <c r="RJR314" s="222"/>
      <c r="RJT314" s="118"/>
      <c r="RJU314" s="8"/>
      <c r="RJV314" s="281"/>
      <c r="RJW314" s="78"/>
      <c r="RJX314" s="151"/>
      <c r="RJY314" s="278"/>
      <c r="RJZ314" s="266"/>
      <c r="RKA314" s="279"/>
      <c r="RKB314" s="211"/>
      <c r="RKC314" s="211"/>
      <c r="RKD314" s="286"/>
      <c r="RKE314" s="286"/>
      <c r="RKF314" s="280"/>
      <c r="RKG314" s="281"/>
      <c r="RKH314" s="282"/>
      <c r="RKI314" s="242"/>
      <c r="RKJ314" s="222"/>
      <c r="RKL314" s="118"/>
      <c r="RKM314" s="8"/>
      <c r="RKN314" s="281"/>
      <c r="RKO314" s="78"/>
      <c r="RKP314" s="151"/>
      <c r="RKQ314" s="278"/>
      <c r="RKR314" s="266"/>
      <c r="RKS314" s="279"/>
      <c r="RKT314" s="211"/>
      <c r="RKU314" s="211"/>
      <c r="RKV314" s="286"/>
      <c r="RKW314" s="286"/>
      <c r="RKX314" s="280"/>
      <c r="RKY314" s="281"/>
      <c r="RKZ314" s="282"/>
      <c r="RLA314" s="242"/>
      <c r="RLB314" s="222"/>
      <c r="RLD314" s="118"/>
      <c r="RLE314" s="8"/>
      <c r="RLF314" s="281"/>
      <c r="RLG314" s="78"/>
      <c r="RLH314" s="151"/>
      <c r="RLI314" s="278"/>
      <c r="RLJ314" s="266"/>
      <c r="RLK314" s="279"/>
      <c r="RLL314" s="211"/>
      <c r="RLM314" s="211"/>
      <c r="RLN314" s="286"/>
      <c r="RLO314" s="286"/>
      <c r="RLP314" s="280"/>
      <c r="RLQ314" s="281"/>
      <c r="RLR314" s="282"/>
      <c r="RLS314" s="242"/>
      <c r="RLT314" s="222"/>
      <c r="RLV314" s="118"/>
      <c r="RLW314" s="8"/>
      <c r="RLX314" s="281"/>
      <c r="RLY314" s="78"/>
      <c r="RLZ314" s="151"/>
      <c r="RMA314" s="278"/>
      <c r="RMB314" s="266"/>
      <c r="RMC314" s="279"/>
      <c r="RMD314" s="211"/>
      <c r="RME314" s="211"/>
      <c r="RMF314" s="286"/>
      <c r="RMG314" s="286"/>
      <c r="RMH314" s="280"/>
      <c r="RMI314" s="281"/>
      <c r="RMJ314" s="282"/>
      <c r="RMK314" s="242"/>
      <c r="RML314" s="222"/>
      <c r="RMN314" s="118"/>
      <c r="RMO314" s="8"/>
      <c r="RMP314" s="281"/>
      <c r="RMQ314" s="78"/>
      <c r="RMR314" s="151"/>
      <c r="RMS314" s="278"/>
      <c r="RMT314" s="266"/>
      <c r="RMU314" s="279"/>
      <c r="RMV314" s="211"/>
      <c r="RMW314" s="211"/>
      <c r="RMX314" s="286"/>
      <c r="RMY314" s="286"/>
      <c r="RMZ314" s="280"/>
      <c r="RNA314" s="281"/>
      <c r="RNB314" s="282"/>
      <c r="RNC314" s="242"/>
      <c r="RND314" s="222"/>
      <c r="RNF314" s="118"/>
      <c r="RNG314" s="8"/>
      <c r="RNH314" s="281"/>
      <c r="RNI314" s="78"/>
      <c r="RNJ314" s="151"/>
      <c r="RNK314" s="278"/>
      <c r="RNL314" s="266"/>
      <c r="RNM314" s="279"/>
      <c r="RNN314" s="211"/>
      <c r="RNO314" s="211"/>
      <c r="RNP314" s="286"/>
      <c r="RNQ314" s="286"/>
      <c r="RNR314" s="280"/>
      <c r="RNS314" s="281"/>
      <c r="RNT314" s="282"/>
      <c r="RNU314" s="242"/>
      <c r="RNV314" s="222"/>
      <c r="RNX314" s="118"/>
      <c r="RNY314" s="8"/>
      <c r="RNZ314" s="281"/>
      <c r="ROA314" s="78"/>
      <c r="ROB314" s="151"/>
      <c r="ROC314" s="278"/>
      <c r="ROD314" s="266"/>
      <c r="ROE314" s="279"/>
      <c r="ROF314" s="211"/>
      <c r="ROG314" s="211"/>
      <c r="ROH314" s="286"/>
      <c r="ROI314" s="286"/>
      <c r="ROJ314" s="280"/>
      <c r="ROK314" s="281"/>
      <c r="ROL314" s="282"/>
      <c r="ROM314" s="242"/>
      <c r="RON314" s="222"/>
      <c r="ROP314" s="118"/>
      <c r="ROQ314" s="8"/>
      <c r="ROR314" s="281"/>
      <c r="ROS314" s="78"/>
      <c r="ROT314" s="151"/>
      <c r="ROU314" s="278"/>
      <c r="ROV314" s="266"/>
      <c r="ROW314" s="279"/>
      <c r="ROX314" s="211"/>
      <c r="ROY314" s="211"/>
      <c r="ROZ314" s="286"/>
      <c r="RPA314" s="286"/>
      <c r="RPB314" s="280"/>
      <c r="RPC314" s="281"/>
      <c r="RPD314" s="282"/>
      <c r="RPE314" s="242"/>
      <c r="RPF314" s="222"/>
      <c r="RPH314" s="118"/>
      <c r="RPI314" s="8"/>
      <c r="RPJ314" s="281"/>
      <c r="RPK314" s="78"/>
      <c r="RPL314" s="151"/>
      <c r="RPM314" s="278"/>
      <c r="RPN314" s="266"/>
      <c r="RPO314" s="279"/>
      <c r="RPP314" s="211"/>
      <c r="RPQ314" s="211"/>
      <c r="RPR314" s="286"/>
      <c r="RPS314" s="286"/>
      <c r="RPT314" s="280"/>
      <c r="RPU314" s="281"/>
      <c r="RPV314" s="282"/>
      <c r="RPW314" s="242"/>
      <c r="RPX314" s="222"/>
      <c r="RPZ314" s="118"/>
      <c r="RQA314" s="8"/>
      <c r="RQB314" s="281"/>
      <c r="RQC314" s="78"/>
      <c r="RQD314" s="151"/>
      <c r="RQE314" s="278"/>
      <c r="RQF314" s="266"/>
      <c r="RQG314" s="279"/>
      <c r="RQH314" s="211"/>
      <c r="RQI314" s="211"/>
      <c r="RQJ314" s="286"/>
      <c r="RQK314" s="286"/>
      <c r="RQL314" s="280"/>
      <c r="RQM314" s="281"/>
      <c r="RQN314" s="282"/>
      <c r="RQO314" s="242"/>
      <c r="RQP314" s="222"/>
      <c r="RQR314" s="118"/>
      <c r="RQS314" s="8"/>
      <c r="RQT314" s="281"/>
      <c r="RQU314" s="78"/>
      <c r="RQV314" s="151"/>
      <c r="RQW314" s="278"/>
      <c r="RQX314" s="266"/>
      <c r="RQY314" s="279"/>
      <c r="RQZ314" s="211"/>
      <c r="RRA314" s="211"/>
      <c r="RRB314" s="286"/>
      <c r="RRC314" s="286"/>
      <c r="RRD314" s="280"/>
      <c r="RRE314" s="281"/>
      <c r="RRF314" s="282"/>
      <c r="RRG314" s="242"/>
      <c r="RRH314" s="222"/>
      <c r="RRJ314" s="118"/>
      <c r="RRK314" s="8"/>
      <c r="RRL314" s="281"/>
      <c r="RRM314" s="78"/>
      <c r="RRN314" s="151"/>
      <c r="RRO314" s="278"/>
      <c r="RRP314" s="266"/>
      <c r="RRQ314" s="279"/>
      <c r="RRR314" s="211"/>
      <c r="RRS314" s="211"/>
      <c r="RRT314" s="286"/>
      <c r="RRU314" s="286"/>
      <c r="RRV314" s="280"/>
      <c r="RRW314" s="281"/>
      <c r="RRX314" s="282"/>
      <c r="RRY314" s="242"/>
      <c r="RRZ314" s="222"/>
      <c r="RSB314" s="118"/>
      <c r="RSC314" s="8"/>
      <c r="RSD314" s="281"/>
      <c r="RSE314" s="78"/>
      <c r="RSF314" s="151"/>
      <c r="RSG314" s="278"/>
      <c r="RSH314" s="266"/>
      <c r="RSI314" s="279"/>
      <c r="RSJ314" s="211"/>
      <c r="RSK314" s="211"/>
      <c r="RSL314" s="286"/>
      <c r="RSM314" s="286"/>
      <c r="RSN314" s="280"/>
      <c r="RSO314" s="281"/>
      <c r="RSP314" s="282"/>
      <c r="RSQ314" s="242"/>
      <c r="RSR314" s="222"/>
      <c r="RST314" s="118"/>
      <c r="RSU314" s="8"/>
      <c r="RSV314" s="281"/>
      <c r="RSW314" s="78"/>
      <c r="RSX314" s="151"/>
      <c r="RSY314" s="278"/>
      <c r="RSZ314" s="266"/>
      <c r="RTA314" s="279"/>
      <c r="RTB314" s="211"/>
      <c r="RTC314" s="211"/>
      <c r="RTD314" s="286"/>
      <c r="RTE314" s="286"/>
      <c r="RTF314" s="280"/>
      <c r="RTG314" s="281"/>
      <c r="RTH314" s="282"/>
      <c r="RTI314" s="242"/>
      <c r="RTJ314" s="222"/>
      <c r="RTL314" s="118"/>
      <c r="RTM314" s="8"/>
      <c r="RTN314" s="281"/>
      <c r="RTO314" s="78"/>
      <c r="RTP314" s="151"/>
      <c r="RTQ314" s="278"/>
      <c r="RTR314" s="266"/>
      <c r="RTS314" s="279"/>
      <c r="RTT314" s="211"/>
      <c r="RTU314" s="211"/>
      <c r="RTV314" s="286"/>
      <c r="RTW314" s="286"/>
      <c r="RTX314" s="280"/>
      <c r="RTY314" s="281"/>
      <c r="RTZ314" s="282"/>
      <c r="RUA314" s="242"/>
      <c r="RUB314" s="222"/>
      <c r="RUD314" s="118"/>
      <c r="RUE314" s="8"/>
      <c r="RUF314" s="281"/>
      <c r="RUG314" s="78"/>
      <c r="RUH314" s="151"/>
      <c r="RUI314" s="278"/>
      <c r="RUJ314" s="266"/>
      <c r="RUK314" s="279"/>
      <c r="RUL314" s="211"/>
      <c r="RUM314" s="211"/>
      <c r="RUN314" s="286"/>
      <c r="RUO314" s="286"/>
      <c r="RUP314" s="280"/>
      <c r="RUQ314" s="281"/>
      <c r="RUR314" s="282"/>
      <c r="RUS314" s="242"/>
      <c r="RUT314" s="222"/>
      <c r="RUV314" s="118"/>
      <c r="RUW314" s="8"/>
      <c r="RUX314" s="281"/>
      <c r="RUY314" s="78"/>
      <c r="RUZ314" s="151"/>
      <c r="RVA314" s="278"/>
      <c r="RVB314" s="266"/>
      <c r="RVC314" s="279"/>
      <c r="RVD314" s="211"/>
      <c r="RVE314" s="211"/>
      <c r="RVF314" s="286"/>
      <c r="RVG314" s="286"/>
      <c r="RVH314" s="280"/>
      <c r="RVI314" s="281"/>
      <c r="RVJ314" s="282"/>
      <c r="RVK314" s="242"/>
      <c r="RVL314" s="222"/>
      <c r="RVN314" s="118"/>
      <c r="RVO314" s="8"/>
      <c r="RVP314" s="281"/>
      <c r="RVQ314" s="78"/>
      <c r="RVR314" s="151"/>
      <c r="RVS314" s="278"/>
      <c r="RVT314" s="266"/>
      <c r="RVU314" s="279"/>
      <c r="RVV314" s="211"/>
      <c r="RVW314" s="211"/>
      <c r="RVX314" s="286"/>
      <c r="RVY314" s="286"/>
      <c r="RVZ314" s="280"/>
      <c r="RWA314" s="281"/>
      <c r="RWB314" s="282"/>
      <c r="RWC314" s="242"/>
      <c r="RWD314" s="222"/>
      <c r="RWF314" s="118"/>
      <c r="RWG314" s="8"/>
      <c r="RWH314" s="281"/>
      <c r="RWI314" s="78"/>
      <c r="RWJ314" s="151"/>
      <c r="RWK314" s="278"/>
      <c r="RWL314" s="266"/>
      <c r="RWM314" s="279"/>
      <c r="RWN314" s="211"/>
      <c r="RWO314" s="211"/>
      <c r="RWP314" s="286"/>
      <c r="RWQ314" s="286"/>
      <c r="RWR314" s="280"/>
      <c r="RWS314" s="281"/>
      <c r="RWT314" s="282"/>
      <c r="RWU314" s="242"/>
      <c r="RWV314" s="222"/>
      <c r="RWX314" s="118"/>
      <c r="RWY314" s="8"/>
      <c r="RWZ314" s="281"/>
      <c r="RXA314" s="78"/>
      <c r="RXB314" s="151"/>
      <c r="RXC314" s="278"/>
      <c r="RXD314" s="266"/>
      <c r="RXE314" s="279"/>
      <c r="RXF314" s="211"/>
      <c r="RXG314" s="211"/>
      <c r="RXH314" s="286"/>
      <c r="RXI314" s="286"/>
      <c r="RXJ314" s="280"/>
      <c r="RXK314" s="281"/>
      <c r="RXL314" s="282"/>
      <c r="RXM314" s="242"/>
      <c r="RXN314" s="222"/>
      <c r="RXP314" s="118"/>
      <c r="RXQ314" s="8"/>
      <c r="RXR314" s="281"/>
      <c r="RXS314" s="78"/>
      <c r="RXT314" s="151"/>
      <c r="RXU314" s="278"/>
      <c r="RXV314" s="266"/>
      <c r="RXW314" s="279"/>
      <c r="RXX314" s="211"/>
      <c r="RXY314" s="211"/>
      <c r="RXZ314" s="286"/>
      <c r="RYA314" s="286"/>
      <c r="RYB314" s="280"/>
      <c r="RYC314" s="281"/>
      <c r="RYD314" s="282"/>
      <c r="RYE314" s="242"/>
      <c r="RYF314" s="222"/>
      <c r="RYH314" s="118"/>
      <c r="RYI314" s="8"/>
      <c r="RYJ314" s="281"/>
      <c r="RYK314" s="78"/>
      <c r="RYL314" s="151"/>
      <c r="RYM314" s="278"/>
      <c r="RYN314" s="266"/>
      <c r="RYO314" s="279"/>
      <c r="RYP314" s="211"/>
      <c r="RYQ314" s="211"/>
      <c r="RYR314" s="286"/>
      <c r="RYS314" s="286"/>
      <c r="RYT314" s="280"/>
      <c r="RYU314" s="281"/>
      <c r="RYV314" s="282"/>
      <c r="RYW314" s="242"/>
      <c r="RYX314" s="222"/>
      <c r="RYZ314" s="118"/>
      <c r="RZA314" s="8"/>
      <c r="RZB314" s="281"/>
      <c r="RZC314" s="78"/>
      <c r="RZD314" s="151"/>
      <c r="RZE314" s="278"/>
      <c r="RZF314" s="266"/>
      <c r="RZG314" s="279"/>
      <c r="RZH314" s="211"/>
      <c r="RZI314" s="211"/>
      <c r="RZJ314" s="286"/>
      <c r="RZK314" s="286"/>
      <c r="RZL314" s="280"/>
      <c r="RZM314" s="281"/>
      <c r="RZN314" s="282"/>
      <c r="RZO314" s="242"/>
      <c r="RZP314" s="222"/>
      <c r="RZR314" s="118"/>
      <c r="RZS314" s="8"/>
      <c r="RZT314" s="281"/>
      <c r="RZU314" s="78"/>
      <c r="RZV314" s="151"/>
      <c r="RZW314" s="278"/>
      <c r="RZX314" s="266"/>
      <c r="RZY314" s="279"/>
      <c r="RZZ314" s="211"/>
      <c r="SAA314" s="211"/>
      <c r="SAB314" s="286"/>
      <c r="SAC314" s="286"/>
      <c r="SAD314" s="280"/>
      <c r="SAE314" s="281"/>
      <c r="SAF314" s="282"/>
      <c r="SAG314" s="242"/>
      <c r="SAH314" s="222"/>
      <c r="SAJ314" s="118"/>
      <c r="SAK314" s="8"/>
      <c r="SAL314" s="281"/>
      <c r="SAM314" s="78"/>
      <c r="SAN314" s="151"/>
      <c r="SAO314" s="278"/>
      <c r="SAP314" s="266"/>
      <c r="SAQ314" s="279"/>
      <c r="SAR314" s="211"/>
      <c r="SAS314" s="211"/>
      <c r="SAT314" s="286"/>
      <c r="SAU314" s="286"/>
      <c r="SAV314" s="280"/>
      <c r="SAW314" s="281"/>
      <c r="SAX314" s="282"/>
      <c r="SAY314" s="242"/>
      <c r="SAZ314" s="222"/>
      <c r="SBB314" s="118"/>
      <c r="SBC314" s="8"/>
      <c r="SBD314" s="281"/>
      <c r="SBE314" s="78"/>
      <c r="SBF314" s="151"/>
      <c r="SBG314" s="278"/>
      <c r="SBH314" s="266"/>
      <c r="SBI314" s="279"/>
      <c r="SBJ314" s="211"/>
      <c r="SBK314" s="211"/>
      <c r="SBL314" s="286"/>
      <c r="SBM314" s="286"/>
      <c r="SBN314" s="280"/>
      <c r="SBO314" s="281"/>
      <c r="SBP314" s="282"/>
      <c r="SBQ314" s="242"/>
      <c r="SBR314" s="222"/>
      <c r="SBT314" s="118"/>
      <c r="SBU314" s="8"/>
      <c r="SBV314" s="281"/>
      <c r="SBW314" s="78"/>
      <c r="SBX314" s="151"/>
      <c r="SBY314" s="278"/>
      <c r="SBZ314" s="266"/>
      <c r="SCA314" s="279"/>
      <c r="SCB314" s="211"/>
      <c r="SCC314" s="211"/>
      <c r="SCD314" s="286"/>
      <c r="SCE314" s="286"/>
      <c r="SCF314" s="280"/>
      <c r="SCG314" s="281"/>
      <c r="SCH314" s="282"/>
      <c r="SCI314" s="242"/>
      <c r="SCJ314" s="222"/>
      <c r="SCL314" s="118"/>
      <c r="SCM314" s="8"/>
      <c r="SCN314" s="281"/>
      <c r="SCO314" s="78"/>
      <c r="SCP314" s="151"/>
      <c r="SCQ314" s="278"/>
      <c r="SCR314" s="266"/>
      <c r="SCS314" s="279"/>
      <c r="SCT314" s="211"/>
      <c r="SCU314" s="211"/>
      <c r="SCV314" s="286"/>
      <c r="SCW314" s="286"/>
      <c r="SCX314" s="280"/>
      <c r="SCY314" s="281"/>
      <c r="SCZ314" s="282"/>
      <c r="SDA314" s="242"/>
      <c r="SDB314" s="222"/>
      <c r="SDD314" s="118"/>
      <c r="SDE314" s="8"/>
      <c r="SDF314" s="281"/>
      <c r="SDG314" s="78"/>
      <c r="SDH314" s="151"/>
      <c r="SDI314" s="278"/>
      <c r="SDJ314" s="266"/>
      <c r="SDK314" s="279"/>
      <c r="SDL314" s="211"/>
      <c r="SDM314" s="211"/>
      <c r="SDN314" s="286"/>
      <c r="SDO314" s="286"/>
      <c r="SDP314" s="280"/>
      <c r="SDQ314" s="281"/>
      <c r="SDR314" s="282"/>
      <c r="SDS314" s="242"/>
      <c r="SDT314" s="222"/>
      <c r="SDV314" s="118"/>
      <c r="SDW314" s="8"/>
      <c r="SDX314" s="281"/>
      <c r="SDY314" s="78"/>
      <c r="SDZ314" s="151"/>
      <c r="SEA314" s="278"/>
      <c r="SEB314" s="266"/>
      <c r="SEC314" s="279"/>
      <c r="SED314" s="211"/>
      <c r="SEE314" s="211"/>
      <c r="SEF314" s="286"/>
      <c r="SEG314" s="286"/>
      <c r="SEH314" s="280"/>
      <c r="SEI314" s="281"/>
      <c r="SEJ314" s="282"/>
      <c r="SEK314" s="242"/>
      <c r="SEL314" s="222"/>
      <c r="SEN314" s="118"/>
      <c r="SEO314" s="8"/>
      <c r="SEP314" s="281"/>
      <c r="SEQ314" s="78"/>
      <c r="SER314" s="151"/>
      <c r="SES314" s="278"/>
      <c r="SET314" s="266"/>
      <c r="SEU314" s="279"/>
      <c r="SEV314" s="211"/>
      <c r="SEW314" s="211"/>
      <c r="SEX314" s="286"/>
      <c r="SEY314" s="286"/>
      <c r="SEZ314" s="280"/>
      <c r="SFA314" s="281"/>
      <c r="SFB314" s="282"/>
      <c r="SFC314" s="242"/>
      <c r="SFD314" s="222"/>
      <c r="SFF314" s="118"/>
      <c r="SFG314" s="8"/>
      <c r="SFH314" s="281"/>
      <c r="SFI314" s="78"/>
      <c r="SFJ314" s="151"/>
      <c r="SFK314" s="278"/>
      <c r="SFL314" s="266"/>
      <c r="SFM314" s="279"/>
      <c r="SFN314" s="211"/>
      <c r="SFO314" s="211"/>
      <c r="SFP314" s="286"/>
      <c r="SFQ314" s="286"/>
      <c r="SFR314" s="280"/>
      <c r="SFS314" s="281"/>
      <c r="SFT314" s="282"/>
      <c r="SFU314" s="242"/>
      <c r="SFV314" s="222"/>
      <c r="SFX314" s="118"/>
      <c r="SFY314" s="8"/>
      <c r="SFZ314" s="281"/>
      <c r="SGA314" s="78"/>
      <c r="SGB314" s="151"/>
      <c r="SGC314" s="278"/>
      <c r="SGD314" s="266"/>
      <c r="SGE314" s="279"/>
      <c r="SGF314" s="211"/>
      <c r="SGG314" s="211"/>
      <c r="SGH314" s="286"/>
      <c r="SGI314" s="286"/>
      <c r="SGJ314" s="280"/>
      <c r="SGK314" s="281"/>
      <c r="SGL314" s="282"/>
      <c r="SGM314" s="242"/>
      <c r="SGN314" s="222"/>
      <c r="SGP314" s="118"/>
      <c r="SGQ314" s="8"/>
      <c r="SGR314" s="281"/>
      <c r="SGS314" s="78"/>
      <c r="SGT314" s="151"/>
      <c r="SGU314" s="278"/>
      <c r="SGV314" s="266"/>
      <c r="SGW314" s="279"/>
      <c r="SGX314" s="211"/>
      <c r="SGY314" s="211"/>
      <c r="SGZ314" s="286"/>
      <c r="SHA314" s="286"/>
      <c r="SHB314" s="280"/>
      <c r="SHC314" s="281"/>
      <c r="SHD314" s="282"/>
      <c r="SHE314" s="242"/>
      <c r="SHF314" s="222"/>
      <c r="SHH314" s="118"/>
      <c r="SHI314" s="8"/>
      <c r="SHJ314" s="281"/>
      <c r="SHK314" s="78"/>
      <c r="SHL314" s="151"/>
      <c r="SHM314" s="278"/>
      <c r="SHN314" s="266"/>
      <c r="SHO314" s="279"/>
      <c r="SHP314" s="211"/>
      <c r="SHQ314" s="211"/>
      <c r="SHR314" s="286"/>
      <c r="SHS314" s="286"/>
      <c r="SHT314" s="280"/>
      <c r="SHU314" s="281"/>
      <c r="SHV314" s="282"/>
      <c r="SHW314" s="242"/>
      <c r="SHX314" s="222"/>
      <c r="SHZ314" s="118"/>
      <c r="SIA314" s="8"/>
      <c r="SIB314" s="281"/>
      <c r="SIC314" s="78"/>
      <c r="SID314" s="151"/>
      <c r="SIE314" s="278"/>
      <c r="SIF314" s="266"/>
      <c r="SIG314" s="279"/>
      <c r="SIH314" s="211"/>
      <c r="SII314" s="211"/>
      <c r="SIJ314" s="286"/>
      <c r="SIK314" s="286"/>
      <c r="SIL314" s="280"/>
      <c r="SIM314" s="281"/>
      <c r="SIN314" s="282"/>
      <c r="SIO314" s="242"/>
      <c r="SIP314" s="222"/>
      <c r="SIR314" s="118"/>
      <c r="SIS314" s="8"/>
      <c r="SIT314" s="281"/>
      <c r="SIU314" s="78"/>
      <c r="SIV314" s="151"/>
      <c r="SIW314" s="278"/>
      <c r="SIX314" s="266"/>
      <c r="SIY314" s="279"/>
      <c r="SIZ314" s="211"/>
      <c r="SJA314" s="211"/>
      <c r="SJB314" s="286"/>
      <c r="SJC314" s="286"/>
      <c r="SJD314" s="280"/>
      <c r="SJE314" s="281"/>
      <c r="SJF314" s="282"/>
      <c r="SJG314" s="242"/>
      <c r="SJH314" s="222"/>
      <c r="SJJ314" s="118"/>
      <c r="SJK314" s="8"/>
      <c r="SJL314" s="281"/>
      <c r="SJM314" s="78"/>
      <c r="SJN314" s="151"/>
      <c r="SJO314" s="278"/>
      <c r="SJP314" s="266"/>
      <c r="SJQ314" s="279"/>
      <c r="SJR314" s="211"/>
      <c r="SJS314" s="211"/>
      <c r="SJT314" s="286"/>
      <c r="SJU314" s="286"/>
      <c r="SJV314" s="280"/>
      <c r="SJW314" s="281"/>
      <c r="SJX314" s="282"/>
      <c r="SJY314" s="242"/>
      <c r="SJZ314" s="222"/>
      <c r="SKB314" s="118"/>
      <c r="SKC314" s="8"/>
      <c r="SKD314" s="281"/>
      <c r="SKE314" s="78"/>
      <c r="SKF314" s="151"/>
      <c r="SKG314" s="278"/>
      <c r="SKH314" s="266"/>
      <c r="SKI314" s="279"/>
      <c r="SKJ314" s="211"/>
      <c r="SKK314" s="211"/>
      <c r="SKL314" s="286"/>
      <c r="SKM314" s="286"/>
      <c r="SKN314" s="280"/>
      <c r="SKO314" s="281"/>
      <c r="SKP314" s="282"/>
      <c r="SKQ314" s="242"/>
      <c r="SKR314" s="222"/>
      <c r="SKT314" s="118"/>
      <c r="SKU314" s="8"/>
      <c r="SKV314" s="281"/>
      <c r="SKW314" s="78"/>
      <c r="SKX314" s="151"/>
      <c r="SKY314" s="278"/>
      <c r="SKZ314" s="266"/>
      <c r="SLA314" s="279"/>
      <c r="SLB314" s="211"/>
      <c r="SLC314" s="211"/>
      <c r="SLD314" s="286"/>
      <c r="SLE314" s="286"/>
      <c r="SLF314" s="280"/>
      <c r="SLG314" s="281"/>
      <c r="SLH314" s="282"/>
      <c r="SLI314" s="242"/>
      <c r="SLJ314" s="222"/>
      <c r="SLL314" s="118"/>
      <c r="SLM314" s="8"/>
      <c r="SLN314" s="281"/>
      <c r="SLO314" s="78"/>
      <c r="SLP314" s="151"/>
      <c r="SLQ314" s="278"/>
      <c r="SLR314" s="266"/>
      <c r="SLS314" s="279"/>
      <c r="SLT314" s="211"/>
      <c r="SLU314" s="211"/>
      <c r="SLV314" s="286"/>
      <c r="SLW314" s="286"/>
      <c r="SLX314" s="280"/>
      <c r="SLY314" s="281"/>
      <c r="SLZ314" s="282"/>
      <c r="SMA314" s="242"/>
      <c r="SMB314" s="222"/>
      <c r="SMD314" s="118"/>
      <c r="SME314" s="8"/>
      <c r="SMF314" s="281"/>
      <c r="SMG314" s="78"/>
      <c r="SMH314" s="151"/>
      <c r="SMI314" s="278"/>
      <c r="SMJ314" s="266"/>
      <c r="SMK314" s="279"/>
      <c r="SML314" s="211"/>
      <c r="SMM314" s="211"/>
      <c r="SMN314" s="286"/>
      <c r="SMO314" s="286"/>
      <c r="SMP314" s="280"/>
      <c r="SMQ314" s="281"/>
      <c r="SMR314" s="282"/>
      <c r="SMS314" s="242"/>
      <c r="SMT314" s="222"/>
      <c r="SMV314" s="118"/>
      <c r="SMW314" s="8"/>
      <c r="SMX314" s="281"/>
      <c r="SMY314" s="78"/>
      <c r="SMZ314" s="151"/>
      <c r="SNA314" s="278"/>
      <c r="SNB314" s="266"/>
      <c r="SNC314" s="279"/>
      <c r="SND314" s="211"/>
      <c r="SNE314" s="211"/>
      <c r="SNF314" s="286"/>
      <c r="SNG314" s="286"/>
      <c r="SNH314" s="280"/>
      <c r="SNI314" s="281"/>
      <c r="SNJ314" s="282"/>
      <c r="SNK314" s="242"/>
      <c r="SNL314" s="222"/>
      <c r="SNN314" s="118"/>
      <c r="SNO314" s="8"/>
      <c r="SNP314" s="281"/>
      <c r="SNQ314" s="78"/>
      <c r="SNR314" s="151"/>
      <c r="SNS314" s="278"/>
      <c r="SNT314" s="266"/>
      <c r="SNU314" s="279"/>
      <c r="SNV314" s="211"/>
      <c r="SNW314" s="211"/>
      <c r="SNX314" s="286"/>
      <c r="SNY314" s="286"/>
      <c r="SNZ314" s="280"/>
      <c r="SOA314" s="281"/>
      <c r="SOB314" s="282"/>
      <c r="SOC314" s="242"/>
      <c r="SOD314" s="222"/>
      <c r="SOF314" s="118"/>
      <c r="SOG314" s="8"/>
      <c r="SOH314" s="281"/>
      <c r="SOI314" s="78"/>
      <c r="SOJ314" s="151"/>
      <c r="SOK314" s="278"/>
      <c r="SOL314" s="266"/>
      <c r="SOM314" s="279"/>
      <c r="SON314" s="211"/>
      <c r="SOO314" s="211"/>
      <c r="SOP314" s="286"/>
      <c r="SOQ314" s="286"/>
      <c r="SOR314" s="280"/>
      <c r="SOS314" s="281"/>
      <c r="SOT314" s="282"/>
      <c r="SOU314" s="242"/>
      <c r="SOV314" s="222"/>
      <c r="SOX314" s="118"/>
      <c r="SOY314" s="8"/>
      <c r="SOZ314" s="281"/>
      <c r="SPA314" s="78"/>
      <c r="SPB314" s="151"/>
      <c r="SPC314" s="278"/>
      <c r="SPD314" s="266"/>
      <c r="SPE314" s="279"/>
      <c r="SPF314" s="211"/>
      <c r="SPG314" s="211"/>
      <c r="SPH314" s="286"/>
      <c r="SPI314" s="286"/>
      <c r="SPJ314" s="280"/>
      <c r="SPK314" s="281"/>
      <c r="SPL314" s="282"/>
      <c r="SPM314" s="242"/>
      <c r="SPN314" s="222"/>
      <c r="SPP314" s="118"/>
      <c r="SPQ314" s="8"/>
      <c r="SPR314" s="281"/>
      <c r="SPS314" s="78"/>
      <c r="SPT314" s="151"/>
      <c r="SPU314" s="278"/>
      <c r="SPV314" s="266"/>
      <c r="SPW314" s="279"/>
      <c r="SPX314" s="211"/>
      <c r="SPY314" s="211"/>
      <c r="SPZ314" s="286"/>
      <c r="SQA314" s="286"/>
      <c r="SQB314" s="280"/>
      <c r="SQC314" s="281"/>
      <c r="SQD314" s="282"/>
      <c r="SQE314" s="242"/>
      <c r="SQF314" s="222"/>
      <c r="SQH314" s="118"/>
      <c r="SQI314" s="8"/>
      <c r="SQJ314" s="281"/>
      <c r="SQK314" s="78"/>
      <c r="SQL314" s="151"/>
      <c r="SQM314" s="278"/>
      <c r="SQN314" s="266"/>
      <c r="SQO314" s="279"/>
      <c r="SQP314" s="211"/>
      <c r="SQQ314" s="211"/>
      <c r="SQR314" s="286"/>
      <c r="SQS314" s="286"/>
      <c r="SQT314" s="280"/>
      <c r="SQU314" s="281"/>
      <c r="SQV314" s="282"/>
      <c r="SQW314" s="242"/>
      <c r="SQX314" s="222"/>
      <c r="SQZ314" s="118"/>
      <c r="SRA314" s="8"/>
      <c r="SRB314" s="281"/>
      <c r="SRC314" s="78"/>
      <c r="SRD314" s="151"/>
      <c r="SRE314" s="278"/>
      <c r="SRF314" s="266"/>
      <c r="SRG314" s="279"/>
      <c r="SRH314" s="211"/>
      <c r="SRI314" s="211"/>
      <c r="SRJ314" s="286"/>
      <c r="SRK314" s="286"/>
      <c r="SRL314" s="280"/>
      <c r="SRM314" s="281"/>
      <c r="SRN314" s="282"/>
      <c r="SRO314" s="242"/>
      <c r="SRP314" s="222"/>
      <c r="SRR314" s="118"/>
      <c r="SRS314" s="8"/>
      <c r="SRT314" s="281"/>
      <c r="SRU314" s="78"/>
      <c r="SRV314" s="151"/>
      <c r="SRW314" s="278"/>
      <c r="SRX314" s="266"/>
      <c r="SRY314" s="279"/>
      <c r="SRZ314" s="211"/>
      <c r="SSA314" s="211"/>
      <c r="SSB314" s="286"/>
      <c r="SSC314" s="286"/>
      <c r="SSD314" s="280"/>
      <c r="SSE314" s="281"/>
      <c r="SSF314" s="282"/>
      <c r="SSG314" s="242"/>
      <c r="SSH314" s="222"/>
      <c r="SSJ314" s="118"/>
      <c r="SSK314" s="8"/>
      <c r="SSL314" s="281"/>
      <c r="SSM314" s="78"/>
      <c r="SSN314" s="151"/>
      <c r="SSO314" s="278"/>
      <c r="SSP314" s="266"/>
      <c r="SSQ314" s="279"/>
      <c r="SSR314" s="211"/>
      <c r="SSS314" s="211"/>
      <c r="SST314" s="286"/>
      <c r="SSU314" s="286"/>
      <c r="SSV314" s="280"/>
      <c r="SSW314" s="281"/>
      <c r="SSX314" s="282"/>
      <c r="SSY314" s="242"/>
      <c r="SSZ314" s="222"/>
      <c r="STB314" s="118"/>
      <c r="STC314" s="8"/>
      <c r="STD314" s="281"/>
      <c r="STE314" s="78"/>
      <c r="STF314" s="151"/>
      <c r="STG314" s="278"/>
      <c r="STH314" s="266"/>
      <c r="STI314" s="279"/>
      <c r="STJ314" s="211"/>
      <c r="STK314" s="211"/>
      <c r="STL314" s="286"/>
      <c r="STM314" s="286"/>
      <c r="STN314" s="280"/>
      <c r="STO314" s="281"/>
      <c r="STP314" s="282"/>
      <c r="STQ314" s="242"/>
      <c r="STR314" s="222"/>
      <c r="STT314" s="118"/>
      <c r="STU314" s="8"/>
      <c r="STV314" s="281"/>
      <c r="STW314" s="78"/>
      <c r="STX314" s="151"/>
      <c r="STY314" s="278"/>
      <c r="STZ314" s="266"/>
      <c r="SUA314" s="279"/>
      <c r="SUB314" s="211"/>
      <c r="SUC314" s="211"/>
      <c r="SUD314" s="286"/>
      <c r="SUE314" s="286"/>
      <c r="SUF314" s="280"/>
      <c r="SUG314" s="281"/>
      <c r="SUH314" s="282"/>
      <c r="SUI314" s="242"/>
      <c r="SUJ314" s="222"/>
      <c r="SUL314" s="118"/>
      <c r="SUM314" s="8"/>
      <c r="SUN314" s="281"/>
      <c r="SUO314" s="78"/>
      <c r="SUP314" s="151"/>
      <c r="SUQ314" s="278"/>
      <c r="SUR314" s="266"/>
      <c r="SUS314" s="279"/>
      <c r="SUT314" s="211"/>
      <c r="SUU314" s="211"/>
      <c r="SUV314" s="286"/>
      <c r="SUW314" s="286"/>
      <c r="SUX314" s="280"/>
      <c r="SUY314" s="281"/>
      <c r="SUZ314" s="282"/>
      <c r="SVA314" s="242"/>
      <c r="SVB314" s="222"/>
      <c r="SVD314" s="118"/>
      <c r="SVE314" s="8"/>
      <c r="SVF314" s="281"/>
      <c r="SVG314" s="78"/>
      <c r="SVH314" s="151"/>
      <c r="SVI314" s="278"/>
      <c r="SVJ314" s="266"/>
      <c r="SVK314" s="279"/>
      <c r="SVL314" s="211"/>
      <c r="SVM314" s="211"/>
      <c r="SVN314" s="286"/>
      <c r="SVO314" s="286"/>
      <c r="SVP314" s="280"/>
      <c r="SVQ314" s="281"/>
      <c r="SVR314" s="282"/>
      <c r="SVS314" s="242"/>
      <c r="SVT314" s="222"/>
      <c r="SVV314" s="118"/>
      <c r="SVW314" s="8"/>
      <c r="SVX314" s="281"/>
      <c r="SVY314" s="78"/>
      <c r="SVZ314" s="151"/>
      <c r="SWA314" s="278"/>
      <c r="SWB314" s="266"/>
      <c r="SWC314" s="279"/>
      <c r="SWD314" s="211"/>
      <c r="SWE314" s="211"/>
      <c r="SWF314" s="286"/>
      <c r="SWG314" s="286"/>
      <c r="SWH314" s="280"/>
      <c r="SWI314" s="281"/>
      <c r="SWJ314" s="282"/>
      <c r="SWK314" s="242"/>
      <c r="SWL314" s="222"/>
      <c r="SWN314" s="118"/>
      <c r="SWO314" s="8"/>
      <c r="SWP314" s="281"/>
      <c r="SWQ314" s="78"/>
      <c r="SWR314" s="151"/>
      <c r="SWS314" s="278"/>
      <c r="SWT314" s="266"/>
      <c r="SWU314" s="279"/>
      <c r="SWV314" s="211"/>
      <c r="SWW314" s="211"/>
      <c r="SWX314" s="286"/>
      <c r="SWY314" s="286"/>
      <c r="SWZ314" s="280"/>
      <c r="SXA314" s="281"/>
      <c r="SXB314" s="282"/>
      <c r="SXC314" s="242"/>
      <c r="SXD314" s="222"/>
      <c r="SXF314" s="118"/>
      <c r="SXG314" s="8"/>
      <c r="SXH314" s="281"/>
      <c r="SXI314" s="78"/>
      <c r="SXJ314" s="151"/>
      <c r="SXK314" s="278"/>
      <c r="SXL314" s="266"/>
      <c r="SXM314" s="279"/>
      <c r="SXN314" s="211"/>
      <c r="SXO314" s="211"/>
      <c r="SXP314" s="286"/>
      <c r="SXQ314" s="286"/>
      <c r="SXR314" s="280"/>
      <c r="SXS314" s="281"/>
      <c r="SXT314" s="282"/>
      <c r="SXU314" s="242"/>
      <c r="SXV314" s="222"/>
      <c r="SXX314" s="118"/>
      <c r="SXY314" s="8"/>
      <c r="SXZ314" s="281"/>
      <c r="SYA314" s="78"/>
      <c r="SYB314" s="151"/>
      <c r="SYC314" s="278"/>
      <c r="SYD314" s="266"/>
      <c r="SYE314" s="279"/>
      <c r="SYF314" s="211"/>
      <c r="SYG314" s="211"/>
      <c r="SYH314" s="286"/>
      <c r="SYI314" s="286"/>
      <c r="SYJ314" s="280"/>
      <c r="SYK314" s="281"/>
      <c r="SYL314" s="282"/>
      <c r="SYM314" s="242"/>
      <c r="SYN314" s="222"/>
      <c r="SYP314" s="118"/>
      <c r="SYQ314" s="8"/>
      <c r="SYR314" s="281"/>
      <c r="SYS314" s="78"/>
      <c r="SYT314" s="151"/>
      <c r="SYU314" s="278"/>
      <c r="SYV314" s="266"/>
      <c r="SYW314" s="279"/>
      <c r="SYX314" s="211"/>
      <c r="SYY314" s="211"/>
      <c r="SYZ314" s="286"/>
      <c r="SZA314" s="286"/>
      <c r="SZB314" s="280"/>
      <c r="SZC314" s="281"/>
      <c r="SZD314" s="282"/>
      <c r="SZE314" s="242"/>
      <c r="SZF314" s="222"/>
      <c r="SZH314" s="118"/>
      <c r="SZI314" s="8"/>
      <c r="SZJ314" s="281"/>
      <c r="SZK314" s="78"/>
      <c r="SZL314" s="151"/>
      <c r="SZM314" s="278"/>
      <c r="SZN314" s="266"/>
      <c r="SZO314" s="279"/>
      <c r="SZP314" s="211"/>
      <c r="SZQ314" s="211"/>
      <c r="SZR314" s="286"/>
      <c r="SZS314" s="286"/>
      <c r="SZT314" s="280"/>
      <c r="SZU314" s="281"/>
      <c r="SZV314" s="282"/>
      <c r="SZW314" s="242"/>
      <c r="SZX314" s="222"/>
      <c r="SZZ314" s="118"/>
      <c r="TAA314" s="8"/>
      <c r="TAB314" s="281"/>
      <c r="TAC314" s="78"/>
      <c r="TAD314" s="151"/>
      <c r="TAE314" s="278"/>
      <c r="TAF314" s="266"/>
      <c r="TAG314" s="279"/>
      <c r="TAH314" s="211"/>
      <c r="TAI314" s="211"/>
      <c r="TAJ314" s="286"/>
      <c r="TAK314" s="286"/>
      <c r="TAL314" s="280"/>
      <c r="TAM314" s="281"/>
      <c r="TAN314" s="282"/>
      <c r="TAO314" s="242"/>
      <c r="TAP314" s="222"/>
      <c r="TAR314" s="118"/>
      <c r="TAS314" s="8"/>
      <c r="TAT314" s="281"/>
      <c r="TAU314" s="78"/>
      <c r="TAV314" s="151"/>
      <c r="TAW314" s="278"/>
      <c r="TAX314" s="266"/>
      <c r="TAY314" s="279"/>
      <c r="TAZ314" s="211"/>
      <c r="TBA314" s="211"/>
      <c r="TBB314" s="286"/>
      <c r="TBC314" s="286"/>
      <c r="TBD314" s="280"/>
      <c r="TBE314" s="281"/>
      <c r="TBF314" s="282"/>
      <c r="TBG314" s="242"/>
      <c r="TBH314" s="222"/>
      <c r="TBJ314" s="118"/>
      <c r="TBK314" s="8"/>
      <c r="TBL314" s="281"/>
      <c r="TBM314" s="78"/>
      <c r="TBN314" s="151"/>
      <c r="TBO314" s="278"/>
      <c r="TBP314" s="266"/>
      <c r="TBQ314" s="279"/>
      <c r="TBR314" s="211"/>
      <c r="TBS314" s="211"/>
      <c r="TBT314" s="286"/>
      <c r="TBU314" s="286"/>
      <c r="TBV314" s="280"/>
      <c r="TBW314" s="281"/>
      <c r="TBX314" s="282"/>
      <c r="TBY314" s="242"/>
      <c r="TBZ314" s="222"/>
      <c r="TCB314" s="118"/>
      <c r="TCC314" s="8"/>
      <c r="TCD314" s="281"/>
      <c r="TCE314" s="78"/>
      <c r="TCF314" s="151"/>
      <c r="TCG314" s="278"/>
      <c r="TCH314" s="266"/>
      <c r="TCI314" s="279"/>
      <c r="TCJ314" s="211"/>
      <c r="TCK314" s="211"/>
      <c r="TCL314" s="286"/>
      <c r="TCM314" s="286"/>
      <c r="TCN314" s="280"/>
      <c r="TCO314" s="281"/>
      <c r="TCP314" s="282"/>
      <c r="TCQ314" s="242"/>
      <c r="TCR314" s="222"/>
      <c r="TCT314" s="118"/>
      <c r="TCU314" s="8"/>
      <c r="TCV314" s="281"/>
      <c r="TCW314" s="78"/>
      <c r="TCX314" s="151"/>
      <c r="TCY314" s="278"/>
      <c r="TCZ314" s="266"/>
      <c r="TDA314" s="279"/>
      <c r="TDB314" s="211"/>
      <c r="TDC314" s="211"/>
      <c r="TDD314" s="286"/>
      <c r="TDE314" s="286"/>
      <c r="TDF314" s="280"/>
      <c r="TDG314" s="281"/>
      <c r="TDH314" s="282"/>
      <c r="TDI314" s="242"/>
      <c r="TDJ314" s="222"/>
      <c r="TDL314" s="118"/>
      <c r="TDM314" s="8"/>
      <c r="TDN314" s="281"/>
      <c r="TDO314" s="78"/>
      <c r="TDP314" s="151"/>
      <c r="TDQ314" s="278"/>
      <c r="TDR314" s="266"/>
      <c r="TDS314" s="279"/>
      <c r="TDT314" s="211"/>
      <c r="TDU314" s="211"/>
      <c r="TDV314" s="286"/>
      <c r="TDW314" s="286"/>
      <c r="TDX314" s="280"/>
      <c r="TDY314" s="281"/>
      <c r="TDZ314" s="282"/>
      <c r="TEA314" s="242"/>
      <c r="TEB314" s="222"/>
      <c r="TED314" s="118"/>
      <c r="TEE314" s="8"/>
      <c r="TEF314" s="281"/>
      <c r="TEG314" s="78"/>
      <c r="TEH314" s="151"/>
      <c r="TEI314" s="278"/>
      <c r="TEJ314" s="266"/>
      <c r="TEK314" s="279"/>
      <c r="TEL314" s="211"/>
      <c r="TEM314" s="211"/>
      <c r="TEN314" s="286"/>
      <c r="TEO314" s="286"/>
      <c r="TEP314" s="280"/>
      <c r="TEQ314" s="281"/>
      <c r="TER314" s="282"/>
      <c r="TES314" s="242"/>
      <c r="TET314" s="222"/>
      <c r="TEV314" s="118"/>
      <c r="TEW314" s="8"/>
      <c r="TEX314" s="281"/>
      <c r="TEY314" s="78"/>
      <c r="TEZ314" s="151"/>
      <c r="TFA314" s="278"/>
      <c r="TFB314" s="266"/>
      <c r="TFC314" s="279"/>
      <c r="TFD314" s="211"/>
      <c r="TFE314" s="211"/>
      <c r="TFF314" s="286"/>
      <c r="TFG314" s="286"/>
      <c r="TFH314" s="280"/>
      <c r="TFI314" s="281"/>
      <c r="TFJ314" s="282"/>
      <c r="TFK314" s="242"/>
      <c r="TFL314" s="222"/>
      <c r="TFN314" s="118"/>
      <c r="TFO314" s="8"/>
      <c r="TFP314" s="281"/>
      <c r="TFQ314" s="78"/>
      <c r="TFR314" s="151"/>
      <c r="TFS314" s="278"/>
      <c r="TFT314" s="266"/>
      <c r="TFU314" s="279"/>
      <c r="TFV314" s="211"/>
      <c r="TFW314" s="211"/>
      <c r="TFX314" s="286"/>
      <c r="TFY314" s="286"/>
      <c r="TFZ314" s="280"/>
      <c r="TGA314" s="281"/>
      <c r="TGB314" s="282"/>
      <c r="TGC314" s="242"/>
      <c r="TGD314" s="222"/>
      <c r="TGF314" s="118"/>
      <c r="TGG314" s="8"/>
      <c r="TGH314" s="281"/>
      <c r="TGI314" s="78"/>
      <c r="TGJ314" s="151"/>
      <c r="TGK314" s="278"/>
      <c r="TGL314" s="266"/>
      <c r="TGM314" s="279"/>
      <c r="TGN314" s="211"/>
      <c r="TGO314" s="211"/>
      <c r="TGP314" s="286"/>
      <c r="TGQ314" s="286"/>
      <c r="TGR314" s="280"/>
      <c r="TGS314" s="281"/>
      <c r="TGT314" s="282"/>
      <c r="TGU314" s="242"/>
      <c r="TGV314" s="222"/>
      <c r="TGX314" s="118"/>
      <c r="TGY314" s="8"/>
      <c r="TGZ314" s="281"/>
      <c r="THA314" s="78"/>
      <c r="THB314" s="151"/>
      <c r="THC314" s="278"/>
      <c r="THD314" s="266"/>
      <c r="THE314" s="279"/>
      <c r="THF314" s="211"/>
      <c r="THG314" s="211"/>
      <c r="THH314" s="286"/>
      <c r="THI314" s="286"/>
      <c r="THJ314" s="280"/>
      <c r="THK314" s="281"/>
      <c r="THL314" s="282"/>
      <c r="THM314" s="242"/>
      <c r="THN314" s="222"/>
      <c r="THP314" s="118"/>
      <c r="THQ314" s="8"/>
      <c r="THR314" s="281"/>
      <c r="THS314" s="78"/>
      <c r="THT314" s="151"/>
      <c r="THU314" s="278"/>
      <c r="THV314" s="266"/>
      <c r="THW314" s="279"/>
      <c r="THX314" s="211"/>
      <c r="THY314" s="211"/>
      <c r="THZ314" s="286"/>
      <c r="TIA314" s="286"/>
      <c r="TIB314" s="280"/>
      <c r="TIC314" s="281"/>
      <c r="TID314" s="282"/>
      <c r="TIE314" s="242"/>
      <c r="TIF314" s="222"/>
      <c r="TIH314" s="118"/>
      <c r="TII314" s="8"/>
      <c r="TIJ314" s="281"/>
      <c r="TIK314" s="78"/>
      <c r="TIL314" s="151"/>
      <c r="TIM314" s="278"/>
      <c r="TIN314" s="266"/>
      <c r="TIO314" s="279"/>
      <c r="TIP314" s="211"/>
      <c r="TIQ314" s="211"/>
      <c r="TIR314" s="286"/>
      <c r="TIS314" s="286"/>
      <c r="TIT314" s="280"/>
      <c r="TIU314" s="281"/>
      <c r="TIV314" s="282"/>
      <c r="TIW314" s="242"/>
      <c r="TIX314" s="222"/>
      <c r="TIZ314" s="118"/>
      <c r="TJA314" s="8"/>
      <c r="TJB314" s="281"/>
      <c r="TJC314" s="78"/>
      <c r="TJD314" s="151"/>
      <c r="TJE314" s="278"/>
      <c r="TJF314" s="266"/>
      <c r="TJG314" s="279"/>
      <c r="TJH314" s="211"/>
      <c r="TJI314" s="211"/>
      <c r="TJJ314" s="286"/>
      <c r="TJK314" s="286"/>
      <c r="TJL314" s="280"/>
      <c r="TJM314" s="281"/>
      <c r="TJN314" s="282"/>
      <c r="TJO314" s="242"/>
      <c r="TJP314" s="222"/>
      <c r="TJR314" s="118"/>
      <c r="TJS314" s="8"/>
      <c r="TJT314" s="281"/>
      <c r="TJU314" s="78"/>
      <c r="TJV314" s="151"/>
      <c r="TJW314" s="278"/>
      <c r="TJX314" s="266"/>
      <c r="TJY314" s="279"/>
      <c r="TJZ314" s="211"/>
      <c r="TKA314" s="211"/>
      <c r="TKB314" s="286"/>
      <c r="TKC314" s="286"/>
      <c r="TKD314" s="280"/>
      <c r="TKE314" s="281"/>
      <c r="TKF314" s="282"/>
      <c r="TKG314" s="242"/>
      <c r="TKH314" s="222"/>
      <c r="TKJ314" s="118"/>
      <c r="TKK314" s="8"/>
      <c r="TKL314" s="281"/>
      <c r="TKM314" s="78"/>
      <c r="TKN314" s="151"/>
      <c r="TKO314" s="278"/>
      <c r="TKP314" s="266"/>
      <c r="TKQ314" s="279"/>
      <c r="TKR314" s="211"/>
      <c r="TKS314" s="211"/>
      <c r="TKT314" s="286"/>
      <c r="TKU314" s="286"/>
      <c r="TKV314" s="280"/>
      <c r="TKW314" s="281"/>
      <c r="TKX314" s="282"/>
      <c r="TKY314" s="242"/>
      <c r="TKZ314" s="222"/>
      <c r="TLB314" s="118"/>
      <c r="TLC314" s="8"/>
      <c r="TLD314" s="281"/>
      <c r="TLE314" s="78"/>
      <c r="TLF314" s="151"/>
      <c r="TLG314" s="278"/>
      <c r="TLH314" s="266"/>
      <c r="TLI314" s="279"/>
      <c r="TLJ314" s="211"/>
      <c r="TLK314" s="211"/>
      <c r="TLL314" s="286"/>
      <c r="TLM314" s="286"/>
      <c r="TLN314" s="280"/>
      <c r="TLO314" s="281"/>
      <c r="TLP314" s="282"/>
      <c r="TLQ314" s="242"/>
      <c r="TLR314" s="222"/>
      <c r="TLT314" s="118"/>
      <c r="TLU314" s="8"/>
      <c r="TLV314" s="281"/>
      <c r="TLW314" s="78"/>
      <c r="TLX314" s="151"/>
      <c r="TLY314" s="278"/>
      <c r="TLZ314" s="266"/>
      <c r="TMA314" s="279"/>
      <c r="TMB314" s="211"/>
      <c r="TMC314" s="211"/>
      <c r="TMD314" s="286"/>
      <c r="TME314" s="286"/>
      <c r="TMF314" s="280"/>
      <c r="TMG314" s="281"/>
      <c r="TMH314" s="282"/>
      <c r="TMI314" s="242"/>
      <c r="TMJ314" s="222"/>
      <c r="TML314" s="118"/>
      <c r="TMM314" s="8"/>
      <c r="TMN314" s="281"/>
      <c r="TMO314" s="78"/>
      <c r="TMP314" s="151"/>
      <c r="TMQ314" s="278"/>
      <c r="TMR314" s="266"/>
      <c r="TMS314" s="279"/>
      <c r="TMT314" s="211"/>
      <c r="TMU314" s="211"/>
      <c r="TMV314" s="286"/>
      <c r="TMW314" s="286"/>
      <c r="TMX314" s="280"/>
      <c r="TMY314" s="281"/>
      <c r="TMZ314" s="282"/>
      <c r="TNA314" s="242"/>
      <c r="TNB314" s="222"/>
      <c r="TND314" s="118"/>
      <c r="TNE314" s="8"/>
      <c r="TNF314" s="281"/>
      <c r="TNG314" s="78"/>
      <c r="TNH314" s="151"/>
      <c r="TNI314" s="278"/>
      <c r="TNJ314" s="266"/>
      <c r="TNK314" s="279"/>
      <c r="TNL314" s="211"/>
      <c r="TNM314" s="211"/>
      <c r="TNN314" s="286"/>
      <c r="TNO314" s="286"/>
      <c r="TNP314" s="280"/>
      <c r="TNQ314" s="281"/>
      <c r="TNR314" s="282"/>
      <c r="TNS314" s="242"/>
      <c r="TNT314" s="222"/>
      <c r="TNV314" s="118"/>
      <c r="TNW314" s="8"/>
      <c r="TNX314" s="281"/>
      <c r="TNY314" s="78"/>
      <c r="TNZ314" s="151"/>
      <c r="TOA314" s="278"/>
      <c r="TOB314" s="266"/>
      <c r="TOC314" s="279"/>
      <c r="TOD314" s="211"/>
      <c r="TOE314" s="211"/>
      <c r="TOF314" s="286"/>
      <c r="TOG314" s="286"/>
      <c r="TOH314" s="280"/>
      <c r="TOI314" s="281"/>
      <c r="TOJ314" s="282"/>
      <c r="TOK314" s="242"/>
      <c r="TOL314" s="222"/>
      <c r="TON314" s="118"/>
      <c r="TOO314" s="8"/>
      <c r="TOP314" s="281"/>
      <c r="TOQ314" s="78"/>
      <c r="TOR314" s="151"/>
      <c r="TOS314" s="278"/>
      <c r="TOT314" s="266"/>
      <c r="TOU314" s="279"/>
      <c r="TOV314" s="211"/>
      <c r="TOW314" s="211"/>
      <c r="TOX314" s="286"/>
      <c r="TOY314" s="286"/>
      <c r="TOZ314" s="280"/>
      <c r="TPA314" s="281"/>
      <c r="TPB314" s="282"/>
      <c r="TPC314" s="242"/>
      <c r="TPD314" s="222"/>
      <c r="TPF314" s="118"/>
      <c r="TPG314" s="8"/>
      <c r="TPH314" s="281"/>
      <c r="TPI314" s="78"/>
      <c r="TPJ314" s="151"/>
      <c r="TPK314" s="278"/>
      <c r="TPL314" s="266"/>
      <c r="TPM314" s="279"/>
      <c r="TPN314" s="211"/>
      <c r="TPO314" s="211"/>
      <c r="TPP314" s="286"/>
      <c r="TPQ314" s="286"/>
      <c r="TPR314" s="280"/>
      <c r="TPS314" s="281"/>
      <c r="TPT314" s="282"/>
      <c r="TPU314" s="242"/>
      <c r="TPV314" s="222"/>
      <c r="TPX314" s="118"/>
      <c r="TPY314" s="8"/>
      <c r="TPZ314" s="281"/>
      <c r="TQA314" s="78"/>
      <c r="TQB314" s="151"/>
      <c r="TQC314" s="278"/>
      <c r="TQD314" s="266"/>
      <c r="TQE314" s="279"/>
      <c r="TQF314" s="211"/>
      <c r="TQG314" s="211"/>
      <c r="TQH314" s="286"/>
      <c r="TQI314" s="286"/>
      <c r="TQJ314" s="280"/>
      <c r="TQK314" s="281"/>
      <c r="TQL314" s="282"/>
      <c r="TQM314" s="242"/>
      <c r="TQN314" s="222"/>
      <c r="TQP314" s="118"/>
      <c r="TQQ314" s="8"/>
      <c r="TQR314" s="281"/>
      <c r="TQS314" s="78"/>
      <c r="TQT314" s="151"/>
      <c r="TQU314" s="278"/>
      <c r="TQV314" s="266"/>
      <c r="TQW314" s="279"/>
      <c r="TQX314" s="211"/>
      <c r="TQY314" s="211"/>
      <c r="TQZ314" s="286"/>
      <c r="TRA314" s="286"/>
      <c r="TRB314" s="280"/>
      <c r="TRC314" s="281"/>
      <c r="TRD314" s="282"/>
      <c r="TRE314" s="242"/>
      <c r="TRF314" s="222"/>
      <c r="TRH314" s="118"/>
      <c r="TRI314" s="8"/>
      <c r="TRJ314" s="281"/>
      <c r="TRK314" s="78"/>
      <c r="TRL314" s="151"/>
      <c r="TRM314" s="278"/>
      <c r="TRN314" s="266"/>
      <c r="TRO314" s="279"/>
      <c r="TRP314" s="211"/>
      <c r="TRQ314" s="211"/>
      <c r="TRR314" s="286"/>
      <c r="TRS314" s="286"/>
      <c r="TRT314" s="280"/>
      <c r="TRU314" s="281"/>
      <c r="TRV314" s="282"/>
      <c r="TRW314" s="242"/>
      <c r="TRX314" s="222"/>
      <c r="TRZ314" s="118"/>
      <c r="TSA314" s="8"/>
      <c r="TSB314" s="281"/>
      <c r="TSC314" s="78"/>
      <c r="TSD314" s="151"/>
      <c r="TSE314" s="278"/>
      <c r="TSF314" s="266"/>
      <c r="TSG314" s="279"/>
      <c r="TSH314" s="211"/>
      <c r="TSI314" s="211"/>
      <c r="TSJ314" s="286"/>
      <c r="TSK314" s="286"/>
      <c r="TSL314" s="280"/>
      <c r="TSM314" s="281"/>
      <c r="TSN314" s="282"/>
      <c r="TSO314" s="242"/>
      <c r="TSP314" s="222"/>
      <c r="TSR314" s="118"/>
      <c r="TSS314" s="8"/>
      <c r="TST314" s="281"/>
      <c r="TSU314" s="78"/>
      <c r="TSV314" s="151"/>
      <c r="TSW314" s="278"/>
      <c r="TSX314" s="266"/>
      <c r="TSY314" s="279"/>
      <c r="TSZ314" s="211"/>
      <c r="TTA314" s="211"/>
      <c r="TTB314" s="286"/>
      <c r="TTC314" s="286"/>
      <c r="TTD314" s="280"/>
      <c r="TTE314" s="281"/>
      <c r="TTF314" s="282"/>
      <c r="TTG314" s="242"/>
      <c r="TTH314" s="222"/>
      <c r="TTJ314" s="118"/>
      <c r="TTK314" s="8"/>
      <c r="TTL314" s="281"/>
      <c r="TTM314" s="78"/>
      <c r="TTN314" s="151"/>
      <c r="TTO314" s="278"/>
      <c r="TTP314" s="266"/>
      <c r="TTQ314" s="279"/>
      <c r="TTR314" s="211"/>
      <c r="TTS314" s="211"/>
      <c r="TTT314" s="286"/>
      <c r="TTU314" s="286"/>
      <c r="TTV314" s="280"/>
      <c r="TTW314" s="281"/>
      <c r="TTX314" s="282"/>
      <c r="TTY314" s="242"/>
      <c r="TTZ314" s="222"/>
      <c r="TUB314" s="118"/>
      <c r="TUC314" s="8"/>
      <c r="TUD314" s="281"/>
      <c r="TUE314" s="78"/>
      <c r="TUF314" s="151"/>
      <c r="TUG314" s="278"/>
      <c r="TUH314" s="266"/>
      <c r="TUI314" s="279"/>
      <c r="TUJ314" s="211"/>
      <c r="TUK314" s="211"/>
      <c r="TUL314" s="286"/>
      <c r="TUM314" s="286"/>
      <c r="TUN314" s="280"/>
      <c r="TUO314" s="281"/>
      <c r="TUP314" s="282"/>
      <c r="TUQ314" s="242"/>
      <c r="TUR314" s="222"/>
      <c r="TUT314" s="118"/>
      <c r="TUU314" s="8"/>
      <c r="TUV314" s="281"/>
      <c r="TUW314" s="78"/>
      <c r="TUX314" s="151"/>
      <c r="TUY314" s="278"/>
      <c r="TUZ314" s="266"/>
      <c r="TVA314" s="279"/>
      <c r="TVB314" s="211"/>
      <c r="TVC314" s="211"/>
      <c r="TVD314" s="286"/>
      <c r="TVE314" s="286"/>
      <c r="TVF314" s="280"/>
      <c r="TVG314" s="281"/>
      <c r="TVH314" s="282"/>
      <c r="TVI314" s="242"/>
      <c r="TVJ314" s="222"/>
      <c r="TVL314" s="118"/>
      <c r="TVM314" s="8"/>
      <c r="TVN314" s="281"/>
      <c r="TVO314" s="78"/>
      <c r="TVP314" s="151"/>
      <c r="TVQ314" s="278"/>
      <c r="TVR314" s="266"/>
      <c r="TVS314" s="279"/>
      <c r="TVT314" s="211"/>
      <c r="TVU314" s="211"/>
      <c r="TVV314" s="286"/>
      <c r="TVW314" s="286"/>
      <c r="TVX314" s="280"/>
      <c r="TVY314" s="281"/>
      <c r="TVZ314" s="282"/>
      <c r="TWA314" s="242"/>
      <c r="TWB314" s="222"/>
      <c r="TWD314" s="118"/>
      <c r="TWE314" s="8"/>
      <c r="TWF314" s="281"/>
      <c r="TWG314" s="78"/>
      <c r="TWH314" s="151"/>
      <c r="TWI314" s="278"/>
      <c r="TWJ314" s="266"/>
      <c r="TWK314" s="279"/>
      <c r="TWL314" s="211"/>
      <c r="TWM314" s="211"/>
      <c r="TWN314" s="286"/>
      <c r="TWO314" s="286"/>
      <c r="TWP314" s="280"/>
      <c r="TWQ314" s="281"/>
      <c r="TWR314" s="282"/>
      <c r="TWS314" s="242"/>
      <c r="TWT314" s="222"/>
      <c r="TWV314" s="118"/>
      <c r="TWW314" s="8"/>
      <c r="TWX314" s="281"/>
      <c r="TWY314" s="78"/>
      <c r="TWZ314" s="151"/>
      <c r="TXA314" s="278"/>
      <c r="TXB314" s="266"/>
      <c r="TXC314" s="279"/>
      <c r="TXD314" s="211"/>
      <c r="TXE314" s="211"/>
      <c r="TXF314" s="286"/>
      <c r="TXG314" s="286"/>
      <c r="TXH314" s="280"/>
      <c r="TXI314" s="281"/>
      <c r="TXJ314" s="282"/>
      <c r="TXK314" s="242"/>
      <c r="TXL314" s="222"/>
      <c r="TXN314" s="118"/>
      <c r="TXO314" s="8"/>
      <c r="TXP314" s="281"/>
      <c r="TXQ314" s="78"/>
      <c r="TXR314" s="151"/>
      <c r="TXS314" s="278"/>
      <c r="TXT314" s="266"/>
      <c r="TXU314" s="279"/>
      <c r="TXV314" s="211"/>
      <c r="TXW314" s="211"/>
      <c r="TXX314" s="286"/>
      <c r="TXY314" s="286"/>
      <c r="TXZ314" s="280"/>
      <c r="TYA314" s="281"/>
      <c r="TYB314" s="282"/>
      <c r="TYC314" s="242"/>
      <c r="TYD314" s="222"/>
      <c r="TYF314" s="118"/>
      <c r="TYG314" s="8"/>
      <c r="TYH314" s="281"/>
      <c r="TYI314" s="78"/>
      <c r="TYJ314" s="151"/>
      <c r="TYK314" s="278"/>
      <c r="TYL314" s="266"/>
      <c r="TYM314" s="279"/>
      <c r="TYN314" s="211"/>
      <c r="TYO314" s="211"/>
      <c r="TYP314" s="286"/>
      <c r="TYQ314" s="286"/>
      <c r="TYR314" s="280"/>
      <c r="TYS314" s="281"/>
      <c r="TYT314" s="282"/>
      <c r="TYU314" s="242"/>
      <c r="TYV314" s="222"/>
      <c r="TYX314" s="118"/>
      <c r="TYY314" s="8"/>
      <c r="TYZ314" s="281"/>
      <c r="TZA314" s="78"/>
      <c r="TZB314" s="151"/>
      <c r="TZC314" s="278"/>
      <c r="TZD314" s="266"/>
      <c r="TZE314" s="279"/>
      <c r="TZF314" s="211"/>
      <c r="TZG314" s="211"/>
      <c r="TZH314" s="286"/>
      <c r="TZI314" s="286"/>
      <c r="TZJ314" s="280"/>
      <c r="TZK314" s="281"/>
      <c r="TZL314" s="282"/>
      <c r="TZM314" s="242"/>
      <c r="TZN314" s="222"/>
      <c r="TZP314" s="118"/>
      <c r="TZQ314" s="8"/>
      <c r="TZR314" s="281"/>
      <c r="TZS314" s="78"/>
      <c r="TZT314" s="151"/>
      <c r="TZU314" s="278"/>
      <c r="TZV314" s="266"/>
      <c r="TZW314" s="279"/>
      <c r="TZX314" s="211"/>
      <c r="TZY314" s="211"/>
      <c r="TZZ314" s="286"/>
      <c r="UAA314" s="286"/>
      <c r="UAB314" s="280"/>
      <c r="UAC314" s="281"/>
      <c r="UAD314" s="282"/>
      <c r="UAE314" s="242"/>
      <c r="UAF314" s="222"/>
      <c r="UAH314" s="118"/>
      <c r="UAI314" s="8"/>
      <c r="UAJ314" s="281"/>
      <c r="UAK314" s="78"/>
      <c r="UAL314" s="151"/>
      <c r="UAM314" s="278"/>
      <c r="UAN314" s="266"/>
      <c r="UAO314" s="279"/>
      <c r="UAP314" s="211"/>
      <c r="UAQ314" s="211"/>
      <c r="UAR314" s="286"/>
      <c r="UAS314" s="286"/>
      <c r="UAT314" s="280"/>
      <c r="UAU314" s="281"/>
      <c r="UAV314" s="282"/>
      <c r="UAW314" s="242"/>
      <c r="UAX314" s="222"/>
      <c r="UAZ314" s="118"/>
      <c r="UBA314" s="8"/>
      <c r="UBB314" s="281"/>
      <c r="UBC314" s="78"/>
      <c r="UBD314" s="151"/>
      <c r="UBE314" s="278"/>
      <c r="UBF314" s="266"/>
      <c r="UBG314" s="279"/>
      <c r="UBH314" s="211"/>
      <c r="UBI314" s="211"/>
      <c r="UBJ314" s="286"/>
      <c r="UBK314" s="286"/>
      <c r="UBL314" s="280"/>
      <c r="UBM314" s="281"/>
      <c r="UBN314" s="282"/>
      <c r="UBO314" s="242"/>
      <c r="UBP314" s="222"/>
      <c r="UBR314" s="118"/>
      <c r="UBS314" s="8"/>
      <c r="UBT314" s="281"/>
      <c r="UBU314" s="78"/>
      <c r="UBV314" s="151"/>
      <c r="UBW314" s="278"/>
      <c r="UBX314" s="266"/>
      <c r="UBY314" s="279"/>
      <c r="UBZ314" s="211"/>
      <c r="UCA314" s="211"/>
      <c r="UCB314" s="286"/>
      <c r="UCC314" s="286"/>
      <c r="UCD314" s="280"/>
      <c r="UCE314" s="281"/>
      <c r="UCF314" s="282"/>
      <c r="UCG314" s="242"/>
      <c r="UCH314" s="222"/>
      <c r="UCJ314" s="118"/>
      <c r="UCK314" s="8"/>
      <c r="UCL314" s="281"/>
      <c r="UCM314" s="78"/>
      <c r="UCN314" s="151"/>
      <c r="UCO314" s="278"/>
      <c r="UCP314" s="266"/>
      <c r="UCQ314" s="279"/>
      <c r="UCR314" s="211"/>
      <c r="UCS314" s="211"/>
      <c r="UCT314" s="286"/>
      <c r="UCU314" s="286"/>
      <c r="UCV314" s="280"/>
      <c r="UCW314" s="281"/>
      <c r="UCX314" s="282"/>
      <c r="UCY314" s="242"/>
      <c r="UCZ314" s="222"/>
      <c r="UDB314" s="118"/>
      <c r="UDC314" s="8"/>
      <c r="UDD314" s="281"/>
      <c r="UDE314" s="78"/>
      <c r="UDF314" s="151"/>
      <c r="UDG314" s="278"/>
      <c r="UDH314" s="266"/>
      <c r="UDI314" s="279"/>
      <c r="UDJ314" s="211"/>
      <c r="UDK314" s="211"/>
      <c r="UDL314" s="286"/>
      <c r="UDM314" s="286"/>
      <c r="UDN314" s="280"/>
      <c r="UDO314" s="281"/>
      <c r="UDP314" s="282"/>
      <c r="UDQ314" s="242"/>
      <c r="UDR314" s="222"/>
      <c r="UDT314" s="118"/>
      <c r="UDU314" s="8"/>
      <c r="UDV314" s="281"/>
      <c r="UDW314" s="78"/>
      <c r="UDX314" s="151"/>
      <c r="UDY314" s="278"/>
      <c r="UDZ314" s="266"/>
      <c r="UEA314" s="279"/>
      <c r="UEB314" s="211"/>
      <c r="UEC314" s="211"/>
      <c r="UED314" s="286"/>
      <c r="UEE314" s="286"/>
      <c r="UEF314" s="280"/>
      <c r="UEG314" s="281"/>
      <c r="UEH314" s="282"/>
      <c r="UEI314" s="242"/>
      <c r="UEJ314" s="222"/>
      <c r="UEL314" s="118"/>
      <c r="UEM314" s="8"/>
      <c r="UEN314" s="281"/>
      <c r="UEO314" s="78"/>
      <c r="UEP314" s="151"/>
      <c r="UEQ314" s="278"/>
      <c r="UER314" s="266"/>
      <c r="UES314" s="279"/>
      <c r="UET314" s="211"/>
      <c r="UEU314" s="211"/>
      <c r="UEV314" s="286"/>
      <c r="UEW314" s="286"/>
      <c r="UEX314" s="280"/>
      <c r="UEY314" s="281"/>
      <c r="UEZ314" s="282"/>
      <c r="UFA314" s="242"/>
      <c r="UFB314" s="222"/>
      <c r="UFD314" s="118"/>
      <c r="UFE314" s="8"/>
      <c r="UFF314" s="281"/>
      <c r="UFG314" s="78"/>
      <c r="UFH314" s="151"/>
      <c r="UFI314" s="278"/>
      <c r="UFJ314" s="266"/>
      <c r="UFK314" s="279"/>
      <c r="UFL314" s="211"/>
      <c r="UFM314" s="211"/>
      <c r="UFN314" s="286"/>
      <c r="UFO314" s="286"/>
      <c r="UFP314" s="280"/>
      <c r="UFQ314" s="281"/>
      <c r="UFR314" s="282"/>
      <c r="UFS314" s="242"/>
      <c r="UFT314" s="222"/>
      <c r="UFV314" s="118"/>
      <c r="UFW314" s="8"/>
      <c r="UFX314" s="281"/>
      <c r="UFY314" s="78"/>
      <c r="UFZ314" s="151"/>
      <c r="UGA314" s="278"/>
      <c r="UGB314" s="266"/>
      <c r="UGC314" s="279"/>
      <c r="UGD314" s="211"/>
      <c r="UGE314" s="211"/>
      <c r="UGF314" s="286"/>
      <c r="UGG314" s="286"/>
      <c r="UGH314" s="280"/>
      <c r="UGI314" s="281"/>
      <c r="UGJ314" s="282"/>
      <c r="UGK314" s="242"/>
      <c r="UGL314" s="222"/>
      <c r="UGN314" s="118"/>
      <c r="UGO314" s="8"/>
      <c r="UGP314" s="281"/>
      <c r="UGQ314" s="78"/>
      <c r="UGR314" s="151"/>
      <c r="UGS314" s="278"/>
      <c r="UGT314" s="266"/>
      <c r="UGU314" s="279"/>
      <c r="UGV314" s="211"/>
      <c r="UGW314" s="211"/>
      <c r="UGX314" s="286"/>
      <c r="UGY314" s="286"/>
      <c r="UGZ314" s="280"/>
      <c r="UHA314" s="281"/>
      <c r="UHB314" s="282"/>
      <c r="UHC314" s="242"/>
      <c r="UHD314" s="222"/>
      <c r="UHF314" s="118"/>
      <c r="UHG314" s="8"/>
      <c r="UHH314" s="281"/>
      <c r="UHI314" s="78"/>
      <c r="UHJ314" s="151"/>
      <c r="UHK314" s="278"/>
      <c r="UHL314" s="266"/>
      <c r="UHM314" s="279"/>
      <c r="UHN314" s="211"/>
      <c r="UHO314" s="211"/>
      <c r="UHP314" s="286"/>
      <c r="UHQ314" s="286"/>
      <c r="UHR314" s="280"/>
      <c r="UHS314" s="281"/>
      <c r="UHT314" s="282"/>
      <c r="UHU314" s="242"/>
      <c r="UHV314" s="222"/>
      <c r="UHX314" s="118"/>
      <c r="UHY314" s="8"/>
      <c r="UHZ314" s="281"/>
      <c r="UIA314" s="78"/>
      <c r="UIB314" s="151"/>
      <c r="UIC314" s="278"/>
      <c r="UID314" s="266"/>
      <c r="UIE314" s="279"/>
      <c r="UIF314" s="211"/>
      <c r="UIG314" s="211"/>
      <c r="UIH314" s="286"/>
      <c r="UII314" s="286"/>
      <c r="UIJ314" s="280"/>
      <c r="UIK314" s="281"/>
      <c r="UIL314" s="282"/>
      <c r="UIM314" s="242"/>
      <c r="UIN314" s="222"/>
      <c r="UIP314" s="118"/>
      <c r="UIQ314" s="8"/>
      <c r="UIR314" s="281"/>
      <c r="UIS314" s="78"/>
      <c r="UIT314" s="151"/>
      <c r="UIU314" s="278"/>
      <c r="UIV314" s="266"/>
      <c r="UIW314" s="279"/>
      <c r="UIX314" s="211"/>
      <c r="UIY314" s="211"/>
      <c r="UIZ314" s="286"/>
      <c r="UJA314" s="286"/>
      <c r="UJB314" s="280"/>
      <c r="UJC314" s="281"/>
      <c r="UJD314" s="282"/>
      <c r="UJE314" s="242"/>
      <c r="UJF314" s="222"/>
      <c r="UJH314" s="118"/>
      <c r="UJI314" s="8"/>
      <c r="UJJ314" s="281"/>
      <c r="UJK314" s="78"/>
      <c r="UJL314" s="151"/>
      <c r="UJM314" s="278"/>
      <c r="UJN314" s="266"/>
      <c r="UJO314" s="279"/>
      <c r="UJP314" s="211"/>
      <c r="UJQ314" s="211"/>
      <c r="UJR314" s="286"/>
      <c r="UJS314" s="286"/>
      <c r="UJT314" s="280"/>
      <c r="UJU314" s="281"/>
      <c r="UJV314" s="282"/>
      <c r="UJW314" s="242"/>
      <c r="UJX314" s="222"/>
      <c r="UJZ314" s="118"/>
      <c r="UKA314" s="8"/>
      <c r="UKB314" s="281"/>
      <c r="UKC314" s="78"/>
      <c r="UKD314" s="151"/>
      <c r="UKE314" s="278"/>
      <c r="UKF314" s="266"/>
      <c r="UKG314" s="279"/>
      <c r="UKH314" s="211"/>
      <c r="UKI314" s="211"/>
      <c r="UKJ314" s="286"/>
      <c r="UKK314" s="286"/>
      <c r="UKL314" s="280"/>
      <c r="UKM314" s="281"/>
      <c r="UKN314" s="282"/>
      <c r="UKO314" s="242"/>
      <c r="UKP314" s="222"/>
      <c r="UKR314" s="118"/>
      <c r="UKS314" s="8"/>
      <c r="UKT314" s="281"/>
      <c r="UKU314" s="78"/>
      <c r="UKV314" s="151"/>
      <c r="UKW314" s="278"/>
      <c r="UKX314" s="266"/>
      <c r="UKY314" s="279"/>
      <c r="UKZ314" s="211"/>
      <c r="ULA314" s="211"/>
      <c r="ULB314" s="286"/>
      <c r="ULC314" s="286"/>
      <c r="ULD314" s="280"/>
      <c r="ULE314" s="281"/>
      <c r="ULF314" s="282"/>
      <c r="ULG314" s="242"/>
      <c r="ULH314" s="222"/>
      <c r="ULJ314" s="118"/>
      <c r="ULK314" s="8"/>
      <c r="ULL314" s="281"/>
      <c r="ULM314" s="78"/>
      <c r="ULN314" s="151"/>
      <c r="ULO314" s="278"/>
      <c r="ULP314" s="266"/>
      <c r="ULQ314" s="279"/>
      <c r="ULR314" s="211"/>
      <c r="ULS314" s="211"/>
      <c r="ULT314" s="286"/>
      <c r="ULU314" s="286"/>
      <c r="ULV314" s="280"/>
      <c r="ULW314" s="281"/>
      <c r="ULX314" s="282"/>
      <c r="ULY314" s="242"/>
      <c r="ULZ314" s="222"/>
      <c r="UMB314" s="118"/>
      <c r="UMC314" s="8"/>
      <c r="UMD314" s="281"/>
      <c r="UME314" s="78"/>
      <c r="UMF314" s="151"/>
      <c r="UMG314" s="278"/>
      <c r="UMH314" s="266"/>
      <c r="UMI314" s="279"/>
      <c r="UMJ314" s="211"/>
      <c r="UMK314" s="211"/>
      <c r="UML314" s="286"/>
      <c r="UMM314" s="286"/>
      <c r="UMN314" s="280"/>
      <c r="UMO314" s="281"/>
      <c r="UMP314" s="282"/>
      <c r="UMQ314" s="242"/>
      <c r="UMR314" s="222"/>
      <c r="UMT314" s="118"/>
      <c r="UMU314" s="8"/>
      <c r="UMV314" s="281"/>
      <c r="UMW314" s="78"/>
      <c r="UMX314" s="151"/>
      <c r="UMY314" s="278"/>
      <c r="UMZ314" s="266"/>
      <c r="UNA314" s="279"/>
      <c r="UNB314" s="211"/>
      <c r="UNC314" s="211"/>
      <c r="UND314" s="286"/>
      <c r="UNE314" s="286"/>
      <c r="UNF314" s="280"/>
      <c r="UNG314" s="281"/>
      <c r="UNH314" s="282"/>
      <c r="UNI314" s="242"/>
      <c r="UNJ314" s="222"/>
      <c r="UNL314" s="118"/>
      <c r="UNM314" s="8"/>
      <c r="UNN314" s="281"/>
      <c r="UNO314" s="78"/>
      <c r="UNP314" s="151"/>
      <c r="UNQ314" s="278"/>
      <c r="UNR314" s="266"/>
      <c r="UNS314" s="279"/>
      <c r="UNT314" s="211"/>
      <c r="UNU314" s="211"/>
      <c r="UNV314" s="286"/>
      <c r="UNW314" s="286"/>
      <c r="UNX314" s="280"/>
      <c r="UNY314" s="281"/>
      <c r="UNZ314" s="282"/>
      <c r="UOA314" s="242"/>
      <c r="UOB314" s="222"/>
      <c r="UOD314" s="118"/>
      <c r="UOE314" s="8"/>
      <c r="UOF314" s="281"/>
      <c r="UOG314" s="78"/>
      <c r="UOH314" s="151"/>
      <c r="UOI314" s="278"/>
      <c r="UOJ314" s="266"/>
      <c r="UOK314" s="279"/>
      <c r="UOL314" s="211"/>
      <c r="UOM314" s="211"/>
      <c r="UON314" s="286"/>
      <c r="UOO314" s="286"/>
      <c r="UOP314" s="280"/>
      <c r="UOQ314" s="281"/>
      <c r="UOR314" s="282"/>
      <c r="UOS314" s="242"/>
      <c r="UOT314" s="222"/>
      <c r="UOV314" s="118"/>
      <c r="UOW314" s="8"/>
      <c r="UOX314" s="281"/>
      <c r="UOY314" s="78"/>
      <c r="UOZ314" s="151"/>
      <c r="UPA314" s="278"/>
      <c r="UPB314" s="266"/>
      <c r="UPC314" s="279"/>
      <c r="UPD314" s="211"/>
      <c r="UPE314" s="211"/>
      <c r="UPF314" s="286"/>
      <c r="UPG314" s="286"/>
      <c r="UPH314" s="280"/>
      <c r="UPI314" s="281"/>
      <c r="UPJ314" s="282"/>
      <c r="UPK314" s="242"/>
      <c r="UPL314" s="222"/>
      <c r="UPN314" s="118"/>
      <c r="UPO314" s="8"/>
      <c r="UPP314" s="281"/>
      <c r="UPQ314" s="78"/>
      <c r="UPR314" s="151"/>
      <c r="UPS314" s="278"/>
      <c r="UPT314" s="266"/>
      <c r="UPU314" s="279"/>
      <c r="UPV314" s="211"/>
      <c r="UPW314" s="211"/>
      <c r="UPX314" s="286"/>
      <c r="UPY314" s="286"/>
      <c r="UPZ314" s="280"/>
      <c r="UQA314" s="281"/>
      <c r="UQB314" s="282"/>
      <c r="UQC314" s="242"/>
      <c r="UQD314" s="222"/>
      <c r="UQF314" s="118"/>
      <c r="UQG314" s="8"/>
      <c r="UQH314" s="281"/>
      <c r="UQI314" s="78"/>
      <c r="UQJ314" s="151"/>
      <c r="UQK314" s="278"/>
      <c r="UQL314" s="266"/>
      <c r="UQM314" s="279"/>
      <c r="UQN314" s="211"/>
      <c r="UQO314" s="211"/>
      <c r="UQP314" s="286"/>
      <c r="UQQ314" s="286"/>
      <c r="UQR314" s="280"/>
      <c r="UQS314" s="281"/>
      <c r="UQT314" s="282"/>
      <c r="UQU314" s="242"/>
      <c r="UQV314" s="222"/>
      <c r="UQX314" s="118"/>
      <c r="UQY314" s="8"/>
      <c r="UQZ314" s="281"/>
      <c r="URA314" s="78"/>
      <c r="URB314" s="151"/>
      <c r="URC314" s="278"/>
      <c r="URD314" s="266"/>
      <c r="URE314" s="279"/>
      <c r="URF314" s="211"/>
      <c r="URG314" s="211"/>
      <c r="URH314" s="286"/>
      <c r="URI314" s="286"/>
      <c r="URJ314" s="280"/>
      <c r="URK314" s="281"/>
      <c r="URL314" s="282"/>
      <c r="URM314" s="242"/>
      <c r="URN314" s="222"/>
      <c r="URP314" s="118"/>
      <c r="URQ314" s="8"/>
      <c r="URR314" s="281"/>
      <c r="URS314" s="78"/>
      <c r="URT314" s="151"/>
      <c r="URU314" s="278"/>
      <c r="URV314" s="266"/>
      <c r="URW314" s="279"/>
      <c r="URX314" s="211"/>
      <c r="URY314" s="211"/>
      <c r="URZ314" s="286"/>
      <c r="USA314" s="286"/>
      <c r="USB314" s="280"/>
      <c r="USC314" s="281"/>
      <c r="USD314" s="282"/>
      <c r="USE314" s="242"/>
      <c r="USF314" s="222"/>
      <c r="USH314" s="118"/>
      <c r="USI314" s="8"/>
      <c r="USJ314" s="281"/>
      <c r="USK314" s="78"/>
      <c r="USL314" s="151"/>
      <c r="USM314" s="278"/>
      <c r="USN314" s="266"/>
      <c r="USO314" s="279"/>
      <c r="USP314" s="211"/>
      <c r="USQ314" s="211"/>
      <c r="USR314" s="286"/>
      <c r="USS314" s="286"/>
      <c r="UST314" s="280"/>
      <c r="USU314" s="281"/>
      <c r="USV314" s="282"/>
      <c r="USW314" s="242"/>
      <c r="USX314" s="222"/>
      <c r="USZ314" s="118"/>
      <c r="UTA314" s="8"/>
      <c r="UTB314" s="281"/>
      <c r="UTC314" s="78"/>
      <c r="UTD314" s="151"/>
      <c r="UTE314" s="278"/>
      <c r="UTF314" s="266"/>
      <c r="UTG314" s="279"/>
      <c r="UTH314" s="211"/>
      <c r="UTI314" s="211"/>
      <c r="UTJ314" s="286"/>
      <c r="UTK314" s="286"/>
      <c r="UTL314" s="280"/>
      <c r="UTM314" s="281"/>
      <c r="UTN314" s="282"/>
      <c r="UTO314" s="242"/>
      <c r="UTP314" s="222"/>
      <c r="UTR314" s="118"/>
      <c r="UTS314" s="8"/>
      <c r="UTT314" s="281"/>
      <c r="UTU314" s="78"/>
      <c r="UTV314" s="151"/>
      <c r="UTW314" s="278"/>
      <c r="UTX314" s="266"/>
      <c r="UTY314" s="279"/>
      <c r="UTZ314" s="211"/>
      <c r="UUA314" s="211"/>
      <c r="UUB314" s="286"/>
      <c r="UUC314" s="286"/>
      <c r="UUD314" s="280"/>
      <c r="UUE314" s="281"/>
      <c r="UUF314" s="282"/>
      <c r="UUG314" s="242"/>
      <c r="UUH314" s="222"/>
      <c r="UUJ314" s="118"/>
      <c r="UUK314" s="8"/>
      <c r="UUL314" s="281"/>
      <c r="UUM314" s="78"/>
      <c r="UUN314" s="151"/>
      <c r="UUO314" s="278"/>
      <c r="UUP314" s="266"/>
      <c r="UUQ314" s="279"/>
      <c r="UUR314" s="211"/>
      <c r="UUS314" s="211"/>
      <c r="UUT314" s="286"/>
      <c r="UUU314" s="286"/>
      <c r="UUV314" s="280"/>
      <c r="UUW314" s="281"/>
      <c r="UUX314" s="282"/>
      <c r="UUY314" s="242"/>
      <c r="UUZ314" s="222"/>
      <c r="UVB314" s="118"/>
      <c r="UVC314" s="8"/>
      <c r="UVD314" s="281"/>
      <c r="UVE314" s="78"/>
      <c r="UVF314" s="151"/>
      <c r="UVG314" s="278"/>
      <c r="UVH314" s="266"/>
      <c r="UVI314" s="279"/>
      <c r="UVJ314" s="211"/>
      <c r="UVK314" s="211"/>
      <c r="UVL314" s="286"/>
      <c r="UVM314" s="286"/>
      <c r="UVN314" s="280"/>
      <c r="UVO314" s="281"/>
      <c r="UVP314" s="282"/>
      <c r="UVQ314" s="242"/>
      <c r="UVR314" s="222"/>
      <c r="UVT314" s="118"/>
      <c r="UVU314" s="8"/>
      <c r="UVV314" s="281"/>
      <c r="UVW314" s="78"/>
      <c r="UVX314" s="151"/>
      <c r="UVY314" s="278"/>
      <c r="UVZ314" s="266"/>
      <c r="UWA314" s="279"/>
      <c r="UWB314" s="211"/>
      <c r="UWC314" s="211"/>
      <c r="UWD314" s="286"/>
      <c r="UWE314" s="286"/>
      <c r="UWF314" s="280"/>
      <c r="UWG314" s="281"/>
      <c r="UWH314" s="282"/>
      <c r="UWI314" s="242"/>
      <c r="UWJ314" s="222"/>
      <c r="UWL314" s="118"/>
      <c r="UWM314" s="8"/>
      <c r="UWN314" s="281"/>
      <c r="UWO314" s="78"/>
      <c r="UWP314" s="151"/>
      <c r="UWQ314" s="278"/>
      <c r="UWR314" s="266"/>
      <c r="UWS314" s="279"/>
      <c r="UWT314" s="211"/>
      <c r="UWU314" s="211"/>
      <c r="UWV314" s="286"/>
      <c r="UWW314" s="286"/>
      <c r="UWX314" s="280"/>
      <c r="UWY314" s="281"/>
      <c r="UWZ314" s="282"/>
      <c r="UXA314" s="242"/>
      <c r="UXB314" s="222"/>
      <c r="UXD314" s="118"/>
      <c r="UXE314" s="8"/>
      <c r="UXF314" s="281"/>
      <c r="UXG314" s="78"/>
      <c r="UXH314" s="151"/>
      <c r="UXI314" s="278"/>
      <c r="UXJ314" s="266"/>
      <c r="UXK314" s="279"/>
      <c r="UXL314" s="211"/>
      <c r="UXM314" s="211"/>
      <c r="UXN314" s="286"/>
      <c r="UXO314" s="286"/>
      <c r="UXP314" s="280"/>
      <c r="UXQ314" s="281"/>
      <c r="UXR314" s="282"/>
      <c r="UXS314" s="242"/>
      <c r="UXT314" s="222"/>
      <c r="UXV314" s="118"/>
      <c r="UXW314" s="8"/>
      <c r="UXX314" s="281"/>
      <c r="UXY314" s="78"/>
      <c r="UXZ314" s="151"/>
      <c r="UYA314" s="278"/>
      <c r="UYB314" s="266"/>
      <c r="UYC314" s="279"/>
      <c r="UYD314" s="211"/>
      <c r="UYE314" s="211"/>
      <c r="UYF314" s="286"/>
      <c r="UYG314" s="286"/>
      <c r="UYH314" s="280"/>
      <c r="UYI314" s="281"/>
      <c r="UYJ314" s="282"/>
      <c r="UYK314" s="242"/>
      <c r="UYL314" s="222"/>
      <c r="UYN314" s="118"/>
      <c r="UYO314" s="8"/>
      <c r="UYP314" s="281"/>
      <c r="UYQ314" s="78"/>
      <c r="UYR314" s="151"/>
      <c r="UYS314" s="278"/>
      <c r="UYT314" s="266"/>
      <c r="UYU314" s="279"/>
      <c r="UYV314" s="211"/>
      <c r="UYW314" s="211"/>
      <c r="UYX314" s="286"/>
      <c r="UYY314" s="286"/>
      <c r="UYZ314" s="280"/>
      <c r="UZA314" s="281"/>
      <c r="UZB314" s="282"/>
      <c r="UZC314" s="242"/>
      <c r="UZD314" s="222"/>
      <c r="UZF314" s="118"/>
      <c r="UZG314" s="8"/>
      <c r="UZH314" s="281"/>
      <c r="UZI314" s="78"/>
      <c r="UZJ314" s="151"/>
      <c r="UZK314" s="278"/>
      <c r="UZL314" s="266"/>
      <c r="UZM314" s="279"/>
      <c r="UZN314" s="211"/>
      <c r="UZO314" s="211"/>
      <c r="UZP314" s="286"/>
      <c r="UZQ314" s="286"/>
      <c r="UZR314" s="280"/>
      <c r="UZS314" s="281"/>
      <c r="UZT314" s="282"/>
      <c r="UZU314" s="242"/>
      <c r="UZV314" s="222"/>
      <c r="UZX314" s="118"/>
      <c r="UZY314" s="8"/>
      <c r="UZZ314" s="281"/>
      <c r="VAA314" s="78"/>
      <c r="VAB314" s="151"/>
      <c r="VAC314" s="278"/>
      <c r="VAD314" s="266"/>
      <c r="VAE314" s="279"/>
      <c r="VAF314" s="211"/>
      <c r="VAG314" s="211"/>
      <c r="VAH314" s="286"/>
      <c r="VAI314" s="286"/>
      <c r="VAJ314" s="280"/>
      <c r="VAK314" s="281"/>
      <c r="VAL314" s="282"/>
      <c r="VAM314" s="242"/>
      <c r="VAN314" s="222"/>
      <c r="VAP314" s="118"/>
      <c r="VAQ314" s="8"/>
      <c r="VAR314" s="281"/>
      <c r="VAS314" s="78"/>
      <c r="VAT314" s="151"/>
      <c r="VAU314" s="278"/>
      <c r="VAV314" s="266"/>
      <c r="VAW314" s="279"/>
      <c r="VAX314" s="211"/>
      <c r="VAY314" s="211"/>
      <c r="VAZ314" s="286"/>
      <c r="VBA314" s="286"/>
      <c r="VBB314" s="280"/>
      <c r="VBC314" s="281"/>
      <c r="VBD314" s="282"/>
      <c r="VBE314" s="242"/>
      <c r="VBF314" s="222"/>
      <c r="VBH314" s="118"/>
      <c r="VBI314" s="8"/>
      <c r="VBJ314" s="281"/>
      <c r="VBK314" s="78"/>
      <c r="VBL314" s="151"/>
      <c r="VBM314" s="278"/>
      <c r="VBN314" s="266"/>
      <c r="VBO314" s="279"/>
      <c r="VBP314" s="211"/>
      <c r="VBQ314" s="211"/>
      <c r="VBR314" s="286"/>
      <c r="VBS314" s="286"/>
      <c r="VBT314" s="280"/>
      <c r="VBU314" s="281"/>
      <c r="VBV314" s="282"/>
      <c r="VBW314" s="242"/>
      <c r="VBX314" s="222"/>
      <c r="VBZ314" s="118"/>
      <c r="VCA314" s="8"/>
      <c r="VCB314" s="281"/>
      <c r="VCC314" s="78"/>
      <c r="VCD314" s="151"/>
      <c r="VCE314" s="278"/>
      <c r="VCF314" s="266"/>
      <c r="VCG314" s="279"/>
      <c r="VCH314" s="211"/>
      <c r="VCI314" s="211"/>
      <c r="VCJ314" s="286"/>
      <c r="VCK314" s="286"/>
      <c r="VCL314" s="280"/>
      <c r="VCM314" s="281"/>
      <c r="VCN314" s="282"/>
      <c r="VCO314" s="242"/>
      <c r="VCP314" s="222"/>
      <c r="VCR314" s="118"/>
      <c r="VCS314" s="8"/>
      <c r="VCT314" s="281"/>
      <c r="VCU314" s="78"/>
      <c r="VCV314" s="151"/>
      <c r="VCW314" s="278"/>
      <c r="VCX314" s="266"/>
      <c r="VCY314" s="279"/>
      <c r="VCZ314" s="211"/>
      <c r="VDA314" s="211"/>
      <c r="VDB314" s="286"/>
      <c r="VDC314" s="286"/>
      <c r="VDD314" s="280"/>
      <c r="VDE314" s="281"/>
      <c r="VDF314" s="282"/>
      <c r="VDG314" s="242"/>
      <c r="VDH314" s="222"/>
      <c r="VDJ314" s="118"/>
      <c r="VDK314" s="8"/>
      <c r="VDL314" s="281"/>
      <c r="VDM314" s="78"/>
      <c r="VDN314" s="151"/>
      <c r="VDO314" s="278"/>
      <c r="VDP314" s="266"/>
      <c r="VDQ314" s="279"/>
      <c r="VDR314" s="211"/>
      <c r="VDS314" s="211"/>
      <c r="VDT314" s="286"/>
      <c r="VDU314" s="286"/>
      <c r="VDV314" s="280"/>
      <c r="VDW314" s="281"/>
      <c r="VDX314" s="282"/>
      <c r="VDY314" s="242"/>
      <c r="VDZ314" s="222"/>
      <c r="VEB314" s="118"/>
      <c r="VEC314" s="8"/>
      <c r="VED314" s="281"/>
      <c r="VEE314" s="78"/>
      <c r="VEF314" s="151"/>
      <c r="VEG314" s="278"/>
      <c r="VEH314" s="266"/>
      <c r="VEI314" s="279"/>
      <c r="VEJ314" s="211"/>
      <c r="VEK314" s="211"/>
      <c r="VEL314" s="286"/>
      <c r="VEM314" s="286"/>
      <c r="VEN314" s="280"/>
      <c r="VEO314" s="281"/>
      <c r="VEP314" s="282"/>
      <c r="VEQ314" s="242"/>
      <c r="VER314" s="222"/>
      <c r="VET314" s="118"/>
      <c r="VEU314" s="8"/>
      <c r="VEV314" s="281"/>
      <c r="VEW314" s="78"/>
      <c r="VEX314" s="151"/>
      <c r="VEY314" s="278"/>
      <c r="VEZ314" s="266"/>
      <c r="VFA314" s="279"/>
      <c r="VFB314" s="211"/>
      <c r="VFC314" s="211"/>
      <c r="VFD314" s="286"/>
      <c r="VFE314" s="286"/>
      <c r="VFF314" s="280"/>
      <c r="VFG314" s="281"/>
      <c r="VFH314" s="282"/>
      <c r="VFI314" s="242"/>
      <c r="VFJ314" s="222"/>
      <c r="VFL314" s="118"/>
      <c r="VFM314" s="8"/>
      <c r="VFN314" s="281"/>
      <c r="VFO314" s="78"/>
      <c r="VFP314" s="151"/>
      <c r="VFQ314" s="278"/>
      <c r="VFR314" s="266"/>
      <c r="VFS314" s="279"/>
      <c r="VFT314" s="211"/>
      <c r="VFU314" s="211"/>
      <c r="VFV314" s="286"/>
      <c r="VFW314" s="286"/>
      <c r="VFX314" s="280"/>
      <c r="VFY314" s="281"/>
      <c r="VFZ314" s="282"/>
      <c r="VGA314" s="242"/>
      <c r="VGB314" s="222"/>
      <c r="VGD314" s="118"/>
      <c r="VGE314" s="8"/>
      <c r="VGF314" s="281"/>
      <c r="VGG314" s="78"/>
      <c r="VGH314" s="151"/>
      <c r="VGI314" s="278"/>
      <c r="VGJ314" s="266"/>
      <c r="VGK314" s="279"/>
      <c r="VGL314" s="211"/>
      <c r="VGM314" s="211"/>
      <c r="VGN314" s="286"/>
      <c r="VGO314" s="286"/>
      <c r="VGP314" s="280"/>
      <c r="VGQ314" s="281"/>
      <c r="VGR314" s="282"/>
      <c r="VGS314" s="242"/>
      <c r="VGT314" s="222"/>
      <c r="VGV314" s="118"/>
      <c r="VGW314" s="8"/>
      <c r="VGX314" s="281"/>
      <c r="VGY314" s="78"/>
      <c r="VGZ314" s="151"/>
      <c r="VHA314" s="278"/>
      <c r="VHB314" s="266"/>
      <c r="VHC314" s="279"/>
      <c r="VHD314" s="211"/>
      <c r="VHE314" s="211"/>
      <c r="VHF314" s="286"/>
      <c r="VHG314" s="286"/>
      <c r="VHH314" s="280"/>
      <c r="VHI314" s="281"/>
      <c r="VHJ314" s="282"/>
      <c r="VHK314" s="242"/>
      <c r="VHL314" s="222"/>
      <c r="VHN314" s="118"/>
      <c r="VHO314" s="8"/>
      <c r="VHP314" s="281"/>
      <c r="VHQ314" s="78"/>
      <c r="VHR314" s="151"/>
      <c r="VHS314" s="278"/>
      <c r="VHT314" s="266"/>
      <c r="VHU314" s="279"/>
      <c r="VHV314" s="211"/>
      <c r="VHW314" s="211"/>
      <c r="VHX314" s="286"/>
      <c r="VHY314" s="286"/>
      <c r="VHZ314" s="280"/>
      <c r="VIA314" s="281"/>
      <c r="VIB314" s="282"/>
      <c r="VIC314" s="242"/>
      <c r="VID314" s="222"/>
      <c r="VIF314" s="118"/>
      <c r="VIG314" s="8"/>
      <c r="VIH314" s="281"/>
      <c r="VII314" s="78"/>
      <c r="VIJ314" s="151"/>
      <c r="VIK314" s="278"/>
      <c r="VIL314" s="266"/>
      <c r="VIM314" s="279"/>
      <c r="VIN314" s="211"/>
      <c r="VIO314" s="211"/>
      <c r="VIP314" s="286"/>
      <c r="VIQ314" s="286"/>
      <c r="VIR314" s="280"/>
      <c r="VIS314" s="281"/>
      <c r="VIT314" s="282"/>
      <c r="VIU314" s="242"/>
      <c r="VIV314" s="222"/>
      <c r="VIX314" s="118"/>
      <c r="VIY314" s="8"/>
      <c r="VIZ314" s="281"/>
      <c r="VJA314" s="78"/>
      <c r="VJB314" s="151"/>
      <c r="VJC314" s="278"/>
      <c r="VJD314" s="266"/>
      <c r="VJE314" s="279"/>
      <c r="VJF314" s="211"/>
      <c r="VJG314" s="211"/>
      <c r="VJH314" s="286"/>
      <c r="VJI314" s="286"/>
      <c r="VJJ314" s="280"/>
      <c r="VJK314" s="281"/>
      <c r="VJL314" s="282"/>
      <c r="VJM314" s="242"/>
      <c r="VJN314" s="222"/>
      <c r="VJP314" s="118"/>
      <c r="VJQ314" s="8"/>
      <c r="VJR314" s="281"/>
      <c r="VJS314" s="78"/>
      <c r="VJT314" s="151"/>
      <c r="VJU314" s="278"/>
      <c r="VJV314" s="266"/>
      <c r="VJW314" s="279"/>
      <c r="VJX314" s="211"/>
      <c r="VJY314" s="211"/>
      <c r="VJZ314" s="286"/>
      <c r="VKA314" s="286"/>
      <c r="VKB314" s="280"/>
      <c r="VKC314" s="281"/>
      <c r="VKD314" s="282"/>
      <c r="VKE314" s="242"/>
      <c r="VKF314" s="222"/>
      <c r="VKH314" s="118"/>
      <c r="VKI314" s="8"/>
      <c r="VKJ314" s="281"/>
      <c r="VKK314" s="78"/>
      <c r="VKL314" s="151"/>
      <c r="VKM314" s="278"/>
      <c r="VKN314" s="266"/>
      <c r="VKO314" s="279"/>
      <c r="VKP314" s="211"/>
      <c r="VKQ314" s="211"/>
      <c r="VKR314" s="286"/>
      <c r="VKS314" s="286"/>
      <c r="VKT314" s="280"/>
      <c r="VKU314" s="281"/>
      <c r="VKV314" s="282"/>
      <c r="VKW314" s="242"/>
      <c r="VKX314" s="222"/>
      <c r="VKZ314" s="118"/>
      <c r="VLA314" s="8"/>
      <c r="VLB314" s="281"/>
      <c r="VLC314" s="78"/>
      <c r="VLD314" s="151"/>
      <c r="VLE314" s="278"/>
      <c r="VLF314" s="266"/>
      <c r="VLG314" s="279"/>
      <c r="VLH314" s="211"/>
      <c r="VLI314" s="211"/>
      <c r="VLJ314" s="286"/>
      <c r="VLK314" s="286"/>
      <c r="VLL314" s="280"/>
      <c r="VLM314" s="281"/>
      <c r="VLN314" s="282"/>
      <c r="VLO314" s="242"/>
      <c r="VLP314" s="222"/>
      <c r="VLR314" s="118"/>
      <c r="VLS314" s="8"/>
      <c r="VLT314" s="281"/>
      <c r="VLU314" s="78"/>
      <c r="VLV314" s="151"/>
      <c r="VLW314" s="278"/>
      <c r="VLX314" s="266"/>
      <c r="VLY314" s="279"/>
      <c r="VLZ314" s="211"/>
      <c r="VMA314" s="211"/>
      <c r="VMB314" s="286"/>
      <c r="VMC314" s="286"/>
      <c r="VMD314" s="280"/>
      <c r="VME314" s="281"/>
      <c r="VMF314" s="282"/>
      <c r="VMG314" s="242"/>
      <c r="VMH314" s="222"/>
      <c r="VMJ314" s="118"/>
      <c r="VMK314" s="8"/>
      <c r="VML314" s="281"/>
      <c r="VMM314" s="78"/>
      <c r="VMN314" s="151"/>
      <c r="VMO314" s="278"/>
      <c r="VMP314" s="266"/>
      <c r="VMQ314" s="279"/>
      <c r="VMR314" s="211"/>
      <c r="VMS314" s="211"/>
      <c r="VMT314" s="286"/>
      <c r="VMU314" s="286"/>
      <c r="VMV314" s="280"/>
      <c r="VMW314" s="281"/>
      <c r="VMX314" s="282"/>
      <c r="VMY314" s="242"/>
      <c r="VMZ314" s="222"/>
      <c r="VNB314" s="118"/>
      <c r="VNC314" s="8"/>
      <c r="VND314" s="281"/>
      <c r="VNE314" s="78"/>
      <c r="VNF314" s="151"/>
      <c r="VNG314" s="278"/>
      <c r="VNH314" s="266"/>
      <c r="VNI314" s="279"/>
      <c r="VNJ314" s="211"/>
      <c r="VNK314" s="211"/>
      <c r="VNL314" s="286"/>
      <c r="VNM314" s="286"/>
      <c r="VNN314" s="280"/>
      <c r="VNO314" s="281"/>
      <c r="VNP314" s="282"/>
      <c r="VNQ314" s="242"/>
      <c r="VNR314" s="222"/>
      <c r="VNT314" s="118"/>
      <c r="VNU314" s="8"/>
      <c r="VNV314" s="281"/>
      <c r="VNW314" s="78"/>
      <c r="VNX314" s="151"/>
      <c r="VNY314" s="278"/>
      <c r="VNZ314" s="266"/>
      <c r="VOA314" s="279"/>
      <c r="VOB314" s="211"/>
      <c r="VOC314" s="211"/>
      <c r="VOD314" s="286"/>
      <c r="VOE314" s="286"/>
      <c r="VOF314" s="280"/>
      <c r="VOG314" s="281"/>
      <c r="VOH314" s="282"/>
      <c r="VOI314" s="242"/>
      <c r="VOJ314" s="222"/>
      <c r="VOL314" s="118"/>
      <c r="VOM314" s="8"/>
      <c r="VON314" s="281"/>
      <c r="VOO314" s="78"/>
      <c r="VOP314" s="151"/>
      <c r="VOQ314" s="278"/>
      <c r="VOR314" s="266"/>
      <c r="VOS314" s="279"/>
      <c r="VOT314" s="211"/>
      <c r="VOU314" s="211"/>
      <c r="VOV314" s="286"/>
      <c r="VOW314" s="286"/>
      <c r="VOX314" s="280"/>
      <c r="VOY314" s="281"/>
      <c r="VOZ314" s="282"/>
      <c r="VPA314" s="242"/>
      <c r="VPB314" s="222"/>
      <c r="VPD314" s="118"/>
      <c r="VPE314" s="8"/>
      <c r="VPF314" s="281"/>
      <c r="VPG314" s="78"/>
      <c r="VPH314" s="151"/>
      <c r="VPI314" s="278"/>
      <c r="VPJ314" s="266"/>
      <c r="VPK314" s="279"/>
      <c r="VPL314" s="211"/>
      <c r="VPM314" s="211"/>
      <c r="VPN314" s="286"/>
      <c r="VPO314" s="286"/>
      <c r="VPP314" s="280"/>
      <c r="VPQ314" s="281"/>
      <c r="VPR314" s="282"/>
      <c r="VPS314" s="242"/>
      <c r="VPT314" s="222"/>
      <c r="VPV314" s="118"/>
      <c r="VPW314" s="8"/>
      <c r="VPX314" s="281"/>
      <c r="VPY314" s="78"/>
      <c r="VPZ314" s="151"/>
      <c r="VQA314" s="278"/>
      <c r="VQB314" s="266"/>
      <c r="VQC314" s="279"/>
      <c r="VQD314" s="211"/>
      <c r="VQE314" s="211"/>
      <c r="VQF314" s="286"/>
      <c r="VQG314" s="286"/>
      <c r="VQH314" s="280"/>
      <c r="VQI314" s="281"/>
      <c r="VQJ314" s="282"/>
      <c r="VQK314" s="242"/>
      <c r="VQL314" s="222"/>
      <c r="VQN314" s="118"/>
      <c r="VQO314" s="8"/>
      <c r="VQP314" s="281"/>
      <c r="VQQ314" s="78"/>
      <c r="VQR314" s="151"/>
      <c r="VQS314" s="278"/>
      <c r="VQT314" s="266"/>
      <c r="VQU314" s="279"/>
      <c r="VQV314" s="211"/>
      <c r="VQW314" s="211"/>
      <c r="VQX314" s="286"/>
      <c r="VQY314" s="286"/>
      <c r="VQZ314" s="280"/>
      <c r="VRA314" s="281"/>
      <c r="VRB314" s="282"/>
      <c r="VRC314" s="242"/>
      <c r="VRD314" s="222"/>
      <c r="VRF314" s="118"/>
      <c r="VRG314" s="8"/>
      <c r="VRH314" s="281"/>
      <c r="VRI314" s="78"/>
      <c r="VRJ314" s="151"/>
      <c r="VRK314" s="278"/>
      <c r="VRL314" s="266"/>
      <c r="VRM314" s="279"/>
      <c r="VRN314" s="211"/>
      <c r="VRO314" s="211"/>
      <c r="VRP314" s="286"/>
      <c r="VRQ314" s="286"/>
      <c r="VRR314" s="280"/>
      <c r="VRS314" s="281"/>
      <c r="VRT314" s="282"/>
      <c r="VRU314" s="242"/>
      <c r="VRV314" s="222"/>
      <c r="VRX314" s="118"/>
      <c r="VRY314" s="8"/>
      <c r="VRZ314" s="281"/>
      <c r="VSA314" s="78"/>
      <c r="VSB314" s="151"/>
      <c r="VSC314" s="278"/>
      <c r="VSD314" s="266"/>
      <c r="VSE314" s="279"/>
      <c r="VSF314" s="211"/>
      <c r="VSG314" s="211"/>
      <c r="VSH314" s="286"/>
      <c r="VSI314" s="286"/>
      <c r="VSJ314" s="280"/>
      <c r="VSK314" s="281"/>
      <c r="VSL314" s="282"/>
      <c r="VSM314" s="242"/>
      <c r="VSN314" s="222"/>
      <c r="VSP314" s="118"/>
      <c r="VSQ314" s="8"/>
      <c r="VSR314" s="281"/>
      <c r="VSS314" s="78"/>
      <c r="VST314" s="151"/>
      <c r="VSU314" s="278"/>
      <c r="VSV314" s="266"/>
      <c r="VSW314" s="279"/>
      <c r="VSX314" s="211"/>
      <c r="VSY314" s="211"/>
      <c r="VSZ314" s="286"/>
      <c r="VTA314" s="286"/>
      <c r="VTB314" s="280"/>
      <c r="VTC314" s="281"/>
      <c r="VTD314" s="282"/>
      <c r="VTE314" s="242"/>
      <c r="VTF314" s="222"/>
      <c r="VTH314" s="118"/>
      <c r="VTI314" s="8"/>
      <c r="VTJ314" s="281"/>
      <c r="VTK314" s="78"/>
      <c r="VTL314" s="151"/>
      <c r="VTM314" s="278"/>
      <c r="VTN314" s="266"/>
      <c r="VTO314" s="279"/>
      <c r="VTP314" s="211"/>
      <c r="VTQ314" s="211"/>
      <c r="VTR314" s="286"/>
      <c r="VTS314" s="286"/>
      <c r="VTT314" s="280"/>
      <c r="VTU314" s="281"/>
      <c r="VTV314" s="282"/>
      <c r="VTW314" s="242"/>
      <c r="VTX314" s="222"/>
      <c r="VTZ314" s="118"/>
      <c r="VUA314" s="8"/>
      <c r="VUB314" s="281"/>
      <c r="VUC314" s="78"/>
      <c r="VUD314" s="151"/>
      <c r="VUE314" s="278"/>
      <c r="VUF314" s="266"/>
      <c r="VUG314" s="279"/>
      <c r="VUH314" s="211"/>
      <c r="VUI314" s="211"/>
      <c r="VUJ314" s="286"/>
      <c r="VUK314" s="286"/>
      <c r="VUL314" s="280"/>
      <c r="VUM314" s="281"/>
      <c r="VUN314" s="282"/>
      <c r="VUO314" s="242"/>
      <c r="VUP314" s="222"/>
      <c r="VUR314" s="118"/>
      <c r="VUS314" s="8"/>
      <c r="VUT314" s="281"/>
      <c r="VUU314" s="78"/>
      <c r="VUV314" s="151"/>
      <c r="VUW314" s="278"/>
      <c r="VUX314" s="266"/>
      <c r="VUY314" s="279"/>
      <c r="VUZ314" s="211"/>
      <c r="VVA314" s="211"/>
      <c r="VVB314" s="286"/>
      <c r="VVC314" s="286"/>
      <c r="VVD314" s="280"/>
      <c r="VVE314" s="281"/>
      <c r="VVF314" s="282"/>
      <c r="VVG314" s="242"/>
      <c r="VVH314" s="222"/>
      <c r="VVJ314" s="118"/>
      <c r="VVK314" s="8"/>
      <c r="VVL314" s="281"/>
      <c r="VVM314" s="78"/>
      <c r="VVN314" s="151"/>
      <c r="VVO314" s="278"/>
      <c r="VVP314" s="266"/>
      <c r="VVQ314" s="279"/>
      <c r="VVR314" s="211"/>
      <c r="VVS314" s="211"/>
      <c r="VVT314" s="286"/>
      <c r="VVU314" s="286"/>
      <c r="VVV314" s="280"/>
      <c r="VVW314" s="281"/>
      <c r="VVX314" s="282"/>
      <c r="VVY314" s="242"/>
      <c r="VVZ314" s="222"/>
      <c r="VWB314" s="118"/>
      <c r="VWC314" s="8"/>
      <c r="VWD314" s="281"/>
      <c r="VWE314" s="78"/>
      <c r="VWF314" s="151"/>
      <c r="VWG314" s="278"/>
      <c r="VWH314" s="266"/>
      <c r="VWI314" s="279"/>
      <c r="VWJ314" s="211"/>
      <c r="VWK314" s="211"/>
      <c r="VWL314" s="286"/>
      <c r="VWM314" s="286"/>
      <c r="VWN314" s="280"/>
      <c r="VWO314" s="281"/>
      <c r="VWP314" s="282"/>
      <c r="VWQ314" s="242"/>
      <c r="VWR314" s="222"/>
      <c r="VWT314" s="118"/>
      <c r="VWU314" s="8"/>
      <c r="VWV314" s="281"/>
      <c r="VWW314" s="78"/>
      <c r="VWX314" s="151"/>
      <c r="VWY314" s="278"/>
      <c r="VWZ314" s="266"/>
      <c r="VXA314" s="279"/>
      <c r="VXB314" s="211"/>
      <c r="VXC314" s="211"/>
      <c r="VXD314" s="286"/>
      <c r="VXE314" s="286"/>
      <c r="VXF314" s="280"/>
      <c r="VXG314" s="281"/>
      <c r="VXH314" s="282"/>
      <c r="VXI314" s="242"/>
      <c r="VXJ314" s="222"/>
      <c r="VXL314" s="118"/>
      <c r="VXM314" s="8"/>
      <c r="VXN314" s="281"/>
      <c r="VXO314" s="78"/>
      <c r="VXP314" s="151"/>
      <c r="VXQ314" s="278"/>
      <c r="VXR314" s="266"/>
      <c r="VXS314" s="279"/>
      <c r="VXT314" s="211"/>
      <c r="VXU314" s="211"/>
      <c r="VXV314" s="286"/>
      <c r="VXW314" s="286"/>
      <c r="VXX314" s="280"/>
      <c r="VXY314" s="281"/>
      <c r="VXZ314" s="282"/>
      <c r="VYA314" s="242"/>
      <c r="VYB314" s="222"/>
      <c r="VYD314" s="118"/>
      <c r="VYE314" s="8"/>
      <c r="VYF314" s="281"/>
      <c r="VYG314" s="78"/>
      <c r="VYH314" s="151"/>
      <c r="VYI314" s="278"/>
      <c r="VYJ314" s="266"/>
      <c r="VYK314" s="279"/>
      <c r="VYL314" s="211"/>
      <c r="VYM314" s="211"/>
      <c r="VYN314" s="286"/>
      <c r="VYO314" s="286"/>
      <c r="VYP314" s="280"/>
      <c r="VYQ314" s="281"/>
      <c r="VYR314" s="282"/>
      <c r="VYS314" s="242"/>
      <c r="VYT314" s="222"/>
      <c r="VYV314" s="118"/>
      <c r="VYW314" s="8"/>
      <c r="VYX314" s="281"/>
      <c r="VYY314" s="78"/>
      <c r="VYZ314" s="151"/>
      <c r="VZA314" s="278"/>
      <c r="VZB314" s="266"/>
      <c r="VZC314" s="279"/>
      <c r="VZD314" s="211"/>
      <c r="VZE314" s="211"/>
      <c r="VZF314" s="286"/>
      <c r="VZG314" s="286"/>
      <c r="VZH314" s="280"/>
      <c r="VZI314" s="281"/>
      <c r="VZJ314" s="282"/>
      <c r="VZK314" s="242"/>
      <c r="VZL314" s="222"/>
      <c r="VZN314" s="118"/>
      <c r="VZO314" s="8"/>
      <c r="VZP314" s="281"/>
      <c r="VZQ314" s="78"/>
      <c r="VZR314" s="151"/>
      <c r="VZS314" s="278"/>
      <c r="VZT314" s="266"/>
      <c r="VZU314" s="279"/>
      <c r="VZV314" s="211"/>
      <c r="VZW314" s="211"/>
      <c r="VZX314" s="286"/>
      <c r="VZY314" s="286"/>
      <c r="VZZ314" s="280"/>
      <c r="WAA314" s="281"/>
      <c r="WAB314" s="282"/>
      <c r="WAC314" s="242"/>
      <c r="WAD314" s="222"/>
      <c r="WAF314" s="118"/>
      <c r="WAG314" s="8"/>
      <c r="WAH314" s="281"/>
      <c r="WAI314" s="78"/>
      <c r="WAJ314" s="151"/>
      <c r="WAK314" s="278"/>
      <c r="WAL314" s="266"/>
      <c r="WAM314" s="279"/>
      <c r="WAN314" s="211"/>
      <c r="WAO314" s="211"/>
      <c r="WAP314" s="286"/>
      <c r="WAQ314" s="286"/>
      <c r="WAR314" s="280"/>
      <c r="WAS314" s="281"/>
      <c r="WAT314" s="282"/>
      <c r="WAU314" s="242"/>
      <c r="WAV314" s="222"/>
      <c r="WAX314" s="118"/>
      <c r="WAY314" s="8"/>
      <c r="WAZ314" s="281"/>
      <c r="WBA314" s="78"/>
      <c r="WBB314" s="151"/>
      <c r="WBC314" s="278"/>
      <c r="WBD314" s="266"/>
      <c r="WBE314" s="279"/>
      <c r="WBF314" s="211"/>
      <c r="WBG314" s="211"/>
      <c r="WBH314" s="286"/>
      <c r="WBI314" s="286"/>
      <c r="WBJ314" s="280"/>
      <c r="WBK314" s="281"/>
      <c r="WBL314" s="282"/>
      <c r="WBM314" s="242"/>
      <c r="WBN314" s="222"/>
      <c r="WBP314" s="118"/>
      <c r="WBQ314" s="8"/>
      <c r="WBR314" s="281"/>
      <c r="WBS314" s="78"/>
      <c r="WBT314" s="151"/>
      <c r="WBU314" s="278"/>
      <c r="WBV314" s="266"/>
      <c r="WBW314" s="279"/>
      <c r="WBX314" s="211"/>
      <c r="WBY314" s="211"/>
      <c r="WBZ314" s="286"/>
      <c r="WCA314" s="286"/>
      <c r="WCB314" s="280"/>
      <c r="WCC314" s="281"/>
      <c r="WCD314" s="282"/>
      <c r="WCE314" s="242"/>
      <c r="WCF314" s="222"/>
      <c r="WCH314" s="118"/>
      <c r="WCI314" s="8"/>
      <c r="WCJ314" s="281"/>
      <c r="WCK314" s="78"/>
      <c r="WCL314" s="151"/>
      <c r="WCM314" s="278"/>
      <c r="WCN314" s="266"/>
      <c r="WCO314" s="279"/>
      <c r="WCP314" s="211"/>
      <c r="WCQ314" s="211"/>
      <c r="WCR314" s="286"/>
      <c r="WCS314" s="286"/>
      <c r="WCT314" s="280"/>
      <c r="WCU314" s="281"/>
      <c r="WCV314" s="282"/>
      <c r="WCW314" s="242"/>
      <c r="WCX314" s="222"/>
      <c r="WCZ314" s="118"/>
      <c r="WDA314" s="8"/>
      <c r="WDB314" s="281"/>
      <c r="WDC314" s="78"/>
      <c r="WDD314" s="151"/>
      <c r="WDE314" s="278"/>
      <c r="WDF314" s="266"/>
      <c r="WDG314" s="279"/>
      <c r="WDH314" s="211"/>
      <c r="WDI314" s="211"/>
      <c r="WDJ314" s="286"/>
      <c r="WDK314" s="286"/>
      <c r="WDL314" s="280"/>
      <c r="WDM314" s="281"/>
      <c r="WDN314" s="282"/>
      <c r="WDO314" s="242"/>
      <c r="WDP314" s="222"/>
      <c r="WDR314" s="118"/>
      <c r="WDS314" s="8"/>
      <c r="WDT314" s="281"/>
      <c r="WDU314" s="78"/>
      <c r="WDV314" s="151"/>
      <c r="WDW314" s="278"/>
      <c r="WDX314" s="266"/>
      <c r="WDY314" s="279"/>
      <c r="WDZ314" s="211"/>
      <c r="WEA314" s="211"/>
      <c r="WEB314" s="286"/>
      <c r="WEC314" s="286"/>
      <c r="WED314" s="280"/>
      <c r="WEE314" s="281"/>
      <c r="WEF314" s="282"/>
      <c r="WEG314" s="242"/>
      <c r="WEH314" s="222"/>
      <c r="WEJ314" s="118"/>
      <c r="WEK314" s="8"/>
      <c r="WEL314" s="281"/>
      <c r="WEM314" s="78"/>
      <c r="WEN314" s="151"/>
      <c r="WEO314" s="278"/>
      <c r="WEP314" s="266"/>
      <c r="WEQ314" s="279"/>
      <c r="WER314" s="211"/>
      <c r="WES314" s="211"/>
      <c r="WET314" s="286"/>
      <c r="WEU314" s="286"/>
      <c r="WEV314" s="280"/>
      <c r="WEW314" s="281"/>
      <c r="WEX314" s="282"/>
      <c r="WEY314" s="242"/>
      <c r="WEZ314" s="222"/>
      <c r="WFB314" s="118"/>
      <c r="WFC314" s="8"/>
      <c r="WFD314" s="281"/>
      <c r="WFE314" s="78"/>
      <c r="WFF314" s="151"/>
      <c r="WFG314" s="278"/>
      <c r="WFH314" s="266"/>
      <c r="WFI314" s="279"/>
      <c r="WFJ314" s="211"/>
      <c r="WFK314" s="211"/>
      <c r="WFL314" s="286"/>
      <c r="WFM314" s="286"/>
      <c r="WFN314" s="280"/>
      <c r="WFO314" s="281"/>
      <c r="WFP314" s="282"/>
      <c r="WFQ314" s="242"/>
      <c r="WFR314" s="222"/>
      <c r="WFT314" s="118"/>
      <c r="WFU314" s="8"/>
      <c r="WFV314" s="281"/>
      <c r="WFW314" s="78"/>
      <c r="WFX314" s="151"/>
      <c r="WFY314" s="278"/>
      <c r="WFZ314" s="266"/>
      <c r="WGA314" s="279"/>
      <c r="WGB314" s="211"/>
      <c r="WGC314" s="211"/>
      <c r="WGD314" s="286"/>
      <c r="WGE314" s="286"/>
      <c r="WGF314" s="280"/>
      <c r="WGG314" s="281"/>
      <c r="WGH314" s="282"/>
      <c r="WGI314" s="242"/>
      <c r="WGJ314" s="222"/>
      <c r="WGL314" s="118"/>
      <c r="WGM314" s="8"/>
      <c r="WGN314" s="281"/>
      <c r="WGO314" s="78"/>
      <c r="WGP314" s="151"/>
      <c r="WGQ314" s="278"/>
      <c r="WGR314" s="266"/>
      <c r="WGS314" s="279"/>
      <c r="WGT314" s="211"/>
      <c r="WGU314" s="211"/>
      <c r="WGV314" s="286"/>
      <c r="WGW314" s="286"/>
      <c r="WGX314" s="280"/>
      <c r="WGY314" s="281"/>
      <c r="WGZ314" s="282"/>
      <c r="WHA314" s="242"/>
      <c r="WHB314" s="222"/>
      <c r="WHD314" s="118"/>
      <c r="WHE314" s="8"/>
      <c r="WHF314" s="281"/>
      <c r="WHG314" s="78"/>
      <c r="WHH314" s="151"/>
      <c r="WHI314" s="278"/>
      <c r="WHJ314" s="266"/>
      <c r="WHK314" s="279"/>
      <c r="WHL314" s="211"/>
      <c r="WHM314" s="211"/>
      <c r="WHN314" s="286"/>
      <c r="WHO314" s="286"/>
      <c r="WHP314" s="280"/>
      <c r="WHQ314" s="281"/>
      <c r="WHR314" s="282"/>
      <c r="WHS314" s="242"/>
      <c r="WHT314" s="222"/>
      <c r="WHV314" s="118"/>
      <c r="WHW314" s="8"/>
      <c r="WHX314" s="281"/>
      <c r="WHY314" s="78"/>
      <c r="WHZ314" s="151"/>
      <c r="WIA314" s="278"/>
      <c r="WIB314" s="266"/>
      <c r="WIC314" s="279"/>
      <c r="WID314" s="211"/>
      <c r="WIE314" s="211"/>
      <c r="WIF314" s="286"/>
      <c r="WIG314" s="286"/>
      <c r="WIH314" s="280"/>
      <c r="WII314" s="281"/>
      <c r="WIJ314" s="282"/>
      <c r="WIK314" s="242"/>
      <c r="WIL314" s="222"/>
      <c r="WIN314" s="118"/>
      <c r="WIO314" s="8"/>
      <c r="WIP314" s="281"/>
      <c r="WIQ314" s="78"/>
      <c r="WIR314" s="151"/>
      <c r="WIS314" s="278"/>
      <c r="WIT314" s="266"/>
      <c r="WIU314" s="279"/>
      <c r="WIV314" s="211"/>
      <c r="WIW314" s="211"/>
      <c r="WIX314" s="286"/>
      <c r="WIY314" s="286"/>
      <c r="WIZ314" s="280"/>
      <c r="WJA314" s="281"/>
      <c r="WJB314" s="282"/>
      <c r="WJC314" s="242"/>
      <c r="WJD314" s="222"/>
      <c r="WJF314" s="118"/>
      <c r="WJG314" s="8"/>
      <c r="WJH314" s="281"/>
      <c r="WJI314" s="78"/>
      <c r="WJJ314" s="151"/>
      <c r="WJK314" s="278"/>
      <c r="WJL314" s="266"/>
      <c r="WJM314" s="279"/>
      <c r="WJN314" s="211"/>
      <c r="WJO314" s="211"/>
      <c r="WJP314" s="286"/>
      <c r="WJQ314" s="286"/>
      <c r="WJR314" s="280"/>
      <c r="WJS314" s="281"/>
      <c r="WJT314" s="282"/>
      <c r="WJU314" s="242"/>
      <c r="WJV314" s="222"/>
      <c r="WJX314" s="118"/>
      <c r="WJY314" s="8"/>
      <c r="WJZ314" s="281"/>
      <c r="WKA314" s="78"/>
      <c r="WKB314" s="151"/>
      <c r="WKC314" s="278"/>
      <c r="WKD314" s="266"/>
      <c r="WKE314" s="279"/>
      <c r="WKF314" s="211"/>
      <c r="WKG314" s="211"/>
      <c r="WKH314" s="286"/>
      <c r="WKI314" s="286"/>
      <c r="WKJ314" s="280"/>
      <c r="WKK314" s="281"/>
      <c r="WKL314" s="282"/>
      <c r="WKM314" s="242"/>
      <c r="WKN314" s="222"/>
      <c r="WKP314" s="118"/>
      <c r="WKQ314" s="8"/>
      <c r="WKR314" s="281"/>
      <c r="WKS314" s="78"/>
      <c r="WKT314" s="151"/>
      <c r="WKU314" s="278"/>
      <c r="WKV314" s="266"/>
      <c r="WKW314" s="279"/>
      <c r="WKX314" s="211"/>
      <c r="WKY314" s="211"/>
      <c r="WKZ314" s="286"/>
      <c r="WLA314" s="286"/>
      <c r="WLB314" s="280"/>
      <c r="WLC314" s="281"/>
      <c r="WLD314" s="282"/>
      <c r="WLE314" s="242"/>
      <c r="WLF314" s="222"/>
      <c r="WLH314" s="118"/>
      <c r="WLI314" s="8"/>
      <c r="WLJ314" s="281"/>
      <c r="WLK314" s="78"/>
      <c r="WLL314" s="151"/>
      <c r="WLM314" s="278"/>
      <c r="WLN314" s="266"/>
      <c r="WLO314" s="279"/>
      <c r="WLP314" s="211"/>
      <c r="WLQ314" s="211"/>
      <c r="WLR314" s="286"/>
      <c r="WLS314" s="286"/>
      <c r="WLT314" s="280"/>
      <c r="WLU314" s="281"/>
      <c r="WLV314" s="282"/>
      <c r="WLW314" s="242"/>
      <c r="WLX314" s="222"/>
      <c r="WLZ314" s="118"/>
      <c r="WMA314" s="8"/>
      <c r="WMB314" s="281"/>
      <c r="WMC314" s="78"/>
      <c r="WMD314" s="151"/>
      <c r="WME314" s="278"/>
      <c r="WMF314" s="266"/>
      <c r="WMG314" s="279"/>
      <c r="WMH314" s="211"/>
      <c r="WMI314" s="211"/>
      <c r="WMJ314" s="286"/>
      <c r="WMK314" s="286"/>
      <c r="WML314" s="280"/>
      <c r="WMM314" s="281"/>
      <c r="WMN314" s="282"/>
      <c r="WMO314" s="242"/>
      <c r="WMP314" s="222"/>
      <c r="WMR314" s="118"/>
      <c r="WMS314" s="8"/>
      <c r="WMT314" s="281"/>
      <c r="WMU314" s="78"/>
      <c r="WMV314" s="151"/>
      <c r="WMW314" s="278"/>
      <c r="WMX314" s="266"/>
      <c r="WMY314" s="279"/>
      <c r="WMZ314" s="211"/>
      <c r="WNA314" s="211"/>
      <c r="WNB314" s="286"/>
      <c r="WNC314" s="286"/>
      <c r="WND314" s="280"/>
      <c r="WNE314" s="281"/>
      <c r="WNF314" s="282"/>
      <c r="WNG314" s="242"/>
      <c r="WNH314" s="222"/>
      <c r="WNJ314" s="118"/>
      <c r="WNK314" s="8"/>
      <c r="WNL314" s="281"/>
      <c r="WNM314" s="78"/>
      <c r="WNN314" s="151"/>
      <c r="WNO314" s="278"/>
      <c r="WNP314" s="266"/>
      <c r="WNQ314" s="279"/>
      <c r="WNR314" s="211"/>
      <c r="WNS314" s="211"/>
      <c r="WNT314" s="286"/>
      <c r="WNU314" s="286"/>
      <c r="WNV314" s="280"/>
      <c r="WNW314" s="281"/>
      <c r="WNX314" s="282"/>
      <c r="WNY314" s="242"/>
      <c r="WNZ314" s="222"/>
      <c r="WOB314" s="118"/>
      <c r="WOC314" s="8"/>
      <c r="WOD314" s="281"/>
      <c r="WOE314" s="78"/>
      <c r="WOF314" s="151"/>
      <c r="WOG314" s="278"/>
      <c r="WOH314" s="266"/>
      <c r="WOI314" s="279"/>
      <c r="WOJ314" s="211"/>
      <c r="WOK314" s="211"/>
      <c r="WOL314" s="286"/>
      <c r="WOM314" s="286"/>
      <c r="WON314" s="280"/>
      <c r="WOO314" s="281"/>
      <c r="WOP314" s="282"/>
      <c r="WOQ314" s="242"/>
      <c r="WOR314" s="222"/>
      <c r="WOT314" s="118"/>
      <c r="WOU314" s="8"/>
      <c r="WOV314" s="281"/>
      <c r="WOW314" s="78"/>
      <c r="WOX314" s="151"/>
      <c r="WOY314" s="278"/>
      <c r="WOZ314" s="266"/>
      <c r="WPA314" s="279"/>
      <c r="WPB314" s="211"/>
      <c r="WPC314" s="211"/>
      <c r="WPD314" s="286"/>
      <c r="WPE314" s="286"/>
      <c r="WPF314" s="280"/>
      <c r="WPG314" s="281"/>
      <c r="WPH314" s="282"/>
      <c r="WPI314" s="242"/>
      <c r="WPJ314" s="222"/>
      <c r="WPL314" s="118"/>
      <c r="WPM314" s="8"/>
      <c r="WPN314" s="281"/>
      <c r="WPO314" s="78"/>
      <c r="WPP314" s="151"/>
      <c r="WPQ314" s="278"/>
      <c r="WPR314" s="266"/>
      <c r="WPS314" s="279"/>
      <c r="WPT314" s="211"/>
      <c r="WPU314" s="211"/>
      <c r="WPV314" s="286"/>
      <c r="WPW314" s="286"/>
      <c r="WPX314" s="280"/>
      <c r="WPY314" s="281"/>
      <c r="WPZ314" s="282"/>
      <c r="WQA314" s="242"/>
      <c r="WQB314" s="222"/>
      <c r="WQD314" s="118"/>
      <c r="WQE314" s="8"/>
      <c r="WQF314" s="281"/>
      <c r="WQG314" s="78"/>
      <c r="WQH314" s="151"/>
      <c r="WQI314" s="278"/>
      <c r="WQJ314" s="266"/>
      <c r="WQK314" s="279"/>
      <c r="WQL314" s="211"/>
      <c r="WQM314" s="211"/>
      <c r="WQN314" s="286"/>
      <c r="WQO314" s="286"/>
      <c r="WQP314" s="280"/>
      <c r="WQQ314" s="281"/>
      <c r="WQR314" s="282"/>
      <c r="WQS314" s="242"/>
      <c r="WQT314" s="222"/>
      <c r="WQV314" s="118"/>
      <c r="WQW314" s="8"/>
      <c r="WQX314" s="281"/>
      <c r="WQY314" s="78"/>
      <c r="WQZ314" s="151"/>
      <c r="WRA314" s="278"/>
      <c r="WRB314" s="266"/>
      <c r="WRC314" s="279"/>
      <c r="WRD314" s="211"/>
      <c r="WRE314" s="211"/>
      <c r="WRF314" s="286"/>
      <c r="WRG314" s="286"/>
      <c r="WRH314" s="280"/>
      <c r="WRI314" s="281"/>
      <c r="WRJ314" s="282"/>
      <c r="WRK314" s="242"/>
      <c r="WRL314" s="222"/>
      <c r="WRN314" s="118"/>
      <c r="WRO314" s="8"/>
      <c r="WRP314" s="281"/>
      <c r="WRQ314" s="78"/>
      <c r="WRR314" s="151"/>
      <c r="WRS314" s="278"/>
      <c r="WRT314" s="266"/>
      <c r="WRU314" s="279"/>
      <c r="WRV314" s="211"/>
      <c r="WRW314" s="211"/>
      <c r="WRX314" s="286"/>
      <c r="WRY314" s="286"/>
      <c r="WRZ314" s="280"/>
      <c r="WSA314" s="281"/>
      <c r="WSB314" s="282"/>
      <c r="WSC314" s="242"/>
      <c r="WSD314" s="222"/>
      <c r="WSF314" s="118"/>
      <c r="WSG314" s="8"/>
      <c r="WSH314" s="281"/>
      <c r="WSI314" s="78"/>
      <c r="WSJ314" s="151"/>
      <c r="WSK314" s="278"/>
      <c r="WSL314" s="266"/>
      <c r="WSM314" s="279"/>
      <c r="WSN314" s="211"/>
      <c r="WSO314" s="211"/>
      <c r="WSP314" s="286"/>
      <c r="WSQ314" s="286"/>
      <c r="WSR314" s="280"/>
      <c r="WSS314" s="281"/>
      <c r="WST314" s="282"/>
      <c r="WSU314" s="242"/>
      <c r="WSV314" s="222"/>
      <c r="WSX314" s="118"/>
      <c r="WSY314" s="8"/>
      <c r="WSZ314" s="281"/>
      <c r="WTA314" s="78"/>
      <c r="WTB314" s="151"/>
      <c r="WTC314" s="278"/>
      <c r="WTD314" s="266"/>
      <c r="WTE314" s="279"/>
      <c r="WTF314" s="211"/>
      <c r="WTG314" s="211"/>
      <c r="WTH314" s="286"/>
      <c r="WTI314" s="286"/>
      <c r="WTJ314" s="280"/>
      <c r="WTK314" s="281"/>
      <c r="WTL314" s="282"/>
      <c r="WTM314" s="242"/>
      <c r="WTN314" s="222"/>
      <c r="WTP314" s="118"/>
      <c r="WTQ314" s="8"/>
      <c r="WTR314" s="281"/>
      <c r="WTS314" s="78"/>
      <c r="WTT314" s="151"/>
      <c r="WTU314" s="278"/>
      <c r="WTV314" s="266"/>
      <c r="WTW314" s="279"/>
      <c r="WTX314" s="211"/>
      <c r="WTY314" s="211"/>
      <c r="WTZ314" s="286"/>
      <c r="WUA314" s="286"/>
      <c r="WUB314" s="280"/>
      <c r="WUC314" s="281"/>
      <c r="WUD314" s="282"/>
      <c r="WUE314" s="242"/>
      <c r="WUF314" s="222"/>
      <c r="WUH314" s="118"/>
      <c r="WUI314" s="8"/>
      <c r="WUJ314" s="281"/>
      <c r="WUK314" s="78"/>
      <c r="WUL314" s="151"/>
      <c r="WUM314" s="278"/>
      <c r="WUN314" s="266"/>
      <c r="WUO314" s="279"/>
      <c r="WUP314" s="211"/>
      <c r="WUQ314" s="211"/>
      <c r="WUR314" s="286"/>
      <c r="WUS314" s="286"/>
      <c r="WUT314" s="280"/>
      <c r="WUU314" s="281"/>
      <c r="WUV314" s="282"/>
      <c r="WUW314" s="242"/>
      <c r="WUX314" s="222"/>
      <c r="WUZ314" s="118"/>
      <c r="WVA314" s="8"/>
      <c r="WVB314" s="281"/>
      <c r="WVC314" s="78"/>
      <c r="WVD314" s="151"/>
      <c r="WVE314" s="278"/>
      <c r="WVF314" s="266"/>
      <c r="WVG314" s="279"/>
      <c r="WVH314" s="211"/>
      <c r="WVI314" s="211"/>
      <c r="WVJ314" s="286"/>
      <c r="WVK314" s="286"/>
      <c r="WVL314" s="280"/>
      <c r="WVM314" s="281"/>
      <c r="WVN314" s="282"/>
      <c r="WVO314" s="242"/>
      <c r="WVP314" s="222"/>
      <c r="WVR314" s="118"/>
      <c r="WVS314" s="8"/>
      <c r="WVT314" s="281"/>
      <c r="WVU314" s="78"/>
      <c r="WVV314" s="151"/>
      <c r="WVW314" s="278"/>
      <c r="WVX314" s="266"/>
      <c r="WVY314" s="279"/>
      <c r="WVZ314" s="211"/>
      <c r="WWA314" s="211"/>
      <c r="WWB314" s="286"/>
      <c r="WWC314" s="286"/>
      <c r="WWD314" s="280"/>
      <c r="WWE314" s="281"/>
      <c r="WWF314" s="282"/>
      <c r="WWG314" s="242"/>
      <c r="WWH314" s="222"/>
      <c r="WWJ314" s="118"/>
      <c r="WWK314" s="8"/>
      <c r="WWL314" s="281"/>
      <c r="WWM314" s="78"/>
      <c r="WWN314" s="151"/>
      <c r="WWO314" s="278"/>
      <c r="WWP314" s="266"/>
      <c r="WWQ314" s="279"/>
      <c r="WWR314" s="211"/>
      <c r="WWS314" s="211"/>
      <c r="WWT314" s="286"/>
      <c r="WWU314" s="286"/>
      <c r="WWV314" s="280"/>
      <c r="WWW314" s="281"/>
      <c r="WWX314" s="282"/>
      <c r="WWY314" s="242"/>
      <c r="WWZ314" s="222"/>
      <c r="WXB314" s="118"/>
      <c r="WXC314" s="8"/>
      <c r="WXD314" s="281"/>
      <c r="WXE314" s="78"/>
      <c r="WXF314" s="151"/>
      <c r="WXG314" s="278"/>
      <c r="WXH314" s="266"/>
      <c r="WXI314" s="279"/>
      <c r="WXJ314" s="211"/>
      <c r="WXK314" s="211"/>
      <c r="WXL314" s="286"/>
      <c r="WXM314" s="286"/>
      <c r="WXN314" s="280"/>
      <c r="WXO314" s="281"/>
      <c r="WXP314" s="282"/>
      <c r="WXQ314" s="242"/>
      <c r="WXR314" s="222"/>
      <c r="WXT314" s="118"/>
      <c r="WXU314" s="8"/>
      <c r="WXV314" s="281"/>
      <c r="WXW314" s="78"/>
      <c r="WXX314" s="151"/>
      <c r="WXY314" s="278"/>
      <c r="WXZ314" s="266"/>
      <c r="WYA314" s="279"/>
      <c r="WYB314" s="211"/>
      <c r="WYC314" s="211"/>
      <c r="WYD314" s="286"/>
      <c r="WYE314" s="286"/>
      <c r="WYF314" s="280"/>
      <c r="WYG314" s="281"/>
      <c r="WYH314" s="282"/>
      <c r="WYI314" s="242"/>
      <c r="WYJ314" s="222"/>
      <c r="WYL314" s="118"/>
      <c r="WYM314" s="8"/>
      <c r="WYN314" s="281"/>
      <c r="WYO314" s="78"/>
      <c r="WYP314" s="151"/>
      <c r="WYQ314" s="278"/>
      <c r="WYR314" s="266"/>
      <c r="WYS314" s="279"/>
      <c r="WYT314" s="211"/>
      <c r="WYU314" s="211"/>
      <c r="WYV314" s="286"/>
      <c r="WYW314" s="286"/>
      <c r="WYX314" s="280"/>
      <c r="WYY314" s="281"/>
      <c r="WYZ314" s="282"/>
      <c r="WZA314" s="242"/>
      <c r="WZB314" s="222"/>
      <c r="WZD314" s="118"/>
      <c r="WZE314" s="8"/>
      <c r="WZF314" s="281"/>
      <c r="WZG314" s="78"/>
      <c r="WZH314" s="151"/>
      <c r="WZI314" s="278"/>
      <c r="WZJ314" s="266"/>
      <c r="WZK314" s="279"/>
      <c r="WZL314" s="211"/>
      <c r="WZM314" s="211"/>
      <c r="WZN314" s="286"/>
      <c r="WZO314" s="286"/>
      <c r="WZP314" s="280"/>
      <c r="WZQ314" s="281"/>
      <c r="WZR314" s="282"/>
      <c r="WZS314" s="242"/>
      <c r="WZT314" s="222"/>
      <c r="WZV314" s="118"/>
      <c r="WZW314" s="8"/>
      <c r="WZX314" s="281"/>
      <c r="WZY314" s="78"/>
      <c r="WZZ314" s="151"/>
      <c r="XAA314" s="278"/>
      <c r="XAB314" s="266"/>
      <c r="XAC314" s="279"/>
      <c r="XAD314" s="211"/>
      <c r="XAE314" s="211"/>
      <c r="XAF314" s="286"/>
      <c r="XAG314" s="286"/>
      <c r="XAH314" s="280"/>
      <c r="XAI314" s="281"/>
      <c r="XAJ314" s="282"/>
      <c r="XAK314" s="242"/>
      <c r="XAL314" s="222"/>
      <c r="XAN314" s="118"/>
      <c r="XAO314" s="8"/>
      <c r="XAP314" s="281"/>
      <c r="XAQ314" s="78"/>
      <c r="XAR314" s="151"/>
      <c r="XAS314" s="278"/>
      <c r="XAT314" s="266"/>
      <c r="XAU314" s="279"/>
      <c r="XAV314" s="211"/>
      <c r="XAW314" s="211"/>
      <c r="XAX314" s="286"/>
      <c r="XAY314" s="286"/>
      <c r="XAZ314" s="280"/>
      <c r="XBA314" s="281"/>
      <c r="XBB314" s="282"/>
      <c r="XBC314" s="242"/>
      <c r="XBD314" s="222"/>
      <c r="XBF314" s="118"/>
      <c r="XBG314" s="8"/>
      <c r="XBH314" s="281"/>
      <c r="XBI314" s="78"/>
      <c r="XBJ314" s="151"/>
      <c r="XBK314" s="278"/>
      <c r="XBL314" s="266"/>
      <c r="XBM314" s="279"/>
      <c r="XBN314" s="211"/>
      <c r="XBO314" s="211"/>
      <c r="XBP314" s="286"/>
      <c r="XBQ314" s="286"/>
      <c r="XBR314" s="280"/>
      <c r="XBS314" s="281"/>
      <c r="XBT314" s="282"/>
      <c r="XBU314" s="242"/>
      <c r="XBV314" s="222"/>
      <c r="XBX314" s="118"/>
      <c r="XBY314" s="8"/>
      <c r="XBZ314" s="281"/>
      <c r="XCA314" s="78"/>
      <c r="XCB314" s="151"/>
      <c r="XCC314" s="278"/>
      <c r="XCD314" s="266"/>
      <c r="XCE314" s="279"/>
      <c r="XCF314" s="211"/>
      <c r="XCG314" s="211"/>
      <c r="XCH314" s="286"/>
      <c r="XCI314" s="286"/>
      <c r="XCJ314" s="280"/>
      <c r="XCK314" s="281"/>
      <c r="XCL314" s="282"/>
      <c r="XCM314" s="242"/>
      <c r="XCN314" s="222"/>
      <c r="XCP314" s="118"/>
      <c r="XCQ314" s="8"/>
      <c r="XCR314" s="281"/>
      <c r="XCS314" s="78"/>
      <c r="XCT314" s="151"/>
      <c r="XCU314" s="278"/>
      <c r="XCV314" s="266"/>
      <c r="XCW314" s="279"/>
      <c r="XCX314" s="211"/>
      <c r="XCY314" s="211"/>
      <c r="XCZ314" s="286"/>
      <c r="XDA314" s="286"/>
      <c r="XDB314" s="280"/>
      <c r="XDC314" s="281"/>
      <c r="XDD314" s="282"/>
      <c r="XDE314" s="242"/>
      <c r="XDF314" s="222"/>
      <c r="XDH314" s="118"/>
      <c r="XDI314" s="8"/>
      <c r="XDJ314" s="281"/>
      <c r="XDK314" s="78"/>
      <c r="XDL314" s="151"/>
      <c r="XDM314" s="278"/>
      <c r="XDN314" s="266"/>
      <c r="XDO314" s="279"/>
      <c r="XDP314" s="211"/>
      <c r="XDQ314" s="211"/>
      <c r="XDR314" s="286"/>
      <c r="XDS314" s="286"/>
      <c r="XDT314" s="280"/>
      <c r="XDU314" s="281"/>
      <c r="XDV314" s="282"/>
      <c r="XDW314" s="242"/>
      <c r="XDX314" s="222"/>
      <c r="XDZ314" s="118"/>
      <c r="XEA314" s="8"/>
      <c r="XEB314" s="281"/>
      <c r="XEC314" s="78"/>
      <c r="XED314" s="151"/>
      <c r="XEE314" s="278"/>
      <c r="XEF314" s="266"/>
      <c r="XEG314" s="279"/>
      <c r="XEH314" s="211"/>
      <c r="XEI314" s="211"/>
      <c r="XEJ314" s="286"/>
      <c r="XEK314" s="286"/>
      <c r="XEL314" s="280"/>
      <c r="XEM314" s="281"/>
      <c r="XEN314" s="282"/>
      <c r="XEO314" s="242"/>
      <c r="XEP314" s="222"/>
      <c r="XER314" s="118"/>
      <c r="XES314" s="8"/>
      <c r="XET314" s="281"/>
      <c r="XEU314" s="78"/>
      <c r="XEV314" s="151"/>
      <c r="XEW314" s="278"/>
      <c r="XEX314" s="266"/>
      <c r="XEY314" s="279"/>
      <c r="XEZ314" s="211"/>
      <c r="XFA314" s="211"/>
      <c r="XFB314" s="286"/>
      <c r="XFC314" s="286"/>
      <c r="XFD314" s="280"/>
    </row>
    <row r="315" spans="1:5120 5122:14336 14338:16384" hidden="1">
      <c r="A315" s="286" t="s">
        <v>244</v>
      </c>
      <c r="B315" s="286" t="s">
        <v>221</v>
      </c>
      <c r="C315" s="280" t="s">
        <v>3</v>
      </c>
      <c r="D315" s="281" t="str">
        <f>IF(F315="","",CHOOSE(MONTH(F315),"Q4","Q4","Q4","Q1","Q1","Q1","Q2","Q2","Q2","Q3","Q3","Q3"))</f>
        <v>Q4</v>
      </c>
      <c r="E315" s="282" t="str">
        <f>IF(F315="","",CHOOSE(MONTH(F315),"10-JAN","11-FEB","12-MAR","01-APR","02-MAY","03-JUN","04-JUL","05-AUG","06-SEP","07-OCT","08-NOV","09-DEC"))</f>
        <v>10-JAN</v>
      </c>
      <c r="F315" s="242">
        <v>45317</v>
      </c>
      <c r="G315" s="112" t="s">
        <v>1162</v>
      </c>
      <c r="H315" s="5" t="s">
        <v>36</v>
      </c>
      <c r="I315" s="29" t="s">
        <v>223</v>
      </c>
      <c r="J315" s="8" t="s">
        <v>69</v>
      </c>
      <c r="K315" s="281" t="s">
        <v>34</v>
      </c>
      <c r="L315" s="78" t="s">
        <v>1163</v>
      </c>
      <c r="M315" s="151">
        <f>IF(SUM(V315:BC315)=0,"-",SUM(V315:BC315))</f>
        <v>8</v>
      </c>
      <c r="N315" s="278">
        <f>IF(SUMPRODUCT($V$3:$BC$3,V315:BC315)=0,"-",SUMPRODUCT($V$3:$BC$3,V315:BC315))</f>
        <v>375</v>
      </c>
      <c r="O315" s="266" t="s">
        <v>1164</v>
      </c>
      <c r="P315" s="279" t="str">
        <f>IF(G315="","",IFERROR(IF(S315="Sent","",IF(I315="Delivered","PO en attente","Projet en cours")),""))</f>
        <v/>
      </c>
      <c r="Q315" s="211">
        <v>4200659667</v>
      </c>
      <c r="R315" s="211"/>
      <c r="S315" s="211" t="s">
        <v>249</v>
      </c>
      <c r="T315" s="211" t="s">
        <v>1327</v>
      </c>
      <c r="U315" s="393" t="s">
        <v>1202</v>
      </c>
      <c r="V315" s="8">
        <v>1</v>
      </c>
      <c r="W315" s="8">
        <v>5</v>
      </c>
      <c r="AC315" s="8"/>
      <c r="AD315" s="8">
        <v>2</v>
      </c>
      <c r="AL315" s="8"/>
      <c r="AM315" s="8"/>
      <c r="AS315" s="8"/>
      <c r="AZ315" s="8"/>
      <c r="BB315" s="8"/>
      <c r="BD315" s="8"/>
      <c r="BE315" s="8"/>
    </row>
    <row r="316" spans="1:5120 5122:14336 14338:16384" hidden="1">
      <c r="A316" s="286" t="s">
        <v>244</v>
      </c>
      <c r="B316" s="286" t="s">
        <v>221</v>
      </c>
      <c r="C316" s="280" t="s">
        <v>3</v>
      </c>
      <c r="D316" s="281" t="str">
        <f>IF(F316="","",CHOOSE(MONTH(F316),"Q4","Q4","Q4","Q1","Q1","Q1","Q2","Q2","Q2","Q3","Q3","Q3"))</f>
        <v>Q4</v>
      </c>
      <c r="E316" s="282" t="str">
        <f>IF(F316="","",CHOOSE(MONTH(F316),"10-JAN","11-FEB","12-MAR","01-APR","02-MAY","03-JUN","04-JUL","05-AUG","06-SEP","07-OCT","08-NOV","09-DEC"))</f>
        <v>10-JAN</v>
      </c>
      <c r="F316" s="242">
        <v>45320</v>
      </c>
      <c r="G316" s="112" t="s">
        <v>1169</v>
      </c>
      <c r="H316" s="5" t="s">
        <v>35</v>
      </c>
      <c r="I316" s="29" t="s">
        <v>223</v>
      </c>
      <c r="J316" s="8" t="s">
        <v>95</v>
      </c>
      <c r="K316" s="281" t="s">
        <v>34</v>
      </c>
      <c r="L316" s="78" t="s">
        <v>1170</v>
      </c>
      <c r="M316" s="151">
        <f>IF(SUM(V316:BC316)=0,"-",SUM(V316:BC316))</f>
        <v>2</v>
      </c>
      <c r="N316" s="278">
        <f>IF(SUMPRODUCT($V$3:$BC$3,V316:BC316)=0,"-",SUMPRODUCT($V$3:$BC$3,V316:BC316))</f>
        <v>70</v>
      </c>
      <c r="O316" s="266" t="s">
        <v>1171</v>
      </c>
      <c r="P316" s="279" t="str">
        <f>IF(G316="","",IFERROR(IF(S316="Sent","",IF(I316="Delivered","PO en attente","Projet en cours")),""))</f>
        <v/>
      </c>
      <c r="Q316" s="211">
        <v>4200659416</v>
      </c>
      <c r="R316" s="258" t="s">
        <v>225</v>
      </c>
      <c r="S316" s="211" t="s">
        <v>249</v>
      </c>
      <c r="T316" s="211" t="s">
        <v>1240</v>
      </c>
      <c r="U316" s="393" t="s">
        <v>1241</v>
      </c>
      <c r="W316" s="8">
        <v>2</v>
      </c>
      <c r="AZ316" s="8"/>
      <c r="BA316" s="7"/>
      <c r="BB316" s="8"/>
      <c r="BC316" s="7"/>
      <c r="BD316" s="5"/>
      <c r="BF316" s="9"/>
    </row>
    <row r="317" spans="1:5120 5122:14336 14338:16384" hidden="1">
      <c r="A317" s="286" t="s">
        <v>244</v>
      </c>
      <c r="B317" s="286" t="s">
        <v>221</v>
      </c>
      <c r="C317" s="280" t="s">
        <v>3</v>
      </c>
      <c r="D317" s="281" t="str">
        <f>IF(F317="","",CHOOSE(MONTH(F317),"Q4","Q4","Q4","Q1","Q1","Q1","Q2","Q2","Q2","Q3","Q3","Q3"))</f>
        <v>Q4</v>
      </c>
      <c r="E317" s="282" t="str">
        <f>IF(F317="","",CHOOSE(MONTH(F317),"10-JAN","11-FEB","12-MAR","01-APR","02-MAY","03-JUN","04-JUL","05-AUG","06-SEP","07-OCT","08-NOV","09-DEC"))</f>
        <v>10-JAN</v>
      </c>
      <c r="F317" s="242">
        <v>45320</v>
      </c>
      <c r="G317" s="55" t="s">
        <v>1165</v>
      </c>
      <c r="H317" s="5" t="s">
        <v>36</v>
      </c>
      <c r="I317" s="29" t="s">
        <v>223</v>
      </c>
      <c r="J317" s="8" t="s">
        <v>69</v>
      </c>
      <c r="K317" s="281" t="s">
        <v>34</v>
      </c>
      <c r="L317" s="78" t="s">
        <v>1166</v>
      </c>
      <c r="M317" s="151">
        <f>IF(SUM(V317:BC317)=0,"-",SUM(V317:BC317))</f>
        <v>6</v>
      </c>
      <c r="N317" s="278">
        <f>IF(SUMPRODUCT($V$3:$BC$3,V317:BC317)=0,"-",SUMPRODUCT($V$3:$BC$3,V317:BC317))</f>
        <v>210</v>
      </c>
      <c r="O317" s="266" t="s">
        <v>1167</v>
      </c>
      <c r="P317" s="279" t="str">
        <f>IF(G317="","",IFERROR(IF(S317="Sent","",IF(I317="Delivered","PO en attente","Projet en cours")),""))</f>
        <v/>
      </c>
      <c r="Q317" s="211">
        <v>4200659667</v>
      </c>
      <c r="R317" s="211"/>
      <c r="S317" s="211" t="s">
        <v>249</v>
      </c>
      <c r="T317" s="211" t="s">
        <v>1327</v>
      </c>
      <c r="U317" s="393" t="s">
        <v>1202</v>
      </c>
      <c r="W317" s="8">
        <v>6</v>
      </c>
      <c r="AZ317" s="8"/>
      <c r="BA317" s="7"/>
      <c r="BB317" s="8"/>
      <c r="BC317" s="7"/>
      <c r="BD317" s="8"/>
      <c r="BE317" s="8"/>
      <c r="BF317" s="9"/>
    </row>
    <row r="318" spans="1:5120 5122:14336 14338:16384" hidden="1">
      <c r="A318" s="286" t="s">
        <v>244</v>
      </c>
      <c r="B318" s="286" t="s">
        <v>221</v>
      </c>
      <c r="C318" s="280" t="s">
        <v>3</v>
      </c>
      <c r="D318" s="281" t="str">
        <f>IF(F318="","",CHOOSE(MONTH(F318),"Q4","Q4","Q4","Q1","Q1","Q1","Q2","Q2","Q2","Q3","Q3","Q3"))</f>
        <v>Q4</v>
      </c>
      <c r="E318" s="282" t="str">
        <f>IF(F318="","",CHOOSE(MONTH(F318),"10-JAN","11-FEB","12-MAR","01-APR","02-MAY","03-JUN","04-JUL","05-AUG","06-SEP","07-OCT","08-NOV","09-DEC"))</f>
        <v>10-JAN</v>
      </c>
      <c r="F318" s="242">
        <v>45321</v>
      </c>
      <c r="G318" s="55" t="s">
        <v>1172</v>
      </c>
      <c r="H318" s="5" t="s">
        <v>36</v>
      </c>
      <c r="I318" s="29" t="s">
        <v>223</v>
      </c>
      <c r="J318" s="8" t="s">
        <v>69</v>
      </c>
      <c r="K318" s="281" t="s">
        <v>34</v>
      </c>
      <c r="L318" s="78" t="s">
        <v>1173</v>
      </c>
      <c r="M318" s="151">
        <f>IF(SUM(V318:BC318)=0,"-",SUM(V318:BC318))</f>
        <v>11</v>
      </c>
      <c r="N318" s="278">
        <f>IF(SUMPRODUCT($V$3:$BC$3,V318:BC318)=0,"-",SUMPRODUCT($V$3:$BC$3,V318:BC318))</f>
        <v>470</v>
      </c>
      <c r="O318" s="114" t="s">
        <v>1336</v>
      </c>
      <c r="P318" s="279" t="str">
        <f>IF(G318="","",IFERROR(IF(S318="Sent","",IF(I318="Delivered","PO en attente","Projet en cours")),""))</f>
        <v/>
      </c>
      <c r="Q318" s="211">
        <v>4200659667</v>
      </c>
      <c r="R318" s="211"/>
      <c r="S318" s="211" t="s">
        <v>249</v>
      </c>
      <c r="T318" s="211" t="s">
        <v>1327</v>
      </c>
      <c r="U318" s="393" t="s">
        <v>1202</v>
      </c>
      <c r="V318" s="7">
        <v>1</v>
      </c>
      <c r="W318" s="8">
        <v>10</v>
      </c>
      <c r="AZ318" s="8"/>
      <c r="BA318" s="7"/>
      <c r="BB318" s="8"/>
      <c r="BC318" s="7"/>
      <c r="BD318" s="8"/>
      <c r="BE318" s="8"/>
      <c r="BF318" s="9"/>
    </row>
    <row r="319" spans="1:5120 5122:14336 14338:16384" hidden="1">
      <c r="A319" s="286" t="s">
        <v>244</v>
      </c>
      <c r="B319" s="286" t="s">
        <v>221</v>
      </c>
      <c r="C319" s="280" t="s">
        <v>3</v>
      </c>
      <c r="D319" s="281" t="str">
        <f>IF(F319="","",CHOOSE(MONTH(F319),"Q4","Q4","Q4","Q1","Q1","Q1","Q2","Q2","Q2","Q3","Q3","Q3"))</f>
        <v>Q4</v>
      </c>
      <c r="E319" s="282" t="str">
        <f>IF(F319="","",CHOOSE(MONTH(F319),"10-JAN","11-FEB","12-MAR","01-APR","02-MAY","03-JUN","04-JUL","05-AUG","06-SEP","07-OCT","08-NOV","09-DEC"))</f>
        <v>11-FEB</v>
      </c>
      <c r="F319" s="242">
        <v>45326</v>
      </c>
      <c r="G319" s="55" t="s">
        <v>1176</v>
      </c>
      <c r="H319" s="5" t="s">
        <v>36</v>
      </c>
      <c r="I319" s="29" t="s">
        <v>223</v>
      </c>
      <c r="J319" s="8" t="s">
        <v>69</v>
      </c>
      <c r="K319" s="281" t="s">
        <v>34</v>
      </c>
      <c r="M319" s="151">
        <f>IF(SUM(V319:BC319)=0,"-",SUM(V319:BC319))</f>
        <v>8</v>
      </c>
      <c r="N319" s="278">
        <f>IF(SUMPRODUCT($V$3:$BC$3,V319:BC319)=0,"-",SUMPRODUCT($V$3:$BC$3,V319:BC319))</f>
        <v>415</v>
      </c>
      <c r="P319" s="279"/>
      <c r="Q319" s="211">
        <v>4200659622</v>
      </c>
      <c r="R319" s="211"/>
      <c r="S319" s="211" t="s">
        <v>249</v>
      </c>
      <c r="T319" s="211" t="s">
        <v>1335</v>
      </c>
      <c r="U319" s="393" t="s">
        <v>1241</v>
      </c>
      <c r="AC319" s="7">
        <v>1</v>
      </c>
      <c r="AD319" s="8">
        <v>7</v>
      </c>
      <c r="AZ319" s="8"/>
      <c r="BA319" s="7"/>
      <c r="BB319" s="8"/>
      <c r="BC319" s="7"/>
      <c r="BD319" s="5"/>
      <c r="BF319" s="9"/>
    </row>
    <row r="320" spans="1:5120 5122:14336 14338:16384" hidden="1">
      <c r="A320" s="286" t="s">
        <v>244</v>
      </c>
      <c r="B320" s="286" t="s">
        <v>221</v>
      </c>
      <c r="C320" s="280" t="s">
        <v>3</v>
      </c>
      <c r="D320" s="281" t="str">
        <f>IF(F320="","",CHOOSE(MONTH(F320),"Q4","Q4","Q4","Q1","Q1","Q1","Q2","Q2","Q2","Q3","Q3","Q3"))</f>
        <v>Q4</v>
      </c>
      <c r="E320" s="282" t="str">
        <f>IF(F320="","",CHOOSE(MONTH(F320),"10-JAN","11-FEB","12-MAR","01-APR","02-MAY","03-JUN","04-JUL","05-AUG","06-SEP","07-OCT","08-NOV","09-DEC"))</f>
        <v>11-FEB</v>
      </c>
      <c r="F320" s="242">
        <v>45326</v>
      </c>
      <c r="G320" s="55" t="s">
        <v>1174</v>
      </c>
      <c r="H320" t="s">
        <v>38</v>
      </c>
      <c r="I320" s="29" t="s">
        <v>223</v>
      </c>
      <c r="J320" s="8" t="s">
        <v>67</v>
      </c>
      <c r="K320" s="281" t="s">
        <v>34</v>
      </c>
      <c r="M320" s="151">
        <f>IF(SUM(V320:BC320)=0,"-",SUM(V320:BC320))</f>
        <v>1</v>
      </c>
      <c r="N320" s="241">
        <f>IF(SUMPRODUCT($V$3:$BC$3,V320:BC320)=0,"-",SUMPRODUCT($V$3:$BC$3,V320:BC320))</f>
        <v>180</v>
      </c>
      <c r="O320" s="266" t="s">
        <v>1175</v>
      </c>
      <c r="P320" s="279" t="str">
        <f>IF(G320="","",IFERROR(IF(S320="Sent","",IF(I320="Delivered","PO en attente","Projet en cours")),""))</f>
        <v/>
      </c>
      <c r="Q320" s="211">
        <v>4200661132</v>
      </c>
      <c r="R320" s="211"/>
      <c r="S320" s="211" t="s">
        <v>249</v>
      </c>
      <c r="T320" s="211" t="s">
        <v>1337</v>
      </c>
      <c r="U320" s="393" t="s">
        <v>1314</v>
      </c>
      <c r="AE320" s="8">
        <v>1</v>
      </c>
      <c r="AZ320" s="8"/>
      <c r="BA320" s="7"/>
      <c r="BB320" s="8"/>
      <c r="BC320" s="7"/>
      <c r="BD320" s="8"/>
      <c r="BE320" s="8"/>
      <c r="BF320" s="9"/>
    </row>
    <row r="321" spans="1:58" hidden="1">
      <c r="A321" s="286" t="s">
        <v>244</v>
      </c>
      <c r="B321" s="286" t="s">
        <v>221</v>
      </c>
      <c r="C321" s="280" t="s">
        <v>3</v>
      </c>
      <c r="D321" s="281" t="str">
        <f>IF(F321="","",CHOOSE(MONTH(F321),"Q4","Q4","Q4","Q1","Q1","Q1","Q2","Q2","Q2","Q3","Q3","Q3"))</f>
        <v>Q4</v>
      </c>
      <c r="E321" s="282" t="str">
        <f>IF(F321="","",CHOOSE(MONTH(F321),"10-JAN","11-FEB","12-MAR","01-APR","02-MAY","03-JUN","04-JUL","05-AUG","06-SEP","07-OCT","08-NOV","09-DEC"))</f>
        <v>11-FEB</v>
      </c>
      <c r="F321" s="242">
        <v>45330</v>
      </c>
      <c r="G321" s="55" t="s">
        <v>1177</v>
      </c>
      <c r="H321" s="5" t="s">
        <v>36</v>
      </c>
      <c r="I321" s="29" t="s">
        <v>223</v>
      </c>
      <c r="J321" s="8" t="s">
        <v>69</v>
      </c>
      <c r="K321" s="281" t="s">
        <v>34</v>
      </c>
      <c r="L321" s="78" t="s">
        <v>1178</v>
      </c>
      <c r="M321" s="151">
        <f>IF(SUM(V321:BC321)=0,"-",SUM(V321:BC321))</f>
        <v>1</v>
      </c>
      <c r="N321" s="278">
        <f>IF(SUMPRODUCT($V$3:$BC$3,V321:BC321)=0,"-",SUMPRODUCT($V$3:$BC$3,V321:BC321))</f>
        <v>120</v>
      </c>
      <c r="O321" s="114" t="s">
        <v>1338</v>
      </c>
      <c r="P321" s="279"/>
      <c r="Q321" s="211">
        <v>4200659622</v>
      </c>
      <c r="R321" s="211"/>
      <c r="S321" s="211" t="s">
        <v>249</v>
      </c>
      <c r="T321" s="211" t="s">
        <v>1335</v>
      </c>
      <c r="U321" s="393" t="s">
        <v>1241</v>
      </c>
      <c r="V321" s="7">
        <v>1</v>
      </c>
      <c r="BE321" s="9"/>
    </row>
    <row r="322" spans="1:58" hidden="1">
      <c r="A322" s="286" t="s">
        <v>244</v>
      </c>
      <c r="B322" s="286" t="s">
        <v>221</v>
      </c>
      <c r="C322" s="280" t="s">
        <v>3</v>
      </c>
      <c r="D322" s="281" t="str">
        <f>IF(F322="","",CHOOSE(MONTH(F322),"Q4","Q4","Q4","Q1","Q1","Q1","Q2","Q2","Q2","Q3","Q3","Q3"))</f>
        <v>Q4</v>
      </c>
      <c r="E322" s="282" t="str">
        <f>IF(F322="","",CHOOSE(MONTH(F322),"10-JAN","11-FEB","12-MAR","01-APR","02-MAY","03-JUN","04-JUL","05-AUG","06-SEP","07-OCT","08-NOV","09-DEC"))</f>
        <v>11-FEB</v>
      </c>
      <c r="F322" s="242">
        <v>45331</v>
      </c>
      <c r="G322" s="220" t="s">
        <v>427</v>
      </c>
      <c r="H322" s="459" t="s">
        <v>31</v>
      </c>
      <c r="I322" s="29" t="s">
        <v>223</v>
      </c>
      <c r="J322" s="8" t="s">
        <v>129</v>
      </c>
      <c r="K322" s="281" t="s">
        <v>30</v>
      </c>
      <c r="L322" s="78" t="s">
        <v>428</v>
      </c>
      <c r="M322" s="151">
        <f>IF(SUM(V322:BC322)=0,"-",SUM(V322:BC322))</f>
        <v>1</v>
      </c>
      <c r="N322" s="241">
        <f>IF(SUMPRODUCT($V$3:$BC$3,V322:BC322)=0,"-",SUMPRODUCT($V$3:$BC$3,V322:BC322))</f>
        <v>80</v>
      </c>
      <c r="P322" s="279" t="str">
        <f>IF(G322="","",IFERROR(IF(S322="Sent","",IF(I322="Delivered","PO en attente","Projet en cours")),""))</f>
        <v/>
      </c>
      <c r="Q322" s="260">
        <v>4200657839</v>
      </c>
      <c r="R322" s="260" t="s">
        <v>1302</v>
      </c>
      <c r="S322" s="260" t="s">
        <v>249</v>
      </c>
      <c r="T322" s="260" t="s">
        <v>1333</v>
      </c>
      <c r="U322" s="393" t="s">
        <v>1202</v>
      </c>
      <c r="AS322" s="7">
        <v>1</v>
      </c>
      <c r="AZ322" s="8"/>
      <c r="BA322" s="7"/>
      <c r="BB322" s="8"/>
      <c r="BC322" s="7"/>
      <c r="BD322" s="8"/>
      <c r="BE322" s="8"/>
      <c r="BF322" s="9"/>
    </row>
    <row r="323" spans="1:58" hidden="1">
      <c r="A323" s="286" t="s">
        <v>244</v>
      </c>
      <c r="B323" s="286" t="s">
        <v>221</v>
      </c>
      <c r="C323" s="280" t="s">
        <v>3</v>
      </c>
      <c r="D323" s="281" t="str">
        <f>IF(F323="","",CHOOSE(MONTH(F323),"Q4","Q4","Q4","Q1","Q1","Q1","Q2","Q2","Q2","Q3","Q3","Q3"))</f>
        <v>Q4</v>
      </c>
      <c r="E323" s="282" t="str">
        <f>IF(F323="","",CHOOSE(MONTH(F323),"10-JAN","11-FEB","12-MAR","01-APR","02-MAY","03-JUN","04-JUL","05-AUG","06-SEP","07-OCT","08-NOV","09-DEC"))</f>
        <v>11-FEB</v>
      </c>
      <c r="F323" s="242">
        <v>45334</v>
      </c>
      <c r="G323" s="55" t="s">
        <v>432</v>
      </c>
      <c r="H323" s="5" t="s">
        <v>26</v>
      </c>
      <c r="I323" s="29" t="s">
        <v>223</v>
      </c>
      <c r="J323" s="8" t="s">
        <v>130</v>
      </c>
      <c r="K323" s="281" t="s">
        <v>30</v>
      </c>
      <c r="L323" s="78" t="s">
        <v>1339</v>
      </c>
      <c r="M323" s="151">
        <f>IF(SUM(V323:BC323)=0,"-",SUM(V323:BC323))</f>
        <v>3</v>
      </c>
      <c r="N323" s="278">
        <f>IF(SUMPRODUCT($V$3:$BC$3,V323:BC323)=0,"-",SUMPRODUCT($V$3:$BC$3,V323:BC323))</f>
        <v>190</v>
      </c>
      <c r="P323" s="279" t="str">
        <f>IF(G323="","",IFERROR(IF(S323="Sent","",IF(I323="Delivered","PO en attente","Projet en cours")),""))</f>
        <v/>
      </c>
      <c r="Q323" s="211">
        <v>4200663716</v>
      </c>
      <c r="R323" s="315" t="s">
        <v>225</v>
      </c>
      <c r="S323" s="260" t="s">
        <v>249</v>
      </c>
      <c r="T323" s="260" t="s">
        <v>1319</v>
      </c>
      <c r="U323" s="486" t="s">
        <v>1320</v>
      </c>
      <c r="V323" s="264">
        <v>1</v>
      </c>
      <c r="W323" s="8">
        <v>2</v>
      </c>
      <c r="AZ323" s="8"/>
      <c r="BA323" s="7"/>
      <c r="BB323" s="8"/>
      <c r="BC323" s="9"/>
      <c r="BD323" s="8"/>
      <c r="BE323" s="8"/>
      <c r="BF323" s="9"/>
    </row>
    <row r="324" spans="1:58" hidden="1">
      <c r="A324" s="286" t="s">
        <v>244</v>
      </c>
      <c r="B324" s="286" t="s">
        <v>221</v>
      </c>
      <c r="C324" s="280" t="s">
        <v>3</v>
      </c>
      <c r="D324" s="281" t="str">
        <f>IF(F324="","",CHOOSE(MONTH(F324),"Q4","Q4","Q4","Q1","Q1","Q1","Q2","Q2","Q2","Q3","Q3","Q3"))</f>
        <v>Q4</v>
      </c>
      <c r="E324" s="282" t="str">
        <f>IF(F324="","",CHOOSE(MONTH(F324),"10-JAN","11-FEB","12-MAR","01-APR","02-MAY","03-JUN","04-JUL","05-AUG","06-SEP","07-OCT","08-NOV","09-DEC"))</f>
        <v>11-FEB</v>
      </c>
      <c r="F324" s="242">
        <v>45335</v>
      </c>
      <c r="G324" s="55" t="s">
        <v>1340</v>
      </c>
      <c r="H324" s="5" t="s">
        <v>27</v>
      </c>
      <c r="I324" s="29" t="s">
        <v>223</v>
      </c>
      <c r="J324" s="8" t="s">
        <v>69</v>
      </c>
      <c r="K324" s="281" t="s">
        <v>34</v>
      </c>
      <c r="M324" s="151">
        <f>IF(SUM(V324:BC324)=0,"-",SUM(V324:BC324))</f>
        <v>1</v>
      </c>
      <c r="N324" s="241">
        <f>IF(SUMPRODUCT($V$3:$BC$3,V324:BC324)=0,"-",SUMPRODUCT($V$3:$BC$3,V324:BC324))</f>
        <v>120</v>
      </c>
      <c r="O324" s="307" t="s">
        <v>1341</v>
      </c>
      <c r="P324" s="269" t="str">
        <f>IF(G324="","",IFERROR(IF(S324="Sent","",IF(I324="Delivered","PO en attente","Projet en cours")),""))</f>
        <v/>
      </c>
      <c r="Q324" s="315" t="s">
        <v>1342</v>
      </c>
      <c r="R324" s="315"/>
      <c r="S324" s="248" t="s">
        <v>249</v>
      </c>
      <c r="T324" s="248" t="s">
        <v>1343</v>
      </c>
      <c r="U324" s="393" t="s">
        <v>1314</v>
      </c>
      <c r="V324" s="7">
        <v>1</v>
      </c>
      <c r="AZ324" s="8"/>
      <c r="BA324" s="7"/>
      <c r="BB324" s="8"/>
      <c r="BC324" s="7"/>
      <c r="BD324" s="8"/>
      <c r="BE324" s="8"/>
      <c r="BF324" s="9"/>
    </row>
    <row r="325" spans="1:58" hidden="1">
      <c r="A325" s="286" t="s">
        <v>244</v>
      </c>
      <c r="B325" s="286" t="s">
        <v>221</v>
      </c>
      <c r="C325" s="280" t="s">
        <v>3</v>
      </c>
      <c r="D325" s="281" t="str">
        <f>IF(F325="","",CHOOSE(MONTH(F325),"Q4","Q4","Q4","Q1","Q1","Q1","Q2","Q2","Q2","Q3","Q3","Q3"))</f>
        <v>Q4</v>
      </c>
      <c r="E325" s="282" t="str">
        <f>IF(F325="","",CHOOSE(MONTH(F325),"10-JAN","11-FEB","12-MAR","01-APR","02-MAY","03-JUN","04-JUL","05-AUG","06-SEP","07-OCT","08-NOV","09-DEC"))</f>
        <v>11-FEB</v>
      </c>
      <c r="F325" s="76">
        <v>45341</v>
      </c>
      <c r="G325" s="222" t="s">
        <v>1344</v>
      </c>
      <c r="H325" s="5" t="s">
        <v>36</v>
      </c>
      <c r="I325" s="29" t="s">
        <v>223</v>
      </c>
      <c r="J325" s="8" t="s">
        <v>69</v>
      </c>
      <c r="K325" s="281" t="s">
        <v>34</v>
      </c>
      <c r="L325" s="78" t="s">
        <v>1345</v>
      </c>
      <c r="M325" s="151">
        <f>IF(SUM(V325:BC325)=0,"-",SUM(V325:BC325))</f>
        <v>9</v>
      </c>
      <c r="N325" s="241">
        <f>IF(SUMPRODUCT($V$3:$BC$3,V325:BC325)=0,"-",SUMPRODUCT($V$3:$BC$3,V325:BC325))</f>
        <v>400</v>
      </c>
      <c r="O325" s="266" t="s">
        <v>1346</v>
      </c>
      <c r="P325" s="279" t="str">
        <f>IF(G325="","",IFERROR(IF(S325="Sent","",IF(I325="Delivered","PO en attente","Projet en cours")),""))</f>
        <v/>
      </c>
      <c r="Q325" s="211">
        <v>4200661512</v>
      </c>
      <c r="R325" s="211"/>
      <c r="S325" s="211" t="s">
        <v>249</v>
      </c>
      <c r="T325" s="211" t="s">
        <v>1296</v>
      </c>
      <c r="U325" s="485" t="s">
        <v>1206</v>
      </c>
      <c r="V325" s="7">
        <v>1</v>
      </c>
      <c r="W325" s="8">
        <v>8</v>
      </c>
      <c r="AZ325" s="8"/>
      <c r="BA325" s="7"/>
      <c r="BB325" s="8"/>
      <c r="BC325" s="7"/>
      <c r="BD325" s="5"/>
      <c r="BF325" s="9"/>
    </row>
    <row r="326" spans="1:58" ht="15.75" hidden="1" customHeight="1">
      <c r="A326" s="286" t="s">
        <v>244</v>
      </c>
      <c r="B326" s="286" t="s">
        <v>221</v>
      </c>
      <c r="C326" s="280" t="s">
        <v>3</v>
      </c>
      <c r="D326" s="281" t="str">
        <f>IF(F326="","",CHOOSE(MONTH(F326),"Q4","Q4","Q4","Q1","Q1","Q1","Q2","Q2","Q2","Q3","Q3","Q3"))</f>
        <v>Q4</v>
      </c>
      <c r="E326" s="282" t="str">
        <f>IF(F326="","",CHOOSE(MONTH(F326),"10-JAN","11-FEB","12-MAR","01-APR","02-MAY","03-JUN","04-JUL","05-AUG","06-SEP","07-OCT","08-NOV","09-DEC"))</f>
        <v>11-FEB</v>
      </c>
      <c r="F326" s="242">
        <v>45341</v>
      </c>
      <c r="G326" s="55" t="s">
        <v>1347</v>
      </c>
      <c r="H326" s="5" t="s">
        <v>27</v>
      </c>
      <c r="I326" s="29" t="s">
        <v>223</v>
      </c>
      <c r="J326" s="8" t="s">
        <v>130</v>
      </c>
      <c r="K326" s="281" t="s">
        <v>34</v>
      </c>
      <c r="L326" s="78" t="s">
        <v>1348</v>
      </c>
      <c r="M326" s="151" t="str">
        <f>IF(SUM(V326:BC326)=0,"-",SUM(V326:BC326))</f>
        <v>-</v>
      </c>
      <c r="N326" s="278">
        <v>200</v>
      </c>
      <c r="O326" s="269"/>
      <c r="P326" s="269" t="str">
        <f>IF(G326="","",IFERROR(IF(S326="Sent","",IF(I326="Delivered","PO en attente","Projet en cours")),""))</f>
        <v/>
      </c>
      <c r="Q326" s="315" t="s">
        <v>1349</v>
      </c>
      <c r="R326" s="315"/>
      <c r="S326" s="248" t="s">
        <v>249</v>
      </c>
      <c r="T326" s="248" t="s">
        <v>1350</v>
      </c>
      <c r="U326" s="393" t="s">
        <v>1314</v>
      </c>
      <c r="AZ326" s="8"/>
      <c r="BA326" s="7"/>
      <c r="BB326" s="8"/>
      <c r="BC326" s="7"/>
      <c r="BD326" s="8"/>
      <c r="BE326" s="8"/>
      <c r="BF326" s="9"/>
    </row>
    <row r="327" spans="1:58" hidden="1">
      <c r="A327" s="286" t="s">
        <v>244</v>
      </c>
      <c r="B327" s="286" t="s">
        <v>221</v>
      </c>
      <c r="C327" s="280" t="s">
        <v>2</v>
      </c>
      <c r="D327" s="281" t="str">
        <f>IF(F327="","",CHOOSE(MONTH(F327),"Q4","Q4","Q4","Q1","Q1","Q1","Q2","Q2","Q2","Q3","Q3","Q3"))</f>
        <v>Q4</v>
      </c>
      <c r="E327" s="282" t="str">
        <f>IF(F327="","",CHOOSE(MONTH(F327),"10-JAN","11-FEB","12-MAR","01-APR","02-MAY","03-JUN","04-JUL","05-AUG","06-SEP","07-OCT","08-NOV","09-DEC"))</f>
        <v>11-FEB</v>
      </c>
      <c r="F327" s="242">
        <v>45341</v>
      </c>
      <c r="G327" s="55" t="s">
        <v>39</v>
      </c>
      <c r="H327" t="s">
        <v>38</v>
      </c>
      <c r="I327" s="29" t="s">
        <v>223</v>
      </c>
      <c r="J327" s="8" t="s">
        <v>69</v>
      </c>
      <c r="K327" s="281" t="s">
        <v>34</v>
      </c>
      <c r="L327" s="78" t="s">
        <v>1351</v>
      </c>
      <c r="M327" s="151">
        <f>IF(SUM(V327:BC327)=0,"-",SUM(V327:BC327))</f>
        <v>2</v>
      </c>
      <c r="N327" s="278">
        <f>IF(SUMPRODUCT($V$3:$BC$3,V327:BC327)=0,"-",SUMPRODUCT($V$3:$BC$3,V327:BC327))</f>
        <v>175</v>
      </c>
      <c r="O327" s="307" t="s">
        <v>1352</v>
      </c>
      <c r="P327" s="279" t="str">
        <f>IF(G327="","",IFERROR(IF(S327="Sent","",IF(I327="Delivered","PO en attente","Projet en cours")),""))</f>
        <v/>
      </c>
      <c r="Q327" s="315" t="s">
        <v>1353</v>
      </c>
      <c r="R327" s="315"/>
      <c r="S327" s="211" t="s">
        <v>249</v>
      </c>
      <c r="T327" s="262" t="s">
        <v>1354</v>
      </c>
      <c r="U327" s="253" t="s">
        <v>1306</v>
      </c>
      <c r="AB327" s="7"/>
      <c r="AC327" s="8">
        <v>1</v>
      </c>
      <c r="AD327" s="8">
        <v>1</v>
      </c>
      <c r="AK327" s="7"/>
      <c r="AM327" s="8"/>
      <c r="AR327" s="7"/>
      <c r="AS327" s="8"/>
      <c r="AY327" s="7"/>
      <c r="AZ327" s="8"/>
      <c r="BA327" s="7"/>
      <c r="BB327" s="8"/>
      <c r="BC327" s="7"/>
      <c r="BD327" s="5"/>
      <c r="BF327" s="9"/>
    </row>
    <row r="328" spans="1:58" hidden="1">
      <c r="A328" s="286" t="s">
        <v>244</v>
      </c>
      <c r="B328" s="286" t="s">
        <v>221</v>
      </c>
      <c r="C328" s="280" t="s">
        <v>3</v>
      </c>
      <c r="D328" s="281" t="str">
        <f>IF(F328="","",CHOOSE(MONTH(F328),"Q4","Q4","Q4","Q1","Q1","Q1","Q2","Q2","Q2","Q3","Q3","Q3"))</f>
        <v>Q4</v>
      </c>
      <c r="E328" s="282" t="str">
        <f>IF(F328="","",CHOOSE(MONTH(F328),"10-JAN","11-FEB","12-MAR","01-APR","02-MAY","03-JUN","04-JUL","05-AUG","06-SEP","07-OCT","08-NOV","09-DEC"))</f>
        <v>11-FEB</v>
      </c>
      <c r="F328" s="76">
        <v>45348</v>
      </c>
      <c r="G328" s="231" t="s">
        <v>1355</v>
      </c>
      <c r="H328" s="5" t="s">
        <v>36</v>
      </c>
      <c r="I328" s="29" t="s">
        <v>223</v>
      </c>
      <c r="J328" s="8" t="s">
        <v>69</v>
      </c>
      <c r="K328" s="281" t="s">
        <v>34</v>
      </c>
      <c r="L328" s="78" t="s">
        <v>1356</v>
      </c>
      <c r="M328" s="151">
        <f>IF(SUM(V328:BC328)=0,"-",SUM(V328:BC328))</f>
        <v>11</v>
      </c>
      <c r="N328" s="241">
        <f>IF(SUMPRODUCT($V$3:$BC$3,V328:BC328)=0,"-",SUMPRODUCT($V$3:$BC$3,V328:BC328))</f>
        <v>480</v>
      </c>
      <c r="O328" s="266" t="s">
        <v>1357</v>
      </c>
      <c r="P328" s="279" t="str">
        <f>IF(G328="","",IFERROR(IF(S328="Sent","",IF(I328="Delivered","PO en attente","Projet en cours")),""))</f>
        <v/>
      </c>
      <c r="Q328" s="211" t="s">
        <v>1358</v>
      </c>
      <c r="R328" s="211"/>
      <c r="S328" s="211" t="s">
        <v>249</v>
      </c>
      <c r="T328" s="211" t="s">
        <v>1301</v>
      </c>
      <c r="U328" s="485" t="s">
        <v>1206</v>
      </c>
      <c r="V328" s="7">
        <v>1</v>
      </c>
      <c r="W328" s="8">
        <v>8</v>
      </c>
      <c r="AD328" s="8">
        <v>2</v>
      </c>
      <c r="AZ328" s="8"/>
      <c r="BA328" s="7"/>
      <c r="BB328" s="8"/>
      <c r="BC328" s="7"/>
      <c r="BD328" s="5"/>
    </row>
    <row r="329" spans="1:58" hidden="1">
      <c r="A329" s="286" t="s">
        <v>244</v>
      </c>
      <c r="B329" s="286" t="s">
        <v>221</v>
      </c>
      <c r="C329" s="280" t="s">
        <v>3</v>
      </c>
      <c r="D329" s="281" t="str">
        <f>IF(F329="","",CHOOSE(MONTH(F329),"Q4","Q4","Q4","Q1","Q1","Q1","Q2","Q2","Q2","Q3","Q3","Q3"))</f>
        <v>Q4</v>
      </c>
      <c r="E329" s="282" t="str">
        <f>IF(F329="","",CHOOSE(MONTH(F329),"10-JAN","11-FEB","12-MAR","01-APR","02-MAY","03-JUN","04-JUL","05-AUG","06-SEP","07-OCT","08-NOV","09-DEC"))</f>
        <v>11-FEB</v>
      </c>
      <c r="F329" s="76">
        <v>45348</v>
      </c>
      <c r="G329" s="231" t="s">
        <v>1359</v>
      </c>
      <c r="H329" s="5" t="s">
        <v>36</v>
      </c>
      <c r="I329" s="29" t="s">
        <v>223</v>
      </c>
      <c r="J329" s="8" t="s">
        <v>69</v>
      </c>
      <c r="K329" s="281" t="s">
        <v>34</v>
      </c>
      <c r="L329" s="78" t="s">
        <v>1360</v>
      </c>
      <c r="M329" s="151">
        <f>IF(SUM(V329:BC329)=0,"-",SUM(V329:BC329))</f>
        <v>7</v>
      </c>
      <c r="N329" s="241">
        <f>IF(SUMPRODUCT($V$3:$BC$3,V329:BC329)=0,"-",SUMPRODUCT($V$3:$BC$3,V329:BC329))</f>
        <v>340</v>
      </c>
      <c r="O329" s="266" t="s">
        <v>1361</v>
      </c>
      <c r="P329" s="279" t="str">
        <f>IF(G329="","",IFERROR(IF(S329="Sent","",IF(I329="Delivered","PO en attente","Projet en cours")),""))</f>
        <v/>
      </c>
      <c r="Q329" s="211" t="s">
        <v>1358</v>
      </c>
      <c r="R329" s="211"/>
      <c r="S329" s="211" t="s">
        <v>249</v>
      </c>
      <c r="T329" s="211" t="s">
        <v>1301</v>
      </c>
      <c r="U329" s="253" t="s">
        <v>1206</v>
      </c>
      <c r="V329" s="7">
        <v>1</v>
      </c>
      <c r="W329" s="8">
        <v>4</v>
      </c>
      <c r="AD329" s="8">
        <v>2</v>
      </c>
      <c r="AZ329" s="8"/>
      <c r="BA329" s="7"/>
      <c r="BB329" s="8"/>
      <c r="BC329" s="7"/>
      <c r="BD329" s="5"/>
    </row>
    <row r="330" spans="1:58" hidden="1">
      <c r="A330" s="286" t="s">
        <v>244</v>
      </c>
      <c r="B330" s="286" t="s">
        <v>221</v>
      </c>
      <c r="C330" s="280" t="s">
        <v>2</v>
      </c>
      <c r="D330" s="281" t="str">
        <f>IF(F330="","",CHOOSE(MONTH(F330),"Q4","Q4","Q4","Q1","Q1","Q1","Q2","Q2","Q2","Q3","Q3","Q3"))</f>
        <v>Q4</v>
      </c>
      <c r="E330" s="282" t="str">
        <f>IF(F330="","",CHOOSE(MONTH(F330),"10-JAN","11-FEB","12-MAR","01-APR","02-MAY","03-JUN","04-JUL","05-AUG","06-SEP","07-OCT","08-NOV","09-DEC"))</f>
        <v>11-FEB</v>
      </c>
      <c r="F330" s="242">
        <v>45348</v>
      </c>
      <c r="G330" s="231" t="s">
        <v>122</v>
      </c>
      <c r="H330" s="5" t="s">
        <v>26</v>
      </c>
      <c r="I330" s="29" t="s">
        <v>223</v>
      </c>
      <c r="J330" s="8" t="s">
        <v>95</v>
      </c>
      <c r="K330" s="281" t="s">
        <v>30</v>
      </c>
      <c r="L330" s="78" t="s">
        <v>1362</v>
      </c>
      <c r="M330" s="151">
        <f>IF(SUM(V330:BC330)=0,"-",SUM(V330:BC330))</f>
        <v>2</v>
      </c>
      <c r="N330" s="278">
        <f>IF(SUMPRODUCT($V$3:$BC$3,V330:BC330)=0,"-",SUMPRODUCT($V$3:$BC$3,V330:BC330))</f>
        <v>270</v>
      </c>
      <c r="O330" s="269"/>
      <c r="P330" s="269" t="str">
        <f>IF(G330="","",IFERROR(IF(S330="Sent","",IF(I330="Delivered","PO en attente","Projet en cours")),""))</f>
        <v/>
      </c>
      <c r="Q330" s="315" t="s">
        <v>121</v>
      </c>
      <c r="R330" s="315" t="s">
        <v>225</v>
      </c>
      <c r="S330" s="262" t="s">
        <v>249</v>
      </c>
      <c r="T330" s="262" t="s">
        <v>1363</v>
      </c>
      <c r="U330" s="257" t="s">
        <v>1320</v>
      </c>
      <c r="AC330" s="7">
        <v>2</v>
      </c>
      <c r="AZ330" s="8"/>
      <c r="BA330" s="7"/>
      <c r="BB330" s="8"/>
      <c r="BC330" s="7"/>
      <c r="BD330" s="8"/>
      <c r="BE330" s="8"/>
    </row>
    <row r="331" spans="1:58" hidden="1">
      <c r="A331" s="286" t="s">
        <v>244</v>
      </c>
      <c r="B331" s="286" t="s">
        <v>221</v>
      </c>
      <c r="C331" s="280" t="s">
        <v>3</v>
      </c>
      <c r="D331" s="281" t="str">
        <f>IF(F331="","",CHOOSE(MONTH(F331),"Q4","Q4","Q4","Q1","Q1","Q1","Q2","Q2","Q2","Q3","Q3","Q3"))</f>
        <v>Q4</v>
      </c>
      <c r="E331" s="282" t="str">
        <f>IF(F331="","",CHOOSE(MONTH(F331),"10-JAN","11-FEB","12-MAR","01-APR","02-MAY","03-JUN","04-JUL","05-AUG","06-SEP","07-OCT","08-NOV","09-DEC"))</f>
        <v>11-FEB</v>
      </c>
      <c r="F331" s="242">
        <v>45349</v>
      </c>
      <c r="G331" s="235" t="s">
        <v>1364</v>
      </c>
      <c r="H331" s="156" t="s">
        <v>35</v>
      </c>
      <c r="I331" s="29" t="s">
        <v>223</v>
      </c>
      <c r="J331" s="105" t="s">
        <v>95</v>
      </c>
      <c r="K331" s="281" t="s">
        <v>34</v>
      </c>
      <c r="L331" s="318" t="s">
        <v>1365</v>
      </c>
      <c r="M331" s="151">
        <f>IF(SUM(V331:BC331)=0,"-",SUM(V331:BC331))</f>
        <v>8</v>
      </c>
      <c r="N331" s="317">
        <f>IF(SUMPRODUCT($V$3:$BC$3,V331:BC331)=0,"-",SUMPRODUCT($V$3:$BC$3,V331:BC331))</f>
        <v>415</v>
      </c>
      <c r="O331" s="307" t="s">
        <v>1366</v>
      </c>
      <c r="P331" s="279" t="str">
        <f>IF(G331="","",IFERROR(IF(S331="Sent","",IF(I331="Delivered","PO en attente","Projet en cours")),""))</f>
        <v/>
      </c>
      <c r="Q331" s="315" t="s">
        <v>1367</v>
      </c>
      <c r="R331" s="315"/>
      <c r="S331" s="248" t="s">
        <v>249</v>
      </c>
      <c r="T331" s="248" t="s">
        <v>1368</v>
      </c>
      <c r="U331" s="249" t="s">
        <v>1314</v>
      </c>
      <c r="AC331" s="7">
        <v>1</v>
      </c>
      <c r="AD331" s="8">
        <v>7</v>
      </c>
      <c r="AZ331" s="8"/>
      <c r="BA331" s="7"/>
      <c r="BB331" s="8"/>
      <c r="BC331" s="7"/>
      <c r="BD331" s="8"/>
      <c r="BE331" s="8"/>
    </row>
    <row r="332" spans="1:58" hidden="1">
      <c r="A332" s="286" t="s">
        <v>244</v>
      </c>
      <c r="B332" s="286" t="s">
        <v>221</v>
      </c>
      <c r="C332" s="280" t="s">
        <v>2</v>
      </c>
      <c r="D332" s="281" t="str">
        <f>IF(F332="","",CHOOSE(MONTH(F332),"Q4","Q4","Q4","Q1","Q1","Q1","Q2","Q2","Q2","Q3","Q3","Q3"))</f>
        <v>Q4</v>
      </c>
      <c r="E332" s="282" t="str">
        <f>IF(F332="","",CHOOSE(MONTH(F332),"10-JAN","11-FEB","12-MAR","01-APR","02-MAY","03-JUN","04-JUL","05-AUG","06-SEP","07-OCT","08-NOV","09-DEC"))</f>
        <v>12-MAR</v>
      </c>
      <c r="F332" s="242">
        <v>45358</v>
      </c>
      <c r="G332" s="236" t="s">
        <v>123</v>
      </c>
      <c r="H332" s="5" t="s">
        <v>26</v>
      </c>
      <c r="I332" s="29" t="s">
        <v>223</v>
      </c>
      <c r="J332" s="8" t="s">
        <v>95</v>
      </c>
      <c r="K332" s="281" t="s">
        <v>30</v>
      </c>
      <c r="L332" s="78" t="s">
        <v>1369</v>
      </c>
      <c r="M332" s="151">
        <f>IF(SUM(V332:BC332)=0,"-",SUM(V332:BC332))</f>
        <v>3</v>
      </c>
      <c r="N332" s="278">
        <f>IF(SUMPRODUCT($V$3:$BC$3,V332:BC332)=0,"-",SUMPRODUCT($V$3:$BC$3,V332:BC332))</f>
        <v>190</v>
      </c>
      <c r="O332" s="269"/>
      <c r="P332" s="269" t="str">
        <f>IF(G332="","",IFERROR(IF(S332="Sent","",IF(I332="Delivered","PO en attente","Projet en cours")),""))</f>
        <v/>
      </c>
      <c r="Q332" s="315" t="s">
        <v>121</v>
      </c>
      <c r="R332" s="315" t="s">
        <v>225</v>
      </c>
      <c r="S332" s="262" t="s">
        <v>249</v>
      </c>
      <c r="T332" s="262" t="s">
        <v>1363</v>
      </c>
      <c r="U332" s="257" t="s">
        <v>1320</v>
      </c>
      <c r="V332" s="7">
        <v>1</v>
      </c>
      <c r="W332" s="8">
        <v>2</v>
      </c>
      <c r="AZ332" s="8"/>
      <c r="BA332" s="7"/>
      <c r="BB332" s="8"/>
      <c r="BC332" s="7"/>
      <c r="BD332" s="8"/>
      <c r="BE332" s="8"/>
    </row>
    <row r="333" spans="1:58" hidden="1">
      <c r="A333" s="286" t="s">
        <v>244</v>
      </c>
      <c r="B333" s="286" t="s">
        <v>221</v>
      </c>
      <c r="C333" s="280" t="s">
        <v>3</v>
      </c>
      <c r="D333" s="281" t="str">
        <f>IF(F333="","",CHOOSE(MONTH(F333),"Q4","Q4","Q4","Q1","Q1","Q1","Q2","Q2","Q2","Q3","Q3","Q3"))</f>
        <v>Q4</v>
      </c>
      <c r="E333" s="282" t="str">
        <f>IF(F333="","",CHOOSE(MONTH(F333),"10-JAN","11-FEB","12-MAR","01-APR","02-MAY","03-JUN","04-JUL","05-AUG","06-SEP","07-OCT","08-NOV","09-DEC"))</f>
        <v>12-MAR</v>
      </c>
      <c r="F333" s="242">
        <v>45359</v>
      </c>
      <c r="G333" s="231" t="s">
        <v>1370</v>
      </c>
      <c r="H333" s="5" t="s">
        <v>35</v>
      </c>
      <c r="I333" s="29" t="s">
        <v>223</v>
      </c>
      <c r="J333" s="8" t="s">
        <v>95</v>
      </c>
      <c r="K333" s="281" t="s">
        <v>34</v>
      </c>
      <c r="L333" s="78" t="s">
        <v>1371</v>
      </c>
      <c r="M333" s="151">
        <f>IF(SUM(V333:BC333)=0,"-",SUM(V333:BC333))</f>
        <v>1</v>
      </c>
      <c r="N333" s="278">
        <f>IF(SUMPRODUCT($V$3:$BC$3,V333:BC333)=0,"-",SUMPRODUCT($V$3:$BC$3,V333:BC333))</f>
        <v>180</v>
      </c>
      <c r="O333" s="307" t="s">
        <v>1372</v>
      </c>
      <c r="P333" s="279" t="str">
        <f>IF(G333="","",IFERROR(IF(S333="Sent","",IF(I333="Delivered","PO en attente","Projet en cours")),""))</f>
        <v/>
      </c>
      <c r="Q333" s="315" t="s">
        <v>1373</v>
      </c>
      <c r="R333" s="315"/>
      <c r="S333" s="248" t="s">
        <v>249</v>
      </c>
      <c r="T333" s="248" t="s">
        <v>1374</v>
      </c>
      <c r="U333" s="249" t="s">
        <v>1314</v>
      </c>
      <c r="AE333" s="8">
        <v>1</v>
      </c>
      <c r="AZ333" s="8"/>
      <c r="BA333" s="7"/>
      <c r="BB333" s="8"/>
      <c r="BC333" s="7"/>
      <c r="BD333" s="8"/>
      <c r="BE333" s="8"/>
    </row>
    <row r="334" spans="1:58" hidden="1">
      <c r="A334" s="286" t="s">
        <v>244</v>
      </c>
      <c r="B334" s="286" t="s">
        <v>221</v>
      </c>
      <c r="C334" s="280" t="s">
        <v>3</v>
      </c>
      <c r="D334" s="281" t="str">
        <f>IF(F334="","",CHOOSE(MONTH(F334),"Q4","Q4","Q4","Q1","Q1","Q1","Q2","Q2","Q2","Q3","Q3","Q3"))</f>
        <v>Q4</v>
      </c>
      <c r="E334" s="282" t="str">
        <f>IF(F334="","",CHOOSE(MONTH(F334),"10-JAN","11-FEB","12-MAR","01-APR","02-MAY","03-JUN","04-JUL","05-AUG","06-SEP","07-OCT","08-NOV","09-DEC"))</f>
        <v>12-MAR</v>
      </c>
      <c r="F334" s="76">
        <v>45363</v>
      </c>
      <c r="G334" s="231" t="s">
        <v>1375</v>
      </c>
      <c r="H334" s="5" t="s">
        <v>36</v>
      </c>
      <c r="I334" s="29" t="s">
        <v>223</v>
      </c>
      <c r="J334" s="8" t="s">
        <v>69</v>
      </c>
      <c r="K334" s="281" t="s">
        <v>34</v>
      </c>
      <c r="L334" s="78" t="s">
        <v>1376</v>
      </c>
      <c r="M334" s="151">
        <f>IF(SUM(V334:BC334)=0,"-",SUM(V334:BC334))</f>
        <v>1</v>
      </c>
      <c r="N334" s="241">
        <f>IF(SUMPRODUCT($V$3:$BC$3,V334:BC334)=0,"-",SUMPRODUCT($V$3:$BC$3,V334:BC334))</f>
        <v>135</v>
      </c>
      <c r="O334" s="266" t="s">
        <v>1377</v>
      </c>
      <c r="P334" s="279" t="str">
        <f>IF(G334="","",IFERROR(IF(S334="Sent","",IF(I334="Delivered","PO en attente","Projet en cours")),""))</f>
        <v/>
      </c>
      <c r="Q334" s="211">
        <v>4200661512</v>
      </c>
      <c r="R334" s="211"/>
      <c r="S334" s="211" t="s">
        <v>249</v>
      </c>
      <c r="T334" s="211" t="s">
        <v>1296</v>
      </c>
      <c r="U334" s="253" t="s">
        <v>1206</v>
      </c>
      <c r="AC334" s="7">
        <v>1</v>
      </c>
      <c r="AZ334" s="8"/>
      <c r="BA334" s="7"/>
      <c r="BB334" s="8"/>
      <c r="BC334" s="7"/>
      <c r="BD334" s="5"/>
    </row>
    <row r="335" spans="1:58" hidden="1">
      <c r="A335" s="286" t="s">
        <v>244</v>
      </c>
      <c r="B335" s="286" t="s">
        <v>221</v>
      </c>
      <c r="C335" s="280" t="s">
        <v>3</v>
      </c>
      <c r="D335" s="281" t="str">
        <f>IF(F335="","",CHOOSE(MONTH(F335),"Q4","Q4","Q4","Q1","Q1","Q1","Q2","Q2","Q2","Q3","Q3","Q3"))</f>
        <v>Q4</v>
      </c>
      <c r="E335" s="282" t="str">
        <f>IF(F335="","",CHOOSE(MONTH(F335),"10-JAN","11-FEB","12-MAR","01-APR","02-MAY","03-JUN","04-JUL","05-AUG","06-SEP","07-OCT","08-NOV","09-DEC"))</f>
        <v>12-MAR</v>
      </c>
      <c r="F335" s="76">
        <v>45363</v>
      </c>
      <c r="G335" s="231" t="s">
        <v>1378</v>
      </c>
      <c r="H335" s="5" t="s">
        <v>36</v>
      </c>
      <c r="I335" s="29" t="s">
        <v>223</v>
      </c>
      <c r="J335" s="8" t="s">
        <v>69</v>
      </c>
      <c r="K335" s="281" t="s">
        <v>34</v>
      </c>
      <c r="L335" s="78" t="s">
        <v>1379</v>
      </c>
      <c r="M335" s="151">
        <f>IF(SUM(V335:BC335)=0,"-",SUM(V335:BC335))</f>
        <v>3</v>
      </c>
      <c r="N335" s="241">
        <f>IF(SUMPRODUCT($V$3:$BC$3,V335:BC335)=0,"-",SUMPRODUCT($V$3:$BC$3,V335:BC335))</f>
        <v>205</v>
      </c>
      <c r="O335" s="266" t="s">
        <v>1380</v>
      </c>
      <c r="P335" s="279" t="str">
        <f>IF(G335="","",IFERROR(IF(S335="Sent","",IF(I335="Delivered","PO en attente","Projet en cours")),""))</f>
        <v/>
      </c>
      <c r="Q335" s="211">
        <v>4200661512</v>
      </c>
      <c r="R335" s="211"/>
      <c r="S335" s="211" t="s">
        <v>249</v>
      </c>
      <c r="T335" s="211" t="s">
        <v>1296</v>
      </c>
      <c r="U335" s="253" t="s">
        <v>1206</v>
      </c>
      <c r="W335" s="8">
        <v>2</v>
      </c>
      <c r="AC335" s="7">
        <v>1</v>
      </c>
      <c r="AZ335" s="8"/>
      <c r="BA335" s="7"/>
      <c r="BB335" s="8"/>
      <c r="BC335" s="7"/>
      <c r="BD335" s="5"/>
    </row>
    <row r="336" spans="1:58" hidden="1">
      <c r="A336" s="286" t="s">
        <v>244</v>
      </c>
      <c r="B336" s="286" t="s">
        <v>221</v>
      </c>
      <c r="C336" s="280" t="s">
        <v>3</v>
      </c>
      <c r="D336" s="281" t="str">
        <f>IF(F336="","",CHOOSE(MONTH(F336),"Q4","Q4","Q4","Q1","Q1","Q1","Q2","Q2","Q2","Q3","Q3","Q3"))</f>
        <v>Q4</v>
      </c>
      <c r="E336" s="282" t="str">
        <f>IF(F336="","",CHOOSE(MONTH(F336),"10-JAN","11-FEB","12-MAR","01-APR","02-MAY","03-JUN","04-JUL","05-AUG","06-SEP","07-OCT","08-NOV","09-DEC"))</f>
        <v>12-MAR</v>
      </c>
      <c r="F336" s="242">
        <v>45363</v>
      </c>
      <c r="G336" s="236" t="s">
        <v>1381</v>
      </c>
      <c r="H336" s="156" t="s">
        <v>35</v>
      </c>
      <c r="I336" s="29" t="s">
        <v>223</v>
      </c>
      <c r="J336" s="105" t="s">
        <v>95</v>
      </c>
      <c r="K336" s="281" t="s">
        <v>34</v>
      </c>
      <c r="L336" s="321" t="s">
        <v>1382</v>
      </c>
      <c r="M336" s="151">
        <f>IF(SUM(V336:BC336)=0,"-",SUM(V336:BC336))</f>
        <v>1</v>
      </c>
      <c r="N336" s="317">
        <f>IF(SUMPRODUCT($V$3:$BC$3,V336:BC336)=0,"-",SUMPRODUCT($V$3:$BC$3,V336:BC336))</f>
        <v>35</v>
      </c>
      <c r="O336" s="307" t="s">
        <v>1366</v>
      </c>
      <c r="P336" s="279" t="str">
        <f>IF(G336="","",IFERROR(IF(S336="Sent","",IF(I336="Delivered","PO en attente","Projet en cours")),""))</f>
        <v/>
      </c>
      <c r="Q336" s="315" t="s">
        <v>1367</v>
      </c>
      <c r="R336" s="315"/>
      <c r="S336" s="248" t="s">
        <v>249</v>
      </c>
      <c r="T336" s="248" t="s">
        <v>1368</v>
      </c>
      <c r="U336" s="249" t="s">
        <v>1314</v>
      </c>
      <c r="W336" s="8">
        <v>1</v>
      </c>
      <c r="AZ336" s="8"/>
      <c r="BA336" s="7"/>
      <c r="BB336" s="8"/>
      <c r="BC336" s="7"/>
      <c r="BD336" s="8"/>
      <c r="BE336" s="8"/>
    </row>
    <row r="337" spans="1:57" hidden="1">
      <c r="A337" s="286" t="s">
        <v>244</v>
      </c>
      <c r="B337" s="286" t="s">
        <v>221</v>
      </c>
      <c r="C337" s="280" t="s">
        <v>3</v>
      </c>
      <c r="D337" s="281" t="str">
        <f>IF(F337="","",CHOOSE(MONTH(F337),"Q4","Q4","Q4","Q1","Q1","Q1","Q2","Q2","Q2","Q3","Q3","Q3"))</f>
        <v>Q4</v>
      </c>
      <c r="E337" s="282" t="str">
        <f>IF(F337="","",CHOOSE(MONTH(F337),"10-JAN","11-FEB","12-MAR","01-APR","02-MAY","03-JUN","04-JUL","05-AUG","06-SEP","07-OCT","08-NOV","09-DEC"))</f>
        <v>12-MAR</v>
      </c>
      <c r="F337" s="242">
        <v>45363</v>
      </c>
      <c r="G337" s="231" t="s">
        <v>1383</v>
      </c>
      <c r="H337" s="5" t="s">
        <v>27</v>
      </c>
      <c r="I337" s="29" t="s">
        <v>223</v>
      </c>
      <c r="J337" s="8" t="s">
        <v>130</v>
      </c>
      <c r="K337" s="281" t="s">
        <v>34</v>
      </c>
      <c r="L337" s="78" t="s">
        <v>1384</v>
      </c>
      <c r="M337" s="151">
        <f>IF(SUM(V337:BC337)=0,"-",SUM(V337:BC337))</f>
        <v>5</v>
      </c>
      <c r="N337" s="278">
        <f>IF(SUMPRODUCT($V$3:$BC$3,V337:BC337)=0,"-",SUMPRODUCT($V$3:$BC$3,V337:BC337))</f>
        <v>175</v>
      </c>
      <c r="O337" s="307" t="s">
        <v>1385</v>
      </c>
      <c r="P337" s="269" t="str">
        <f>IF(G337="","",IFERROR(IF(S337="Sent","",IF(I337="Delivered","PO en attente","Projet en cours")),""))</f>
        <v/>
      </c>
      <c r="Q337" s="315" t="s">
        <v>1349</v>
      </c>
      <c r="R337" s="315"/>
      <c r="S337" s="248" t="s">
        <v>249</v>
      </c>
      <c r="T337" s="248" t="s">
        <v>1350</v>
      </c>
      <c r="U337" s="249" t="s">
        <v>1314</v>
      </c>
      <c r="W337" s="8">
        <v>5</v>
      </c>
      <c r="AZ337" s="8"/>
      <c r="BA337" s="7"/>
      <c r="BB337" s="8"/>
      <c r="BC337" s="7"/>
      <c r="BD337" s="8"/>
    </row>
    <row r="338" spans="1:57" hidden="1">
      <c r="A338" s="286" t="s">
        <v>244</v>
      </c>
      <c r="B338" s="286" t="s">
        <v>221</v>
      </c>
      <c r="C338" s="280" t="s">
        <v>3</v>
      </c>
      <c r="D338" s="281" t="str">
        <f>IF(F338="","",CHOOSE(MONTH(F338),"Q4","Q4","Q4","Q1","Q1","Q1","Q2","Q2","Q2","Q3","Q3","Q3"))</f>
        <v>Q4</v>
      </c>
      <c r="E338" s="282" t="str">
        <f>IF(F338="","",CHOOSE(MONTH(F338),"10-JAN","11-FEB","12-MAR","01-APR","02-MAY","03-JUN","04-JUL","05-AUG","06-SEP","07-OCT","08-NOV","09-DEC"))</f>
        <v>12-MAR</v>
      </c>
      <c r="F338" s="242">
        <v>45363</v>
      </c>
      <c r="G338" s="236" t="s">
        <v>1386</v>
      </c>
      <c r="H338" s="5" t="s">
        <v>27</v>
      </c>
      <c r="I338" s="29" t="s">
        <v>223</v>
      </c>
      <c r="J338" s="8" t="s">
        <v>69</v>
      </c>
      <c r="K338" s="281" t="s">
        <v>34</v>
      </c>
      <c r="M338" s="151">
        <f>IF(SUM(V338:BC338)=0,"-",SUM(V338:BC338))</f>
        <v>1</v>
      </c>
      <c r="N338" s="278">
        <f>IF(SUMPRODUCT($V$3:$BC$3,V338:BC338)=0,"-",SUMPRODUCT($V$3:$BC$3,V338:BC338))</f>
        <v>40</v>
      </c>
      <c r="O338" s="269"/>
      <c r="P338" s="269" t="str">
        <f>IF(G338="","",IFERROR(IF(S338="Sent","",IF(I338="Delivered","PO en attente","Projet en cours")),""))</f>
        <v/>
      </c>
      <c r="Q338" s="315" t="s">
        <v>1342</v>
      </c>
      <c r="R338" s="315"/>
      <c r="S338" s="248" t="s">
        <v>249</v>
      </c>
      <c r="T338" s="248" t="s">
        <v>1343</v>
      </c>
      <c r="U338" s="249" t="s">
        <v>1314</v>
      </c>
      <c r="AD338" s="8">
        <v>1</v>
      </c>
      <c r="AZ338" s="8"/>
      <c r="BA338" s="7"/>
      <c r="BB338" s="8"/>
      <c r="BC338" s="7"/>
      <c r="BD338" s="8"/>
    </row>
    <row r="339" spans="1:57" hidden="1">
      <c r="A339" s="286" t="s">
        <v>244</v>
      </c>
      <c r="B339" s="286" t="s">
        <v>221</v>
      </c>
      <c r="C339" s="280" t="s">
        <v>3</v>
      </c>
      <c r="D339" s="281" t="str">
        <f>IF(F339="","",CHOOSE(MONTH(F339),"Q4","Q4","Q4","Q1","Q1","Q1","Q2","Q2","Q2","Q3","Q3","Q3"))</f>
        <v>Q4</v>
      </c>
      <c r="E339" s="282" t="str">
        <f>IF(F339="","",CHOOSE(MONTH(F339),"10-JAN","11-FEB","12-MAR","01-APR","02-MAY","03-JUN","04-JUL","05-AUG","06-SEP","07-OCT","08-NOV","09-DEC"))</f>
        <v>12-MAR</v>
      </c>
      <c r="F339" s="242">
        <v>45363</v>
      </c>
      <c r="G339" s="231" t="s">
        <v>1387</v>
      </c>
      <c r="H339" s="5" t="s">
        <v>26</v>
      </c>
      <c r="I339" s="29" t="s">
        <v>223</v>
      </c>
      <c r="J339" s="8" t="s">
        <v>69</v>
      </c>
      <c r="K339" s="281" t="s">
        <v>30</v>
      </c>
      <c r="L339" s="78" t="s">
        <v>1388</v>
      </c>
      <c r="M339" s="151">
        <f>IF(SUM(V339:BC339)=0,"-",SUM(V339:BC339))</f>
        <v>2</v>
      </c>
      <c r="N339" s="278">
        <f>IF(SUMPRODUCT($V$3:$BC$3,V339:BC339)=0,"-",SUMPRODUCT($V$3:$BC$3,V339:BC339))</f>
        <v>70</v>
      </c>
      <c r="O339" s="269"/>
      <c r="P339" s="269" t="str">
        <f>IF(G339="","",IFERROR(IF(S339="Sent","",IF(I339="Delivered","PO en attente","Projet en cours")),""))</f>
        <v/>
      </c>
      <c r="Q339" s="313">
        <v>4200657843</v>
      </c>
      <c r="R339" s="315" t="s">
        <v>1302</v>
      </c>
      <c r="S339" s="262" t="s">
        <v>249</v>
      </c>
      <c r="T339" s="262" t="s">
        <v>1389</v>
      </c>
      <c r="U339" s="253" t="s">
        <v>1390</v>
      </c>
      <c r="W339" s="8">
        <v>2</v>
      </c>
      <c r="AZ339" s="8"/>
      <c r="BA339" s="7"/>
      <c r="BB339" s="8"/>
      <c r="BC339" s="7"/>
      <c r="BD339" s="5"/>
    </row>
    <row r="340" spans="1:57" ht="17.25" hidden="1" customHeight="1">
      <c r="A340" s="286" t="s">
        <v>244</v>
      </c>
      <c r="B340" s="286" t="s">
        <v>221</v>
      </c>
      <c r="C340" s="280" t="s">
        <v>3</v>
      </c>
      <c r="D340" s="281" t="str">
        <f>IF(F340="","",CHOOSE(MONTH(F340),"Q4","Q4","Q4","Q1","Q1","Q1","Q2","Q2","Q2","Q3","Q3","Q3"))</f>
        <v>Q4</v>
      </c>
      <c r="E340" s="282" t="str">
        <f>IF(F340="","",CHOOSE(MONTH(F340),"10-JAN","11-FEB","12-MAR","01-APR","02-MAY","03-JUN","04-JUL","05-AUG","06-SEP","07-OCT","08-NOV","09-DEC"))</f>
        <v>12-MAR</v>
      </c>
      <c r="F340" s="242">
        <v>45366</v>
      </c>
      <c r="G340" s="235" t="s">
        <v>1391</v>
      </c>
      <c r="H340" s="156" t="s">
        <v>35</v>
      </c>
      <c r="I340" s="29" t="s">
        <v>223</v>
      </c>
      <c r="J340" s="105" t="s">
        <v>69</v>
      </c>
      <c r="K340" s="281" t="s">
        <v>34</v>
      </c>
      <c r="L340" s="318" t="s">
        <v>1392</v>
      </c>
      <c r="M340" s="151">
        <f>IF(SUM(V340:BC340)=0,"-",SUM(V340:BC340))</f>
        <v>4</v>
      </c>
      <c r="N340" s="317">
        <f>IF(SUMPRODUCT($V$3:$BC$3,V340:BC340)=0,"-",SUMPRODUCT($V$3:$BC$3,V340:BC340))</f>
        <v>225</v>
      </c>
      <c r="O340" s="307" t="s">
        <v>1366</v>
      </c>
      <c r="P340" s="279" t="str">
        <f>IF(G340="","",IFERROR(IF(S340="Sent","",IF(I340="Delivered","PO en attente","Projet en cours")),""))</f>
        <v/>
      </c>
      <c r="Q340" s="315" t="s">
        <v>1367</v>
      </c>
      <c r="R340" s="315"/>
      <c r="S340" s="248" t="s">
        <v>249</v>
      </c>
      <c r="T340" s="248" t="s">
        <v>1368</v>
      </c>
      <c r="U340" s="249" t="s">
        <v>1314</v>
      </c>
      <c r="V340" s="7">
        <v>1</v>
      </c>
      <c r="W340" s="8">
        <v>3</v>
      </c>
      <c r="AZ340" s="8"/>
      <c r="BA340" s="7"/>
      <c r="BB340" s="8"/>
      <c r="BC340" s="7"/>
      <c r="BD340" s="8"/>
    </row>
    <row r="341" spans="1:57" ht="32.25" hidden="1" customHeight="1">
      <c r="A341" s="286" t="s">
        <v>244</v>
      </c>
      <c r="B341" s="286" t="s">
        <v>221</v>
      </c>
      <c r="C341" s="280" t="s">
        <v>3</v>
      </c>
      <c r="D341" s="281" t="str">
        <f>IF(F341="","",CHOOSE(MONTH(F341),"Q4","Q4","Q4","Q1","Q1","Q1","Q2","Q2","Q2","Q3","Q3","Q3"))</f>
        <v>Q4</v>
      </c>
      <c r="E341" s="282" t="str">
        <f>IF(F341="","",CHOOSE(MONTH(F341),"10-JAN","11-FEB","12-MAR","01-APR","02-MAY","03-JUN","04-JUL","05-AUG","06-SEP","07-OCT","08-NOV","09-DEC"))</f>
        <v>12-MAR</v>
      </c>
      <c r="F341" s="242">
        <v>45369</v>
      </c>
      <c r="G341" s="231" t="s">
        <v>1393</v>
      </c>
      <c r="H341" s="5" t="s">
        <v>26</v>
      </c>
      <c r="I341" s="29" t="s">
        <v>223</v>
      </c>
      <c r="J341" s="8" t="s">
        <v>95</v>
      </c>
      <c r="K341" s="281" t="s">
        <v>30</v>
      </c>
      <c r="L341" s="30" t="s">
        <v>431</v>
      </c>
      <c r="M341" s="151">
        <f>IF(SUM(V341:BC341)=0,"-",SUM(V341:BC341))</f>
        <v>2</v>
      </c>
      <c r="N341" s="278">
        <f>IF(SUMPRODUCT($V$3:$BC$3,V341:BC341)=0,"-",SUMPRODUCT($V$3:$BC$3,V341:BC341))</f>
        <v>70</v>
      </c>
      <c r="O341" s="269"/>
      <c r="P341" s="269" t="str">
        <f>IF(G341="","",IFERROR(IF(S341="Sent","",IF(I341="Delivered","PO en attente","Projet en cours")),""))</f>
        <v/>
      </c>
      <c r="Q341" s="315" t="s">
        <v>1394</v>
      </c>
      <c r="R341" s="315" t="s">
        <v>1302</v>
      </c>
      <c r="S341" s="262" t="s">
        <v>249</v>
      </c>
      <c r="T341" s="262" t="s">
        <v>1395</v>
      </c>
      <c r="U341" s="253" t="s">
        <v>1390</v>
      </c>
      <c r="W341" s="8">
        <v>2</v>
      </c>
      <c r="AZ341" s="8"/>
      <c r="BA341" s="7"/>
      <c r="BB341" s="8"/>
      <c r="BC341" s="7"/>
      <c r="BD341" s="5"/>
    </row>
    <row r="342" spans="1:57" hidden="1">
      <c r="A342" s="286" t="s">
        <v>244</v>
      </c>
      <c r="B342" s="286" t="s">
        <v>221</v>
      </c>
      <c r="C342" s="280" t="s">
        <v>2</v>
      </c>
      <c r="D342" s="281" t="str">
        <f>IF(F342="","",CHOOSE(MONTH(F342),"Q4","Q4","Q4","Q1","Q1","Q1","Q2","Q2","Q2","Q3","Q3","Q3"))</f>
        <v>Q4</v>
      </c>
      <c r="E342" s="282" t="str">
        <f>IF(F342="","",CHOOSE(MONTH(F342),"10-JAN","11-FEB","12-MAR","01-APR","02-MAY","03-JUN","04-JUL","05-AUG","06-SEP","07-OCT","08-NOV","09-DEC"))</f>
        <v>12-MAR</v>
      </c>
      <c r="F342" s="242">
        <v>45371</v>
      </c>
      <c r="G342" s="236" t="s">
        <v>160</v>
      </c>
      <c r="H342" s="5" t="s">
        <v>27</v>
      </c>
      <c r="I342" s="29" t="s">
        <v>223</v>
      </c>
      <c r="J342" s="8" t="s">
        <v>147</v>
      </c>
      <c r="K342" s="281" t="s">
        <v>34</v>
      </c>
      <c r="L342" s="78" t="s">
        <v>1396</v>
      </c>
      <c r="M342" s="151">
        <f>IF(SUM(V342:BC342)=0,"-",SUM(V342:BC342))</f>
        <v>15</v>
      </c>
      <c r="N342" s="278">
        <f>IF(SUMPRODUCT($V$3:$BC$3,V342:BC342)=0,"-",SUMPRODUCT($V$3:$BC$3,V342:BC342))</f>
        <v>915</v>
      </c>
      <c r="O342" s="307" t="s">
        <v>1397</v>
      </c>
      <c r="P342" s="269" t="str">
        <f>IF(G342="","",IFERROR(IF(S342="Sent","",IF(I342="Delivered","PO en attente","Projet en cours")),""))</f>
        <v/>
      </c>
      <c r="Q342" s="315" t="s">
        <v>159</v>
      </c>
      <c r="R342" s="315"/>
      <c r="S342" s="248" t="s">
        <v>249</v>
      </c>
      <c r="T342" s="248" t="s">
        <v>1398</v>
      </c>
      <c r="U342" s="253" t="s">
        <v>1331</v>
      </c>
      <c r="V342" s="20">
        <v>1</v>
      </c>
      <c r="W342" s="43">
        <v>10</v>
      </c>
      <c r="X342" s="21"/>
      <c r="Y342" s="21"/>
      <c r="AC342" s="7">
        <v>3</v>
      </c>
      <c r="AD342" s="8">
        <v>1</v>
      </c>
      <c r="AZ342" s="8"/>
      <c r="BA342" s="7"/>
      <c r="BB342" s="8"/>
      <c r="BC342" s="7"/>
      <c r="BD342" s="8"/>
    </row>
    <row r="343" spans="1:57" hidden="1">
      <c r="A343" s="286" t="s">
        <v>244</v>
      </c>
      <c r="B343" s="286" t="s">
        <v>221</v>
      </c>
      <c r="C343" s="280" t="s">
        <v>2</v>
      </c>
      <c r="D343" s="281" t="str">
        <f>IF(F343="","",CHOOSE(MONTH(F343),"Q4","Q4","Q4","Q1","Q1","Q1","Q2","Q2","Q2","Q3","Q3","Q3"))</f>
        <v>Q4</v>
      </c>
      <c r="E343" s="282" t="str">
        <f>IF(F343="","",CHOOSE(MONTH(F343),"10-JAN","11-FEB","12-MAR","01-APR","02-MAY","03-JUN","04-JUL","05-AUG","06-SEP","07-OCT","08-NOV","09-DEC"))</f>
        <v>12-MAR</v>
      </c>
      <c r="F343" s="242">
        <v>45376</v>
      </c>
      <c r="G343" s="231" t="s">
        <v>124</v>
      </c>
      <c r="H343" s="5" t="s">
        <v>26</v>
      </c>
      <c r="I343" s="29" t="s">
        <v>223</v>
      </c>
      <c r="J343" s="8" t="s">
        <v>95</v>
      </c>
      <c r="K343" s="281" t="s">
        <v>30</v>
      </c>
      <c r="L343" s="78" t="s">
        <v>1369</v>
      </c>
      <c r="M343" s="151">
        <f>IF(SUM(V343:BC343)=0,"-",SUM(V343:BC343))</f>
        <v>1</v>
      </c>
      <c r="N343" s="278">
        <f>IF(SUMPRODUCT($V$3:$BC$3,V343:BC343)=0,"-",SUMPRODUCT($V$3:$BC$3,V343:BC343))</f>
        <v>35</v>
      </c>
      <c r="O343" s="269"/>
      <c r="P343" s="269" t="str">
        <f>IF(G343="","",IFERROR(IF(S343="Sent","",IF(I343="Delivered","PO en attente","Projet en cours")),""))</f>
        <v/>
      </c>
      <c r="Q343" s="315" t="s">
        <v>121</v>
      </c>
      <c r="R343" s="315" t="s">
        <v>225</v>
      </c>
      <c r="S343" s="262" t="s">
        <v>249</v>
      </c>
      <c r="T343" s="262" t="s">
        <v>1363</v>
      </c>
      <c r="U343" s="257" t="s">
        <v>1320</v>
      </c>
      <c r="V343" s="20"/>
      <c r="W343" s="43">
        <v>1</v>
      </c>
      <c r="X343" s="21"/>
      <c r="Y343" s="21"/>
      <c r="AZ343" s="8"/>
      <c r="BA343" s="7"/>
      <c r="BB343" s="8"/>
      <c r="BC343" s="7"/>
      <c r="BD343" s="8"/>
      <c r="BE343" s="8"/>
    </row>
    <row r="344" spans="1:57" hidden="1">
      <c r="A344" s="286" t="s">
        <v>244</v>
      </c>
      <c r="B344" s="286" t="s">
        <v>221</v>
      </c>
      <c r="C344" s="280" t="s">
        <v>3</v>
      </c>
      <c r="D344" s="281" t="str">
        <f>IF(F344="","",CHOOSE(MONTH(F344),"Q4","Q4","Q4","Q1","Q1","Q1","Q2","Q2","Q2","Q3","Q3","Q3"))</f>
        <v>Q4</v>
      </c>
      <c r="E344" s="282" t="str">
        <f>IF(F344="","",CHOOSE(MONTH(F344),"10-JAN","11-FEB","12-MAR","01-APR","02-MAY","03-JUN","04-JUL","05-AUG","06-SEP","07-OCT","08-NOV","09-DEC"))</f>
        <v>12-MAR</v>
      </c>
      <c r="F344" s="242">
        <v>45378</v>
      </c>
      <c r="G344" s="231" t="s">
        <v>1399</v>
      </c>
      <c r="H344" s="5" t="s">
        <v>27</v>
      </c>
      <c r="I344" s="29" t="s">
        <v>223</v>
      </c>
      <c r="J344" s="8" t="s">
        <v>147</v>
      </c>
      <c r="K344" s="281" t="s">
        <v>34</v>
      </c>
      <c r="L344" s="49" t="s">
        <v>481</v>
      </c>
      <c r="M344" s="151">
        <v>2</v>
      </c>
      <c r="N344" s="317">
        <v>258</v>
      </c>
      <c r="O344" s="269"/>
      <c r="P344" s="269" t="str">
        <f>IF(G344="","",IFERROR(IF(S344="Sent","",IF(I344="Delivered","PO en attente","Projet en cours")),""))</f>
        <v/>
      </c>
      <c r="Q344" s="315" t="s">
        <v>1400</v>
      </c>
      <c r="R344" s="315"/>
      <c r="S344" s="262" t="s">
        <v>249</v>
      </c>
      <c r="T344" s="262" t="s">
        <v>1401</v>
      </c>
      <c r="U344" s="249" t="s">
        <v>1314</v>
      </c>
      <c r="V344" s="20"/>
      <c r="W344" s="43"/>
      <c r="X344" s="21"/>
      <c r="Y344" s="21"/>
      <c r="AZ344" s="8"/>
      <c r="BA344" s="7"/>
      <c r="BB344" s="8"/>
      <c r="BC344" s="7"/>
      <c r="BD344" s="8"/>
    </row>
    <row r="345" spans="1:57" hidden="1">
      <c r="A345" s="286" t="s">
        <v>244</v>
      </c>
      <c r="B345" s="286" t="s">
        <v>221</v>
      </c>
      <c r="C345" s="280" t="s">
        <v>3</v>
      </c>
      <c r="D345" s="281" t="str">
        <f>IF(F345="","",CHOOSE(MONTH(F345),"Q4","Q4","Q4","Q1","Q1","Q1","Q2","Q2","Q2","Q3","Q3","Q3"))</f>
        <v>Q4</v>
      </c>
      <c r="E345" s="282" t="str">
        <f>IF(F345="","",CHOOSE(MONTH(F345),"10-JAN","11-FEB","12-MAR","01-APR","02-MAY","03-JUN","04-JUL","05-AUG","06-SEP","07-OCT","08-NOV","09-DEC"))</f>
        <v>12-MAR</v>
      </c>
      <c r="F345" s="242">
        <v>45378</v>
      </c>
      <c r="G345" s="231" t="s">
        <v>1402</v>
      </c>
      <c r="H345" s="5" t="s">
        <v>27</v>
      </c>
      <c r="I345" s="29" t="s">
        <v>223</v>
      </c>
      <c r="J345" s="8" t="s">
        <v>127</v>
      </c>
      <c r="K345" s="281" t="s">
        <v>34</v>
      </c>
      <c r="L345" s="49" t="s">
        <v>481</v>
      </c>
      <c r="M345" s="151">
        <v>2</v>
      </c>
      <c r="N345" s="317">
        <v>340</v>
      </c>
      <c r="O345" s="269"/>
      <c r="P345" s="269" t="str">
        <f>IF(G345="","",IFERROR(IF(S345="Sent","",IF(I345="Delivered","PO en attente","Projet en cours")),""))</f>
        <v/>
      </c>
      <c r="Q345" s="315" t="s">
        <v>1403</v>
      </c>
      <c r="R345" s="315"/>
      <c r="S345" s="262" t="s">
        <v>249</v>
      </c>
      <c r="T345" s="262" t="s">
        <v>1404</v>
      </c>
      <c r="U345" s="249" t="s">
        <v>1314</v>
      </c>
      <c r="V345" s="20"/>
      <c r="W345" s="43"/>
      <c r="X345" s="21"/>
      <c r="Y345" s="21"/>
      <c r="AZ345" s="8"/>
      <c r="BA345" s="7"/>
      <c r="BB345" s="8"/>
      <c r="BC345" s="7"/>
      <c r="BD345" s="8"/>
    </row>
    <row r="346" spans="1:57" hidden="1">
      <c r="A346" s="286" t="s">
        <v>244</v>
      </c>
      <c r="B346" s="286" t="s">
        <v>221</v>
      </c>
      <c r="C346" s="280" t="s">
        <v>3</v>
      </c>
      <c r="D346" s="281" t="str">
        <f>IF(F346="","",CHOOSE(MONTH(F346),"Q4","Q4","Q4","Q1","Q1","Q1","Q2","Q2","Q2","Q3","Q3","Q3"))</f>
        <v>Q4</v>
      </c>
      <c r="E346" s="282" t="str">
        <f>IF(F346="","",CHOOSE(MONTH(F346),"10-JAN","11-FEB","12-MAR","01-APR","02-MAY","03-JUN","04-JUL","05-AUG","06-SEP","07-OCT","08-NOV","09-DEC"))</f>
        <v>12-MAR</v>
      </c>
      <c r="F346" s="242">
        <v>45378</v>
      </c>
      <c r="G346" s="231" t="s">
        <v>1405</v>
      </c>
      <c r="H346" s="5" t="s">
        <v>27</v>
      </c>
      <c r="I346" s="29" t="s">
        <v>223</v>
      </c>
      <c r="J346" s="8" t="s">
        <v>127</v>
      </c>
      <c r="K346" s="281" t="s">
        <v>34</v>
      </c>
      <c r="L346" s="49" t="s">
        <v>481</v>
      </c>
      <c r="M346" s="151">
        <v>2</v>
      </c>
      <c r="N346" s="278">
        <v>300</v>
      </c>
      <c r="O346" s="269"/>
      <c r="P346" s="269" t="str">
        <f>IF(G346="","",IFERROR(IF(S346="Sent","",IF(I346="Delivered","PO en attente","Projet en cours")),""))</f>
        <v/>
      </c>
      <c r="Q346" s="315" t="s">
        <v>1406</v>
      </c>
      <c r="R346" s="315"/>
      <c r="S346" s="262" t="s">
        <v>249</v>
      </c>
      <c r="T346" s="262" t="s">
        <v>1407</v>
      </c>
      <c r="U346" s="253" t="s">
        <v>1390</v>
      </c>
      <c r="V346" s="20"/>
      <c r="W346" s="43"/>
      <c r="X346" s="21"/>
      <c r="Y346" s="21"/>
    </row>
    <row r="347" spans="1:57" hidden="1">
      <c r="A347" s="286" t="s">
        <v>244</v>
      </c>
      <c r="B347" s="286" t="s">
        <v>221</v>
      </c>
      <c r="C347" s="280" t="s">
        <v>3</v>
      </c>
      <c r="D347" s="281" t="str">
        <f>IF(F347="","",CHOOSE(MONTH(F347),"Q4","Q4","Q4","Q1","Q1","Q1","Q2","Q2","Q2","Q3","Q3","Q3"))</f>
        <v>Q4</v>
      </c>
      <c r="E347" s="282" t="str">
        <f>IF(F347="","",CHOOSE(MONTH(F347),"10-JAN","11-FEB","12-MAR","01-APR","02-MAY","03-JUN","04-JUL","05-AUG","06-SEP","07-OCT","08-NOV","09-DEC"))</f>
        <v>12-MAR</v>
      </c>
      <c r="F347" s="242">
        <v>45378</v>
      </c>
      <c r="G347" s="231" t="s">
        <v>1408</v>
      </c>
      <c r="H347" s="5" t="s">
        <v>27</v>
      </c>
      <c r="I347" s="29" t="s">
        <v>223</v>
      </c>
      <c r="J347" s="8" t="s">
        <v>127</v>
      </c>
      <c r="K347" s="281" t="s">
        <v>34</v>
      </c>
      <c r="L347" s="49" t="s">
        <v>481</v>
      </c>
      <c r="M347" s="151" t="str">
        <f>IF(SUM(V347:BC347)=0,"-",SUM(V347:BC347))</f>
        <v>-</v>
      </c>
      <c r="N347" s="278">
        <v>800</v>
      </c>
      <c r="O347" s="269"/>
      <c r="P347" s="269" t="str">
        <f>IF(G347="","",IFERROR(IF(S347="Sent","",IF(I347="Delivered","PO en attente","Projet en cours")),""))</f>
        <v/>
      </c>
      <c r="Q347" s="315" t="s">
        <v>1409</v>
      </c>
      <c r="R347" s="315"/>
      <c r="S347" s="262" t="s">
        <v>249</v>
      </c>
      <c r="T347" s="262" t="s">
        <v>1410</v>
      </c>
      <c r="U347" s="253" t="s">
        <v>1390</v>
      </c>
      <c r="V347" s="20"/>
      <c r="W347" s="43"/>
      <c r="X347" s="21"/>
      <c r="Y347" s="21"/>
    </row>
    <row r="348" spans="1:57" hidden="1">
      <c r="A348" s="286" t="s">
        <v>244</v>
      </c>
      <c r="B348" s="286" t="s">
        <v>221</v>
      </c>
      <c r="C348" s="280" t="s">
        <v>3</v>
      </c>
      <c r="D348" s="281" t="str">
        <f>IF(F348="","",CHOOSE(MONTH(F348),"Q4","Q4","Q4","Q1","Q1","Q1","Q2","Q2","Q2","Q3","Q3","Q3"))</f>
        <v>Q4</v>
      </c>
      <c r="E348" s="282" t="str">
        <f>IF(F348="","",CHOOSE(MONTH(F348),"10-JAN","11-FEB","12-MAR","01-APR","02-MAY","03-JUN","04-JUL","05-AUG","06-SEP","07-OCT","08-NOV","09-DEC"))</f>
        <v>12-MAR</v>
      </c>
      <c r="F348" s="242">
        <v>45378</v>
      </c>
      <c r="G348" s="231" t="s">
        <v>1411</v>
      </c>
      <c r="H348" s="5" t="s">
        <v>36</v>
      </c>
      <c r="I348" s="29" t="s">
        <v>223</v>
      </c>
      <c r="J348" s="105" t="s">
        <v>69</v>
      </c>
      <c r="K348" s="281" t="s">
        <v>34</v>
      </c>
      <c r="L348" s="78" t="s">
        <v>1412</v>
      </c>
      <c r="M348" s="151">
        <f>IF(SUM(V348:BC348)=0,"-",SUM(V348:BC348))</f>
        <v>12</v>
      </c>
      <c r="N348" s="278">
        <f>IF(SUMPRODUCT($V$3:$BC$3,V348:BC348)=0,"-",SUMPRODUCT($V$3:$BC$3,V348:BC348))</f>
        <v>510</v>
      </c>
      <c r="O348" s="30" t="s">
        <v>1413</v>
      </c>
      <c r="P348" s="269" t="str">
        <f>IF(G348="","",IFERROR(IF(S348="Sent","",IF(I348="Delivered","PO en attente","Projet en cours")),""))</f>
        <v/>
      </c>
      <c r="Q348" s="315" t="s">
        <v>1414</v>
      </c>
      <c r="R348" s="315"/>
      <c r="S348" s="260" t="s">
        <v>249</v>
      </c>
      <c r="T348" s="248" t="s">
        <v>1415</v>
      </c>
      <c r="U348" s="257" t="s">
        <v>1416</v>
      </c>
      <c r="V348" s="20">
        <v>1</v>
      </c>
      <c r="W348" s="43">
        <v>10</v>
      </c>
      <c r="X348" s="21"/>
      <c r="Y348" s="21"/>
      <c r="AD348" s="8">
        <v>1</v>
      </c>
    </row>
    <row r="349" spans="1:57" hidden="1">
      <c r="A349" s="286" t="s">
        <v>244</v>
      </c>
      <c r="B349" s="286" t="s">
        <v>221</v>
      </c>
      <c r="C349" s="280" t="s">
        <v>3</v>
      </c>
      <c r="D349" s="281" t="str">
        <f>IF(F349="","",CHOOSE(MONTH(F349),"Q4","Q4","Q4","Q1","Q1","Q1","Q2","Q2","Q2","Q3","Q3","Q3"))</f>
        <v>Q4</v>
      </c>
      <c r="E349" s="282" t="str">
        <f>IF(F349="","",CHOOSE(MONTH(F349),"10-JAN","11-FEB","12-MAR","01-APR","02-MAY","03-JUN","04-JUL","05-AUG","06-SEP","07-OCT","08-NOV","09-DEC"))</f>
        <v>12-MAR</v>
      </c>
      <c r="F349" s="242">
        <v>45378</v>
      </c>
      <c r="G349" s="231" t="s">
        <v>1417</v>
      </c>
      <c r="H349" s="5" t="s">
        <v>36</v>
      </c>
      <c r="I349" s="29" t="s">
        <v>223</v>
      </c>
      <c r="J349" s="105" t="s">
        <v>69</v>
      </c>
      <c r="K349" s="281" t="s">
        <v>34</v>
      </c>
      <c r="L349" s="78" t="s">
        <v>1418</v>
      </c>
      <c r="M349" s="151">
        <f>IF(SUM(V349:BC349)=0,"-",SUM(V349:BC349))</f>
        <v>18</v>
      </c>
      <c r="N349" s="278">
        <f>IF(SUMPRODUCT($V$3:$BC$3,V349:BC349)=0,"-",SUMPRODUCT($V$3:$BC$3,V349:BC349))</f>
        <v>735</v>
      </c>
      <c r="O349" s="307" t="s">
        <v>1419</v>
      </c>
      <c r="P349" s="269" t="str">
        <f>IF(G349="","",IFERROR(IF(S349="Sent","",IF(I349="Delivered","PO en attente","Projet en cours")),""))</f>
        <v/>
      </c>
      <c r="Q349" s="315" t="s">
        <v>1414</v>
      </c>
      <c r="R349" s="315"/>
      <c r="S349" s="260" t="s">
        <v>249</v>
      </c>
      <c r="T349" s="248" t="s">
        <v>1415</v>
      </c>
      <c r="U349" s="257" t="s">
        <v>1416</v>
      </c>
      <c r="V349" s="20">
        <v>1</v>
      </c>
      <c r="W349" s="43">
        <v>13</v>
      </c>
      <c r="X349" s="21"/>
      <c r="Y349" s="21"/>
      <c r="AD349" s="8">
        <v>4</v>
      </c>
    </row>
    <row r="350" spans="1:57" hidden="1">
      <c r="A350" s="286" t="s">
        <v>244</v>
      </c>
      <c r="B350" s="286" t="s">
        <v>221</v>
      </c>
      <c r="C350" s="280" t="s">
        <v>2</v>
      </c>
      <c r="D350" s="281" t="str">
        <f>IF(F350="","",CHOOSE(MONTH(F350),"Q4","Q4","Q4","Q1","Q1","Q1","Q2","Q2","Q2","Q3","Q3","Q3"))</f>
        <v>Q4</v>
      </c>
      <c r="E350" s="282" t="str">
        <f>IF(F350="","",CHOOSE(MONTH(F350),"10-JAN","11-FEB","12-MAR","01-APR","02-MAY","03-JUN","04-JUL","05-AUG","06-SEP","07-OCT","08-NOV","09-DEC"))</f>
        <v>12-MAR</v>
      </c>
      <c r="F350" s="242">
        <v>45378</v>
      </c>
      <c r="G350" s="231" t="s">
        <v>126</v>
      </c>
      <c r="H350" s="156" t="s">
        <v>35</v>
      </c>
      <c r="I350" s="29" t="s">
        <v>223</v>
      </c>
      <c r="J350" s="8" t="s">
        <v>95</v>
      </c>
      <c r="K350" s="281" t="s">
        <v>34</v>
      </c>
      <c r="L350" s="78" t="s">
        <v>1420</v>
      </c>
      <c r="M350" s="151">
        <f>IF(SUM(V350:BC350)=0,"-",SUM(V350:BC350))</f>
        <v>4</v>
      </c>
      <c r="N350" s="278">
        <f>IF(SUMPRODUCT($V$3:$BC$3,V350:BC350)=0,"-",SUMPRODUCT($V$3:$BC$3,V350:BC350))</f>
        <v>255</v>
      </c>
      <c r="O350" s="307" t="s">
        <v>1421</v>
      </c>
      <c r="P350" s="269" t="str">
        <f>IF(G350="","",IFERROR(IF(S350="Sent","",IF(I350="Delivered","PO en attente","Projet en cours")),""))</f>
        <v/>
      </c>
      <c r="Q350" s="342" t="s">
        <v>125</v>
      </c>
      <c r="R350" s="342"/>
      <c r="S350" s="262" t="s">
        <v>249</v>
      </c>
      <c r="T350" s="262" t="s">
        <v>1422</v>
      </c>
      <c r="U350" s="257" t="s">
        <v>1287</v>
      </c>
      <c r="V350" s="20"/>
      <c r="W350" s="43"/>
      <c r="X350" s="21"/>
      <c r="Y350" s="21"/>
      <c r="AC350" s="7">
        <v>1</v>
      </c>
      <c r="AD350" s="8">
        <v>3</v>
      </c>
      <c r="BD350" s="7"/>
    </row>
    <row r="351" spans="1:57" hidden="1">
      <c r="A351" s="286" t="s">
        <v>244</v>
      </c>
      <c r="B351" s="286" t="s">
        <v>221</v>
      </c>
      <c r="C351" s="280" t="s">
        <v>2</v>
      </c>
      <c r="D351" s="281" t="str">
        <f>IF(F351="","",CHOOSE(MONTH(F351),"Q4","Q4","Q4","Q1","Q1","Q1","Q2","Q2","Q2","Q3","Q3","Q3"))</f>
        <v>Q4</v>
      </c>
      <c r="E351" s="282" t="str">
        <f>IF(F351="","",CHOOSE(MONTH(F351),"10-JAN","11-FEB","12-MAR","01-APR","02-MAY","03-JUN","04-JUL","05-AUG","06-SEP","07-OCT","08-NOV","09-DEC"))</f>
        <v>12-MAR</v>
      </c>
      <c r="F351" s="242">
        <v>45378</v>
      </c>
      <c r="G351" s="231" t="s">
        <v>50</v>
      </c>
      <c r="H351" s="5" t="s">
        <v>27</v>
      </c>
      <c r="I351" s="29" t="s">
        <v>223</v>
      </c>
      <c r="J351" s="8" t="s">
        <v>128</v>
      </c>
      <c r="K351" s="281" t="s">
        <v>34</v>
      </c>
      <c r="L351" s="78" t="s">
        <v>1423</v>
      </c>
      <c r="M351" s="151">
        <f>IF(SUM(V351:BC351)=0,"-",SUM(V351:BC351))</f>
        <v>1</v>
      </c>
      <c r="N351" s="278">
        <f>IF(SUMPRODUCT($V$3:$BC$3,V351:BC351)=0,"-",SUMPRODUCT($V$3:$BC$3,V351:BC351))</f>
        <v>135</v>
      </c>
      <c r="O351" s="307" t="s">
        <v>1424</v>
      </c>
      <c r="P351" s="380" t="s">
        <v>481</v>
      </c>
      <c r="Q351" s="315" t="s">
        <v>1425</v>
      </c>
      <c r="R351" s="315"/>
      <c r="S351" s="248" t="s">
        <v>249</v>
      </c>
      <c r="T351" s="248" t="s">
        <v>1426</v>
      </c>
      <c r="U351" s="249" t="s">
        <v>1427</v>
      </c>
      <c r="V351" s="20"/>
      <c r="W351" s="43"/>
      <c r="X351" s="21"/>
      <c r="Y351" s="21"/>
      <c r="AC351" s="7">
        <v>1</v>
      </c>
    </row>
    <row r="352" spans="1:57" hidden="1">
      <c r="A352" s="286" t="s">
        <v>244</v>
      </c>
      <c r="B352" s="286" t="s">
        <v>221</v>
      </c>
      <c r="C352" s="280" t="s">
        <v>2</v>
      </c>
      <c r="D352" s="281" t="str">
        <f>IF(F352="","",CHOOSE(MONTH(F352),"Q4","Q4","Q4","Q1","Q1","Q1","Q2","Q2","Q2","Q3","Q3","Q3"))</f>
        <v>Q4</v>
      </c>
      <c r="E352" s="282" t="str">
        <f>IF(F352="","",CHOOSE(MONTH(F352),"10-JAN","11-FEB","12-MAR","01-APR","02-MAY","03-JUN","04-JUL","05-AUG","06-SEP","07-OCT","08-NOV","09-DEC"))</f>
        <v>12-MAR</v>
      </c>
      <c r="F352" s="242">
        <v>45379</v>
      </c>
      <c r="G352" s="231" t="s">
        <v>90</v>
      </c>
      <c r="H352" s="5" t="s">
        <v>36</v>
      </c>
      <c r="I352" s="29" t="s">
        <v>223</v>
      </c>
      <c r="J352" s="105" t="s">
        <v>69</v>
      </c>
      <c r="K352" s="281" t="s">
        <v>34</v>
      </c>
      <c r="L352" s="78" t="s">
        <v>1428</v>
      </c>
      <c r="M352" s="151">
        <f>IF(SUM(V352:BC352)=0,"-",SUM(V352:BC352))</f>
        <v>36</v>
      </c>
      <c r="N352" s="278">
        <f>IF(SUMPRODUCT($V$3:$BC$3,V352:BC352)=0,"-",SUMPRODUCT($V$3:$BC$3,V352:BC352))</f>
        <v>1960</v>
      </c>
      <c r="O352" s="307" t="s">
        <v>1429</v>
      </c>
      <c r="P352" s="269" t="str">
        <f>IF(G352="","",IFERROR(IF(S352="Sent","",IF(I352="Delivered","PO en attente","Projet en cours")),""))</f>
        <v/>
      </c>
      <c r="Q352" s="315" t="s">
        <v>89</v>
      </c>
      <c r="R352" s="315"/>
      <c r="S352" s="248" t="s">
        <v>249</v>
      </c>
      <c r="T352" s="248" t="s">
        <v>1430</v>
      </c>
      <c r="U352" s="253" t="s">
        <v>1331</v>
      </c>
      <c r="V352" s="20">
        <v>1</v>
      </c>
      <c r="W352" s="43">
        <v>11</v>
      </c>
      <c r="X352" s="21"/>
      <c r="Y352" s="21"/>
      <c r="AC352" s="7">
        <v>3</v>
      </c>
      <c r="AD352" s="8">
        <v>20</v>
      </c>
      <c r="AF352" s="8">
        <v>1</v>
      </c>
      <c r="BD352" s="7"/>
    </row>
    <row r="353" spans="1:57" hidden="1">
      <c r="A353" s="286" t="s">
        <v>244</v>
      </c>
      <c r="B353" s="286" t="s">
        <v>221</v>
      </c>
      <c r="C353" s="280" t="s">
        <v>3</v>
      </c>
      <c r="D353" s="281" t="str">
        <f>IF(F353="","",CHOOSE(MONTH(F353),"Q4","Q4","Q4","Q1","Q1","Q1","Q2","Q2","Q2","Q3","Q3","Q3"))</f>
        <v>Q4</v>
      </c>
      <c r="E353" s="282" t="str">
        <f>IF(F353="","",CHOOSE(MONTH(F353),"10-JAN","11-FEB","12-MAR","01-APR","02-MAY","03-JUN","04-JUL","05-AUG","06-SEP","07-OCT","08-NOV","09-DEC"))</f>
        <v>12-MAR</v>
      </c>
      <c r="F353" s="242">
        <v>45380</v>
      </c>
      <c r="G353" s="231" t="s">
        <v>1431</v>
      </c>
      <c r="H353" s="5" t="s">
        <v>26</v>
      </c>
      <c r="I353" s="29" t="s">
        <v>223</v>
      </c>
      <c r="J353" s="8" t="s">
        <v>130</v>
      </c>
      <c r="K353" s="281" t="s">
        <v>30</v>
      </c>
      <c r="L353" s="78" t="s">
        <v>1432</v>
      </c>
      <c r="M353" s="151">
        <f>IF(SUM(V353:BC353)=0,"-",SUM(V353:BC353))</f>
        <v>2</v>
      </c>
      <c r="N353" s="278">
        <f>IF(SUMPRODUCT($V$3:$BC$3,V353:BC353)=0,"-",SUMPRODUCT($V$3:$BC$3,V353:BC353))</f>
        <v>155</v>
      </c>
      <c r="O353" s="269"/>
      <c r="P353" s="269" t="str">
        <f>IF(G353="","",IFERROR(IF(S353="Sent","",IF(I353="Delivered","PO en attente","Projet en cours")),""))</f>
        <v/>
      </c>
      <c r="Q353" s="315" t="s">
        <v>1433</v>
      </c>
      <c r="R353" s="315" t="s">
        <v>225</v>
      </c>
      <c r="S353" s="260" t="s">
        <v>249</v>
      </c>
      <c r="T353" s="260" t="s">
        <v>1319</v>
      </c>
      <c r="U353" s="257" t="s">
        <v>1320</v>
      </c>
      <c r="V353" s="20">
        <v>1</v>
      </c>
      <c r="W353" s="43">
        <v>1</v>
      </c>
      <c r="X353" s="21"/>
      <c r="Y353" s="21"/>
      <c r="BD353" s="7"/>
      <c r="BE353" s="8"/>
    </row>
    <row r="354" spans="1:57" hidden="1">
      <c r="A354" s="286" t="s">
        <v>244</v>
      </c>
      <c r="B354" s="286" t="s">
        <v>221</v>
      </c>
      <c r="C354" s="280" t="s">
        <v>2</v>
      </c>
      <c r="D354" s="281" t="str">
        <f>IF(F354="","",CHOOSE(MONTH(F354),"Q4","Q4","Q4","Q1","Q1","Q1","Q2","Q2","Q2","Q3","Q3","Q3"))</f>
        <v>Q4</v>
      </c>
      <c r="E354" s="282" t="str">
        <f>IF(F354="","",CHOOSE(MONTH(F354),"10-JAN","11-FEB","12-MAR","01-APR","02-MAY","03-JUN","04-JUL","05-AUG","06-SEP","07-OCT","08-NOV","09-DEC"))</f>
        <v>12-MAR</v>
      </c>
      <c r="F354" s="242">
        <v>45380</v>
      </c>
      <c r="G354" s="231" t="s">
        <v>92</v>
      </c>
      <c r="H354" s="156" t="s">
        <v>35</v>
      </c>
      <c r="I354" s="29" t="s">
        <v>223</v>
      </c>
      <c r="J354" s="105" t="s">
        <v>69</v>
      </c>
      <c r="K354" s="281" t="s">
        <v>34</v>
      </c>
      <c r="L354" s="78" t="s">
        <v>1434</v>
      </c>
      <c r="M354" s="151">
        <f>IF(SUM(V354:BC354)=0,"-",SUM(V354:BC354))</f>
        <v>3</v>
      </c>
      <c r="N354" s="278">
        <f>IF(SUMPRODUCT($V$3:$BC$3,V354:BC354)=0,"-",SUMPRODUCT($V$3:$BC$3,V354:BC354))</f>
        <v>240</v>
      </c>
      <c r="O354" s="307" t="s">
        <v>1435</v>
      </c>
      <c r="P354" s="269" t="str">
        <f>IF(G354="","",IFERROR(IF(S354="Sent","",IF(I354="Delivered","PO en attente","Projet en cours")),""))</f>
        <v/>
      </c>
      <c r="Q354" s="315" t="s">
        <v>91</v>
      </c>
      <c r="R354" s="342"/>
      <c r="S354" s="262" t="s">
        <v>249</v>
      </c>
      <c r="T354" s="262" t="s">
        <v>1436</v>
      </c>
      <c r="U354" s="257" t="s">
        <v>1287</v>
      </c>
      <c r="V354" s="20"/>
      <c r="W354" s="43"/>
      <c r="X354" s="21"/>
      <c r="Y354" s="21"/>
      <c r="AS354" s="7">
        <v>3</v>
      </c>
      <c r="BD354" s="7"/>
    </row>
    <row r="355" spans="1:57" hidden="1">
      <c r="A355" s="286" t="s">
        <v>244</v>
      </c>
      <c r="B355" s="286" t="s">
        <v>221</v>
      </c>
      <c r="C355" s="280" t="s">
        <v>2</v>
      </c>
      <c r="D355" s="281" t="str">
        <f>IF(F355="","",CHOOSE(MONTH(F355),"Q4","Q4","Q4","Q1","Q1","Q1","Q2","Q2","Q2","Q3","Q3","Q3"))</f>
        <v>Q1</v>
      </c>
      <c r="E355" s="282" t="str">
        <f>IF(F355="","",CHOOSE(MONTH(F355),"10-JAN","11-FEB","12-MAR","01-APR","02-MAY","03-JUN","04-JUL","05-AUG","06-SEP","07-OCT","08-NOV","09-DEC"))</f>
        <v>01-APR</v>
      </c>
      <c r="F355" s="242">
        <v>45384</v>
      </c>
      <c r="G355" s="231" t="s">
        <v>138</v>
      </c>
      <c r="H355" s="156" t="s">
        <v>35</v>
      </c>
      <c r="I355" s="29" t="s">
        <v>223</v>
      </c>
      <c r="J355" s="8" t="s">
        <v>130</v>
      </c>
      <c r="K355" s="281" t="s">
        <v>34</v>
      </c>
      <c r="L355" s="78" t="s">
        <v>1437</v>
      </c>
      <c r="M355" s="151">
        <f>IF(SUM(V355:BC355)=0,"-",SUM(V355:BC355))</f>
        <v>1</v>
      </c>
      <c r="N355" s="278">
        <f>IF(SUMPRODUCT($V$3:$BC$3,V355:BC355)=0,"-",SUMPRODUCT($V$3:$BC$3,V355:BC355))</f>
        <v>135</v>
      </c>
      <c r="O355" s="307" t="s">
        <v>1438</v>
      </c>
      <c r="P355" s="269" t="str">
        <f>IF(G355="","",IFERROR(IF(S355="Sent","",IF(I355="Delivered","PO en attente","Projet en cours")),""))</f>
        <v/>
      </c>
      <c r="Q355" s="315" t="s">
        <v>137</v>
      </c>
      <c r="R355" s="342"/>
      <c r="S355" s="262" t="s">
        <v>249</v>
      </c>
      <c r="T355" s="262" t="s">
        <v>1439</v>
      </c>
      <c r="U355" s="257" t="s">
        <v>1287</v>
      </c>
      <c r="V355" s="20"/>
      <c r="W355" s="43"/>
      <c r="X355" s="21"/>
      <c r="Y355" s="21"/>
      <c r="AC355" s="7">
        <v>1</v>
      </c>
      <c r="BD355" s="7"/>
    </row>
    <row r="356" spans="1:57" hidden="1">
      <c r="A356" s="286" t="s">
        <v>244</v>
      </c>
      <c r="B356" s="286" t="s">
        <v>221</v>
      </c>
      <c r="C356" s="280" t="s">
        <v>2</v>
      </c>
      <c r="D356" s="281" t="str">
        <f>IF(F356="","",CHOOSE(MONTH(F356),"Q4","Q4","Q4","Q1","Q1","Q1","Q2","Q2","Q2","Q3","Q3","Q3"))</f>
        <v>Q1</v>
      </c>
      <c r="E356" s="282" t="str">
        <f>IF(F356="","",CHOOSE(MONTH(F356),"10-JAN","11-FEB","12-MAR","01-APR","02-MAY","03-JUN","04-JUL","05-AUG","06-SEP","07-OCT","08-NOV","09-DEC"))</f>
        <v>01-APR</v>
      </c>
      <c r="F356" s="242">
        <v>45384</v>
      </c>
      <c r="G356" s="231" t="s">
        <v>103</v>
      </c>
      <c r="H356" s="156" t="s">
        <v>35</v>
      </c>
      <c r="I356" s="29" t="s">
        <v>223</v>
      </c>
      <c r="J356" s="8" t="s">
        <v>95</v>
      </c>
      <c r="K356" s="281" t="s">
        <v>34</v>
      </c>
      <c r="L356" s="78" t="s">
        <v>1440</v>
      </c>
      <c r="M356" s="151">
        <f>IF(SUM(V356:BC356)=0,"-",SUM(V356:BC356))</f>
        <v>3</v>
      </c>
      <c r="N356" s="278">
        <f>IF(SUMPRODUCT($V$3:$BC$3,V356:BC356)=0,"-",SUMPRODUCT($V$3:$BC$3,V356:BC356))</f>
        <v>215</v>
      </c>
      <c r="O356" s="307" t="s">
        <v>1441</v>
      </c>
      <c r="P356" s="269" t="str">
        <f>IF(G356="","",IFERROR(IF(S356="Sent","",IF(I356="Delivered","PO en attente","Projet en cours")),""))</f>
        <v/>
      </c>
      <c r="Q356" s="315" t="s">
        <v>102</v>
      </c>
      <c r="R356" s="315"/>
      <c r="S356" s="248" t="s">
        <v>249</v>
      </c>
      <c r="T356" s="248" t="s">
        <v>1442</v>
      </c>
      <c r="U356" s="253" t="s">
        <v>1443</v>
      </c>
      <c r="V356" s="20"/>
      <c r="W356" s="43"/>
      <c r="X356" s="21"/>
      <c r="Y356" s="21"/>
      <c r="AC356" s="7">
        <v>1</v>
      </c>
      <c r="AD356" s="8">
        <v>2</v>
      </c>
      <c r="BD356" s="7"/>
      <c r="BE356" s="8"/>
    </row>
    <row r="357" spans="1:57" hidden="1">
      <c r="A357" s="286" t="s">
        <v>244</v>
      </c>
      <c r="B357" s="286" t="s">
        <v>221</v>
      </c>
      <c r="C357" s="280" t="s">
        <v>2</v>
      </c>
      <c r="D357" s="281" t="str">
        <f>IF(F357="","",CHOOSE(MONTH(F357),"Q4","Q4","Q4","Q1","Q1","Q1","Q2","Q2","Q2","Q3","Q3","Q3"))</f>
        <v>Q1</v>
      </c>
      <c r="E357" s="282" t="str">
        <f>IF(F357="","",CHOOSE(MONTH(F357),"10-JAN","11-FEB","12-MAR","01-APR","02-MAY","03-JUN","04-JUL","05-AUG","06-SEP","07-OCT","08-NOV","09-DEC"))</f>
        <v>01-APR</v>
      </c>
      <c r="F357" s="242">
        <v>45384</v>
      </c>
      <c r="G357" s="231" t="s">
        <v>150</v>
      </c>
      <c r="H357" s="5" t="s">
        <v>27</v>
      </c>
      <c r="I357" s="29" t="s">
        <v>223</v>
      </c>
      <c r="J357" s="8" t="s">
        <v>147</v>
      </c>
      <c r="K357" s="281" t="s">
        <v>34</v>
      </c>
      <c r="L357" s="78" t="s">
        <v>1444</v>
      </c>
      <c r="M357" s="151">
        <f>IF(SUM(V357:BC357)=0,"-",SUM(V357:BC357))</f>
        <v>105</v>
      </c>
      <c r="N357" s="278">
        <f>IF(SUMPRODUCT($V$3:$BC$3,V357:BC357)=0,"-",SUMPRODUCT($V$3:$BC$3,V357:BC357))</f>
        <v>3800</v>
      </c>
      <c r="O357" s="269"/>
      <c r="P357" s="355" t="str">
        <f>IF(G357="","",IFERROR(IF(S357="Sent","",IF(I357="Delivered","PO en attente","Projet en cours")),""))</f>
        <v/>
      </c>
      <c r="Q357" s="315" t="s">
        <v>149</v>
      </c>
      <c r="R357" s="315"/>
      <c r="S357" s="248" t="s">
        <v>249</v>
      </c>
      <c r="T357" s="248" t="s">
        <v>1445</v>
      </c>
      <c r="U357" s="257" t="s">
        <v>1446</v>
      </c>
      <c r="V357" s="20"/>
      <c r="W357" s="43">
        <v>80</v>
      </c>
      <c r="X357" s="21"/>
      <c r="Y357" s="21"/>
      <c r="AD357" s="8">
        <v>25</v>
      </c>
    </row>
    <row r="358" spans="1:57" hidden="1">
      <c r="A358" s="286" t="s">
        <v>244</v>
      </c>
      <c r="B358" s="286" t="s">
        <v>221</v>
      </c>
      <c r="C358" s="280" t="s">
        <v>2</v>
      </c>
      <c r="D358" s="281" t="str">
        <f>IF(F358="","",CHOOSE(MONTH(F358),"Q4","Q4","Q4","Q1","Q1","Q1","Q2","Q2","Q2","Q3","Q3","Q3"))</f>
        <v>Q1</v>
      </c>
      <c r="E358" s="282" t="str">
        <f>IF(F358="","",CHOOSE(MONTH(F358),"10-JAN","11-FEB","12-MAR","01-APR","02-MAY","03-JUN","04-JUL","05-AUG","06-SEP","07-OCT","08-NOV","09-DEC"))</f>
        <v>01-APR</v>
      </c>
      <c r="F358" s="242">
        <v>45384</v>
      </c>
      <c r="G358" s="354" t="s">
        <v>148</v>
      </c>
      <c r="H358" s="5" t="s">
        <v>27</v>
      </c>
      <c r="I358" s="29" t="s">
        <v>223</v>
      </c>
      <c r="J358" s="8" t="s">
        <v>147</v>
      </c>
      <c r="K358" s="281" t="s">
        <v>34</v>
      </c>
      <c r="L358" s="78" t="s">
        <v>1447</v>
      </c>
      <c r="M358" s="151">
        <f>IF(SUM(V358:BC358)=0,"-",SUM(V358:BC358))</f>
        <v>15</v>
      </c>
      <c r="N358" s="278">
        <f>IF(SUMPRODUCT($V$3:$BC$3,V358:BC358)=0,"-",SUMPRODUCT($V$3:$BC$3,V358:BC358))</f>
        <v>730</v>
      </c>
      <c r="O358" s="307" t="s">
        <v>1448</v>
      </c>
      <c r="P358" s="355" t="str">
        <f>IF(G358="","",IFERROR(IF(S358="Sent","",IF(I358="Delivered","PO en attente","Projet en cours")),""))</f>
        <v/>
      </c>
      <c r="Q358" s="296">
        <v>4200669114</v>
      </c>
      <c r="R358" s="315"/>
      <c r="S358" s="211" t="s">
        <v>249</v>
      </c>
      <c r="T358" s="260" t="s">
        <v>1236</v>
      </c>
      <c r="U358" s="253" t="s">
        <v>1237</v>
      </c>
      <c r="V358" s="20">
        <v>1</v>
      </c>
      <c r="W358" s="43">
        <v>9</v>
      </c>
      <c r="X358" s="21"/>
      <c r="Y358" s="21"/>
      <c r="AC358" s="7">
        <v>1</v>
      </c>
      <c r="AD358" s="8">
        <v>4</v>
      </c>
    </row>
    <row r="359" spans="1:57" hidden="1">
      <c r="A359" s="286" t="s">
        <v>244</v>
      </c>
      <c r="B359" s="286" t="s">
        <v>221</v>
      </c>
      <c r="C359" s="280" t="s">
        <v>2</v>
      </c>
      <c r="D359" s="281" t="str">
        <f>IF(F359="","",CHOOSE(MONTH(F359),"Q4","Q4","Q4","Q1","Q1","Q1","Q2","Q2","Q2","Q3","Q3","Q3"))</f>
        <v>Q1</v>
      </c>
      <c r="E359" s="282" t="str">
        <f>IF(F359="","",CHOOSE(MONTH(F359),"10-JAN","11-FEB","12-MAR","01-APR","02-MAY","03-JUN","04-JUL","05-AUG","06-SEP","07-OCT","08-NOV","09-DEC"))</f>
        <v>01-APR</v>
      </c>
      <c r="F359" s="242">
        <v>45384</v>
      </c>
      <c r="G359" s="231" t="s">
        <v>1449</v>
      </c>
      <c r="H359" s="5" t="s">
        <v>27</v>
      </c>
      <c r="I359" s="29" t="s">
        <v>223</v>
      </c>
      <c r="J359" s="8" t="s">
        <v>127</v>
      </c>
      <c r="K359" s="281" t="s">
        <v>34</v>
      </c>
      <c r="L359" s="78" t="s">
        <v>1450</v>
      </c>
      <c r="M359" s="151">
        <f>IF(SUM(V359:BC359)=0,"-",SUM(V359:BC359))</f>
        <v>10</v>
      </c>
      <c r="N359" s="278">
        <f>IF(SUMPRODUCT($V$3:$BC$3,V359:BC359)=0,"-",SUMPRODUCT($V$3:$BC$3,V359:BC359))</f>
        <v>435</v>
      </c>
      <c r="O359" s="307" t="s">
        <v>1451</v>
      </c>
      <c r="P359" s="279" t="s">
        <v>481</v>
      </c>
      <c r="Q359" s="315" t="s">
        <v>1452</v>
      </c>
      <c r="R359" s="315"/>
      <c r="S359" s="211" t="s">
        <v>249</v>
      </c>
      <c r="T359" s="211" t="s">
        <v>1453</v>
      </c>
      <c r="U359" s="253" t="s">
        <v>1427</v>
      </c>
      <c r="V359" s="20">
        <v>1</v>
      </c>
      <c r="W359" s="43">
        <v>9</v>
      </c>
      <c r="X359" s="21"/>
      <c r="Y359" s="21"/>
    </row>
    <row r="360" spans="1:57" hidden="1">
      <c r="A360" s="286" t="s">
        <v>244</v>
      </c>
      <c r="B360" s="286" t="s">
        <v>221</v>
      </c>
      <c r="C360" s="280" t="s">
        <v>2</v>
      </c>
      <c r="D360" s="281" t="str">
        <f>IF(F360="","",CHOOSE(MONTH(F360),"Q4","Q4","Q4","Q1","Q1","Q1","Q2","Q2","Q2","Q3","Q3","Q3"))</f>
        <v>Q1</v>
      </c>
      <c r="E360" s="282" t="str">
        <f>IF(F360="","",CHOOSE(MONTH(F360),"10-JAN","11-FEB","12-MAR","01-APR","02-MAY","03-JUN","04-JUL","05-AUG","06-SEP","07-OCT","08-NOV","09-DEC"))</f>
        <v>01-APR</v>
      </c>
      <c r="F360" s="242">
        <v>45385</v>
      </c>
      <c r="G360" s="231" t="s">
        <v>72</v>
      </c>
      <c r="H360" s="5" t="s">
        <v>26</v>
      </c>
      <c r="I360" s="29" t="s">
        <v>223</v>
      </c>
      <c r="J360" s="105" t="s">
        <v>69</v>
      </c>
      <c r="K360" s="281" t="s">
        <v>30</v>
      </c>
      <c r="L360" s="78" t="s">
        <v>1454</v>
      </c>
      <c r="M360" s="151">
        <f>IF(SUM(V360:BC360)=0,"-",SUM(V360:BC360))</f>
        <v>2</v>
      </c>
      <c r="N360" s="278">
        <f>IF(SUMPRODUCT($V$3:$BC$3,V360:BC360)=0,"-",SUMPRODUCT($V$3:$BC$3,V360:BC360))</f>
        <v>70</v>
      </c>
      <c r="O360" s="269"/>
      <c r="P360" s="279" t="str">
        <f>IF(G360="","",IFERROR(IF(S360="Sent","",IF(I360="Delivered","PO en attente","Projet en cours")),""))</f>
        <v/>
      </c>
      <c r="Q360" s="315" t="s">
        <v>71</v>
      </c>
      <c r="R360" s="315" t="s">
        <v>232</v>
      </c>
      <c r="S360" s="262" t="s">
        <v>249</v>
      </c>
      <c r="T360" s="262" t="s">
        <v>1455</v>
      </c>
      <c r="U360" s="257" t="s">
        <v>1287</v>
      </c>
      <c r="V360" s="20"/>
      <c r="W360" s="43">
        <v>2</v>
      </c>
      <c r="X360" s="21"/>
      <c r="Y360" s="21"/>
      <c r="BD360" s="7"/>
    </row>
    <row r="361" spans="1:57" hidden="1">
      <c r="A361" s="286" t="s">
        <v>244</v>
      </c>
      <c r="B361" s="286" t="s">
        <v>221</v>
      </c>
      <c r="C361" s="280" t="s">
        <v>2</v>
      </c>
      <c r="D361" s="281" t="str">
        <f>IF(F361="","",CHOOSE(MONTH(F361),"Q4","Q4","Q4","Q1","Q1","Q1","Q2","Q2","Q2","Q3","Q3","Q3"))</f>
        <v>Q1</v>
      </c>
      <c r="E361" s="282" t="str">
        <f>IF(F361="","",CHOOSE(MONTH(F361),"10-JAN","11-FEB","12-MAR","01-APR","02-MAY","03-JUN","04-JUL","05-AUG","06-SEP","07-OCT","08-NOV","09-DEC"))</f>
        <v>01-APR</v>
      </c>
      <c r="F361" s="242">
        <v>45386</v>
      </c>
      <c r="G361" s="389" t="s">
        <v>96</v>
      </c>
      <c r="H361" s="5" t="s">
        <v>26</v>
      </c>
      <c r="I361" s="29" t="s">
        <v>223</v>
      </c>
      <c r="J361" s="8" t="s">
        <v>95</v>
      </c>
      <c r="K361" s="281" t="s">
        <v>30</v>
      </c>
      <c r="L361" s="78" t="s">
        <v>1456</v>
      </c>
      <c r="M361" s="151">
        <f>IF(SUM(V361:BC361)=0,"-",SUM(V361:BC361))</f>
        <v>2</v>
      </c>
      <c r="N361" s="278">
        <f>IF(SUMPRODUCT($V$3:$BC$3,V361:BC361)=0,"-",SUMPRODUCT($V$3:$BC$3,V361:BC361))</f>
        <v>155</v>
      </c>
      <c r="P361" s="279" t="str">
        <f>IF(G361="","",IFERROR(IF(S361="Sent","",IF(I361="Delivered","PO en attente","Projet en cours")),""))</f>
        <v/>
      </c>
      <c r="Q361" s="211">
        <v>4200663610</v>
      </c>
      <c r="R361" s="211" t="s">
        <v>232</v>
      </c>
      <c r="S361" s="262" t="s">
        <v>249</v>
      </c>
      <c r="T361" s="262" t="s">
        <v>1363</v>
      </c>
      <c r="U361" s="257" t="s">
        <v>1320</v>
      </c>
      <c r="V361" s="7">
        <v>1</v>
      </c>
      <c r="W361" s="8">
        <v>1</v>
      </c>
      <c r="BD361" s="7"/>
      <c r="BE361" s="8"/>
    </row>
    <row r="362" spans="1:57" hidden="1">
      <c r="A362" s="286" t="s">
        <v>244</v>
      </c>
      <c r="B362" s="286" t="s">
        <v>221</v>
      </c>
      <c r="C362" s="280" t="s">
        <v>2</v>
      </c>
      <c r="D362" s="281" t="str">
        <f>IF(F362="","",CHOOSE(MONTH(F362),"Q4","Q4","Q4","Q1","Q1","Q1","Q2","Q2","Q2","Q3","Q3","Q3"))</f>
        <v>Q1</v>
      </c>
      <c r="E362" s="282" t="str">
        <f>IF(F362="","",CHOOSE(MONTH(F362),"10-JAN","11-FEB","12-MAR","01-APR","02-MAY","03-JUN","04-JUL","05-AUG","06-SEP","07-OCT","08-NOV","09-DEC"))</f>
        <v>01-APR</v>
      </c>
      <c r="F362" s="242">
        <v>45386</v>
      </c>
      <c r="G362" s="231" t="s">
        <v>151</v>
      </c>
      <c r="H362" s="5" t="s">
        <v>27</v>
      </c>
      <c r="I362" s="29" t="s">
        <v>223</v>
      </c>
      <c r="J362" s="8" t="s">
        <v>147</v>
      </c>
      <c r="K362" s="281" t="s">
        <v>34</v>
      </c>
      <c r="L362" s="78" t="s">
        <v>1457</v>
      </c>
      <c r="M362" s="151">
        <f>IF(SUM(V362:BC362)=0,"-",SUM(V362:BC362))</f>
        <v>2</v>
      </c>
      <c r="N362" s="278">
        <f>IF(SUMPRODUCT($V$3:$BC$3,V362:BC362)=0,"-",SUMPRODUCT($V$3:$BC$3,V362:BC362))</f>
        <v>175</v>
      </c>
      <c r="O362" s="114" t="s">
        <v>1458</v>
      </c>
      <c r="P362" s="269" t="str">
        <f>IF(G362="","",IFERROR(IF(S362="Sent","",IF(I362="Delivered","PO en attente","Projet en cours")),""))</f>
        <v/>
      </c>
      <c r="Q362" s="211">
        <v>4200665873</v>
      </c>
      <c r="R362" s="211"/>
      <c r="S362" s="248" t="s">
        <v>249</v>
      </c>
      <c r="T362" s="248" t="s">
        <v>1398</v>
      </c>
      <c r="U362" s="253" t="s">
        <v>1331</v>
      </c>
      <c r="AC362" s="7">
        <v>1</v>
      </c>
      <c r="AD362" s="8">
        <v>1</v>
      </c>
      <c r="BD362" s="7"/>
    </row>
    <row r="363" spans="1:57" hidden="1">
      <c r="A363" s="286" t="s">
        <v>244</v>
      </c>
      <c r="B363" s="286" t="s">
        <v>221</v>
      </c>
      <c r="C363" s="280" t="s">
        <v>2</v>
      </c>
      <c r="D363" s="281" t="str">
        <f>IF(F363="","",CHOOSE(MONTH(F363),"Q4","Q4","Q4","Q1","Q1","Q1","Q2","Q2","Q2","Q3","Q3","Q3"))</f>
        <v>Q1</v>
      </c>
      <c r="E363" s="282" t="str">
        <f>IF(F363="","",CHOOSE(MONTH(F363),"10-JAN","11-FEB","12-MAR","01-APR","02-MAY","03-JUN","04-JUL","05-AUG","06-SEP","07-OCT","08-NOV","09-DEC"))</f>
        <v>01-APR</v>
      </c>
      <c r="F363" s="242">
        <v>45387</v>
      </c>
      <c r="G363" s="222" t="s">
        <v>131</v>
      </c>
      <c r="H363" s="5" t="s">
        <v>26</v>
      </c>
      <c r="I363" s="29" t="s">
        <v>223</v>
      </c>
      <c r="J363" s="8" t="s">
        <v>130</v>
      </c>
      <c r="K363" s="281" t="s">
        <v>30</v>
      </c>
      <c r="L363" s="78" t="s">
        <v>1459</v>
      </c>
      <c r="M363" s="151">
        <f>IF(SUM(V363:BC363)=0,"-",SUM(V363:BC363))</f>
        <v>2</v>
      </c>
      <c r="N363" s="65">
        <f>IF(SUMPRODUCT($V$3:$BC$3,V363:BC363)=0,"-",SUMPRODUCT($V$3:$BC$3,V363:BC363))</f>
        <v>155</v>
      </c>
      <c r="P363" s="279" t="str">
        <f>IF(G363="","",IFERROR(IF(S363="Sent","",IF(I363="Delivered","PO en attente","Projet en cours")),""))</f>
        <v/>
      </c>
      <c r="Q363" s="211">
        <v>4200663716</v>
      </c>
      <c r="R363" s="211" t="s">
        <v>232</v>
      </c>
      <c r="S363" s="260" t="s">
        <v>249</v>
      </c>
      <c r="T363" s="260" t="s">
        <v>1319</v>
      </c>
      <c r="U363" s="257" t="s">
        <v>1320</v>
      </c>
      <c r="V363" s="7">
        <v>1</v>
      </c>
      <c r="W363" s="8">
        <v>1</v>
      </c>
      <c r="BD363" s="7"/>
      <c r="BE363" s="8"/>
    </row>
    <row r="364" spans="1:57" hidden="1">
      <c r="A364" s="286" t="s">
        <v>244</v>
      </c>
      <c r="B364" s="286" t="s">
        <v>221</v>
      </c>
      <c r="C364" s="280" t="s">
        <v>2</v>
      </c>
      <c r="D364" s="281" t="str">
        <f>IF(F364="","",CHOOSE(MONTH(F364),"Q4","Q4","Q4","Q1","Q1","Q1","Q2","Q2","Q2","Q3","Q3","Q3"))</f>
        <v>Q1</v>
      </c>
      <c r="E364" s="282" t="str">
        <f>IF(F364="","",CHOOSE(MONTH(F364),"10-JAN","11-FEB","12-MAR","01-APR","02-MAY","03-JUN","04-JUL","05-AUG","06-SEP","07-OCT","08-NOV","09-DEC"))</f>
        <v>01-APR</v>
      </c>
      <c r="F364" s="242">
        <v>45387</v>
      </c>
      <c r="G364" s="231" t="s">
        <v>154</v>
      </c>
      <c r="H364" s="5" t="s">
        <v>27</v>
      </c>
      <c r="I364" s="29" t="s">
        <v>223</v>
      </c>
      <c r="J364" s="8" t="s">
        <v>147</v>
      </c>
      <c r="K364" s="281" t="s">
        <v>34</v>
      </c>
      <c r="L364" s="78" t="s">
        <v>1460</v>
      </c>
      <c r="M364" s="151">
        <f>IF(SUM(V364:BC364)=0,"-",SUM(V364:BC364))</f>
        <v>5</v>
      </c>
      <c r="N364" s="278">
        <f>IF(SUMPRODUCT($V$3:$BC$3,V364:BC364)=0,"-",SUMPRODUCT($V$3:$BC$3,V364:BC364))</f>
        <v>175</v>
      </c>
      <c r="O364" s="114" t="s">
        <v>1461</v>
      </c>
      <c r="P364" s="281" t="str">
        <f>IF(G364="","",IFERROR(IF(S364="Sent","",IF(I364="Delivered","PO en attente","Projet en cours")),""))</f>
        <v/>
      </c>
      <c r="Q364" s="211">
        <v>4200666278</v>
      </c>
      <c r="R364" s="211"/>
      <c r="S364" s="211" t="s">
        <v>249</v>
      </c>
      <c r="T364" s="211" t="s">
        <v>1462</v>
      </c>
      <c r="U364" s="257" t="s">
        <v>1446</v>
      </c>
      <c r="W364" s="8">
        <v>5</v>
      </c>
    </row>
    <row r="365" spans="1:57" hidden="1">
      <c r="A365" s="286" t="s">
        <v>244</v>
      </c>
      <c r="B365" s="286" t="s">
        <v>221</v>
      </c>
      <c r="C365" s="280" t="s">
        <v>2</v>
      </c>
      <c r="D365" s="281" t="str">
        <f>IF(F365="","",CHOOSE(MONTH(F365),"Q4","Q4","Q4","Q1","Q1","Q1","Q2","Q2","Q2","Q3","Q3","Q3"))</f>
        <v>Q1</v>
      </c>
      <c r="E365" s="282" t="str">
        <f>IF(F365="","",CHOOSE(MONTH(F365),"10-JAN","11-FEB","12-MAR","01-APR","02-MAY","03-JUN","04-JUL","05-AUG","06-SEP","07-OCT","08-NOV","09-DEC"))</f>
        <v>01-APR</v>
      </c>
      <c r="F365" s="242">
        <v>45388</v>
      </c>
      <c r="G365" s="231" t="s">
        <v>104</v>
      </c>
      <c r="H365" s="156" t="s">
        <v>35</v>
      </c>
      <c r="I365" s="29" t="s">
        <v>223</v>
      </c>
      <c r="J365" s="8" t="s">
        <v>95</v>
      </c>
      <c r="K365" s="281" t="s">
        <v>34</v>
      </c>
      <c r="L365" s="78" t="s">
        <v>1463</v>
      </c>
      <c r="M365" s="151">
        <f>IF(SUM(V365:BC365)=0,"-",SUM(V365:BC365))</f>
        <v>4</v>
      </c>
      <c r="N365" s="352">
        <f>IF(SUMPRODUCT($V$3:$BC$3,V365:BC365)=0,"-",SUMPRODUCT($V$3:$BC$3,V365:BC365))</f>
        <v>1000</v>
      </c>
      <c r="O365" s="114" t="s">
        <v>1464</v>
      </c>
      <c r="P365" s="279" t="str">
        <f>IF(G365="","",IFERROR(IF(S365="Sent","",IF(I365="Delivered","PO en attente","Projet en cours")),""))</f>
        <v/>
      </c>
      <c r="Q365" s="211">
        <v>4200665083</v>
      </c>
      <c r="R365" s="211"/>
      <c r="S365" s="211" t="s">
        <v>249</v>
      </c>
      <c r="T365" s="211" t="s">
        <v>1465</v>
      </c>
      <c r="U365" s="253" t="s">
        <v>1443</v>
      </c>
      <c r="AF365" s="8">
        <v>4</v>
      </c>
      <c r="BD365" s="7"/>
      <c r="BE365" s="8"/>
    </row>
    <row r="366" spans="1:57" hidden="1">
      <c r="A366" s="286" t="s">
        <v>244</v>
      </c>
      <c r="B366" s="286" t="s">
        <v>221</v>
      </c>
      <c r="C366" s="280" t="s">
        <v>2</v>
      </c>
      <c r="D366" s="281" t="str">
        <f>IF(F366="","",CHOOSE(MONTH(F366),"Q4","Q4","Q4","Q1","Q1","Q1","Q2","Q2","Q2","Q3","Q3","Q3"))</f>
        <v>Q1</v>
      </c>
      <c r="E366" s="282" t="str">
        <f>IF(F366="","",CHOOSE(MONTH(F366),"10-JAN","11-FEB","12-MAR","01-APR","02-MAY","03-JUN","04-JUL","05-AUG","06-SEP","07-OCT","08-NOV","09-DEC"))</f>
        <v>01-APR</v>
      </c>
      <c r="F366" s="242">
        <v>45392</v>
      </c>
      <c r="G366" s="231" t="s">
        <v>97</v>
      </c>
      <c r="H366" s="5" t="s">
        <v>26</v>
      </c>
      <c r="I366" s="29" t="s">
        <v>223</v>
      </c>
      <c r="J366" s="8" t="s">
        <v>95</v>
      </c>
      <c r="K366" s="281" t="s">
        <v>30</v>
      </c>
      <c r="L366" s="78" t="s">
        <v>1466</v>
      </c>
      <c r="M366" s="151">
        <f>IF(SUM(V366:BC366)=0,"-",SUM(V366:BC366))</f>
        <v>2</v>
      </c>
      <c r="N366" s="65">
        <f>IF(SUMPRODUCT($V$3:$BC$3,V366:BC366)=0,"-",SUMPRODUCT($V$3:$BC$3,V366:BC366))</f>
        <v>155</v>
      </c>
      <c r="P366" s="279" t="str">
        <f>IF(G366="","",IFERROR(IF(S366="Sent","",IF(I366="Delivered","PO en attente","Projet en cours")),""))</f>
        <v/>
      </c>
      <c r="Q366" s="211">
        <v>4200663610</v>
      </c>
      <c r="R366" s="211" t="s">
        <v>232</v>
      </c>
      <c r="S366" s="262" t="s">
        <v>249</v>
      </c>
      <c r="T366" s="262" t="s">
        <v>1363</v>
      </c>
      <c r="U366" s="257" t="s">
        <v>1320</v>
      </c>
      <c r="V366" s="7">
        <v>1</v>
      </c>
      <c r="W366" s="8">
        <v>1</v>
      </c>
      <c r="BD366" s="7"/>
      <c r="BE366" s="8"/>
    </row>
    <row r="367" spans="1:57" hidden="1">
      <c r="A367" s="286" t="s">
        <v>244</v>
      </c>
      <c r="B367" s="286" t="s">
        <v>221</v>
      </c>
      <c r="C367" s="280" t="s">
        <v>2</v>
      </c>
      <c r="D367" s="281" t="str">
        <f>IF(F367="","",CHOOSE(MONTH(F367),"Q4","Q4","Q4","Q1","Q1","Q1","Q2","Q2","Q2","Q3","Q3","Q3"))</f>
        <v>Q1</v>
      </c>
      <c r="E367" s="282" t="str">
        <f>IF(F367="","",CHOOSE(MONTH(F367),"10-JAN","11-FEB","12-MAR","01-APR","02-MAY","03-JUN","04-JUL","05-AUG","06-SEP","07-OCT","08-NOV","09-DEC"))</f>
        <v>01-APR</v>
      </c>
      <c r="F367" s="242">
        <v>45393</v>
      </c>
      <c r="G367" s="232" t="s">
        <v>105</v>
      </c>
      <c r="H367" s="5" t="s">
        <v>35</v>
      </c>
      <c r="I367" s="29" t="s">
        <v>223</v>
      </c>
      <c r="J367" s="8" t="s">
        <v>95</v>
      </c>
      <c r="K367" s="281" t="s">
        <v>34</v>
      </c>
      <c r="L367" s="78" t="s">
        <v>1467</v>
      </c>
      <c r="M367" s="151">
        <f>IF(SUM(V367:BC367)=0,"-",SUM(V367:BC367))</f>
        <v>12</v>
      </c>
      <c r="N367" s="352">
        <f>IF(SUMPRODUCT($V$3:$BC$3,V367:BC367)=0,"-",SUMPRODUCT($V$3:$BC$3,V367:BC367))</f>
        <v>510</v>
      </c>
      <c r="O367" s="114" t="s">
        <v>1468</v>
      </c>
      <c r="P367" s="279" t="str">
        <f>IF(G367="","",IFERROR(IF(S367="Sent","",IF(I367="Delivered","PO en attente","Projet en cours")),""))</f>
        <v/>
      </c>
      <c r="Q367" s="211">
        <v>4200665081</v>
      </c>
      <c r="R367" s="211"/>
      <c r="S367" s="211" t="s">
        <v>249</v>
      </c>
      <c r="T367" s="211" t="s">
        <v>1469</v>
      </c>
      <c r="U367" s="253" t="s">
        <v>1443</v>
      </c>
      <c r="V367" s="7">
        <v>1</v>
      </c>
      <c r="W367" s="8">
        <v>10</v>
      </c>
      <c r="AD367" s="8">
        <v>1</v>
      </c>
      <c r="BE367" s="8"/>
    </row>
    <row r="368" spans="1:57" hidden="1">
      <c r="A368" s="286" t="s">
        <v>244</v>
      </c>
      <c r="B368" s="286" t="s">
        <v>221</v>
      </c>
      <c r="C368" s="280" t="s">
        <v>2</v>
      </c>
      <c r="D368" s="281" t="str">
        <f>IF(F368="","",CHOOSE(MONTH(F368),"Q4","Q4","Q4","Q1","Q1","Q1","Q2","Q2","Q2","Q3","Q3","Q3"))</f>
        <v>Q1</v>
      </c>
      <c r="E368" s="282" t="str">
        <f>IF(F368="","",CHOOSE(MONTH(F368),"10-JAN","11-FEB","12-MAR","01-APR","02-MAY","03-JUN","04-JUL","05-AUG","06-SEP","07-OCT","08-NOV","09-DEC"))</f>
        <v>01-APR</v>
      </c>
      <c r="F368" s="242">
        <v>45394</v>
      </c>
      <c r="G368" s="236" t="s">
        <v>73</v>
      </c>
      <c r="H368" s="5" t="s">
        <v>36</v>
      </c>
      <c r="I368" s="29" t="s">
        <v>223</v>
      </c>
      <c r="J368" s="8" t="s">
        <v>69</v>
      </c>
      <c r="K368" s="281" t="s">
        <v>34</v>
      </c>
      <c r="L368" s="78" t="s">
        <v>1470</v>
      </c>
      <c r="M368" s="151">
        <f>IF(SUM(V368:BC368)=0,"-",SUM(V368:BC368))</f>
        <v>1</v>
      </c>
      <c r="N368" s="352">
        <f>IF(SUMPRODUCT($V$3:$BC$3,V368:BC368)=0,"-",SUMPRODUCT($V$3:$BC$3,V368:BC368))</f>
        <v>40</v>
      </c>
      <c r="O368" s="266" t="s">
        <v>1471</v>
      </c>
      <c r="P368" s="279" t="str">
        <f>IF(G368="","",IFERROR(IF(S368="Sent","",IF(I368="Delivered","PO en attente","Projet en cours")),""))</f>
        <v/>
      </c>
      <c r="Q368" s="211">
        <v>4200665908</v>
      </c>
      <c r="R368" s="211"/>
      <c r="S368" s="211" t="s">
        <v>249</v>
      </c>
      <c r="T368" s="211" t="s">
        <v>1472</v>
      </c>
      <c r="U368" s="253" t="s">
        <v>1331</v>
      </c>
      <c r="AD368" s="8">
        <v>1</v>
      </c>
    </row>
    <row r="369" spans="1:57" hidden="1">
      <c r="A369" s="286" t="s">
        <v>244</v>
      </c>
      <c r="B369" s="286" t="s">
        <v>221</v>
      </c>
      <c r="C369" s="280" t="s">
        <v>2</v>
      </c>
      <c r="D369" s="281" t="str">
        <f>IF(F369="","",CHOOSE(MONTH(F369),"Q4","Q4","Q4","Q1","Q1","Q1","Q2","Q2","Q2","Q3","Q3","Q3"))</f>
        <v>Q1</v>
      </c>
      <c r="E369" s="282" t="str">
        <f>IF(F369="","",CHOOSE(MONTH(F369),"10-JAN","11-FEB","12-MAR","01-APR","02-MAY","03-JUN","04-JUL","05-AUG","06-SEP","07-OCT","08-NOV","09-DEC"))</f>
        <v>01-APR</v>
      </c>
      <c r="F369" s="242">
        <v>45394</v>
      </c>
      <c r="G369" s="231" t="s">
        <v>152</v>
      </c>
      <c r="H369" s="5" t="s">
        <v>27</v>
      </c>
      <c r="I369" s="29" t="s">
        <v>223</v>
      </c>
      <c r="J369" s="8" t="s">
        <v>147</v>
      </c>
      <c r="K369" s="281" t="s">
        <v>34</v>
      </c>
      <c r="L369" s="78" t="s">
        <v>1473</v>
      </c>
      <c r="M369" s="151">
        <f>IF(SUM(V369:BC369)=0,"-",SUM(V369:BC369))</f>
        <v>2</v>
      </c>
      <c r="N369" s="65">
        <f>IF(SUMPRODUCT($V$3:$BC$3,V369:BC369)=0,"-",SUMPRODUCT($V$3:$BC$3,V369:BC369))</f>
        <v>285</v>
      </c>
      <c r="O369" s="114" t="s">
        <v>1474</v>
      </c>
      <c r="P369" s="269" t="str">
        <f>IF(G369="","",IFERROR(IF(S369="Sent","",IF(I369="Delivered","PO en attente","Projet en cours")),""))</f>
        <v/>
      </c>
      <c r="Q369" s="211">
        <v>4200665873</v>
      </c>
      <c r="R369" s="211"/>
      <c r="S369" s="248" t="s">
        <v>249</v>
      </c>
      <c r="T369" s="248" t="s">
        <v>1398</v>
      </c>
      <c r="U369" s="253" t="s">
        <v>1331</v>
      </c>
      <c r="W369" s="8">
        <v>1</v>
      </c>
      <c r="AF369" s="8">
        <v>1</v>
      </c>
      <c r="BD369" s="7"/>
    </row>
    <row r="370" spans="1:57" ht="20.25" hidden="1" customHeight="1">
      <c r="A370" s="286" t="s">
        <v>244</v>
      </c>
      <c r="B370" s="286" t="s">
        <v>221</v>
      </c>
      <c r="C370" s="280" t="s">
        <v>2</v>
      </c>
      <c r="D370" s="281" t="str">
        <f>IF(F370="","",CHOOSE(MONTH(F370),"Q4","Q4","Q4","Q1","Q1","Q1","Q2","Q2","Q2","Q3","Q3","Q3"))</f>
        <v>Q1</v>
      </c>
      <c r="E370" s="282" t="str">
        <f>IF(F370="","",CHOOSE(MONTH(F370),"10-JAN","11-FEB","12-MAR","01-APR","02-MAY","03-JUN","04-JUL","05-AUG","06-SEP","07-OCT","08-NOV","09-DEC"))</f>
        <v>01-APR</v>
      </c>
      <c r="F370" s="242">
        <v>45397</v>
      </c>
      <c r="G370" s="231" t="s">
        <v>77</v>
      </c>
      <c r="H370" s="5" t="s">
        <v>36</v>
      </c>
      <c r="I370" s="29" t="s">
        <v>223</v>
      </c>
      <c r="J370" s="8" t="s">
        <v>69</v>
      </c>
      <c r="K370" s="281" t="s">
        <v>34</v>
      </c>
      <c r="L370" s="78" t="s">
        <v>1475</v>
      </c>
      <c r="M370" s="151">
        <f>IF(SUM(V370:BC370)=0,"-",SUM(V370:BC370))</f>
        <v>4</v>
      </c>
      <c r="N370" s="352">
        <f>IF(SUMPRODUCT($V$3:$BC$3,V370:BC370)=0,"-",SUMPRODUCT($V$3:$BC$3,V370:BC370))</f>
        <v>235</v>
      </c>
      <c r="O370" s="266" t="s">
        <v>1476</v>
      </c>
      <c r="P370" s="279" t="str">
        <f>IF(G370="","",IFERROR(IF(S370="Sent","",IF(I370="Delivered","PO en attente","Projet en cours")),""))</f>
        <v/>
      </c>
      <c r="Q370" s="211">
        <v>4200665859</v>
      </c>
      <c r="R370" s="211"/>
      <c r="S370" s="211" t="s">
        <v>249</v>
      </c>
      <c r="T370" s="211" t="s">
        <v>1430</v>
      </c>
      <c r="U370" s="253" t="s">
        <v>1331</v>
      </c>
      <c r="V370" s="7">
        <v>1</v>
      </c>
      <c r="W370" s="8">
        <v>1</v>
      </c>
      <c r="AD370" s="8">
        <v>2</v>
      </c>
    </row>
    <row r="371" spans="1:57" hidden="1">
      <c r="A371" s="286" t="s">
        <v>244</v>
      </c>
      <c r="B371" s="286" t="s">
        <v>221</v>
      </c>
      <c r="C371" s="280" t="s">
        <v>2</v>
      </c>
      <c r="D371" s="281" t="str">
        <f>IF(F371="","",CHOOSE(MONTH(F371),"Q4","Q4","Q4","Q1","Q1","Q1","Q2","Q2","Q2","Q3","Q3","Q3"))</f>
        <v>Q1</v>
      </c>
      <c r="E371" s="282" t="str">
        <f>IF(F371="","",CHOOSE(MONTH(F371),"10-JAN","11-FEB","12-MAR","01-APR","02-MAY","03-JUN","04-JUL","05-AUG","06-SEP","07-OCT","08-NOV","09-DEC"))</f>
        <v>01-APR</v>
      </c>
      <c r="F371" s="242">
        <v>45398</v>
      </c>
      <c r="G371" s="236" t="s">
        <v>98</v>
      </c>
      <c r="H371" s="459" t="s">
        <v>31</v>
      </c>
      <c r="I371" s="29" t="s">
        <v>223</v>
      </c>
      <c r="J371" s="8" t="s">
        <v>95</v>
      </c>
      <c r="K371" s="281" t="s">
        <v>30</v>
      </c>
      <c r="L371" s="78" t="s">
        <v>1477</v>
      </c>
      <c r="M371" s="151">
        <f>IF(SUM(V371:BC371)=0,"-",SUM(V371:BC371))</f>
        <v>2</v>
      </c>
      <c r="N371" s="65">
        <f>IF(SUMPRODUCT($V$3:$BC$3,V371:BC371)=0,"-",SUMPRODUCT($V$3:$BC$3,V371:BC371))</f>
        <v>155</v>
      </c>
      <c r="P371" s="279" t="str">
        <f>IF(G371="","",IFERROR(IF(S371="Sent","",IF(I371="Delivered","PO en attente","Projet en cours")),""))</f>
        <v/>
      </c>
      <c r="Q371" s="211">
        <v>4200663610</v>
      </c>
      <c r="R371" s="211" t="s">
        <v>232</v>
      </c>
      <c r="S371" s="262" t="s">
        <v>249</v>
      </c>
      <c r="T371" s="262" t="s">
        <v>1363</v>
      </c>
      <c r="U371" s="257" t="s">
        <v>1320</v>
      </c>
      <c r="V371" s="7">
        <v>1</v>
      </c>
      <c r="W371" s="8">
        <v>1</v>
      </c>
      <c r="BD371" s="7"/>
      <c r="BE371" s="8"/>
    </row>
    <row r="372" spans="1:57" hidden="1">
      <c r="A372" s="286" t="s">
        <v>244</v>
      </c>
      <c r="B372" s="286" t="s">
        <v>221</v>
      </c>
      <c r="C372" s="280" t="s">
        <v>2</v>
      </c>
      <c r="D372" s="281" t="str">
        <f>IF(F372="","",CHOOSE(MONTH(F372),"Q4","Q4","Q4","Q1","Q1","Q1","Q2","Q2","Q2","Q3","Q3","Q3"))</f>
        <v>Q1</v>
      </c>
      <c r="E372" s="282" t="str">
        <f>IF(F372="","",CHOOSE(MONTH(F372),"10-JAN","11-FEB","12-MAR","01-APR","02-MAY","03-JUN","04-JUL","05-AUG","06-SEP","07-OCT","08-NOV","09-DEC"))</f>
        <v>01-APR</v>
      </c>
      <c r="F372" s="242">
        <v>45398</v>
      </c>
      <c r="G372" s="231" t="s">
        <v>106</v>
      </c>
      <c r="H372" s="156" t="s">
        <v>35</v>
      </c>
      <c r="I372" s="29" t="s">
        <v>223</v>
      </c>
      <c r="J372" s="8" t="s">
        <v>95</v>
      </c>
      <c r="K372" s="281" t="s">
        <v>34</v>
      </c>
      <c r="L372" s="78" t="s">
        <v>1478</v>
      </c>
      <c r="M372" s="151">
        <f>IF(SUM(V372:BC372)=0,"-",SUM(V372:BC372))</f>
        <v>6</v>
      </c>
      <c r="N372" s="352">
        <f>IF(SUMPRODUCT($V$3:$BC$3,V372:BC372)=0,"-",SUMPRODUCT($V$3:$BC$3,V372:BC372))</f>
        <v>810</v>
      </c>
      <c r="O372" s="114" t="s">
        <v>1479</v>
      </c>
      <c r="P372" s="279" t="str">
        <f>IF(G372="","",IFERROR(IF(S372="Sent","",IF(I372="Delivered","PO en attente","Projet en cours")),""))</f>
        <v/>
      </c>
      <c r="Q372" s="211">
        <v>4200665074</v>
      </c>
      <c r="R372" s="211"/>
      <c r="S372" s="211" t="s">
        <v>249</v>
      </c>
      <c r="T372" s="211" t="s">
        <v>1480</v>
      </c>
      <c r="U372" s="253" t="s">
        <v>1443</v>
      </c>
      <c r="AC372" s="7">
        <v>6</v>
      </c>
      <c r="BD372" s="7"/>
      <c r="BE372" s="8"/>
    </row>
    <row r="373" spans="1:57" hidden="1">
      <c r="A373" s="286" t="s">
        <v>244</v>
      </c>
      <c r="B373" s="286" t="s">
        <v>221</v>
      </c>
      <c r="C373" s="280" t="s">
        <v>2</v>
      </c>
      <c r="D373" s="281" t="str">
        <f>IF(F373="","",CHOOSE(MONTH(F373),"Q4","Q4","Q4","Q1","Q1","Q1","Q2","Q2","Q2","Q3","Q3","Q3"))</f>
        <v>Q1</v>
      </c>
      <c r="E373" s="282" t="str">
        <f>IF(F373="","",CHOOSE(MONTH(F373),"10-JAN","11-FEB","12-MAR","01-APR","02-MAY","03-JUN","04-JUL","05-AUG","06-SEP","07-OCT","08-NOV","09-DEC"))</f>
        <v>01-APR</v>
      </c>
      <c r="F373" s="242">
        <v>45398</v>
      </c>
      <c r="G373" s="236" t="s">
        <v>74</v>
      </c>
      <c r="H373" s="5" t="s">
        <v>36</v>
      </c>
      <c r="I373" s="29" t="s">
        <v>223</v>
      </c>
      <c r="J373" s="8" t="s">
        <v>69</v>
      </c>
      <c r="K373" s="281" t="s">
        <v>34</v>
      </c>
      <c r="L373" s="78" t="s">
        <v>1481</v>
      </c>
      <c r="M373" s="151">
        <f>IF(SUM(V373:BC373)=0,"-",SUM(V373:BC373))</f>
        <v>1</v>
      </c>
      <c r="N373" s="352">
        <f>IF(SUMPRODUCT($V$3:$BC$3,V373:BC373)=0,"-",SUMPRODUCT($V$3:$BC$3,V373:BC373))</f>
        <v>40</v>
      </c>
      <c r="O373" s="266" t="s">
        <v>1482</v>
      </c>
      <c r="P373" s="279" t="str">
        <f>IF(G373="","",IFERROR(IF(S373="Sent","",IF(I373="Delivered","PO en attente","Projet en cours")),""))</f>
        <v/>
      </c>
      <c r="Q373" s="211">
        <v>4200665908</v>
      </c>
      <c r="R373" s="211"/>
      <c r="S373" s="211" t="s">
        <v>249</v>
      </c>
      <c r="T373" s="211" t="s">
        <v>1472</v>
      </c>
      <c r="U373" s="253" t="s">
        <v>1331</v>
      </c>
      <c r="AD373" s="8">
        <v>1</v>
      </c>
    </row>
    <row r="374" spans="1:57" hidden="1">
      <c r="A374" s="286" t="s">
        <v>244</v>
      </c>
      <c r="B374" s="286" t="s">
        <v>221</v>
      </c>
      <c r="C374" s="280" t="s">
        <v>2</v>
      </c>
      <c r="D374" s="281" t="str">
        <f>IF(F374="","",CHOOSE(MONTH(F374),"Q4","Q4","Q4","Q1","Q1","Q1","Q2","Q2","Q2","Q3","Q3","Q3"))</f>
        <v>Q1</v>
      </c>
      <c r="E374" s="282" t="str">
        <f>IF(F374="","",CHOOSE(MONTH(F374),"10-JAN","11-FEB","12-MAR","01-APR","02-MAY","03-JUN","04-JUL","05-AUG","06-SEP","07-OCT","08-NOV","09-DEC"))</f>
        <v>01-APR</v>
      </c>
      <c r="F374" s="242">
        <v>45398</v>
      </c>
      <c r="G374" s="236" t="s">
        <v>75</v>
      </c>
      <c r="H374" s="5" t="s">
        <v>36</v>
      </c>
      <c r="I374" s="29" t="s">
        <v>223</v>
      </c>
      <c r="J374" s="8" t="s">
        <v>69</v>
      </c>
      <c r="K374" s="281" t="s">
        <v>34</v>
      </c>
      <c r="L374" s="78" t="s">
        <v>1483</v>
      </c>
      <c r="M374" s="151">
        <f>IF(SUM(V374:BC374)=0,"-",SUM(V374:BC374))</f>
        <v>10</v>
      </c>
      <c r="N374" s="352">
        <f>IF(SUMPRODUCT($V$3:$BC$3,V374:BC374)=0,"-",SUMPRODUCT($V$3:$BC$3,V374:BC374))</f>
        <v>435</v>
      </c>
      <c r="O374" s="266" t="s">
        <v>1484</v>
      </c>
      <c r="P374" s="279" t="str">
        <f>IF(G374="","",IFERROR(IF(S374="Sent","",IF(I374="Delivered","PO en attente","Projet en cours")),""))</f>
        <v/>
      </c>
      <c r="Q374" s="211">
        <v>4200665908</v>
      </c>
      <c r="R374" s="211"/>
      <c r="S374" s="211" t="s">
        <v>249</v>
      </c>
      <c r="T374" s="211" t="s">
        <v>1472</v>
      </c>
      <c r="U374" s="253" t="s">
        <v>1331</v>
      </c>
      <c r="V374" s="7">
        <v>1</v>
      </c>
      <c r="W374" s="8">
        <v>9</v>
      </c>
    </row>
    <row r="375" spans="1:57" hidden="1">
      <c r="A375" s="286" t="s">
        <v>244</v>
      </c>
      <c r="B375" s="286" t="s">
        <v>221</v>
      </c>
      <c r="C375" s="280" t="s">
        <v>2</v>
      </c>
      <c r="D375" s="281" t="str">
        <f>IF(F375="","",CHOOSE(MONTH(F375),"Q4","Q4","Q4","Q1","Q1","Q1","Q2","Q2","Q2","Q3","Q3","Q3"))</f>
        <v>Q1</v>
      </c>
      <c r="E375" s="282" t="str">
        <f>IF(F375="","",CHOOSE(MONTH(F375),"10-JAN","11-FEB","12-MAR","01-APR","02-MAY","03-JUN","04-JUL","05-AUG","06-SEP","07-OCT","08-NOV","09-DEC"))</f>
        <v>01-APR</v>
      </c>
      <c r="F375" s="242">
        <v>45398</v>
      </c>
      <c r="G375" s="232" t="s">
        <v>1485</v>
      </c>
      <c r="H375" s="5" t="s">
        <v>27</v>
      </c>
      <c r="I375" s="29" t="s">
        <v>223</v>
      </c>
      <c r="J375" s="8" t="s">
        <v>127</v>
      </c>
      <c r="K375" s="281" t="str">
        <f>IF(H375="","",IFERROR(VLOOKUP(H375,Instructions!D:E,2,0),"BA"))</f>
        <v>BA</v>
      </c>
      <c r="L375" s="78" t="s">
        <v>1486</v>
      </c>
      <c r="M375" s="151">
        <f>IF(SUM(V375:BC375)=0,"-",SUM(V375:BC375))</f>
        <v>4</v>
      </c>
      <c r="N375" s="352">
        <f>IF(SUMPRODUCT($V$3:$BC$3,V375:BC375)=0,"-",SUMPRODUCT($V$3:$BC$3,V375:BC375))</f>
        <v>160</v>
      </c>
      <c r="O375" s="114" t="s">
        <v>1487</v>
      </c>
      <c r="P375" s="279" t="s">
        <v>481</v>
      </c>
      <c r="Q375" s="211">
        <v>4200667507</v>
      </c>
      <c r="R375" s="211"/>
      <c r="S375" s="211" t="s">
        <v>249</v>
      </c>
      <c r="T375" s="211" t="s">
        <v>1453</v>
      </c>
      <c r="U375" s="253" t="s">
        <v>1427</v>
      </c>
      <c r="AD375" s="8">
        <v>4</v>
      </c>
    </row>
    <row r="376" spans="1:57" ht="23.25" hidden="1" customHeight="1">
      <c r="A376" s="286" t="s">
        <v>244</v>
      </c>
      <c r="B376" s="286" t="s">
        <v>221</v>
      </c>
      <c r="C376" s="280" t="s">
        <v>2</v>
      </c>
      <c r="D376" s="281" t="str">
        <f>IF(F376="","",CHOOSE(MONTH(F376),"Q4","Q4","Q4","Q1","Q1","Q1","Q2","Q2","Q2","Q3","Q3","Q3"))</f>
        <v>Q1</v>
      </c>
      <c r="E376" s="282" t="str">
        <f>IF(F376="","",CHOOSE(MONTH(F376),"10-JAN","11-FEB","12-MAR","01-APR","02-MAY","03-JUN","04-JUL","05-AUG","06-SEP","07-OCT","08-NOV","09-DEC"))</f>
        <v>01-APR</v>
      </c>
      <c r="F376" s="242">
        <v>45399</v>
      </c>
      <c r="G376" s="231" t="s">
        <v>99</v>
      </c>
      <c r="H376" s="5" t="s">
        <v>32</v>
      </c>
      <c r="I376" s="29" t="s">
        <v>223</v>
      </c>
      <c r="J376" s="8" t="s">
        <v>95</v>
      </c>
      <c r="K376" s="281" t="s">
        <v>30</v>
      </c>
      <c r="L376" s="78" t="s">
        <v>1488</v>
      </c>
      <c r="M376" s="151">
        <f>IF(SUM(V376:BC376)=0,"-",SUM(V376:BC376))</f>
        <v>9</v>
      </c>
      <c r="N376" s="317">
        <v>400</v>
      </c>
      <c r="P376" s="279" t="str">
        <f>IF(G376="","",IFERROR(IF(S376="Sent","",IF(I376="Delivered","PO en attente","Projet en cours")),""))</f>
        <v/>
      </c>
      <c r="Q376" s="211">
        <v>4200663610</v>
      </c>
      <c r="R376" s="211" t="s">
        <v>232</v>
      </c>
      <c r="S376" s="211" t="s">
        <v>249</v>
      </c>
      <c r="T376" s="262" t="s">
        <v>1489</v>
      </c>
      <c r="U376" s="253" t="s">
        <v>1490</v>
      </c>
      <c r="V376" s="7">
        <v>1</v>
      </c>
      <c r="W376" s="8">
        <v>8</v>
      </c>
      <c r="BD376" s="7"/>
    </row>
    <row r="377" spans="1:57" hidden="1">
      <c r="A377" s="286" t="s">
        <v>244</v>
      </c>
      <c r="B377" s="286" t="s">
        <v>221</v>
      </c>
      <c r="C377" s="280" t="s">
        <v>2</v>
      </c>
      <c r="D377" s="281" t="str">
        <f>IF(F377="","",CHOOSE(MONTH(F377),"Q4","Q4","Q4","Q1","Q1","Q1","Q2","Q2","Q2","Q3","Q3","Q3"))</f>
        <v>Q1</v>
      </c>
      <c r="E377" s="282" t="str">
        <f>IF(F377="","",CHOOSE(MONTH(F377),"10-JAN","11-FEB","12-MAR","01-APR","02-MAY","03-JUN","04-JUL","05-AUG","06-SEP","07-OCT","08-NOV","09-DEC"))</f>
        <v>01-APR</v>
      </c>
      <c r="F377" s="242">
        <v>45400</v>
      </c>
      <c r="G377" s="231" t="s">
        <v>100</v>
      </c>
      <c r="H377" s="5" t="s">
        <v>32</v>
      </c>
      <c r="I377" s="29" t="s">
        <v>223</v>
      </c>
      <c r="J377" s="8" t="s">
        <v>129</v>
      </c>
      <c r="K377" s="281" t="s">
        <v>30</v>
      </c>
      <c r="L377" s="78"/>
      <c r="M377" s="151" t="str">
        <f>IF(SUM(V377:BC377)=0,"-",SUM(V377:BC377))</f>
        <v>-</v>
      </c>
      <c r="N377" s="278">
        <v>600</v>
      </c>
      <c r="P377" s="279"/>
      <c r="Q377" s="211">
        <v>4200663623</v>
      </c>
      <c r="R377" s="211" t="s">
        <v>232</v>
      </c>
      <c r="S377" s="211" t="s">
        <v>249</v>
      </c>
      <c r="T377" s="211" t="s">
        <v>1491</v>
      </c>
      <c r="U377" s="253" t="s">
        <v>1492</v>
      </c>
    </row>
    <row r="378" spans="1:57" hidden="1">
      <c r="A378" s="286" t="s">
        <v>244</v>
      </c>
      <c r="B378" s="286" t="s">
        <v>221</v>
      </c>
      <c r="C378" s="280" t="s">
        <v>2</v>
      </c>
      <c r="D378" s="281" t="str">
        <f>IF(F378="","",CHOOSE(MONTH(F378),"Q4","Q4","Q4","Q1","Q1","Q1","Q2","Q2","Q2","Q3","Q3","Q3"))</f>
        <v>Q1</v>
      </c>
      <c r="E378" s="282" t="str">
        <f>IF(F378="","",CHOOSE(MONTH(F378),"10-JAN","11-FEB","12-MAR","01-APR","02-MAY","03-JUN","04-JUL","05-AUG","06-SEP","07-OCT","08-NOV","09-DEC"))</f>
        <v>01-APR</v>
      </c>
      <c r="F378" s="242">
        <v>45400</v>
      </c>
      <c r="G378" s="231" t="s">
        <v>100</v>
      </c>
      <c r="H378" s="5" t="s">
        <v>32</v>
      </c>
      <c r="I378" s="29" t="s">
        <v>223</v>
      </c>
      <c r="J378" s="8" t="s">
        <v>95</v>
      </c>
      <c r="K378" s="281" t="s">
        <v>30</v>
      </c>
      <c r="L378" s="78"/>
      <c r="M378" s="151" t="str">
        <f>IF(SUM(V378:BC378)=0,"-",SUM(V378:BC378))</f>
        <v>-</v>
      </c>
      <c r="N378" s="278">
        <v>410</v>
      </c>
      <c r="P378" s="279"/>
      <c r="Q378" s="211">
        <v>4200663610</v>
      </c>
      <c r="R378" s="211" t="s">
        <v>232</v>
      </c>
      <c r="S378" s="211" t="s">
        <v>249</v>
      </c>
      <c r="T378" s="211" t="s">
        <v>1493</v>
      </c>
      <c r="U378" s="253" t="s">
        <v>1494</v>
      </c>
    </row>
    <row r="379" spans="1:57" hidden="1">
      <c r="A379" s="286" t="s">
        <v>244</v>
      </c>
      <c r="B379" s="286" t="s">
        <v>221</v>
      </c>
      <c r="C379" s="280" t="s">
        <v>2</v>
      </c>
      <c r="D379" s="281" t="str">
        <f>IF(F379="","",CHOOSE(MONTH(F379),"Q4","Q4","Q4","Q1","Q1","Q1","Q2","Q2","Q2","Q3","Q3","Q3"))</f>
        <v>Q1</v>
      </c>
      <c r="E379" s="282" t="str">
        <f>IF(F379="","",CHOOSE(MONTH(F379),"10-JAN","11-FEB","12-MAR","01-APR","02-MAY","03-JUN","04-JUL","05-AUG","06-SEP","07-OCT","08-NOV","09-DEC"))</f>
        <v>01-APR</v>
      </c>
      <c r="F379" s="242">
        <v>45404</v>
      </c>
      <c r="G379" s="231" t="s">
        <v>107</v>
      </c>
      <c r="H379" s="459" t="s">
        <v>31</v>
      </c>
      <c r="I379" s="29" t="s">
        <v>223</v>
      </c>
      <c r="J379" s="8" t="s">
        <v>95</v>
      </c>
      <c r="K379" s="281" t="s">
        <v>30</v>
      </c>
      <c r="L379" s="78" t="s">
        <v>1495</v>
      </c>
      <c r="M379" s="151">
        <f>IF(SUM(V379:BC379)=0,"-",SUM(V379:BC379))</f>
        <v>6</v>
      </c>
      <c r="N379" s="352">
        <f>IF(SUMPRODUCT($V$3:$BC$3,V379:BC379)=0,"-",SUMPRODUCT($V$3:$BC$3,V379:BC379))</f>
        <v>1020</v>
      </c>
      <c r="P379" s="279" t="str">
        <f>IF(G379="","",IFERROR(IF(S379="Sent","",IF(I379="Delivered","PO en attente","Projet en cours")),""))</f>
        <v/>
      </c>
      <c r="Q379" s="211">
        <v>4200665900</v>
      </c>
      <c r="R379" s="211" t="s">
        <v>232</v>
      </c>
      <c r="S379" s="211" t="s">
        <v>249</v>
      </c>
      <c r="T379" s="211" t="s">
        <v>1496</v>
      </c>
      <c r="U379" s="253" t="s">
        <v>1331</v>
      </c>
      <c r="AS379" s="7">
        <v>3</v>
      </c>
      <c r="AU379" s="8">
        <v>3</v>
      </c>
    </row>
    <row r="380" spans="1:57" hidden="1">
      <c r="A380" s="286" t="s">
        <v>244</v>
      </c>
      <c r="B380" s="286" t="s">
        <v>221</v>
      </c>
      <c r="C380" s="280" t="s">
        <v>2</v>
      </c>
      <c r="D380" s="281" t="str">
        <f>IF(F380="","",CHOOSE(MONTH(F380),"Q4","Q4","Q4","Q1","Q1","Q1","Q2","Q2","Q2","Q3","Q3","Q3"))</f>
        <v>Q1</v>
      </c>
      <c r="E380" s="282" t="str">
        <f>IF(F380="","",CHOOSE(MONTH(F380),"10-JAN","11-FEB","12-MAR","01-APR","02-MAY","03-JUN","04-JUL","05-AUG","06-SEP","07-OCT","08-NOV","09-DEC"))</f>
        <v>01-APR</v>
      </c>
      <c r="F380" s="242">
        <v>45406</v>
      </c>
      <c r="G380" s="231" t="s">
        <v>76</v>
      </c>
      <c r="H380" s="5" t="s">
        <v>36</v>
      </c>
      <c r="I380" s="29" t="s">
        <v>223</v>
      </c>
      <c r="J380" s="8" t="s">
        <v>69</v>
      </c>
      <c r="K380" s="281" t="s">
        <v>34</v>
      </c>
      <c r="L380" s="78" t="s">
        <v>1497</v>
      </c>
      <c r="M380" s="151">
        <f>IF(SUM(V380:BC380)=0,"-",SUM(V380:BC380))</f>
        <v>13</v>
      </c>
      <c r="N380" s="352">
        <f>IF(SUMPRODUCT($V$3:$BC$3,V380:BC380)=0,"-",SUMPRODUCT($V$3:$BC$3,V380:BC380))</f>
        <v>540</v>
      </c>
      <c r="P380" s="279" t="str">
        <f>IF(G380="","",IFERROR(IF(S380="Sent","",IF(I380="Delivered","PO en attente","Projet en cours")),""))</f>
        <v/>
      </c>
      <c r="Q380" s="211">
        <v>4200665908</v>
      </c>
      <c r="R380" s="211"/>
      <c r="S380" s="211" t="s">
        <v>249</v>
      </c>
      <c r="T380" s="211" t="s">
        <v>1472</v>
      </c>
      <c r="U380" s="253" t="s">
        <v>1331</v>
      </c>
      <c r="V380" s="7">
        <v>1</v>
      </c>
      <c r="W380" s="8">
        <v>12</v>
      </c>
    </row>
    <row r="381" spans="1:57" hidden="1">
      <c r="A381" s="286" t="s">
        <v>244</v>
      </c>
      <c r="B381" s="286" t="s">
        <v>221</v>
      </c>
      <c r="C381" s="280" t="s">
        <v>2</v>
      </c>
      <c r="D381" s="281" t="str">
        <f>IF(F381="","",CHOOSE(MONTH(F381),"Q4","Q4","Q4","Q1","Q1","Q1","Q2","Q2","Q2","Q3","Q3","Q3"))</f>
        <v>Q1</v>
      </c>
      <c r="E381" s="282" t="str">
        <f>IF(F381="","",CHOOSE(MONTH(F381),"10-JAN","11-FEB","12-MAR","01-APR","02-MAY","03-JUN","04-JUL","05-AUG","06-SEP","07-OCT","08-NOV","09-DEC"))</f>
        <v>01-APR</v>
      </c>
      <c r="F381" s="242">
        <v>45406</v>
      </c>
      <c r="G381" s="231" t="s">
        <v>162</v>
      </c>
      <c r="H381" s="5" t="s">
        <v>27</v>
      </c>
      <c r="I381" s="29" t="s">
        <v>223</v>
      </c>
      <c r="J381" s="8" t="s">
        <v>161</v>
      </c>
      <c r="K381" s="281" t="s">
        <v>34</v>
      </c>
      <c r="L381" s="78" t="s">
        <v>1498</v>
      </c>
      <c r="M381" s="151">
        <f>IF(SUM(V381:BC381)=0,"-",SUM(V381:BC381))</f>
        <v>4</v>
      </c>
      <c r="N381" s="65">
        <f>IF(SUMPRODUCT($V$3:$BC$3,V381:BC381)=0,"-",SUMPRODUCT($V$3:$BC$3,V381:BC381))</f>
        <v>300</v>
      </c>
      <c r="O381" s="114" t="s">
        <v>1499</v>
      </c>
      <c r="P381" s="279" t="str">
        <f>IF(G381="","",IFERROR(IF(S381="Sent","",IF(I381="Delivered","PO en attente","Projet en cours")),""))</f>
        <v/>
      </c>
      <c r="Q381" s="296">
        <v>4200669114</v>
      </c>
      <c r="R381" s="211"/>
      <c r="S381" s="211" t="s">
        <v>249</v>
      </c>
      <c r="T381" s="260" t="s">
        <v>1236</v>
      </c>
      <c r="U381" s="253" t="s">
        <v>1237</v>
      </c>
      <c r="AD381" s="8">
        <v>3</v>
      </c>
      <c r="AE381" s="8">
        <v>1</v>
      </c>
    </row>
    <row r="382" spans="1:57" hidden="1">
      <c r="A382" s="286" t="s">
        <v>244</v>
      </c>
      <c r="B382" s="286" t="s">
        <v>221</v>
      </c>
      <c r="C382" s="280" t="s">
        <v>2</v>
      </c>
      <c r="D382" s="281" t="str">
        <f>IF(F382="","",CHOOSE(MONTH(F382),"Q4","Q4","Q4","Q1","Q1","Q1","Q2","Q2","Q2","Q3","Q3","Q3"))</f>
        <v>Q1</v>
      </c>
      <c r="E382" s="282" t="str">
        <f>IF(F382="","",CHOOSE(MONTH(F382),"10-JAN","11-FEB","12-MAR","01-APR","02-MAY","03-JUN","04-JUL","05-AUG","06-SEP","07-OCT","08-NOV","09-DEC"))</f>
        <v>01-APR</v>
      </c>
      <c r="F382" s="242">
        <v>45407</v>
      </c>
      <c r="G382" s="231" t="s">
        <v>52</v>
      </c>
      <c r="H382" s="5" t="s">
        <v>51</v>
      </c>
      <c r="I382" s="29" t="s">
        <v>223</v>
      </c>
      <c r="J382" s="8" t="s">
        <v>93</v>
      </c>
      <c r="K382" s="281" t="s">
        <v>34</v>
      </c>
      <c r="L382" s="78" t="s">
        <v>1500</v>
      </c>
      <c r="M382" s="151">
        <f>IF(SUM(V382:BC382)=0,"-",SUM(V382:BC382))</f>
        <v>9</v>
      </c>
      <c r="N382" s="278">
        <f>IF(SUMPRODUCT($V$3:$BC$3,V382:BC382)=0,"-",SUMPRODUCT($V$3:$BC$3,V382:BC382))</f>
        <v>315</v>
      </c>
      <c r="P382" s="279" t="str">
        <f>IF(G382="","",IFERROR(IF(S382="Sent","",IF(I382="Delivered","PO en attente","Projet en cours")),""))</f>
        <v/>
      </c>
      <c r="Q382" s="211">
        <v>4200663723</v>
      </c>
      <c r="R382" s="211" t="s">
        <v>232</v>
      </c>
      <c r="S382" s="211" t="s">
        <v>249</v>
      </c>
      <c r="T382" s="211" t="s">
        <v>1501</v>
      </c>
      <c r="U382" s="253" t="s">
        <v>1492</v>
      </c>
      <c r="W382" s="8">
        <v>9</v>
      </c>
    </row>
    <row r="383" spans="1:57" hidden="1">
      <c r="A383" s="286" t="s">
        <v>244</v>
      </c>
      <c r="B383" s="286" t="s">
        <v>221</v>
      </c>
      <c r="C383" s="280" t="s">
        <v>2</v>
      </c>
      <c r="D383" s="281" t="str">
        <f>IF(F383="","",CHOOSE(MONTH(F383),"Q4","Q4","Q4","Q1","Q1","Q1","Q2","Q2","Q2","Q3","Q3","Q3"))</f>
        <v>Q1</v>
      </c>
      <c r="E383" s="282" t="str">
        <f>IF(F383="","",CHOOSE(MONTH(F383),"10-JAN","11-FEB","12-MAR","01-APR","02-MAY","03-JUN","04-JUL","05-AUG","06-SEP","07-OCT","08-NOV","09-DEC"))</f>
        <v>01-APR</v>
      </c>
      <c r="F383" s="242">
        <v>45408</v>
      </c>
      <c r="G383" s="231" t="s">
        <v>153</v>
      </c>
      <c r="H383" s="5" t="s">
        <v>27</v>
      </c>
      <c r="I383" s="29" t="s">
        <v>223</v>
      </c>
      <c r="J383" s="8" t="s">
        <v>147</v>
      </c>
      <c r="K383" s="281" t="s">
        <v>34</v>
      </c>
      <c r="L383" s="78" t="s">
        <v>1502</v>
      </c>
      <c r="M383" s="151">
        <f>IF(SUM(V383:BC383)=0,"-",SUM(V383:BC383))</f>
        <v>8</v>
      </c>
      <c r="N383" s="65">
        <f>IF(SUMPRODUCT($V$3:$BC$3,V383:BC383)=0,"-",SUMPRODUCT($V$3:$BC$3,V383:BC383))</f>
        <v>280</v>
      </c>
      <c r="O383" s="114" t="s">
        <v>1503</v>
      </c>
      <c r="P383" s="269" t="str">
        <f>IF(G383="","",IFERROR(IF(S383="Sent","",IF(I383="Delivered","PO en attente","Projet en cours")),""))</f>
        <v/>
      </c>
      <c r="Q383" s="211">
        <v>4200665873</v>
      </c>
      <c r="R383" s="211"/>
      <c r="S383" s="248" t="s">
        <v>249</v>
      </c>
      <c r="T383" s="248" t="s">
        <v>1398</v>
      </c>
      <c r="U383" s="253" t="s">
        <v>1331</v>
      </c>
      <c r="W383" s="8">
        <v>8</v>
      </c>
    </row>
    <row r="384" spans="1:57" hidden="1">
      <c r="A384" s="286" t="s">
        <v>244</v>
      </c>
      <c r="B384" s="286" t="s">
        <v>221</v>
      </c>
      <c r="C384" s="280" t="s">
        <v>2</v>
      </c>
      <c r="D384" s="281" t="str">
        <f>IF(F384="","",CHOOSE(MONTH(F384),"Q4","Q4","Q4","Q1","Q1","Q1","Q2","Q2","Q2","Q3","Q3","Q3"))</f>
        <v>Q1</v>
      </c>
      <c r="E384" s="282" t="str">
        <f>IF(F384="","",CHOOSE(MONTH(F384),"10-JAN","11-FEB","12-MAR","01-APR","02-MAY","03-JUN","04-JUL","05-AUG","06-SEP","07-OCT","08-NOV","09-DEC"))</f>
        <v>01-APR</v>
      </c>
      <c r="F384" s="242">
        <v>45409</v>
      </c>
      <c r="G384" s="231" t="s">
        <v>78</v>
      </c>
      <c r="H384" s="5" t="s">
        <v>26</v>
      </c>
      <c r="I384" s="29" t="s">
        <v>223</v>
      </c>
      <c r="J384" s="8" t="s">
        <v>69</v>
      </c>
      <c r="K384" s="281" t="s">
        <v>30</v>
      </c>
      <c r="L384" s="30" t="s">
        <v>1504</v>
      </c>
      <c r="M384" s="151">
        <f>IF(SUM(V384:BC384)=0,"-",SUM(V384:BC384))</f>
        <v>2</v>
      </c>
      <c r="N384" s="278">
        <f>IF(SUMPRODUCT($V$3:$BC$3,V384:BC384)=0,"-",SUMPRODUCT($V$3:$BC$3,V384:BC384))</f>
        <v>70</v>
      </c>
      <c r="P384" s="279"/>
      <c r="Q384" s="211">
        <v>4200663622</v>
      </c>
      <c r="R384" s="211" t="s">
        <v>232</v>
      </c>
      <c r="S384" s="211" t="s">
        <v>249</v>
      </c>
      <c r="T384" s="211" t="s">
        <v>1505</v>
      </c>
      <c r="U384" s="253" t="s">
        <v>1492</v>
      </c>
      <c r="W384" s="8">
        <v>2</v>
      </c>
    </row>
    <row r="385" spans="1:57" hidden="1">
      <c r="A385" s="286" t="s">
        <v>244</v>
      </c>
      <c r="B385" s="286" t="s">
        <v>221</v>
      </c>
      <c r="C385" s="280" t="s">
        <v>2</v>
      </c>
      <c r="D385" s="281" t="str">
        <f>IF(F385="","",CHOOSE(MONTH(F385),"Q4","Q4","Q4","Q1","Q1","Q1","Q2","Q2","Q2","Q3","Q3","Q3"))</f>
        <v>Q1</v>
      </c>
      <c r="E385" s="282" t="str">
        <f>IF(F385="","",CHOOSE(MONTH(F385),"10-JAN","11-FEB","12-MAR","01-APR","02-MAY","03-JUN","04-JUL","05-AUG","06-SEP","07-OCT","08-NOV","09-DEC"))</f>
        <v>01-APR</v>
      </c>
      <c r="F385" s="242">
        <v>45411</v>
      </c>
      <c r="G385" s="231" t="s">
        <v>155</v>
      </c>
      <c r="H385" s="5" t="s">
        <v>27</v>
      </c>
      <c r="I385" s="29" t="s">
        <v>223</v>
      </c>
      <c r="J385" s="8" t="s">
        <v>147</v>
      </c>
      <c r="K385" s="281" t="s">
        <v>34</v>
      </c>
      <c r="L385" s="78" t="s">
        <v>1506</v>
      </c>
      <c r="M385" s="151">
        <f>IF(SUM(V385:BC385)=0,"-",SUM(V385:BC385))</f>
        <v>2</v>
      </c>
      <c r="N385" s="278">
        <f>IF(SUMPRODUCT($V$3:$BC$3,V385:BC385)=0,"-",SUMPRODUCT($V$3:$BC$3,V385:BC385))</f>
        <v>70</v>
      </c>
      <c r="O385" s="114" t="s">
        <v>1507</v>
      </c>
      <c r="P385" s="279" t="str">
        <f>IF(G385="","",IFERROR(IF(S385="Sent","",IF(I385="Delivered","PO en attente","Projet en cours")),""))</f>
        <v/>
      </c>
      <c r="Q385" s="211">
        <v>4200666278</v>
      </c>
      <c r="R385" s="211"/>
      <c r="S385" s="211" t="s">
        <v>249</v>
      </c>
      <c r="T385" s="211" t="s">
        <v>1462</v>
      </c>
      <c r="U385" s="257" t="s">
        <v>1446</v>
      </c>
      <c r="W385" s="8">
        <v>2</v>
      </c>
    </row>
    <row r="386" spans="1:57" hidden="1">
      <c r="A386" s="286" t="s">
        <v>244</v>
      </c>
      <c r="B386" s="286" t="s">
        <v>221</v>
      </c>
      <c r="C386" s="280" t="s">
        <v>2</v>
      </c>
      <c r="D386" s="281" t="str">
        <f>IF(F386="","",CHOOSE(MONTH(F386),"Q4","Q4","Q4","Q1","Q1","Q1","Q2","Q2","Q2","Q3","Q3","Q3"))</f>
        <v>Q1</v>
      </c>
      <c r="E386" s="282" t="str">
        <f>IF(F386="","",CHOOSE(MONTH(F386),"10-JAN","11-FEB","12-MAR","01-APR","02-MAY","03-JUN","04-JUL","05-AUG","06-SEP","07-OCT","08-NOV","09-DEC"))</f>
        <v>01-APR</v>
      </c>
      <c r="F386" s="242">
        <v>45411</v>
      </c>
      <c r="G386" s="236" t="s">
        <v>156</v>
      </c>
      <c r="H386" s="5" t="s">
        <v>27</v>
      </c>
      <c r="I386" s="29" t="s">
        <v>223</v>
      </c>
      <c r="J386" s="8" t="s">
        <v>147</v>
      </c>
      <c r="K386" s="281" t="s">
        <v>34</v>
      </c>
      <c r="L386" s="78" t="s">
        <v>1508</v>
      </c>
      <c r="M386" s="151">
        <f>IF(SUM(V386:BC386)=0,"-",SUM(V386:BC386))</f>
        <v>3</v>
      </c>
      <c r="N386" s="278">
        <f>IF(SUMPRODUCT($V$3:$BC$3,V386:BC386)=0,"-",SUMPRODUCT($V$3:$BC$3,V386:BC386))</f>
        <v>105</v>
      </c>
      <c r="O386" s="114" t="s">
        <v>1509</v>
      </c>
      <c r="P386" s="279" t="str">
        <f>IF(G386="","",IFERROR(IF(S386="Sent","",IF(I386="Delivered","PO en attente","Projet en cours")),""))</f>
        <v/>
      </c>
      <c r="Q386" s="211">
        <v>4200666278</v>
      </c>
      <c r="R386" s="211"/>
      <c r="S386" s="211" t="s">
        <v>249</v>
      </c>
      <c r="T386" s="211" t="s">
        <v>1462</v>
      </c>
      <c r="U386" s="257" t="s">
        <v>1446</v>
      </c>
      <c r="W386" s="8">
        <v>3</v>
      </c>
    </row>
    <row r="387" spans="1:57" hidden="1">
      <c r="A387" s="286" t="s">
        <v>244</v>
      </c>
      <c r="B387" s="286" t="s">
        <v>221</v>
      </c>
      <c r="C387" s="280" t="s">
        <v>2</v>
      </c>
      <c r="D387" s="281" t="str">
        <f>IF(F387="","",CHOOSE(MONTH(F387),"Q4","Q4","Q4","Q1","Q1","Q1","Q2","Q2","Q2","Q3","Q3","Q3"))</f>
        <v>Q1</v>
      </c>
      <c r="E387" s="282" t="str">
        <f>IF(F387="","",CHOOSE(MONTH(F387),"10-JAN","11-FEB","12-MAR","01-APR","02-MAY","03-JUN","04-JUL","05-AUG","06-SEP","07-OCT","08-NOV","09-DEC"))</f>
        <v>01-APR</v>
      </c>
      <c r="F387" s="242">
        <v>45411</v>
      </c>
      <c r="G387" s="236" t="s">
        <v>1510</v>
      </c>
      <c r="H387" s="5" t="s">
        <v>36</v>
      </c>
      <c r="I387" s="29" t="s">
        <v>223</v>
      </c>
      <c r="J387" s="8" t="s">
        <v>69</v>
      </c>
      <c r="K387" s="281" t="s">
        <v>34</v>
      </c>
      <c r="L387" s="78" t="s">
        <v>1511</v>
      </c>
      <c r="M387" s="151">
        <f>IF(SUM(V387:BC387)=0,"-",SUM(V387:BC387))</f>
        <v>3</v>
      </c>
      <c r="N387" s="65">
        <f>IF(SUMPRODUCT($V$3:$BC$3,V387:BC387)=0,"-",SUMPRODUCT($V$3:$BC$3,V387:BC387))</f>
        <v>250</v>
      </c>
      <c r="O387" s="8" t="s">
        <v>1512</v>
      </c>
      <c r="P387" s="279" t="s">
        <v>1513</v>
      </c>
      <c r="Q387" s="211">
        <v>4200667763</v>
      </c>
      <c r="R387" s="211"/>
      <c r="S387" s="211" t="s">
        <v>249</v>
      </c>
      <c r="T387" s="211" t="s">
        <v>1514</v>
      </c>
      <c r="U387" s="253" t="s">
        <v>1515</v>
      </c>
      <c r="W387" s="8">
        <v>2</v>
      </c>
      <c r="AE387" s="8">
        <v>1</v>
      </c>
    </row>
    <row r="388" spans="1:57" hidden="1">
      <c r="A388" s="286" t="s">
        <v>244</v>
      </c>
      <c r="B388" s="286" t="s">
        <v>221</v>
      </c>
      <c r="C388" s="280" t="s">
        <v>2</v>
      </c>
      <c r="D388" s="281" t="str">
        <f>IF(F388="","",CHOOSE(MONTH(F388),"Q4","Q4","Q4","Q1","Q1","Q1","Q2","Q2","Q2","Q3","Q3","Q3"))</f>
        <v>Q1</v>
      </c>
      <c r="E388" s="282" t="str">
        <f>IF(F388="","",CHOOSE(MONTH(F388),"10-JAN","11-FEB","12-MAR","01-APR","02-MAY","03-JUN","04-JUL","05-AUG","06-SEP","07-OCT","08-NOV","09-DEC"))</f>
        <v>01-APR</v>
      </c>
      <c r="F388" s="242">
        <v>45412</v>
      </c>
      <c r="G388" s="231" t="s">
        <v>108</v>
      </c>
      <c r="H388" s="156" t="s">
        <v>35</v>
      </c>
      <c r="I388" s="29" t="s">
        <v>223</v>
      </c>
      <c r="J388" s="8" t="s">
        <v>95</v>
      </c>
      <c r="K388" s="281" t="s">
        <v>34</v>
      </c>
      <c r="L388" s="78" t="s">
        <v>1516</v>
      </c>
      <c r="M388" s="151">
        <f>IF(SUM(V388:BC388)=0,"-",SUM(V388:BC388))</f>
        <v>4</v>
      </c>
      <c r="N388" s="352">
        <f>IF(SUMPRODUCT($V$3:$BC$3,V388:BC388)=0,"-",SUMPRODUCT($V$3:$BC$3,V388:BC388))</f>
        <v>350</v>
      </c>
      <c r="P388" s="279" t="str">
        <f>IF(G388="","",IFERROR(IF(S388="Sent","",IF(I388="Delivered","PO en attente","Projet en cours")),""))</f>
        <v/>
      </c>
      <c r="Q388" s="211">
        <v>4200665080</v>
      </c>
      <c r="R388" s="211"/>
      <c r="S388" s="211" t="s">
        <v>249</v>
      </c>
      <c r="T388" s="211" t="s">
        <v>1517</v>
      </c>
      <c r="U388" s="257" t="s">
        <v>1490</v>
      </c>
      <c r="AC388" s="7">
        <v>2</v>
      </c>
      <c r="AD388" s="8">
        <v>2</v>
      </c>
      <c r="BD388" s="7"/>
    </row>
    <row r="389" spans="1:57" hidden="1">
      <c r="A389" s="286" t="s">
        <v>244</v>
      </c>
      <c r="B389" s="286" t="s">
        <v>221</v>
      </c>
      <c r="C389" s="280" t="s">
        <v>2</v>
      </c>
      <c r="D389" s="281" t="str">
        <f>IF(F389="","",CHOOSE(MONTH(F389),"Q4","Q4","Q4","Q1","Q1","Q1","Q2","Q2","Q2","Q3","Q3","Q3"))</f>
        <v>Q1</v>
      </c>
      <c r="E389" s="282" t="str">
        <f>IF(F389="","",CHOOSE(MONTH(F389),"10-JAN","11-FEB","12-MAR","01-APR","02-MAY","03-JUN","04-JUL","05-AUG","06-SEP","07-OCT","08-NOV","09-DEC"))</f>
        <v>01-APR</v>
      </c>
      <c r="F389" s="242">
        <v>45412</v>
      </c>
      <c r="G389" s="231" t="s">
        <v>1518</v>
      </c>
      <c r="H389" s="5" t="s">
        <v>36</v>
      </c>
      <c r="I389" s="29" t="s">
        <v>223</v>
      </c>
      <c r="J389" s="8" t="s">
        <v>476</v>
      </c>
      <c r="K389" s="281" t="s">
        <v>34</v>
      </c>
      <c r="L389" s="78" t="s">
        <v>1519</v>
      </c>
      <c r="M389" s="151">
        <f>IF(SUM(V389:BC389)=0,"-",SUM(V389:BC389))</f>
        <v>5</v>
      </c>
      <c r="N389" s="352">
        <f>IF(SUMPRODUCT($V$3:$BC$3,V389:BC389)=0,"-",SUMPRODUCT($V$3:$BC$3,V389:BC389))</f>
        <v>320</v>
      </c>
      <c r="P389" s="279" t="s">
        <v>479</v>
      </c>
      <c r="Q389" s="211">
        <v>4200665913</v>
      </c>
      <c r="R389" s="211"/>
      <c r="S389" s="211" t="s">
        <v>249</v>
      </c>
      <c r="T389" s="211" t="s">
        <v>1520</v>
      </c>
      <c r="U389" s="253" t="s">
        <v>1331</v>
      </c>
      <c r="W389" s="8">
        <v>4</v>
      </c>
      <c r="AE389" s="8">
        <v>1</v>
      </c>
    </row>
    <row r="390" spans="1:57" hidden="1">
      <c r="A390" s="287"/>
      <c r="B390" s="287"/>
      <c r="C390" s="283"/>
      <c r="D390" s="283"/>
      <c r="E390" s="289"/>
      <c r="F390" s="242">
        <v>45414</v>
      </c>
      <c r="G390" s="290" t="s">
        <v>1521</v>
      </c>
      <c r="H390" s="72"/>
      <c r="I390" s="59"/>
      <c r="J390" s="254"/>
      <c r="K390" s="283"/>
      <c r="L390" s="291"/>
      <c r="M390" s="152"/>
      <c r="N390" s="292">
        <v>600</v>
      </c>
      <c r="O390" s="293"/>
      <c r="P390" s="294"/>
      <c r="Q390" s="258">
        <v>4200652895</v>
      </c>
      <c r="R390" s="258"/>
      <c r="S390" s="211" t="s">
        <v>249</v>
      </c>
      <c r="T390" s="211" t="s">
        <v>1522</v>
      </c>
      <c r="U390" s="257" t="s">
        <v>1523</v>
      </c>
      <c r="V390" s="70"/>
      <c r="W390" s="67"/>
      <c r="X390" s="67"/>
      <c r="Y390" s="67"/>
      <c r="Z390" s="67"/>
      <c r="AA390" s="67"/>
      <c r="AB390" s="67"/>
      <c r="AC390" s="70"/>
      <c r="AD390" s="67"/>
      <c r="AE390" s="67"/>
      <c r="AF390" s="67"/>
      <c r="AG390" s="67"/>
      <c r="AH390" s="67"/>
      <c r="AI390" s="67"/>
      <c r="AJ390" s="67"/>
      <c r="AK390" s="67"/>
      <c r="AL390" s="70"/>
      <c r="AM390" s="70"/>
      <c r="AN390" s="67"/>
      <c r="AO390" s="67"/>
      <c r="AP390" s="67"/>
      <c r="AQ390" s="67"/>
      <c r="AR390" s="67"/>
      <c r="AS390" s="70"/>
      <c r="AT390" s="67"/>
      <c r="AU390" s="67"/>
      <c r="AV390" s="67"/>
      <c r="AW390" s="67"/>
      <c r="AX390" s="67"/>
      <c r="AY390" s="67"/>
      <c r="AZ390" s="70"/>
      <c r="BA390" s="67"/>
      <c r="BB390" s="70"/>
      <c r="BC390" s="67"/>
    </row>
    <row r="391" spans="1:57" hidden="1">
      <c r="A391" s="287"/>
      <c r="B391" s="287"/>
      <c r="C391" s="283"/>
      <c r="D391" s="283"/>
      <c r="E391" s="289"/>
      <c r="F391" s="242">
        <v>45414</v>
      </c>
      <c r="G391" s="290" t="s">
        <v>1521</v>
      </c>
      <c r="H391" s="72"/>
      <c r="I391" s="59"/>
      <c r="J391" s="254"/>
      <c r="K391" s="283"/>
      <c r="L391" s="291"/>
      <c r="M391" s="152"/>
      <c r="N391" s="292">
        <v>1200</v>
      </c>
      <c r="O391" s="293"/>
      <c r="P391" s="294"/>
      <c r="Q391" s="258">
        <v>4200652895</v>
      </c>
      <c r="R391" s="258"/>
      <c r="S391" s="211" t="s">
        <v>249</v>
      </c>
      <c r="T391" s="211" t="s">
        <v>1524</v>
      </c>
      <c r="U391" s="257" t="s">
        <v>1525</v>
      </c>
      <c r="V391" s="70"/>
      <c r="W391" s="67"/>
      <c r="X391" s="67"/>
      <c r="Y391" s="67"/>
      <c r="Z391" s="67"/>
      <c r="AA391" s="67"/>
      <c r="AB391" s="67"/>
      <c r="AC391" s="70"/>
      <c r="AD391" s="67"/>
      <c r="AE391" s="67"/>
      <c r="AF391" s="67"/>
      <c r="AG391" s="67"/>
      <c r="AH391" s="67"/>
      <c r="AI391" s="67"/>
      <c r="AJ391" s="67"/>
      <c r="AK391" s="67"/>
      <c r="AL391" s="70"/>
      <c r="AM391" s="70"/>
      <c r="AN391" s="67"/>
      <c r="AO391" s="67"/>
      <c r="AP391" s="67"/>
      <c r="AQ391" s="67"/>
      <c r="AR391" s="67"/>
      <c r="AS391" s="70"/>
      <c r="AT391" s="67"/>
      <c r="AU391" s="67"/>
      <c r="AV391" s="67"/>
      <c r="AW391" s="67"/>
      <c r="AX391" s="67"/>
      <c r="AY391" s="67"/>
      <c r="AZ391" s="70"/>
      <c r="BA391" s="67"/>
      <c r="BB391" s="70"/>
      <c r="BC391" s="67"/>
    </row>
    <row r="392" spans="1:57" hidden="1">
      <c r="A392" s="286" t="s">
        <v>244</v>
      </c>
      <c r="B392" s="286" t="s">
        <v>221</v>
      </c>
      <c r="C392" s="280" t="s">
        <v>2</v>
      </c>
      <c r="D392" s="281" t="str">
        <f>IF(F392="","",CHOOSE(MONTH(F392),"Q4","Q4","Q4","Q1","Q1","Q1","Q2","Q2","Q2","Q3","Q3","Q3"))</f>
        <v>Q1</v>
      </c>
      <c r="E392" s="282" t="str">
        <f>IF(F392="","",CHOOSE(MONTH(F392),"10-JAN","11-FEB","12-MAR","01-APR","02-MAY","03-JUN","04-JUL","05-AUG","06-SEP","07-OCT","08-NOV","09-DEC"))</f>
        <v>02-MAY</v>
      </c>
      <c r="F392" s="242">
        <v>45414</v>
      </c>
      <c r="G392" s="236" t="s">
        <v>1526</v>
      </c>
      <c r="H392" s="5" t="s">
        <v>36</v>
      </c>
      <c r="I392" s="29" t="s">
        <v>223</v>
      </c>
      <c r="J392" s="8" t="s">
        <v>476</v>
      </c>
      <c r="K392" s="281" t="s">
        <v>34</v>
      </c>
      <c r="L392" s="78" t="s">
        <v>1527</v>
      </c>
      <c r="M392" s="151">
        <f>IF(SUM(V392:BC392)=0,"-",SUM(V392:BC392))</f>
        <v>7</v>
      </c>
      <c r="N392" s="352">
        <f>IF(SUMPRODUCT($V$3:$BC$3,V392:BC392)=0,"-",SUMPRODUCT($V$3:$BC$3,V392:BC392))</f>
        <v>245</v>
      </c>
      <c r="P392" s="279" t="s">
        <v>479</v>
      </c>
      <c r="Q392" s="211">
        <v>4200665913</v>
      </c>
      <c r="R392" s="211"/>
      <c r="S392" s="211" t="s">
        <v>249</v>
      </c>
      <c r="T392" s="211" t="s">
        <v>1520</v>
      </c>
      <c r="U392" s="253" t="s">
        <v>1331</v>
      </c>
      <c r="W392" s="8">
        <v>7</v>
      </c>
    </row>
    <row r="393" spans="1:57" hidden="1">
      <c r="A393" s="286" t="s">
        <v>244</v>
      </c>
      <c r="B393" s="286" t="s">
        <v>221</v>
      </c>
      <c r="C393" s="280" t="s">
        <v>2</v>
      </c>
      <c r="D393" s="281" t="str">
        <f>IF(F393="","",CHOOSE(MONTH(F393),"Q4","Q4","Q4","Q1","Q1","Q1","Q2","Q2","Q2","Q3","Q3","Q3"))</f>
        <v>Q1</v>
      </c>
      <c r="E393" s="282" t="str">
        <f>IF(F393="","",CHOOSE(MONTH(F393),"10-JAN","11-FEB","12-MAR","01-APR","02-MAY","03-JUN","04-JUL","05-AUG","06-SEP","07-OCT","08-NOV","09-DEC"))</f>
        <v>02-MAY</v>
      </c>
      <c r="F393" s="242">
        <v>45414</v>
      </c>
      <c r="G393" s="231" t="s">
        <v>1528</v>
      </c>
      <c r="H393" s="5" t="s">
        <v>36</v>
      </c>
      <c r="I393" s="29" t="s">
        <v>223</v>
      </c>
      <c r="J393" s="8" t="s">
        <v>476</v>
      </c>
      <c r="K393" s="281" t="s">
        <v>34</v>
      </c>
      <c r="L393" s="78" t="s">
        <v>1529</v>
      </c>
      <c r="M393" s="151">
        <f>IF(SUM(V393:BC393)=0,"-",SUM(V393:BC393))</f>
        <v>1</v>
      </c>
      <c r="N393" s="352">
        <f>IF(SUMPRODUCT($V$3:$BC$3,V393:BC393)=0,"-",SUMPRODUCT($V$3:$BC$3,V393:BC393))</f>
        <v>40</v>
      </c>
      <c r="P393" s="279" t="s">
        <v>479</v>
      </c>
      <c r="Q393" s="211">
        <v>4200665913</v>
      </c>
      <c r="R393" s="211"/>
      <c r="S393" s="211" t="s">
        <v>249</v>
      </c>
      <c r="T393" s="211" t="s">
        <v>1520</v>
      </c>
      <c r="U393" s="253" t="s">
        <v>1331</v>
      </c>
      <c r="AD393" s="8">
        <v>1</v>
      </c>
    </row>
    <row r="394" spans="1:57" hidden="1">
      <c r="A394" s="286" t="s">
        <v>244</v>
      </c>
      <c r="B394" s="286" t="s">
        <v>221</v>
      </c>
      <c r="C394" s="280" t="s">
        <v>2</v>
      </c>
      <c r="D394" s="281" t="str">
        <f>IF(F394="","",CHOOSE(MONTH(F394),"Q4","Q4","Q4","Q1","Q1","Q1","Q2","Q2","Q2","Q3","Q3","Q3"))</f>
        <v>Q1</v>
      </c>
      <c r="E394" s="282" t="str">
        <f>IF(F394="","",CHOOSE(MONTH(F394),"10-JAN","11-FEB","12-MAR","01-APR","02-MAY","03-JUN","04-JUL","05-AUG","06-SEP","07-OCT","08-NOV","09-DEC"))</f>
        <v>02-MAY</v>
      </c>
      <c r="F394" s="242">
        <v>45414</v>
      </c>
      <c r="G394" s="231" t="s">
        <v>1530</v>
      </c>
      <c r="H394" s="5" t="s">
        <v>36</v>
      </c>
      <c r="I394" s="29" t="s">
        <v>223</v>
      </c>
      <c r="J394" s="8" t="s">
        <v>69</v>
      </c>
      <c r="K394" s="281" t="s">
        <v>34</v>
      </c>
      <c r="L394" s="78" t="s">
        <v>1531</v>
      </c>
      <c r="M394" s="151">
        <f>IF(SUM(V394:BC394)=0,"-",SUM(V394:BC394))</f>
        <v>4</v>
      </c>
      <c r="N394" s="65">
        <f>IF(SUMPRODUCT($V$3:$BC$3,V394:BC394)=0,"-",SUMPRODUCT($V$3:$BC$3,V394:BC394))</f>
        <v>310</v>
      </c>
      <c r="O394" s="8" t="s">
        <v>1512</v>
      </c>
      <c r="P394" s="279" t="s">
        <v>1513</v>
      </c>
      <c r="Q394" s="211">
        <v>4200667763</v>
      </c>
      <c r="R394" s="211"/>
      <c r="S394" s="211" t="s">
        <v>249</v>
      </c>
      <c r="T394" s="211" t="s">
        <v>1514</v>
      </c>
      <c r="U394" s="253" t="s">
        <v>1515</v>
      </c>
      <c r="V394" s="7">
        <v>2</v>
      </c>
      <c r="W394" s="8">
        <v>2</v>
      </c>
    </row>
    <row r="395" spans="1:57" hidden="1">
      <c r="A395" s="286" t="s">
        <v>244</v>
      </c>
      <c r="B395" s="286" t="s">
        <v>221</v>
      </c>
      <c r="C395" s="280" t="s">
        <v>2</v>
      </c>
      <c r="D395" s="281" t="str">
        <f>IF(F395="","",CHOOSE(MONTH(F395),"Q4","Q4","Q4","Q1","Q1","Q1","Q2","Q2","Q2","Q3","Q3","Q3"))</f>
        <v>Q1</v>
      </c>
      <c r="E395" s="282" t="str">
        <f>IF(F395="","",CHOOSE(MONTH(F395),"10-JAN","11-FEB","12-MAR","01-APR","02-MAY","03-JUN","04-JUL","05-AUG","06-SEP","07-OCT","08-NOV","09-DEC"))</f>
        <v>02-MAY</v>
      </c>
      <c r="F395" s="242">
        <v>45415</v>
      </c>
      <c r="G395" s="236" t="s">
        <v>132</v>
      </c>
      <c r="H395" s="5" t="s">
        <v>26</v>
      </c>
      <c r="I395" s="29" t="s">
        <v>223</v>
      </c>
      <c r="J395" s="8" t="s">
        <v>130</v>
      </c>
      <c r="K395" s="281" t="s">
        <v>30</v>
      </c>
      <c r="L395" s="78" t="s">
        <v>1532</v>
      </c>
      <c r="M395" s="151">
        <f>IF(SUM(V395:BC395)=0,"-",SUM(V395:BC395))</f>
        <v>2</v>
      </c>
      <c r="N395" s="65">
        <f>IF(SUMPRODUCT($V$3:$BC$3,V395:BC395)=0,"-",SUMPRODUCT($V$3:$BC$3,V395:BC395))</f>
        <v>155</v>
      </c>
      <c r="P395" s="279" t="str">
        <f>IF(G395="","",IFERROR(IF(S395="Sent","",IF(I395="Delivered","PO en attente","Projet en cours")),""))</f>
        <v/>
      </c>
      <c r="Q395" s="211">
        <v>4200663716</v>
      </c>
      <c r="R395" s="211" t="s">
        <v>237</v>
      </c>
      <c r="S395" s="211" t="s">
        <v>249</v>
      </c>
      <c r="T395" s="211" t="s">
        <v>1533</v>
      </c>
      <c r="U395" s="253" t="s">
        <v>1443</v>
      </c>
      <c r="V395" s="7">
        <v>1</v>
      </c>
      <c r="W395" s="8">
        <v>1</v>
      </c>
      <c r="BD395" s="7"/>
      <c r="BE395" s="8"/>
    </row>
    <row r="396" spans="1:57" hidden="1">
      <c r="A396" s="286" t="s">
        <v>244</v>
      </c>
      <c r="B396" s="286" t="s">
        <v>221</v>
      </c>
      <c r="C396" s="280" t="s">
        <v>2</v>
      </c>
      <c r="D396" s="281" t="str">
        <f>IF(F396="","",CHOOSE(MONTH(F396),"Q4","Q4","Q4","Q1","Q1","Q1","Q2","Q2","Q2","Q3","Q3","Q3"))</f>
        <v>Q1</v>
      </c>
      <c r="E396" s="282" t="str">
        <f>IF(F396="","",CHOOSE(MONTH(F396),"10-JAN","11-FEB","12-MAR","01-APR","02-MAY","03-JUN","04-JUL","05-AUG","06-SEP","07-OCT","08-NOV","09-DEC"))</f>
        <v>02-MAY</v>
      </c>
      <c r="F396" s="242">
        <v>45415</v>
      </c>
      <c r="G396" s="231" t="s">
        <v>133</v>
      </c>
      <c r="H396" s="5" t="s">
        <v>26</v>
      </c>
      <c r="I396" s="29" t="s">
        <v>223</v>
      </c>
      <c r="J396" s="8" t="s">
        <v>130</v>
      </c>
      <c r="K396" s="281" t="s">
        <v>30</v>
      </c>
      <c r="L396" s="78" t="s">
        <v>1534</v>
      </c>
      <c r="M396" s="151">
        <f>IF(SUM(V396:BC396)=0,"-",SUM(V396:BC396))</f>
        <v>3</v>
      </c>
      <c r="N396" s="65">
        <f>IF(SUMPRODUCT($V$3:$BC$3,V396:BC396)=0,"-",SUMPRODUCT($V$3:$BC$3,V396:BC396))</f>
        <v>190</v>
      </c>
      <c r="P396" s="279" t="str">
        <f>IF(G396="","",IFERROR(IF(S396="Sent","",IF(I396="Delivered","PO en attente","Projet en cours")),""))</f>
        <v/>
      </c>
      <c r="Q396" s="211">
        <v>4200663716</v>
      </c>
      <c r="R396" s="211" t="s">
        <v>237</v>
      </c>
      <c r="S396" s="211" t="s">
        <v>249</v>
      </c>
      <c r="T396" s="211" t="s">
        <v>1535</v>
      </c>
      <c r="U396" s="253" t="s">
        <v>1331</v>
      </c>
      <c r="V396" s="7">
        <v>1</v>
      </c>
      <c r="W396" s="8">
        <v>2</v>
      </c>
    </row>
    <row r="397" spans="1:57" hidden="1">
      <c r="A397" s="286" t="s">
        <v>244</v>
      </c>
      <c r="B397" s="286" t="s">
        <v>221</v>
      </c>
      <c r="C397" s="280" t="s">
        <v>2</v>
      </c>
      <c r="D397" s="281" t="str">
        <f>IF(F397="","",CHOOSE(MONTH(F397),"Q4","Q4","Q4","Q1","Q1","Q1","Q2","Q2","Q2","Q3","Q3","Q3"))</f>
        <v>Q1</v>
      </c>
      <c r="E397" s="282" t="str">
        <f>IF(F397="","",CHOOSE(MONTH(F397),"10-JAN","11-FEB","12-MAR","01-APR","02-MAY","03-JUN","04-JUL","05-AUG","06-SEP","07-OCT","08-NOV","09-DEC"))</f>
        <v>02-MAY</v>
      </c>
      <c r="F397" s="242">
        <v>45415</v>
      </c>
      <c r="G397" s="231" t="s">
        <v>1536</v>
      </c>
      <c r="H397" s="5" t="s">
        <v>36</v>
      </c>
      <c r="I397" s="29" t="s">
        <v>223</v>
      </c>
      <c r="J397" s="8" t="s">
        <v>476</v>
      </c>
      <c r="K397" s="281" t="s">
        <v>34</v>
      </c>
      <c r="L397" s="78" t="s">
        <v>1537</v>
      </c>
      <c r="M397" s="151">
        <f>IF(SUM(V397:BC397)=0,"-",SUM(V397:BC397))</f>
        <v>2</v>
      </c>
      <c r="N397" s="65">
        <f>IF(SUMPRODUCT($V$3:$BC$3,V397:BC397)=0,"-",SUMPRODUCT($V$3:$BC$3,V397:BC397))</f>
        <v>290</v>
      </c>
      <c r="P397" s="279" t="s">
        <v>479</v>
      </c>
      <c r="Q397" s="211">
        <v>4200667000</v>
      </c>
      <c r="R397" s="211"/>
      <c r="S397" s="211" t="s">
        <v>249</v>
      </c>
      <c r="T397" s="211" t="s">
        <v>1538</v>
      </c>
      <c r="U397" s="253" t="s">
        <v>1539</v>
      </c>
      <c r="AD397" s="8">
        <v>1</v>
      </c>
      <c r="AF397" s="8">
        <v>1</v>
      </c>
      <c r="BD397" s="7"/>
      <c r="BE397" s="8"/>
    </row>
    <row r="398" spans="1:57" hidden="1">
      <c r="A398" s="286" t="s">
        <v>244</v>
      </c>
      <c r="B398" s="286" t="s">
        <v>221</v>
      </c>
      <c r="C398" s="280" t="s">
        <v>2</v>
      </c>
      <c r="D398" s="281" t="str">
        <f>IF(F398="","",CHOOSE(MONTH(F398),"Q4","Q4","Q4","Q1","Q1","Q1","Q2","Q2","Q2","Q3","Q3","Q3"))</f>
        <v>Q1</v>
      </c>
      <c r="E398" s="282" t="str">
        <f>IF(F398="","",CHOOSE(MONTH(F398),"10-JAN","11-FEB","12-MAR","01-APR","02-MAY","03-JUN","04-JUL","05-AUG","06-SEP","07-OCT","08-NOV","09-DEC"))</f>
        <v>02-MAY</v>
      </c>
      <c r="F398" s="242">
        <v>45415</v>
      </c>
      <c r="G398" s="236" t="s">
        <v>1540</v>
      </c>
      <c r="H398" s="459" t="s">
        <v>1304</v>
      </c>
      <c r="I398" s="29" t="s">
        <v>223</v>
      </c>
      <c r="J398" s="8" t="s">
        <v>130</v>
      </c>
      <c r="K398" s="281" t="str">
        <f>IF(H398="","",IFERROR(VLOOKUP(H398,Instructions!D:E,2,0),"BA"))</f>
        <v>BA</v>
      </c>
      <c r="L398" s="124" t="s">
        <v>1541</v>
      </c>
      <c r="M398" s="151">
        <f>IF(SUM(V398:BC398)=0,"-",SUM(V398:BC398))</f>
        <v>1</v>
      </c>
      <c r="N398" s="352">
        <f>IF(SUMPRODUCT($V$3:$BC$3,V398:BC398)=0,"-",SUMPRODUCT($V$3:$BC$3,V398:BC398))</f>
        <v>180</v>
      </c>
      <c r="O398" s="114" t="s">
        <v>1542</v>
      </c>
      <c r="P398" s="280" t="s">
        <v>481</v>
      </c>
      <c r="Q398" s="412">
        <v>4200679445</v>
      </c>
      <c r="R398" s="211"/>
      <c r="S398" s="211" t="s">
        <v>249</v>
      </c>
      <c r="T398" s="211" t="s">
        <v>1305</v>
      </c>
      <c r="U398" s="253" t="s">
        <v>1306</v>
      </c>
      <c r="AI398" s="8">
        <v>1</v>
      </c>
    </row>
    <row r="399" spans="1:57" hidden="1">
      <c r="A399" s="286" t="s">
        <v>244</v>
      </c>
      <c r="B399" s="286" t="s">
        <v>221</v>
      </c>
      <c r="C399" s="280" t="s">
        <v>2</v>
      </c>
      <c r="D399" s="281" t="str">
        <f>IF(F399="","",CHOOSE(MONTH(F399),"Q4","Q4","Q4","Q1","Q1","Q1","Q2","Q2","Q2","Q3","Q3","Q3"))</f>
        <v>Q1</v>
      </c>
      <c r="E399" s="282" t="str">
        <f>IF(F399="","",CHOOSE(MONTH(F399),"10-JAN","11-FEB","12-MAR","01-APR","02-MAY","03-JUN","04-JUL","05-AUG","06-SEP","07-OCT","08-NOV","09-DEC"))</f>
        <v>02-MAY</v>
      </c>
      <c r="F399" s="242">
        <v>45419</v>
      </c>
      <c r="G399" s="231" t="s">
        <v>79</v>
      </c>
      <c r="H399" s="459" t="s">
        <v>31</v>
      </c>
      <c r="I399" s="29" t="s">
        <v>223</v>
      </c>
      <c r="J399" s="8" t="s">
        <v>69</v>
      </c>
      <c r="K399" s="281" t="s">
        <v>30</v>
      </c>
      <c r="L399" s="78" t="s">
        <v>1543</v>
      </c>
      <c r="M399" s="151">
        <f>IF(SUM(V399:BC399)=0,"-",SUM(V399:BC399))</f>
        <v>7</v>
      </c>
      <c r="N399" s="65">
        <f>IF(SUMPRODUCT($V$3:$BC$3,V399:BC399)=0,"-",SUMPRODUCT($V$3:$BC$3,V399:BC399))</f>
        <v>500</v>
      </c>
      <c r="P399" s="279" t="str">
        <f>IF(G399="","",IFERROR(IF(S399="Sent","",IF(I399="Delivered","PO en attente","Projet en cours")),""))</f>
        <v/>
      </c>
      <c r="Q399" s="211">
        <v>4200663622</v>
      </c>
      <c r="R399" s="211" t="s">
        <v>237</v>
      </c>
      <c r="S399" s="211" t="s">
        <v>249</v>
      </c>
      <c r="T399" s="211" t="s">
        <v>1544</v>
      </c>
      <c r="U399" s="253" t="s">
        <v>1443</v>
      </c>
      <c r="V399" s="7">
        <v>3</v>
      </c>
      <c r="W399" s="8">
        <v>4</v>
      </c>
      <c r="BD399" s="7"/>
      <c r="BE399" s="8"/>
    </row>
    <row r="400" spans="1:57" hidden="1">
      <c r="A400" s="286" t="s">
        <v>244</v>
      </c>
      <c r="B400" s="286" t="s">
        <v>221</v>
      </c>
      <c r="C400" s="280" t="s">
        <v>2</v>
      </c>
      <c r="D400" s="281" t="str">
        <f>IF(F400="","",CHOOSE(MONTH(F400),"Q4","Q4","Q4","Q1","Q1","Q1","Q2","Q2","Q2","Q3","Q3","Q3"))</f>
        <v>Q1</v>
      </c>
      <c r="E400" s="282" t="str">
        <f>IF(F400="","",CHOOSE(MONTH(F400),"10-JAN","11-FEB","12-MAR","01-APR","02-MAY","03-JUN","04-JUL","05-AUG","06-SEP","07-OCT","08-NOV","09-DEC"))</f>
        <v>02-MAY</v>
      </c>
      <c r="F400" s="242">
        <v>45425</v>
      </c>
      <c r="G400" s="231" t="s">
        <v>1545</v>
      </c>
      <c r="H400" s="5" t="s">
        <v>36</v>
      </c>
      <c r="I400" s="29" t="s">
        <v>223</v>
      </c>
      <c r="J400" s="8" t="s">
        <v>69</v>
      </c>
      <c r="K400" s="281" t="s">
        <v>34</v>
      </c>
      <c r="M400" s="151" t="str">
        <f>IF(SUM(V400:BC400)=0,"-",SUM(V400:BC400))</f>
        <v>-</v>
      </c>
      <c r="N400" s="65" t="str">
        <f>IF(SUMPRODUCT($V$3:$BC$3,V400:BC400)=0,"-",SUMPRODUCT($V$3:$BC$3,V400:BC400))</f>
        <v>-</v>
      </c>
      <c r="Q400" s="211" t="s">
        <v>481</v>
      </c>
      <c r="R400" s="211" t="s">
        <v>481</v>
      </c>
      <c r="S400" s="211" t="s">
        <v>481</v>
      </c>
      <c r="T400" s="211" t="s">
        <v>481</v>
      </c>
      <c r="U400" s="253" t="s">
        <v>481</v>
      </c>
    </row>
    <row r="401" spans="1:57" hidden="1">
      <c r="A401" s="286" t="s">
        <v>244</v>
      </c>
      <c r="B401" s="286" t="s">
        <v>221</v>
      </c>
      <c r="C401" s="280" t="s">
        <v>2</v>
      </c>
      <c r="D401" s="281" t="str">
        <f>IF(F401="","",CHOOSE(MONTH(F401),"Q4","Q4","Q4","Q1","Q1","Q1","Q2","Q2","Q2","Q3","Q3","Q3"))</f>
        <v>Q1</v>
      </c>
      <c r="E401" s="282" t="str">
        <f>IF(F401="","",CHOOSE(MONTH(F401),"10-JAN","11-FEB","12-MAR","01-APR","02-MAY","03-JUN","04-JUL","05-AUG","06-SEP","07-OCT","08-NOV","09-DEC"))</f>
        <v>02-MAY</v>
      </c>
      <c r="F401" s="242">
        <v>45425</v>
      </c>
      <c r="G401" s="231" t="s">
        <v>134</v>
      </c>
      <c r="H401" s="5" t="s">
        <v>26</v>
      </c>
      <c r="I401" s="29" t="s">
        <v>223</v>
      </c>
      <c r="J401" s="8" t="s">
        <v>130</v>
      </c>
      <c r="K401" s="281" t="s">
        <v>30</v>
      </c>
      <c r="L401" s="78" t="s">
        <v>1546</v>
      </c>
      <c r="M401" s="151">
        <f>IF(SUM(V401:BC401)=0,"-",SUM(V401:BC401))</f>
        <v>1</v>
      </c>
      <c r="N401" s="65">
        <f>IF(SUMPRODUCT($V$3:$BC$3,V401:BC401)=0,"-",SUMPRODUCT($V$3:$BC$3,V401:BC401))</f>
        <v>260</v>
      </c>
      <c r="P401" s="279" t="str">
        <f>IF(G401="","",IFERROR(IF(S401="Sent","",IF(I401="Delivered","PO en attente","Projet en cours")),""))</f>
        <v/>
      </c>
      <c r="Q401" s="211">
        <v>4200663716</v>
      </c>
      <c r="R401" s="211" t="s">
        <v>237</v>
      </c>
      <c r="S401" s="211" t="s">
        <v>249</v>
      </c>
      <c r="T401" s="211" t="s">
        <v>1535</v>
      </c>
      <c r="U401" s="253" t="s">
        <v>1331</v>
      </c>
      <c r="AU401" s="8">
        <v>1</v>
      </c>
    </row>
    <row r="402" spans="1:57" hidden="1">
      <c r="A402" s="286" t="s">
        <v>244</v>
      </c>
      <c r="B402" s="286" t="s">
        <v>221</v>
      </c>
      <c r="C402" s="280" t="s">
        <v>2</v>
      </c>
      <c r="D402" s="281" t="str">
        <f>IF(F402="","",CHOOSE(MONTH(F402),"Q4","Q4","Q4","Q1","Q1","Q1","Q2","Q2","Q2","Q3","Q3","Q3"))</f>
        <v>Q1</v>
      </c>
      <c r="E402" s="282" t="str">
        <f>IF(F402="","",CHOOSE(MONTH(F402),"10-JAN","11-FEB","12-MAR","01-APR","02-MAY","03-JUN","04-JUL","05-AUG","06-SEP","07-OCT","08-NOV","09-DEC"))</f>
        <v>02-MAY</v>
      </c>
      <c r="F402" s="242">
        <v>45425</v>
      </c>
      <c r="G402" s="231" t="s">
        <v>136</v>
      </c>
      <c r="H402" s="5" t="s">
        <v>26</v>
      </c>
      <c r="I402" s="29" t="s">
        <v>223</v>
      </c>
      <c r="J402" s="8" t="s">
        <v>130</v>
      </c>
      <c r="K402" s="281" t="s">
        <v>30</v>
      </c>
      <c r="L402" s="78" t="s">
        <v>1546</v>
      </c>
      <c r="M402" s="151">
        <f>IF(SUM(V402:BC402)=0,"-",SUM(V402:BC402))</f>
        <v>1</v>
      </c>
      <c r="N402" s="65">
        <f>IF(SUMPRODUCT($V$3:$BC$3,V402:BC402)=0,"-",SUMPRODUCT($V$3:$BC$3,V402:BC402))</f>
        <v>260</v>
      </c>
      <c r="P402" s="279" t="str">
        <f>IF(G402="","",IFERROR(IF(S402="Sent","",IF(I402="Delivered","PO en attente","Projet en cours")),""))</f>
        <v/>
      </c>
      <c r="Q402" s="211">
        <v>4200663716</v>
      </c>
      <c r="R402" s="211" t="s">
        <v>237</v>
      </c>
      <c r="S402" s="211" t="s">
        <v>249</v>
      </c>
      <c r="T402" s="211" t="s">
        <v>1535</v>
      </c>
      <c r="U402" s="253" t="s">
        <v>1331</v>
      </c>
      <c r="AU402" s="8">
        <v>1</v>
      </c>
    </row>
    <row r="403" spans="1:57" hidden="1">
      <c r="A403" s="286" t="s">
        <v>244</v>
      </c>
      <c r="B403" s="286" t="s">
        <v>221</v>
      </c>
      <c r="C403" s="280" t="s">
        <v>2</v>
      </c>
      <c r="D403" s="281" t="str">
        <f>IF(F403="","",CHOOSE(MONTH(F403),"Q4","Q4","Q4","Q1","Q1","Q1","Q2","Q2","Q2","Q3","Q3","Q3"))</f>
        <v>Q1</v>
      </c>
      <c r="E403" s="282" t="str">
        <f>IF(F403="","",CHOOSE(MONTH(F403),"10-JAN","11-FEB","12-MAR","01-APR","02-MAY","03-JUN","04-JUL","05-AUG","06-SEP","07-OCT","08-NOV","09-DEC"))</f>
        <v>02-MAY</v>
      </c>
      <c r="F403" s="242">
        <v>45426</v>
      </c>
      <c r="G403" s="235" t="s">
        <v>1547</v>
      </c>
      <c r="H403" s="5" t="s">
        <v>36</v>
      </c>
      <c r="I403" s="29" t="s">
        <v>223</v>
      </c>
      <c r="J403" s="8" t="s">
        <v>476</v>
      </c>
      <c r="K403" s="281" t="s">
        <v>34</v>
      </c>
      <c r="L403" s="78" t="s">
        <v>1548</v>
      </c>
      <c r="M403" s="151">
        <f>IF(SUM(V403:BC403)=0,"-",SUM(V403:BC403))</f>
        <v>6</v>
      </c>
      <c r="N403" s="65">
        <f>IF(SUMPRODUCT($V$3:$BC$3,V403:BC403)=0,"-",SUMPRODUCT($V$3:$BC$3,V403:BC403))</f>
        <v>360</v>
      </c>
      <c r="P403" s="279" t="s">
        <v>479</v>
      </c>
      <c r="Q403" s="211">
        <v>4200667000</v>
      </c>
      <c r="R403" s="211"/>
      <c r="S403" s="211" t="s">
        <v>249</v>
      </c>
      <c r="T403" s="211" t="s">
        <v>1538</v>
      </c>
      <c r="U403" s="253" t="s">
        <v>1539</v>
      </c>
      <c r="W403" s="8">
        <v>4</v>
      </c>
      <c r="AD403" s="8">
        <v>1</v>
      </c>
      <c r="AE403" s="8">
        <v>1</v>
      </c>
      <c r="BD403" s="7"/>
      <c r="BE403" s="8"/>
    </row>
    <row r="404" spans="1:57" hidden="1">
      <c r="A404" s="286" t="s">
        <v>244</v>
      </c>
      <c r="B404" s="286" t="s">
        <v>221</v>
      </c>
      <c r="C404" s="280" t="s">
        <v>2</v>
      </c>
      <c r="D404" s="281" t="str">
        <f>IF(F404="","",CHOOSE(MONTH(F404),"Q4","Q4","Q4","Q1","Q1","Q1","Q2","Q2","Q2","Q3","Q3","Q3"))</f>
        <v>Q1</v>
      </c>
      <c r="E404" s="282" t="str">
        <f>IF(F404="","",CHOOSE(MONTH(F404),"10-JAN","11-FEB","12-MAR","01-APR","02-MAY","03-JUN","04-JUL","05-AUG","06-SEP","07-OCT","08-NOV","09-DEC"))</f>
        <v>02-MAY</v>
      </c>
      <c r="F404" s="242">
        <v>45427</v>
      </c>
      <c r="G404" s="236" t="s">
        <v>40</v>
      </c>
      <c r="H404" t="s">
        <v>38</v>
      </c>
      <c r="I404" s="29" t="s">
        <v>223</v>
      </c>
      <c r="J404" s="8" t="s">
        <v>95</v>
      </c>
      <c r="K404" s="281" t="s">
        <v>34</v>
      </c>
      <c r="L404" s="78" t="s">
        <v>1549</v>
      </c>
      <c r="M404" s="151">
        <f>IF(SUM(V404:BC404)=0,"-",SUM(V404:BC404))</f>
        <v>1</v>
      </c>
      <c r="N404" s="65">
        <f>IF(SUMPRODUCT($V$3:$BC$3,V404:BC404)=0,"-",SUMPRODUCT($V$3:$BC$3,V404:BC404))</f>
        <v>40</v>
      </c>
      <c r="P404" s="279" t="s">
        <v>1550</v>
      </c>
      <c r="Q404" s="211" t="s">
        <v>481</v>
      </c>
      <c r="R404" s="211" t="s">
        <v>481</v>
      </c>
      <c r="S404" s="211" t="s">
        <v>481</v>
      </c>
      <c r="T404" s="211" t="s">
        <v>481</v>
      </c>
      <c r="U404" s="253" t="s">
        <v>481</v>
      </c>
      <c r="AD404" s="8">
        <v>1</v>
      </c>
    </row>
    <row r="405" spans="1:57" hidden="1">
      <c r="A405" s="286" t="s">
        <v>244</v>
      </c>
      <c r="B405" s="286" t="s">
        <v>221</v>
      </c>
      <c r="C405" s="280" t="s">
        <v>2</v>
      </c>
      <c r="D405" s="281" t="str">
        <f>IF(F405="","",CHOOSE(MONTH(F405),"Q4","Q4","Q4","Q1","Q1","Q1","Q2","Q2","Q2","Q3","Q3","Q3"))</f>
        <v>Q1</v>
      </c>
      <c r="E405" s="282" t="str">
        <f>IF(F405="","",CHOOSE(MONTH(F405),"10-JAN","11-FEB","12-MAR","01-APR","02-MAY","03-JUN","04-JUL","05-AUG","06-SEP","07-OCT","08-NOV","09-DEC"))</f>
        <v>02-MAY</v>
      </c>
      <c r="F405" s="242">
        <v>45429</v>
      </c>
      <c r="G405" s="231" t="s">
        <v>101</v>
      </c>
      <c r="H405" s="459" t="s">
        <v>31</v>
      </c>
      <c r="I405" s="29" t="s">
        <v>223</v>
      </c>
      <c r="J405" s="8" t="s">
        <v>95</v>
      </c>
      <c r="K405" s="281" t="s">
        <v>30</v>
      </c>
      <c r="L405" s="78" t="s">
        <v>1551</v>
      </c>
      <c r="M405" s="151">
        <f>IF(SUM(V405:BC405)=0,"-",SUM(V405:BC405))</f>
        <v>1</v>
      </c>
      <c r="N405" s="65">
        <f>IF(SUMPRODUCT($V$3:$BC$3,V405:BC405)=0,"-",SUMPRODUCT($V$3:$BC$3,V405:BC405))</f>
        <v>35</v>
      </c>
      <c r="P405" s="279" t="str">
        <f>IF(G405="","",IFERROR(IF(S405="Sent","",IF(I405="Delivered","PO en attente","Projet en cours")),""))</f>
        <v/>
      </c>
      <c r="Q405" s="211">
        <v>4200663610</v>
      </c>
      <c r="R405" s="211" t="s">
        <v>237</v>
      </c>
      <c r="S405" s="211" t="s">
        <v>249</v>
      </c>
      <c r="T405" s="211" t="s">
        <v>1552</v>
      </c>
      <c r="U405" s="253" t="s">
        <v>1331</v>
      </c>
      <c r="W405" s="8">
        <v>1</v>
      </c>
    </row>
    <row r="406" spans="1:57" hidden="1">
      <c r="A406" s="286" t="s">
        <v>244</v>
      </c>
      <c r="B406" s="286" t="s">
        <v>221</v>
      </c>
      <c r="C406" s="280" t="s">
        <v>2</v>
      </c>
      <c r="D406" s="281" t="str">
        <f>IF(F406="","",CHOOSE(MONTH(F406),"Q4","Q4","Q4","Q1","Q1","Q1","Q2","Q2","Q2","Q3","Q3","Q3"))</f>
        <v>Q1</v>
      </c>
      <c r="E406" s="282" t="str">
        <f>IF(F406="","",CHOOSE(MONTH(F406),"10-JAN","11-FEB","12-MAR","01-APR","02-MAY","03-JUN","04-JUL","05-AUG","06-SEP","07-OCT","08-NOV","09-DEC"))</f>
        <v>02-MAY</v>
      </c>
      <c r="F406" s="242">
        <v>45429</v>
      </c>
      <c r="G406" s="231" t="s">
        <v>1553</v>
      </c>
      <c r="H406" s="5" t="s">
        <v>36</v>
      </c>
      <c r="I406" s="29" t="s">
        <v>223</v>
      </c>
      <c r="J406" s="8" t="s">
        <v>476</v>
      </c>
      <c r="K406" s="281" t="s">
        <v>34</v>
      </c>
      <c r="L406" s="78" t="s">
        <v>1554</v>
      </c>
      <c r="M406" s="151">
        <f>IF(SUM(V406:BC406)=0,"-",SUM(V406:BC406))</f>
        <v>12</v>
      </c>
      <c r="N406" s="65">
        <f>IF(SUMPRODUCT($V$3:$BC$3,V406:BC406)=0,"-",SUMPRODUCT($V$3:$BC$3,V406:BC406))</f>
        <v>795</v>
      </c>
      <c r="P406" s="279" t="s">
        <v>479</v>
      </c>
      <c r="Q406" s="211">
        <v>4200667000</v>
      </c>
      <c r="R406" s="211"/>
      <c r="S406" s="211" t="s">
        <v>249</v>
      </c>
      <c r="T406" s="211" t="s">
        <v>1538</v>
      </c>
      <c r="U406" s="253" t="s">
        <v>1539</v>
      </c>
      <c r="W406" s="8">
        <v>7</v>
      </c>
      <c r="AD406" s="8">
        <v>3</v>
      </c>
      <c r="AE406" s="8">
        <v>1</v>
      </c>
      <c r="AF406" s="8">
        <v>1</v>
      </c>
      <c r="BD406" s="7"/>
      <c r="BE406" s="8"/>
    </row>
    <row r="407" spans="1:57" hidden="1">
      <c r="A407" s="286" t="s">
        <v>244</v>
      </c>
      <c r="B407" s="286" t="s">
        <v>221</v>
      </c>
      <c r="C407" s="280" t="s">
        <v>2</v>
      </c>
      <c r="D407" s="281" t="str">
        <f>IF(F407="","",CHOOSE(MONTH(F407),"Q4","Q4","Q4","Q1","Q1","Q1","Q2","Q2","Q2","Q3","Q3","Q3"))</f>
        <v>Q1</v>
      </c>
      <c r="E407" s="282" t="str">
        <f>IF(F407="","",CHOOSE(MONTH(F407),"10-JAN","11-FEB","12-MAR","01-APR","02-MAY","03-JUN","04-JUL","05-AUG","06-SEP","07-OCT","08-NOV","09-DEC"))</f>
        <v>02-MAY</v>
      </c>
      <c r="F407" s="242">
        <v>45433</v>
      </c>
      <c r="G407" s="231" t="s">
        <v>109</v>
      </c>
      <c r="H407" s="5" t="s">
        <v>26</v>
      </c>
      <c r="I407" s="29" t="s">
        <v>223</v>
      </c>
      <c r="J407" s="8" t="s">
        <v>95</v>
      </c>
      <c r="K407" s="281" t="s">
        <v>30</v>
      </c>
      <c r="L407" s="78" t="s">
        <v>1555</v>
      </c>
      <c r="M407" s="151">
        <f>IF(SUM(V407:BC407)=0,"-",SUM(V407:BC407))</f>
        <v>1</v>
      </c>
      <c r="N407" s="65">
        <f>IF(SUMPRODUCT($V$3:$BC$3,V407:BC407)=0,"-",SUMPRODUCT($V$3:$BC$3,V407:BC407))</f>
        <v>260</v>
      </c>
      <c r="P407" s="279" t="str">
        <f>IF(G407="","",IFERROR(IF(S407="Sent","",IF(I407="Delivered","PO en attente","Projet en cours")),""))</f>
        <v/>
      </c>
      <c r="Q407" s="211">
        <v>4200667862</v>
      </c>
      <c r="R407" s="211" t="s">
        <v>266</v>
      </c>
      <c r="S407" s="211" t="s">
        <v>249</v>
      </c>
      <c r="T407" s="211" t="s">
        <v>1556</v>
      </c>
      <c r="U407" s="253" t="s">
        <v>1557</v>
      </c>
      <c r="AU407" s="8">
        <v>1</v>
      </c>
    </row>
    <row r="408" spans="1:57" hidden="1">
      <c r="A408" s="286" t="s">
        <v>244</v>
      </c>
      <c r="B408" s="286" t="s">
        <v>221</v>
      </c>
      <c r="C408" s="280" t="s">
        <v>2</v>
      </c>
      <c r="D408" s="281" t="str">
        <f>IF(F408="","",CHOOSE(MONTH(F408),"Q4","Q4","Q4","Q1","Q1","Q1","Q2","Q2","Q2","Q3","Q3","Q3"))</f>
        <v>Q1</v>
      </c>
      <c r="E408" s="282" t="str">
        <f>IF(F408="","",CHOOSE(MONTH(F408),"10-JAN","11-FEB","12-MAR","01-APR","02-MAY","03-JUN","04-JUL","05-AUG","06-SEP","07-OCT","08-NOV","09-DEC"))</f>
        <v>02-MAY</v>
      </c>
      <c r="F408" s="242">
        <v>45433</v>
      </c>
      <c r="G408" s="231" t="s">
        <v>115</v>
      </c>
      <c r="H408" s="156" t="s">
        <v>35</v>
      </c>
      <c r="I408" s="29" t="s">
        <v>223</v>
      </c>
      <c r="J408" s="8" t="s">
        <v>95</v>
      </c>
      <c r="K408" s="281" t="s">
        <v>34</v>
      </c>
      <c r="L408" s="78" t="s">
        <v>1558</v>
      </c>
      <c r="M408" s="151">
        <f>IF(SUM(V408:BC408)=0,"-",SUM(V408:BC408))</f>
        <v>1</v>
      </c>
      <c r="N408" s="352">
        <f>IF(SUMPRODUCT($V$3:$BC$3,V408:BC408)=0,"-",SUMPRODUCT($V$3:$BC$3,V408:BC408))</f>
        <v>35</v>
      </c>
      <c r="O408" s="114" t="s">
        <v>1559</v>
      </c>
      <c r="P408" s="279" t="str">
        <f>IF(G408="","",IFERROR(IF(S408="Sent","",IF(I408="Delivered","PO en attente","Projet en cours")),""))</f>
        <v/>
      </c>
      <c r="Q408" s="211">
        <v>4270028664</v>
      </c>
      <c r="R408" s="211"/>
      <c r="S408" s="211" t="s">
        <v>249</v>
      </c>
      <c r="T408" s="211" t="s">
        <v>1560</v>
      </c>
      <c r="U408" s="253" t="s">
        <v>517</v>
      </c>
      <c r="W408" s="8">
        <v>1</v>
      </c>
    </row>
    <row r="409" spans="1:57" hidden="1">
      <c r="A409" s="286" t="s">
        <v>244</v>
      </c>
      <c r="B409" s="286" t="s">
        <v>221</v>
      </c>
      <c r="C409" s="280" t="s">
        <v>2</v>
      </c>
      <c r="D409" s="281" t="str">
        <f>IF(F409="","",CHOOSE(MONTH(F409),"Q4","Q4","Q4","Q1","Q1","Q1","Q2","Q2","Q2","Q3","Q3","Q3"))</f>
        <v>Q1</v>
      </c>
      <c r="E409" s="282" t="str">
        <f>IF(F409="","",CHOOSE(MONTH(F409),"10-JAN","11-FEB","12-MAR","01-APR","02-MAY","03-JUN","04-JUL","05-AUG","06-SEP","07-OCT","08-NOV","09-DEC"))</f>
        <v>02-MAY</v>
      </c>
      <c r="F409" s="242">
        <v>45434</v>
      </c>
      <c r="G409" s="236" t="s">
        <v>157</v>
      </c>
      <c r="H409" s="5" t="s">
        <v>27</v>
      </c>
      <c r="I409" s="29" t="s">
        <v>223</v>
      </c>
      <c r="J409" s="8" t="s">
        <v>147</v>
      </c>
      <c r="K409" s="281" t="s">
        <v>34</v>
      </c>
      <c r="L409" s="78" t="s">
        <v>1561</v>
      </c>
      <c r="M409" s="151">
        <f>IF(SUM(V409:BC409)=0,"-",SUM(V409:BC409))</f>
        <v>1</v>
      </c>
      <c r="N409" s="352">
        <f>IF(SUMPRODUCT($V$3:$BC$3,V409:BC409)=0,"-",SUMPRODUCT($V$3:$BC$3,V409:BC409))</f>
        <v>35</v>
      </c>
      <c r="P409" s="279" t="str">
        <f>IF(G409="","",IFERROR(IF(S409="Sent","",IF(I409="Delivered","PO en attente","Projet en cours")),""))</f>
        <v/>
      </c>
      <c r="Q409" s="211">
        <v>4200666278</v>
      </c>
      <c r="R409" s="211"/>
      <c r="S409" s="211" t="s">
        <v>249</v>
      </c>
      <c r="T409" s="211" t="s">
        <v>1462</v>
      </c>
      <c r="U409" s="253" t="s">
        <v>1562</v>
      </c>
      <c r="W409" s="8">
        <v>1</v>
      </c>
    </row>
    <row r="410" spans="1:57" hidden="1">
      <c r="A410" s="286" t="s">
        <v>244</v>
      </c>
      <c r="B410" s="286" t="s">
        <v>221</v>
      </c>
      <c r="C410" s="280" t="s">
        <v>2</v>
      </c>
      <c r="D410" s="281" t="str">
        <f>IF(F410="","",CHOOSE(MONTH(F410),"Q4","Q4","Q4","Q1","Q1","Q1","Q2","Q2","Q2","Q3","Q3","Q3"))</f>
        <v>Q1</v>
      </c>
      <c r="E410" s="282" t="str">
        <f>IF(F410="","",CHOOSE(MONTH(F410),"10-JAN","11-FEB","12-MAR","01-APR","02-MAY","03-JUN","04-JUL","05-AUG","06-SEP","07-OCT","08-NOV","09-DEC"))</f>
        <v>02-MAY</v>
      </c>
      <c r="F410" s="242">
        <v>45434</v>
      </c>
      <c r="G410" s="236" t="s">
        <v>110</v>
      </c>
      <c r="H410" s="5" t="s">
        <v>26</v>
      </c>
      <c r="I410" s="29" t="s">
        <v>223</v>
      </c>
      <c r="J410" s="8" t="s">
        <v>95</v>
      </c>
      <c r="K410" s="281" t="s">
        <v>30</v>
      </c>
      <c r="L410" s="78" t="s">
        <v>1563</v>
      </c>
      <c r="M410" s="151">
        <f>IF(SUM(V410:BC410)=0,"-",SUM(V410:BC410))</f>
        <v>2</v>
      </c>
      <c r="N410" s="65">
        <f>IF(SUMPRODUCT($V$3:$BC$3,V410:BC410)=0,"-",SUMPRODUCT($V$3:$BC$3,V410:BC410))</f>
        <v>155</v>
      </c>
      <c r="P410" s="279" t="str">
        <f>IF(G410="","",IFERROR(IF(S410="Sent","",IF(I410="Delivered","PO en attente","Projet en cours")),""))</f>
        <v/>
      </c>
      <c r="Q410" s="211">
        <v>4200667862</v>
      </c>
      <c r="R410" s="211" t="s">
        <v>266</v>
      </c>
      <c r="S410" s="211" t="s">
        <v>249</v>
      </c>
      <c r="T410" s="211" t="s">
        <v>1556</v>
      </c>
      <c r="U410" s="253" t="s">
        <v>1557</v>
      </c>
      <c r="V410" s="7">
        <v>1</v>
      </c>
      <c r="W410" s="8">
        <v>1</v>
      </c>
    </row>
    <row r="411" spans="1:57" hidden="1">
      <c r="A411" s="286" t="s">
        <v>244</v>
      </c>
      <c r="B411" s="286" t="s">
        <v>221</v>
      </c>
      <c r="C411" s="280" t="s">
        <v>2</v>
      </c>
      <c r="D411" s="281" t="str">
        <f>IF(F411="","",CHOOSE(MONTH(F411),"Q4","Q4","Q4","Q1","Q1","Q1","Q2","Q2","Q2","Q3","Q3","Q3"))</f>
        <v>Q1</v>
      </c>
      <c r="E411" s="282" t="str">
        <f>IF(F411="","",CHOOSE(MONTH(F411),"10-JAN","11-FEB","12-MAR","01-APR","02-MAY","03-JUN","04-JUL","05-AUG","06-SEP","07-OCT","08-NOV","09-DEC"))</f>
        <v>02-MAY</v>
      </c>
      <c r="F411" s="242">
        <v>45435</v>
      </c>
      <c r="G411" s="231" t="s">
        <v>135</v>
      </c>
      <c r="H411" s="459" t="s">
        <v>31</v>
      </c>
      <c r="I411" s="29" t="s">
        <v>223</v>
      </c>
      <c r="J411" s="8" t="s">
        <v>130</v>
      </c>
      <c r="K411" s="281" t="s">
        <v>30</v>
      </c>
      <c r="L411" s="78" t="s">
        <v>1564</v>
      </c>
      <c r="M411" s="151">
        <f>IF(SUM(V411:BC411)=0,"-",SUM(V411:BC411))</f>
        <v>8</v>
      </c>
      <c r="N411" s="65">
        <v>20</v>
      </c>
      <c r="P411" s="279" t="str">
        <f>IF(G411="","",IFERROR(IF(S411="Sent","",IF(I411="Delivered","PO en attente","Projet en cours")),""))</f>
        <v/>
      </c>
      <c r="Q411" s="81">
        <v>4200663716</v>
      </c>
      <c r="R411" s="211" t="s">
        <v>237</v>
      </c>
      <c r="S411" s="211" t="s">
        <v>249</v>
      </c>
      <c r="T411" s="211" t="s">
        <v>1535</v>
      </c>
      <c r="U411" s="253" t="s">
        <v>1331</v>
      </c>
      <c r="W411" s="8">
        <v>8</v>
      </c>
    </row>
    <row r="412" spans="1:57" hidden="1">
      <c r="A412" s="286" t="s">
        <v>244</v>
      </c>
      <c r="B412" s="286" t="s">
        <v>221</v>
      </c>
      <c r="C412" s="280" t="s">
        <v>2</v>
      </c>
      <c r="D412" s="281" t="str">
        <f>IF(F412="","",CHOOSE(MONTH(F412),"Q4","Q4","Q4","Q1","Q1","Q1","Q2","Q2","Q2","Q3","Q3","Q3"))</f>
        <v>Q1</v>
      </c>
      <c r="E412" s="282" t="str">
        <f>IF(F412="","",CHOOSE(MONTH(F412),"10-JAN","11-FEB","12-MAR","01-APR","02-MAY","03-JUN","04-JUL","05-AUG","06-SEP","07-OCT","08-NOV","09-DEC"))</f>
        <v>02-MAY</v>
      </c>
      <c r="F412" s="242">
        <v>45435</v>
      </c>
      <c r="G412" s="231" t="s">
        <v>158</v>
      </c>
      <c r="H412" s="5" t="s">
        <v>27</v>
      </c>
      <c r="I412" s="29" t="s">
        <v>223</v>
      </c>
      <c r="J412" s="8" t="s">
        <v>147</v>
      </c>
      <c r="K412" s="281" t="s">
        <v>34</v>
      </c>
      <c r="L412" s="78" t="s">
        <v>1444</v>
      </c>
      <c r="M412" s="151">
        <f>IF(SUM(V412:BC412)=0,"-",SUM(V412:BC412))</f>
        <v>3</v>
      </c>
      <c r="N412" s="352">
        <f>IF(SUMPRODUCT($V$3:$BC$3,V412:BC412)=0,"-",SUMPRODUCT($V$3:$BC$3,V412:BC412))</f>
        <v>355</v>
      </c>
      <c r="P412" s="279" t="str">
        <f>IF(G412="","",IFERROR(IF(S412="Sent","",IF(I412="Delivered","PO en attente","Projet en cours")),""))</f>
        <v/>
      </c>
      <c r="Q412" s="211">
        <v>4200666278</v>
      </c>
      <c r="R412" s="211"/>
      <c r="S412" s="211" t="s">
        <v>249</v>
      </c>
      <c r="T412" s="211" t="s">
        <v>1462</v>
      </c>
      <c r="U412" s="253" t="s">
        <v>1562</v>
      </c>
      <c r="AC412" s="7">
        <v>1</v>
      </c>
      <c r="AD412" s="8">
        <v>1</v>
      </c>
      <c r="AE412" s="8">
        <v>1</v>
      </c>
    </row>
    <row r="413" spans="1:57" hidden="1">
      <c r="A413" s="286" t="s">
        <v>244</v>
      </c>
      <c r="B413" s="286" t="s">
        <v>221</v>
      </c>
      <c r="C413" s="280" t="s">
        <v>2</v>
      </c>
      <c r="D413" s="281" t="str">
        <f>IF(F413="","",CHOOSE(MONTH(F413),"Q4","Q4","Q4","Q1","Q1","Q1","Q2","Q2","Q2","Q3","Q3","Q3"))</f>
        <v>Q1</v>
      </c>
      <c r="E413" s="282" t="str">
        <f>IF(F413="","",CHOOSE(MONTH(F413),"10-JAN","11-FEB","12-MAR","01-APR","02-MAY","03-JUN","04-JUL","05-AUG","06-SEP","07-OCT","08-NOV","09-DEC"))</f>
        <v>02-MAY</v>
      </c>
      <c r="F413" s="242">
        <v>45439</v>
      </c>
      <c r="G413" s="231" t="s">
        <v>116</v>
      </c>
      <c r="H413" s="156" t="s">
        <v>35</v>
      </c>
      <c r="I413" s="29" t="s">
        <v>223</v>
      </c>
      <c r="J413" s="8" t="s">
        <v>95</v>
      </c>
      <c r="K413" s="281" t="s">
        <v>34</v>
      </c>
      <c r="L413" s="78" t="s">
        <v>1565</v>
      </c>
      <c r="M413" s="151">
        <f>IF(SUM(V413:BC413)=0,"-",SUM(V413:BC413))</f>
        <v>3</v>
      </c>
      <c r="N413" s="352">
        <f>IF(SUMPRODUCT($V$3:$BC$3,V413:BC413)=0,"-",SUMPRODUCT($V$3:$BC$3,V413:BC413))</f>
        <v>405</v>
      </c>
      <c r="O413" s="114" t="s">
        <v>1566</v>
      </c>
      <c r="P413" s="279" t="str">
        <f>IF(G413="","",IFERROR(IF(S413="Sent","",IF(I413="Delivered","PO en attente","Projet en cours")),""))</f>
        <v/>
      </c>
      <c r="Q413" s="211">
        <v>4200670851</v>
      </c>
      <c r="R413" s="211"/>
      <c r="S413" s="211" t="s">
        <v>249</v>
      </c>
      <c r="T413" s="211" t="s">
        <v>1567</v>
      </c>
      <c r="U413" s="253" t="s">
        <v>517</v>
      </c>
      <c r="AC413" s="7">
        <v>3</v>
      </c>
    </row>
    <row r="414" spans="1:57" hidden="1">
      <c r="A414" s="286" t="s">
        <v>244</v>
      </c>
      <c r="B414" s="286" t="s">
        <v>221</v>
      </c>
      <c r="C414" s="280" t="s">
        <v>2</v>
      </c>
      <c r="D414" s="281" t="str">
        <f>IF(F414="","",CHOOSE(MONTH(F414),"Q4","Q4","Q4","Q1","Q1","Q1","Q2","Q2","Q2","Q3","Q3","Q3"))</f>
        <v>Q1</v>
      </c>
      <c r="E414" s="282" t="str">
        <f>IF(F414="","",CHOOSE(MONTH(F414),"10-JAN","11-FEB","12-MAR","01-APR","02-MAY","03-JUN","04-JUL","05-AUG","06-SEP","07-OCT","08-NOV","09-DEC"))</f>
        <v>02-MAY</v>
      </c>
      <c r="F414" s="242">
        <v>45440</v>
      </c>
      <c r="G414" s="390" t="s">
        <v>1568</v>
      </c>
      <c r="H414" s="5" t="s">
        <v>36</v>
      </c>
      <c r="I414" s="29" t="s">
        <v>223</v>
      </c>
      <c r="J414" s="8" t="s">
        <v>476</v>
      </c>
      <c r="K414" s="281" t="s">
        <v>34</v>
      </c>
      <c r="L414" s="78" t="s">
        <v>1569</v>
      </c>
      <c r="M414" s="151">
        <f>IF(SUM(V414:BC414)=0,"-",SUM(V414:BC414))</f>
        <v>6</v>
      </c>
      <c r="N414" s="65">
        <f>IF(SUMPRODUCT($V$3:$BC$3,V414:BC414)=0,"-",SUMPRODUCT($V$3:$BC$3,V414:BC414))</f>
        <v>210</v>
      </c>
      <c r="P414" s="279" t="s">
        <v>479</v>
      </c>
      <c r="Q414" s="211">
        <v>4200667000</v>
      </c>
      <c r="R414" s="211"/>
      <c r="S414" s="211" t="s">
        <v>249</v>
      </c>
      <c r="T414" s="211" t="s">
        <v>1538</v>
      </c>
      <c r="U414" s="253" t="s">
        <v>1539</v>
      </c>
      <c r="W414" s="8">
        <v>6</v>
      </c>
      <c r="BD414" s="7"/>
      <c r="BE414" s="8"/>
    </row>
    <row r="415" spans="1:57" hidden="1">
      <c r="A415" s="286" t="s">
        <v>244</v>
      </c>
      <c r="B415" s="286" t="s">
        <v>221</v>
      </c>
      <c r="C415" s="280" t="s">
        <v>2</v>
      </c>
      <c r="D415" s="281" t="str">
        <f>IF(F415="","",CHOOSE(MONTH(F415),"Q4","Q4","Q4","Q1","Q1","Q1","Q2","Q2","Q2","Q3","Q3","Q3"))</f>
        <v>Q1</v>
      </c>
      <c r="E415" s="282" t="str">
        <f>IF(F415="","",CHOOSE(MONTH(F415),"10-JAN","11-FEB","12-MAR","01-APR","02-MAY","03-JUN","04-JUL","05-AUG","06-SEP","07-OCT","08-NOV","09-DEC"))</f>
        <v>02-MAY</v>
      </c>
      <c r="F415" s="242">
        <v>45440</v>
      </c>
      <c r="G415" s="235" t="s">
        <v>1570</v>
      </c>
      <c r="H415" s="5" t="s">
        <v>27</v>
      </c>
      <c r="I415" s="29" t="s">
        <v>223</v>
      </c>
      <c r="J415" s="8" t="s">
        <v>128</v>
      </c>
      <c r="K415" s="281" t="s">
        <v>34</v>
      </c>
      <c r="L415" s="78" t="s">
        <v>1571</v>
      </c>
      <c r="M415" s="151">
        <f>IF(SUM(V415:BC415)=0,"-",SUM(V415:BC415))</f>
        <v>1</v>
      </c>
      <c r="N415" s="278">
        <f>IF(SUMPRODUCT($V$3:$BC$3,V415:BC415)=0,"-",SUMPRODUCT($V$3:$BC$3,V415:BC415))</f>
        <v>220</v>
      </c>
      <c r="P415" s="279" t="str">
        <f>IF(G415="","",IFERROR(IF(S415="Sent","",IF(I415="Delivered","PO en attente","Projet en cours")),""))</f>
        <v/>
      </c>
      <c r="Q415" s="211">
        <v>4200667460</v>
      </c>
      <c r="R415" s="211"/>
      <c r="S415" s="211" t="s">
        <v>249</v>
      </c>
      <c r="T415" s="211" t="s">
        <v>1572</v>
      </c>
      <c r="U415" s="253" t="s">
        <v>1573</v>
      </c>
      <c r="X415" s="8">
        <v>1</v>
      </c>
      <c r="BD415" s="7"/>
    </row>
    <row r="416" spans="1:57" s="72" customFormat="1" hidden="1">
      <c r="A416" s="286" t="s">
        <v>244</v>
      </c>
      <c r="B416" s="286" t="s">
        <v>221</v>
      </c>
      <c r="C416" s="280" t="s">
        <v>2</v>
      </c>
      <c r="D416" s="281" t="str">
        <f>IF(F416="","",CHOOSE(MONTH(F416),"Q4","Q4","Q4","Q1","Q1","Q1","Q2","Q2","Q2","Q3","Q3","Q3"))</f>
        <v>Q1</v>
      </c>
      <c r="E416" s="282" t="str">
        <f>IF(F416="","",CHOOSE(MONTH(F416),"10-JAN","11-FEB","12-MAR","01-APR","02-MAY","03-JUN","04-JUL","05-AUG","06-SEP","07-OCT","08-NOV","09-DEC"))</f>
        <v>02-MAY</v>
      </c>
      <c r="F416" s="242">
        <v>45440</v>
      </c>
      <c r="G416" s="231" t="s">
        <v>111</v>
      </c>
      <c r="H416" s="459" t="s">
        <v>31</v>
      </c>
      <c r="I416" s="29" t="s">
        <v>223</v>
      </c>
      <c r="J416" s="8" t="s">
        <v>95</v>
      </c>
      <c r="K416" s="281" t="s">
        <v>30</v>
      </c>
      <c r="L416" s="78" t="s">
        <v>1574</v>
      </c>
      <c r="M416" s="151">
        <f>IF(SUM(V416:BC416)=0,"-",SUM(V416:BC416))</f>
        <v>13</v>
      </c>
      <c r="N416" s="65">
        <f>IF(SUMPRODUCT($V$3:$BC$3,V416:BC416)=0,"-",SUMPRODUCT($V$3:$BC$3,V416:BC416))</f>
        <v>615</v>
      </c>
      <c r="O416" s="8"/>
      <c r="P416" s="279" t="str">
        <f>IF(G416="","",IFERROR(IF(S416="Sent","",IF(I416="Delivered","PO en attente","Projet en cours")),""))</f>
        <v/>
      </c>
      <c r="Q416" s="211">
        <v>4200667862</v>
      </c>
      <c r="R416" s="211" t="s">
        <v>266</v>
      </c>
      <c r="S416" s="211" t="s">
        <v>249</v>
      </c>
      <c r="T416" s="211" t="s">
        <v>1556</v>
      </c>
      <c r="U416" s="253" t="s">
        <v>1557</v>
      </c>
      <c r="V416" s="7"/>
      <c r="W416" s="8"/>
      <c r="X416" s="8"/>
      <c r="Y416" s="8"/>
      <c r="Z416" s="8"/>
      <c r="AA416" s="8"/>
      <c r="AB416" s="8"/>
      <c r="AC416" s="7">
        <v>1</v>
      </c>
      <c r="AD416" s="8">
        <v>12</v>
      </c>
      <c r="AE416" s="8"/>
      <c r="AF416" s="8"/>
      <c r="AG416" s="8"/>
      <c r="AH416" s="8"/>
      <c r="AI416" s="8"/>
      <c r="AJ416" s="8"/>
      <c r="AK416" s="8"/>
      <c r="AL416" s="7"/>
      <c r="AM416" s="7"/>
      <c r="AN416" s="8"/>
      <c r="AO416" s="8"/>
      <c r="AP416" s="8"/>
      <c r="AQ416" s="8"/>
      <c r="AR416" s="8"/>
      <c r="AS416" s="7"/>
      <c r="AT416" s="8"/>
      <c r="AU416" s="8"/>
      <c r="AV416" s="8"/>
      <c r="AW416" s="8"/>
      <c r="AX416" s="8"/>
      <c r="AY416" s="8"/>
      <c r="AZ416" s="7"/>
      <c r="BA416" s="8"/>
      <c r="BB416" s="7"/>
      <c r="BC416" s="8"/>
      <c r="BD416" s="71"/>
    </row>
    <row r="417" spans="1:56" s="72" customFormat="1" hidden="1">
      <c r="A417" s="286" t="s">
        <v>244</v>
      </c>
      <c r="B417" s="286" t="s">
        <v>221</v>
      </c>
      <c r="C417" s="280" t="s">
        <v>2</v>
      </c>
      <c r="D417" s="281" t="str">
        <f>IF(F417="","",CHOOSE(MONTH(F417),"Q4","Q4","Q4","Q1","Q1","Q1","Q2","Q2","Q2","Q3","Q3","Q3"))</f>
        <v>Q1</v>
      </c>
      <c r="E417" s="282" t="str">
        <f>IF(F417="","",CHOOSE(MONTH(F417),"10-JAN","11-FEB","12-MAR","01-APR","02-MAY","03-JUN","04-JUL","05-AUG","06-SEP","07-OCT","08-NOV","09-DEC"))</f>
        <v>02-MAY</v>
      </c>
      <c r="F417" s="242">
        <v>45441</v>
      </c>
      <c r="G417" s="354" t="s">
        <v>139</v>
      </c>
      <c r="H417" s="5" t="s">
        <v>26</v>
      </c>
      <c r="I417" s="29" t="s">
        <v>223</v>
      </c>
      <c r="J417" s="8" t="s">
        <v>130</v>
      </c>
      <c r="K417" s="281" t="s">
        <v>30</v>
      </c>
      <c r="L417" s="78" t="s">
        <v>1575</v>
      </c>
      <c r="M417" s="151">
        <f>IF(SUM(V417:BC417)=0,"-",SUM(V417:BC417))</f>
        <v>2</v>
      </c>
      <c r="N417" s="65">
        <f>IF(SUMPRODUCT($V$3:$BC$3,V417:BC417)=0,"-",SUMPRODUCT($V$3:$BC$3,V417:BC417))</f>
        <v>720</v>
      </c>
      <c r="O417" s="8"/>
      <c r="P417" s="279" t="str">
        <f>IF(G417="","",IFERROR(IF(S417="Sent","",IF(I417="Delivered","PO en attente","Projet en cours")),""))</f>
        <v/>
      </c>
      <c r="Q417" s="211">
        <v>4200667871</v>
      </c>
      <c r="R417" s="211" t="s">
        <v>266</v>
      </c>
      <c r="S417" s="211" t="s">
        <v>249</v>
      </c>
      <c r="T417" s="211" t="s">
        <v>1576</v>
      </c>
      <c r="U417" s="253" t="s">
        <v>1557</v>
      </c>
      <c r="V417" s="7"/>
      <c r="W417" s="8"/>
      <c r="X417" s="8">
        <v>1</v>
      </c>
      <c r="Y417" s="8"/>
      <c r="Z417" s="8"/>
      <c r="AA417" s="8"/>
      <c r="AB417" s="8"/>
      <c r="AC417" s="7"/>
      <c r="AD417" s="8"/>
      <c r="AE417" s="8"/>
      <c r="AF417" s="8"/>
      <c r="AG417" s="8"/>
      <c r="AH417" s="8"/>
      <c r="AI417" s="8"/>
      <c r="AJ417" s="8"/>
      <c r="AK417" s="8"/>
      <c r="AL417" s="7"/>
      <c r="AM417" s="7">
        <v>1</v>
      </c>
      <c r="AN417" s="8"/>
      <c r="AO417" s="8"/>
      <c r="AP417" s="8"/>
      <c r="AQ417" s="8"/>
      <c r="AR417" s="8"/>
      <c r="AS417" s="7"/>
      <c r="AT417" s="8"/>
      <c r="AU417" s="8"/>
      <c r="AV417" s="8"/>
      <c r="AW417" s="8"/>
      <c r="AX417" s="8"/>
      <c r="AY417" s="8"/>
      <c r="AZ417" s="7"/>
      <c r="BA417" s="8"/>
      <c r="BB417" s="7"/>
      <c r="BC417" s="8"/>
      <c r="BD417" s="71"/>
    </row>
    <row r="418" spans="1:56" s="72" customFormat="1" hidden="1">
      <c r="A418" s="286" t="s">
        <v>244</v>
      </c>
      <c r="B418" s="286" t="s">
        <v>221</v>
      </c>
      <c r="C418" s="280" t="s">
        <v>2</v>
      </c>
      <c r="D418" s="281" t="str">
        <f>IF(F418="","",CHOOSE(MONTH(F418),"Q4","Q4","Q4","Q1","Q1","Q1","Q2","Q2","Q2","Q3","Q3","Q3"))</f>
        <v>Q1</v>
      </c>
      <c r="E418" s="282" t="str">
        <f>IF(F418="","",CHOOSE(MONTH(F418),"10-JAN","11-FEB","12-MAR","01-APR","02-MAY","03-JUN","04-JUL","05-AUG","06-SEP","07-OCT","08-NOV","09-DEC"))</f>
        <v>02-MAY</v>
      </c>
      <c r="F418" s="242">
        <v>45441</v>
      </c>
      <c r="G418" s="236" t="s">
        <v>94</v>
      </c>
      <c r="H418" s="5" t="s">
        <v>26</v>
      </c>
      <c r="I418" s="29" t="s">
        <v>223</v>
      </c>
      <c r="J418" s="8" t="s">
        <v>93</v>
      </c>
      <c r="K418" s="281" t="s">
        <v>30</v>
      </c>
      <c r="L418" s="78" t="s">
        <v>1577</v>
      </c>
      <c r="M418" s="151">
        <f>IF(SUM(V418:BC418)=0,"-",SUM(V418:BC418))</f>
        <v>1</v>
      </c>
      <c r="N418" s="65">
        <f>IF(SUMPRODUCT($V$3:$BC$3,V418:BC418)=0,"-",SUMPRODUCT($V$3:$BC$3,V418:BC418))</f>
        <v>120</v>
      </c>
      <c r="O418" s="8"/>
      <c r="P418" s="279" t="str">
        <f>IF(G418="","",IFERROR(IF(S418="Sent","",IF(I418="Delivered","PO en attente","Projet en cours")),""))</f>
        <v/>
      </c>
      <c r="Q418" s="211">
        <v>4200667872</v>
      </c>
      <c r="R418" s="211" t="s">
        <v>266</v>
      </c>
      <c r="S418" s="211" t="s">
        <v>249</v>
      </c>
      <c r="T418" s="211" t="s">
        <v>1578</v>
      </c>
      <c r="U418" s="253" t="s">
        <v>1557</v>
      </c>
      <c r="V418" s="7">
        <v>1</v>
      </c>
      <c r="W418" s="8"/>
      <c r="X418" s="8"/>
      <c r="Y418" s="8"/>
      <c r="Z418" s="8"/>
      <c r="AA418" s="8"/>
      <c r="AB418" s="8"/>
      <c r="AC418" s="7"/>
      <c r="AD418" s="8"/>
      <c r="AE418" s="8"/>
      <c r="AF418" s="8"/>
      <c r="AG418" s="8"/>
      <c r="AH418" s="8"/>
      <c r="AI418" s="8"/>
      <c r="AJ418" s="8"/>
      <c r="AK418" s="8"/>
      <c r="AL418" s="7"/>
      <c r="AM418" s="7"/>
      <c r="AN418" s="8"/>
      <c r="AO418" s="8"/>
      <c r="AP418" s="8"/>
      <c r="AQ418" s="8"/>
      <c r="AR418" s="8"/>
      <c r="AS418" s="7"/>
      <c r="AT418" s="8"/>
      <c r="AU418" s="8"/>
      <c r="AV418" s="8"/>
      <c r="AW418" s="8"/>
      <c r="AX418" s="8"/>
      <c r="AY418" s="8"/>
      <c r="AZ418" s="7"/>
      <c r="BA418" s="8"/>
      <c r="BB418" s="7"/>
      <c r="BC418" s="8"/>
      <c r="BD418" s="71"/>
    </row>
    <row r="419" spans="1:56" hidden="1">
      <c r="A419" s="286" t="s">
        <v>244</v>
      </c>
      <c r="B419" s="286" t="s">
        <v>221</v>
      </c>
      <c r="C419" s="280" t="s">
        <v>2</v>
      </c>
      <c r="D419" s="281" t="str">
        <f>IF(F419="","",CHOOSE(MONTH(F419),"Q4","Q4","Q4","Q1","Q1","Q1","Q2","Q2","Q2","Q3","Q3","Q3"))</f>
        <v>Q1</v>
      </c>
      <c r="E419" s="282" t="str">
        <f>IF(F419="","",CHOOSE(MONTH(F419),"10-JAN","11-FEB","12-MAR","01-APR","02-MAY","03-JUN","04-JUL","05-AUG","06-SEP","07-OCT","08-NOV","09-DEC"))</f>
        <v>02-MAY</v>
      </c>
      <c r="F419" s="242">
        <v>45443</v>
      </c>
      <c r="G419" s="231" t="s">
        <v>1579</v>
      </c>
      <c r="H419" s="5" t="s">
        <v>36</v>
      </c>
      <c r="I419" s="29" t="s">
        <v>223</v>
      </c>
      <c r="J419" s="8" t="s">
        <v>69</v>
      </c>
      <c r="K419" s="281" t="s">
        <v>34</v>
      </c>
      <c r="L419" s="78" t="s">
        <v>1580</v>
      </c>
      <c r="M419" s="151">
        <f>IF(SUM(V419:BC419)=0,"-",SUM(V419:BC419))</f>
        <v>12</v>
      </c>
      <c r="N419" s="65">
        <f>IF(SUMPRODUCT($V$3:$BC$3,V419:BC419)=0,"-",SUMPRODUCT($V$3:$BC$3,V419:BC419))</f>
        <v>515</v>
      </c>
      <c r="O419" s="8" t="s">
        <v>1581</v>
      </c>
      <c r="P419" s="279" t="s">
        <v>1513</v>
      </c>
      <c r="Q419" s="211">
        <v>4200667754</v>
      </c>
      <c r="R419" s="211"/>
      <c r="S419" s="211" t="s">
        <v>249</v>
      </c>
      <c r="T419" s="211" t="s">
        <v>1582</v>
      </c>
      <c r="U419" s="253" t="s">
        <v>1515</v>
      </c>
      <c r="V419" s="7">
        <v>1</v>
      </c>
      <c r="W419" s="8">
        <v>9</v>
      </c>
      <c r="AD419" s="8">
        <v>2</v>
      </c>
    </row>
    <row r="420" spans="1:56" hidden="1">
      <c r="A420" s="286" t="s">
        <v>244</v>
      </c>
      <c r="B420" s="286" t="s">
        <v>221</v>
      </c>
      <c r="C420" s="280" t="s">
        <v>2</v>
      </c>
      <c r="D420" s="281" t="str">
        <f>IF(F420="","",CHOOSE(MONTH(F420),"Q4","Q4","Q4","Q1","Q1","Q1","Q2","Q2","Q2","Q3","Q3","Q3"))</f>
        <v>Q1</v>
      </c>
      <c r="E420" s="282" t="str">
        <f>IF(F420="","",CHOOSE(MONTH(F420),"10-JAN","11-FEB","12-MAR","01-APR","02-MAY","03-JUN","04-JUL","05-AUG","06-SEP","07-OCT","08-NOV","09-DEC"))</f>
        <v>02-MAY</v>
      </c>
      <c r="F420" s="242">
        <v>45443</v>
      </c>
      <c r="G420" s="236" t="s">
        <v>1583</v>
      </c>
      <c r="H420" s="5" t="s">
        <v>27</v>
      </c>
      <c r="I420" s="29" t="s">
        <v>223</v>
      </c>
      <c r="J420" s="8" t="s">
        <v>128</v>
      </c>
      <c r="K420" s="281" t="s">
        <v>34</v>
      </c>
      <c r="L420" s="78" t="s">
        <v>1584</v>
      </c>
      <c r="M420" s="151">
        <f>IF(SUM(V420:BC420)=0,"-",SUM(V420:BC420))</f>
        <v>8</v>
      </c>
      <c r="N420" s="65">
        <f>IF(SUMPRODUCT($V$3:$BC$3,V420:BC420)=0,"-",SUMPRODUCT($V$3:$BC$3,V420:BC420))</f>
        <v>920</v>
      </c>
      <c r="O420" s="114" t="s">
        <v>1585</v>
      </c>
      <c r="P420" s="280" t="s">
        <v>481</v>
      </c>
      <c r="Q420" s="211">
        <v>4200669103</v>
      </c>
      <c r="R420" s="211"/>
      <c r="S420" s="211" t="s">
        <v>249</v>
      </c>
      <c r="T420" s="211" t="s">
        <v>1586</v>
      </c>
      <c r="U420" s="253" t="s">
        <v>1237</v>
      </c>
      <c r="AS420" s="7">
        <v>4</v>
      </c>
      <c r="AT420" s="8">
        <v>4</v>
      </c>
    </row>
    <row r="421" spans="1:56" hidden="1">
      <c r="A421" s="286" t="s">
        <v>244</v>
      </c>
      <c r="B421" s="286" t="s">
        <v>221</v>
      </c>
      <c r="C421" s="280" t="s">
        <v>2</v>
      </c>
      <c r="D421" s="281" t="str">
        <f>IF(F421="","",CHOOSE(MONTH(F421),"Q4","Q4","Q4","Q1","Q1","Q1","Q2","Q2","Q2","Q3","Q3","Q3"))</f>
        <v>Q1</v>
      </c>
      <c r="E421" s="282" t="str">
        <f>IF(F421="","",CHOOSE(MONTH(F421),"10-JAN","11-FEB","12-MAR","01-APR","02-MAY","03-JUN","04-JUL","05-AUG","06-SEP","07-OCT","08-NOV","09-DEC"))</f>
        <v>03-JUN</v>
      </c>
      <c r="F421" s="242">
        <v>45444</v>
      </c>
      <c r="G421" s="231" t="s">
        <v>112</v>
      </c>
      <c r="H421" s="5" t="s">
        <v>26</v>
      </c>
      <c r="I421" s="29" t="s">
        <v>223</v>
      </c>
      <c r="J421" s="8" t="s">
        <v>95</v>
      </c>
      <c r="K421" s="281" t="s">
        <v>30</v>
      </c>
      <c r="L421" s="78" t="s">
        <v>1587</v>
      </c>
      <c r="M421" s="151">
        <f>IF(SUM(V421:BC421)=0,"-",SUM(V421:BC421))</f>
        <v>2</v>
      </c>
      <c r="N421" s="65">
        <f>IF(SUMPRODUCT($V$3:$BC$3,V421:BC421)=0,"-",SUMPRODUCT($V$3:$BC$3,V421:BC421))</f>
        <v>155</v>
      </c>
      <c r="Q421" s="211">
        <v>4200667862</v>
      </c>
      <c r="R421" s="211" t="s">
        <v>266</v>
      </c>
      <c r="S421" s="211" t="s">
        <v>249</v>
      </c>
      <c r="T421" s="211" t="s">
        <v>1556</v>
      </c>
      <c r="U421" s="253" t="s">
        <v>1557</v>
      </c>
      <c r="V421" s="7">
        <v>1</v>
      </c>
      <c r="W421" s="8">
        <v>1</v>
      </c>
    </row>
    <row r="422" spans="1:56" hidden="1">
      <c r="A422" s="286" t="s">
        <v>244</v>
      </c>
      <c r="B422" s="286" t="s">
        <v>221</v>
      </c>
      <c r="C422" s="280" t="s">
        <v>2</v>
      </c>
      <c r="D422" s="281" t="str">
        <f>IF(F422="","",CHOOSE(MONTH(F422),"Q4","Q4","Q4","Q1","Q1","Q1","Q2","Q2","Q2","Q3","Q3","Q3"))</f>
        <v>Q1</v>
      </c>
      <c r="E422" s="282" t="str">
        <f>IF(F422="","",CHOOSE(MONTH(F422),"10-JAN","11-FEB","12-MAR","01-APR","02-MAY","03-JUN","04-JUL","05-AUG","06-SEP","07-OCT","08-NOV","09-DEC"))</f>
        <v>03-JUN</v>
      </c>
      <c r="F422" s="242">
        <v>45450</v>
      </c>
      <c r="G422" s="236" t="s">
        <v>80</v>
      </c>
      <c r="H422" s="5" t="s">
        <v>27</v>
      </c>
      <c r="I422" s="29" t="s">
        <v>223</v>
      </c>
      <c r="J422" s="8" t="s">
        <v>69</v>
      </c>
      <c r="K422" s="281" t="s">
        <v>34</v>
      </c>
      <c r="L422" s="78" t="s">
        <v>1588</v>
      </c>
      <c r="M422" s="151">
        <f>IF(SUM(V422:BC422)=0,"-",SUM(V422:BC422))</f>
        <v>1</v>
      </c>
      <c r="N422" s="65">
        <f>IF(SUMPRODUCT($V$3:$BC$3,V422:BC422)=0,"-",SUMPRODUCT($V$3:$BC$3,V422:BC422))</f>
        <v>120</v>
      </c>
      <c r="Q422" s="211">
        <v>4200667507</v>
      </c>
      <c r="R422" s="211"/>
      <c r="S422" s="211" t="s">
        <v>249</v>
      </c>
      <c r="T422" s="211" t="s">
        <v>1589</v>
      </c>
      <c r="U422" s="253" t="s">
        <v>1573</v>
      </c>
      <c r="V422" s="7">
        <v>1</v>
      </c>
    </row>
    <row r="423" spans="1:56" hidden="1">
      <c r="A423" s="286" t="s">
        <v>244</v>
      </c>
      <c r="B423" s="286" t="s">
        <v>221</v>
      </c>
      <c r="C423" s="280" t="s">
        <v>2</v>
      </c>
      <c r="D423" s="281" t="str">
        <f>IF(F423="","",CHOOSE(MONTH(F423),"Q4","Q4","Q4","Q1","Q1","Q1","Q2","Q2","Q2","Q3","Q3","Q3"))</f>
        <v>Q1</v>
      </c>
      <c r="E423" s="282" t="str">
        <f>IF(F423="","",CHOOSE(MONTH(F423),"10-JAN","11-FEB","12-MAR","01-APR","02-MAY","03-JUN","04-JUL","05-AUG","06-SEP","07-OCT","08-NOV","09-DEC"))</f>
        <v>03-JUN</v>
      </c>
      <c r="F423" s="242">
        <v>45450</v>
      </c>
      <c r="G423" s="231" t="s">
        <v>140</v>
      </c>
      <c r="H423" s="5" t="s">
        <v>26</v>
      </c>
      <c r="I423" s="29" t="s">
        <v>223</v>
      </c>
      <c r="J423" s="8" t="s">
        <v>130</v>
      </c>
      <c r="K423" s="281" t="s">
        <v>30</v>
      </c>
      <c r="L423" s="78" t="s">
        <v>1590</v>
      </c>
      <c r="M423" s="151">
        <f>IF(SUM(V423:BC423)=0,"-",SUM(V423:BC423))</f>
        <v>2</v>
      </c>
      <c r="N423" s="65">
        <f>IF(SUMPRODUCT($V$3:$BC$3,V423:BC423)=0,"-",SUMPRODUCT($V$3:$BC$3,V423:BC423))</f>
        <v>155</v>
      </c>
      <c r="Q423" s="211">
        <v>4200667871</v>
      </c>
      <c r="R423" s="211" t="s">
        <v>266</v>
      </c>
      <c r="S423" s="211" t="s">
        <v>249</v>
      </c>
      <c r="T423" s="211" t="s">
        <v>1576</v>
      </c>
      <c r="U423" s="253" t="s">
        <v>1557</v>
      </c>
      <c r="V423" s="7">
        <v>1</v>
      </c>
      <c r="W423" s="8">
        <v>1</v>
      </c>
    </row>
    <row r="424" spans="1:56" hidden="1">
      <c r="A424" s="286" t="s">
        <v>244</v>
      </c>
      <c r="B424" s="286" t="s">
        <v>221</v>
      </c>
      <c r="C424" s="280" t="s">
        <v>2</v>
      </c>
      <c r="D424" s="281" t="str">
        <f>IF(F424="","",CHOOSE(MONTH(F424),"Q4","Q4","Q4","Q1","Q1","Q1","Q2","Q2","Q2","Q3","Q3","Q3"))</f>
        <v>Q1</v>
      </c>
      <c r="E424" s="282" t="str">
        <f>IF(F424="","",CHOOSE(MONTH(F424),"10-JAN","11-FEB","12-MAR","01-APR","02-MAY","03-JUN","04-JUL","05-AUG","06-SEP","07-OCT","08-NOV","09-DEC"))</f>
        <v>03-JUN</v>
      </c>
      <c r="F424" s="242">
        <v>45453</v>
      </c>
      <c r="G424" s="483" t="s">
        <v>141</v>
      </c>
      <c r="H424" s="5" t="s">
        <v>26</v>
      </c>
      <c r="I424" s="29" t="s">
        <v>223</v>
      </c>
      <c r="J424" s="8" t="s">
        <v>130</v>
      </c>
      <c r="K424" s="281" t="s">
        <v>30</v>
      </c>
      <c r="L424" s="5" t="s">
        <v>1591</v>
      </c>
      <c r="M424" s="151">
        <f>IF(SUM(V424:BC424)=0,"-",SUM(V424:BC424))</f>
        <v>1</v>
      </c>
      <c r="N424" s="65">
        <f>IF(SUMPRODUCT($V$3:$BC$3,V424:BC424)=0,"-",SUMPRODUCT($V$3:$BC$3,V424:BC424))</f>
        <v>120</v>
      </c>
      <c r="Q424" s="211">
        <v>4200667871</v>
      </c>
      <c r="R424" s="211" t="s">
        <v>266</v>
      </c>
      <c r="S424" s="211" t="s">
        <v>249</v>
      </c>
      <c r="T424" s="211" t="s">
        <v>1576</v>
      </c>
      <c r="U424" s="253" t="s">
        <v>1557</v>
      </c>
      <c r="V424" s="7">
        <v>1</v>
      </c>
    </row>
    <row r="425" spans="1:56" hidden="1">
      <c r="A425" s="286" t="s">
        <v>244</v>
      </c>
      <c r="B425" s="286" t="s">
        <v>221</v>
      </c>
      <c r="C425" s="280" t="s">
        <v>2</v>
      </c>
      <c r="D425" s="281" t="str">
        <f>IF(F425="","",CHOOSE(MONTH(F425),"Q4","Q4","Q4","Q1","Q1","Q1","Q2","Q2","Q2","Q3","Q3","Q3"))</f>
        <v>Q1</v>
      </c>
      <c r="E425" s="282" t="str">
        <f>IF(F425="","",CHOOSE(MONTH(F425),"10-JAN","11-FEB","12-MAR","01-APR","02-MAY","03-JUN","04-JUL","05-AUG","06-SEP","07-OCT","08-NOV","09-DEC"))</f>
        <v>03-JUN</v>
      </c>
      <c r="F425" s="242">
        <v>45453</v>
      </c>
      <c r="G425" s="2" t="s">
        <v>54</v>
      </c>
      <c r="H425" s="5" t="s">
        <v>53</v>
      </c>
      <c r="I425" s="29" t="s">
        <v>223</v>
      </c>
      <c r="J425" s="8" t="s">
        <v>130</v>
      </c>
      <c r="K425" s="281" t="s">
        <v>30</v>
      </c>
      <c r="L425" s="78" t="s">
        <v>1592</v>
      </c>
      <c r="M425" s="151">
        <f>IF(SUM(V425:BC425)=0,"-",SUM(V425:BC425))</f>
        <v>1</v>
      </c>
      <c r="N425" s="65">
        <f>IF(SUMPRODUCT($V$3:$BC$3,V425:BC425)=0,"-",SUMPRODUCT($V$3:$BC$3,V425:BC425))</f>
        <v>35</v>
      </c>
      <c r="O425" s="114" t="s">
        <v>1593</v>
      </c>
      <c r="P425" s="280" t="s">
        <v>481</v>
      </c>
      <c r="Q425" s="211">
        <v>4200667871</v>
      </c>
      <c r="R425" s="211" t="s">
        <v>266</v>
      </c>
      <c r="S425" s="211" t="s">
        <v>249</v>
      </c>
      <c r="T425" s="211" t="s">
        <v>1576</v>
      </c>
      <c r="U425" s="253" t="s">
        <v>1557</v>
      </c>
      <c r="W425" s="8">
        <v>1</v>
      </c>
    </row>
    <row r="426" spans="1:56" hidden="1">
      <c r="A426" s="286" t="s">
        <v>244</v>
      </c>
      <c r="B426" s="286" t="s">
        <v>221</v>
      </c>
      <c r="C426" s="280" t="s">
        <v>2</v>
      </c>
      <c r="D426" s="281" t="str">
        <f>IF(F426="","",CHOOSE(MONTH(F426),"Q4","Q4","Q4","Q1","Q1","Q1","Q2","Q2","Q2","Q3","Q3","Q3"))</f>
        <v>Q1</v>
      </c>
      <c r="E426" s="282" t="str">
        <f>IF(F426="","",CHOOSE(MONTH(F426),"10-JAN","11-FEB","12-MAR","01-APR","02-MAY","03-JUN","04-JUL","05-AUG","06-SEP","07-OCT","08-NOV","09-DEC"))</f>
        <v>03-JUN</v>
      </c>
      <c r="F426" s="242">
        <v>45454</v>
      </c>
      <c r="G426" s="236" t="s">
        <v>1594</v>
      </c>
      <c r="H426" s="5" t="s">
        <v>36</v>
      </c>
      <c r="I426" s="29" t="s">
        <v>223</v>
      </c>
      <c r="J426" s="8" t="s">
        <v>69</v>
      </c>
      <c r="K426" s="281" t="s">
        <v>34</v>
      </c>
      <c r="L426" s="78" t="s">
        <v>1595</v>
      </c>
      <c r="M426" s="151">
        <f>IF(SUM(V426:BC426)=0,"-",SUM(V426:BC426))</f>
        <v>24</v>
      </c>
      <c r="N426" s="352">
        <f>IF(SUMPRODUCT($V$3:$BC$3,V426:BC426)=0,"-",SUMPRODUCT($V$3:$BC$3,V426:BC426))</f>
        <v>935</v>
      </c>
      <c r="P426" s="358">
        <v>1001329016</v>
      </c>
      <c r="Q426" s="211">
        <v>4200667764</v>
      </c>
      <c r="R426" s="211"/>
      <c r="S426" s="211" t="s">
        <v>249</v>
      </c>
      <c r="T426" s="211" t="s">
        <v>1596</v>
      </c>
      <c r="U426" s="253" t="s">
        <v>1515</v>
      </c>
      <c r="V426" s="7">
        <v>1</v>
      </c>
      <c r="W426" s="8">
        <v>21</v>
      </c>
      <c r="AD426" s="8">
        <v>2</v>
      </c>
    </row>
    <row r="427" spans="1:56" hidden="1">
      <c r="A427" s="286" t="s">
        <v>244</v>
      </c>
      <c r="B427" s="286" t="s">
        <v>221</v>
      </c>
      <c r="C427" s="280" t="s">
        <v>2</v>
      </c>
      <c r="D427" s="281" t="str">
        <f>IF(F427="","",CHOOSE(MONTH(F427),"Q4","Q4","Q4","Q1","Q1","Q1","Q2","Q2","Q2","Q3","Q3","Q3"))</f>
        <v>Q1</v>
      </c>
      <c r="E427" s="282" t="str">
        <f>IF(F427="","",CHOOSE(MONTH(F427),"10-JAN","11-FEB","12-MAR","01-APR","02-MAY","03-JUN","04-JUL","05-AUG","06-SEP","07-OCT","08-NOV","09-DEC"))</f>
        <v>03-JUN</v>
      </c>
      <c r="F427" s="242">
        <v>45454</v>
      </c>
      <c r="G427" s="231" t="s">
        <v>55</v>
      </c>
      <c r="H427" s="5" t="s">
        <v>53</v>
      </c>
      <c r="I427" s="29" t="s">
        <v>223</v>
      </c>
      <c r="J427" s="8" t="s">
        <v>130</v>
      </c>
      <c r="K427" s="281" t="s">
        <v>30</v>
      </c>
      <c r="L427" s="78" t="s">
        <v>1597</v>
      </c>
      <c r="M427" s="151">
        <f>IF(SUM(V427:BC427)=0,"-",SUM(V427:BC427))</f>
        <v>3</v>
      </c>
      <c r="N427" s="65">
        <f>IF(SUMPRODUCT($V$3:$BC$3,V427:BC427)=0,"-",SUMPRODUCT($V$3:$BC$3,V427:BC427))</f>
        <v>105</v>
      </c>
      <c r="Q427" s="211">
        <v>4200667871</v>
      </c>
      <c r="R427" s="211" t="s">
        <v>266</v>
      </c>
      <c r="S427" s="211" t="s">
        <v>249</v>
      </c>
      <c r="T427" s="211" t="s">
        <v>1576</v>
      </c>
      <c r="U427" s="253" t="s">
        <v>1557</v>
      </c>
      <c r="W427" s="8">
        <v>3</v>
      </c>
    </row>
    <row r="428" spans="1:56" hidden="1">
      <c r="A428" s="286" t="s">
        <v>244</v>
      </c>
      <c r="B428" s="286" t="s">
        <v>221</v>
      </c>
      <c r="C428" s="280" t="s">
        <v>2</v>
      </c>
      <c r="D428" s="281" t="str">
        <f>IF(F428="","",CHOOSE(MONTH(F428),"Q4","Q4","Q4","Q1","Q1","Q1","Q2","Q2","Q2","Q3","Q3","Q3"))</f>
        <v>Q1</v>
      </c>
      <c r="E428" s="282" t="str">
        <f>IF(F428="","",CHOOSE(MONTH(F428),"10-JAN","11-FEB","12-MAR","01-APR","02-MAY","03-JUN","04-JUL","05-AUG","06-SEP","07-OCT","08-NOV","09-DEC"))</f>
        <v>03-JUN</v>
      </c>
      <c r="F428" s="242">
        <v>45454</v>
      </c>
      <c r="G428" s="231" t="s">
        <v>146</v>
      </c>
      <c r="H428" s="5" t="s">
        <v>27</v>
      </c>
      <c r="I428" s="29" t="s">
        <v>223</v>
      </c>
      <c r="J428" s="8" t="s">
        <v>130</v>
      </c>
      <c r="K428" s="281" t="s">
        <v>34</v>
      </c>
      <c r="L428" s="78" t="s">
        <v>1598</v>
      </c>
      <c r="M428" s="151">
        <f>IF(SUM(V428:BC428)=0,"-",SUM(V428:BC428))</f>
        <v>1</v>
      </c>
      <c r="N428" s="65">
        <f>IF(SUMPRODUCT($V$3:$BC$3,V428:BC428)=0,"-",SUMPRODUCT($V$3:$BC$3,V428:BC428))</f>
        <v>40</v>
      </c>
      <c r="Q428" s="211">
        <v>4200669104</v>
      </c>
      <c r="R428" s="211"/>
      <c r="S428" s="211" t="s">
        <v>249</v>
      </c>
      <c r="T428" s="211" t="s">
        <v>1599</v>
      </c>
      <c r="U428" s="253" t="s">
        <v>1237</v>
      </c>
      <c r="AD428" s="8">
        <v>1</v>
      </c>
    </row>
    <row r="429" spans="1:56" hidden="1">
      <c r="A429" s="286" t="s">
        <v>244</v>
      </c>
      <c r="B429" s="286" t="s">
        <v>221</v>
      </c>
      <c r="C429" s="280" t="s">
        <v>2</v>
      </c>
      <c r="D429" s="281" t="str">
        <f>IF(F429="","",CHOOSE(MONTH(F429),"Q4","Q4","Q4","Q1","Q1","Q1","Q2","Q2","Q2","Q3","Q3","Q3"))</f>
        <v>Q1</v>
      </c>
      <c r="E429" s="282" t="str">
        <f>IF(F429="","",CHOOSE(MONTH(F429),"10-JAN","11-FEB","12-MAR","01-APR","02-MAY","03-JUN","04-JUL","05-AUG","06-SEP","07-OCT","08-NOV","09-DEC"))</f>
        <v>03-JUN</v>
      </c>
      <c r="F429" s="242">
        <v>45455</v>
      </c>
      <c r="G429" s="236" t="s">
        <v>83</v>
      </c>
      <c r="H429" s="5" t="s">
        <v>36</v>
      </c>
      <c r="I429" s="29" t="s">
        <v>223</v>
      </c>
      <c r="J429" s="8" t="s">
        <v>69</v>
      </c>
      <c r="K429" s="281" t="s">
        <v>34</v>
      </c>
      <c r="L429" s="78" t="s">
        <v>1600</v>
      </c>
      <c r="M429" s="151">
        <f>IF(SUM(V429:BC429)=0,"-",SUM(V429:BC429))</f>
        <v>14</v>
      </c>
      <c r="N429" s="352">
        <f>IF(SUMPRODUCT($V$3:$BC$3,V429:BC429)=0,"-",SUMPRODUCT($V$3:$BC$3,V429:BC429))</f>
        <v>670</v>
      </c>
      <c r="O429" s="8" t="s">
        <v>1581</v>
      </c>
      <c r="Q429" s="211">
        <v>4200667761</v>
      </c>
      <c r="R429" s="211"/>
      <c r="S429" s="211" t="s">
        <v>249</v>
      </c>
      <c r="T429" s="211" t="s">
        <v>1601</v>
      </c>
      <c r="U429" s="253" t="s">
        <v>1515</v>
      </c>
      <c r="W429" s="8">
        <v>10</v>
      </c>
      <c r="Y429" s="8">
        <v>1</v>
      </c>
      <c r="AD429" s="8">
        <v>2</v>
      </c>
      <c r="AE429" s="8">
        <v>1</v>
      </c>
    </row>
    <row r="430" spans="1:56" hidden="1">
      <c r="A430" s="286" t="s">
        <v>244</v>
      </c>
      <c r="B430" s="286" t="s">
        <v>221</v>
      </c>
      <c r="C430" s="280" t="s">
        <v>2</v>
      </c>
      <c r="D430" s="281" t="str">
        <f>IF(F430="","",CHOOSE(MONTH(F430),"Q4","Q4","Q4","Q1","Q1","Q1","Q2","Q2","Q2","Q3","Q3","Q3"))</f>
        <v>Q1</v>
      </c>
      <c r="E430" s="282" t="str">
        <f>IF(F430="","",CHOOSE(MONTH(F430),"10-JAN","11-FEB","12-MAR","01-APR","02-MAY","03-JUN","04-JUL","05-AUG","06-SEP","07-OCT","08-NOV","09-DEC"))</f>
        <v>03-JUN</v>
      </c>
      <c r="F430" s="242">
        <v>45456</v>
      </c>
      <c r="G430" s="236" t="s">
        <v>81</v>
      </c>
      <c r="H430" s="5" t="s">
        <v>27</v>
      </c>
      <c r="I430" s="29" t="s">
        <v>223</v>
      </c>
      <c r="J430" s="8" t="s">
        <v>69</v>
      </c>
      <c r="K430" s="281" t="s">
        <v>34</v>
      </c>
      <c r="L430" s="78" t="s">
        <v>1602</v>
      </c>
      <c r="M430" s="151">
        <f>IF(SUM(V430:BC430)=0,"-",SUM(V430:BC430))</f>
        <v>3</v>
      </c>
      <c r="N430" s="65">
        <f>IF(SUMPRODUCT($V$3:$BC$3,V430:BC430)=0,"-",SUMPRODUCT($V$3:$BC$3,V430:BC430))</f>
        <v>120</v>
      </c>
      <c r="Q430" s="211">
        <v>4200667507</v>
      </c>
      <c r="R430" s="211"/>
      <c r="S430" s="211" t="s">
        <v>249</v>
      </c>
      <c r="T430" s="211" t="s">
        <v>1589</v>
      </c>
      <c r="U430" s="253" t="s">
        <v>1573</v>
      </c>
      <c r="AD430" s="8">
        <v>3</v>
      </c>
    </row>
    <row r="431" spans="1:56" hidden="1">
      <c r="A431" s="286" t="s">
        <v>244</v>
      </c>
      <c r="B431" s="286" t="s">
        <v>221</v>
      </c>
      <c r="C431" s="280" t="s">
        <v>2</v>
      </c>
      <c r="D431" s="281" t="str">
        <f>IF(F431="","",CHOOSE(MONTH(F431),"Q4","Q4","Q4","Q1","Q1","Q1","Q2","Q2","Q2","Q3","Q3","Q3"))</f>
        <v>Q1</v>
      </c>
      <c r="E431" s="282" t="str">
        <f>IF(F431="","",CHOOSE(MONTH(F431),"10-JAN","11-FEB","12-MAR","01-APR","02-MAY","03-JUN","04-JUL","05-AUG","06-SEP","07-OCT","08-NOV","09-DEC"))</f>
        <v>03-JUN</v>
      </c>
      <c r="F431" s="242">
        <v>45456</v>
      </c>
      <c r="G431" s="231" t="s">
        <v>113</v>
      </c>
      <c r="H431" s="5" t="s">
        <v>26</v>
      </c>
      <c r="I431" s="29" t="s">
        <v>223</v>
      </c>
      <c r="J431" s="8" t="s">
        <v>95</v>
      </c>
      <c r="K431" s="281" t="s">
        <v>30</v>
      </c>
      <c r="L431" s="78" t="s">
        <v>1603</v>
      </c>
      <c r="M431" s="151">
        <f>IF(SUM(V431:BC431)=0,"-",SUM(V431:BC431))</f>
        <v>1</v>
      </c>
      <c r="N431" s="65">
        <f>IF(SUMPRODUCT($V$3:$BC$3,V431:BC431)=0,"-",SUMPRODUCT($V$3:$BC$3,V431:BC431))</f>
        <v>35</v>
      </c>
      <c r="Q431" s="211">
        <v>4200667862</v>
      </c>
      <c r="R431" s="211" t="s">
        <v>266</v>
      </c>
      <c r="S431" s="211" t="s">
        <v>249</v>
      </c>
      <c r="T431" s="211" t="s">
        <v>1556</v>
      </c>
      <c r="U431" s="253" t="s">
        <v>1557</v>
      </c>
      <c r="W431" s="8">
        <v>1</v>
      </c>
    </row>
    <row r="432" spans="1:56" hidden="1">
      <c r="A432" s="286" t="s">
        <v>244</v>
      </c>
      <c r="B432" s="286" t="s">
        <v>221</v>
      </c>
      <c r="C432" s="280" t="s">
        <v>2</v>
      </c>
      <c r="D432" s="281" t="str">
        <f>IF(F432="","",CHOOSE(MONTH(F432),"Q4","Q4","Q4","Q1","Q1","Q1","Q2","Q2","Q2","Q3","Q3","Q3"))</f>
        <v>Q1</v>
      </c>
      <c r="E432" s="282" t="str">
        <f>IF(F432="","",CHOOSE(MONTH(F432),"10-JAN","11-FEB","12-MAR","01-APR","02-MAY","03-JUN","04-JUL","05-AUG","06-SEP","07-OCT","08-NOV","09-DEC"))</f>
        <v>03-JUN</v>
      </c>
      <c r="F432" s="242">
        <v>45456</v>
      </c>
      <c r="G432" s="231" t="s">
        <v>114</v>
      </c>
      <c r="H432" s="5" t="s">
        <v>26</v>
      </c>
      <c r="I432" s="29" t="s">
        <v>223</v>
      </c>
      <c r="J432" s="8" t="s">
        <v>95</v>
      </c>
      <c r="K432" s="281" t="s">
        <v>30</v>
      </c>
      <c r="L432" s="78" t="s">
        <v>1604</v>
      </c>
      <c r="M432" s="151">
        <f>IF(SUM(V432:BC432)=0,"-",SUM(V432:BC432))</f>
        <v>1</v>
      </c>
      <c r="N432" s="65">
        <f>IF(SUMPRODUCT($V$3:$BC$3,V432:BC432)=0,"-",SUMPRODUCT($V$3:$BC$3,V432:BC432))</f>
        <v>260</v>
      </c>
      <c r="Q432" s="211">
        <v>4200667862</v>
      </c>
      <c r="R432" s="211" t="s">
        <v>266</v>
      </c>
      <c r="S432" s="211" t="s">
        <v>249</v>
      </c>
      <c r="T432" s="211" t="s">
        <v>1556</v>
      </c>
      <c r="U432" s="253" t="s">
        <v>1557</v>
      </c>
      <c r="AU432" s="8">
        <v>1</v>
      </c>
    </row>
    <row r="433" spans="1:46" hidden="1">
      <c r="A433" s="286" t="s">
        <v>244</v>
      </c>
      <c r="B433" s="286" t="s">
        <v>221</v>
      </c>
      <c r="C433" s="280" t="s">
        <v>2</v>
      </c>
      <c r="D433" s="281" t="str">
        <f>IF(F433="","",CHOOSE(MONTH(F433),"Q4","Q4","Q4","Q1","Q1","Q1","Q2","Q2","Q2","Q3","Q3","Q3"))</f>
        <v>Q1</v>
      </c>
      <c r="E433" s="282" t="str">
        <f>IF(F433="","",CHOOSE(MONTH(F433),"10-JAN","11-FEB","12-MAR","01-APR","02-MAY","03-JUN","04-JUL","05-AUG","06-SEP","07-OCT","08-NOV","09-DEC"))</f>
        <v>03-JUN</v>
      </c>
      <c r="F433" s="242">
        <v>45456</v>
      </c>
      <c r="G433" s="231" t="s">
        <v>1605</v>
      </c>
      <c r="H433" s="5" t="s">
        <v>27</v>
      </c>
      <c r="I433" s="29" t="s">
        <v>223</v>
      </c>
      <c r="J433" s="8" t="s">
        <v>130</v>
      </c>
      <c r="K433" s="281" t="s">
        <v>34</v>
      </c>
      <c r="L433" s="78" t="s">
        <v>1606</v>
      </c>
      <c r="M433" s="151">
        <f>IF(SUM(V433:BC433)=0,"-",SUM(V433:BC433))</f>
        <v>1</v>
      </c>
      <c r="N433" s="65">
        <f>IF(SUMPRODUCT($V$3:$BC$3,V433:BC433)=0,"-",SUMPRODUCT($V$3:$BC$3,V433:BC433))</f>
        <v>180</v>
      </c>
      <c r="O433" s="114" t="s">
        <v>1607</v>
      </c>
      <c r="P433" s="280" t="s">
        <v>481</v>
      </c>
      <c r="Q433" s="211">
        <v>4200669104</v>
      </c>
      <c r="R433" s="211"/>
      <c r="S433" s="211" t="s">
        <v>249</v>
      </c>
      <c r="T433" s="211" t="s">
        <v>1599</v>
      </c>
      <c r="U433" s="253" t="s">
        <v>1237</v>
      </c>
      <c r="AE433" s="8">
        <v>1</v>
      </c>
    </row>
    <row r="434" spans="1:46" hidden="1">
      <c r="A434" s="286" t="s">
        <v>244</v>
      </c>
      <c r="B434" s="286" t="s">
        <v>221</v>
      </c>
      <c r="C434" s="280" t="s">
        <v>2</v>
      </c>
      <c r="D434" s="281" t="str">
        <f>IF(F434="","",CHOOSE(MONTH(F434),"Q4","Q4","Q4","Q1","Q1","Q1","Q2","Q2","Q2","Q3","Q3","Q3"))</f>
        <v>Q1</v>
      </c>
      <c r="E434" s="282" t="str">
        <f>IF(F434="","",CHOOSE(MONTH(F434),"10-JAN","11-FEB","12-MAR","01-APR","02-MAY","03-JUN","04-JUL","05-AUG","06-SEP","07-OCT","08-NOV","09-DEC"))</f>
        <v>03-JUN</v>
      </c>
      <c r="F434" s="242">
        <v>45456</v>
      </c>
      <c r="G434" s="236" t="s">
        <v>1608</v>
      </c>
      <c r="H434" s="5" t="s">
        <v>27</v>
      </c>
      <c r="I434" s="29" t="s">
        <v>223</v>
      </c>
      <c r="J434" s="8" t="s">
        <v>67</v>
      </c>
      <c r="K434" s="281" t="s">
        <v>34</v>
      </c>
      <c r="L434" s="78" t="s">
        <v>1609</v>
      </c>
      <c r="M434" s="151">
        <f>IF(SUM(V434:BC434)=0,"-",SUM(V434:BC434))</f>
        <v>11</v>
      </c>
      <c r="N434" s="65">
        <f>IF(SUMPRODUCT($V$3:$BC$3,V434:BC434)=0,"-",SUMPRODUCT($V$3:$BC$3,V434:BC434))</f>
        <v>470</v>
      </c>
      <c r="O434" s="114" t="s">
        <v>1610</v>
      </c>
      <c r="P434" s="280" t="s">
        <v>481</v>
      </c>
      <c r="Q434" s="211">
        <v>4200669152</v>
      </c>
      <c r="R434" s="211"/>
      <c r="S434" s="211" t="s">
        <v>249</v>
      </c>
      <c r="T434" s="211" t="s">
        <v>1611</v>
      </c>
      <c r="U434" s="253" t="s">
        <v>1237</v>
      </c>
      <c r="V434" s="7">
        <v>1</v>
      </c>
      <c r="W434" s="8">
        <v>10</v>
      </c>
    </row>
    <row r="435" spans="1:46" hidden="1">
      <c r="A435" s="286" t="s">
        <v>244</v>
      </c>
      <c r="B435" s="286" t="s">
        <v>221</v>
      </c>
      <c r="C435" s="280" t="s">
        <v>2</v>
      </c>
      <c r="D435" s="281" t="str">
        <f>IF(F435="","",CHOOSE(MONTH(F435),"Q4","Q4","Q4","Q1","Q1","Q1","Q2","Q2","Q2","Q3","Q3","Q3"))</f>
        <v>Q1</v>
      </c>
      <c r="E435" s="282" t="str">
        <f>IF(F435="","",CHOOSE(MONTH(F435),"10-JAN","11-FEB","12-MAR","01-APR","02-MAY","03-JUN","04-JUL","05-AUG","06-SEP","07-OCT","08-NOV","09-DEC"))</f>
        <v>03-JUN</v>
      </c>
      <c r="F435" s="242">
        <v>45457</v>
      </c>
      <c r="G435" s="236" t="s">
        <v>142</v>
      </c>
      <c r="H435" s="5" t="s">
        <v>26</v>
      </c>
      <c r="I435" s="29" t="s">
        <v>223</v>
      </c>
      <c r="J435" s="8" t="s">
        <v>130</v>
      </c>
      <c r="K435" s="281" t="s">
        <v>30</v>
      </c>
      <c r="L435" s="78" t="s">
        <v>1612</v>
      </c>
      <c r="M435" s="151">
        <f>IF(SUM(V435:BC435)=0,"-",SUM(V435:BC435))</f>
        <v>1</v>
      </c>
      <c r="N435" s="65">
        <f>IF(SUMPRODUCT($V$3:$BC$3,V435:BC435)=0,"-",SUMPRODUCT($V$3:$BC$3,V435:BC435))</f>
        <v>120</v>
      </c>
      <c r="Q435" s="211">
        <v>4200667871</v>
      </c>
      <c r="R435" s="211" t="s">
        <v>266</v>
      </c>
      <c r="S435" s="211" t="s">
        <v>249</v>
      </c>
      <c r="T435" s="211" t="s">
        <v>1576</v>
      </c>
      <c r="U435" s="253" t="s">
        <v>1557</v>
      </c>
      <c r="V435" s="7">
        <v>1</v>
      </c>
    </row>
    <row r="436" spans="1:46" hidden="1">
      <c r="A436" s="286" t="s">
        <v>244</v>
      </c>
      <c r="B436" s="286" t="s">
        <v>221</v>
      </c>
      <c r="C436" s="280" t="s">
        <v>2</v>
      </c>
      <c r="D436" s="281" t="str">
        <f>IF(F436="","",CHOOSE(MONTH(F436),"Q4","Q4","Q4","Q1","Q1","Q1","Q2","Q2","Q2","Q3","Q3","Q3"))</f>
        <v>Q1</v>
      </c>
      <c r="E436" s="282" t="str">
        <f>IF(F436="","",CHOOSE(MONTH(F436),"10-JAN","11-FEB","12-MAR","01-APR","02-MAY","03-JUN","04-JUL","05-AUG","06-SEP","07-OCT","08-NOV","09-DEC"))</f>
        <v>03-JUN</v>
      </c>
      <c r="F436" s="242">
        <v>45461</v>
      </c>
      <c r="G436" s="231" t="s">
        <v>1613</v>
      </c>
      <c r="H436" s="5" t="s">
        <v>36</v>
      </c>
      <c r="I436" s="29" t="s">
        <v>223</v>
      </c>
      <c r="J436" s="8" t="s">
        <v>69</v>
      </c>
      <c r="K436" s="281" t="s">
        <v>34</v>
      </c>
      <c r="L436" s="78" t="s">
        <v>1614</v>
      </c>
      <c r="M436" s="151">
        <f>IF(SUM(V436:BC436)=0,"-",SUM(V436:BC436))</f>
        <v>2</v>
      </c>
      <c r="N436" s="352">
        <f>IF(SUMPRODUCT($V$3:$BC$3,V436:BC436)=0,"-",SUMPRODUCT($V$3:$BC$3,V436:BC436))</f>
        <v>175</v>
      </c>
      <c r="O436" s="219"/>
      <c r="P436" s="358">
        <v>1001329016</v>
      </c>
      <c r="Q436" s="211">
        <v>4200667764</v>
      </c>
      <c r="R436" s="211"/>
      <c r="S436" s="211" t="s">
        <v>249</v>
      </c>
      <c r="T436" s="211" t="s">
        <v>1596</v>
      </c>
      <c r="U436" s="253" t="s">
        <v>1515</v>
      </c>
      <c r="AC436" s="7">
        <v>1</v>
      </c>
      <c r="AD436" s="8">
        <v>1</v>
      </c>
    </row>
    <row r="437" spans="1:46" hidden="1">
      <c r="A437" s="286" t="s">
        <v>244</v>
      </c>
      <c r="B437" s="286" t="s">
        <v>221</v>
      </c>
      <c r="C437" s="280" t="s">
        <v>2</v>
      </c>
      <c r="D437" s="281" t="str">
        <f>IF(F437="","",CHOOSE(MONTH(F437),"Q4","Q4","Q4","Q1","Q1","Q1","Q2","Q2","Q2","Q3","Q3","Q3"))</f>
        <v>Q1</v>
      </c>
      <c r="E437" s="282" t="str">
        <f>IF(F437="","",CHOOSE(MONTH(F437),"10-JAN","11-FEB","12-MAR","01-APR","02-MAY","03-JUN","04-JUL","05-AUG","06-SEP","07-OCT","08-NOV","09-DEC"))</f>
        <v>03-JUN</v>
      </c>
      <c r="F437" s="242">
        <v>45461</v>
      </c>
      <c r="G437" s="231" t="s">
        <v>1615</v>
      </c>
      <c r="H437" s="5" t="s">
        <v>36</v>
      </c>
      <c r="I437" s="29" t="s">
        <v>223</v>
      </c>
      <c r="J437" s="8" t="s">
        <v>69</v>
      </c>
      <c r="K437" s="281" t="s">
        <v>34</v>
      </c>
      <c r="L437" s="78" t="s">
        <v>1616</v>
      </c>
      <c r="M437" s="151">
        <f>IF(SUM(V437:BC437)=0,"-",SUM(V437:BC437))</f>
        <v>2</v>
      </c>
      <c r="N437" s="352">
        <f>IF(SUMPRODUCT($V$3:$BC$3,V437:BC437)=0,"-",SUMPRODUCT($V$3:$BC$3,V437:BC437))</f>
        <v>175</v>
      </c>
      <c r="O437" s="219"/>
      <c r="P437" s="358">
        <v>1001329016</v>
      </c>
      <c r="Q437" s="211">
        <v>4200667764</v>
      </c>
      <c r="R437" s="211"/>
      <c r="S437" s="211" t="s">
        <v>249</v>
      </c>
      <c r="T437" s="211" t="s">
        <v>1596</v>
      </c>
      <c r="U437" s="253" t="s">
        <v>1515</v>
      </c>
      <c r="AC437" s="7">
        <v>1</v>
      </c>
      <c r="AD437" s="8">
        <v>1</v>
      </c>
    </row>
    <row r="438" spans="1:46" hidden="1">
      <c r="A438" s="286" t="s">
        <v>244</v>
      </c>
      <c r="B438" s="286" t="s">
        <v>221</v>
      </c>
      <c r="C438" s="280" t="s">
        <v>2</v>
      </c>
      <c r="D438" s="281" t="str">
        <f>IF(F438="","",CHOOSE(MONTH(F438),"Q4","Q4","Q4","Q1","Q1","Q1","Q2","Q2","Q2","Q3","Q3","Q3"))</f>
        <v>Q1</v>
      </c>
      <c r="E438" s="282" t="str">
        <f>IF(F438="","",CHOOSE(MONTH(F438),"10-JAN","11-FEB","12-MAR","01-APR","02-MAY","03-JUN","04-JUL","05-AUG","06-SEP","07-OCT","08-NOV","09-DEC"))</f>
        <v>03-JUN</v>
      </c>
      <c r="F438" s="242">
        <v>45462</v>
      </c>
      <c r="G438" s="231" t="s">
        <v>82</v>
      </c>
      <c r="H438" s="5" t="s">
        <v>27</v>
      </c>
      <c r="I438" s="29" t="s">
        <v>223</v>
      </c>
      <c r="J438" s="8" t="s">
        <v>69</v>
      </c>
      <c r="K438" s="281" t="s">
        <v>34</v>
      </c>
      <c r="L438" s="78" t="s">
        <v>1617</v>
      </c>
      <c r="M438" s="151">
        <f>IF(SUM(V438:BC438)=0,"-",SUM(V438:BC438))</f>
        <v>10</v>
      </c>
      <c r="N438" s="65">
        <f>IF(SUMPRODUCT($V$3:$BC$3,V438:BC438)=0,"-",SUMPRODUCT($V$3:$BC$3,V438:BC438))</f>
        <v>400</v>
      </c>
      <c r="Q438" s="211">
        <v>4200667507</v>
      </c>
      <c r="R438" s="211"/>
      <c r="S438" s="211" t="s">
        <v>249</v>
      </c>
      <c r="T438" s="211" t="s">
        <v>1589</v>
      </c>
      <c r="U438" s="253" t="s">
        <v>1573</v>
      </c>
      <c r="AD438" s="8">
        <v>10</v>
      </c>
    </row>
    <row r="439" spans="1:46" hidden="1">
      <c r="A439" s="286" t="s">
        <v>244</v>
      </c>
      <c r="B439" s="286" t="s">
        <v>221</v>
      </c>
      <c r="C439" s="280" t="s">
        <v>2</v>
      </c>
      <c r="D439" s="281" t="str">
        <f>IF(F439="","",CHOOSE(MONTH(F439),"Q4","Q4","Q4","Q1","Q1","Q1","Q2","Q2","Q2","Q3","Q3","Q3"))</f>
        <v>Q1</v>
      </c>
      <c r="E439" s="282" t="str">
        <f>IF(F439="","",CHOOSE(MONTH(F439),"10-JAN","11-FEB","12-MAR","01-APR","02-MAY","03-JUN","04-JUL","05-AUG","06-SEP","07-OCT","08-NOV","09-DEC"))</f>
        <v>03-JUN</v>
      </c>
      <c r="F439" s="242">
        <v>45462</v>
      </c>
      <c r="G439" s="231" t="s">
        <v>1618</v>
      </c>
      <c r="H439" s="5" t="s">
        <v>27</v>
      </c>
      <c r="I439" s="29" t="s">
        <v>223</v>
      </c>
      <c r="J439" s="8" t="s">
        <v>130</v>
      </c>
      <c r="K439" s="281" t="s">
        <v>34</v>
      </c>
      <c r="L439" s="78" t="s">
        <v>1619</v>
      </c>
      <c r="M439" s="151">
        <f>IF(SUM(V439:BC439)=0,"-",SUM(V439:BC439))</f>
        <v>1</v>
      </c>
      <c r="N439" s="65">
        <f>IF(SUMPRODUCT($V$3:$BC$3,V439:BC439)=0,"-",SUMPRODUCT($V$3:$BC$3,V439:BC439))</f>
        <v>135</v>
      </c>
      <c r="O439" s="114" t="s">
        <v>1620</v>
      </c>
      <c r="P439" s="280" t="s">
        <v>481</v>
      </c>
      <c r="Q439" s="211">
        <v>4200669104</v>
      </c>
      <c r="R439" s="211"/>
      <c r="S439" s="211" t="s">
        <v>249</v>
      </c>
      <c r="T439" s="211" t="s">
        <v>1599</v>
      </c>
      <c r="U439" s="253" t="s">
        <v>1237</v>
      </c>
      <c r="AC439" s="7">
        <v>1</v>
      </c>
    </row>
    <row r="440" spans="1:46" hidden="1">
      <c r="A440" s="286" t="s">
        <v>244</v>
      </c>
      <c r="B440" s="286" t="s">
        <v>221</v>
      </c>
      <c r="C440" s="280" t="s">
        <v>2</v>
      </c>
      <c r="D440" s="281" t="str">
        <f>IF(F440="","",CHOOSE(MONTH(F440),"Q4","Q4","Q4","Q1","Q1","Q1","Q2","Q2","Q2","Q3","Q3","Q3"))</f>
        <v>Q1</v>
      </c>
      <c r="E440" s="282" t="str">
        <f>IF(F440="","",CHOOSE(MONTH(F440),"10-JAN","11-FEB","12-MAR","01-APR","02-MAY","03-JUN","04-JUL","05-AUG","06-SEP","07-OCT","08-NOV","09-DEC"))</f>
        <v>03-JUN</v>
      </c>
      <c r="F440" s="242">
        <v>45463</v>
      </c>
      <c r="G440" s="231" t="s">
        <v>1621</v>
      </c>
      <c r="H440" s="5" t="s">
        <v>36</v>
      </c>
      <c r="I440" s="29" t="s">
        <v>223</v>
      </c>
      <c r="J440" s="8" t="s">
        <v>69</v>
      </c>
      <c r="K440" s="281" t="s">
        <v>34</v>
      </c>
      <c r="L440" s="78" t="s">
        <v>1622</v>
      </c>
      <c r="M440" s="151">
        <f>IF(SUM(V440:BC440)=0,"-",SUM(V440:BC440))</f>
        <v>1</v>
      </c>
      <c r="N440" s="352">
        <f>IF(SUMPRODUCT($V$3:$BC$3,V440:BC440)=0,"-",SUMPRODUCT($V$3:$BC$3,V440:BC440))</f>
        <v>135</v>
      </c>
      <c r="O440" s="219"/>
      <c r="P440" s="358">
        <v>1001329016</v>
      </c>
      <c r="Q440" s="211">
        <v>4200667764</v>
      </c>
      <c r="R440" s="211"/>
      <c r="S440" s="211" t="s">
        <v>249</v>
      </c>
      <c r="T440" s="211" t="s">
        <v>1596</v>
      </c>
      <c r="U440" s="253" t="s">
        <v>1515</v>
      </c>
      <c r="AC440" s="7">
        <v>1</v>
      </c>
    </row>
    <row r="441" spans="1:46" hidden="1" outlineLevel="1">
      <c r="A441" s="286" t="s">
        <v>244</v>
      </c>
      <c r="B441" s="286" t="s">
        <v>221</v>
      </c>
      <c r="C441" s="280" t="s">
        <v>2</v>
      </c>
      <c r="D441" s="281" t="str">
        <f>IF(F441="","",CHOOSE(MONTH(F441),"Q4","Q4","Q4","Q1","Q1","Q1","Q2","Q2","Q2","Q3","Q3","Q3"))</f>
        <v>Q1</v>
      </c>
      <c r="E441" s="282" t="str">
        <f>IF(F441="","",CHOOSE(MONTH(F441),"10-JAN","11-FEB","12-MAR","01-APR","02-MAY","03-JUN","04-JUL","05-AUG","06-SEP","07-OCT","08-NOV","09-DEC"))</f>
        <v>03-JUN</v>
      </c>
      <c r="F441" s="242">
        <v>45463</v>
      </c>
      <c r="G441" s="231" t="s">
        <v>143</v>
      </c>
      <c r="H441" s="5" t="s">
        <v>26</v>
      </c>
      <c r="I441" s="29" t="s">
        <v>223</v>
      </c>
      <c r="J441" s="8" t="s">
        <v>130</v>
      </c>
      <c r="K441" s="281" t="s">
        <v>30</v>
      </c>
      <c r="L441" s="78" t="s">
        <v>328</v>
      </c>
      <c r="M441" s="151">
        <f>IF(SUM(V441:BC441)=0,"-",SUM(V441:BC441))</f>
        <v>1</v>
      </c>
      <c r="N441" s="241">
        <f>IF(SUMPRODUCT($V$3:$BC$3,V441:BC441)=0,"-",SUMPRODUCT($V$3:$BC$3,V441:BC441))</f>
        <v>80</v>
      </c>
      <c r="P441" s="279" t="str">
        <f>IF(G441="","",IFERROR(IF(S441="Sent","",IF(I441="Delivered","PO en attente","Projet en cours")),""))</f>
        <v/>
      </c>
      <c r="Q441" s="211">
        <v>4200667871</v>
      </c>
      <c r="R441" s="211" t="s">
        <v>266</v>
      </c>
      <c r="S441" s="211" t="s">
        <v>249</v>
      </c>
      <c r="T441" s="211" t="s">
        <v>1623</v>
      </c>
      <c r="U441" s="253" t="s">
        <v>1237</v>
      </c>
      <c r="AS441" s="7">
        <v>1</v>
      </c>
    </row>
    <row r="442" spans="1:46" hidden="1" collapsed="1">
      <c r="A442" s="286" t="s">
        <v>244</v>
      </c>
      <c r="B442" s="286" t="s">
        <v>221</v>
      </c>
      <c r="C442" s="280" t="s">
        <v>2</v>
      </c>
      <c r="D442" s="281" t="str">
        <f>IF(F442="","",CHOOSE(MONTH(F442),"Q4","Q4","Q4","Q1","Q1","Q1","Q2","Q2","Q2","Q3","Q3","Q3"))</f>
        <v>Q1</v>
      </c>
      <c r="E442" s="282" t="str">
        <f>IF(F442="","",CHOOSE(MONTH(F442),"10-JAN","11-FEB","12-MAR","01-APR","02-MAY","03-JUN","04-JUL","05-AUG","06-SEP","07-OCT","08-NOV","09-DEC"))</f>
        <v>03-JUN</v>
      </c>
      <c r="F442" s="242">
        <v>45463</v>
      </c>
      <c r="G442" s="231" t="s">
        <v>144</v>
      </c>
      <c r="H442" s="5" t="s">
        <v>26</v>
      </c>
      <c r="I442" s="29" t="s">
        <v>223</v>
      </c>
      <c r="J442" s="8" t="s">
        <v>130</v>
      </c>
      <c r="K442" s="281" t="s">
        <v>30</v>
      </c>
      <c r="L442" s="78" t="s">
        <v>1624</v>
      </c>
      <c r="M442" s="151">
        <f>IF(SUM(V442:BC442)=0,"-",SUM(V442:BC442))</f>
        <v>1</v>
      </c>
      <c r="N442" s="241">
        <f>IF(SUMPRODUCT($V$3:$BC$3,V442:BC442)=0,"-",SUMPRODUCT($V$3:$BC$3,V442:BC442))</f>
        <v>135</v>
      </c>
      <c r="P442" s="362"/>
      <c r="Q442" s="211">
        <v>4200667871</v>
      </c>
      <c r="R442" s="211" t="s">
        <v>266</v>
      </c>
      <c r="S442" s="211" t="s">
        <v>249</v>
      </c>
      <c r="T442" s="211" t="s">
        <v>1623</v>
      </c>
      <c r="U442" s="253" t="s">
        <v>1237</v>
      </c>
      <c r="AC442" s="7">
        <v>1</v>
      </c>
    </row>
    <row r="443" spans="1:46" hidden="1" outlineLevel="1">
      <c r="A443" s="286" t="s">
        <v>244</v>
      </c>
      <c r="B443" s="286" t="s">
        <v>221</v>
      </c>
      <c r="C443" s="280" t="s">
        <v>2</v>
      </c>
      <c r="D443" s="281" t="str">
        <f>IF(F443="","",CHOOSE(MONTH(F443),"Q4","Q4","Q4","Q1","Q1","Q1","Q2","Q2","Q2","Q3","Q3","Q3"))</f>
        <v>Q1</v>
      </c>
      <c r="E443" s="282" t="str">
        <f>IF(F443="","",CHOOSE(MONTH(F443),"10-JAN","11-FEB","12-MAR","01-APR","02-MAY","03-JUN","04-JUL","05-AUG","06-SEP","07-OCT","08-NOV","09-DEC"))</f>
        <v>03-JUN</v>
      </c>
      <c r="F443" s="242">
        <v>45463</v>
      </c>
      <c r="G443" s="232" t="s">
        <v>1625</v>
      </c>
      <c r="H443" s="5" t="s">
        <v>27</v>
      </c>
      <c r="I443" s="29" t="s">
        <v>223</v>
      </c>
      <c r="J443" s="8" t="s">
        <v>130</v>
      </c>
      <c r="K443" s="281" t="s">
        <v>34</v>
      </c>
      <c r="L443" s="78" t="s">
        <v>1626</v>
      </c>
      <c r="M443" s="151">
        <f>IF(SUM(V443:BC443)=0,"-",SUM(V443:BC443))</f>
        <v>1</v>
      </c>
      <c r="N443" s="65">
        <f>IF(SUMPRODUCT($V$3:$BC$3,V443:BC443)=0,"-",SUMPRODUCT($V$3:$BC$3,V443:BC443))</f>
        <v>135</v>
      </c>
      <c r="O443" s="114" t="s">
        <v>1627</v>
      </c>
      <c r="P443" s="280" t="s">
        <v>481</v>
      </c>
      <c r="Q443" s="211">
        <v>4200669104</v>
      </c>
      <c r="R443" s="211"/>
      <c r="S443" s="211" t="s">
        <v>249</v>
      </c>
      <c r="T443" s="211" t="s">
        <v>1599</v>
      </c>
      <c r="U443" s="253" t="s">
        <v>1237</v>
      </c>
      <c r="AC443" s="7">
        <v>1</v>
      </c>
    </row>
    <row r="444" spans="1:46" hidden="1" collapsed="1">
      <c r="A444" s="286" t="s">
        <v>244</v>
      </c>
      <c r="B444" s="286" t="s">
        <v>221</v>
      </c>
      <c r="C444" s="280" t="s">
        <v>2</v>
      </c>
      <c r="D444" s="281" t="str">
        <f>IF(F444="","",CHOOSE(MONTH(F444),"Q4","Q4","Q4","Q1","Q1","Q1","Q2","Q2","Q2","Q3","Q3","Q3"))</f>
        <v>Q1</v>
      </c>
      <c r="E444" s="282" t="str">
        <f>IF(F444="","",CHOOSE(MONTH(F444),"10-JAN","11-FEB","12-MAR","01-APR","02-MAY","03-JUN","04-JUL","05-AUG","06-SEP","07-OCT","08-NOV","09-DEC"))</f>
        <v>03-JUN</v>
      </c>
      <c r="F444" s="242">
        <v>45463</v>
      </c>
      <c r="G444" s="231" t="s">
        <v>1628</v>
      </c>
      <c r="H444" s="5" t="s">
        <v>27</v>
      </c>
      <c r="I444" s="29" t="s">
        <v>223</v>
      </c>
      <c r="J444" s="8" t="s">
        <v>130</v>
      </c>
      <c r="K444" s="281" t="s">
        <v>34</v>
      </c>
      <c r="L444" s="78" t="s">
        <v>1629</v>
      </c>
      <c r="M444" s="151">
        <f>IF(SUM(V444:BC444)=0,"-",SUM(V444:BC444))</f>
        <v>1</v>
      </c>
      <c r="N444" s="65">
        <f>IF(SUMPRODUCT($V$3:$BC$3,V444:BC444)=0,"-",SUMPRODUCT($V$3:$BC$3,V444:BC444))</f>
        <v>120</v>
      </c>
      <c r="O444" s="114" t="s">
        <v>1630</v>
      </c>
      <c r="P444" s="280" t="s">
        <v>481</v>
      </c>
      <c r="Q444" s="211">
        <v>4200669104</v>
      </c>
      <c r="R444" s="211"/>
      <c r="S444" s="211" t="s">
        <v>249</v>
      </c>
      <c r="T444" s="211" t="s">
        <v>1599</v>
      </c>
      <c r="U444" s="253" t="s">
        <v>1237</v>
      </c>
      <c r="V444" s="7">
        <v>1</v>
      </c>
    </row>
    <row r="445" spans="1:46" hidden="1">
      <c r="A445" s="286" t="s">
        <v>244</v>
      </c>
      <c r="B445" s="286" t="s">
        <v>221</v>
      </c>
      <c r="C445" s="280" t="s">
        <v>2</v>
      </c>
      <c r="D445" s="281" t="str">
        <f>IF(F445="","",CHOOSE(MONTH(F445),"Q4","Q4","Q4","Q1","Q1","Q1","Q2","Q2","Q2","Q3","Q3","Q3"))</f>
        <v>Q1</v>
      </c>
      <c r="E445" s="282" t="str">
        <f>IF(F445="","",CHOOSE(MONTH(F445),"10-JAN","11-FEB","12-MAR","01-APR","02-MAY","03-JUN","04-JUL","05-AUG","06-SEP","07-OCT","08-NOV","09-DEC"))</f>
        <v>03-JUN</v>
      </c>
      <c r="F445" s="242">
        <v>45463</v>
      </c>
      <c r="G445" s="231" t="s">
        <v>145</v>
      </c>
      <c r="H445" s="5" t="s">
        <v>26</v>
      </c>
      <c r="I445" s="29" t="s">
        <v>223</v>
      </c>
      <c r="J445" s="8" t="s">
        <v>130</v>
      </c>
      <c r="K445" s="281" t="s">
        <v>30</v>
      </c>
      <c r="L445" s="78" t="s">
        <v>328</v>
      </c>
      <c r="M445" s="151">
        <f>IF(SUM(V445:BC445)=0,"-",SUM(V445:BC445))</f>
        <v>1</v>
      </c>
      <c r="N445" s="65">
        <f>IF(SUMPRODUCT($V$3:$BC$3,V445:BC445)=0,"-",SUMPRODUCT($V$3:$BC$3,V445:BC445))</f>
        <v>150</v>
      </c>
      <c r="Q445" s="369">
        <v>4200667871</v>
      </c>
      <c r="R445" s="211" t="s">
        <v>269</v>
      </c>
      <c r="S445" s="211" t="s">
        <v>650</v>
      </c>
      <c r="T445" s="211" t="s">
        <v>1631</v>
      </c>
      <c r="U445" s="253" t="s">
        <v>1632</v>
      </c>
      <c r="AT445" s="8">
        <v>1</v>
      </c>
    </row>
    <row r="446" spans="1:46" hidden="1">
      <c r="A446" s="286" t="s">
        <v>244</v>
      </c>
      <c r="B446" s="286" t="s">
        <v>221</v>
      </c>
      <c r="C446" s="280" t="s">
        <v>2</v>
      </c>
      <c r="D446" s="281" t="str">
        <f>IF(F446="","",CHOOSE(MONTH(F446),"Q4","Q4","Q4","Q1","Q1","Q1","Q2","Q2","Q2","Q3","Q3","Q3"))</f>
        <v>Q1</v>
      </c>
      <c r="E446" s="282" t="str">
        <f>IF(F446="","",CHOOSE(MONTH(F446),"10-JAN","11-FEB","12-MAR","01-APR","02-MAY","03-JUN","04-JUL","05-AUG","06-SEP","07-OCT","08-NOV","09-DEC"))</f>
        <v>03-JUN</v>
      </c>
      <c r="F446" s="242">
        <v>45471</v>
      </c>
      <c r="G446" s="231" t="s">
        <v>1633</v>
      </c>
      <c r="H446" s="5" t="s">
        <v>36</v>
      </c>
      <c r="I446" s="29" t="s">
        <v>223</v>
      </c>
      <c r="J446" s="8" t="s">
        <v>69</v>
      </c>
      <c r="K446" s="281" t="s">
        <v>34</v>
      </c>
      <c r="L446" s="78" t="s">
        <v>1634</v>
      </c>
      <c r="M446" s="151">
        <f>IF(SUM(V446:BC446)=0,"-",SUM(V446:BC446))</f>
        <v>1</v>
      </c>
      <c r="N446" s="241">
        <f>IF(SUMPRODUCT($V$3:$BC$3,V446:BC446)=0,"-",SUMPRODUCT($V$3:$BC$3,V446:BC446))</f>
        <v>180</v>
      </c>
      <c r="O446" s="114" t="s">
        <v>1635</v>
      </c>
      <c r="P446" s="280" t="s">
        <v>481</v>
      </c>
      <c r="Q446" s="371">
        <v>4200668827</v>
      </c>
      <c r="R446" s="211"/>
      <c r="S446" s="211" t="s">
        <v>249</v>
      </c>
      <c r="T446" s="211" t="s">
        <v>1636</v>
      </c>
      <c r="U446" s="253" t="s">
        <v>1557</v>
      </c>
      <c r="AI446" s="8">
        <v>1</v>
      </c>
    </row>
    <row r="447" spans="1:46" hidden="1">
      <c r="A447" s="286" t="s">
        <v>244</v>
      </c>
      <c r="B447" s="286" t="s">
        <v>221</v>
      </c>
      <c r="C447" s="280" t="s">
        <v>2</v>
      </c>
      <c r="D447" s="281" t="str">
        <f>IF(F447="","",CHOOSE(MONTH(F447),"Q4","Q4","Q4","Q1","Q1","Q1","Q2","Q2","Q2","Q3","Q3","Q3"))</f>
        <v>Q2</v>
      </c>
      <c r="E447" s="282" t="str">
        <f>IF(F447="","",CHOOSE(MONTH(F447),"10-JAN","11-FEB","12-MAR","01-APR","02-MAY","03-JUN","04-JUL","05-AUG","06-SEP","07-OCT","08-NOV","09-DEC"))</f>
        <v>04-JUL</v>
      </c>
      <c r="F447" s="242">
        <v>45474</v>
      </c>
      <c r="G447" s="231" t="s">
        <v>1637</v>
      </c>
      <c r="H447" s="5" t="s">
        <v>36</v>
      </c>
      <c r="I447" s="29" t="s">
        <v>223</v>
      </c>
      <c r="J447" s="8" t="s">
        <v>69</v>
      </c>
      <c r="K447" s="281" t="s">
        <v>34</v>
      </c>
      <c r="L447" s="78" t="s">
        <v>1638</v>
      </c>
      <c r="M447" s="151">
        <f>IF(SUM(V447:BC447)=0,"-",SUM(V447:BC447))</f>
        <v>2</v>
      </c>
      <c r="N447" s="65">
        <f>IF(SUMPRODUCT($V$3:$BC$3,V447:BC447)=0,"-",SUMPRODUCT($V$3:$BC$3,V447:BC447))</f>
        <v>70</v>
      </c>
      <c r="O447" s="114" t="s">
        <v>1639</v>
      </c>
      <c r="P447" s="280" t="s">
        <v>481</v>
      </c>
      <c r="Q447" s="484">
        <v>4200668827</v>
      </c>
      <c r="R447" s="211"/>
      <c r="S447" s="211" t="s">
        <v>249</v>
      </c>
      <c r="T447" s="211" t="s">
        <v>1636</v>
      </c>
      <c r="U447" s="253" t="s">
        <v>1557</v>
      </c>
      <c r="W447" s="8">
        <v>2</v>
      </c>
    </row>
    <row r="448" spans="1:46" hidden="1" outlineLevel="1">
      <c r="A448" s="286" t="s">
        <v>244</v>
      </c>
      <c r="B448" s="286" t="s">
        <v>221</v>
      </c>
      <c r="C448" s="280" t="s">
        <v>2</v>
      </c>
      <c r="D448" s="281" t="str">
        <f>IF(F448="","",CHOOSE(MONTH(F448),"Q4","Q4","Q4","Q1","Q1","Q1","Q2","Q2","Q2","Q3","Q3","Q3"))</f>
        <v>Q2</v>
      </c>
      <c r="E448" s="282" t="str">
        <f>IF(F448="","",CHOOSE(MONTH(F448),"10-JAN","11-FEB","12-MAR","01-APR","02-MAY","03-JUN","04-JUL","05-AUG","06-SEP","07-OCT","08-NOV","09-DEC"))</f>
        <v>04-JUL</v>
      </c>
      <c r="F448" s="242">
        <v>45474</v>
      </c>
      <c r="G448" s="231" t="s">
        <v>1640</v>
      </c>
      <c r="H448" s="5" t="s">
        <v>36</v>
      </c>
      <c r="I448" s="29" t="s">
        <v>223</v>
      </c>
      <c r="J448" s="8" t="s">
        <v>69</v>
      </c>
      <c r="K448" s="281" t="s">
        <v>34</v>
      </c>
      <c r="L448" s="78" t="s">
        <v>1641</v>
      </c>
      <c r="M448" s="151">
        <f>IF(SUM(V448:BC448)=0,"-",SUM(V448:BC448))</f>
        <v>11</v>
      </c>
      <c r="N448" s="65">
        <f>IF(SUMPRODUCT($V$3:$BC$3,V448:BC448)=0,"-",SUMPRODUCT($V$3:$BC$3,V448:BC448))</f>
        <v>470</v>
      </c>
      <c r="O448" s="114" t="s">
        <v>1642</v>
      </c>
      <c r="P448" s="280" t="s">
        <v>481</v>
      </c>
      <c r="Q448" s="350">
        <v>4200668816</v>
      </c>
      <c r="R448" s="363">
        <v>45536</v>
      </c>
      <c r="S448" s="211" t="s">
        <v>249</v>
      </c>
      <c r="T448" s="211" t="s">
        <v>1643</v>
      </c>
      <c r="U448" s="253" t="s">
        <v>1557</v>
      </c>
      <c r="V448" s="7">
        <v>1</v>
      </c>
      <c r="W448" s="8">
        <v>10</v>
      </c>
    </row>
    <row r="449" spans="1:31" hidden="1" collapsed="1">
      <c r="A449" s="286" t="s">
        <v>244</v>
      </c>
      <c r="B449" s="286" t="s">
        <v>221</v>
      </c>
      <c r="C449" s="280" t="s">
        <v>2</v>
      </c>
      <c r="D449" s="281" t="str">
        <f>IF(F449="","",CHOOSE(MONTH(F449),"Q4","Q4","Q4","Q1","Q1","Q1","Q2","Q2","Q2","Q3","Q3","Q3"))</f>
        <v>Q2</v>
      </c>
      <c r="E449" s="282" t="str">
        <f>IF(F449="","",CHOOSE(MONTH(F449),"10-JAN","11-FEB","12-MAR","01-APR","02-MAY","03-JUN","04-JUL","05-AUG","06-SEP","07-OCT","08-NOV","09-DEC"))</f>
        <v>04-JUL</v>
      </c>
      <c r="F449" s="242">
        <v>45474</v>
      </c>
      <c r="G449" s="231" t="s">
        <v>1644</v>
      </c>
      <c r="H449" s="5" t="s">
        <v>36</v>
      </c>
      <c r="I449" s="29" t="s">
        <v>223</v>
      </c>
      <c r="J449" s="8" t="s">
        <v>69</v>
      </c>
      <c r="K449" s="281" t="s">
        <v>34</v>
      </c>
      <c r="L449" s="78" t="s">
        <v>1645</v>
      </c>
      <c r="M449" s="151">
        <f>IF(SUM(V449:BC449)=0,"-",SUM(V449:BC449))</f>
        <v>20</v>
      </c>
      <c r="N449" s="65">
        <f>IF(SUMPRODUCT($V$3:$BC$3,V449:BC449)=0,"-",SUMPRODUCT($V$3:$BC$3,V449:BC449))</f>
        <v>865</v>
      </c>
      <c r="O449" s="114" t="s">
        <v>1646</v>
      </c>
      <c r="P449" s="280" t="s">
        <v>481</v>
      </c>
      <c r="Q449" s="370">
        <v>4200668817</v>
      </c>
      <c r="R449" s="364">
        <v>45536</v>
      </c>
      <c r="S449" s="260" t="s">
        <v>249</v>
      </c>
      <c r="T449" s="260" t="s">
        <v>1647</v>
      </c>
      <c r="U449" s="253" t="s">
        <v>1557</v>
      </c>
      <c r="W449" s="8">
        <v>15</v>
      </c>
      <c r="AD449" s="8">
        <v>4</v>
      </c>
      <c r="AE449" s="8">
        <v>1</v>
      </c>
    </row>
    <row r="450" spans="1:31" hidden="1">
      <c r="A450" s="286" t="s">
        <v>244</v>
      </c>
      <c r="B450" s="286" t="s">
        <v>221</v>
      </c>
      <c r="C450" s="280" t="s">
        <v>2</v>
      </c>
      <c r="D450" s="281" t="str">
        <f>IF(F450="","",CHOOSE(MONTH(F450),"Q4","Q4","Q4","Q1","Q1","Q1","Q2","Q2","Q2","Q3","Q3","Q3"))</f>
        <v>Q2</v>
      </c>
      <c r="E450" s="282" t="str">
        <f>IF(F450="","",CHOOSE(MONTH(F450),"10-JAN","11-FEB","12-MAR","01-APR","02-MAY","03-JUN","04-JUL","05-AUG","06-SEP","07-OCT","08-NOV","09-DEC"))</f>
        <v>04-JUL</v>
      </c>
      <c r="F450" s="242">
        <v>45474</v>
      </c>
      <c r="G450" s="236" t="s">
        <v>1648</v>
      </c>
      <c r="H450" s="5" t="s">
        <v>36</v>
      </c>
      <c r="I450" s="29" t="s">
        <v>223</v>
      </c>
      <c r="J450" s="8" t="s">
        <v>69</v>
      </c>
      <c r="K450" s="281" t="s">
        <v>34</v>
      </c>
      <c r="L450" s="78" t="s">
        <v>1649</v>
      </c>
      <c r="M450" s="151">
        <f>IF(SUM(V450:BC450)=0,"-",SUM(V450:BC450))</f>
        <v>12</v>
      </c>
      <c r="N450" s="65">
        <f>IF(SUMPRODUCT($V$3:$BC$3,V450:BC450)=0,"-",SUMPRODUCT($V$3:$BC$3,V450:BC450))</f>
        <v>430</v>
      </c>
      <c r="O450" s="114" t="s">
        <v>1650</v>
      </c>
      <c r="P450" s="280" t="s">
        <v>481</v>
      </c>
      <c r="Q450" s="211">
        <v>4200668815</v>
      </c>
      <c r="R450" s="363">
        <v>45536</v>
      </c>
      <c r="S450" s="211" t="s">
        <v>249</v>
      </c>
      <c r="T450" s="211" t="s">
        <v>1651</v>
      </c>
      <c r="U450" s="253" t="s">
        <v>1557</v>
      </c>
      <c r="W450" s="8">
        <v>10</v>
      </c>
      <c r="AD450" s="8">
        <v>2</v>
      </c>
    </row>
    <row r="451" spans="1:31" hidden="1">
      <c r="A451" s="286" t="s">
        <v>244</v>
      </c>
      <c r="B451" s="286" t="s">
        <v>221</v>
      </c>
      <c r="C451" s="280" t="s">
        <v>2</v>
      </c>
      <c r="D451" s="281" t="str">
        <f>IF(F451="","",CHOOSE(MONTH(F451),"Q4","Q4","Q4","Q1","Q1","Q1","Q2","Q2","Q2","Q3","Q3","Q3"))</f>
        <v>Q2</v>
      </c>
      <c r="E451" s="282" t="str">
        <f>IF(F451="","",CHOOSE(MONTH(F451),"10-JAN","11-FEB","12-MAR","01-APR","02-MAY","03-JUN","04-JUL","05-AUG","06-SEP","07-OCT","08-NOV","09-DEC"))</f>
        <v>04-JUL</v>
      </c>
      <c r="F451" s="242">
        <v>45474</v>
      </c>
      <c r="G451" s="231" t="s">
        <v>1652</v>
      </c>
      <c r="H451" s="5" t="s">
        <v>27</v>
      </c>
      <c r="I451" s="29" t="s">
        <v>223</v>
      </c>
      <c r="J451" s="8" t="s">
        <v>161</v>
      </c>
      <c r="K451" s="281" t="s">
        <v>34</v>
      </c>
      <c r="L451" s="78" t="s">
        <v>1653</v>
      </c>
      <c r="M451" s="151">
        <f>IF(SUM(V451:BC451)=0,"-",SUM(V451:BC451))</f>
        <v>1</v>
      </c>
      <c r="N451" s="65">
        <f>IF(SUMPRODUCT($V$3:$BC$3,V451:BC451)=0,"-",SUMPRODUCT($V$3:$BC$3,V451:BC451))</f>
        <v>135</v>
      </c>
      <c r="O451" s="114" t="s">
        <v>1654</v>
      </c>
      <c r="P451" s="280" t="s">
        <v>481</v>
      </c>
      <c r="Q451" s="296">
        <v>4200669114</v>
      </c>
      <c r="R451" s="211"/>
      <c r="S451" s="211" t="s">
        <v>249</v>
      </c>
      <c r="T451" s="260" t="s">
        <v>1236</v>
      </c>
      <c r="U451" s="253" t="s">
        <v>1237</v>
      </c>
      <c r="AC451" s="7">
        <v>1</v>
      </c>
    </row>
    <row r="452" spans="1:31" hidden="1">
      <c r="A452" s="286" t="s">
        <v>244</v>
      </c>
      <c r="B452" s="286" t="s">
        <v>221</v>
      </c>
      <c r="C452" s="280" t="s">
        <v>2</v>
      </c>
      <c r="D452" s="281" t="str">
        <f>IF(F452="","",CHOOSE(MONTH(F452),"Q4","Q4","Q4","Q1","Q1","Q1","Q2","Q2","Q2","Q3","Q3","Q3"))</f>
        <v>Q2</v>
      </c>
      <c r="E452" s="282" t="str">
        <f>IF(F452="","",CHOOSE(MONTH(F452),"10-JAN","11-FEB","12-MAR","01-APR","02-MAY","03-JUN","04-JUL","05-AUG","06-SEP","07-OCT","08-NOV","09-DEC"))</f>
        <v>04-JUL</v>
      </c>
      <c r="F452" s="242">
        <v>45475</v>
      </c>
      <c r="G452" s="236" t="s">
        <v>1655</v>
      </c>
      <c r="H452" s="5" t="s">
        <v>36</v>
      </c>
      <c r="I452" s="29" t="s">
        <v>223</v>
      </c>
      <c r="J452" s="8" t="s">
        <v>69</v>
      </c>
      <c r="K452" s="281" t="s">
        <v>34</v>
      </c>
      <c r="L452" s="78" t="s">
        <v>1656</v>
      </c>
      <c r="M452" s="151">
        <f>IF(SUM(V452:BC452)=0,"-",SUM(V452:BC452))</f>
        <v>7</v>
      </c>
      <c r="N452" s="65">
        <f>IF(SUMPRODUCT($V$3:$BC$3,V452:BC452)=0,"-",SUMPRODUCT($V$3:$BC$3,V452:BC452))</f>
        <v>245</v>
      </c>
      <c r="O452" s="114" t="s">
        <v>1657</v>
      </c>
      <c r="P452" s="280" t="s">
        <v>481</v>
      </c>
      <c r="Q452" s="211">
        <v>4200668815</v>
      </c>
      <c r="R452" s="363">
        <v>45536</v>
      </c>
      <c r="S452" s="211" t="s">
        <v>249</v>
      </c>
      <c r="T452" s="211" t="s">
        <v>1651</v>
      </c>
      <c r="U452" s="253" t="s">
        <v>1557</v>
      </c>
      <c r="W452" s="8">
        <v>7</v>
      </c>
    </row>
    <row r="453" spans="1:31" hidden="1">
      <c r="A453" s="286" t="s">
        <v>244</v>
      </c>
      <c r="B453" s="286" t="s">
        <v>221</v>
      </c>
      <c r="C453" s="280" t="s">
        <v>2</v>
      </c>
      <c r="D453" s="281" t="str">
        <f>IF(F453="","",CHOOSE(MONTH(F453),"Q4","Q4","Q4","Q1","Q1","Q1","Q2","Q2","Q2","Q3","Q3","Q3"))</f>
        <v>Q2</v>
      </c>
      <c r="E453" s="282" t="str">
        <f>IF(F453="","",CHOOSE(MONTH(F453),"10-JAN","11-FEB","12-MAR","01-APR","02-MAY","03-JUN","04-JUL","05-AUG","06-SEP","07-OCT","08-NOV","09-DEC"))</f>
        <v>04-JUL</v>
      </c>
      <c r="F453" s="242">
        <v>45476</v>
      </c>
      <c r="G453" s="376" t="s">
        <v>118</v>
      </c>
      <c r="H453" s="128" t="s">
        <v>26</v>
      </c>
      <c r="I453" s="373" t="s">
        <v>223</v>
      </c>
      <c r="J453" s="374" t="s">
        <v>95</v>
      </c>
      <c r="K453" s="375" t="s">
        <v>30</v>
      </c>
      <c r="L453" s="78" t="s">
        <v>1658</v>
      </c>
      <c r="M453" s="151">
        <f>IF(SUM(V453:BC453)=0,"-",SUM(V453:BC453))</f>
        <v>1</v>
      </c>
      <c r="N453" s="65">
        <f>IF(SUMPRODUCT($V$3:$BC$3,V453:BC453)=0,"-",SUMPRODUCT($V$3:$BC$3,V453:BC453))</f>
        <v>120</v>
      </c>
      <c r="Q453" s="369">
        <v>4200667862</v>
      </c>
      <c r="R453" s="211" t="s">
        <v>269</v>
      </c>
      <c r="S453" s="211" t="s">
        <v>249</v>
      </c>
      <c r="T453" s="211" t="s">
        <v>1659</v>
      </c>
      <c r="U453" s="253" t="s">
        <v>1632</v>
      </c>
      <c r="V453" s="7">
        <v>1</v>
      </c>
    </row>
    <row r="454" spans="1:31" hidden="1">
      <c r="A454" s="286" t="s">
        <v>244</v>
      </c>
      <c r="B454" s="286" t="s">
        <v>221</v>
      </c>
      <c r="C454" s="280" t="s">
        <v>2</v>
      </c>
      <c r="D454" s="281" t="str">
        <f>IF(F454="","",CHOOSE(MONTH(F454),"Q4","Q4","Q4","Q1","Q1","Q1","Q2","Q2","Q2","Q3","Q3","Q3"))</f>
        <v>Q2</v>
      </c>
      <c r="E454" s="282" t="str">
        <f>IF(F454="","",CHOOSE(MONTH(F454),"10-JAN","11-FEB","12-MAR","01-APR","02-MAY","03-JUN","04-JUL","05-AUG","06-SEP","07-OCT","08-NOV","09-DEC"))</f>
        <v>04-JUL</v>
      </c>
      <c r="F454" s="242">
        <v>45477</v>
      </c>
      <c r="G454" s="236" t="s">
        <v>1660</v>
      </c>
      <c r="H454" s="5" t="s">
        <v>36</v>
      </c>
      <c r="I454" s="29" t="s">
        <v>223</v>
      </c>
      <c r="J454" s="8" t="s">
        <v>69</v>
      </c>
      <c r="K454" s="281" t="s">
        <v>34</v>
      </c>
      <c r="L454" s="78" t="s">
        <v>1661</v>
      </c>
      <c r="M454" s="151">
        <f>IF(SUM(V454:BC454)=0,"-",SUM(V454:BC454))</f>
        <v>31</v>
      </c>
      <c r="N454" s="65">
        <f>IF(SUMPRODUCT($V$3:$BC$3,V454:BC454)=0,"-",SUMPRODUCT($V$3:$BC$3,V454:BC454))</f>
        <v>1170</v>
      </c>
      <c r="O454" s="114" t="s">
        <v>1662</v>
      </c>
      <c r="P454" s="280" t="s">
        <v>481</v>
      </c>
      <c r="Q454" s="370">
        <v>4200668826</v>
      </c>
      <c r="R454" s="363">
        <v>45536</v>
      </c>
      <c r="S454" s="211" t="s">
        <v>249</v>
      </c>
      <c r="T454" s="211" t="s">
        <v>1663</v>
      </c>
      <c r="U454" s="253" t="s">
        <v>1557</v>
      </c>
      <c r="V454" s="7">
        <v>1</v>
      </c>
      <c r="W454" s="8">
        <v>30</v>
      </c>
    </row>
    <row r="455" spans="1:31" hidden="1">
      <c r="A455" s="286" t="s">
        <v>244</v>
      </c>
      <c r="B455" s="286" t="s">
        <v>221</v>
      </c>
      <c r="C455" s="280" t="s">
        <v>2</v>
      </c>
      <c r="D455" s="281" t="str">
        <f>IF(F455="","",CHOOSE(MONTH(F455),"Q4","Q4","Q4","Q1","Q1","Q1","Q2","Q2","Q2","Q3","Q3","Q3"))</f>
        <v>Q2</v>
      </c>
      <c r="E455" s="282" t="str">
        <f>IF(F455="","",CHOOSE(MONTH(F455),"10-JAN","11-FEB","12-MAR","01-APR","02-MAY","03-JUN","04-JUL","05-AUG","06-SEP","07-OCT","08-NOV","09-DEC"))</f>
        <v>04-JUL</v>
      </c>
      <c r="F455" s="242">
        <v>45481</v>
      </c>
      <c r="G455" s="231" t="s">
        <v>117</v>
      </c>
      <c r="H455" s="5" t="s">
        <v>26</v>
      </c>
      <c r="I455" s="29" t="s">
        <v>223</v>
      </c>
      <c r="J455" s="8" t="s">
        <v>95</v>
      </c>
      <c r="K455" s="281" t="s">
        <v>30</v>
      </c>
      <c r="N455" s="379">
        <v>120</v>
      </c>
      <c r="Q455" s="211">
        <v>4200663610</v>
      </c>
      <c r="R455" s="211" t="s">
        <v>237</v>
      </c>
      <c r="S455" s="211" t="s">
        <v>249</v>
      </c>
      <c r="T455" s="260" t="s">
        <v>1664</v>
      </c>
      <c r="U455" s="253" t="s">
        <v>1573</v>
      </c>
    </row>
    <row r="456" spans="1:31" hidden="1">
      <c r="A456" s="286" t="s">
        <v>244</v>
      </c>
      <c r="B456" s="286" t="s">
        <v>221</v>
      </c>
      <c r="C456" s="280" t="s">
        <v>2</v>
      </c>
      <c r="D456" s="281" t="str">
        <f>IF(F456="","",CHOOSE(MONTH(F456),"Q4","Q4","Q4","Q1","Q1","Q1","Q2","Q2","Q2","Q3","Q3","Q3"))</f>
        <v>Q2</v>
      </c>
      <c r="E456" s="282" t="str">
        <f>IF(F456="","",CHOOSE(MONTH(F456),"10-JAN","11-FEB","12-MAR","01-APR","02-MAY","03-JUN","04-JUL","05-AUG","06-SEP","07-OCT","08-NOV","09-DEC"))</f>
        <v>04-JUL</v>
      </c>
      <c r="F456" s="242">
        <v>45481</v>
      </c>
      <c r="G456" s="236" t="s">
        <v>84</v>
      </c>
      <c r="H456" s="5" t="s">
        <v>26</v>
      </c>
      <c r="I456" s="29" t="s">
        <v>223</v>
      </c>
      <c r="J456" s="8" t="s">
        <v>69</v>
      </c>
      <c r="K456" s="281" t="s">
        <v>30</v>
      </c>
      <c r="L456" s="78" t="s">
        <v>1665</v>
      </c>
      <c r="M456" s="151">
        <f>IF(SUM(V456:BC456)=0,"-",SUM(V456:BC456))</f>
        <v>8</v>
      </c>
      <c r="N456" s="65">
        <f>IF(SUMPRODUCT($V$3:$BC$3,V456:BC456)=0,"-",SUMPRODUCT($V$3:$BC$3,V456:BC456))</f>
        <v>535</v>
      </c>
      <c r="Q456" s="211">
        <v>4200668080</v>
      </c>
      <c r="R456" s="211" t="s">
        <v>269</v>
      </c>
      <c r="S456" s="211" t="s">
        <v>249</v>
      </c>
      <c r="T456" s="211" t="s">
        <v>1666</v>
      </c>
      <c r="U456" s="253" t="s">
        <v>1632</v>
      </c>
      <c r="V456" s="7">
        <v>3</v>
      </c>
      <c r="W456" s="8">
        <v>5</v>
      </c>
    </row>
    <row r="457" spans="1:31" hidden="1">
      <c r="A457" s="286" t="s">
        <v>244</v>
      </c>
      <c r="B457" s="286" t="s">
        <v>221</v>
      </c>
      <c r="C457" s="280" t="s">
        <v>2</v>
      </c>
      <c r="D457" s="281" t="str">
        <f>IF(F457="","",CHOOSE(MONTH(F457),"Q4","Q4","Q4","Q1","Q1","Q1","Q2","Q2","Q2","Q3","Q3","Q3"))</f>
        <v>Q2</v>
      </c>
      <c r="E457" s="282" t="str">
        <f>IF(F457="","",CHOOSE(MONTH(F457),"10-JAN","11-FEB","12-MAR","01-APR","02-MAY","03-JUN","04-JUL","05-AUG","06-SEP","07-OCT","08-NOV","09-DEC"))</f>
        <v>04-JUL</v>
      </c>
      <c r="F457" s="242">
        <v>45481</v>
      </c>
      <c r="G457" s="232" t="s">
        <v>57</v>
      </c>
      <c r="H457" s="5" t="s">
        <v>56</v>
      </c>
      <c r="I457" s="29" t="s">
        <v>223</v>
      </c>
      <c r="J457" s="8" t="s">
        <v>69</v>
      </c>
      <c r="K457" s="281" t="s">
        <v>30</v>
      </c>
      <c r="L457" s="78" t="s">
        <v>1667</v>
      </c>
      <c r="M457" s="151">
        <f>IF(SUM(V457:BC457)=0,"-",SUM(V457:BC457))</f>
        <v>2</v>
      </c>
      <c r="N457" s="65">
        <f>IF(SUMPRODUCT($V$3:$BC$3,V457:BC457)=0,"-",SUMPRODUCT($V$3:$BC$3,V457:BC457))</f>
        <v>70</v>
      </c>
      <c r="O457" s="114" t="s">
        <v>1668</v>
      </c>
      <c r="P457" s="280" t="s">
        <v>481</v>
      </c>
      <c r="Q457" s="211" t="s">
        <v>1669</v>
      </c>
      <c r="R457" s="211" t="s">
        <v>340</v>
      </c>
      <c r="S457" s="211" t="s">
        <v>249</v>
      </c>
      <c r="T457" s="211" t="s">
        <v>1670</v>
      </c>
      <c r="U457" s="257" t="s">
        <v>1671</v>
      </c>
      <c r="W457" s="8">
        <v>2</v>
      </c>
    </row>
    <row r="458" spans="1:31" hidden="1">
      <c r="A458" s="286" t="s">
        <v>244</v>
      </c>
      <c r="B458" s="286" t="s">
        <v>221</v>
      </c>
      <c r="C458" s="280" t="s">
        <v>2</v>
      </c>
      <c r="D458" s="281" t="str">
        <f>IF(F458="","",CHOOSE(MONTH(F458),"Q4","Q4","Q4","Q1","Q1","Q1","Q2","Q2","Q2","Q3","Q3","Q3"))</f>
        <v>Q2</v>
      </c>
      <c r="E458" s="282" t="str">
        <f>IF(F458="","",CHOOSE(MONTH(F458),"10-JAN","11-FEB","12-MAR","01-APR","02-MAY","03-JUN","04-JUL","05-AUG","06-SEP","07-OCT","08-NOV","09-DEC"))</f>
        <v>04-JUL</v>
      </c>
      <c r="F458" s="242">
        <v>45483</v>
      </c>
      <c r="G458" s="231" t="s">
        <v>41</v>
      </c>
      <c r="H458" t="s">
        <v>38</v>
      </c>
      <c r="I458" s="29" t="s">
        <v>223</v>
      </c>
      <c r="J458" s="8" t="s">
        <v>69</v>
      </c>
      <c r="K458" s="281" t="s">
        <v>34</v>
      </c>
      <c r="L458" s="78" t="s">
        <v>1672</v>
      </c>
      <c r="M458" s="151">
        <f>IF(SUM(V458:BC458)=0,"-",SUM(V458:BC458))</f>
        <v>1</v>
      </c>
      <c r="N458" s="65">
        <f>IF(SUMPRODUCT($V$3:$BC$3,V458:BC458)=0,"-",SUMPRODUCT($V$3:$BC$3,V458:BC458))</f>
        <v>135</v>
      </c>
      <c r="O458" s="114" t="s">
        <v>1673</v>
      </c>
      <c r="P458" s="280" t="s">
        <v>481</v>
      </c>
      <c r="Q458" s="211">
        <v>4200673717</v>
      </c>
      <c r="R458" s="211"/>
      <c r="S458" s="211" t="s">
        <v>249</v>
      </c>
      <c r="T458" s="211" t="s">
        <v>1674</v>
      </c>
      <c r="U458" s="295" t="s">
        <v>1675</v>
      </c>
      <c r="AC458" s="7">
        <v>1</v>
      </c>
    </row>
    <row r="459" spans="1:31" hidden="1">
      <c r="A459" s="286" t="s">
        <v>244</v>
      </c>
      <c r="B459" s="286" t="s">
        <v>221</v>
      </c>
      <c r="C459" s="280" t="s">
        <v>2</v>
      </c>
      <c r="D459" s="281" t="str">
        <f>IF(F459="","",CHOOSE(MONTH(F459),"Q4","Q4","Q4","Q1","Q1","Q1","Q2","Q2","Q2","Q3","Q3","Q3"))</f>
        <v>Q2</v>
      </c>
      <c r="E459" s="282" t="str">
        <f>IF(F459="","",CHOOSE(MONTH(F459),"10-JAN","11-FEB","12-MAR","01-APR","02-MAY","03-JUN","04-JUL","05-AUG","06-SEP","07-OCT","08-NOV","09-DEC"))</f>
        <v>04-JUL</v>
      </c>
      <c r="F459" s="242">
        <v>45484</v>
      </c>
      <c r="G459" s="236" t="s">
        <v>85</v>
      </c>
      <c r="H459" s="5" t="s">
        <v>26</v>
      </c>
      <c r="I459" s="29" t="s">
        <v>223</v>
      </c>
      <c r="J459" s="8" t="s">
        <v>69</v>
      </c>
      <c r="K459" s="281" t="s">
        <v>30</v>
      </c>
      <c r="L459" s="78" t="s">
        <v>1676</v>
      </c>
      <c r="M459" s="151">
        <f>IF(SUM(V459:BC459)=0,"-",SUM(V459:BC459))</f>
        <v>3</v>
      </c>
      <c r="N459" s="65">
        <f>IF(SUMPRODUCT($V$3:$BC$3,V459:BC459)=0,"-",SUMPRODUCT($V$3:$BC$3,V459:BC459))</f>
        <v>195</v>
      </c>
      <c r="Q459" s="211">
        <v>4200668080</v>
      </c>
      <c r="R459" s="211" t="s">
        <v>269</v>
      </c>
      <c r="S459" s="211" t="s">
        <v>249</v>
      </c>
      <c r="T459" s="211" t="s">
        <v>1677</v>
      </c>
      <c r="U459" s="253" t="s">
        <v>1632</v>
      </c>
      <c r="V459" s="7">
        <v>1</v>
      </c>
      <c r="W459" s="8">
        <v>1</v>
      </c>
      <c r="AD459" s="8">
        <v>1</v>
      </c>
    </row>
    <row r="460" spans="1:31" hidden="1">
      <c r="A460" s="286" t="s">
        <v>244</v>
      </c>
      <c r="B460" s="286" t="s">
        <v>221</v>
      </c>
      <c r="C460" s="280" t="s">
        <v>2</v>
      </c>
      <c r="D460" s="281" t="str">
        <f>IF(F460="","",CHOOSE(MONTH(F460),"Q4","Q4","Q4","Q1","Q1","Q1","Q2","Q2","Q2","Q3","Q3","Q3"))</f>
        <v>Q2</v>
      </c>
      <c r="E460" s="282" t="str">
        <f>IF(F460="","",CHOOSE(MONTH(F460),"10-JAN","11-FEB","12-MAR","01-APR","02-MAY","03-JUN","04-JUL","05-AUG","06-SEP","07-OCT","08-NOV","09-DEC"))</f>
        <v>04-JUL</v>
      </c>
      <c r="F460" s="242">
        <v>45488</v>
      </c>
      <c r="G460" s="236" t="s">
        <v>119</v>
      </c>
      <c r="H460" s="5" t="s">
        <v>32</v>
      </c>
      <c r="I460" s="29" t="s">
        <v>223</v>
      </c>
      <c r="J460" s="8" t="s">
        <v>95</v>
      </c>
      <c r="K460" s="281" t="s">
        <v>30</v>
      </c>
      <c r="L460" s="78" t="s">
        <v>1678</v>
      </c>
      <c r="M460" s="151">
        <f>IF(SUM(V460:BC460)=0,"-",SUM(V460:BC460))</f>
        <v>16</v>
      </c>
      <c r="N460" s="65">
        <f>IF(SUMPRODUCT($V$3:$BC$3,V460:BC460)=0,"-",SUMPRODUCT($V$3:$BC$3,V460:BC460))</f>
        <v>645</v>
      </c>
      <c r="Q460" s="211">
        <v>4200667862</v>
      </c>
      <c r="R460" s="211" t="s">
        <v>269</v>
      </c>
      <c r="S460" s="211" t="s">
        <v>249</v>
      </c>
      <c r="T460" s="211" t="s">
        <v>1679</v>
      </c>
      <c r="U460" s="253" t="s">
        <v>1632</v>
      </c>
      <c r="V460" s="7">
        <v>1</v>
      </c>
      <c r="W460" s="8">
        <v>15</v>
      </c>
    </row>
    <row r="461" spans="1:31" hidden="1">
      <c r="A461" s="286" t="s">
        <v>244</v>
      </c>
      <c r="B461" s="286" t="s">
        <v>221</v>
      </c>
      <c r="C461" s="280" t="s">
        <v>2</v>
      </c>
      <c r="D461" s="281" t="str">
        <f>IF(F461="","",CHOOSE(MONTH(F461),"Q4","Q4","Q4","Q1","Q1","Q1","Q2","Q2","Q2","Q3","Q3","Q3"))</f>
        <v>Q2</v>
      </c>
      <c r="E461" s="282" t="str">
        <f>IF(F461="","",CHOOSE(MONTH(F461),"10-JAN","11-FEB","12-MAR","01-APR","02-MAY","03-JUN","04-JUL","05-AUG","06-SEP","07-OCT","08-NOV","09-DEC"))</f>
        <v>04-JUL</v>
      </c>
      <c r="F461" s="242">
        <v>45489</v>
      </c>
      <c r="G461" s="231" t="s">
        <v>1680</v>
      </c>
      <c r="H461" s="5" t="s">
        <v>27</v>
      </c>
      <c r="I461" s="29" t="s">
        <v>223</v>
      </c>
      <c r="J461" s="8" t="s">
        <v>161</v>
      </c>
      <c r="K461" s="281" t="s">
        <v>34</v>
      </c>
      <c r="L461" s="78" t="s">
        <v>1681</v>
      </c>
      <c r="M461" s="151">
        <f>IF(SUM(V461:BC461)=0,"-",SUM(V461:BC461))</f>
        <v>1</v>
      </c>
      <c r="N461" s="65">
        <f>IF(SUMPRODUCT($V$3:$BC$3,V461:BC461)=0,"-",SUMPRODUCT($V$3:$BC$3,V461:BC461))</f>
        <v>135</v>
      </c>
      <c r="Q461" s="211">
        <v>4200671135</v>
      </c>
      <c r="R461" s="211"/>
      <c r="S461" s="211" t="s">
        <v>249</v>
      </c>
      <c r="T461" s="211" t="s">
        <v>1682</v>
      </c>
      <c r="U461" s="253" t="s">
        <v>517</v>
      </c>
      <c r="AC461" s="7">
        <v>1</v>
      </c>
    </row>
    <row r="462" spans="1:31" hidden="1">
      <c r="A462" s="286" t="s">
        <v>244</v>
      </c>
      <c r="B462" s="286" t="s">
        <v>221</v>
      </c>
      <c r="C462" s="280" t="s">
        <v>2</v>
      </c>
      <c r="D462" s="281" t="str">
        <f>IF(F462="","",CHOOSE(MONTH(F462),"Q4","Q4","Q4","Q1","Q1","Q1","Q2","Q2","Q2","Q3","Q3","Q3"))</f>
        <v>Q2</v>
      </c>
      <c r="E462" s="282" t="str">
        <f>IF(F462="","",CHOOSE(MONTH(F462),"10-JAN","11-FEB","12-MAR","01-APR","02-MAY","03-JUN","04-JUL","05-AUG","06-SEP","07-OCT","08-NOV","09-DEC"))</f>
        <v>04-JUL</v>
      </c>
      <c r="F462" s="242">
        <v>45491</v>
      </c>
      <c r="G462" s="236" t="s">
        <v>1683</v>
      </c>
      <c r="H462" s="5" t="s">
        <v>27</v>
      </c>
      <c r="I462" s="29" t="s">
        <v>223</v>
      </c>
      <c r="J462" s="8" t="s">
        <v>69</v>
      </c>
      <c r="K462" s="281" t="s">
        <v>34</v>
      </c>
      <c r="L462" s="78" t="s">
        <v>1684</v>
      </c>
      <c r="M462" s="151">
        <f>IF(SUM(V462:BC462)=0,"-",SUM(V462:BC462))</f>
        <v>1</v>
      </c>
      <c r="N462" s="65">
        <f>IF(SUMPRODUCT($V$3:$BC$3,V462:BC462)=0,"-",SUMPRODUCT($V$3:$BC$3,V462:BC462))</f>
        <v>40</v>
      </c>
      <c r="P462" s="280" t="s">
        <v>481</v>
      </c>
      <c r="Q462" s="211">
        <v>4200667507</v>
      </c>
      <c r="R462" s="363"/>
      <c r="S462" s="211" t="s">
        <v>249</v>
      </c>
      <c r="T462" s="211" t="s">
        <v>1685</v>
      </c>
      <c r="U462" s="253" t="s">
        <v>1237</v>
      </c>
      <c r="AD462" s="8">
        <v>1</v>
      </c>
    </row>
    <row r="463" spans="1:31" hidden="1">
      <c r="A463" s="286" t="s">
        <v>244</v>
      </c>
      <c r="B463" s="286" t="s">
        <v>221</v>
      </c>
      <c r="C463" s="280" t="s">
        <v>2</v>
      </c>
      <c r="D463" s="281" t="str">
        <f>IF(F463="","",CHOOSE(MONTH(F463),"Q4","Q4","Q4","Q1","Q1","Q1","Q2","Q2","Q2","Q3","Q3","Q3"))</f>
        <v>Q2</v>
      </c>
      <c r="E463" s="282" t="str">
        <f>IF(F463="","",CHOOSE(MONTH(F463),"10-JAN","11-FEB","12-MAR","01-APR","02-MAY","03-JUN","04-JUL","05-AUG","06-SEP","07-OCT","08-NOV","09-DEC"))</f>
        <v>04-JUL</v>
      </c>
      <c r="F463" s="242">
        <v>45492</v>
      </c>
      <c r="G463" s="231" t="s">
        <v>1686</v>
      </c>
      <c r="H463" s="5" t="s">
        <v>35</v>
      </c>
      <c r="I463" s="29" t="s">
        <v>223</v>
      </c>
      <c r="J463" s="8" t="s">
        <v>95</v>
      </c>
      <c r="K463" s="281" t="s">
        <v>34</v>
      </c>
      <c r="L463" s="78" t="s">
        <v>1687</v>
      </c>
      <c r="M463" s="151">
        <f>IF(SUM(V463:BC463)=0,"-",SUM(V463:BC463))</f>
        <v>1</v>
      </c>
      <c r="N463" s="352">
        <f>IF(SUMPRODUCT($V$3:$BC$3,V463:BC463)=0,"-",SUMPRODUCT($V$3:$BC$3,V463:BC463))</f>
        <v>40</v>
      </c>
      <c r="O463" s="114" t="s">
        <v>1688</v>
      </c>
      <c r="P463" s="280" t="s">
        <v>481</v>
      </c>
      <c r="Q463" s="260">
        <v>4270028665</v>
      </c>
      <c r="R463" s="260"/>
      <c r="S463" s="260" t="s">
        <v>249</v>
      </c>
      <c r="T463" s="260" t="s">
        <v>1689</v>
      </c>
      <c r="U463" s="356" t="s">
        <v>1690</v>
      </c>
      <c r="AD463" s="8">
        <v>1</v>
      </c>
    </row>
    <row r="464" spans="1:31" hidden="1">
      <c r="A464" s="286" t="s">
        <v>244</v>
      </c>
      <c r="B464" s="286" t="s">
        <v>221</v>
      </c>
      <c r="C464" s="280" t="s">
        <v>2</v>
      </c>
      <c r="D464" s="281" t="str">
        <f>IF(F464="","",CHOOSE(MONTH(F464),"Q4","Q4","Q4","Q1","Q1","Q1","Q2","Q2","Q2","Q3","Q3","Q3"))</f>
        <v>Q2</v>
      </c>
      <c r="E464" s="282" t="str">
        <f>IF(F464="","",CHOOSE(MONTH(F464),"10-JAN","11-FEB","12-MAR","01-APR","02-MAY","03-JUN","04-JUL","05-AUG","06-SEP","07-OCT","08-NOV","09-DEC"))</f>
        <v>04-JUL</v>
      </c>
      <c r="F464" s="242">
        <v>45497</v>
      </c>
      <c r="G464" s="231" t="s">
        <v>1691</v>
      </c>
      <c r="H464" s="5" t="s">
        <v>36</v>
      </c>
      <c r="I464" s="29" t="s">
        <v>223</v>
      </c>
      <c r="J464" s="8" t="s">
        <v>69</v>
      </c>
      <c r="K464" s="281" t="s">
        <v>34</v>
      </c>
      <c r="L464" s="78" t="s">
        <v>1692</v>
      </c>
      <c r="M464" s="151">
        <f>IF(SUM(V464:BC464)=0,"-",SUM(V464:BC464))</f>
        <v>7</v>
      </c>
      <c r="N464" s="65">
        <f>IF(SUMPRODUCT($V$3:$BC$3,V464:BC464)=0,"-",SUMPRODUCT($V$3:$BC$3,V464:BC464))</f>
        <v>280</v>
      </c>
      <c r="O464" s="114" t="s">
        <v>1693</v>
      </c>
      <c r="P464" s="280" t="s">
        <v>481</v>
      </c>
      <c r="Q464" s="211">
        <v>4200671423</v>
      </c>
      <c r="R464" s="211"/>
      <c r="S464" s="211" t="s">
        <v>249</v>
      </c>
      <c r="T464" s="211" t="s">
        <v>1694</v>
      </c>
      <c r="U464" s="253" t="s">
        <v>1695</v>
      </c>
      <c r="AD464" s="8">
        <v>7</v>
      </c>
    </row>
    <row r="465" spans="1:35" hidden="1">
      <c r="A465" s="286" t="s">
        <v>244</v>
      </c>
      <c r="B465" s="286" t="s">
        <v>221</v>
      </c>
      <c r="C465" s="280" t="s">
        <v>2</v>
      </c>
      <c r="D465" s="281" t="str">
        <f>IF(F465="","",CHOOSE(MONTH(F465),"Q4","Q4","Q4","Q1","Q1","Q1","Q2","Q2","Q2","Q3","Q3","Q3"))</f>
        <v>Q2</v>
      </c>
      <c r="E465" s="282" t="str">
        <f>IF(F465="","",CHOOSE(MONTH(F465),"10-JAN","11-FEB","12-MAR","01-APR","02-MAY","03-JUN","04-JUL","05-AUG","06-SEP","07-OCT","08-NOV","09-DEC"))</f>
        <v>04-JUL</v>
      </c>
      <c r="F465" s="242">
        <v>45502</v>
      </c>
      <c r="G465" s="236" t="s">
        <v>60</v>
      </c>
      <c r="H465" s="5" t="s">
        <v>36</v>
      </c>
      <c r="I465" s="29" t="s">
        <v>223</v>
      </c>
      <c r="J465" s="8" t="s">
        <v>69</v>
      </c>
      <c r="K465" s="281" t="s">
        <v>34</v>
      </c>
      <c r="L465" s="78" t="s">
        <v>1696</v>
      </c>
      <c r="M465" s="151">
        <f>IF(SUM(V465:BC465)=0,"-",SUM(V465:BC465))</f>
        <v>39</v>
      </c>
      <c r="N465" s="65">
        <f>IF(SUMPRODUCT($V$3:$BC$3,V465:BC465)=0,"-",SUMPRODUCT($V$3:$BC$3,V465:BC465))</f>
        <v>1650</v>
      </c>
      <c r="P465" s="280" t="s">
        <v>481</v>
      </c>
      <c r="Q465" s="211">
        <v>4200670787</v>
      </c>
      <c r="R465" s="211"/>
      <c r="S465" s="211" t="s">
        <v>249</v>
      </c>
      <c r="T465" s="211" t="s">
        <v>1697</v>
      </c>
      <c r="U465" s="253" t="s">
        <v>517</v>
      </c>
      <c r="V465" s="7">
        <v>3</v>
      </c>
      <c r="W465" s="8">
        <v>30</v>
      </c>
      <c r="AD465" s="8">
        <v>6</v>
      </c>
    </row>
    <row r="466" spans="1:35" hidden="1">
      <c r="A466" s="286" t="s">
        <v>244</v>
      </c>
      <c r="B466" s="286" t="s">
        <v>221</v>
      </c>
      <c r="C466" s="280" t="s">
        <v>2</v>
      </c>
      <c r="D466" s="281" t="str">
        <f>IF(F466="","",CHOOSE(MONTH(F466),"Q4","Q4","Q4","Q1","Q1","Q1","Q2","Q2","Q2","Q3","Q3","Q3"))</f>
        <v>Q2</v>
      </c>
      <c r="E466" s="282" t="str">
        <f>IF(F466="","",CHOOSE(MONTH(F466),"10-JAN","11-FEB","12-MAR","01-APR","02-MAY","03-JUN","04-JUL","05-AUG","06-SEP","07-OCT","08-NOV","09-DEC"))</f>
        <v>04-JUL</v>
      </c>
      <c r="F466" s="242">
        <v>45502</v>
      </c>
      <c r="G466" s="236" t="s">
        <v>1698</v>
      </c>
      <c r="H466" s="5" t="s">
        <v>1699</v>
      </c>
      <c r="I466" s="29" t="s">
        <v>223</v>
      </c>
      <c r="J466" s="8" t="s">
        <v>163</v>
      </c>
      <c r="K466" s="281" t="s">
        <v>34</v>
      </c>
      <c r="L466" s="30" t="s">
        <v>1700</v>
      </c>
      <c r="M466" s="151">
        <f>IF(SUM(V466:BC466)=0,"-",SUM(V466:BC466))</f>
        <v>3</v>
      </c>
      <c r="N466" s="352">
        <f>IF(SUMPRODUCT($V$3:$BC$3,V466:BC466)=0,"-",SUMPRODUCT($V$3:$BC$3,V466:BC466))</f>
        <v>120</v>
      </c>
      <c r="O466" s="114" t="s">
        <v>1701</v>
      </c>
      <c r="P466" s="280" t="s">
        <v>481</v>
      </c>
      <c r="Q466" s="211">
        <v>4200671911</v>
      </c>
      <c r="R466" s="211"/>
      <c r="S466" s="211" t="s">
        <v>249</v>
      </c>
      <c r="T466" s="211" t="s">
        <v>1702</v>
      </c>
      <c r="U466" s="253" t="s">
        <v>1703</v>
      </c>
      <c r="AD466" s="8">
        <v>3</v>
      </c>
    </row>
    <row r="467" spans="1:35" hidden="1">
      <c r="A467" s="286" t="s">
        <v>244</v>
      </c>
      <c r="B467" s="286" t="s">
        <v>221</v>
      </c>
      <c r="C467" s="280" t="s">
        <v>2</v>
      </c>
      <c r="D467" s="281" t="str">
        <f>IF(F467="","",CHOOSE(MONTH(F467),"Q4","Q4","Q4","Q1","Q1","Q1","Q2","Q2","Q2","Q3","Q3","Q3"))</f>
        <v>Q2</v>
      </c>
      <c r="E467" s="282" t="str">
        <f>IF(F467="","",CHOOSE(MONTH(F467),"10-JAN","11-FEB","12-MAR","01-APR","02-MAY","03-JUN","04-JUL","05-AUG","06-SEP","07-OCT","08-NOV","09-DEC"))</f>
        <v>04-JUL</v>
      </c>
      <c r="F467" s="242">
        <v>45503</v>
      </c>
      <c r="G467" s="236" t="s">
        <v>1704</v>
      </c>
      <c r="H467" s="5" t="s">
        <v>26</v>
      </c>
      <c r="I467" s="29" t="s">
        <v>223</v>
      </c>
      <c r="J467" s="8" t="s">
        <v>130</v>
      </c>
      <c r="K467" s="281" t="s">
        <v>30</v>
      </c>
      <c r="L467" s="78" t="s">
        <v>1705</v>
      </c>
      <c r="M467" s="151">
        <f>IF(SUM(V467:BC467)=0,"-",SUM(V467:BC467))</f>
        <v>1</v>
      </c>
      <c r="N467" s="65">
        <f>IF(SUMPRODUCT($V$3:$BC$3,V467:BC467)=0,"-",SUMPRODUCT($V$3:$BC$3,V467:BC467))</f>
        <v>120</v>
      </c>
      <c r="Q467" s="211">
        <v>4200667871</v>
      </c>
      <c r="R467" s="211" t="s">
        <v>305</v>
      </c>
      <c r="S467" s="211" t="s">
        <v>249</v>
      </c>
      <c r="T467" s="211" t="s">
        <v>1706</v>
      </c>
      <c r="U467" s="253" t="s">
        <v>517</v>
      </c>
      <c r="V467" s="7">
        <v>1</v>
      </c>
    </row>
    <row r="468" spans="1:35" hidden="1">
      <c r="A468" s="286" t="s">
        <v>244</v>
      </c>
      <c r="B468" s="286" t="s">
        <v>221</v>
      </c>
      <c r="C468" s="280" t="s">
        <v>2</v>
      </c>
      <c r="D468" s="281" t="str">
        <f>IF(F468="","",CHOOSE(MONTH(F468),"Q4","Q4","Q4","Q1","Q1","Q1","Q2","Q2","Q2","Q3","Q3","Q3"))</f>
        <v>Q2</v>
      </c>
      <c r="E468" s="282" t="str">
        <f>IF(F468="","",CHOOSE(MONTH(F468),"10-JAN","11-FEB","12-MAR","01-APR","02-MAY","03-JUN","04-JUL","05-AUG","06-SEP","07-OCT","08-NOV","09-DEC"))</f>
        <v>04-JUL</v>
      </c>
      <c r="F468" s="242">
        <v>45503</v>
      </c>
      <c r="G468" s="236" t="s">
        <v>1707</v>
      </c>
      <c r="H468" s="5" t="s">
        <v>27</v>
      </c>
      <c r="I468" s="29" t="s">
        <v>223</v>
      </c>
      <c r="J468" s="8" t="s">
        <v>127</v>
      </c>
      <c r="K468" s="281" t="str">
        <f>IF(H468="","",IFERROR(VLOOKUP(H468,Instructions!D:E,2,0),"BA"))</f>
        <v>BA</v>
      </c>
      <c r="L468" s="78" t="s">
        <v>1708</v>
      </c>
      <c r="M468" s="151">
        <f>IF(SUM(V468:BC468)=0,"-",SUM(V468:BC468))</f>
        <v>2</v>
      </c>
      <c r="N468" s="65">
        <v>300</v>
      </c>
      <c r="O468" s="30" t="s">
        <v>1709</v>
      </c>
      <c r="P468" s="280" t="s">
        <v>481</v>
      </c>
      <c r="Q468" s="211">
        <v>4200667507</v>
      </c>
      <c r="R468" s="211"/>
      <c r="S468" s="211" t="s">
        <v>249</v>
      </c>
      <c r="T468" s="211" t="s">
        <v>1453</v>
      </c>
      <c r="U468" s="253" t="s">
        <v>1427</v>
      </c>
      <c r="AD468" s="8">
        <v>1</v>
      </c>
      <c r="AF468" s="8">
        <v>1</v>
      </c>
    </row>
    <row r="469" spans="1:35" hidden="1">
      <c r="A469" s="286" t="s">
        <v>244</v>
      </c>
      <c r="B469" s="286" t="s">
        <v>221</v>
      </c>
      <c r="C469" s="280" t="s">
        <v>2</v>
      </c>
      <c r="D469" s="281" t="str">
        <f>IF(F469="","",CHOOSE(MONTH(F469),"Q4","Q4","Q4","Q1","Q1","Q1","Q2","Q2","Q2","Q3","Q3","Q3"))</f>
        <v>Q2</v>
      </c>
      <c r="E469" s="282" t="str">
        <f>IF(F469="","",CHOOSE(MONTH(F469),"10-JAN","11-FEB","12-MAR","01-APR","02-MAY","03-JUN","04-JUL","05-AUG","06-SEP","07-OCT","08-NOV","09-DEC"))</f>
        <v>04-JUL</v>
      </c>
      <c r="F469" s="242">
        <v>45504</v>
      </c>
      <c r="G469" s="112" t="s">
        <v>1710</v>
      </c>
      <c r="H469" s="5" t="s">
        <v>26</v>
      </c>
      <c r="I469" s="29" t="s">
        <v>223</v>
      </c>
      <c r="J469" s="8" t="s">
        <v>69</v>
      </c>
      <c r="K469" s="281" t="s">
        <v>30</v>
      </c>
      <c r="L469" s="78" t="s">
        <v>1711</v>
      </c>
      <c r="M469" s="151">
        <f>IF(SUM(V469:BC469)=0,"-",SUM(V469:BC469))</f>
        <v>2</v>
      </c>
      <c r="N469" s="65">
        <f>IF(SUMPRODUCT($V$3:$BC$3,V469:BC469)=0,"-",SUMPRODUCT($V$3:$BC$3,V469:BC469))</f>
        <v>155</v>
      </c>
      <c r="Q469" s="211">
        <v>4200668080</v>
      </c>
      <c r="R469" s="211" t="s">
        <v>305</v>
      </c>
      <c r="S469" s="211" t="s">
        <v>249</v>
      </c>
      <c r="T469" s="211" t="s">
        <v>1712</v>
      </c>
      <c r="U469" s="253" t="s">
        <v>517</v>
      </c>
      <c r="V469" s="7">
        <v>1</v>
      </c>
      <c r="W469" s="8">
        <v>1</v>
      </c>
    </row>
    <row r="470" spans="1:35" hidden="1">
      <c r="A470" s="286" t="s">
        <v>244</v>
      </c>
      <c r="B470" s="286" t="s">
        <v>221</v>
      </c>
      <c r="C470" s="280" t="s">
        <v>2</v>
      </c>
      <c r="D470" s="281" t="str">
        <f>IF(F470="","",CHOOSE(MONTH(F470),"Q4","Q4","Q4","Q1","Q1","Q1","Q2","Q2","Q2","Q3","Q3","Q3"))</f>
        <v>Q2</v>
      </c>
      <c r="E470" s="282" t="str">
        <f>IF(F470="","",CHOOSE(MONTH(F470),"10-JAN","11-FEB","12-MAR","01-APR","02-MAY","03-JUN","04-JUL","05-AUG","06-SEP","07-OCT","08-NOV","09-DEC"))</f>
        <v>04-JUL</v>
      </c>
      <c r="F470" s="242">
        <v>45504</v>
      </c>
      <c r="G470" s="231" t="s">
        <v>1713</v>
      </c>
      <c r="H470" s="5" t="s">
        <v>27</v>
      </c>
      <c r="I470" s="29" t="s">
        <v>223</v>
      </c>
      <c r="J470" s="8" t="s">
        <v>147</v>
      </c>
      <c r="K470" s="281" t="s">
        <v>34</v>
      </c>
      <c r="L470" s="78" t="s">
        <v>1714</v>
      </c>
      <c r="M470" s="151">
        <f>IF(SUM(V470:BC470)=0,"-",SUM(V470:BC470))</f>
        <v>1</v>
      </c>
      <c r="N470" s="65">
        <f>IF(SUMPRODUCT($V$3:$BC$3,V470:BC470)=0,"-",SUMPRODUCT($V$3:$BC$3,V470:BC470))</f>
        <v>35</v>
      </c>
      <c r="P470" s="280" t="s">
        <v>481</v>
      </c>
      <c r="Q470" s="211">
        <v>4200671135</v>
      </c>
      <c r="R470" s="211"/>
      <c r="S470" s="211" t="s">
        <v>249</v>
      </c>
      <c r="T470" s="211" t="s">
        <v>1682</v>
      </c>
      <c r="U470" s="253" t="s">
        <v>517</v>
      </c>
      <c r="W470" s="8">
        <v>1</v>
      </c>
    </row>
    <row r="471" spans="1:35" hidden="1">
      <c r="A471" s="286" t="s">
        <v>244</v>
      </c>
      <c r="B471" s="286" t="s">
        <v>221</v>
      </c>
      <c r="C471" s="280" t="s">
        <v>2</v>
      </c>
      <c r="D471" s="281" t="str">
        <f>IF(F471="","",CHOOSE(MONTH(F471),"Q4","Q4","Q4","Q1","Q1","Q1","Q2","Q2","Q2","Q3","Q3","Q3"))</f>
        <v>Q2</v>
      </c>
      <c r="E471" s="282" t="str">
        <f>IF(F471="","",CHOOSE(MONTH(F471),"10-JAN","11-FEB","12-MAR","01-APR","02-MAY","03-JUN","04-JUL","05-AUG","06-SEP","07-OCT","08-NOV","09-DEC"))</f>
        <v>05-AUG</v>
      </c>
      <c r="F471" s="242">
        <v>45509</v>
      </c>
      <c r="G471" s="231" t="s">
        <v>1715</v>
      </c>
      <c r="H471" s="5" t="s">
        <v>26</v>
      </c>
      <c r="I471" s="29" t="s">
        <v>223</v>
      </c>
      <c r="J471" s="8" t="s">
        <v>130</v>
      </c>
      <c r="K471" s="281" t="s">
        <v>30</v>
      </c>
      <c r="L471" s="30" t="s">
        <v>1716</v>
      </c>
      <c r="M471" s="151">
        <f>IF(SUM(V471:BC471)=0,"-",SUM(V471:BC471))</f>
        <v>10</v>
      </c>
      <c r="N471" s="65">
        <f>IF(SUMPRODUCT($V$3:$BC$3,V471:BC471)=0,"-",SUMPRODUCT($V$3:$BC$3,V471:BC471))</f>
        <v>775</v>
      </c>
      <c r="Q471" s="211">
        <v>4200667871</v>
      </c>
      <c r="R471" s="211" t="s">
        <v>305</v>
      </c>
      <c r="S471" s="211" t="s">
        <v>249</v>
      </c>
      <c r="T471" s="211" t="s">
        <v>1706</v>
      </c>
      <c r="U471" s="253" t="s">
        <v>517</v>
      </c>
      <c r="V471" s="7">
        <v>5</v>
      </c>
      <c r="W471" s="8">
        <v>5</v>
      </c>
    </row>
    <row r="472" spans="1:35" hidden="1">
      <c r="A472" s="286" t="s">
        <v>244</v>
      </c>
      <c r="B472" s="286" t="s">
        <v>221</v>
      </c>
      <c r="C472" s="280" t="s">
        <v>2</v>
      </c>
      <c r="D472" s="281" t="str">
        <f>IF(F472="","",CHOOSE(MONTH(F472),"Q4","Q4","Q4","Q1","Q1","Q1","Q2","Q2","Q2","Q3","Q3","Q3"))</f>
        <v>Q2</v>
      </c>
      <c r="E472" s="282" t="str">
        <f>IF(F472="","",CHOOSE(MONTH(F472),"10-JAN","11-FEB","12-MAR","01-APR","02-MAY","03-JUN","04-JUL","05-AUG","06-SEP","07-OCT","08-NOV","09-DEC"))</f>
        <v>05-AUG</v>
      </c>
      <c r="F472" s="242">
        <v>45510</v>
      </c>
      <c r="G472" s="231" t="s">
        <v>1717</v>
      </c>
      <c r="H472" s="5" t="s">
        <v>27</v>
      </c>
      <c r="I472" s="29" t="s">
        <v>223</v>
      </c>
      <c r="J472" s="8" t="s">
        <v>147</v>
      </c>
      <c r="K472" s="281" t="s">
        <v>34</v>
      </c>
      <c r="L472" s="30" t="s">
        <v>1718</v>
      </c>
      <c r="M472" s="151">
        <f>IF(SUM(V472:BC472)=0,"-",SUM(V472:BC472))</f>
        <v>2</v>
      </c>
      <c r="N472" s="65">
        <f>IF(SUMPRODUCT($V$3:$BC$3,V472:BC472)=0,"-",SUMPRODUCT($V$3:$BC$3,V472:BC472))</f>
        <v>70</v>
      </c>
      <c r="P472" s="280" t="s">
        <v>481</v>
      </c>
      <c r="Q472" s="211">
        <v>4200671135</v>
      </c>
      <c r="R472" s="211"/>
      <c r="S472" s="211" t="s">
        <v>249</v>
      </c>
      <c r="T472" s="211" t="s">
        <v>1682</v>
      </c>
      <c r="U472" s="253" t="s">
        <v>517</v>
      </c>
      <c r="W472" s="8">
        <v>2</v>
      </c>
    </row>
    <row r="473" spans="1:35" hidden="1">
      <c r="A473" s="286" t="s">
        <v>244</v>
      </c>
      <c r="B473" s="286" t="s">
        <v>221</v>
      </c>
      <c r="C473" s="280" t="s">
        <v>2</v>
      </c>
      <c r="D473" s="281" t="str">
        <f>IF(F473="","",CHOOSE(MONTH(F473),"Q4","Q4","Q4","Q1","Q1","Q1","Q2","Q2","Q2","Q3","Q3","Q3"))</f>
        <v>Q2</v>
      </c>
      <c r="E473" s="282" t="str">
        <f>IF(F473="","",CHOOSE(MONTH(F473),"10-JAN","11-FEB","12-MAR","01-APR","02-MAY","03-JUN","04-JUL","05-AUG","06-SEP","07-OCT","08-NOV","09-DEC"))</f>
        <v>05-AUG</v>
      </c>
      <c r="F473" s="242">
        <v>45510</v>
      </c>
      <c r="G473" s="232" t="s">
        <v>1719</v>
      </c>
      <c r="H473" s="5" t="s">
        <v>27</v>
      </c>
      <c r="I473" s="29" t="s">
        <v>223</v>
      </c>
      <c r="J473" s="8" t="s">
        <v>161</v>
      </c>
      <c r="K473" s="281" t="s">
        <v>34</v>
      </c>
      <c r="L473" s="78" t="s">
        <v>1720</v>
      </c>
      <c r="M473" s="151">
        <f>IF(SUM(V473:BC473)=0,"-",SUM(V473:BC473))</f>
        <v>1</v>
      </c>
      <c r="N473" s="65">
        <f>IF(SUMPRODUCT($V$3:$BC$3,V473:BC473)=0,"-",SUMPRODUCT($V$3:$BC$3,V473:BC473))</f>
        <v>135</v>
      </c>
      <c r="Q473" s="211">
        <v>4200671135</v>
      </c>
      <c r="R473" s="211"/>
      <c r="S473" s="211" t="s">
        <v>249</v>
      </c>
      <c r="T473" s="211" t="s">
        <v>1682</v>
      </c>
      <c r="U473" s="253" t="s">
        <v>517</v>
      </c>
      <c r="AC473" s="7">
        <v>1</v>
      </c>
    </row>
    <row r="474" spans="1:35" hidden="1">
      <c r="A474" s="286" t="s">
        <v>244</v>
      </c>
      <c r="B474" s="286" t="s">
        <v>221</v>
      </c>
      <c r="C474" s="280" t="s">
        <v>2</v>
      </c>
      <c r="D474" s="281" t="str">
        <f>IF(F474="","",CHOOSE(MONTH(F474),"Q4","Q4","Q4","Q1","Q1","Q1","Q2","Q2","Q2","Q3","Q3","Q3"))</f>
        <v>Q2</v>
      </c>
      <c r="E474" s="282" t="str">
        <f>IF(F474="","",CHOOSE(MONTH(F474),"10-JAN","11-FEB","12-MAR","01-APR","02-MAY","03-JUN","04-JUL","05-AUG","06-SEP","07-OCT","08-NOV","09-DEC"))</f>
        <v>05-AUG</v>
      </c>
      <c r="F474" s="242">
        <v>45512</v>
      </c>
      <c r="G474" s="231" t="s">
        <v>1721</v>
      </c>
      <c r="H474" s="5" t="s">
        <v>35</v>
      </c>
      <c r="I474" s="29" t="s">
        <v>223</v>
      </c>
      <c r="J474" s="8" t="s">
        <v>163</v>
      </c>
      <c r="K474" s="281" t="s">
        <v>34</v>
      </c>
      <c r="L474" s="30" t="s">
        <v>1722</v>
      </c>
      <c r="M474" s="151">
        <f>IF(SUM(V474:BC474)=0,"-",SUM(V474:BC474))</f>
        <v>6</v>
      </c>
      <c r="N474" s="352">
        <f>IF(SUMPRODUCT($V$3:$BC$3,V474:BC474)=0,"-",SUMPRODUCT($V$3:$BC$3,V474:BC474))</f>
        <v>665</v>
      </c>
      <c r="O474" s="30" t="s">
        <v>1723</v>
      </c>
      <c r="P474" s="280" t="s">
        <v>481</v>
      </c>
      <c r="Q474" s="211">
        <v>4200671904</v>
      </c>
      <c r="R474" s="211"/>
      <c r="S474" s="211" t="s">
        <v>249</v>
      </c>
      <c r="T474" s="211" t="s">
        <v>1724</v>
      </c>
      <c r="U474" s="253" t="s">
        <v>1703</v>
      </c>
      <c r="AC474" s="7">
        <v>3</v>
      </c>
      <c r="AD474" s="8">
        <v>2</v>
      </c>
      <c r="AI474" s="8">
        <v>1</v>
      </c>
    </row>
    <row r="475" spans="1:35" hidden="1">
      <c r="A475" s="286" t="s">
        <v>244</v>
      </c>
      <c r="B475" s="286" t="s">
        <v>221</v>
      </c>
      <c r="C475" s="280" t="s">
        <v>2</v>
      </c>
      <c r="D475" s="281" t="str">
        <f>IF(F475="","",CHOOSE(MONTH(F475),"Q4","Q4","Q4","Q1","Q1","Q1","Q2","Q2","Q2","Q3","Q3","Q3"))</f>
        <v>Q2</v>
      </c>
      <c r="E475" s="282" t="str">
        <f>IF(F475="","",CHOOSE(MONTH(F475),"10-JAN","11-FEB","12-MAR","01-APR","02-MAY","03-JUN","04-JUL","05-AUG","06-SEP","07-OCT","08-NOV","09-DEC"))</f>
        <v>05-AUG</v>
      </c>
      <c r="F475" s="242">
        <v>45512</v>
      </c>
      <c r="G475" s="231" t="s">
        <v>1725</v>
      </c>
      <c r="H475" s="5" t="s">
        <v>35</v>
      </c>
      <c r="I475" s="29" t="s">
        <v>223</v>
      </c>
      <c r="J475" s="8" t="s">
        <v>95</v>
      </c>
      <c r="K475" s="281" t="s">
        <v>34</v>
      </c>
      <c r="L475" s="30" t="s">
        <v>1726</v>
      </c>
      <c r="M475" s="151">
        <f>IF(SUM(V475:BC475)=0,"-",SUM(V475:BC475))</f>
        <v>1</v>
      </c>
      <c r="N475" s="352">
        <f>IF(SUMPRODUCT($V$3:$BC$3,V475:BC475)=0,"-",SUMPRODUCT($V$3:$BC$3,V475:BC475))</f>
        <v>180</v>
      </c>
      <c r="O475" s="30" t="s">
        <v>1727</v>
      </c>
      <c r="P475" s="280" t="s">
        <v>481</v>
      </c>
      <c r="Q475" s="211">
        <v>4200673558</v>
      </c>
      <c r="R475" s="211"/>
      <c r="S475" s="211" t="s">
        <v>249</v>
      </c>
      <c r="T475" s="211" t="s">
        <v>1728</v>
      </c>
      <c r="U475" s="253" t="s">
        <v>1427</v>
      </c>
      <c r="AE475" s="8">
        <v>1</v>
      </c>
    </row>
    <row r="476" spans="1:35" hidden="1">
      <c r="A476" s="286" t="s">
        <v>244</v>
      </c>
      <c r="B476" s="286" t="s">
        <v>221</v>
      </c>
      <c r="C476" s="280" t="s">
        <v>2</v>
      </c>
      <c r="D476" s="281" t="str">
        <f>IF(F476="","",CHOOSE(MONTH(F476),"Q4","Q4","Q4","Q1","Q1","Q1","Q2","Q2","Q2","Q3","Q3","Q3"))</f>
        <v>Q2</v>
      </c>
      <c r="E476" s="282" t="str">
        <f>IF(F476="","",CHOOSE(MONTH(F476),"10-JAN","11-FEB","12-MAR","01-APR","02-MAY","03-JUN","04-JUL","05-AUG","06-SEP","07-OCT","08-NOV","09-DEC"))</f>
        <v>05-AUG</v>
      </c>
      <c r="F476" s="242">
        <v>45512</v>
      </c>
      <c r="G476" s="231" t="s">
        <v>1729</v>
      </c>
      <c r="H476" s="5" t="s">
        <v>35</v>
      </c>
      <c r="I476" s="29" t="s">
        <v>223</v>
      </c>
      <c r="J476" s="8" t="s">
        <v>95</v>
      </c>
      <c r="K476" s="281" t="s">
        <v>34</v>
      </c>
      <c r="L476" s="30" t="s">
        <v>1730</v>
      </c>
      <c r="M476" s="151">
        <f>IF(SUM(V476:BC476)=0,"-",SUM(V476:BC476))</f>
        <v>8</v>
      </c>
      <c r="N476" s="352">
        <f>IF(SUMPRODUCT($V$3:$BC$3,V476:BC476)=0,"-",SUMPRODUCT($V$3:$BC$3,V476:BC476))</f>
        <v>280</v>
      </c>
      <c r="O476" s="30" t="s">
        <v>1731</v>
      </c>
      <c r="P476" s="280" t="s">
        <v>481</v>
      </c>
      <c r="Q476" s="211">
        <v>4200673558</v>
      </c>
      <c r="R476" s="211"/>
      <c r="S476" s="211" t="s">
        <v>249</v>
      </c>
      <c r="T476" s="211" t="s">
        <v>1728</v>
      </c>
      <c r="U476" s="253" t="s">
        <v>1427</v>
      </c>
      <c r="W476" s="8">
        <v>8</v>
      </c>
    </row>
    <row r="477" spans="1:35" hidden="1">
      <c r="A477" s="286" t="s">
        <v>244</v>
      </c>
      <c r="B477" s="286" t="s">
        <v>221</v>
      </c>
      <c r="C477" s="280" t="s">
        <v>2</v>
      </c>
      <c r="D477" s="281" t="str">
        <f>IF(F477="","",CHOOSE(MONTH(F477),"Q4","Q4","Q4","Q1","Q1","Q1","Q2","Q2","Q2","Q3","Q3","Q3"))</f>
        <v>Q2</v>
      </c>
      <c r="E477" s="282" t="str">
        <f>IF(F477="","",CHOOSE(MONTH(F477),"10-JAN","11-FEB","12-MAR","01-APR","02-MAY","03-JUN","04-JUL","05-AUG","06-SEP","07-OCT","08-NOV","09-DEC"))</f>
        <v>05-AUG</v>
      </c>
      <c r="F477" s="242">
        <v>45512</v>
      </c>
      <c r="G477" s="231" t="s">
        <v>1732</v>
      </c>
      <c r="H477" s="5" t="s">
        <v>35</v>
      </c>
      <c r="I477" s="29" t="s">
        <v>223</v>
      </c>
      <c r="J477" s="8" t="s">
        <v>95</v>
      </c>
      <c r="K477" s="281" t="s">
        <v>34</v>
      </c>
      <c r="L477" s="78" t="s">
        <v>1733</v>
      </c>
      <c r="M477" s="151">
        <f>IF(SUM(V477:BC477)=0,"-",SUM(V477:BC477))</f>
        <v>7</v>
      </c>
      <c r="N477" s="352">
        <f>IF(SUMPRODUCT($V$3:$BC$3,V477:BC477)=0,"-",SUMPRODUCT($V$3:$BC$3,V477:BC477))</f>
        <v>775</v>
      </c>
      <c r="O477" s="30" t="s">
        <v>1734</v>
      </c>
      <c r="P477" s="280" t="s">
        <v>481</v>
      </c>
      <c r="Q477" s="211">
        <v>4200673558</v>
      </c>
      <c r="R477" s="211"/>
      <c r="S477" s="211" t="s">
        <v>249</v>
      </c>
      <c r="T477" s="211" t="s">
        <v>1728</v>
      </c>
      <c r="U477" s="253" t="s">
        <v>1427</v>
      </c>
      <c r="AC477" s="7">
        <v>3</v>
      </c>
      <c r="AD477" s="8">
        <v>3</v>
      </c>
      <c r="AF477" s="8">
        <v>1</v>
      </c>
    </row>
    <row r="478" spans="1:35" hidden="1">
      <c r="A478" s="286" t="s">
        <v>244</v>
      </c>
      <c r="B478" s="286" t="s">
        <v>221</v>
      </c>
      <c r="C478" s="280" t="s">
        <v>2</v>
      </c>
      <c r="D478" s="281" t="str">
        <f>IF(F478="","",CHOOSE(MONTH(F478),"Q4","Q4","Q4","Q1","Q1","Q1","Q2","Q2","Q2","Q3","Q3","Q3"))</f>
        <v>Q2</v>
      </c>
      <c r="E478" s="282" t="str">
        <f>IF(F478="","",CHOOSE(MONTH(F478),"10-JAN","11-FEB","12-MAR","01-APR","02-MAY","03-JUN","04-JUL","05-AUG","06-SEP","07-OCT","08-NOV","09-DEC"))</f>
        <v>05-AUG</v>
      </c>
      <c r="F478" s="242">
        <v>45513</v>
      </c>
      <c r="G478" s="231" t="s">
        <v>1735</v>
      </c>
      <c r="H478" s="5" t="s">
        <v>35</v>
      </c>
      <c r="I478" s="29" t="s">
        <v>223</v>
      </c>
      <c r="J478" s="8" t="s">
        <v>164</v>
      </c>
      <c r="K478" s="281" t="s">
        <v>34</v>
      </c>
      <c r="L478" s="78" t="s">
        <v>1736</v>
      </c>
      <c r="M478" s="151">
        <f>IF(SUM(V478:BC478)=0,"-",SUM(V478:BC478))</f>
        <v>5</v>
      </c>
      <c r="N478" s="352">
        <f>IF(SUMPRODUCT($V$3:$BC$3,V478:BC478)=0,"-",SUMPRODUCT($V$3:$BC$3,V478:BC478))</f>
        <v>200</v>
      </c>
      <c r="O478" s="30" t="s">
        <v>1737</v>
      </c>
      <c r="P478" s="280" t="s">
        <v>481</v>
      </c>
      <c r="Q478" s="211">
        <v>4200671880</v>
      </c>
      <c r="R478" s="211"/>
      <c r="S478" s="211" t="s">
        <v>249</v>
      </c>
      <c r="T478" s="211" t="s">
        <v>1738</v>
      </c>
      <c r="U478" s="253" t="s">
        <v>1703</v>
      </c>
      <c r="AD478" s="8">
        <v>5</v>
      </c>
    </row>
    <row r="479" spans="1:35" hidden="1">
      <c r="A479" s="286" t="s">
        <v>244</v>
      </c>
      <c r="B479" s="286" t="s">
        <v>221</v>
      </c>
      <c r="C479" s="280" t="s">
        <v>2</v>
      </c>
      <c r="D479" s="281" t="str">
        <f>IF(F479="","",CHOOSE(MONTH(F479),"Q4","Q4","Q4","Q1","Q1","Q1","Q2","Q2","Q2","Q3","Q3","Q3"))</f>
        <v>Q2</v>
      </c>
      <c r="E479" s="282" t="str">
        <f>IF(F479="","",CHOOSE(MONTH(F479),"10-JAN","11-FEB","12-MAR","01-APR","02-MAY","03-JUN","04-JUL","05-AUG","06-SEP","07-OCT","08-NOV","09-DEC"))</f>
        <v>05-AUG</v>
      </c>
      <c r="F479" s="242">
        <v>45513</v>
      </c>
      <c r="G479" s="236" t="s">
        <v>1739</v>
      </c>
      <c r="H479" s="5" t="s">
        <v>35</v>
      </c>
      <c r="I479" s="29" t="s">
        <v>223</v>
      </c>
      <c r="J479" s="8" t="s">
        <v>95</v>
      </c>
      <c r="K479" s="281" t="s">
        <v>34</v>
      </c>
      <c r="L479" s="78" t="s">
        <v>1740</v>
      </c>
      <c r="M479" s="151">
        <f>IF(SUM(V479:BC479)=0,"-",SUM(V479:BC479))</f>
        <v>4</v>
      </c>
      <c r="N479" s="352">
        <f>IF(SUMPRODUCT($V$3:$BC$3,V479:BC479)=0,"-",SUMPRODUCT($V$3:$BC$3,V479:BC479))</f>
        <v>255</v>
      </c>
      <c r="O479" s="30" t="s">
        <v>1741</v>
      </c>
      <c r="P479" s="280" t="s">
        <v>481</v>
      </c>
      <c r="Q479" s="211">
        <v>4200671927</v>
      </c>
      <c r="R479" s="211"/>
      <c r="S479" s="211" t="s">
        <v>249</v>
      </c>
      <c r="T479" s="211" t="s">
        <v>1742</v>
      </c>
      <c r="U479" s="253" t="s">
        <v>1703</v>
      </c>
      <c r="AC479" s="7">
        <v>1</v>
      </c>
      <c r="AD479" s="8">
        <v>3</v>
      </c>
    </row>
    <row r="480" spans="1:35" hidden="1">
      <c r="A480" s="286" t="s">
        <v>244</v>
      </c>
      <c r="B480" s="286" t="s">
        <v>221</v>
      </c>
      <c r="C480" s="280" t="s">
        <v>2</v>
      </c>
      <c r="D480" s="281" t="str">
        <f>IF(F480="","",CHOOSE(MONTH(F480),"Q4","Q4","Q4","Q1","Q1","Q1","Q2","Q2","Q2","Q3","Q3","Q3"))</f>
        <v>Q2</v>
      </c>
      <c r="E480" s="282" t="str">
        <f>IF(F480="","",CHOOSE(MONTH(F480),"10-JAN","11-FEB","12-MAR","01-APR","02-MAY","03-JUN","04-JUL","05-AUG","06-SEP","07-OCT","08-NOV","09-DEC"))</f>
        <v>05-AUG</v>
      </c>
      <c r="F480" s="242">
        <v>45513</v>
      </c>
      <c r="G480" s="236" t="s">
        <v>1743</v>
      </c>
      <c r="H480" s="5" t="s">
        <v>35</v>
      </c>
      <c r="I480" s="29" t="s">
        <v>223</v>
      </c>
      <c r="J480" s="8" t="s">
        <v>95</v>
      </c>
      <c r="K480" s="281" t="s">
        <v>34</v>
      </c>
      <c r="L480" s="78" t="s">
        <v>1744</v>
      </c>
      <c r="M480" s="151">
        <f>IF(SUM(V480:BC480)=0,"-",SUM(V480:BC480))</f>
        <v>1</v>
      </c>
      <c r="N480" s="352">
        <f>IF(SUMPRODUCT($V$3:$BC$3,V480:BC480)=0,"-",SUMPRODUCT($V$3:$BC$3,V480:BC480))</f>
        <v>120</v>
      </c>
      <c r="O480" s="30" t="s">
        <v>1745</v>
      </c>
      <c r="P480" s="280" t="s">
        <v>481</v>
      </c>
      <c r="Q480" s="211">
        <v>4200673558</v>
      </c>
      <c r="R480" s="211"/>
      <c r="S480" s="211" t="s">
        <v>249</v>
      </c>
      <c r="T480" s="211" t="s">
        <v>1728</v>
      </c>
      <c r="U480" s="253" t="s">
        <v>1427</v>
      </c>
      <c r="V480" s="7">
        <v>1</v>
      </c>
    </row>
    <row r="481" spans="1:35" hidden="1">
      <c r="A481" s="286" t="s">
        <v>244</v>
      </c>
      <c r="B481" s="286" t="s">
        <v>221</v>
      </c>
      <c r="C481" s="280" t="s">
        <v>2</v>
      </c>
      <c r="D481" s="281" t="str">
        <f>IF(F481="","",CHOOSE(MONTH(F481),"Q4","Q4","Q4","Q1","Q1","Q1","Q2","Q2","Q2","Q3","Q3","Q3"))</f>
        <v>Q2</v>
      </c>
      <c r="E481" s="282" t="str">
        <f>IF(F481="","",CHOOSE(MONTH(F481),"10-JAN","11-FEB","12-MAR","01-APR","02-MAY","03-JUN","04-JUL","05-AUG","06-SEP","07-OCT","08-NOV","09-DEC"))</f>
        <v>05-AUG</v>
      </c>
      <c r="F481" s="242">
        <v>45517</v>
      </c>
      <c r="G481" s="231" t="s">
        <v>59</v>
      </c>
      <c r="H481" s="5" t="s">
        <v>58</v>
      </c>
      <c r="I481" s="29" t="s">
        <v>223</v>
      </c>
      <c r="J481" s="8" t="s">
        <v>67</v>
      </c>
      <c r="K481" s="281" t="s">
        <v>34</v>
      </c>
      <c r="L481" s="30" t="s">
        <v>1746</v>
      </c>
      <c r="M481" s="151">
        <f>IF(SUM(V481:BC481)=0,"-",SUM(V481:BC481))</f>
        <v>1</v>
      </c>
      <c r="N481" s="65">
        <f>IF(SUMPRODUCT($V$3:$BC$3,V481:BC481)=0,"-",SUMPRODUCT($V$3:$BC$3,V481:BC481))</f>
        <v>180</v>
      </c>
      <c r="O481" s="8" t="s">
        <v>481</v>
      </c>
      <c r="Q481" s="211">
        <v>4200670036</v>
      </c>
      <c r="R481" s="211"/>
      <c r="S481" s="211" t="s">
        <v>249</v>
      </c>
      <c r="T481" s="211" t="s">
        <v>1747</v>
      </c>
      <c r="U481" s="253" t="s">
        <v>1632</v>
      </c>
      <c r="AE481" s="8">
        <v>1</v>
      </c>
    </row>
    <row r="482" spans="1:35" hidden="1">
      <c r="A482" s="286" t="s">
        <v>244</v>
      </c>
      <c r="B482" s="286" t="s">
        <v>221</v>
      </c>
      <c r="C482" s="280" t="s">
        <v>2</v>
      </c>
      <c r="D482" s="281" t="str">
        <f>IF(F482="","",CHOOSE(MONTH(F482),"Q4","Q4","Q4","Q1","Q1","Q1","Q2","Q2","Q2","Q3","Q3","Q3"))</f>
        <v>Q2</v>
      </c>
      <c r="E482" s="282" t="str">
        <f>IF(F482="","",CHOOSE(MONTH(F482),"10-JAN","11-FEB","12-MAR","01-APR","02-MAY","03-JUN","04-JUL","05-AUG","06-SEP","07-OCT","08-NOV","09-DEC"))</f>
        <v>05-AUG</v>
      </c>
      <c r="F482" s="242">
        <v>45524</v>
      </c>
      <c r="G482" s="231" t="s">
        <v>1748</v>
      </c>
      <c r="H482" s="5" t="s">
        <v>35</v>
      </c>
      <c r="I482" s="29" t="s">
        <v>223</v>
      </c>
      <c r="J482" s="8" t="s">
        <v>95</v>
      </c>
      <c r="K482" s="281" t="s">
        <v>34</v>
      </c>
      <c r="L482" s="30" t="s">
        <v>1749</v>
      </c>
      <c r="M482" s="151">
        <f>IF(SUM(V482:BC482)=0,"-",SUM(V482:BC482))</f>
        <v>2</v>
      </c>
      <c r="N482" s="352">
        <f>IF(SUMPRODUCT($V$3:$BC$3,V482:BC482)=0,"-",SUMPRODUCT($V$3:$BC$3,V482:BC482))</f>
        <v>155</v>
      </c>
      <c r="O482" s="30" t="s">
        <v>1750</v>
      </c>
      <c r="P482" s="280" t="s">
        <v>481</v>
      </c>
      <c r="Q482" s="211">
        <v>4200673558</v>
      </c>
      <c r="R482" s="211"/>
      <c r="S482" s="211" t="s">
        <v>249</v>
      </c>
      <c r="T482" s="211" t="s">
        <v>1728</v>
      </c>
      <c r="U482" s="253" t="s">
        <v>1427</v>
      </c>
      <c r="V482" s="7">
        <v>1</v>
      </c>
      <c r="W482" s="8">
        <v>1</v>
      </c>
    </row>
    <row r="483" spans="1:35" hidden="1">
      <c r="A483" s="286" t="s">
        <v>244</v>
      </c>
      <c r="B483" s="286" t="s">
        <v>221</v>
      </c>
      <c r="C483" s="280" t="s">
        <v>2</v>
      </c>
      <c r="D483" s="281" t="str">
        <f>IF(F483="","",CHOOSE(MONTH(F483),"Q4","Q4","Q4","Q1","Q1","Q1","Q2","Q2","Q2","Q3","Q3","Q3"))</f>
        <v>Q2</v>
      </c>
      <c r="E483" s="282" t="str">
        <f>IF(F483="","",CHOOSE(MONTH(F483),"10-JAN","11-FEB","12-MAR","01-APR","02-MAY","03-JUN","04-JUL","05-AUG","06-SEP","07-OCT","08-NOV","09-DEC"))</f>
        <v>05-AUG</v>
      </c>
      <c r="F483" s="242">
        <v>45526</v>
      </c>
      <c r="G483" s="231" t="s">
        <v>1751</v>
      </c>
      <c r="H483" s="5" t="s">
        <v>27</v>
      </c>
      <c r="I483" s="29" t="s">
        <v>223</v>
      </c>
      <c r="J483" s="386" t="s">
        <v>127</v>
      </c>
      <c r="K483" s="281" t="s">
        <v>34</v>
      </c>
      <c r="L483" s="78" t="s">
        <v>1752</v>
      </c>
      <c r="M483" s="151">
        <f>IF(SUM(V483:BC483)=0,"-",SUM(V483:BC483))</f>
        <v>1</v>
      </c>
      <c r="N483" s="65">
        <f>IF(SUMPRODUCT($V$3:$BC$3,V483:BC483)=0,"-",SUMPRODUCT($V$3:$BC$3,V483:BC483))</f>
        <v>40</v>
      </c>
      <c r="O483" s="30" t="s">
        <v>1753</v>
      </c>
      <c r="P483" s="281" t="str">
        <f>IF(G483="","",IFERROR(IF(S483="Sent","",IF(I483="Delivered","PO en attente","Projet en cours")),""))</f>
        <v/>
      </c>
      <c r="Q483" s="211">
        <v>4200678470</v>
      </c>
      <c r="R483" s="211"/>
      <c r="S483" s="211" t="s">
        <v>249</v>
      </c>
      <c r="T483" s="211" t="s">
        <v>1754</v>
      </c>
      <c r="U483" s="253" t="s">
        <v>1755</v>
      </c>
      <c r="AD483" s="8">
        <v>1</v>
      </c>
    </row>
    <row r="484" spans="1:35" hidden="1">
      <c r="A484" s="286" t="s">
        <v>244</v>
      </c>
      <c r="B484" s="286" t="s">
        <v>221</v>
      </c>
      <c r="C484" s="280" t="s">
        <v>2</v>
      </c>
      <c r="D484" s="281" t="str">
        <f>IF(F484="","",CHOOSE(MONTH(F484),"Q4","Q4","Q4","Q1","Q1","Q1","Q2","Q2","Q2","Q3","Q3","Q3"))</f>
        <v>Q2</v>
      </c>
      <c r="E484" s="282" t="str">
        <f>IF(F484="","",CHOOSE(MONTH(F484),"10-JAN","11-FEB","12-MAR","01-APR","02-MAY","03-JUN","04-JUL","05-AUG","06-SEP","07-OCT","08-NOV","09-DEC"))</f>
        <v>05-AUG</v>
      </c>
      <c r="F484" s="242">
        <v>45527</v>
      </c>
      <c r="G484" s="231" t="s">
        <v>1756</v>
      </c>
      <c r="H484" s="5" t="s">
        <v>26</v>
      </c>
      <c r="I484" s="29" t="s">
        <v>223</v>
      </c>
      <c r="J484" s="8" t="s">
        <v>130</v>
      </c>
      <c r="K484" s="281" t="s">
        <v>30</v>
      </c>
      <c r="L484" s="78" t="s">
        <v>1757</v>
      </c>
      <c r="M484" s="151">
        <f>IF(SUM(V484:BC484)=0,"-",SUM(V484:BC484))</f>
        <v>1</v>
      </c>
      <c r="N484" s="65">
        <f>IF(SUMPRODUCT($V$3:$BC$3,V484:BC484)=0,"-",SUMPRODUCT($V$3:$BC$3,V484:BC484))</f>
        <v>120</v>
      </c>
      <c r="P484" s="280" t="s">
        <v>481</v>
      </c>
      <c r="Q484" s="211">
        <v>4200673574</v>
      </c>
      <c r="R484" s="211" t="s">
        <v>340</v>
      </c>
      <c r="S484" s="211" t="s">
        <v>249</v>
      </c>
      <c r="T484" s="211" t="s">
        <v>1758</v>
      </c>
      <c r="U484" s="257" t="s">
        <v>1671</v>
      </c>
      <c r="V484" s="7">
        <v>1</v>
      </c>
    </row>
    <row r="485" spans="1:35" hidden="1">
      <c r="A485" s="286" t="s">
        <v>244</v>
      </c>
      <c r="B485" s="286" t="s">
        <v>221</v>
      </c>
      <c r="C485" s="280" t="s">
        <v>2</v>
      </c>
      <c r="D485" s="281" t="str">
        <f>IF(F485="","",CHOOSE(MONTH(F485),"Q4","Q4","Q4","Q1","Q1","Q1","Q2","Q2","Q2","Q3","Q3","Q3"))</f>
        <v>Q2</v>
      </c>
      <c r="E485" s="282" t="str">
        <f>IF(F485="","",CHOOSE(MONTH(F485),"10-JAN","11-FEB","12-MAR","01-APR","02-MAY","03-JUN","04-JUL","05-AUG","06-SEP","07-OCT","08-NOV","09-DEC"))</f>
        <v>05-AUG</v>
      </c>
      <c r="F485" s="242">
        <v>45530</v>
      </c>
      <c r="G485" s="231" t="s">
        <v>1759</v>
      </c>
      <c r="H485" s="5" t="s">
        <v>36</v>
      </c>
      <c r="I485" s="29" t="s">
        <v>223</v>
      </c>
      <c r="J485" s="8" t="s">
        <v>69</v>
      </c>
      <c r="K485" s="281" t="s">
        <v>34</v>
      </c>
      <c r="L485" s="78" t="s">
        <v>1760</v>
      </c>
      <c r="M485" s="151">
        <f>IF(SUM(V485:BC485)=0,"-",SUM(V485:BC485))</f>
        <v>13</v>
      </c>
      <c r="N485" s="65">
        <f>IF(SUMPRODUCT($V$3:$BC$3,V485:BC485)=0,"-",SUMPRODUCT($V$3:$BC$3,V485:BC485))</f>
        <v>540</v>
      </c>
      <c r="O485" s="30" t="s">
        <v>1761</v>
      </c>
      <c r="P485" s="280" t="s">
        <v>481</v>
      </c>
      <c r="Q485" s="211">
        <v>4200671422</v>
      </c>
      <c r="R485" s="211"/>
      <c r="S485" s="211" t="s">
        <v>249</v>
      </c>
      <c r="T485" s="211" t="s">
        <v>1762</v>
      </c>
      <c r="U485" s="253" t="s">
        <v>1703</v>
      </c>
      <c r="V485" s="7">
        <v>1</v>
      </c>
      <c r="W485" s="8">
        <v>12</v>
      </c>
    </row>
    <row r="486" spans="1:35" hidden="1">
      <c r="A486" s="286" t="s">
        <v>244</v>
      </c>
      <c r="B486" s="286" t="s">
        <v>221</v>
      </c>
      <c r="C486" s="280" t="s">
        <v>2</v>
      </c>
      <c r="D486" s="281" t="str">
        <f>IF(F486="","",CHOOSE(MONTH(F486),"Q4","Q4","Q4","Q1","Q1","Q1","Q2","Q2","Q2","Q3","Q3","Q3"))</f>
        <v>Q2</v>
      </c>
      <c r="E486" s="282" t="str">
        <f>IF(F486="","",CHOOSE(MONTH(F486),"10-JAN","11-FEB","12-MAR","01-APR","02-MAY","03-JUN","04-JUL","05-AUG","06-SEP","07-OCT","08-NOV","09-DEC"))</f>
        <v>05-AUG</v>
      </c>
      <c r="F486" s="242">
        <v>45532</v>
      </c>
      <c r="G486" s="231" t="s">
        <v>42</v>
      </c>
      <c r="H486" t="s">
        <v>38</v>
      </c>
      <c r="I486" s="29" t="s">
        <v>223</v>
      </c>
      <c r="J486" s="8" t="s">
        <v>95</v>
      </c>
      <c r="K486" s="281" t="s">
        <v>34</v>
      </c>
      <c r="L486" s="30" t="s">
        <v>1763</v>
      </c>
      <c r="M486" s="151">
        <f>IF(SUM(V486:BC486)=0,"-",SUM(V486:BC486))</f>
        <v>1</v>
      </c>
      <c r="N486" s="65">
        <f>IF(SUMPRODUCT($V$3:$BC$3,V486:BC486)=0,"-",SUMPRODUCT($V$3:$BC$3,V486:BC486))</f>
        <v>40</v>
      </c>
      <c r="O486" s="30" t="s">
        <v>1764</v>
      </c>
      <c r="P486" s="280" t="s">
        <v>481</v>
      </c>
      <c r="Q486" s="211">
        <v>4270029565</v>
      </c>
      <c r="R486" s="211"/>
      <c r="S486" s="211" t="s">
        <v>249</v>
      </c>
      <c r="T486" s="211" t="s">
        <v>1765</v>
      </c>
      <c r="U486" s="253" t="s">
        <v>1306</v>
      </c>
      <c r="AD486" s="8">
        <v>1</v>
      </c>
    </row>
    <row r="487" spans="1:35" hidden="1">
      <c r="A487" s="286" t="s">
        <v>244</v>
      </c>
      <c r="B487" s="286" t="s">
        <v>221</v>
      </c>
      <c r="C487" s="280" t="s">
        <v>2</v>
      </c>
      <c r="D487" s="281" t="str">
        <f>IF(F487="","",CHOOSE(MONTH(F487),"Q4","Q4","Q4","Q1","Q1","Q1","Q2","Q2","Q2","Q3","Q3","Q3"))</f>
        <v>Q2</v>
      </c>
      <c r="E487" s="282" t="str">
        <f>IF(F487="","",CHOOSE(MONTH(F487),"10-JAN","11-FEB","12-MAR","01-APR","02-MAY","03-JUN","04-JUL","05-AUG","06-SEP","07-OCT","08-NOV","09-DEC"))</f>
        <v>05-AUG</v>
      </c>
      <c r="F487" s="242">
        <v>45534</v>
      </c>
      <c r="G487" s="231" t="s">
        <v>1766</v>
      </c>
      <c r="H487" s="5" t="s">
        <v>27</v>
      </c>
      <c r="I487" s="29" t="s">
        <v>223</v>
      </c>
      <c r="J487" s="8" t="s">
        <v>161</v>
      </c>
      <c r="K487" s="281" t="s">
        <v>34</v>
      </c>
      <c r="L487" s="30" t="s">
        <v>1767</v>
      </c>
      <c r="M487" s="151">
        <f>IF(SUM(V487:BC487)=0,"-",SUM(V487:BC487))</f>
        <v>1</v>
      </c>
      <c r="N487" s="65">
        <f>IF(SUMPRODUCT($V$3:$BC$3,V487:BC487)=0,"-",SUMPRODUCT($V$3:$BC$3,V487:BC487))</f>
        <v>40</v>
      </c>
      <c r="O487" s="30" t="s">
        <v>1768</v>
      </c>
      <c r="P487" s="280" t="s">
        <v>481</v>
      </c>
      <c r="Q487" s="211">
        <v>4200671135</v>
      </c>
      <c r="R487" s="211"/>
      <c r="S487" s="211" t="s">
        <v>249</v>
      </c>
      <c r="T487" s="211" t="s">
        <v>1769</v>
      </c>
      <c r="U487" s="253" t="s">
        <v>1427</v>
      </c>
      <c r="AD487" s="8">
        <v>1</v>
      </c>
    </row>
    <row r="488" spans="1:35" hidden="1">
      <c r="A488" s="286" t="s">
        <v>244</v>
      </c>
      <c r="B488" s="286" t="s">
        <v>221</v>
      </c>
      <c r="C488" s="280" t="s">
        <v>2</v>
      </c>
      <c r="D488" s="281" t="str">
        <f>IF(F488="","",CHOOSE(MONTH(F488),"Q4","Q4","Q4","Q1","Q1","Q1","Q2","Q2","Q2","Q3","Q3","Q3"))</f>
        <v>Q2</v>
      </c>
      <c r="E488" s="282" t="str">
        <f>IF(F488="","",CHOOSE(MONTH(F488),"10-JAN","11-FEB","12-MAR","01-APR","02-MAY","03-JUN","04-JUL","05-AUG","06-SEP","07-OCT","08-NOV","09-DEC"))</f>
        <v>06-SEP</v>
      </c>
      <c r="F488" s="242">
        <v>45537</v>
      </c>
      <c r="G488" s="236" t="s">
        <v>1770</v>
      </c>
      <c r="H488" s="5" t="s">
        <v>27</v>
      </c>
      <c r="I488" s="29" t="s">
        <v>223</v>
      </c>
      <c r="J488" s="8" t="s">
        <v>147</v>
      </c>
      <c r="K488" s="281" t="s">
        <v>34</v>
      </c>
      <c r="L488" s="78" t="s">
        <v>1771</v>
      </c>
      <c r="M488" s="151">
        <f>IF(SUM(V488:BC488)=0,"-",SUM(V488:BC488))</f>
        <v>1</v>
      </c>
      <c r="N488" s="65">
        <f>IF(SUMPRODUCT($V$3:$BC$3,V488:BC488)=0,"-",SUMPRODUCT($V$3:$BC$3,V488:BC488))</f>
        <v>180</v>
      </c>
      <c r="O488" s="30" t="s">
        <v>1772</v>
      </c>
      <c r="P488" s="280" t="s">
        <v>481</v>
      </c>
      <c r="Q488" s="211">
        <v>4200671135</v>
      </c>
      <c r="R488" s="211"/>
      <c r="S488" s="211" t="s">
        <v>249</v>
      </c>
      <c r="T488" s="211" t="s">
        <v>1682</v>
      </c>
      <c r="U488" s="253" t="s">
        <v>517</v>
      </c>
      <c r="AI488" s="8">
        <v>1</v>
      </c>
    </row>
    <row r="489" spans="1:35" hidden="1">
      <c r="A489" s="286" t="s">
        <v>244</v>
      </c>
      <c r="B489" s="286" t="s">
        <v>221</v>
      </c>
      <c r="C489" s="280" t="s">
        <v>2</v>
      </c>
      <c r="D489" s="281" t="str">
        <f>IF(F489="","",CHOOSE(MONTH(F489),"Q4","Q4","Q4","Q1","Q1","Q1","Q2","Q2","Q2","Q3","Q3","Q3"))</f>
        <v>Q2</v>
      </c>
      <c r="E489" s="282" t="str">
        <f>IF(F489="","",CHOOSE(MONTH(F489),"10-JAN","11-FEB","12-MAR","01-APR","02-MAY","03-JUN","04-JUL","05-AUG","06-SEP","07-OCT","08-NOV","09-DEC"))</f>
        <v>06-SEP</v>
      </c>
      <c r="F489" s="242">
        <v>45537</v>
      </c>
      <c r="G489" s="231" t="s">
        <v>1773</v>
      </c>
      <c r="H489" s="5" t="s">
        <v>35</v>
      </c>
      <c r="I489" s="29" t="s">
        <v>223</v>
      </c>
      <c r="J489" s="8" t="s">
        <v>95</v>
      </c>
      <c r="K489" s="281" t="s">
        <v>34</v>
      </c>
      <c r="L489" s="30" t="s">
        <v>1774</v>
      </c>
      <c r="M489" s="151">
        <f>IF(SUM(V489:BC489)=0,"-",SUM(V489:BC489))</f>
        <v>1</v>
      </c>
      <c r="N489" s="352">
        <f>IF(SUMPRODUCT($V$3:$BC$3,V489:BC489)=0,"-",SUMPRODUCT($V$3:$BC$3,V489:BC489))</f>
        <v>135</v>
      </c>
      <c r="O489" s="30" t="s">
        <v>1775</v>
      </c>
      <c r="P489" s="280" t="s">
        <v>481</v>
      </c>
      <c r="Q489" s="211">
        <v>4200673558</v>
      </c>
      <c r="R489" s="211"/>
      <c r="S489" s="211" t="s">
        <v>249</v>
      </c>
      <c r="T489" s="211" t="s">
        <v>1776</v>
      </c>
      <c r="U489" s="253" t="s">
        <v>1427</v>
      </c>
      <c r="AC489" s="7">
        <v>1</v>
      </c>
    </row>
    <row r="490" spans="1:35" hidden="1">
      <c r="A490" s="286" t="s">
        <v>244</v>
      </c>
      <c r="B490" s="286" t="s">
        <v>221</v>
      </c>
      <c r="C490" s="280" t="s">
        <v>2</v>
      </c>
      <c r="D490" s="281" t="str">
        <f>IF(F490="","",CHOOSE(MONTH(F490),"Q4","Q4","Q4","Q1","Q1","Q1","Q2","Q2","Q2","Q3","Q3","Q3"))</f>
        <v>Q2</v>
      </c>
      <c r="E490" s="282" t="str">
        <f>IF(F490="","",CHOOSE(MONTH(F490),"10-JAN","11-FEB","12-MAR","01-APR","02-MAY","03-JUN","04-JUL","05-AUG","06-SEP","07-OCT","08-NOV","09-DEC"))</f>
        <v>06-SEP</v>
      </c>
      <c r="F490" s="242">
        <v>45537</v>
      </c>
      <c r="G490" s="231" t="s">
        <v>1777</v>
      </c>
      <c r="H490" s="5" t="s">
        <v>26</v>
      </c>
      <c r="I490" s="29" t="s">
        <v>223</v>
      </c>
      <c r="J490" s="8" t="s">
        <v>93</v>
      </c>
      <c r="K490" s="281" t="s">
        <v>30</v>
      </c>
      <c r="L490" s="30" t="s">
        <v>1778</v>
      </c>
      <c r="M490" s="151">
        <f>IF(SUM(V490:BC490)=0,"-",SUM(V490:BC490))</f>
        <v>2</v>
      </c>
      <c r="N490" s="65">
        <f>IF(SUMPRODUCT($V$3:$BC$3,V490:BC490)=0,"-",SUMPRODUCT($V$3:$BC$3,V490:BC490))</f>
        <v>70</v>
      </c>
      <c r="P490" s="280" t="s">
        <v>481</v>
      </c>
      <c r="Q490" s="211">
        <v>4200673568</v>
      </c>
      <c r="R490" s="211" t="s">
        <v>340</v>
      </c>
      <c r="S490" s="211" t="s">
        <v>249</v>
      </c>
      <c r="T490" s="211" t="s">
        <v>1779</v>
      </c>
      <c r="U490" s="257" t="s">
        <v>1671</v>
      </c>
      <c r="W490" s="8">
        <v>2</v>
      </c>
    </row>
    <row r="491" spans="1:35" hidden="1" outlineLevel="1">
      <c r="A491" s="286" t="s">
        <v>244</v>
      </c>
      <c r="B491" s="286" t="s">
        <v>221</v>
      </c>
      <c r="C491" s="280" t="s">
        <v>2</v>
      </c>
      <c r="D491" s="281" t="str">
        <f>IF(F491="","",CHOOSE(MONTH(F491),"Q4","Q4","Q4","Q1","Q1","Q1","Q2","Q2","Q2","Q3","Q3","Q3"))</f>
        <v>Q2</v>
      </c>
      <c r="E491" s="282" t="str">
        <f>IF(F491="","",CHOOSE(MONTH(F491),"10-JAN","11-FEB","12-MAR","01-APR","02-MAY","03-JUN","04-JUL","05-AUG","06-SEP","07-OCT","08-NOV","09-DEC"))</f>
        <v>06-SEP</v>
      </c>
      <c r="F491" s="242">
        <v>45539</v>
      </c>
      <c r="G491" s="236" t="s">
        <v>1780</v>
      </c>
      <c r="H491" s="5" t="s">
        <v>27</v>
      </c>
      <c r="I491" s="29" t="s">
        <v>223</v>
      </c>
      <c r="J491" s="8" t="s">
        <v>161</v>
      </c>
      <c r="K491" s="281" t="s">
        <v>34</v>
      </c>
      <c r="L491" s="78" t="s">
        <v>1781</v>
      </c>
      <c r="M491" s="151">
        <f>IF(SUM(V491:BC491)=0,"-",SUM(V491:BC491))</f>
        <v>1</v>
      </c>
      <c r="N491" s="65">
        <f>IF(SUMPRODUCT($V$3:$BC$3,V491:BC491)=0,"-",SUMPRODUCT($V$3:$BC$3,V491:BC491))</f>
        <v>135</v>
      </c>
      <c r="O491" s="30" t="s">
        <v>1782</v>
      </c>
      <c r="P491" s="280" t="s">
        <v>481</v>
      </c>
      <c r="Q491" s="211">
        <v>4200671135</v>
      </c>
      <c r="R491" s="211"/>
      <c r="S491" s="211" t="s">
        <v>249</v>
      </c>
      <c r="T491" s="211" t="s">
        <v>1682</v>
      </c>
      <c r="U491" s="253" t="s">
        <v>517</v>
      </c>
      <c r="AC491" s="7">
        <v>1</v>
      </c>
    </row>
    <row r="492" spans="1:35" hidden="1" collapsed="1">
      <c r="A492" s="286" t="s">
        <v>244</v>
      </c>
      <c r="B492" s="286" t="s">
        <v>221</v>
      </c>
      <c r="C492" s="280" t="s">
        <v>2</v>
      </c>
      <c r="D492" s="281" t="str">
        <f>IF(F492="","",CHOOSE(MONTH(F492),"Q4","Q4","Q4","Q1","Q1","Q1","Q2","Q2","Q2","Q3","Q3","Q3"))</f>
        <v>Q2</v>
      </c>
      <c r="E492" s="282" t="str">
        <f>IF(F492="","",CHOOSE(MONTH(F492),"10-JAN","11-FEB","12-MAR","01-APR","02-MAY","03-JUN","04-JUL","05-AUG","06-SEP","07-OCT","08-NOV","09-DEC"))</f>
        <v>06-SEP</v>
      </c>
      <c r="F492" s="242">
        <v>45539</v>
      </c>
      <c r="G492" s="236" t="s">
        <v>1783</v>
      </c>
      <c r="H492" s="5" t="s">
        <v>35</v>
      </c>
      <c r="I492" s="29" t="s">
        <v>223</v>
      </c>
      <c r="J492" s="8" t="s">
        <v>95</v>
      </c>
      <c r="K492" s="281" t="s">
        <v>34</v>
      </c>
      <c r="L492" s="30" t="s">
        <v>1784</v>
      </c>
      <c r="M492" s="105">
        <v>1</v>
      </c>
      <c r="N492" s="352">
        <f>IF(SUMPRODUCT($V$3:$BC$3,V492:BC492)=0,"-",SUMPRODUCT($V$3:$BC$3,V492:BC492))</f>
        <v>135</v>
      </c>
      <c r="O492" s="30" t="s">
        <v>1785</v>
      </c>
      <c r="P492" s="280" t="s">
        <v>481</v>
      </c>
      <c r="Q492" s="211">
        <v>4200673562</v>
      </c>
      <c r="R492" s="211"/>
      <c r="S492" s="211" t="s">
        <v>249</v>
      </c>
      <c r="T492" s="211" t="s">
        <v>1786</v>
      </c>
      <c r="U492" s="253" t="s">
        <v>1427</v>
      </c>
      <c r="AC492" s="7">
        <v>1</v>
      </c>
    </row>
    <row r="493" spans="1:35" hidden="1">
      <c r="A493" s="286" t="s">
        <v>244</v>
      </c>
      <c r="B493" s="286" t="s">
        <v>221</v>
      </c>
      <c r="C493" s="280" t="s">
        <v>2</v>
      </c>
      <c r="D493" s="281" t="str">
        <f>IF(F493="","",CHOOSE(MONTH(F493),"Q4","Q4","Q4","Q1","Q1","Q1","Q2","Q2","Q2","Q3","Q3","Q3"))</f>
        <v>Q2</v>
      </c>
      <c r="E493" s="282" t="str">
        <f>IF(F493="","",CHOOSE(MONTH(F493),"10-JAN","11-FEB","12-MAR","01-APR","02-MAY","03-JUN","04-JUL","05-AUG","06-SEP","07-OCT","08-NOV","09-DEC"))</f>
        <v>06-SEP</v>
      </c>
      <c r="F493" s="242">
        <v>45541</v>
      </c>
      <c r="G493" s="236" t="s">
        <v>61</v>
      </c>
      <c r="H493" s="5" t="s">
        <v>1787</v>
      </c>
      <c r="I493" s="29" t="s">
        <v>223</v>
      </c>
      <c r="J493" s="8" t="s">
        <v>69</v>
      </c>
      <c r="K493" s="281" t="s">
        <v>34</v>
      </c>
      <c r="L493" s="30" t="s">
        <v>1788</v>
      </c>
      <c r="M493" s="105">
        <v>1</v>
      </c>
      <c r="N493" s="65">
        <f>IF(SUMPRODUCT($V$3:$BC$3,V493:BC493)=0,"-",SUMPRODUCT($V$3:$BC$3,V493:BC493))</f>
        <v>120</v>
      </c>
      <c r="O493" s="30" t="s">
        <v>1789</v>
      </c>
      <c r="P493" s="280" t="s">
        <v>481</v>
      </c>
      <c r="Q493" s="211">
        <v>4200671413</v>
      </c>
      <c r="R493" s="211"/>
      <c r="S493" s="211" t="s">
        <v>249</v>
      </c>
      <c r="T493" s="211" t="s">
        <v>1790</v>
      </c>
      <c r="U493" s="253" t="s">
        <v>1703</v>
      </c>
      <c r="V493" s="7">
        <v>1</v>
      </c>
    </row>
    <row r="494" spans="1:35" hidden="1">
      <c r="A494" s="286" t="s">
        <v>244</v>
      </c>
      <c r="B494" s="286" t="s">
        <v>221</v>
      </c>
      <c r="C494" s="280" t="s">
        <v>2</v>
      </c>
      <c r="D494" s="281" t="str">
        <f>IF(F494="","",CHOOSE(MONTH(F494),"Q4","Q4","Q4","Q1","Q1","Q1","Q2","Q2","Q2","Q3","Q3","Q3"))</f>
        <v>Q2</v>
      </c>
      <c r="E494" s="282" t="str">
        <f>IF(F494="","",CHOOSE(MONTH(F494),"10-JAN","11-FEB","12-MAR","01-APR","02-MAY","03-JUN","04-JUL","05-AUG","06-SEP","07-OCT","08-NOV","09-DEC"))</f>
        <v>06-SEP</v>
      </c>
      <c r="F494" s="242">
        <v>45541</v>
      </c>
      <c r="G494" s="236" t="s">
        <v>60</v>
      </c>
      <c r="H494" s="5" t="s">
        <v>1787</v>
      </c>
      <c r="I494" s="29" t="s">
        <v>223</v>
      </c>
      <c r="J494" s="8" t="s">
        <v>69</v>
      </c>
      <c r="K494" s="281" t="s">
        <v>34</v>
      </c>
      <c r="L494" s="30" t="s">
        <v>1791</v>
      </c>
      <c r="M494" s="105">
        <v>1</v>
      </c>
      <c r="N494" s="65">
        <f>IF(SUMPRODUCT($V$3:$BC$3,V494:BC494)=0,"-",SUMPRODUCT($V$3:$BC$3,V494:BC494))</f>
        <v>720</v>
      </c>
      <c r="O494" s="30" t="s">
        <v>1792</v>
      </c>
      <c r="P494" s="280" t="s">
        <v>481</v>
      </c>
      <c r="Q494" s="211">
        <v>4200671421</v>
      </c>
      <c r="R494" s="211"/>
      <c r="S494" s="211" t="s">
        <v>249</v>
      </c>
      <c r="T494" s="211" t="s">
        <v>1793</v>
      </c>
      <c r="U494" s="253" t="s">
        <v>1703</v>
      </c>
      <c r="W494" s="8">
        <v>16</v>
      </c>
      <c r="AD494" s="8">
        <v>4</v>
      </c>
    </row>
    <row r="495" spans="1:35" hidden="1">
      <c r="A495" s="286" t="s">
        <v>244</v>
      </c>
      <c r="B495" s="286" t="s">
        <v>221</v>
      </c>
      <c r="C495" s="280" t="s">
        <v>2</v>
      </c>
      <c r="D495" s="281" t="str">
        <f>IF(F495="","",CHOOSE(MONTH(F495),"Q4","Q4","Q4","Q1","Q1","Q1","Q2","Q2","Q2","Q3","Q3","Q3"))</f>
        <v>Q2</v>
      </c>
      <c r="E495" s="282" t="str">
        <f>IF(F495="","",CHOOSE(MONTH(F495),"10-JAN","11-FEB","12-MAR","01-APR","02-MAY","03-JUN","04-JUL","05-AUG","06-SEP","07-OCT","08-NOV","09-DEC"))</f>
        <v>06-SEP</v>
      </c>
      <c r="F495" s="242">
        <v>45544</v>
      </c>
      <c r="G495" s="236" t="s">
        <v>1794</v>
      </c>
      <c r="H495" s="5" t="s">
        <v>35</v>
      </c>
      <c r="I495" s="29" t="s">
        <v>223</v>
      </c>
      <c r="J495" s="8" t="s">
        <v>95</v>
      </c>
      <c r="K495" s="281" t="s">
        <v>34</v>
      </c>
      <c r="L495" s="30" t="s">
        <v>1795</v>
      </c>
      <c r="M495" s="105">
        <v>1</v>
      </c>
      <c r="N495" s="352">
        <f>IF(SUMPRODUCT($V$3:$BC$3,V495:BC495)=0,"-",SUMPRODUCT($V$3:$BC$3,V495:BC495))</f>
        <v>135</v>
      </c>
      <c r="O495" s="30" t="s">
        <v>1796</v>
      </c>
      <c r="P495" s="280" t="s">
        <v>481</v>
      </c>
      <c r="Q495" s="211">
        <v>4200671912</v>
      </c>
      <c r="R495" s="211"/>
      <c r="S495" s="211" t="s">
        <v>249</v>
      </c>
      <c r="T495" s="211" t="s">
        <v>1797</v>
      </c>
      <c r="U495" s="253" t="s">
        <v>1703</v>
      </c>
      <c r="AC495" s="7">
        <v>1</v>
      </c>
    </row>
    <row r="496" spans="1:35" hidden="1">
      <c r="A496" s="286" t="s">
        <v>244</v>
      </c>
      <c r="B496" s="286" t="s">
        <v>221</v>
      </c>
      <c r="C496" s="280" t="s">
        <v>2</v>
      </c>
      <c r="D496" s="281" t="str">
        <f>IF(F496="","",CHOOSE(MONTH(F496),"Q4","Q4","Q4","Q1","Q1","Q1","Q2","Q2","Q2","Q3","Q3","Q3"))</f>
        <v>Q2</v>
      </c>
      <c r="E496" s="282" t="str">
        <f>IF(F496="","",CHOOSE(MONTH(F496),"10-JAN","11-FEB","12-MAR","01-APR","02-MAY","03-JUN","04-JUL","05-AUG","06-SEP","07-OCT","08-NOV","09-DEC"))</f>
        <v>06-SEP</v>
      </c>
      <c r="F496" s="242">
        <v>45546</v>
      </c>
      <c r="G496" s="236" t="s">
        <v>1798</v>
      </c>
      <c r="H496" s="459" t="s">
        <v>764</v>
      </c>
      <c r="I496" s="29" t="s">
        <v>223</v>
      </c>
      <c r="J496" s="8" t="s">
        <v>129</v>
      </c>
      <c r="K496" s="281" t="s">
        <v>34</v>
      </c>
      <c r="L496" s="78" t="s">
        <v>1799</v>
      </c>
      <c r="M496" s="151">
        <f>IF(SUM(V495:BC495)=0,"-",SUM(V495:BC495))</f>
        <v>1</v>
      </c>
      <c r="N496" s="65">
        <f>IF(SUMPRODUCT($V$3:$BC$3,V496:BC496)=0,"-",SUMPRODUCT($V$3:$BC$3,V496:BC496))</f>
        <v>250</v>
      </c>
      <c r="O496" s="30" t="s">
        <v>1800</v>
      </c>
      <c r="P496" s="279"/>
      <c r="Q496" s="211">
        <v>4200665532</v>
      </c>
      <c r="R496" s="211"/>
      <c r="S496" s="211" t="s">
        <v>249</v>
      </c>
      <c r="T496" s="425" t="s">
        <v>1801</v>
      </c>
      <c r="U496" s="253" t="s">
        <v>1802</v>
      </c>
      <c r="AF496" s="8">
        <v>1</v>
      </c>
    </row>
    <row r="497" spans="1:32" hidden="1">
      <c r="A497" s="286" t="s">
        <v>244</v>
      </c>
      <c r="B497" s="286" t="s">
        <v>221</v>
      </c>
      <c r="C497" s="280" t="s">
        <v>2</v>
      </c>
      <c r="D497" s="281" t="str">
        <f>IF(F497="","",CHOOSE(MONTH(F497),"Q4","Q4","Q4","Q1","Q1","Q1","Q2","Q2","Q2","Q3","Q3","Q3"))</f>
        <v>Q2</v>
      </c>
      <c r="E497" s="282" t="str">
        <f>IF(F497="","",CHOOSE(MONTH(F497),"10-JAN","11-FEB","12-MAR","01-APR","02-MAY","03-JUN","04-JUL","05-AUG","06-SEP","07-OCT","08-NOV","09-DEC"))</f>
        <v>06-SEP</v>
      </c>
      <c r="F497" s="242">
        <v>45546</v>
      </c>
      <c r="G497" s="231" t="s">
        <v>1803</v>
      </c>
      <c r="H497" s="5" t="s">
        <v>1787</v>
      </c>
      <c r="I497" s="29" t="s">
        <v>223</v>
      </c>
      <c r="J497" s="8" t="s">
        <v>69</v>
      </c>
      <c r="K497" s="281" t="s">
        <v>34</v>
      </c>
      <c r="L497" s="78" t="s">
        <v>1804</v>
      </c>
      <c r="M497" s="151">
        <f>IF(SUM(V497:BC497)=0,"-",SUM(V497:BC497))</f>
        <v>1</v>
      </c>
      <c r="N497" s="65">
        <f>IF(SUMPRODUCT($V$3:$BC$3,V497:BC497)=0,"-",SUMPRODUCT($V$3:$BC$3,V497:BC497))</f>
        <v>250</v>
      </c>
      <c r="O497" s="30" t="s">
        <v>1805</v>
      </c>
      <c r="P497" s="280" t="s">
        <v>481</v>
      </c>
      <c r="Q497" s="211">
        <v>4200671412</v>
      </c>
      <c r="R497" s="211"/>
      <c r="S497" s="211" t="s">
        <v>249</v>
      </c>
      <c r="T497" s="211" t="s">
        <v>1806</v>
      </c>
      <c r="U497" s="253" t="s">
        <v>1703</v>
      </c>
      <c r="AF497" s="8">
        <v>1</v>
      </c>
    </row>
    <row r="498" spans="1:32" hidden="1">
      <c r="A498" s="286" t="s">
        <v>244</v>
      </c>
      <c r="B498" s="286" t="s">
        <v>221</v>
      </c>
      <c r="C498" s="280" t="s">
        <v>2</v>
      </c>
      <c r="D498" s="281" t="str">
        <f>IF(F498="","",CHOOSE(MONTH(F498),"Q4","Q4","Q4","Q1","Q1","Q1","Q2","Q2","Q2","Q3","Q3","Q3"))</f>
        <v>Q2</v>
      </c>
      <c r="E498" s="282" t="str">
        <f>IF(F498="","",CHOOSE(MONTH(F498),"10-JAN","11-FEB","12-MAR","01-APR","02-MAY","03-JUN","04-JUL","05-AUG","06-SEP","07-OCT","08-NOV","09-DEC"))</f>
        <v>06-SEP</v>
      </c>
      <c r="F498" s="242">
        <v>45546</v>
      </c>
      <c r="G498" s="231" t="s">
        <v>29</v>
      </c>
      <c r="H498" s="5" t="s">
        <v>1787</v>
      </c>
      <c r="I498" s="29" t="s">
        <v>223</v>
      </c>
      <c r="J498" s="8" t="s">
        <v>69</v>
      </c>
      <c r="K498" s="281" t="s">
        <v>34</v>
      </c>
      <c r="L498" s="78" t="s">
        <v>1804</v>
      </c>
      <c r="M498" s="151">
        <f>IF(SUM(V498:BC498)=0,"-",SUM(V498:BC498))</f>
        <v>1</v>
      </c>
      <c r="N498" s="65">
        <f>IF(SUMPRODUCT($V$3:$BC$3,V498:BC498)=0,"-",SUMPRODUCT($V$3:$BC$3,V498:BC498))</f>
        <v>180</v>
      </c>
      <c r="O498" s="30" t="s">
        <v>1805</v>
      </c>
      <c r="P498" s="280" t="s">
        <v>481</v>
      </c>
      <c r="Q498" s="211">
        <v>4200671808</v>
      </c>
      <c r="R498" s="211"/>
      <c r="S498" s="211" t="s">
        <v>249</v>
      </c>
      <c r="T498" s="211" t="s">
        <v>1807</v>
      </c>
      <c r="U498" s="253" t="s">
        <v>1703</v>
      </c>
      <c r="AE498" s="8">
        <v>1</v>
      </c>
    </row>
    <row r="499" spans="1:32" hidden="1">
      <c r="A499" s="286" t="s">
        <v>244</v>
      </c>
      <c r="B499" s="286" t="s">
        <v>221</v>
      </c>
      <c r="C499" s="280" t="s">
        <v>2</v>
      </c>
      <c r="D499" s="281" t="str">
        <f>IF(F499="","",CHOOSE(MONTH(F499),"Q4","Q4","Q4","Q1","Q1","Q1","Q2","Q2","Q2","Q3","Q3","Q3"))</f>
        <v>Q2</v>
      </c>
      <c r="E499" s="282" t="str">
        <f>IF(F499="","",CHOOSE(MONTH(F499),"10-JAN","11-FEB","12-MAR","01-APR","02-MAY","03-JUN","04-JUL","05-AUG","06-SEP","07-OCT","08-NOV","09-DEC"))</f>
        <v>06-SEP</v>
      </c>
      <c r="F499" s="242">
        <v>45546</v>
      </c>
      <c r="G499" s="236" t="s">
        <v>1808</v>
      </c>
      <c r="H499" s="5" t="s">
        <v>27</v>
      </c>
      <c r="I499" s="29" t="s">
        <v>223</v>
      </c>
      <c r="J499" s="8" t="s">
        <v>127</v>
      </c>
      <c r="K499" s="281" t="s">
        <v>34</v>
      </c>
      <c r="L499" s="30" t="s">
        <v>1809</v>
      </c>
      <c r="M499" s="105">
        <v>3</v>
      </c>
      <c r="N499" s="65">
        <f>IF(SUMPRODUCT($V$3:$BC$3,V499:BC499)=0,"-",SUMPRODUCT($V$3:$BC$3,V499:BC499))</f>
        <v>215</v>
      </c>
      <c r="O499" s="30" t="s">
        <v>1810</v>
      </c>
      <c r="P499" s="280" t="s">
        <v>481</v>
      </c>
      <c r="Q499" s="211">
        <v>4200667507</v>
      </c>
      <c r="R499" s="211"/>
      <c r="S499" s="211" t="s">
        <v>249</v>
      </c>
      <c r="T499" s="211" t="s">
        <v>1453</v>
      </c>
      <c r="U499" s="253" t="s">
        <v>1427</v>
      </c>
      <c r="AC499" s="7">
        <v>1</v>
      </c>
      <c r="AD499" s="8">
        <v>2</v>
      </c>
    </row>
    <row r="500" spans="1:32" hidden="1">
      <c r="A500" s="286" t="s">
        <v>244</v>
      </c>
      <c r="B500" s="286" t="s">
        <v>221</v>
      </c>
      <c r="C500" s="280" t="s">
        <v>2</v>
      </c>
      <c r="D500" s="281" t="str">
        <f>IF(F500="","",CHOOSE(MONTH(F500),"Q4","Q4","Q4","Q1","Q1","Q1","Q2","Q2","Q2","Q3","Q3","Q3"))</f>
        <v>Q2</v>
      </c>
      <c r="E500" s="282" t="str">
        <f>IF(F500="","",CHOOSE(MONTH(F500),"10-JAN","11-FEB","12-MAR","01-APR","02-MAY","03-JUN","04-JUL","05-AUG","06-SEP","07-OCT","08-NOV","09-DEC"))</f>
        <v>06-SEP</v>
      </c>
      <c r="F500" s="242">
        <v>45546</v>
      </c>
      <c r="G500" s="231" t="s">
        <v>1811</v>
      </c>
      <c r="H500" s="5" t="s">
        <v>27</v>
      </c>
      <c r="I500" s="29" t="s">
        <v>223</v>
      </c>
      <c r="J500" s="8" t="s">
        <v>161</v>
      </c>
      <c r="K500" s="281" t="s">
        <v>34</v>
      </c>
      <c r="L500" s="78" t="s">
        <v>1812</v>
      </c>
      <c r="M500" s="151">
        <f>IF(SUM(V500:BC500)=0,"-",SUM(V500:BC500))</f>
        <v>3</v>
      </c>
      <c r="N500" s="65">
        <f>IF(SUMPRODUCT($V$3:$BC$3,V500:BC500)=0,"-",SUMPRODUCT($V$3:$BC$3,V500:BC500))</f>
        <v>120</v>
      </c>
      <c r="O500" s="30" t="s">
        <v>1813</v>
      </c>
      <c r="P500" s="280" t="s">
        <v>481</v>
      </c>
      <c r="Q500" s="211">
        <v>4200671135</v>
      </c>
      <c r="R500" s="211"/>
      <c r="S500" s="211" t="s">
        <v>249</v>
      </c>
      <c r="T500" s="211" t="s">
        <v>1769</v>
      </c>
      <c r="U500" s="253" t="s">
        <v>1427</v>
      </c>
      <c r="AD500" s="8">
        <v>3</v>
      </c>
    </row>
    <row r="501" spans="1:32" hidden="1" outlineLevel="1">
      <c r="A501" s="286" t="s">
        <v>244</v>
      </c>
      <c r="B501" s="286" t="s">
        <v>221</v>
      </c>
      <c r="C501" s="280" t="s">
        <v>2</v>
      </c>
      <c r="D501" s="281" t="str">
        <f>IF(F501="","",CHOOSE(MONTH(F501),"Q4","Q4","Q4","Q1","Q1","Q1","Q2","Q2","Q2","Q3","Q3","Q3"))</f>
        <v>Q2</v>
      </c>
      <c r="E501" s="282" t="str">
        <f>IF(F501="","",CHOOSE(MONTH(F501),"10-JAN","11-FEB","12-MAR","01-APR","02-MAY","03-JUN","04-JUL","05-AUG","06-SEP","07-OCT","08-NOV","09-DEC"))</f>
        <v>06-SEP</v>
      </c>
      <c r="F501" s="242">
        <v>45546</v>
      </c>
      <c r="G501" s="231" t="s">
        <v>1814</v>
      </c>
      <c r="H501" s="5" t="s">
        <v>27</v>
      </c>
      <c r="I501" s="29" t="s">
        <v>223</v>
      </c>
      <c r="J501" s="8" t="s">
        <v>147</v>
      </c>
      <c r="K501" s="281" t="s">
        <v>34</v>
      </c>
      <c r="L501" s="78" t="s">
        <v>1815</v>
      </c>
      <c r="M501" s="151">
        <f>IF(SUM(V501:BC501)=0,"-",SUM(V501:BC501))</f>
        <v>3</v>
      </c>
      <c r="N501" s="65">
        <f>IF(SUMPRODUCT($V$3:$BC$3,V501:BC501)=0,"-",SUMPRODUCT($V$3:$BC$3,V501:BC501))</f>
        <v>120</v>
      </c>
      <c r="O501" s="30" t="s">
        <v>1816</v>
      </c>
      <c r="P501" s="280" t="s">
        <v>481</v>
      </c>
      <c r="Q501" s="211">
        <v>4200671135</v>
      </c>
      <c r="R501" s="211"/>
      <c r="S501" s="211" t="s">
        <v>249</v>
      </c>
      <c r="T501" s="211" t="s">
        <v>1769</v>
      </c>
      <c r="U501" s="253" t="s">
        <v>1427</v>
      </c>
      <c r="AD501" s="8">
        <v>3</v>
      </c>
    </row>
    <row r="502" spans="1:32" hidden="1" collapsed="1">
      <c r="A502" s="286" t="s">
        <v>244</v>
      </c>
      <c r="B502" s="286" t="s">
        <v>221</v>
      </c>
      <c r="C502" s="280" t="s">
        <v>2</v>
      </c>
      <c r="D502" s="281" t="str">
        <f>IF(F502="","",CHOOSE(MONTH(F502),"Q4","Q4","Q4","Q1","Q1","Q1","Q2","Q2","Q2","Q3","Q3","Q3"))</f>
        <v>Q2</v>
      </c>
      <c r="E502" s="282" t="str">
        <f>IF(F502="","",CHOOSE(MONTH(F502),"10-JAN","11-FEB","12-MAR","01-APR","02-MAY","03-JUN","04-JUL","05-AUG","06-SEP","07-OCT","08-NOV","09-DEC"))</f>
        <v>06-SEP</v>
      </c>
      <c r="F502" s="242">
        <v>45547</v>
      </c>
      <c r="G502" s="236" t="s">
        <v>1817</v>
      </c>
      <c r="H502" s="5" t="s">
        <v>26</v>
      </c>
      <c r="I502" s="29" t="s">
        <v>223</v>
      </c>
      <c r="J502" s="8" t="s">
        <v>93</v>
      </c>
      <c r="K502" s="281" t="str">
        <f>IF(H502="","",IFERROR(VLOOKUP(H502,Instructions!D:E,2,0),"BA"))</f>
        <v>CM</v>
      </c>
      <c r="L502" s="78" t="s">
        <v>1818</v>
      </c>
      <c r="M502" s="151">
        <f>IF(SUM(V502:BC502)=0,"-",SUM(V502:BC502))</f>
        <v>2</v>
      </c>
      <c r="N502" s="65">
        <f>IF(SUMPRODUCT($V$3:$BC$3,V502:BC502)=0,"-",SUMPRODUCT($V$3:$BC$3,V502:BC502))</f>
        <v>70</v>
      </c>
      <c r="Q502" s="211">
        <v>4200673568</v>
      </c>
      <c r="R502" s="211" t="s">
        <v>340</v>
      </c>
      <c r="S502" s="211" t="s">
        <v>249</v>
      </c>
      <c r="T502" s="211" t="s">
        <v>1779</v>
      </c>
      <c r="U502" s="257" t="s">
        <v>1671</v>
      </c>
      <c r="W502" s="8">
        <v>2</v>
      </c>
    </row>
    <row r="503" spans="1:32" hidden="1">
      <c r="A503" s="286" t="s">
        <v>244</v>
      </c>
      <c r="B503" s="286" t="s">
        <v>221</v>
      </c>
      <c r="C503" s="280" t="s">
        <v>2</v>
      </c>
      <c r="D503" s="281" t="str">
        <f>IF(F503="","",CHOOSE(MONTH(F503),"Q4","Q4","Q4","Q1","Q1","Q1","Q2","Q2","Q2","Q3","Q3","Q3"))</f>
        <v>Q2</v>
      </c>
      <c r="E503" s="282" t="str">
        <f>IF(F503="","",CHOOSE(MONTH(F503),"10-JAN","11-FEB","12-MAR","01-APR","02-MAY","03-JUN","04-JUL","05-AUG","06-SEP","07-OCT","08-NOV","09-DEC"))</f>
        <v>06-SEP</v>
      </c>
      <c r="F503" s="242">
        <v>45547</v>
      </c>
      <c r="G503" s="231" t="s">
        <v>1819</v>
      </c>
      <c r="H503" s="5" t="s">
        <v>26</v>
      </c>
      <c r="I503" s="118" t="s">
        <v>223</v>
      </c>
      <c r="J503" s="8" t="s">
        <v>69</v>
      </c>
      <c r="K503" s="281" t="s">
        <v>30</v>
      </c>
      <c r="L503" s="30" t="s">
        <v>1820</v>
      </c>
      <c r="M503" s="151">
        <f>IF(SUM(V503:BC503)=0,"-",SUM(V503:BC503))</f>
        <v>2</v>
      </c>
      <c r="N503" s="65">
        <f>IF(SUMPRODUCT($V$3:$BC$3,V503:BC503)=0,"-",SUMPRODUCT($V$3:$BC$3,V503:BC503))</f>
        <v>155</v>
      </c>
      <c r="Q503" s="139">
        <v>4200673779</v>
      </c>
      <c r="R503" s="260" t="s">
        <v>1302</v>
      </c>
      <c r="S503" s="211" t="s">
        <v>249</v>
      </c>
      <c r="T503" s="211" t="s">
        <v>1821</v>
      </c>
      <c r="U503" s="253" t="s">
        <v>1226</v>
      </c>
      <c r="V503" s="7">
        <v>1</v>
      </c>
      <c r="W503" s="8">
        <v>1</v>
      </c>
    </row>
    <row r="504" spans="1:32" hidden="1" outlineLevel="1">
      <c r="A504" s="286" t="s">
        <v>244</v>
      </c>
      <c r="B504" s="286" t="s">
        <v>221</v>
      </c>
      <c r="C504" s="280" t="s">
        <v>2</v>
      </c>
      <c r="D504" s="281" t="str">
        <f>IF(F504="","",CHOOSE(MONTH(F504),"Q4","Q4","Q4","Q1","Q1","Q1","Q2","Q2","Q2","Q3","Q3","Q3"))</f>
        <v>Q2</v>
      </c>
      <c r="E504" s="282" t="str">
        <f>IF(F504="","",CHOOSE(MONTH(F504),"10-JAN","11-FEB","12-MAR","01-APR","02-MAY","03-JUN","04-JUL","05-AUG","06-SEP","07-OCT","08-NOV","09-DEC"))</f>
        <v>06-SEP</v>
      </c>
      <c r="F504" s="242">
        <v>45551</v>
      </c>
      <c r="G504" s="236" t="s">
        <v>1822</v>
      </c>
      <c r="H504" s="5" t="s">
        <v>26</v>
      </c>
      <c r="I504" s="29" t="s">
        <v>223</v>
      </c>
      <c r="J504" s="8" t="s">
        <v>69</v>
      </c>
      <c r="K504" s="281" t="s">
        <v>30</v>
      </c>
      <c r="L504" s="30" t="s">
        <v>1823</v>
      </c>
      <c r="M504" s="105">
        <v>3</v>
      </c>
      <c r="N504" s="65">
        <f>IF(SUMPRODUCT($V$3:$BC$3,V504:BC504)=0,"-",SUMPRODUCT($V$3:$BC$3,V504:BC504))</f>
        <v>465</v>
      </c>
      <c r="Q504" s="211">
        <v>4200673779</v>
      </c>
      <c r="R504" s="211" t="s">
        <v>340</v>
      </c>
      <c r="S504" s="211" t="s">
        <v>249</v>
      </c>
      <c r="T504" s="211" t="s">
        <v>1670</v>
      </c>
      <c r="U504" s="257" t="s">
        <v>1671</v>
      </c>
      <c r="V504" s="7">
        <v>3</v>
      </c>
      <c r="W504" s="8">
        <v>3</v>
      </c>
    </row>
    <row r="505" spans="1:32" hidden="1" collapsed="1">
      <c r="A505" s="286" t="s">
        <v>244</v>
      </c>
      <c r="B505" s="286" t="s">
        <v>221</v>
      </c>
      <c r="C505" s="280" t="s">
        <v>2</v>
      </c>
      <c r="D505" s="281" t="str">
        <f>IF(F505="","",CHOOSE(MONTH(F505),"Q4","Q4","Q4","Q1","Q1","Q1","Q2","Q2","Q2","Q3","Q3","Q3"))</f>
        <v>Q2</v>
      </c>
      <c r="E505" s="282" t="str">
        <f>IF(F505="","",CHOOSE(MONTH(F505),"10-JAN","11-FEB","12-MAR","01-APR","02-MAY","03-JUN","04-JUL","05-AUG","06-SEP","07-OCT","08-NOV","09-DEC"))</f>
        <v>06-SEP</v>
      </c>
      <c r="F505" s="242">
        <v>45552</v>
      </c>
      <c r="G505" s="231" t="s">
        <v>1824</v>
      </c>
      <c r="H505" s="5" t="s">
        <v>1787</v>
      </c>
      <c r="I505" s="29" t="s">
        <v>223</v>
      </c>
      <c r="J505" s="8" t="s">
        <v>1825</v>
      </c>
      <c r="K505" s="281" t="s">
        <v>34</v>
      </c>
      <c r="L505" s="30" t="s">
        <v>1826</v>
      </c>
      <c r="M505" s="105">
        <v>1</v>
      </c>
      <c r="N505" s="65">
        <f>IF(SUMPRODUCT($V$3:$BC$3,V505:BC505)=0,"-",SUMPRODUCT($V$3:$BC$3,V505:BC505))</f>
        <v>135</v>
      </c>
      <c r="O505" s="30" t="s">
        <v>1827</v>
      </c>
      <c r="P505" s="280" t="s">
        <v>481</v>
      </c>
      <c r="Q505" s="211">
        <v>4200671799</v>
      </c>
      <c r="R505" s="211"/>
      <c r="S505" s="211" t="s">
        <v>249</v>
      </c>
      <c r="T505" s="211" t="s">
        <v>1828</v>
      </c>
      <c r="U505" s="253" t="s">
        <v>1703</v>
      </c>
      <c r="AC505" s="7">
        <v>1</v>
      </c>
    </row>
    <row r="506" spans="1:32" hidden="1">
      <c r="A506" s="286" t="s">
        <v>244</v>
      </c>
      <c r="B506" s="286" t="s">
        <v>221</v>
      </c>
      <c r="C506" s="280" t="s">
        <v>2</v>
      </c>
      <c r="D506" s="281" t="str">
        <f>IF(F506="","",CHOOSE(MONTH(F506),"Q4","Q4","Q4","Q1","Q1","Q1","Q2","Q2","Q2","Q3","Q3","Q3"))</f>
        <v>Q2</v>
      </c>
      <c r="E506" s="282" t="str">
        <f>IF(F506="","",CHOOSE(MONTH(F506),"10-JAN","11-FEB","12-MAR","01-APR","02-MAY","03-JUN","04-JUL","05-AUG","06-SEP","07-OCT","08-NOV","09-DEC"))</f>
        <v>06-SEP</v>
      </c>
      <c r="F506" s="242">
        <v>45552</v>
      </c>
      <c r="G506" s="231" t="s">
        <v>1829</v>
      </c>
      <c r="H506" s="5" t="s">
        <v>1787</v>
      </c>
      <c r="I506" s="29" t="s">
        <v>223</v>
      </c>
      <c r="J506" s="8" t="s">
        <v>69</v>
      </c>
      <c r="K506" s="281" t="s">
        <v>34</v>
      </c>
      <c r="L506" s="78" t="s">
        <v>1830</v>
      </c>
      <c r="M506" s="151">
        <f>IF(SUM(V506:BC506)=0,"-",SUM(V506:BC506))</f>
        <v>2</v>
      </c>
      <c r="N506" s="65">
        <f>IF(SUMPRODUCT($V$3:$BC$3,V506:BC506)=0,"-",SUMPRODUCT($V$3:$BC$3,V506:BC506))</f>
        <v>290</v>
      </c>
      <c r="O506" s="30" t="s">
        <v>1831</v>
      </c>
      <c r="P506" s="280" t="s">
        <v>481</v>
      </c>
      <c r="Q506" s="211">
        <v>4200672746</v>
      </c>
      <c r="R506" s="211"/>
      <c r="S506" s="211" t="s">
        <v>249</v>
      </c>
      <c r="T506" s="211" t="s">
        <v>1832</v>
      </c>
      <c r="U506" s="253" t="s">
        <v>1690</v>
      </c>
      <c r="AD506" s="8">
        <v>1</v>
      </c>
      <c r="AF506" s="8">
        <v>1</v>
      </c>
    </row>
    <row r="507" spans="1:32" hidden="1">
      <c r="A507" s="286" t="s">
        <v>244</v>
      </c>
      <c r="B507" s="286" t="s">
        <v>221</v>
      </c>
      <c r="C507" s="280" t="s">
        <v>2</v>
      </c>
      <c r="D507" s="281" t="str">
        <f>IF(F507="","",CHOOSE(MONTH(F507),"Q4","Q4","Q4","Q1","Q1","Q1","Q2","Q2","Q2","Q3","Q3","Q3"))</f>
        <v>Q2</v>
      </c>
      <c r="E507" s="282" t="str">
        <f>IF(F507="","",CHOOSE(MONTH(F507),"10-JAN","11-FEB","12-MAR","01-APR","02-MAY","03-JUN","04-JUL","05-AUG","06-SEP","07-OCT","08-NOV","09-DEC"))</f>
        <v>06-SEP</v>
      </c>
      <c r="F507" s="242">
        <v>45553</v>
      </c>
      <c r="G507" s="231" t="s">
        <v>1833</v>
      </c>
      <c r="H507" s="5" t="s">
        <v>35</v>
      </c>
      <c r="I507" s="29" t="s">
        <v>223</v>
      </c>
      <c r="J507" s="8" t="s">
        <v>164</v>
      </c>
      <c r="K507" s="281" t="s">
        <v>34</v>
      </c>
      <c r="L507" s="30" t="s">
        <v>1834</v>
      </c>
      <c r="M507" s="151">
        <f>IF(SUM(V507:BC507)=0,"-",SUM(V507:BC507))</f>
        <v>2</v>
      </c>
      <c r="N507" s="352">
        <f>IF(SUMPRODUCT($V$3:$BC$3,V507:BC507)=0,"-",SUMPRODUCT($V$3:$BC$3,V507:BC507))</f>
        <v>500</v>
      </c>
      <c r="O507" s="30" t="s">
        <v>1835</v>
      </c>
      <c r="P507" s="280" t="s">
        <v>481</v>
      </c>
      <c r="Q507" s="211">
        <v>4200673552</v>
      </c>
      <c r="R507" s="211"/>
      <c r="S507" s="211" t="s">
        <v>249</v>
      </c>
      <c r="T507" s="211" t="s">
        <v>1836</v>
      </c>
      <c r="U507" s="253" t="s">
        <v>1427</v>
      </c>
      <c r="AF507" s="8">
        <v>2</v>
      </c>
    </row>
    <row r="508" spans="1:32" hidden="1">
      <c r="A508" s="286" t="s">
        <v>244</v>
      </c>
      <c r="B508" s="286" t="s">
        <v>221</v>
      </c>
      <c r="C508" s="280" t="s">
        <v>2</v>
      </c>
      <c r="D508" s="281" t="str">
        <f>IF(F508="","",CHOOSE(MONTH(F508),"Q4","Q4","Q4","Q1","Q1","Q1","Q2","Q2","Q2","Q3","Q3","Q3"))</f>
        <v>Q2</v>
      </c>
      <c r="E508" s="282" t="str">
        <f>IF(F508="","",CHOOSE(MONTH(F508),"10-JAN","11-FEB","12-MAR","01-APR","02-MAY","03-JUN","04-JUL","05-AUG","06-SEP","07-OCT","08-NOV","09-DEC"))</f>
        <v>06-SEP</v>
      </c>
      <c r="F508" s="242">
        <v>45554</v>
      </c>
      <c r="G508" s="231" t="s">
        <v>1837</v>
      </c>
      <c r="H508" s="5" t="s">
        <v>35</v>
      </c>
      <c r="I508" s="29" t="s">
        <v>223</v>
      </c>
      <c r="J508" s="8" t="s">
        <v>95</v>
      </c>
      <c r="K508" s="281" t="s">
        <v>34</v>
      </c>
      <c r="L508" s="30" t="s">
        <v>1838</v>
      </c>
      <c r="M508" s="151">
        <v>2</v>
      </c>
      <c r="N508" s="352">
        <f>IF(SUMPRODUCT($V$3:$BC$3,V508:BC508)=0,"-",SUMPRODUCT($V$3:$BC$3,V508:BC508))</f>
        <v>720</v>
      </c>
      <c r="P508" s="280" t="s">
        <v>481</v>
      </c>
      <c r="Q508" s="211">
        <v>4200671912</v>
      </c>
      <c r="R508" s="211"/>
      <c r="S508" s="211" t="s">
        <v>249</v>
      </c>
      <c r="T508" s="211" t="s">
        <v>1797</v>
      </c>
      <c r="U508" s="253" t="s">
        <v>1703</v>
      </c>
      <c r="AE508" s="8">
        <v>4</v>
      </c>
    </row>
    <row r="509" spans="1:32" hidden="1">
      <c r="A509" s="286" t="s">
        <v>244</v>
      </c>
      <c r="B509" s="286" t="s">
        <v>221</v>
      </c>
      <c r="C509" s="280" t="s">
        <v>2</v>
      </c>
      <c r="D509" s="281" t="str">
        <f>IF(F509="","",CHOOSE(MONTH(F509),"Q4","Q4","Q4","Q1","Q1","Q1","Q2","Q2","Q2","Q3","Q3","Q3"))</f>
        <v>Q2</v>
      </c>
      <c r="E509" s="282" t="str">
        <f>IF(F509="","",CHOOSE(MONTH(F509),"10-JAN","11-FEB","12-MAR","01-APR","02-MAY","03-JUN","04-JUL","05-AUG","06-SEP","07-OCT","08-NOV","09-DEC"))</f>
        <v>06-SEP</v>
      </c>
      <c r="F509" s="242">
        <v>45554</v>
      </c>
      <c r="G509" s="231" t="s">
        <v>1839</v>
      </c>
      <c r="H509" s="5" t="s">
        <v>35</v>
      </c>
      <c r="I509" s="29" t="s">
        <v>223</v>
      </c>
      <c r="J509" s="8" t="s">
        <v>95</v>
      </c>
      <c r="K509" s="281" t="s">
        <v>34</v>
      </c>
      <c r="L509" s="78" t="s">
        <v>1840</v>
      </c>
      <c r="M509" s="151">
        <f>IF(SUM(V509:BC509)=0,"-",SUM(V509:BC509))</f>
        <v>2</v>
      </c>
      <c r="N509" s="352">
        <f>IF(SUMPRODUCT($V$3:$BC$3,V509:BC509)=0,"-",SUMPRODUCT($V$3:$BC$3,V509:BC509))</f>
        <v>500</v>
      </c>
      <c r="O509" s="30" t="s">
        <v>1841</v>
      </c>
      <c r="P509" s="280" t="s">
        <v>481</v>
      </c>
      <c r="Q509" s="211">
        <v>4200673571</v>
      </c>
      <c r="R509" s="211"/>
      <c r="S509" s="211" t="s">
        <v>249</v>
      </c>
      <c r="T509" s="211" t="s">
        <v>1842</v>
      </c>
      <c r="U509" s="253" t="s">
        <v>1843</v>
      </c>
      <c r="AF509" s="8">
        <v>2</v>
      </c>
    </row>
    <row r="510" spans="1:32" hidden="1">
      <c r="A510" s="286" t="s">
        <v>244</v>
      </c>
      <c r="B510" s="286" t="s">
        <v>221</v>
      </c>
      <c r="C510" s="280" t="s">
        <v>2</v>
      </c>
      <c r="D510" s="281" t="str">
        <f>IF(F510="","",CHOOSE(MONTH(F510),"Q4","Q4","Q4","Q1","Q1","Q1","Q2","Q2","Q2","Q3","Q3","Q3"))</f>
        <v>Q2</v>
      </c>
      <c r="E510" s="282" t="str">
        <f>IF(F510="","",CHOOSE(MONTH(F510),"10-JAN","11-FEB","12-MAR","01-APR","02-MAY","03-JUN","04-JUL","05-AUG","06-SEP","07-OCT","08-NOV","09-DEC"))</f>
        <v>06-SEP</v>
      </c>
      <c r="F510" s="242">
        <v>45555</v>
      </c>
      <c r="G510" s="231" t="s">
        <v>1844</v>
      </c>
      <c r="H510" s="5" t="s">
        <v>1787</v>
      </c>
      <c r="I510" s="29" t="s">
        <v>223</v>
      </c>
      <c r="J510" s="8" t="s">
        <v>69</v>
      </c>
      <c r="K510" s="281" t="s">
        <v>34</v>
      </c>
      <c r="L510" s="30" t="s">
        <v>1845</v>
      </c>
      <c r="M510" s="151">
        <f>IF(SUM(V510:BC510)=0,"-",SUM(V510:BC510))</f>
        <v>1</v>
      </c>
      <c r="N510" s="352">
        <f>IF(SUMPRODUCT($V$3:$BC$3,V510:BC510)=0,"-",SUMPRODUCT($V$3:$BC$3,V510:BC510))</f>
        <v>250</v>
      </c>
      <c r="O510" s="30" t="s">
        <v>1846</v>
      </c>
      <c r="P510" s="280" t="s">
        <v>481</v>
      </c>
      <c r="Q510" s="211">
        <v>4200672748</v>
      </c>
      <c r="R510" s="211"/>
      <c r="S510" s="211" t="s">
        <v>249</v>
      </c>
      <c r="T510" s="211" t="s">
        <v>1847</v>
      </c>
      <c r="U510" s="253" t="s">
        <v>1690</v>
      </c>
      <c r="AF510" s="8">
        <v>1</v>
      </c>
    </row>
    <row r="511" spans="1:32" hidden="1">
      <c r="A511" s="286" t="s">
        <v>244</v>
      </c>
      <c r="B511" s="286" t="s">
        <v>221</v>
      </c>
      <c r="C511" s="280" t="s">
        <v>2</v>
      </c>
      <c r="D511" s="281" t="str">
        <f>IF(F511="","",CHOOSE(MONTH(F511),"Q4","Q4","Q4","Q1","Q1","Q1","Q2","Q2","Q2","Q3","Q3","Q3"))</f>
        <v>Q2</v>
      </c>
      <c r="E511" s="282" t="str">
        <f>IF(F511="","",CHOOSE(MONTH(F511),"10-JAN","11-FEB","12-MAR","01-APR","02-MAY","03-JUN","04-JUL","05-AUG","06-SEP","07-OCT","08-NOV","09-DEC"))</f>
        <v>06-SEP</v>
      </c>
      <c r="F511" s="242">
        <v>45555</v>
      </c>
      <c r="G511" s="231" t="s">
        <v>1848</v>
      </c>
      <c r="H511" s="5" t="s">
        <v>1787</v>
      </c>
      <c r="I511" s="29" t="s">
        <v>223</v>
      </c>
      <c r="J511" s="8" t="s">
        <v>69</v>
      </c>
      <c r="K511" s="281" t="s">
        <v>34</v>
      </c>
      <c r="L511" s="30" t="s">
        <v>1849</v>
      </c>
      <c r="M511" s="151">
        <f>IF(SUM(V511:BC511)=0,"-",SUM(V511:BC511))</f>
        <v>1</v>
      </c>
      <c r="N511" s="352">
        <f>IF(SUMPRODUCT($V$3:$BC$3,V511:BC511)=0,"-",SUMPRODUCT($V$3:$BC$3,V511:BC511))</f>
        <v>135</v>
      </c>
      <c r="O511" s="30" t="s">
        <v>1850</v>
      </c>
      <c r="P511" s="280" t="s">
        <v>481</v>
      </c>
      <c r="Q511" s="211">
        <v>4200672732</v>
      </c>
      <c r="R511" s="211"/>
      <c r="S511" s="211" t="s">
        <v>249</v>
      </c>
      <c r="T511" s="211" t="s">
        <v>1851</v>
      </c>
      <c r="U511" s="253" t="s">
        <v>1690</v>
      </c>
      <c r="AC511" s="7">
        <v>1</v>
      </c>
    </row>
    <row r="512" spans="1:32" hidden="1">
      <c r="A512" s="286" t="s">
        <v>244</v>
      </c>
      <c r="B512" s="286" t="s">
        <v>221</v>
      </c>
      <c r="C512" s="280" t="s">
        <v>2</v>
      </c>
      <c r="D512" s="281" t="str">
        <f>IF(F512="","",CHOOSE(MONTH(F512),"Q4","Q4","Q4","Q1","Q1","Q1","Q2","Q2","Q2","Q3","Q3","Q3"))</f>
        <v>Q2</v>
      </c>
      <c r="E512" s="282" t="str">
        <f>IF(F512="","",CHOOSE(MONTH(F512),"10-JAN","11-FEB","12-MAR","01-APR","02-MAY","03-JUN","04-JUL","05-AUG","06-SEP","07-OCT","08-NOV","09-DEC"))</f>
        <v>06-SEP</v>
      </c>
      <c r="F512" s="242">
        <v>45555</v>
      </c>
      <c r="G512" s="235" t="s">
        <v>1852</v>
      </c>
      <c r="H512" s="5" t="s">
        <v>1853</v>
      </c>
      <c r="I512" s="29" t="s">
        <v>223</v>
      </c>
      <c r="J512" s="105" t="s">
        <v>93</v>
      </c>
      <c r="K512" s="377" t="s">
        <v>34</v>
      </c>
      <c r="L512" s="30" t="s">
        <v>1854</v>
      </c>
      <c r="M512" s="105">
        <v>2</v>
      </c>
      <c r="N512" s="65">
        <f>IF(SUMPRODUCT($V$3:$BC$3,V512:BC512)=0,"-",SUMPRODUCT($V$3:$BC$3,V512:BC512))+2</f>
        <v>177</v>
      </c>
      <c r="O512" s="30" t="s">
        <v>1855</v>
      </c>
      <c r="P512" s="279" t="str">
        <f>IF(G512="","",IFERROR(IF(S512="Sent","",IF(I512="Delivered","PO en attente","Projet en cours")),""))</f>
        <v/>
      </c>
      <c r="Q512" s="211">
        <v>4200680438</v>
      </c>
      <c r="R512" s="211"/>
      <c r="S512" s="211" t="s">
        <v>249</v>
      </c>
      <c r="T512" s="211" t="s">
        <v>1856</v>
      </c>
      <c r="U512" s="253" t="s">
        <v>1226</v>
      </c>
      <c r="AC512" s="7">
        <v>1</v>
      </c>
      <c r="AD512" s="8">
        <v>1</v>
      </c>
    </row>
    <row r="513" spans="1:45" hidden="1">
      <c r="A513" s="286" t="s">
        <v>244</v>
      </c>
      <c r="B513" s="286" t="s">
        <v>221</v>
      </c>
      <c r="C513" s="280" t="s">
        <v>2</v>
      </c>
      <c r="D513" s="281" t="str">
        <f>IF(F513="","",CHOOSE(MONTH(F513),"Q4","Q4","Q4","Q1","Q1","Q1","Q2","Q2","Q2","Q3","Q3","Q3"))</f>
        <v>Q2</v>
      </c>
      <c r="E513" s="282" t="str">
        <f>IF(F513="","",CHOOSE(MONTH(F513),"10-JAN","11-FEB","12-MAR","01-APR","02-MAY","03-JUN","04-JUL","05-AUG","06-SEP","07-OCT","08-NOV","09-DEC"))</f>
        <v>06-SEP</v>
      </c>
      <c r="F513" s="242">
        <v>45558</v>
      </c>
      <c r="G513" s="231" t="s">
        <v>1857</v>
      </c>
      <c r="H513" s="5" t="s">
        <v>35</v>
      </c>
      <c r="I513" s="29" t="s">
        <v>223</v>
      </c>
      <c r="J513" s="8" t="s">
        <v>95</v>
      </c>
      <c r="K513" s="281" t="s">
        <v>34</v>
      </c>
      <c r="L513" s="30" t="s">
        <v>1858</v>
      </c>
      <c r="M513" s="151">
        <f>IF(SUM(V513:BC513)=0,"-",SUM(V513:BC513))</f>
        <v>4</v>
      </c>
      <c r="N513" s="352">
        <f>IF(SUMPRODUCT($V$3:$BC$3,V513:BC513)=0,"-",SUMPRODUCT($V$3:$BC$3,V513:BC513))</f>
        <v>160</v>
      </c>
      <c r="O513" s="30" t="s">
        <v>1859</v>
      </c>
      <c r="P513" s="280" t="s">
        <v>481</v>
      </c>
      <c r="Q513" s="211">
        <v>4200673562</v>
      </c>
      <c r="R513" s="211"/>
      <c r="S513" s="211" t="s">
        <v>249</v>
      </c>
      <c r="T513" s="211" t="s">
        <v>1786</v>
      </c>
      <c r="U513" s="253" t="s">
        <v>1427</v>
      </c>
      <c r="AD513" s="8">
        <v>4</v>
      </c>
    </row>
    <row r="514" spans="1:45" hidden="1">
      <c r="A514" s="286" t="s">
        <v>244</v>
      </c>
      <c r="B514" s="286" t="s">
        <v>221</v>
      </c>
      <c r="C514" s="280" t="s">
        <v>2</v>
      </c>
      <c r="D514" s="281" t="str">
        <f>IF(F514="","",CHOOSE(MONTH(F514),"Q4","Q4","Q4","Q1","Q1","Q1","Q2","Q2","Q2","Q3","Q3","Q3"))</f>
        <v>Q2</v>
      </c>
      <c r="E514" s="282" t="str">
        <f>IF(F514="","",CHOOSE(MONTH(F514),"10-JAN","11-FEB","12-MAR","01-APR","02-MAY","03-JUN","04-JUL","05-AUG","06-SEP","07-OCT","08-NOV","09-DEC"))</f>
        <v>06-SEP</v>
      </c>
      <c r="F514" s="242">
        <v>45558</v>
      </c>
      <c r="G514" s="222" t="s">
        <v>1860</v>
      </c>
      <c r="H514" s="410" t="s">
        <v>26</v>
      </c>
      <c r="I514" s="29" t="s">
        <v>223</v>
      </c>
      <c r="J514" s="8" t="s">
        <v>95</v>
      </c>
      <c r="K514" s="281" t="str">
        <f>IF(H514="","",IFERROR(VLOOKUP(H514,Instructions!D:E,2,0),"BA"))</f>
        <v>CM</v>
      </c>
      <c r="L514" s="30" t="s">
        <v>1861</v>
      </c>
      <c r="M514" s="151">
        <f>IF(SUM(V514:BC514)=0,"-",SUM(V514:BC514))</f>
        <v>2</v>
      </c>
      <c r="N514" s="352">
        <f>IF(SUMPRODUCT($V$3:$BC$3,V514:BC514)=0,"-",SUMPRODUCT($V$3:$BC$3,V514:BC514))</f>
        <v>155</v>
      </c>
      <c r="P514" s="279" t="str">
        <f>IF(G514="","",IFERROR(IF(S514="Sent","",IF(I514="Delivered","PO en attente","Projet en cours")),""))</f>
        <v/>
      </c>
      <c r="Q514" s="211">
        <v>4200673567</v>
      </c>
      <c r="R514" s="211" t="s">
        <v>345</v>
      </c>
      <c r="S514" s="211" t="s">
        <v>249</v>
      </c>
      <c r="T514" s="211" t="s">
        <v>1862</v>
      </c>
      <c r="U514" s="257" t="s">
        <v>1671</v>
      </c>
      <c r="V514" s="7">
        <v>1</v>
      </c>
      <c r="W514" s="8">
        <v>1</v>
      </c>
    </row>
    <row r="515" spans="1:45" hidden="1">
      <c r="A515" s="286" t="s">
        <v>244</v>
      </c>
      <c r="B515" s="286" t="s">
        <v>221</v>
      </c>
      <c r="C515" s="280" t="s">
        <v>2</v>
      </c>
      <c r="D515" s="281" t="str">
        <f>IF(F515="","",CHOOSE(MONTH(F515),"Q4","Q4","Q4","Q1","Q1","Q1","Q2","Q2","Q2","Q3","Q3","Q3"))</f>
        <v>Q2</v>
      </c>
      <c r="E515" s="282" t="str">
        <f>IF(F515="","",CHOOSE(MONTH(F515),"10-JAN","11-FEB","12-MAR","01-APR","02-MAY","03-JUN","04-JUL","05-AUG","06-SEP","07-OCT","08-NOV","09-DEC"))</f>
        <v>06-SEP</v>
      </c>
      <c r="F515" s="242">
        <v>45559</v>
      </c>
      <c r="G515" s="236" t="s">
        <v>1863</v>
      </c>
      <c r="H515" s="5" t="s">
        <v>1787</v>
      </c>
      <c r="I515" s="29" t="s">
        <v>223</v>
      </c>
      <c r="J515" s="8" t="s">
        <v>69</v>
      </c>
      <c r="K515" s="281" t="str">
        <f>IF(H515="","",IFERROR(VLOOKUP(H515,Instructions!D:E,2,0),"BA"))</f>
        <v>BA</v>
      </c>
      <c r="L515" s="78" t="s">
        <v>1864</v>
      </c>
      <c r="M515" s="151">
        <f>IF(SUM(V515:BC515)=0,"-",SUM(V515:BC515))</f>
        <v>1</v>
      </c>
      <c r="N515" s="65">
        <f>IF(SUMPRODUCT($V$3:$BC$3,V515:BC515)=0,"-",SUMPRODUCT($V$3:$BC$3,V515:BC515))</f>
        <v>180</v>
      </c>
      <c r="O515" s="30" t="s">
        <v>1865</v>
      </c>
      <c r="P515" s="280" t="s">
        <v>481</v>
      </c>
      <c r="Q515" s="260">
        <v>4200672749</v>
      </c>
      <c r="R515" s="260"/>
      <c r="S515" s="260" t="s">
        <v>249</v>
      </c>
      <c r="T515" s="260" t="s">
        <v>1866</v>
      </c>
      <c r="U515" s="257" t="s">
        <v>1867</v>
      </c>
      <c r="AE515" s="8">
        <v>1</v>
      </c>
    </row>
    <row r="516" spans="1:45" hidden="1" outlineLevel="1">
      <c r="A516" s="286" t="s">
        <v>244</v>
      </c>
      <c r="B516" s="286" t="s">
        <v>221</v>
      </c>
      <c r="C516" s="280" t="s">
        <v>2</v>
      </c>
      <c r="D516" s="281" t="str">
        <f>IF(F516="","",CHOOSE(MONTH(F516),"Q4","Q4","Q4","Q1","Q1","Q1","Q2","Q2","Q2","Q3","Q3","Q3"))</f>
        <v>Q2</v>
      </c>
      <c r="E516" s="282" t="str">
        <f>IF(F516="","",CHOOSE(MONTH(F516),"10-JAN","11-FEB","12-MAR","01-APR","02-MAY","03-JUN","04-JUL","05-AUG","06-SEP","07-OCT","08-NOV","09-DEC"))</f>
        <v>06-SEP</v>
      </c>
      <c r="F516" s="242">
        <v>45559</v>
      </c>
      <c r="G516" s="231" t="s">
        <v>1868</v>
      </c>
      <c r="H516" s="5" t="s">
        <v>26</v>
      </c>
      <c r="I516" s="29" t="s">
        <v>223</v>
      </c>
      <c r="J516" s="8" t="s">
        <v>130</v>
      </c>
      <c r="K516" s="281" t="str">
        <f>IF(H516="","",IFERROR(VLOOKUP(H516,Instructions!D:E,2,0),"BA"))</f>
        <v>CM</v>
      </c>
      <c r="L516" s="30" t="s">
        <v>1869</v>
      </c>
      <c r="M516" s="105">
        <v>2</v>
      </c>
      <c r="N516" s="65">
        <f>IF(SUMPRODUCT($V$3:$BC$3,V516:BC516)=0,"-",SUMPRODUCT($V$3:$BC$3,V516:BC516))</f>
        <v>155</v>
      </c>
      <c r="P516" s="279" t="str">
        <f>IF(G516="","",IFERROR(IF(S516="Sent","",IF(I516="Delivered","PO en attente","Projet en cours")),""))</f>
        <v/>
      </c>
      <c r="Q516" s="211">
        <v>4200673574</v>
      </c>
      <c r="R516" s="211" t="s">
        <v>340</v>
      </c>
      <c r="S516" s="211" t="s">
        <v>249</v>
      </c>
      <c r="T516" s="211" t="s">
        <v>1758</v>
      </c>
      <c r="U516" s="257" t="s">
        <v>1671</v>
      </c>
      <c r="V516" s="7">
        <v>1</v>
      </c>
      <c r="W516" s="8">
        <v>1</v>
      </c>
    </row>
    <row r="517" spans="1:45" hidden="1" collapsed="1">
      <c r="A517" s="286" t="s">
        <v>244</v>
      </c>
      <c r="B517" s="286" t="s">
        <v>221</v>
      </c>
      <c r="C517" s="280" t="s">
        <v>2</v>
      </c>
      <c r="D517" s="281" t="str">
        <f>IF(F517="","",CHOOSE(MONTH(F517),"Q4","Q4","Q4","Q1","Q1","Q1","Q2","Q2","Q2","Q3","Q3","Q3"))</f>
        <v>Q2</v>
      </c>
      <c r="E517" s="282" t="str">
        <f>IF(F517="","",CHOOSE(MONTH(F517),"10-JAN","11-FEB","12-MAR","01-APR","02-MAY","03-JUN","04-JUL","05-AUG","06-SEP","07-OCT","08-NOV","09-DEC"))</f>
        <v>06-SEP</v>
      </c>
      <c r="F517" s="242">
        <v>45560</v>
      </c>
      <c r="G517" s="235" t="s">
        <v>1870</v>
      </c>
      <c r="H517" s="5" t="s">
        <v>35</v>
      </c>
      <c r="I517" s="29" t="s">
        <v>223</v>
      </c>
      <c r="J517" s="8" t="s">
        <v>164</v>
      </c>
      <c r="K517" s="281" t="str">
        <f>IF(H517="","",IFERROR(VLOOKUP(H517,Instructions!D:E,2,0),"BA"))</f>
        <v>BA</v>
      </c>
      <c r="L517" s="30" t="s">
        <v>1871</v>
      </c>
      <c r="M517" s="151">
        <f>IF(SUM(V517:BC517)=0,"-",SUM(V517:BC517))</f>
        <v>2</v>
      </c>
      <c r="N517" s="352">
        <f>IF(SUMPRODUCT($V$3:$BC$3,V517:BC517)=0,"-",SUMPRODUCT($V$3:$BC$3,V517:BC517))</f>
        <v>155</v>
      </c>
      <c r="O517" s="30" t="s">
        <v>1872</v>
      </c>
      <c r="P517" s="280" t="s">
        <v>481</v>
      </c>
      <c r="Q517" s="211">
        <v>4200673552</v>
      </c>
      <c r="R517" s="211"/>
      <c r="S517" s="211" t="s">
        <v>249</v>
      </c>
      <c r="T517" s="211" t="s">
        <v>1836</v>
      </c>
      <c r="U517" s="253" t="s">
        <v>1427</v>
      </c>
      <c r="V517" s="7">
        <v>1</v>
      </c>
      <c r="W517" s="8">
        <v>1</v>
      </c>
    </row>
    <row r="518" spans="1:45" hidden="1">
      <c r="A518" s="286" t="s">
        <v>244</v>
      </c>
      <c r="B518" s="286" t="s">
        <v>221</v>
      </c>
      <c r="C518" s="280" t="s">
        <v>2</v>
      </c>
      <c r="D518" s="281" t="str">
        <f>IF(F518="","",CHOOSE(MONTH(F518),"Q4","Q4","Q4","Q1","Q1","Q1","Q2","Q2","Q2","Q3","Q3","Q3"))</f>
        <v>Q2</v>
      </c>
      <c r="E518" s="282" t="str">
        <f>IF(F518="","",CHOOSE(MONTH(F518),"10-JAN","11-FEB","12-MAR","01-APR","02-MAY","03-JUN","04-JUL","05-AUG","06-SEP","07-OCT","08-NOV","09-DEC"))</f>
        <v>06-SEP</v>
      </c>
      <c r="F518" s="242">
        <v>45561</v>
      </c>
      <c r="G518" s="231" t="s">
        <v>1873</v>
      </c>
      <c r="H518" s="5" t="s">
        <v>1787</v>
      </c>
      <c r="I518" s="29" t="s">
        <v>223</v>
      </c>
      <c r="J518" s="8" t="s">
        <v>69</v>
      </c>
      <c r="K518" s="281" t="str">
        <f>IF(H518="","",IFERROR(VLOOKUP(H518,Instructions!D:E,2,0),"BA"))</f>
        <v>BA</v>
      </c>
      <c r="L518" s="78" t="s">
        <v>1874</v>
      </c>
      <c r="M518" s="151">
        <f>IF(SUM(V518:BC518)=0,"-",SUM(V518:BC518))</f>
        <v>26</v>
      </c>
      <c r="N518" s="65">
        <f>IF(SUMPRODUCT($V$3:$BC$3,V518:BC518)=0,"-",SUMPRODUCT($V$3:$BC$3,V518:BC518))</f>
        <v>910</v>
      </c>
      <c r="O518" s="30" t="s">
        <v>1875</v>
      </c>
      <c r="P518" s="279" t="str">
        <f>IF(G518="","",IFERROR(IF(S518="Sent","",IF(I518="Delivered","PO en attente","Projet en cours")),""))</f>
        <v/>
      </c>
      <c r="Q518" s="211">
        <v>4200674485</v>
      </c>
      <c r="R518" s="211"/>
      <c r="S518" s="211" t="s">
        <v>249</v>
      </c>
      <c r="T518" s="211" t="s">
        <v>1876</v>
      </c>
      <c r="U518" s="253" t="s">
        <v>1843</v>
      </c>
      <c r="W518" s="8">
        <v>26</v>
      </c>
    </row>
    <row r="519" spans="1:45" hidden="1">
      <c r="A519" s="286" t="s">
        <v>244</v>
      </c>
      <c r="B519" s="286" t="s">
        <v>221</v>
      </c>
      <c r="C519" s="280" t="s">
        <v>2</v>
      </c>
      <c r="D519" s="281" t="str">
        <f>IF(F519="","",CHOOSE(MONTH(F519),"Q4","Q4","Q4","Q1","Q1","Q1","Q2","Q2","Q2","Q3","Q3","Q3"))</f>
        <v>Q2</v>
      </c>
      <c r="E519" s="282" t="str">
        <f>IF(F519="","",CHOOSE(MONTH(F519),"10-JAN","11-FEB","12-MAR","01-APR","02-MAY","03-JUN","04-JUL","05-AUG","06-SEP","07-OCT","08-NOV","09-DEC"))</f>
        <v>06-SEP</v>
      </c>
      <c r="F519" s="242">
        <v>45561</v>
      </c>
      <c r="G519" s="235" t="s">
        <v>1877</v>
      </c>
      <c r="H519" s="5" t="s">
        <v>1878</v>
      </c>
      <c r="I519" s="29" t="s">
        <v>223</v>
      </c>
      <c r="J519" s="8" t="s">
        <v>95</v>
      </c>
      <c r="K519" s="281" t="str">
        <f>IF(H519="","",IFERROR(VLOOKUP(H519,Instructions!D:E,2,0),"BA"))</f>
        <v>BA</v>
      </c>
      <c r="L519" s="30" t="s">
        <v>1879</v>
      </c>
      <c r="M519" s="151">
        <f>IF(SUM(V519:BC519)=0,"-",SUM(V519:BC519))</f>
        <v>27</v>
      </c>
      <c r="N519" s="65">
        <f>IF(SUMPRODUCT($V$3:$BC$3,V519:BC519)=0,"-",SUMPRODUCT($V$3:$BC$3,V519:BC519))</f>
        <v>1200</v>
      </c>
      <c r="P519" s="279" t="str">
        <f>IF(G519="","",IFERROR(IF(S519="Sent","",IF(I519="Delivered","PO en attente","Projet en cours")),""))</f>
        <v/>
      </c>
      <c r="Q519" s="211">
        <v>4200673567</v>
      </c>
      <c r="R519" s="211" t="s">
        <v>345</v>
      </c>
      <c r="S519" s="211" t="s">
        <v>249</v>
      </c>
      <c r="T519" s="211" t="s">
        <v>1862</v>
      </c>
      <c r="U519" s="257" t="s">
        <v>1671</v>
      </c>
      <c r="V519" s="7">
        <v>3</v>
      </c>
      <c r="W519" s="8">
        <v>24</v>
      </c>
    </row>
    <row r="520" spans="1:45" hidden="1">
      <c r="A520" s="286" t="s">
        <v>244</v>
      </c>
      <c r="B520" s="286" t="s">
        <v>221</v>
      </c>
      <c r="C520" s="280" t="s">
        <v>2</v>
      </c>
      <c r="D520" s="281" t="str">
        <f>IF(F520="","",CHOOSE(MONTH(F520),"Q4","Q4","Q4","Q1","Q1","Q1","Q2","Q2","Q2","Q3","Q3","Q3"))</f>
        <v>Q2</v>
      </c>
      <c r="E520" s="282" t="str">
        <f>IF(F520="","",CHOOSE(MONTH(F520),"10-JAN","11-FEB","12-MAR","01-APR","02-MAY","03-JUN","04-JUL","05-AUG","06-SEP","07-OCT","08-NOV","09-DEC"))</f>
        <v>06-SEP</v>
      </c>
      <c r="F520" s="242">
        <v>45562</v>
      </c>
      <c r="G520" s="231" t="s">
        <v>1880</v>
      </c>
      <c r="H520" s="5" t="s">
        <v>1787</v>
      </c>
      <c r="I520" s="29" t="s">
        <v>223</v>
      </c>
      <c r="J520" s="8" t="s">
        <v>69</v>
      </c>
      <c r="K520" s="281" t="str">
        <f>IF(H520="","",IFERROR(VLOOKUP(H520,Instructions!D:E,2,0),"BA"))</f>
        <v>BA</v>
      </c>
      <c r="L520" s="30" t="s">
        <v>1881</v>
      </c>
      <c r="M520" s="105">
        <v>8</v>
      </c>
      <c r="N520" s="65">
        <f>IF(SUMPRODUCT($V$3:$BC$3,V520:BC520)=0,"-",SUMPRODUCT($V$3:$BC$3,V520:BC520))</f>
        <v>280</v>
      </c>
      <c r="O520" s="30" t="s">
        <v>1882</v>
      </c>
      <c r="P520" s="279" t="str">
        <f>IF(G520="","",IFERROR(IF(S520="Sent","",IF(I520="Delivered","PO en attente","Projet en cours")),""))</f>
        <v/>
      </c>
      <c r="Q520" s="211">
        <v>4200674494</v>
      </c>
      <c r="R520" s="211"/>
      <c r="S520" s="211" t="s">
        <v>249</v>
      </c>
      <c r="T520" s="211" t="s">
        <v>1883</v>
      </c>
      <c r="U520" s="253" t="s">
        <v>1843</v>
      </c>
      <c r="W520" s="8">
        <v>8</v>
      </c>
    </row>
    <row r="521" spans="1:45" hidden="1">
      <c r="A521" s="286" t="s">
        <v>244</v>
      </c>
      <c r="B521" s="286" t="s">
        <v>221</v>
      </c>
      <c r="C521" s="280" t="s">
        <v>2</v>
      </c>
      <c r="D521" s="281" t="str">
        <f>IF(F521="","",CHOOSE(MONTH(F521),"Q4","Q4","Q4","Q1","Q1","Q1","Q2","Q2","Q2","Q3","Q3","Q3"))</f>
        <v>Q2</v>
      </c>
      <c r="E521" s="282" t="str">
        <f>IF(F521="","",CHOOSE(MONTH(F521),"10-JAN","11-FEB","12-MAR","01-APR","02-MAY","03-JUN","04-JUL","05-AUG","06-SEP","07-OCT","08-NOV","09-DEC"))</f>
        <v>06-SEP</v>
      </c>
      <c r="F521" s="242">
        <v>45565</v>
      </c>
      <c r="G521" s="231" t="s">
        <v>1884</v>
      </c>
      <c r="H521" t="s">
        <v>38</v>
      </c>
      <c r="I521" s="29" t="s">
        <v>223</v>
      </c>
      <c r="J521" s="8" t="s">
        <v>130</v>
      </c>
      <c r="K521" s="281" t="str">
        <f>IF(H521="","",IFERROR(VLOOKUP(H521,Instructions!D:E,2,0),"BA"))</f>
        <v>BA</v>
      </c>
      <c r="L521" s="78" t="s">
        <v>1885</v>
      </c>
      <c r="M521" s="105">
        <v>1</v>
      </c>
      <c r="N521" s="65">
        <v>500</v>
      </c>
      <c r="O521" s="30" t="s">
        <v>1886</v>
      </c>
      <c r="P521" s="280" t="s">
        <v>481</v>
      </c>
      <c r="Q521" s="211">
        <v>4200673717</v>
      </c>
      <c r="R521" s="211"/>
      <c r="S521" s="211" t="s">
        <v>249</v>
      </c>
      <c r="T521" s="211" t="s">
        <v>1674</v>
      </c>
      <c r="U521" s="295" t="s">
        <v>1675</v>
      </c>
    </row>
    <row r="522" spans="1:45" hidden="1">
      <c r="A522" s="286" t="s">
        <v>244</v>
      </c>
      <c r="B522" s="286" t="s">
        <v>221</v>
      </c>
      <c r="C522" s="280" t="s">
        <v>2</v>
      </c>
      <c r="D522" s="281" t="str">
        <f>IF(F522="","",CHOOSE(MONTH(F522),"Q4","Q4","Q4","Q1","Q1","Q1","Q2","Q2","Q2","Q3","Q3","Q3"))</f>
        <v>Q2</v>
      </c>
      <c r="E522" s="282" t="str">
        <f>IF(F522="","",CHOOSE(MONTH(F522),"10-JAN","11-FEB","12-MAR","01-APR","02-MAY","03-JUN","04-JUL","05-AUG","06-SEP","07-OCT","08-NOV","09-DEC"))</f>
        <v>06-SEP</v>
      </c>
      <c r="F522" s="242">
        <v>45565</v>
      </c>
      <c r="G522" s="231" t="s">
        <v>1887</v>
      </c>
      <c r="H522" s="5" t="s">
        <v>26</v>
      </c>
      <c r="I522" s="29" t="s">
        <v>223</v>
      </c>
      <c r="J522" s="8" t="s">
        <v>130</v>
      </c>
      <c r="K522" s="281" t="str">
        <f>IF(H522="","",IFERROR(VLOOKUP(H522,Instructions!D:E,2,0),"BA"))</f>
        <v>CM</v>
      </c>
      <c r="L522" s="30" t="s">
        <v>1888</v>
      </c>
      <c r="M522" s="105">
        <v>2</v>
      </c>
      <c r="N522" s="65">
        <f>IF(SUMPRODUCT($V$3:$BC$3,V522:BC522)=0,"-",SUMPRODUCT($V$3:$BC$3,V522:BC522))</f>
        <v>155</v>
      </c>
      <c r="P522" s="279" t="str">
        <f>IF(G522="","",IFERROR(IF(S522="Sent","",IF(I522="Delivered","PO en attente","Projet en cours")),""))</f>
        <v/>
      </c>
      <c r="Q522" s="211">
        <v>4200673574</v>
      </c>
      <c r="R522" s="211" t="s">
        <v>340</v>
      </c>
      <c r="S522" s="211" t="s">
        <v>249</v>
      </c>
      <c r="T522" s="211" t="s">
        <v>1758</v>
      </c>
      <c r="U522" s="257" t="s">
        <v>1671</v>
      </c>
      <c r="V522" s="7">
        <v>1</v>
      </c>
      <c r="W522" s="8">
        <v>1</v>
      </c>
    </row>
    <row r="523" spans="1:45" hidden="1">
      <c r="A523" s="286" t="s">
        <v>244</v>
      </c>
      <c r="B523" s="286" t="s">
        <v>221</v>
      </c>
      <c r="C523" s="280" t="s">
        <v>2</v>
      </c>
      <c r="D523" s="281" t="str">
        <f>IF(F523="","",CHOOSE(MONTH(F523),"Q4","Q4","Q4","Q1","Q1","Q1","Q2","Q2","Q2","Q3","Q3","Q3"))</f>
        <v>Q2</v>
      </c>
      <c r="E523" s="282" t="str">
        <f>IF(F523="","",CHOOSE(MONTH(F523),"10-JAN","11-FEB","12-MAR","01-APR","02-MAY","03-JUN","04-JUL","05-AUG","06-SEP","07-OCT","08-NOV","09-DEC"))</f>
        <v>06-SEP</v>
      </c>
      <c r="F523" s="242">
        <v>45565</v>
      </c>
      <c r="G523" s="231" t="s">
        <v>1889</v>
      </c>
      <c r="H523" s="5" t="s">
        <v>26</v>
      </c>
      <c r="I523" s="29" t="s">
        <v>223</v>
      </c>
      <c r="J523" s="8" t="s">
        <v>69</v>
      </c>
      <c r="K523" s="281" t="s">
        <v>30</v>
      </c>
      <c r="L523" s="78" t="s">
        <v>1711</v>
      </c>
      <c r="M523" s="105">
        <v>2</v>
      </c>
      <c r="N523" s="65">
        <f>IF(SUMPRODUCT($V$3:$BC$3,V523:BC523)=0,"-",SUMPRODUCT($V$3:$BC$3,V523:BC523))</f>
        <v>70</v>
      </c>
      <c r="P523" s="279" t="str">
        <f>IF(G523="","",IFERROR(IF(S523="Sent","",IF(I523="Delivered","PO en attente","Projet en cours")),""))</f>
        <v/>
      </c>
      <c r="Q523" s="211">
        <v>4200673779</v>
      </c>
      <c r="R523" s="211" t="s">
        <v>340</v>
      </c>
      <c r="S523" s="211" t="s">
        <v>249</v>
      </c>
      <c r="T523" s="211" t="s">
        <v>1670</v>
      </c>
      <c r="U523" s="257" t="s">
        <v>1671</v>
      </c>
      <c r="W523" s="8">
        <v>2</v>
      </c>
    </row>
    <row r="524" spans="1:45" hidden="1">
      <c r="A524" s="286" t="s">
        <v>244</v>
      </c>
      <c r="B524" s="286" t="s">
        <v>221</v>
      </c>
      <c r="C524" s="280" t="s">
        <v>2</v>
      </c>
      <c r="D524" s="281" t="str">
        <f>IF(F524="","",CHOOSE(MONTH(F524),"Q4","Q4","Q4","Q1","Q1","Q1","Q2","Q2","Q2","Q3","Q3","Q3"))</f>
        <v>Q3</v>
      </c>
      <c r="E524" s="282" t="str">
        <f>IF(F524="","",CHOOSE(MONTH(F524),"10-JAN","11-FEB","12-MAR","01-APR","02-MAY","03-JUN","04-JUL","05-AUG","06-SEP","07-OCT","08-NOV","09-DEC"))</f>
        <v>07-OCT</v>
      </c>
      <c r="F524" s="242">
        <v>45566</v>
      </c>
      <c r="G524" s="235" t="s">
        <v>1890</v>
      </c>
      <c r="H524" s="156" t="s">
        <v>35</v>
      </c>
      <c r="I524" s="29" t="s">
        <v>223</v>
      </c>
      <c r="J524" s="105" t="s">
        <v>95</v>
      </c>
      <c r="K524" s="377" t="str">
        <f>IF(H524="","",IFERROR(VLOOKUP(H524,Instructions!D:E,2,0),"BA"))</f>
        <v>BA</v>
      </c>
      <c r="L524" s="30" t="s">
        <v>1891</v>
      </c>
      <c r="M524" s="151">
        <f>IF(SUM(V524:BC524)=0,"-",SUM(V524:BC524))</f>
        <v>2</v>
      </c>
      <c r="N524" s="352">
        <f>IF(SUMPRODUCT($V$3:$BC$3,V524:BC524)=0,"-",SUMPRODUCT($V$3:$BC$3,V524:BC524))</f>
        <v>70</v>
      </c>
      <c r="O524" s="30" t="s">
        <v>1892</v>
      </c>
      <c r="P524" s="280" t="s">
        <v>481</v>
      </c>
      <c r="Q524" s="211">
        <v>4200673571</v>
      </c>
      <c r="R524" s="211"/>
      <c r="S524" s="211" t="s">
        <v>249</v>
      </c>
      <c r="T524" s="211" t="s">
        <v>1893</v>
      </c>
      <c r="U524" s="253" t="s">
        <v>1427</v>
      </c>
      <c r="W524" s="8">
        <v>2</v>
      </c>
    </row>
    <row r="525" spans="1:45" hidden="1">
      <c r="A525" s="286" t="s">
        <v>244</v>
      </c>
      <c r="B525" s="286" t="s">
        <v>221</v>
      </c>
      <c r="C525" s="280" t="s">
        <v>2</v>
      </c>
      <c r="D525" s="281" t="str">
        <f>IF(F525="","",CHOOSE(MONTH(F525),"Q4","Q4","Q4","Q1","Q1","Q1","Q2","Q2","Q2","Q3","Q3","Q3"))</f>
        <v>Q3</v>
      </c>
      <c r="E525" s="282" t="str">
        <f>IF(F525="","",CHOOSE(MONTH(F525),"10-JAN","11-FEB","12-MAR","01-APR","02-MAY","03-JUN","04-JUL","05-AUG","06-SEP","07-OCT","08-NOV","09-DEC"))</f>
        <v>07-OCT</v>
      </c>
      <c r="F525" s="242">
        <v>45567</v>
      </c>
      <c r="G525" s="231" t="s">
        <v>1894</v>
      </c>
      <c r="H525" t="s">
        <v>38</v>
      </c>
      <c r="I525" s="29" t="s">
        <v>223</v>
      </c>
      <c r="J525" s="8" t="s">
        <v>69</v>
      </c>
      <c r="K525" s="281" t="str">
        <f>IF(H525="","",IFERROR(VLOOKUP(H525,Instructions!D:E,2,0),"BA"))</f>
        <v>BA</v>
      </c>
      <c r="L525" s="30" t="s">
        <v>1895</v>
      </c>
      <c r="M525" s="105">
        <v>1</v>
      </c>
      <c r="N525" s="352">
        <f>IF(SUMPRODUCT($V$3:$BC$3,V525:BC525)=0,"-",SUMPRODUCT($V$3:$BC$3,V525:BC525))</f>
        <v>40</v>
      </c>
      <c r="O525" s="30" t="s">
        <v>1896</v>
      </c>
      <c r="P525" s="280" t="s">
        <v>481</v>
      </c>
      <c r="Q525" s="211">
        <v>4270029558</v>
      </c>
      <c r="R525" s="211"/>
      <c r="S525" s="211" t="s">
        <v>249</v>
      </c>
      <c r="T525" s="211" t="s">
        <v>1897</v>
      </c>
      <c r="U525" s="253" t="s">
        <v>1306</v>
      </c>
      <c r="AD525" s="8">
        <v>1</v>
      </c>
    </row>
    <row r="526" spans="1:45" hidden="1">
      <c r="A526" s="286" t="s">
        <v>244</v>
      </c>
      <c r="B526" s="286" t="s">
        <v>221</v>
      </c>
      <c r="C526" s="280" t="s">
        <v>2</v>
      </c>
      <c r="D526" s="281" t="str">
        <f>IF(F526="","",CHOOSE(MONTH(F526),"Q4","Q4","Q4","Q1","Q1","Q1","Q2","Q2","Q2","Q3","Q3","Q3"))</f>
        <v>Q3</v>
      </c>
      <c r="E526" s="282" t="str">
        <f>IF(F526="","",CHOOSE(MONTH(F526),"10-JAN","11-FEB","12-MAR","01-APR","02-MAY","03-JUN","04-JUL","05-AUG","06-SEP","07-OCT","08-NOV","09-DEC"))</f>
        <v>07-OCT</v>
      </c>
      <c r="F526" s="242">
        <v>45568</v>
      </c>
      <c r="G526" s="231" t="s">
        <v>1898</v>
      </c>
      <c r="H526" s="5" t="s">
        <v>35</v>
      </c>
      <c r="I526" s="29" t="s">
        <v>223</v>
      </c>
      <c r="J526" s="8" t="s">
        <v>95</v>
      </c>
      <c r="K526" s="281" t="str">
        <f>IF(H526="","",IFERROR(VLOOKUP(H526,Instructions!D:E,2,0),"BA"))</f>
        <v>BA</v>
      </c>
      <c r="M526" s="151">
        <f>IF(SUM(V526:BC526)=0,"-",SUM(V526:BC526))</f>
        <v>1</v>
      </c>
      <c r="N526" s="352">
        <f>IF(SUMPRODUCT($V$3:$BC$3,V526:BC526)=0,"-",SUMPRODUCT($V$3:$BC$3,V526:BC526))</f>
        <v>80</v>
      </c>
      <c r="O526" s="30" t="s">
        <v>1899</v>
      </c>
      <c r="P526" s="280" t="s">
        <v>481</v>
      </c>
      <c r="Q526" s="211">
        <v>4200673571</v>
      </c>
      <c r="R526" s="211"/>
      <c r="S526" s="211" t="s">
        <v>249</v>
      </c>
      <c r="T526" s="211" t="s">
        <v>1893</v>
      </c>
      <c r="U526" s="253" t="s">
        <v>1427</v>
      </c>
      <c r="AS526" s="7">
        <v>1</v>
      </c>
    </row>
    <row r="527" spans="1:45" hidden="1">
      <c r="A527" s="286" t="s">
        <v>244</v>
      </c>
      <c r="B527" s="286" t="s">
        <v>221</v>
      </c>
      <c r="C527" s="280" t="s">
        <v>2</v>
      </c>
      <c r="D527" s="281" t="str">
        <f>IF(F527="","",CHOOSE(MONTH(F527),"Q4","Q4","Q4","Q1","Q1","Q1","Q2","Q2","Q2","Q3","Q3","Q3"))</f>
        <v>Q3</v>
      </c>
      <c r="E527" s="282" t="str">
        <f>IF(F527="","",CHOOSE(MONTH(F527),"10-JAN","11-FEB","12-MAR","01-APR","02-MAY","03-JUN","04-JUL","05-AUG","06-SEP","07-OCT","08-NOV","09-DEC"))</f>
        <v>07-OCT</v>
      </c>
      <c r="F527" s="242">
        <v>45568</v>
      </c>
      <c r="G527" s="231" t="s">
        <v>1900</v>
      </c>
      <c r="H527" s="5" t="s">
        <v>35</v>
      </c>
      <c r="I527" s="29" t="s">
        <v>223</v>
      </c>
      <c r="J527" s="8" t="s">
        <v>95</v>
      </c>
      <c r="K527" s="281" t="str">
        <f>IF(H527="","",IFERROR(VLOOKUP(H527,Instructions!D:E,2,0),"BA"))</f>
        <v>BA</v>
      </c>
      <c r="L527" s="30" t="s">
        <v>1901</v>
      </c>
      <c r="M527" s="151">
        <v>2</v>
      </c>
      <c r="N527" s="352">
        <f>IF(SUMPRODUCT($V$3:$BC$3,V527:BC527)=0,"-",SUMPRODUCT($V$3:$BC$3,V527:BC527))</f>
        <v>80</v>
      </c>
      <c r="O527" s="30" t="s">
        <v>1902</v>
      </c>
      <c r="P527" s="280" t="s">
        <v>481</v>
      </c>
      <c r="Q527" s="211">
        <v>4200673571</v>
      </c>
      <c r="R527" s="211"/>
      <c r="S527" s="211" t="s">
        <v>249</v>
      </c>
      <c r="T527" s="211" t="s">
        <v>1893</v>
      </c>
      <c r="U527" s="253" t="s">
        <v>1427</v>
      </c>
      <c r="AD527" s="8">
        <v>2</v>
      </c>
    </row>
    <row r="528" spans="1:45" hidden="1">
      <c r="A528" s="286" t="s">
        <v>244</v>
      </c>
      <c r="B528" s="286" t="s">
        <v>221</v>
      </c>
      <c r="C528" s="280" t="s">
        <v>2</v>
      </c>
      <c r="D528" s="281" t="str">
        <f>IF(F528="","",CHOOSE(MONTH(F528),"Q4","Q4","Q4","Q1","Q1","Q1","Q2","Q2","Q2","Q3","Q3","Q3"))</f>
        <v>Q3</v>
      </c>
      <c r="E528" s="282" t="str">
        <f>IF(F528="","",CHOOSE(MONTH(F528),"10-JAN","11-FEB","12-MAR","01-APR","02-MAY","03-JUN","04-JUL","05-AUG","06-SEP","07-OCT","08-NOV","09-DEC"))</f>
        <v>07-OCT</v>
      </c>
      <c r="F528" s="242">
        <v>45568</v>
      </c>
      <c r="G528" s="231" t="s">
        <v>1903</v>
      </c>
      <c r="H528" s="5" t="s">
        <v>35</v>
      </c>
      <c r="I528" s="29" t="s">
        <v>223</v>
      </c>
      <c r="J528" s="8" t="s">
        <v>95</v>
      </c>
      <c r="K528" s="281" t="str">
        <f>IF(H528="","",IFERROR(VLOOKUP(H528,Instructions!D:E,2,0),"BA"))</f>
        <v>BA</v>
      </c>
      <c r="L528" s="30" t="s">
        <v>1904</v>
      </c>
      <c r="M528" s="151">
        <f>IF(SUM(V528:BC528)=0,"-",SUM(V528:BC528))</f>
        <v>2</v>
      </c>
      <c r="N528" s="352">
        <f>IF(SUMPRODUCT($V$3:$BC$3,V528:BC528)=0,"-",SUMPRODUCT($V$3:$BC$3,V528:BC528))</f>
        <v>155</v>
      </c>
      <c r="O528" s="30" t="s">
        <v>1905</v>
      </c>
      <c r="P528" s="280" t="s">
        <v>481</v>
      </c>
      <c r="Q528" s="211">
        <v>4200673571</v>
      </c>
      <c r="R528" s="211"/>
      <c r="S528" s="211" t="s">
        <v>249</v>
      </c>
      <c r="T528" s="211" t="s">
        <v>1893</v>
      </c>
      <c r="U528" s="253" t="s">
        <v>1427</v>
      </c>
      <c r="V528" s="7">
        <v>1</v>
      </c>
      <c r="W528" s="8">
        <v>1</v>
      </c>
    </row>
    <row r="529" spans="1:35" hidden="1">
      <c r="A529" s="286" t="s">
        <v>244</v>
      </c>
      <c r="B529" s="286" t="s">
        <v>221</v>
      </c>
      <c r="C529" s="280" t="s">
        <v>2</v>
      </c>
      <c r="D529" s="281" t="str">
        <f>IF(F529="","",CHOOSE(MONTH(F529),"Q4","Q4","Q4","Q1","Q1","Q1","Q2","Q2","Q2","Q3","Q3","Q3"))</f>
        <v>Q3</v>
      </c>
      <c r="E529" s="282" t="str">
        <f>IF(F529="","",CHOOSE(MONTH(F529),"10-JAN","11-FEB","12-MAR","01-APR","02-MAY","03-JUN","04-JUL","05-AUG","06-SEP","07-OCT","08-NOV","09-DEC"))</f>
        <v>07-OCT</v>
      </c>
      <c r="F529" s="242">
        <v>45568</v>
      </c>
      <c r="G529" s="231" t="s">
        <v>1906</v>
      </c>
      <c r="H529" s="5" t="s">
        <v>35</v>
      </c>
      <c r="I529" s="29" t="s">
        <v>223</v>
      </c>
      <c r="J529" s="8" t="s">
        <v>95</v>
      </c>
      <c r="K529" s="281" t="str">
        <f>IF(H529="","",IFERROR(VLOOKUP(H529,Instructions!D:E,2,0),"BA"))</f>
        <v>BA</v>
      </c>
      <c r="L529" s="30" t="s">
        <v>1907</v>
      </c>
      <c r="M529" s="151">
        <v>10</v>
      </c>
      <c r="N529" s="352">
        <f>IF(SUMPRODUCT($V$3:$BC$3,V529:BC529)=0,"-",SUMPRODUCT($V$3:$BC$3,V529:BC529))</f>
        <v>535</v>
      </c>
      <c r="O529" s="30" t="s">
        <v>1908</v>
      </c>
      <c r="P529" s="280" t="s">
        <v>481</v>
      </c>
      <c r="Q529" s="211">
        <v>4200673571</v>
      </c>
      <c r="R529" s="211"/>
      <c r="S529" s="211" t="s">
        <v>249</v>
      </c>
      <c r="T529" s="211" t="s">
        <v>1893</v>
      </c>
      <c r="U529" s="253" t="s">
        <v>1427</v>
      </c>
      <c r="V529" s="7">
        <v>1</v>
      </c>
      <c r="W529" s="8">
        <v>8</v>
      </c>
      <c r="AC529" s="7">
        <v>1</v>
      </c>
    </row>
    <row r="530" spans="1:35" hidden="1">
      <c r="A530" s="286" t="s">
        <v>244</v>
      </c>
      <c r="B530" s="286" t="s">
        <v>221</v>
      </c>
      <c r="C530" s="280" t="s">
        <v>2</v>
      </c>
      <c r="D530" s="281" t="str">
        <f>IF(F530="","",CHOOSE(MONTH(F530),"Q4","Q4","Q4","Q1","Q1","Q1","Q2","Q2","Q2","Q3","Q3","Q3"))</f>
        <v>Q3</v>
      </c>
      <c r="E530" s="282" t="str">
        <f>IF(F530="","",CHOOSE(MONTH(F530),"10-JAN","11-FEB","12-MAR","01-APR","02-MAY","03-JUN","04-JUL","05-AUG","06-SEP","07-OCT","08-NOV","09-DEC"))</f>
        <v>07-OCT</v>
      </c>
      <c r="F530" s="242">
        <v>45568</v>
      </c>
      <c r="G530" s="236" t="s">
        <v>1909</v>
      </c>
      <c r="H530" s="5" t="s">
        <v>1878</v>
      </c>
      <c r="I530" s="29" t="s">
        <v>223</v>
      </c>
      <c r="J530" s="8" t="s">
        <v>95</v>
      </c>
      <c r="K530" s="281" t="str">
        <f>IF(H530="","",IFERROR(VLOOKUP(H530,Instructions!D:E,2,0),"BA"))</f>
        <v>BA</v>
      </c>
      <c r="L530" s="78" t="s">
        <v>1910</v>
      </c>
      <c r="M530" s="151">
        <f>IF(SUM(V530:BC530)=0,"-",SUM(V530:BC530))</f>
        <v>18</v>
      </c>
      <c r="N530" s="352">
        <f>IF(SUMPRODUCT($V$3:$BC$3,V530:BC530)=0,"-",SUMPRODUCT($V$3:$BC$3,V530:BC530))</f>
        <v>800</v>
      </c>
      <c r="P530" s="279" t="str">
        <f>IF(G530="","",IFERROR(IF(S530="Sent","",IF(I530="Delivered","PO en attente","Projet en cours")),""))</f>
        <v/>
      </c>
      <c r="Q530" s="211">
        <v>4200673567</v>
      </c>
      <c r="R530" s="211" t="s">
        <v>351</v>
      </c>
      <c r="S530" s="211" t="s">
        <v>249</v>
      </c>
      <c r="T530" s="211" t="s">
        <v>1911</v>
      </c>
      <c r="U530" s="257" t="s">
        <v>1671</v>
      </c>
      <c r="V530" s="7">
        <v>2</v>
      </c>
      <c r="W530" s="8">
        <v>16</v>
      </c>
    </row>
    <row r="531" spans="1:35" hidden="1">
      <c r="A531" s="286" t="s">
        <v>244</v>
      </c>
      <c r="B531" s="286" t="s">
        <v>221</v>
      </c>
      <c r="C531" s="280" t="s">
        <v>2</v>
      </c>
      <c r="D531" s="281" t="str">
        <f>IF(F531="","",CHOOSE(MONTH(F531),"Q4","Q4","Q4","Q1","Q1","Q1","Q2","Q2","Q2","Q3","Q3","Q3"))</f>
        <v>Q3</v>
      </c>
      <c r="E531" s="282" t="str">
        <f>IF(F531="","",CHOOSE(MONTH(F531),"10-JAN","11-FEB","12-MAR","01-APR","02-MAY","03-JUN","04-JUL","05-AUG","06-SEP","07-OCT","08-NOV","09-DEC"))</f>
        <v>07-OCT</v>
      </c>
      <c r="F531" s="242">
        <v>45568</v>
      </c>
      <c r="G531" s="236" t="s">
        <v>1912</v>
      </c>
      <c r="H531" s="5" t="s">
        <v>26</v>
      </c>
      <c r="I531" s="29" t="s">
        <v>223</v>
      </c>
      <c r="J531" s="8" t="s">
        <v>93</v>
      </c>
      <c r="K531" s="281" t="str">
        <f>IF(H531="","",IFERROR(VLOOKUP(H531,Instructions!D:E,2,0),"BA"))</f>
        <v>CM</v>
      </c>
      <c r="L531" s="78" t="s">
        <v>1913</v>
      </c>
      <c r="M531" s="151">
        <f>IF(SUM(V531:BC531)=0,"-",SUM(V531:BC531))</f>
        <v>2</v>
      </c>
      <c r="N531" s="352">
        <f>IF(SUMPRODUCT($V$3:$BC$3,V531:BC531)=0,"-",SUMPRODUCT($V$3:$BC$3,V531:BC531))</f>
        <v>155</v>
      </c>
      <c r="P531" s="279" t="str">
        <f>IF(G531="","",IFERROR(IF(S531="Sent","",IF(I531="Delivered","PO en attente","Projet en cours")),""))</f>
        <v/>
      </c>
      <c r="Q531" s="211">
        <v>4200673568</v>
      </c>
      <c r="R531" s="211" t="s">
        <v>345</v>
      </c>
      <c r="S531" s="211" t="s">
        <v>249</v>
      </c>
      <c r="T531" s="211" t="s">
        <v>1914</v>
      </c>
      <c r="U531" s="388" t="s">
        <v>1915</v>
      </c>
      <c r="V531" s="7">
        <v>1</v>
      </c>
      <c r="W531" s="8">
        <v>1</v>
      </c>
    </row>
    <row r="532" spans="1:35" hidden="1">
      <c r="A532" s="286" t="s">
        <v>244</v>
      </c>
      <c r="B532" s="286" t="s">
        <v>221</v>
      </c>
      <c r="C532" s="280" t="s">
        <v>2</v>
      </c>
      <c r="D532" s="281" t="str">
        <f>IF(F532="","",CHOOSE(MONTH(F532),"Q4","Q4","Q4","Q1","Q1","Q1","Q2","Q2","Q2","Q3","Q3","Q3"))</f>
        <v>Q3</v>
      </c>
      <c r="E532" s="282" t="str">
        <f>IF(F532="","",CHOOSE(MONTH(F532),"10-JAN","11-FEB","12-MAR","01-APR","02-MAY","03-JUN","04-JUL","05-AUG","06-SEP","07-OCT","08-NOV","09-DEC"))</f>
        <v>07-OCT</v>
      </c>
      <c r="F532" s="242">
        <v>45568</v>
      </c>
      <c r="G532" s="231" t="s">
        <v>1916</v>
      </c>
      <c r="H532" s="459" t="s">
        <v>1304</v>
      </c>
      <c r="I532" s="29" t="s">
        <v>223</v>
      </c>
      <c r="J532" s="8" t="s">
        <v>130</v>
      </c>
      <c r="K532" s="281" t="str">
        <f>IF(H532="","",IFERROR(VLOOKUP(H532,Instructions!D:E,2,0),"BA"))</f>
        <v>BA</v>
      </c>
      <c r="L532" s="124" t="s">
        <v>1917</v>
      </c>
      <c r="M532" s="151">
        <f>IF(SUM(V532:BC532)=0,"-",SUM(V532:BC532))</f>
        <v>1</v>
      </c>
      <c r="N532" s="352">
        <f>IF(SUMPRODUCT($V$3:$BC$3,V532:BC532)=0,"-",SUMPRODUCT($V$3:$BC$3,V532:BC532))</f>
        <v>180</v>
      </c>
      <c r="O532" s="30" t="s">
        <v>1918</v>
      </c>
      <c r="P532" s="280" t="s">
        <v>481</v>
      </c>
      <c r="Q532" s="412">
        <v>4200679445</v>
      </c>
      <c r="R532" s="211"/>
      <c r="S532" s="211" t="s">
        <v>249</v>
      </c>
      <c r="T532" s="211" t="s">
        <v>1305</v>
      </c>
      <c r="U532" s="253" t="s">
        <v>1306</v>
      </c>
      <c r="AI532" s="8">
        <v>1</v>
      </c>
    </row>
    <row r="533" spans="1:35" hidden="1">
      <c r="A533" s="286" t="s">
        <v>244</v>
      </c>
      <c r="B533" s="286" t="s">
        <v>221</v>
      </c>
      <c r="C533" s="280" t="s">
        <v>2</v>
      </c>
      <c r="D533" s="281" t="str">
        <f>IF(F533="","",CHOOSE(MONTH(F533),"Q4","Q4","Q4","Q1","Q1","Q1","Q2","Q2","Q2","Q3","Q3","Q3"))</f>
        <v>Q3</v>
      </c>
      <c r="E533" s="282" t="str">
        <f>IF(F533="","",CHOOSE(MONTH(F533),"10-JAN","11-FEB","12-MAR","01-APR","02-MAY","03-JUN","04-JUL","05-AUG","06-SEP","07-OCT","08-NOV","09-DEC"))</f>
        <v>07-OCT</v>
      </c>
      <c r="F533" s="242">
        <v>45569</v>
      </c>
      <c r="G533" s="231" t="s">
        <v>1919</v>
      </c>
      <c r="H533" t="s">
        <v>38</v>
      </c>
      <c r="I533" s="29" t="s">
        <v>223</v>
      </c>
      <c r="J533" s="8" t="s">
        <v>164</v>
      </c>
      <c r="K533" s="281" t="str">
        <f>IF(H533="","",IFERROR(VLOOKUP(H533,Instructions!D:E,2,0),"BA"))</f>
        <v>BA</v>
      </c>
      <c r="L533" s="30" t="s">
        <v>1920</v>
      </c>
      <c r="M533" s="151">
        <f>IF(SUM(V533:BC533)=0,"-",SUM(V533:BC533))</f>
        <v>2</v>
      </c>
      <c r="N533" s="352">
        <f>IF(SUMPRODUCT($V$3:$BC$3,V533:BC533)=0,"-",SUMPRODUCT($V$3:$BC$3,V533:BC533))</f>
        <v>175</v>
      </c>
      <c r="O533" s="30" t="s">
        <v>1921</v>
      </c>
      <c r="P533" s="280" t="s">
        <v>481</v>
      </c>
      <c r="Q533" s="211">
        <v>4200673674</v>
      </c>
      <c r="R533" s="211"/>
      <c r="S533" s="211" t="s">
        <v>249</v>
      </c>
      <c r="T533" s="211" t="s">
        <v>1922</v>
      </c>
      <c r="U533" s="253" t="s">
        <v>1427</v>
      </c>
      <c r="AC533" s="7">
        <v>1</v>
      </c>
      <c r="AD533" s="8">
        <v>1</v>
      </c>
    </row>
    <row r="534" spans="1:35" hidden="1">
      <c r="A534" s="286" t="s">
        <v>244</v>
      </c>
      <c r="B534" s="286" t="s">
        <v>221</v>
      </c>
      <c r="C534" s="280" t="s">
        <v>2</v>
      </c>
      <c r="D534" s="281" t="str">
        <f>IF(F534="","",CHOOSE(MONTH(F534),"Q4","Q4","Q4","Q1","Q1","Q1","Q2","Q2","Q2","Q3","Q3","Q3"))</f>
        <v>Q3</v>
      </c>
      <c r="E534" s="282" t="str">
        <f>IF(F534="","",CHOOSE(MONTH(F534),"10-JAN","11-FEB","12-MAR","01-APR","02-MAY","03-JUN","04-JUL","05-AUG","06-SEP","07-OCT","08-NOV","09-DEC"))</f>
        <v>07-OCT</v>
      </c>
      <c r="F534" s="242">
        <v>45572</v>
      </c>
      <c r="G534" s="472" t="s">
        <v>1923</v>
      </c>
      <c r="H534" s="410" t="s">
        <v>27</v>
      </c>
      <c r="I534" s="29" t="s">
        <v>223</v>
      </c>
      <c r="J534" s="386" t="s">
        <v>127</v>
      </c>
      <c r="K534" s="281" t="str">
        <f>IF(H534="","",IFERROR(VLOOKUP(H534,Instructions!D:E,2,0),"BA"))</f>
        <v>BA</v>
      </c>
      <c r="L534" s="78" t="s">
        <v>1924</v>
      </c>
      <c r="M534" s="151">
        <f>IF(SUM(V534:BC534)=0,"-",SUM(V534:BC534))</f>
        <v>2</v>
      </c>
      <c r="N534" s="352">
        <v>70</v>
      </c>
      <c r="O534" s="30" t="s">
        <v>1925</v>
      </c>
      <c r="P534" s="279" t="str">
        <f>IF(G534="","",IFERROR(IF(S534="Sent","",IF(I534="Delivered","PO en attente","Projet en cours")),""))</f>
        <v/>
      </c>
      <c r="Q534" s="211">
        <v>4200678470</v>
      </c>
      <c r="R534" s="211"/>
      <c r="S534" s="211" t="s">
        <v>249</v>
      </c>
      <c r="T534" s="211" t="s">
        <v>1754</v>
      </c>
      <c r="U534" s="253" t="s">
        <v>1755</v>
      </c>
      <c r="AD534" s="8">
        <v>2</v>
      </c>
    </row>
    <row r="535" spans="1:35" hidden="1">
      <c r="A535" s="286" t="s">
        <v>244</v>
      </c>
      <c r="B535" s="286" t="s">
        <v>221</v>
      </c>
      <c r="C535" s="280" t="s">
        <v>2</v>
      </c>
      <c r="D535" s="281" t="str">
        <f>IF(F535="","",CHOOSE(MONTH(F535),"Q4","Q4","Q4","Q1","Q1","Q1","Q2","Q2","Q2","Q3","Q3","Q3"))</f>
        <v>Q3</v>
      </c>
      <c r="E535" s="282" t="str">
        <f>IF(F535="","",CHOOSE(MONTH(F535),"10-JAN","11-FEB","12-MAR","01-APR","02-MAY","03-JUN","04-JUL","05-AUG","06-SEP","07-OCT","08-NOV","09-DEC"))</f>
        <v>07-OCT</v>
      </c>
      <c r="F535" s="242">
        <v>45572</v>
      </c>
      <c r="G535" s="236" t="s">
        <v>1926</v>
      </c>
      <c r="H535" s="5" t="s">
        <v>46</v>
      </c>
      <c r="I535" s="29" t="s">
        <v>223</v>
      </c>
      <c r="J535" s="8" t="s">
        <v>130</v>
      </c>
      <c r="K535" s="281" t="str">
        <f>IF(H535="","",IFERROR(VLOOKUP(H535,Instructions!D:E,2,0),"BA"))</f>
        <v>BA</v>
      </c>
      <c r="L535" s="78" t="s">
        <v>1927</v>
      </c>
      <c r="M535" s="151">
        <f>IF(SUM(V535:BC535)=0,"-",SUM(V535:BC535))</f>
        <v>4</v>
      </c>
      <c r="N535" s="352">
        <f>IF(SUMPRODUCT($V$3:$BC$3,V535:BC535)=0,"-",SUMPRODUCT($V$3:$BC$3,V535:BC535))</f>
        <v>330</v>
      </c>
      <c r="O535" s="30" t="s">
        <v>1928</v>
      </c>
      <c r="P535" s="279" t="str">
        <f>IF(G535="","",IFERROR(IF(S535="Sent","",IF(I535="Delivered","PO en attente","Projet en cours")),""))</f>
        <v>PO en attente</v>
      </c>
      <c r="Q535" s="448"/>
      <c r="R535" s="359"/>
      <c r="S535" s="359"/>
      <c r="T535" s="359"/>
      <c r="U535" s="360"/>
      <c r="V535" s="7">
        <v>1</v>
      </c>
      <c r="W535" s="8">
        <v>1</v>
      </c>
      <c r="AC535" s="7">
        <v>1</v>
      </c>
      <c r="AD535" s="8">
        <v>1</v>
      </c>
    </row>
    <row r="536" spans="1:35" hidden="1">
      <c r="A536" s="286" t="s">
        <v>244</v>
      </c>
      <c r="B536" s="286" t="s">
        <v>221</v>
      </c>
      <c r="C536" s="280" t="s">
        <v>2</v>
      </c>
      <c r="D536" s="281" t="str">
        <f>IF(F536="","",CHOOSE(MONTH(F536),"Q4","Q4","Q4","Q1","Q1","Q1","Q2","Q2","Q2","Q3","Q3","Q3"))</f>
        <v>Q3</v>
      </c>
      <c r="E536" s="282" t="str">
        <f>IF(F536="","",CHOOSE(MONTH(F536),"10-JAN","11-FEB","12-MAR","01-APR","02-MAY","03-JUN","04-JUL","05-AUG","06-SEP","07-OCT","08-NOV","09-DEC"))</f>
        <v>07-OCT</v>
      </c>
      <c r="F536" s="242">
        <v>45573</v>
      </c>
      <c r="G536" s="231" t="s">
        <v>1929</v>
      </c>
      <c r="H536" s="5" t="s">
        <v>1930</v>
      </c>
      <c r="I536" s="29" t="s">
        <v>223</v>
      </c>
      <c r="J536" s="8" t="s">
        <v>127</v>
      </c>
      <c r="K536" s="281" t="str">
        <f>IF(H536="","",IFERROR(VLOOKUP(H536,Instructions!D:E,2,0),"BA"))</f>
        <v>BA</v>
      </c>
      <c r="L536" s="30" t="s">
        <v>1931</v>
      </c>
      <c r="M536" s="151">
        <f>IF(SUM(V536:BC536)=0,"-",SUM(V536:BC536))</f>
        <v>15</v>
      </c>
      <c r="N536" s="65">
        <f>IF(SUMPRODUCT($V$3:$BC$3,V536:BC536)=0,"-",SUMPRODUCT($V$3:$BC$3,V536:BC536))</f>
        <v>610</v>
      </c>
      <c r="O536" s="30" t="s">
        <v>1932</v>
      </c>
      <c r="P536" s="279" t="s">
        <v>481</v>
      </c>
      <c r="Q536" s="315" t="s">
        <v>1452</v>
      </c>
      <c r="R536" s="211"/>
      <c r="S536" s="211" t="s">
        <v>249</v>
      </c>
      <c r="T536" s="211" t="s">
        <v>1453</v>
      </c>
      <c r="U536" s="253" t="s">
        <v>1427</v>
      </c>
      <c r="V536" s="7">
        <v>1</v>
      </c>
      <c r="W536" s="8">
        <v>14</v>
      </c>
    </row>
    <row r="537" spans="1:35" hidden="1">
      <c r="A537" s="286" t="s">
        <v>244</v>
      </c>
      <c r="B537" s="286" t="s">
        <v>221</v>
      </c>
      <c r="C537" s="280" t="s">
        <v>2</v>
      </c>
      <c r="D537" s="281" t="str">
        <f>IF(F537="","",CHOOSE(MONTH(F537),"Q4","Q4","Q4","Q1","Q1","Q1","Q2","Q2","Q2","Q3","Q3","Q3"))</f>
        <v>Q3</v>
      </c>
      <c r="E537" s="282" t="str">
        <f>IF(F537="","",CHOOSE(MONTH(F537),"10-JAN","11-FEB","12-MAR","01-APR","02-MAY","03-JUN","04-JUL","05-AUG","06-SEP","07-OCT","08-NOV","09-DEC"))</f>
        <v>07-OCT</v>
      </c>
      <c r="F537" s="242">
        <v>45574</v>
      </c>
      <c r="G537" s="222" t="s">
        <v>1933</v>
      </c>
      <c r="H537" s="410" t="s">
        <v>35</v>
      </c>
      <c r="I537" s="29" t="s">
        <v>223</v>
      </c>
      <c r="J537" s="8" t="s">
        <v>95</v>
      </c>
      <c r="K537" s="281" t="str">
        <f>IF(H537="","",IFERROR(VLOOKUP(H537,Instructions!D:E,2,0),"BA"))</f>
        <v>BA</v>
      </c>
      <c r="L537" s="30" t="s">
        <v>1934</v>
      </c>
      <c r="M537" s="151">
        <f>IF(SUM(V537:BC537)=0,"-",SUM(V537:BC537))</f>
        <v>1</v>
      </c>
      <c r="N537" s="352">
        <f>IF(SUMPRODUCT($V$3:$BC$3,V537:BC537)=0,"-",SUMPRODUCT($V$3:$BC$3,V537:BC537))</f>
        <v>35</v>
      </c>
      <c r="O537" s="30" t="s">
        <v>1935</v>
      </c>
      <c r="P537" s="280" t="s">
        <v>481</v>
      </c>
      <c r="Q537" s="211">
        <v>4200673562</v>
      </c>
      <c r="R537" s="211"/>
      <c r="S537" s="211" t="s">
        <v>249</v>
      </c>
      <c r="T537" s="211" t="s">
        <v>1786</v>
      </c>
      <c r="U537" s="253" t="s">
        <v>1427</v>
      </c>
      <c r="W537" s="8">
        <v>1</v>
      </c>
    </row>
    <row r="538" spans="1:35" hidden="1">
      <c r="A538" s="286" t="s">
        <v>244</v>
      </c>
      <c r="B538" s="286" t="s">
        <v>221</v>
      </c>
      <c r="C538" s="280" t="s">
        <v>2</v>
      </c>
      <c r="D538" s="281" t="str">
        <f>IF(F538="","",CHOOSE(MONTH(F538),"Q4","Q4","Q4","Q1","Q1","Q1","Q2","Q2","Q2","Q3","Q3","Q3"))</f>
        <v>Q3</v>
      </c>
      <c r="E538" s="282" t="str">
        <f>IF(F538="","",CHOOSE(MONTH(F538),"10-JAN","11-FEB","12-MAR","01-APR","02-MAY","03-JUN","04-JUL","05-AUG","06-SEP","07-OCT","08-NOV","09-DEC"))</f>
        <v>07-OCT</v>
      </c>
      <c r="F538" s="242">
        <v>45574</v>
      </c>
      <c r="G538" s="231" t="s">
        <v>1936</v>
      </c>
      <c r="H538" s="5" t="s">
        <v>27</v>
      </c>
      <c r="I538" s="29" t="s">
        <v>223</v>
      </c>
      <c r="J538" s="8" t="s">
        <v>1937</v>
      </c>
      <c r="K538" s="281" t="str">
        <f>IF(H538="","",IFERROR(VLOOKUP(H538,Instructions!D:E,2,0),"BA"))</f>
        <v>BA</v>
      </c>
      <c r="L538" s="30" t="s">
        <v>1938</v>
      </c>
      <c r="M538" s="151">
        <f>IF(SUM(V538:BC538)=0,"-",SUM(V538:BC538))</f>
        <v>2</v>
      </c>
      <c r="N538" s="352">
        <f>IF(SUMPRODUCT($V$3:$BC$3,V538:BC538)=0,"-",SUMPRODUCT($V$3:$BC$3,V538:BC538))</f>
        <v>170</v>
      </c>
      <c r="O538" s="30" t="s">
        <v>1939</v>
      </c>
      <c r="P538" s="281" t="str">
        <f>IF(G538="","",IFERROR(IF(S538="Sent","",IF(I538="Delivered","PO en attente","Projet en cours")),""))</f>
        <v/>
      </c>
      <c r="Q538" s="211">
        <v>4200676002</v>
      </c>
      <c r="R538" s="211"/>
      <c r="S538" s="211" t="s">
        <v>249</v>
      </c>
      <c r="T538" s="211" t="s">
        <v>1940</v>
      </c>
      <c r="U538" s="253" t="s">
        <v>1941</v>
      </c>
      <c r="W538" s="8">
        <v>1</v>
      </c>
      <c r="AC538" s="7">
        <v>1</v>
      </c>
    </row>
    <row r="539" spans="1:35" hidden="1">
      <c r="A539" s="286" t="s">
        <v>244</v>
      </c>
      <c r="B539" s="286" t="s">
        <v>221</v>
      </c>
      <c r="C539" s="280" t="s">
        <v>2</v>
      </c>
      <c r="D539" s="281" t="str">
        <f>IF(F539="","",CHOOSE(MONTH(F539),"Q4","Q4","Q4","Q1","Q1","Q1","Q2","Q2","Q2","Q3","Q3","Q3"))</f>
        <v>Q3</v>
      </c>
      <c r="E539" s="282" t="str">
        <f>IF(F539="","",CHOOSE(MONTH(F539),"10-JAN","11-FEB","12-MAR","01-APR","02-MAY","03-JUN","04-JUL","05-AUG","06-SEP","07-OCT","08-NOV","09-DEC"))</f>
        <v>07-OCT</v>
      </c>
      <c r="F539" s="242">
        <v>45575</v>
      </c>
      <c r="G539" s="231" t="s">
        <v>1942</v>
      </c>
      <c r="H539" t="s">
        <v>38</v>
      </c>
      <c r="I539" s="29" t="s">
        <v>223</v>
      </c>
      <c r="J539" s="8" t="s">
        <v>164</v>
      </c>
      <c r="K539" s="281" t="str">
        <f>IF(H539="","",IFERROR(VLOOKUP(H539,Instructions!D:E,2,0),"BA"))</f>
        <v>BA</v>
      </c>
      <c r="L539" s="30" t="s">
        <v>1943</v>
      </c>
      <c r="M539" s="151">
        <v>2</v>
      </c>
      <c r="N539" s="352">
        <f>IF(SUMPRODUCT($V$3:$BC$3,V539:BC539)=0,"-",SUMPRODUCT($V$3:$BC$3,V539:BC539))</f>
        <v>360</v>
      </c>
      <c r="O539" s="30" t="s">
        <v>1944</v>
      </c>
      <c r="P539" s="280" t="s">
        <v>481</v>
      </c>
      <c r="Q539" s="211">
        <v>4200673674</v>
      </c>
      <c r="R539" s="211"/>
      <c r="S539" s="211" t="s">
        <v>249</v>
      </c>
      <c r="T539" s="211" t="s">
        <v>1922</v>
      </c>
      <c r="U539" s="253" t="s">
        <v>1427</v>
      </c>
      <c r="AE539" s="8">
        <v>2</v>
      </c>
    </row>
    <row r="540" spans="1:35" hidden="1" outlineLevel="1">
      <c r="A540" s="286" t="s">
        <v>244</v>
      </c>
      <c r="B540" s="286" t="s">
        <v>221</v>
      </c>
      <c r="C540" s="280" t="s">
        <v>2</v>
      </c>
      <c r="D540" s="281" t="str">
        <f>IF(F540="","",CHOOSE(MONTH(F540),"Q4","Q4","Q4","Q1","Q1","Q1","Q2","Q2","Q2","Q3","Q3","Q3"))</f>
        <v>Q3</v>
      </c>
      <c r="E540" s="282" t="str">
        <f>IF(F540="","",CHOOSE(MONTH(F540),"10-JAN","11-FEB","12-MAR","01-APR","02-MAY","03-JUN","04-JUL","05-AUG","06-SEP","07-OCT","08-NOV","09-DEC"))</f>
        <v>07-OCT</v>
      </c>
      <c r="F540" s="242">
        <v>45575</v>
      </c>
      <c r="G540" s="231" t="s">
        <v>1945</v>
      </c>
      <c r="H540" s="5" t="s">
        <v>1787</v>
      </c>
      <c r="I540" s="29" t="s">
        <v>223</v>
      </c>
      <c r="J540" s="8" t="s">
        <v>69</v>
      </c>
      <c r="K540" s="281" t="str">
        <f>IF(H540="","",IFERROR(VLOOKUP(H540,Instructions!D:E,2,0),"BA"))</f>
        <v>BA</v>
      </c>
      <c r="L540" s="30" t="s">
        <v>1946</v>
      </c>
      <c r="M540" s="151">
        <f>IF(SUM(V540:BC540)=0,"-",SUM(V540:BC540))</f>
        <v>37</v>
      </c>
      <c r="N540" s="352">
        <f>IF(SUMPRODUCT($V$3:$BC$3,V540:BC540)=0,"-",SUMPRODUCT($V$3:$BC$3,V540:BC540))</f>
        <v>1535</v>
      </c>
      <c r="O540" s="30" t="s">
        <v>1947</v>
      </c>
      <c r="P540" s="280" t="s">
        <v>481</v>
      </c>
      <c r="Q540" s="211">
        <v>4200675161</v>
      </c>
      <c r="R540" s="211"/>
      <c r="S540" s="211" t="s">
        <v>249</v>
      </c>
      <c r="T540" s="211" t="s">
        <v>1948</v>
      </c>
      <c r="U540" s="257" t="s">
        <v>1671</v>
      </c>
      <c r="W540" s="8">
        <v>27</v>
      </c>
      <c r="AC540" s="7">
        <v>2</v>
      </c>
      <c r="AD540" s="8">
        <v>8</v>
      </c>
    </row>
    <row r="541" spans="1:35" hidden="1" outlineLevel="1">
      <c r="A541" s="286" t="s">
        <v>244</v>
      </c>
      <c r="B541" s="286" t="s">
        <v>221</v>
      </c>
      <c r="C541" s="280" t="s">
        <v>2</v>
      </c>
      <c r="D541" s="281" t="str">
        <f>IF(F541="","",CHOOSE(MONTH(F541),"Q4","Q4","Q4","Q1","Q1","Q1","Q2","Q2","Q2","Q3","Q3","Q3"))</f>
        <v>Q3</v>
      </c>
      <c r="E541" s="282" t="str">
        <f>IF(F541="","",CHOOSE(MONTH(F541),"10-JAN","11-FEB","12-MAR","01-APR","02-MAY","03-JUN","04-JUL","05-AUG","06-SEP","07-OCT","08-NOV","09-DEC"))</f>
        <v>07-OCT</v>
      </c>
      <c r="F541" s="242">
        <v>45579</v>
      </c>
      <c r="G541" s="231" t="s">
        <v>1949</v>
      </c>
      <c r="H541" s="5" t="s">
        <v>1787</v>
      </c>
      <c r="I541" s="29" t="s">
        <v>223</v>
      </c>
      <c r="J541" s="8" t="s">
        <v>69</v>
      </c>
      <c r="K541" s="281" t="str">
        <f>IF(H541="","",IFERROR(VLOOKUP(H541,Instructions!D:E,2,0),"BA"))</f>
        <v>BA</v>
      </c>
      <c r="L541" s="78" t="s">
        <v>1950</v>
      </c>
      <c r="M541" s="151">
        <f>IF(SUM(V541:BC541)=0,"-",SUM(V541:BC541))</f>
        <v>1</v>
      </c>
      <c r="N541" s="352">
        <f>IF(SUMPRODUCT($V$3:$BC$3,V541:BC541)=0,"-",SUMPRODUCT($V$3:$BC$3,V541:BC541))</f>
        <v>40</v>
      </c>
      <c r="O541" s="30" t="s">
        <v>1951</v>
      </c>
      <c r="P541" s="280" t="s">
        <v>481</v>
      </c>
      <c r="Q541" s="211">
        <v>4270029235</v>
      </c>
      <c r="R541" s="211"/>
      <c r="S541" s="211" t="s">
        <v>249</v>
      </c>
      <c r="T541" s="211" t="s">
        <v>1952</v>
      </c>
      <c r="U541" s="253" t="s">
        <v>1941</v>
      </c>
      <c r="AD541" s="8">
        <v>1</v>
      </c>
    </row>
    <row r="542" spans="1:35" hidden="1" collapsed="1">
      <c r="A542" s="286" t="s">
        <v>244</v>
      </c>
      <c r="B542" s="286" t="s">
        <v>221</v>
      </c>
      <c r="C542" s="280" t="s">
        <v>2</v>
      </c>
      <c r="D542" s="281" t="str">
        <f>IF(F542="","",CHOOSE(MONTH(F542),"Q4","Q4","Q4","Q1","Q1","Q1","Q2","Q2","Q2","Q3","Q3","Q3"))</f>
        <v>Q3</v>
      </c>
      <c r="E542" s="282" t="str">
        <f>IF(F542="","",CHOOSE(MONTH(F542),"10-JAN","11-FEB","12-MAR","01-APR","02-MAY","03-JUN","04-JUL","05-AUG","06-SEP","07-OCT","08-NOV","09-DEC"))</f>
        <v>07-OCT</v>
      </c>
      <c r="F542" s="242">
        <v>45580</v>
      </c>
      <c r="G542" s="231" t="s">
        <v>1903</v>
      </c>
      <c r="H542" s="5" t="s">
        <v>35</v>
      </c>
      <c r="I542" s="29" t="s">
        <v>223</v>
      </c>
      <c r="J542" s="8" t="s">
        <v>95</v>
      </c>
      <c r="K542" s="281" t="str">
        <f>IF(H542="","",IFERROR(VLOOKUP(H542,Instructions!D:E,2,0),"BA"))</f>
        <v>BA</v>
      </c>
      <c r="L542" s="30" t="s">
        <v>1904</v>
      </c>
      <c r="M542" s="151">
        <f>IF(SUM(V542:BC542)=0,"-",SUM(V542:BC542))</f>
        <v>2</v>
      </c>
      <c r="N542" s="352">
        <f>IF(SUMPRODUCT($V$3:$BC$3,V542:BC542)=0,"-",SUMPRODUCT($V$3:$BC$3,V542:BC542))</f>
        <v>70</v>
      </c>
      <c r="P542" s="280" t="s">
        <v>481</v>
      </c>
      <c r="Q542" s="211">
        <v>4200673571</v>
      </c>
      <c r="R542" s="211"/>
      <c r="S542" s="211" t="s">
        <v>249</v>
      </c>
      <c r="T542" s="211" t="s">
        <v>1893</v>
      </c>
      <c r="U542" s="253" t="s">
        <v>1427</v>
      </c>
      <c r="W542" s="8">
        <v>2</v>
      </c>
    </row>
    <row r="543" spans="1:35" hidden="1">
      <c r="A543" s="286" t="s">
        <v>244</v>
      </c>
      <c r="B543" s="286" t="s">
        <v>221</v>
      </c>
      <c r="C543" s="280" t="s">
        <v>2</v>
      </c>
      <c r="D543" s="281" t="str">
        <f>IF(F543="","",CHOOSE(MONTH(F543),"Q4","Q4","Q4","Q1","Q1","Q1","Q2","Q2","Q2","Q3","Q3","Q3"))</f>
        <v>Q3</v>
      </c>
      <c r="E543" s="282" t="str">
        <f>IF(F543="","",CHOOSE(MONTH(F543),"10-JAN","11-FEB","12-MAR","01-APR","02-MAY","03-JUN","04-JUL","05-AUG","06-SEP","07-OCT","08-NOV","09-DEC"))</f>
        <v>07-OCT</v>
      </c>
      <c r="F543" s="242">
        <v>45580</v>
      </c>
      <c r="G543" s="236" t="s">
        <v>1953</v>
      </c>
      <c r="H543" s="5" t="s">
        <v>35</v>
      </c>
      <c r="I543" s="29" t="s">
        <v>223</v>
      </c>
      <c r="J543" s="8" t="s">
        <v>95</v>
      </c>
      <c r="K543" s="281" t="str">
        <f>IF(H543="","",IFERROR(VLOOKUP(H543,Instructions!D:E,2,0),"BA"))</f>
        <v>BA</v>
      </c>
      <c r="L543" s="30" t="s">
        <v>1907</v>
      </c>
      <c r="M543" s="151">
        <f>IF(SUM(V543:BC543)=0,"-",SUM(V543:BC543))</f>
        <v>3</v>
      </c>
      <c r="N543" s="352">
        <f>IF(SUMPRODUCT($V$3:$BC$3,V543:BC543)=0,"-",SUMPRODUCT($V$3:$BC$3,V543:BC543))</f>
        <v>405</v>
      </c>
      <c r="Q543" s="211">
        <v>4200673571</v>
      </c>
      <c r="R543" s="211"/>
      <c r="S543" s="211" t="s">
        <v>249</v>
      </c>
      <c r="T543" s="211" t="s">
        <v>1893</v>
      </c>
      <c r="U543" s="253" t="s">
        <v>1427</v>
      </c>
      <c r="AC543" s="7">
        <v>3</v>
      </c>
    </row>
    <row r="544" spans="1:35" hidden="1">
      <c r="A544" s="286" t="s">
        <v>244</v>
      </c>
      <c r="B544" s="286" t="s">
        <v>221</v>
      </c>
      <c r="C544" s="280" t="s">
        <v>2</v>
      </c>
      <c r="D544" s="281" t="str">
        <f>IF(F544="","",CHOOSE(MONTH(F544),"Q4","Q4","Q4","Q1","Q1","Q1","Q2","Q2","Q2","Q3","Q3","Q3"))</f>
        <v>Q3</v>
      </c>
      <c r="E544" s="282" t="str">
        <f>IF(F544="","",CHOOSE(MONTH(F544),"10-JAN","11-FEB","12-MAR","01-APR","02-MAY","03-JUN","04-JUL","05-AUG","06-SEP","07-OCT","08-NOV","09-DEC"))</f>
        <v>07-OCT</v>
      </c>
      <c r="F544" s="242">
        <v>45580</v>
      </c>
      <c r="G544" s="231" t="s">
        <v>1954</v>
      </c>
      <c r="H544" s="5" t="s">
        <v>1955</v>
      </c>
      <c r="I544" s="29" t="s">
        <v>223</v>
      </c>
      <c r="J544" s="8" t="s">
        <v>147</v>
      </c>
      <c r="K544" s="281" t="str">
        <f>IF(H544="","",IFERROR(VLOOKUP(H544,Instructions!D:E,2,0),"BA"))</f>
        <v>BA</v>
      </c>
      <c r="L544" s="30" t="s">
        <v>1956</v>
      </c>
      <c r="M544" s="151">
        <f>IF(SUM(V544:BC544)=0,"-",SUM(V544:BC544))</f>
        <v>8</v>
      </c>
      <c r="N544" s="352">
        <f>IF(SUMPRODUCT($V$3:$BC$3,V544:BC544)=0,"-",SUMPRODUCT($V$3:$BC$3,V544:BC544))</f>
        <v>460</v>
      </c>
      <c r="O544" s="30" t="s">
        <v>1957</v>
      </c>
      <c r="P544" s="280" t="s">
        <v>481</v>
      </c>
      <c r="Q544" s="211">
        <v>4200675279</v>
      </c>
      <c r="R544" s="211"/>
      <c r="S544" s="211" t="s">
        <v>249</v>
      </c>
      <c r="T544" s="211" t="s">
        <v>1958</v>
      </c>
      <c r="U544" s="253" t="s">
        <v>1959</v>
      </c>
      <c r="AD544" s="8">
        <v>7</v>
      </c>
      <c r="AI544" s="8">
        <v>1</v>
      </c>
    </row>
    <row r="545" spans="1:48" hidden="1">
      <c r="A545" s="286" t="s">
        <v>244</v>
      </c>
      <c r="B545" s="286" t="s">
        <v>221</v>
      </c>
      <c r="C545" s="280" t="s">
        <v>2</v>
      </c>
      <c r="D545" s="281" t="str">
        <f>IF(F545="","",CHOOSE(MONTH(F545),"Q4","Q4","Q4","Q1","Q1","Q1","Q2","Q2","Q2","Q3","Q3","Q3"))</f>
        <v>Q3</v>
      </c>
      <c r="E545" s="282" t="str">
        <f>IF(F545="","",CHOOSE(MONTH(F545),"10-JAN","11-FEB","12-MAR","01-APR","02-MAY","03-JUN","04-JUL","05-AUG","06-SEP","07-OCT","08-NOV","09-DEC"))</f>
        <v>07-OCT</v>
      </c>
      <c r="F545" s="242">
        <v>45580</v>
      </c>
      <c r="G545" s="231" t="s">
        <v>1960</v>
      </c>
      <c r="H545" s="5" t="s">
        <v>1787</v>
      </c>
      <c r="I545" s="29" t="s">
        <v>223</v>
      </c>
      <c r="J545" s="8" t="s">
        <v>69</v>
      </c>
      <c r="K545" s="281" t="str">
        <f>IF(H545="","",IFERROR(VLOOKUP(H545,Instructions!D:E,2,0),"BA"))</f>
        <v>BA</v>
      </c>
      <c r="L545" s="30" t="s">
        <v>1961</v>
      </c>
      <c r="M545" s="151">
        <f>IF(SUM(V545:BC545)=0,"-",SUM(V545:BC545))</f>
        <v>1</v>
      </c>
      <c r="N545" s="352">
        <f>IF(SUMPRODUCT($V$3:$BC$3,V545:BC545)=0,"-",SUMPRODUCT($V$3:$BC$3,V545:BC545))</f>
        <v>35</v>
      </c>
      <c r="O545" s="30" t="s">
        <v>1962</v>
      </c>
      <c r="P545" s="280" t="s">
        <v>481</v>
      </c>
      <c r="Q545" s="211">
        <v>4270029140</v>
      </c>
      <c r="R545" s="211"/>
      <c r="S545" s="211" t="s">
        <v>249</v>
      </c>
      <c r="T545" s="211" t="s">
        <v>1963</v>
      </c>
      <c r="U545" s="257" t="s">
        <v>1671</v>
      </c>
      <c r="W545" s="8">
        <v>1</v>
      </c>
    </row>
    <row r="546" spans="1:48" hidden="1">
      <c r="A546" s="286" t="s">
        <v>244</v>
      </c>
      <c r="B546" s="286" t="s">
        <v>221</v>
      </c>
      <c r="C546" s="280" t="s">
        <v>2</v>
      </c>
      <c r="D546" s="281" t="str">
        <f>IF(F546="","",CHOOSE(MONTH(F546),"Q4","Q4","Q4","Q1","Q1","Q1","Q2","Q2","Q2","Q3","Q3","Q3"))</f>
        <v>Q3</v>
      </c>
      <c r="E546" s="282" t="str">
        <f>IF(F546="","",CHOOSE(MONTH(F546),"10-JAN","11-FEB","12-MAR","01-APR","02-MAY","03-JUN","04-JUL","05-AUG","06-SEP","07-OCT","08-NOV","09-DEC"))</f>
        <v>07-OCT</v>
      </c>
      <c r="F546" s="242">
        <v>45580</v>
      </c>
      <c r="G546" s="236" t="s">
        <v>1964</v>
      </c>
      <c r="H546" s="5" t="s">
        <v>27</v>
      </c>
      <c r="I546" s="29" t="s">
        <v>223</v>
      </c>
      <c r="J546" s="8" t="s">
        <v>147</v>
      </c>
      <c r="K546" s="281" t="str">
        <f>IF(H546="","",IFERROR(VLOOKUP(H546,Instructions!D:E,2,0),"BA"))</f>
        <v>BA</v>
      </c>
      <c r="L546" s="78" t="s">
        <v>1965</v>
      </c>
      <c r="M546" s="151">
        <f>IF(SUM(V546:BC546)=0,"-",SUM(V546:BC546))</f>
        <v>10</v>
      </c>
      <c r="N546" s="352">
        <f>IF(SUMPRODUCT($V$3:$BC$3,V546:BC546)=0,"-",SUMPRODUCT($V$3:$BC$3,V546:BC546))</f>
        <v>635</v>
      </c>
      <c r="O546" s="30" t="s">
        <v>1939</v>
      </c>
      <c r="P546" s="280" t="s">
        <v>481</v>
      </c>
      <c r="Q546" s="395">
        <v>4200675034</v>
      </c>
      <c r="R546" s="211"/>
      <c r="S546" s="211" t="s">
        <v>249</v>
      </c>
      <c r="T546" s="211" t="s">
        <v>1966</v>
      </c>
      <c r="U546" s="253" t="s">
        <v>1941</v>
      </c>
      <c r="V546" s="7">
        <v>1</v>
      </c>
      <c r="W546" s="8">
        <v>7</v>
      </c>
      <c r="AC546" s="7">
        <v>2</v>
      </c>
    </row>
    <row r="547" spans="1:48" hidden="1">
      <c r="A547" s="286" t="s">
        <v>244</v>
      </c>
      <c r="B547" s="286" t="s">
        <v>221</v>
      </c>
      <c r="C547" s="280" t="s">
        <v>2</v>
      </c>
      <c r="D547" s="281" t="str">
        <f>IF(F547="","",CHOOSE(MONTH(F547),"Q4","Q4","Q4","Q1","Q1","Q1","Q2","Q2","Q2","Q3","Q3","Q3"))</f>
        <v>Q3</v>
      </c>
      <c r="E547" s="282" t="str">
        <f>IF(F547="","",CHOOSE(MONTH(F547),"10-JAN","11-FEB","12-MAR","01-APR","02-MAY","03-JUN","04-JUL","05-AUG","06-SEP","07-OCT","08-NOV","09-DEC"))</f>
        <v>07-OCT</v>
      </c>
      <c r="F547" s="242">
        <v>45581</v>
      </c>
      <c r="G547" s="236" t="s">
        <v>1967</v>
      </c>
      <c r="H547" s="5" t="s">
        <v>1968</v>
      </c>
      <c r="I547" s="29" t="s">
        <v>223</v>
      </c>
      <c r="K547" s="281" t="str">
        <f>IF(H547="","",IFERROR(VLOOKUP(H547,Instructions!D:E,2,0),"BA"))</f>
        <v>BA</v>
      </c>
      <c r="L547" s="30" t="s">
        <v>1969</v>
      </c>
      <c r="M547" s="151">
        <f>IF(SUM(V547:BC547)=0,"-",SUM(V547:BC547))</f>
        <v>1</v>
      </c>
      <c r="N547" s="352">
        <f>IF(SUMPRODUCT($V$3:$BC$3,V547:BC547)=0,"-",SUMPRODUCT($V$3:$BC$3,V547:BC547))</f>
        <v>260</v>
      </c>
      <c r="O547" s="30" t="s">
        <v>1970</v>
      </c>
      <c r="P547" s="280" t="s">
        <v>481</v>
      </c>
      <c r="Q547" s="211">
        <v>4200673674</v>
      </c>
      <c r="R547" s="211"/>
      <c r="S547" s="211" t="s">
        <v>249</v>
      </c>
      <c r="T547" s="211" t="s">
        <v>1922</v>
      </c>
      <c r="U547" s="253" t="s">
        <v>1427</v>
      </c>
      <c r="AU547" s="8">
        <v>1</v>
      </c>
    </row>
    <row r="548" spans="1:48" hidden="1">
      <c r="A548" s="286" t="s">
        <v>244</v>
      </c>
      <c r="B548" s="286" t="s">
        <v>221</v>
      </c>
      <c r="C548" s="280" t="s">
        <v>2</v>
      </c>
      <c r="D548" s="281" t="str">
        <f>IF(F548="","",CHOOSE(MONTH(F548),"Q4","Q4","Q4","Q1","Q1","Q1","Q2","Q2","Q2","Q3","Q3","Q3"))</f>
        <v>Q3</v>
      </c>
      <c r="E548" s="282" t="str">
        <f>IF(F548="","",CHOOSE(MONTH(F548),"10-JAN","11-FEB","12-MAR","01-APR","02-MAY","03-JUN","04-JUL","05-AUG","06-SEP","07-OCT","08-NOV","09-DEC"))</f>
        <v>07-OCT</v>
      </c>
      <c r="F548" s="242">
        <v>45581</v>
      </c>
      <c r="G548" s="231" t="s">
        <v>1971</v>
      </c>
      <c r="H548" s="5" t="s">
        <v>35</v>
      </c>
      <c r="I548" s="29" t="s">
        <v>223</v>
      </c>
      <c r="J548" s="8" t="s">
        <v>95</v>
      </c>
      <c r="K548" s="281" t="str">
        <f>IF(H548="","",IFERROR(VLOOKUP(H548,Instructions!D:E,2,0),"BA"))</f>
        <v>BA</v>
      </c>
      <c r="L548" s="78" t="s">
        <v>1972</v>
      </c>
      <c r="M548" s="151">
        <f>IF(SUM(V548:BC548)=0,"-",SUM(V548:BC548))</f>
        <v>3</v>
      </c>
      <c r="N548" s="352">
        <f>IF(SUMPRODUCT($V$3:$BC$3,V548:BC548)=0,"-",SUMPRODUCT($V$3:$BC$3,V548:BC548))</f>
        <v>405</v>
      </c>
      <c r="P548" s="280" t="s">
        <v>481</v>
      </c>
      <c r="Q548" s="211">
        <v>4200673571</v>
      </c>
      <c r="R548" s="211"/>
      <c r="S548" s="211" t="s">
        <v>249</v>
      </c>
      <c r="T548" s="211" t="s">
        <v>1842</v>
      </c>
      <c r="U548" s="253" t="s">
        <v>1843</v>
      </c>
      <c r="AC548" s="7">
        <v>3</v>
      </c>
    </row>
    <row r="549" spans="1:48" hidden="1">
      <c r="A549" s="286" t="s">
        <v>244</v>
      </c>
      <c r="B549" s="286" t="s">
        <v>221</v>
      </c>
      <c r="C549" s="280" t="s">
        <v>2</v>
      </c>
      <c r="D549" s="281" t="str">
        <f>IF(F549="","",CHOOSE(MONTH(F549),"Q4","Q4","Q4","Q1","Q1","Q1","Q2","Q2","Q2","Q3","Q3","Q3"))</f>
        <v>Q3</v>
      </c>
      <c r="E549" s="282" t="str">
        <f>IF(F549="","",CHOOSE(MONTH(F549),"10-JAN","11-FEB","12-MAR","01-APR","02-MAY","03-JUN","04-JUL","05-AUG","06-SEP","07-OCT","08-NOV","09-DEC"))</f>
        <v>07-OCT</v>
      </c>
      <c r="F549" s="242">
        <v>45581</v>
      </c>
      <c r="G549" s="236" t="s">
        <v>1973</v>
      </c>
      <c r="H549" s="5" t="s">
        <v>1955</v>
      </c>
      <c r="I549" s="29" t="s">
        <v>223</v>
      </c>
      <c r="J549" s="8" t="s">
        <v>1937</v>
      </c>
      <c r="K549" s="281" t="str">
        <f>IF(H549="","",IFERROR(VLOOKUP(H549,Instructions!D:E,2,0),"BA"))</f>
        <v>BA</v>
      </c>
      <c r="L549" s="30" t="s">
        <v>1974</v>
      </c>
      <c r="M549" s="151">
        <f>IF(SUM(V549:BC549)=0,"-",SUM(V549:BC549))</f>
        <v>1</v>
      </c>
      <c r="N549" s="352">
        <f>IF(SUMPRODUCT($V$3:$BC$3,V549:BC549)=0,"-",SUMPRODUCT($V$3:$BC$3,V549:BC549))</f>
        <v>135</v>
      </c>
      <c r="O549" s="30" t="s">
        <v>1939</v>
      </c>
      <c r="P549" s="280" t="s">
        <v>481</v>
      </c>
      <c r="Q549" s="211">
        <v>4200676002</v>
      </c>
      <c r="R549" s="211"/>
      <c r="S549" s="211" t="s">
        <v>249</v>
      </c>
      <c r="T549" s="211" t="s">
        <v>1940</v>
      </c>
      <c r="U549" s="253" t="s">
        <v>1941</v>
      </c>
      <c r="AC549" s="7">
        <v>1</v>
      </c>
    </row>
    <row r="550" spans="1:48" hidden="1">
      <c r="A550" s="286" t="s">
        <v>244</v>
      </c>
      <c r="B550" s="286" t="s">
        <v>221</v>
      </c>
      <c r="C550" s="280" t="s">
        <v>2</v>
      </c>
      <c r="D550" s="281" t="str">
        <f>IF(F550="","",CHOOSE(MONTH(F550),"Q4","Q4","Q4","Q1","Q1","Q1","Q2","Q2","Q2","Q3","Q3","Q3"))</f>
        <v>Q3</v>
      </c>
      <c r="E550" s="282" t="str">
        <f>IF(F550="","",CHOOSE(MONTH(F550),"10-JAN","11-FEB","12-MAR","01-APR","02-MAY","03-JUN","04-JUL","05-AUG","06-SEP","07-OCT","08-NOV","09-DEC"))</f>
        <v>07-OCT</v>
      </c>
      <c r="F550" s="242">
        <v>45582</v>
      </c>
      <c r="G550" s="231" t="s">
        <v>1975</v>
      </c>
      <c r="H550" s="5" t="s">
        <v>27</v>
      </c>
      <c r="I550" s="29" t="s">
        <v>223</v>
      </c>
      <c r="J550" s="386" t="s">
        <v>127</v>
      </c>
      <c r="K550" s="281" t="str">
        <f>IF(H550="","",IFERROR(VLOOKUP(H550,Instructions!D:E,2,0),"BA"))</f>
        <v>BA</v>
      </c>
      <c r="L550" s="78" t="s">
        <v>1976</v>
      </c>
      <c r="M550" s="151">
        <f>IF(SUM(V550:BC550)=0,"-",SUM(V550:BC550))</f>
        <v>2</v>
      </c>
      <c r="N550" s="352">
        <f>IF(SUMPRODUCT($V$3:$BC$3,V550:BC550)=0,"-",SUMPRODUCT($V$3:$BC$3,V550:BC550))</f>
        <v>80</v>
      </c>
      <c r="O550" s="30" t="s">
        <v>1977</v>
      </c>
      <c r="P550" s="280" t="s">
        <v>481</v>
      </c>
      <c r="Q550" s="211">
        <v>4200678470</v>
      </c>
      <c r="R550" s="211"/>
      <c r="S550" s="211" t="s">
        <v>249</v>
      </c>
      <c r="T550" s="211" t="s">
        <v>1754</v>
      </c>
      <c r="U550" s="253" t="s">
        <v>1755</v>
      </c>
      <c r="AD550" s="8">
        <v>2</v>
      </c>
    </row>
    <row r="551" spans="1:48" hidden="1">
      <c r="A551" s="286" t="s">
        <v>244</v>
      </c>
      <c r="B551" s="286" t="s">
        <v>221</v>
      </c>
      <c r="C551" s="280" t="s">
        <v>2</v>
      </c>
      <c r="D551" s="281" t="str">
        <f>IF(F551="","",CHOOSE(MONTH(F551),"Q4","Q4","Q4","Q1","Q1","Q1","Q2","Q2","Q2","Q3","Q3","Q3"))</f>
        <v>Q3</v>
      </c>
      <c r="E551" s="282" t="str">
        <f>IF(F551="","",CHOOSE(MONTH(F551),"10-JAN","11-FEB","12-MAR","01-APR","02-MAY","03-JUN","04-JUL","05-AUG","06-SEP","07-OCT","08-NOV","09-DEC"))</f>
        <v>07-OCT</v>
      </c>
      <c r="F551" s="242">
        <v>45583</v>
      </c>
      <c r="G551" s="231" t="s">
        <v>1978</v>
      </c>
      <c r="H551" s="5" t="s">
        <v>27</v>
      </c>
      <c r="I551" s="29" t="s">
        <v>223</v>
      </c>
      <c r="J551" s="8" t="s">
        <v>128</v>
      </c>
      <c r="K551" s="281" t="str">
        <f>IF(H551="","",IFERROR(VLOOKUP(H551,Instructions!D:E,2,0),"BA"))</f>
        <v>BA</v>
      </c>
      <c r="L551" s="78" t="s">
        <v>1979</v>
      </c>
      <c r="M551" s="151">
        <f>IF(SUM(V551:BC551)=0,"-",SUM(V551:BC551))</f>
        <v>12</v>
      </c>
      <c r="N551" s="352">
        <f>IF(SUMPRODUCT($V$3:$BC$3,V551:BC551)=0,"-",SUMPRODUCT($V$3:$BC$3,V551:BC551))</f>
        <v>1540</v>
      </c>
      <c r="P551" s="280" t="s">
        <v>481</v>
      </c>
      <c r="Q551" s="211">
        <v>4200671152</v>
      </c>
      <c r="R551" s="211"/>
      <c r="S551" s="248" t="s">
        <v>249</v>
      </c>
      <c r="T551" s="211" t="s">
        <v>1980</v>
      </c>
      <c r="U551" s="253" t="s">
        <v>1843</v>
      </c>
      <c r="V551" s="7">
        <v>4</v>
      </c>
      <c r="X551" s="8">
        <v>3</v>
      </c>
      <c r="AS551" s="7">
        <v>5</v>
      </c>
    </row>
    <row r="552" spans="1:48" hidden="1">
      <c r="A552" s="286" t="s">
        <v>244</v>
      </c>
      <c r="B552" s="286" t="s">
        <v>221</v>
      </c>
      <c r="C552" s="280" t="s">
        <v>2</v>
      </c>
      <c r="D552" s="281" t="str">
        <f>IF(F552="","",CHOOSE(MONTH(F552),"Q4","Q4","Q4","Q1","Q1","Q1","Q2","Q2","Q2","Q3","Q3","Q3"))</f>
        <v>Q3</v>
      </c>
      <c r="E552" s="282" t="str">
        <f>IF(F552="","",CHOOSE(MONTH(F552),"10-JAN","11-FEB","12-MAR","01-APR","02-MAY","03-JUN","04-JUL","05-AUG","06-SEP","07-OCT","08-NOV","09-DEC"))</f>
        <v>07-OCT</v>
      </c>
      <c r="F552" s="242">
        <v>45583</v>
      </c>
      <c r="G552" s="231" t="s">
        <v>1981</v>
      </c>
      <c r="H552" s="5" t="s">
        <v>1968</v>
      </c>
      <c r="I552" s="29" t="s">
        <v>223</v>
      </c>
      <c r="J552" s="8" t="s">
        <v>130</v>
      </c>
      <c r="K552" s="281" t="str">
        <f>IF(H552="","",IFERROR(VLOOKUP(H552,Instructions!D:E,2,0),"BA"))</f>
        <v>BA</v>
      </c>
      <c r="L552" s="30" t="s">
        <v>1982</v>
      </c>
      <c r="M552" s="151">
        <f>IF(SUM(V552:BC552)=0,"-",SUM(V552:BC552))</f>
        <v>1</v>
      </c>
      <c r="N552" s="352">
        <f>IF(SUMPRODUCT($V$3:$BC$3,V552:BC552)=0,"-",SUMPRODUCT($V$3:$BC$3,V552:BC552))</f>
        <v>260</v>
      </c>
      <c r="O552" s="30" t="s">
        <v>1983</v>
      </c>
      <c r="P552" s="211" t="s">
        <v>481</v>
      </c>
      <c r="Q552" s="448"/>
      <c r="R552" s="359"/>
      <c r="S552" s="359"/>
      <c r="T552" s="359"/>
      <c r="U552" s="360"/>
      <c r="AU552" s="8">
        <v>1</v>
      </c>
    </row>
    <row r="553" spans="1:48" hidden="1">
      <c r="A553" s="286" t="s">
        <v>244</v>
      </c>
      <c r="B553" s="286" t="s">
        <v>221</v>
      </c>
      <c r="C553" s="280" t="s">
        <v>2</v>
      </c>
      <c r="D553" s="281" t="str">
        <f>IF(F553="","",CHOOSE(MONTH(F553),"Q4","Q4","Q4","Q1","Q1","Q1","Q2","Q2","Q2","Q3","Q3","Q3"))</f>
        <v>Q3</v>
      </c>
      <c r="E553" s="282" t="str">
        <f>IF(F553="","",CHOOSE(MONTH(F553),"10-JAN","11-FEB","12-MAR","01-APR","02-MAY","03-JUN","04-JUL","05-AUG","06-SEP","07-OCT","08-NOV","09-DEC"))</f>
        <v>07-OCT</v>
      </c>
      <c r="F553" s="242">
        <v>45586</v>
      </c>
      <c r="G553" s="231" t="s">
        <v>1984</v>
      </c>
      <c r="H553" s="5" t="s">
        <v>35</v>
      </c>
      <c r="I553" s="29" t="s">
        <v>223</v>
      </c>
      <c r="J553" s="8" t="s">
        <v>95</v>
      </c>
      <c r="K553" s="281" t="str">
        <f>IF(H553="","",IFERROR(VLOOKUP(H553,Instructions!D:E,2,0),"BA"))</f>
        <v>BA</v>
      </c>
      <c r="L553" s="78" t="s">
        <v>1985</v>
      </c>
      <c r="M553" s="151">
        <f>IF(SUM(V553:BC553)=0,"-",SUM(V553:BC553))</f>
        <v>2</v>
      </c>
      <c r="N553" s="352">
        <f>IF(SUMPRODUCT($V$3:$BC$3,V553:BC553)=0,"-",SUMPRODUCT($V$3:$BC$3,V553:BC553))</f>
        <v>80</v>
      </c>
      <c r="P553" s="280" t="s">
        <v>481</v>
      </c>
      <c r="Q553" s="211">
        <v>4200673571</v>
      </c>
      <c r="R553" s="211"/>
      <c r="S553" s="211" t="s">
        <v>249</v>
      </c>
      <c r="T553" s="211" t="s">
        <v>1842</v>
      </c>
      <c r="U553" s="253" t="s">
        <v>1843</v>
      </c>
      <c r="AD553" s="8">
        <v>2</v>
      </c>
    </row>
    <row r="554" spans="1:48" hidden="1">
      <c r="A554" s="286" t="s">
        <v>244</v>
      </c>
      <c r="B554" s="286" t="s">
        <v>221</v>
      </c>
      <c r="C554" s="280" t="s">
        <v>2</v>
      </c>
      <c r="D554" s="281" t="str">
        <f>IF(F554="","",CHOOSE(MONTH(F554),"Q4","Q4","Q4","Q1","Q1","Q1","Q2","Q2","Q2","Q3","Q3","Q3"))</f>
        <v>Q3</v>
      </c>
      <c r="E554" s="282" t="str">
        <f>IF(F554="","",CHOOSE(MONTH(F554),"10-JAN","11-FEB","12-MAR","01-APR","02-MAY","03-JUN","04-JUL","05-AUG","06-SEP","07-OCT","08-NOV","09-DEC"))</f>
        <v>07-OCT</v>
      </c>
      <c r="F554" s="242">
        <v>45587</v>
      </c>
      <c r="G554" s="231" t="s">
        <v>1986</v>
      </c>
      <c r="H554" s="5" t="s">
        <v>35</v>
      </c>
      <c r="I554" s="29" t="s">
        <v>223</v>
      </c>
      <c r="J554" s="8" t="s">
        <v>95</v>
      </c>
      <c r="K554" s="281" t="str">
        <f>IF(H554="","",IFERROR(VLOOKUP(H554,Instructions!D:E,2,0),"BA"))</f>
        <v>BA</v>
      </c>
      <c r="L554" s="30" t="s">
        <v>1987</v>
      </c>
      <c r="M554" s="151">
        <f>IF(SUM(V554:BC554)=0,"-",SUM(V554:BC554))</f>
        <v>1</v>
      </c>
      <c r="N554" s="241">
        <f>IF(SUMPRODUCT($V$3:$BC$3,V554:BC554)=0,"-",SUMPRODUCT($V$3:$BC$3,V554:BC554))</f>
        <v>200</v>
      </c>
      <c r="O554" s="30" t="s">
        <v>1988</v>
      </c>
      <c r="P554" s="280" t="s">
        <v>481</v>
      </c>
      <c r="Q554" s="301">
        <v>4200675176</v>
      </c>
      <c r="R554" s="211"/>
      <c r="S554" s="211" t="s">
        <v>249</v>
      </c>
      <c r="T554" s="211" t="s">
        <v>1989</v>
      </c>
      <c r="U554" s="253" t="s">
        <v>1990</v>
      </c>
      <c r="AG554" s="8">
        <v>1</v>
      </c>
    </row>
    <row r="555" spans="1:48" hidden="1">
      <c r="A555" s="286" t="s">
        <v>244</v>
      </c>
      <c r="B555" s="286" t="s">
        <v>221</v>
      </c>
      <c r="C555" s="280" t="s">
        <v>2</v>
      </c>
      <c r="D555" s="281" t="str">
        <f>IF(F555="","",CHOOSE(MONTH(F555),"Q4","Q4","Q4","Q1","Q1","Q1","Q2","Q2","Q2","Q3","Q3","Q3"))</f>
        <v>Q3</v>
      </c>
      <c r="E555" s="282" t="str">
        <f>IF(F555="","",CHOOSE(MONTH(F555),"10-JAN","11-FEB","12-MAR","01-APR","02-MAY","03-JUN","04-JUL","05-AUG","06-SEP","07-OCT","08-NOV","09-DEC"))</f>
        <v>07-OCT</v>
      </c>
      <c r="F555" s="242">
        <v>45588</v>
      </c>
      <c r="G555" s="222" t="s">
        <v>1991</v>
      </c>
      <c r="H555" s="410" t="s">
        <v>1992</v>
      </c>
      <c r="I555" s="29" t="s">
        <v>223</v>
      </c>
      <c r="K555" s="281" t="str">
        <f>IF(H555="","",IFERROR(VLOOKUP(H555,Instructions!D:E,2,0),"BA"))</f>
        <v>BA</v>
      </c>
      <c r="L555" s="30" t="s">
        <v>1993</v>
      </c>
      <c r="M555" s="151">
        <f>IF(SUM(V555:BC555)=0,"-",SUM(V555:BC555))</f>
        <v>13</v>
      </c>
      <c r="N555" s="241">
        <f>IF(SUMPRODUCT($V$3:$BC$3,V555:BC555)=0,"-",SUMPRODUCT($V$3:$BC$3,V555:BC555))</f>
        <v>615</v>
      </c>
      <c r="O555" s="30" t="s">
        <v>1994</v>
      </c>
      <c r="P555" s="280" t="s">
        <v>481</v>
      </c>
      <c r="Q555" s="258">
        <v>4200674767</v>
      </c>
      <c r="R555" s="211"/>
      <c r="S555" s="211" t="s">
        <v>249</v>
      </c>
      <c r="T555" s="211" t="s">
        <v>1995</v>
      </c>
      <c r="U555" s="253" t="s">
        <v>1843</v>
      </c>
      <c r="AC555" s="7">
        <v>1</v>
      </c>
      <c r="AD555" s="8">
        <v>12</v>
      </c>
    </row>
    <row r="556" spans="1:48" hidden="1">
      <c r="A556" s="286" t="s">
        <v>244</v>
      </c>
      <c r="B556" s="286" t="s">
        <v>221</v>
      </c>
      <c r="C556" s="280" t="s">
        <v>2</v>
      </c>
      <c r="D556" s="281" t="str">
        <f>IF(F556="","",CHOOSE(MONTH(F556),"Q4","Q4","Q4","Q1","Q1","Q1","Q2","Q2","Q2","Q3","Q3","Q3"))</f>
        <v>Q3</v>
      </c>
      <c r="E556" s="282" t="str">
        <f>IF(F556="","",CHOOSE(MONTH(F556),"10-JAN","11-FEB","12-MAR","01-APR","02-MAY","03-JUN","04-JUL","05-AUG","06-SEP","07-OCT","08-NOV","09-DEC"))</f>
        <v>07-OCT</v>
      </c>
      <c r="F556" s="242">
        <v>45590</v>
      </c>
      <c r="G556" s="231" t="s">
        <v>1996</v>
      </c>
      <c r="H556" s="5" t="s">
        <v>35</v>
      </c>
      <c r="I556" s="29" t="s">
        <v>223</v>
      </c>
      <c r="J556" s="8" t="s">
        <v>95</v>
      </c>
      <c r="K556" s="281" t="str">
        <f>IF(H556="","",IFERROR(VLOOKUP(H556,Instructions!D:E,2,0),"BA"))</f>
        <v>BA</v>
      </c>
      <c r="L556" s="78" t="s">
        <v>1997</v>
      </c>
      <c r="M556" s="151">
        <f>IF(SUM(V556:BC556)=0,"-",SUM(V556:BC556))</f>
        <v>2</v>
      </c>
      <c r="N556" s="352">
        <f>IF(SUMPRODUCT($V$3:$BC$3,V556:BC556)=0,"-",SUMPRODUCT($V$3:$BC$3,V556:BC556))</f>
        <v>70</v>
      </c>
      <c r="P556" s="280" t="s">
        <v>481</v>
      </c>
      <c r="Q556" s="211">
        <v>4200673571</v>
      </c>
      <c r="R556" s="211"/>
      <c r="S556" s="211" t="s">
        <v>249</v>
      </c>
      <c r="T556" s="211" t="s">
        <v>1842</v>
      </c>
      <c r="U556" s="253" t="s">
        <v>1843</v>
      </c>
      <c r="W556" s="8">
        <v>2</v>
      </c>
    </row>
    <row r="557" spans="1:48" hidden="1">
      <c r="A557" s="286" t="s">
        <v>244</v>
      </c>
      <c r="B557" s="286" t="s">
        <v>221</v>
      </c>
      <c r="C557" s="280" t="s">
        <v>2</v>
      </c>
      <c r="D557" s="281" t="str">
        <f>IF(F557="","",CHOOSE(MONTH(F557),"Q4","Q4","Q4","Q1","Q1","Q1","Q2","Q2","Q2","Q3","Q3","Q3"))</f>
        <v>Q3</v>
      </c>
      <c r="E557" s="282" t="str">
        <f>IF(F557="","",CHOOSE(MONTH(F557),"10-JAN","11-FEB","12-MAR","01-APR","02-MAY","03-JUN","04-JUL","05-AUG","06-SEP","07-OCT","08-NOV","09-DEC"))</f>
        <v>07-OCT</v>
      </c>
      <c r="F557" s="242">
        <v>45590</v>
      </c>
      <c r="G557" s="231" t="s">
        <v>1998</v>
      </c>
      <c r="H557" s="5" t="s">
        <v>1955</v>
      </c>
      <c r="I557" s="29" t="s">
        <v>223</v>
      </c>
      <c r="J557" s="8" t="s">
        <v>147</v>
      </c>
      <c r="K557" s="281" t="str">
        <f>IF(H557="","",IFERROR(VLOOKUP(H557,Instructions!D:E,2,0),"BA"))</f>
        <v>BA</v>
      </c>
      <c r="L557" s="30" t="s">
        <v>1999</v>
      </c>
      <c r="M557" s="151">
        <f>IF(SUM(V557:BC557)=0,"-",SUM(V557:BC557))</f>
        <v>2</v>
      </c>
      <c r="N557" s="241">
        <f>IF(SUMPRODUCT($V$3:$BC$3,V557:BC557)=0,"-",SUMPRODUCT($V$3:$BC$3,V557:BC557))</f>
        <v>80</v>
      </c>
      <c r="O557" s="30" t="s">
        <v>2000</v>
      </c>
      <c r="P557" s="280" t="s">
        <v>481</v>
      </c>
      <c r="Q557" s="211">
        <v>4200675291</v>
      </c>
      <c r="R557" s="211"/>
      <c r="S557" s="211" t="s">
        <v>249</v>
      </c>
      <c r="T557" s="211" t="s">
        <v>2001</v>
      </c>
      <c r="U557" s="253" t="s">
        <v>1959</v>
      </c>
      <c r="AD557" s="8">
        <v>2</v>
      </c>
    </row>
    <row r="558" spans="1:48" hidden="1">
      <c r="A558" s="286" t="s">
        <v>244</v>
      </c>
      <c r="B558" s="286" t="s">
        <v>221</v>
      </c>
      <c r="C558" s="280" t="s">
        <v>2</v>
      </c>
      <c r="D558" s="281" t="str">
        <f>IF(F558="","",CHOOSE(MONTH(F558),"Q4","Q4","Q4","Q1","Q1","Q1","Q2","Q2","Q2","Q3","Q3","Q3"))</f>
        <v>Q3</v>
      </c>
      <c r="E558" s="282" t="str">
        <f>IF(F558="","",CHOOSE(MONTH(F558),"10-JAN","11-FEB","12-MAR","01-APR","02-MAY","03-JUN","04-JUL","05-AUG","06-SEP","07-OCT","08-NOV","09-DEC"))</f>
        <v>07-OCT</v>
      </c>
      <c r="F558" s="242">
        <v>45590</v>
      </c>
      <c r="G558" s="231" t="s">
        <v>2002</v>
      </c>
      <c r="H558" s="5" t="s">
        <v>26</v>
      </c>
      <c r="I558" s="29" t="s">
        <v>223</v>
      </c>
      <c r="J558" s="8" t="s">
        <v>95</v>
      </c>
      <c r="K558" s="281" t="str">
        <f>IF(H558="","",IFERROR(VLOOKUP(H558,Instructions!D:E,2,0),"BA"))</f>
        <v>CM</v>
      </c>
      <c r="L558" s="30" t="s">
        <v>2003</v>
      </c>
      <c r="M558" s="151">
        <f>IF(SUM(V558:BC558)=0,"-",SUM(V558:BC558))</f>
        <v>6</v>
      </c>
      <c r="N558" s="241">
        <f>IF(SUMPRODUCT($V$3:$BC$3,V558:BC558)=0,"-",SUMPRODUCT($V$3:$BC$3,V558:BC558))</f>
        <v>380</v>
      </c>
      <c r="O558" s="30" t="s">
        <v>2004</v>
      </c>
      <c r="P558" s="280" t="s">
        <v>481</v>
      </c>
      <c r="Q558" s="211">
        <v>4200673567</v>
      </c>
      <c r="R558" s="211" t="s">
        <v>351</v>
      </c>
      <c r="S558" s="211" t="s">
        <v>249</v>
      </c>
      <c r="T558" s="211" t="s">
        <v>1911</v>
      </c>
      <c r="U558" s="257" t="s">
        <v>1671</v>
      </c>
      <c r="V558" s="7">
        <v>2</v>
      </c>
      <c r="W558" s="8">
        <v>4</v>
      </c>
    </row>
    <row r="559" spans="1:48" hidden="1">
      <c r="A559" s="286" t="s">
        <v>244</v>
      </c>
      <c r="B559" s="286" t="s">
        <v>221</v>
      </c>
      <c r="C559" s="280" t="s">
        <v>2</v>
      </c>
      <c r="D559" s="281" t="str">
        <f>IF(F559="","",CHOOSE(MONTH(F559),"Q4","Q4","Q4","Q1","Q1","Q1","Q2","Q2","Q2","Q3","Q3","Q3"))</f>
        <v>Q3</v>
      </c>
      <c r="E559" s="282" t="str">
        <f>IF(F559="","",CHOOSE(MONTH(F559),"10-JAN","11-FEB","12-MAR","01-APR","02-MAY","03-JUN","04-JUL","05-AUG","06-SEP","07-OCT","08-NOV","09-DEC"))</f>
        <v>07-OCT</v>
      </c>
      <c r="F559" s="242">
        <v>45590</v>
      </c>
      <c r="G559" s="235" t="s">
        <v>2005</v>
      </c>
      <c r="H559" s="5" t="s">
        <v>26</v>
      </c>
      <c r="I559" s="29" t="s">
        <v>223</v>
      </c>
      <c r="J559" s="8" t="s">
        <v>93</v>
      </c>
      <c r="K559" s="281" t="str">
        <f>IF(H559="","",IFERROR(VLOOKUP(H559,Instructions!D:E,2,0),"BA"))</f>
        <v>CM</v>
      </c>
      <c r="L559" s="78" t="s">
        <v>2006</v>
      </c>
      <c r="M559" s="151">
        <f>IF(SUM(V559:BC559)=0,"-",SUM(V559:BC559))</f>
        <v>4</v>
      </c>
      <c r="N559" s="241">
        <f>IF(SUMPRODUCT($V$3:$BC$3,V559:BC559)=0,"-",SUMPRODUCT($V$3:$BC$3,V559:BC559))</f>
        <v>310</v>
      </c>
      <c r="O559" s="30" t="s">
        <v>2007</v>
      </c>
      <c r="P559" s="280" t="s">
        <v>481</v>
      </c>
      <c r="Q559" s="211">
        <v>4200673568</v>
      </c>
      <c r="R559" s="211" t="s">
        <v>351</v>
      </c>
      <c r="S559" s="211" t="s">
        <v>249</v>
      </c>
      <c r="T559" s="211" t="s">
        <v>2008</v>
      </c>
      <c r="U559" s="257" t="s">
        <v>1671</v>
      </c>
      <c r="V559" s="7">
        <v>2</v>
      </c>
      <c r="W559" s="8">
        <v>2</v>
      </c>
    </row>
    <row r="560" spans="1:48" hidden="1">
      <c r="A560" s="286" t="s">
        <v>244</v>
      </c>
      <c r="B560" s="286" t="s">
        <v>221</v>
      </c>
      <c r="C560" s="280" t="s">
        <v>2</v>
      </c>
      <c r="D560" s="281" t="str">
        <f>IF(F560="","",CHOOSE(MONTH(F560),"Q4","Q4","Q4","Q1","Q1","Q1","Q2","Q2","Q2","Q3","Q3","Q3"))</f>
        <v>Q3</v>
      </c>
      <c r="E560" s="282" t="str">
        <f>IF(F560="","",CHOOSE(MONTH(F560),"10-JAN","11-FEB","12-MAR","01-APR","02-MAY","03-JUN","04-JUL","05-AUG","06-SEP","07-OCT","08-NOV","09-DEC"))</f>
        <v>07-OCT</v>
      </c>
      <c r="F560" s="242">
        <v>45590</v>
      </c>
      <c r="G560" s="236" t="s">
        <v>2009</v>
      </c>
      <c r="H560" s="5" t="s">
        <v>26</v>
      </c>
      <c r="I560" s="29" t="s">
        <v>223</v>
      </c>
      <c r="J560" s="8" t="s">
        <v>130</v>
      </c>
      <c r="K560" s="281" t="str">
        <f>IF(H560="","",IFERROR(VLOOKUP(H560,Instructions!D:E,2,0),"BA"))</f>
        <v>CM</v>
      </c>
      <c r="L560" s="30" t="s">
        <v>2010</v>
      </c>
      <c r="M560" s="151">
        <f>IF(SUM(V560:BC560)=0,"-",SUM(V560:BC560))</f>
        <v>1</v>
      </c>
      <c r="N560" s="352">
        <f>IF(SUMPRODUCT($V$3:$BC$3,V560:BC560)=0,"-",SUMPRODUCT($V$3:$BC$3,V560:BC560))</f>
        <v>360</v>
      </c>
      <c r="P560" s="280" t="s">
        <v>481</v>
      </c>
      <c r="Q560" s="211">
        <v>4200673574</v>
      </c>
      <c r="R560" s="211" t="s">
        <v>351</v>
      </c>
      <c r="S560" s="211" t="s">
        <v>249</v>
      </c>
      <c r="T560" s="211" t="s">
        <v>2011</v>
      </c>
      <c r="U560" s="257" t="s">
        <v>1671</v>
      </c>
      <c r="AV560" s="8">
        <v>1</v>
      </c>
    </row>
    <row r="561" spans="1:35" hidden="1">
      <c r="A561" s="286" t="s">
        <v>244</v>
      </c>
      <c r="B561" s="286" t="s">
        <v>221</v>
      </c>
      <c r="C561" s="280" t="s">
        <v>2</v>
      </c>
      <c r="D561" s="281" t="str">
        <f>IF(F561="","",CHOOSE(MONTH(F561),"Q4","Q4","Q4","Q1","Q1","Q1","Q2","Q2","Q2","Q3","Q3","Q3"))</f>
        <v>Q3</v>
      </c>
      <c r="E561" s="282" t="str">
        <f>IF(F561="","",CHOOSE(MONTH(F561),"10-JAN","11-FEB","12-MAR","01-APR","02-MAY","03-JUN","04-JUL","05-AUG","06-SEP","07-OCT","08-NOV","09-DEC"))</f>
        <v>07-OCT</v>
      </c>
      <c r="F561" s="242">
        <v>45591</v>
      </c>
      <c r="G561" s="231" t="s">
        <v>2012</v>
      </c>
      <c r="H561" s="5" t="s">
        <v>35</v>
      </c>
      <c r="I561" s="29" t="s">
        <v>223</v>
      </c>
      <c r="J561" s="8" t="s">
        <v>95</v>
      </c>
      <c r="K561" s="281" t="str">
        <f>IF(H561="","",IFERROR(VLOOKUP(H561,Instructions!D:E,2,0),"BA"))</f>
        <v>BA</v>
      </c>
      <c r="L561" s="30" t="s">
        <v>2013</v>
      </c>
      <c r="M561" s="151">
        <f>IF(SUM(V561:BC561)=0,"-",SUM(V561:BC561))</f>
        <v>1</v>
      </c>
      <c r="N561" s="241">
        <f>IF(SUMPRODUCT($V$3:$BC$3,V561:BC561)=0,"-",SUMPRODUCT($V$3:$BC$3,V561:BC561))</f>
        <v>200</v>
      </c>
      <c r="P561" s="280" t="s">
        <v>481</v>
      </c>
      <c r="Q561" s="301">
        <v>4200675176</v>
      </c>
      <c r="R561" s="211"/>
      <c r="S561" s="211" t="s">
        <v>249</v>
      </c>
      <c r="T561" s="211" t="s">
        <v>1989</v>
      </c>
      <c r="U561" s="253" t="s">
        <v>1990</v>
      </c>
      <c r="AG561" s="8">
        <v>1</v>
      </c>
    </row>
    <row r="562" spans="1:35" hidden="1">
      <c r="A562" s="286" t="s">
        <v>244</v>
      </c>
      <c r="B562" s="286" t="s">
        <v>221</v>
      </c>
      <c r="C562" s="280" t="s">
        <v>2</v>
      </c>
      <c r="D562" s="281" t="str">
        <f>IF(F562="","",CHOOSE(MONTH(F562),"Q4","Q4","Q4","Q1","Q1","Q1","Q2","Q2","Q2","Q3","Q3","Q3"))</f>
        <v>Q3</v>
      </c>
      <c r="E562" s="282" t="str">
        <f>IF(F562="","",CHOOSE(MONTH(F562),"10-JAN","11-FEB","12-MAR","01-APR","02-MAY","03-JUN","04-JUL","05-AUG","06-SEP","07-OCT","08-NOV","09-DEC"))</f>
        <v>07-OCT</v>
      </c>
      <c r="F562" s="242">
        <v>45591</v>
      </c>
      <c r="G562" s="231" t="s">
        <v>2014</v>
      </c>
      <c r="H562" s="5" t="s">
        <v>1699</v>
      </c>
      <c r="I562" s="29" t="s">
        <v>223</v>
      </c>
      <c r="J562" s="8" t="s">
        <v>95</v>
      </c>
      <c r="K562" s="281" t="str">
        <f>IF(H562="","",IFERROR(VLOOKUP(H562,Instructions!D:E,2,0),"BA"))</f>
        <v>BA</v>
      </c>
      <c r="L562" s="78" t="s">
        <v>2015</v>
      </c>
      <c r="M562" s="151">
        <f>IF(SUM(V562:BC562)=0,"-",SUM(V562:BC562))</f>
        <v>1</v>
      </c>
      <c r="N562" s="352">
        <f>IF(SUMPRODUCT($V$3:$BC$3,V562:BC562)=0,"-",SUMPRODUCT($V$3:$BC$3,V562:BC562))</f>
        <v>135</v>
      </c>
      <c r="O562" s="30"/>
      <c r="P562" s="280" t="s">
        <v>481</v>
      </c>
      <c r="Q562" s="411">
        <v>4200679422</v>
      </c>
      <c r="R562" s="211"/>
      <c r="S562" s="211" t="s">
        <v>249</v>
      </c>
      <c r="T562" s="211" t="s">
        <v>2016</v>
      </c>
      <c r="U562" s="253" t="s">
        <v>1306</v>
      </c>
      <c r="AC562" s="7">
        <v>1</v>
      </c>
    </row>
    <row r="563" spans="1:35" hidden="1">
      <c r="A563" s="286" t="s">
        <v>244</v>
      </c>
      <c r="B563" s="286" t="s">
        <v>221</v>
      </c>
      <c r="C563" s="280" t="s">
        <v>2</v>
      </c>
      <c r="D563" s="281" t="str">
        <f>IF(F563="","",CHOOSE(MONTH(F563),"Q4","Q4","Q4","Q1","Q1","Q1","Q2","Q2","Q2","Q3","Q3","Q3"))</f>
        <v>Q3</v>
      </c>
      <c r="E563" s="282" t="str">
        <f>IF(F563="","",CHOOSE(MONTH(F563),"10-JAN","11-FEB","12-MAR","01-APR","02-MAY","03-JUN","04-JUL","05-AUG","06-SEP","07-OCT","08-NOV","09-DEC"))</f>
        <v>08-NOV</v>
      </c>
      <c r="F563" s="242">
        <v>45600</v>
      </c>
      <c r="G563" s="231" t="s">
        <v>2017</v>
      </c>
      <c r="H563" s="5" t="s">
        <v>2018</v>
      </c>
      <c r="I563" s="29" t="s">
        <v>223</v>
      </c>
      <c r="K563" s="281" t="str">
        <f>IF(H563="","",IFERROR(VLOOKUP(H563,Instructions!D:E,2,0),"BA"))</f>
        <v>BA</v>
      </c>
      <c r="L563" s="30" t="s">
        <v>2019</v>
      </c>
      <c r="M563" s="151">
        <f>IF(SUM(V563:BC563)=0,"-",SUM(V563:BC563))</f>
        <v>3</v>
      </c>
      <c r="N563" s="241">
        <f>IF(SUMPRODUCT($V$3:$BC$3,V563:BC563)=0,"-",SUMPRODUCT($V$3:$BC$3,V563:BC563))</f>
        <v>130</v>
      </c>
      <c r="O563" s="30" t="s">
        <v>2020</v>
      </c>
      <c r="P563" s="280" t="s">
        <v>481</v>
      </c>
      <c r="Q563" s="211">
        <v>4200669152</v>
      </c>
      <c r="R563" s="211"/>
      <c r="S563" s="211" t="s">
        <v>249</v>
      </c>
      <c r="T563" s="211" t="s">
        <v>2021</v>
      </c>
      <c r="U563" s="253" t="s">
        <v>1843</v>
      </c>
      <c r="W563" s="8">
        <v>2</v>
      </c>
      <c r="Y563" s="8">
        <v>1</v>
      </c>
    </row>
    <row r="564" spans="1:35" hidden="1">
      <c r="A564" s="286" t="s">
        <v>244</v>
      </c>
      <c r="B564" s="286" t="s">
        <v>221</v>
      </c>
      <c r="C564" s="280" t="s">
        <v>2</v>
      </c>
      <c r="D564" s="281" t="str">
        <f>IF(F564="","",CHOOSE(MONTH(F564),"Q4","Q4","Q4","Q1","Q1","Q1","Q2","Q2","Q2","Q3","Q3","Q3"))</f>
        <v>Q3</v>
      </c>
      <c r="E564" s="282" t="str">
        <f>IF(F564="","",CHOOSE(MONTH(F564),"10-JAN","11-FEB","12-MAR","01-APR","02-MAY","03-JUN","04-JUL","05-AUG","06-SEP","07-OCT","08-NOV","09-DEC"))</f>
        <v>08-NOV</v>
      </c>
      <c r="F564" s="242">
        <v>45601</v>
      </c>
      <c r="G564" s="231" t="s">
        <v>2022</v>
      </c>
      <c r="H564" s="5" t="s">
        <v>1787</v>
      </c>
      <c r="I564" s="29" t="s">
        <v>223</v>
      </c>
      <c r="J564" s="8" t="s">
        <v>69</v>
      </c>
      <c r="K564" s="281" t="str">
        <f>IF(H564="","",IFERROR(VLOOKUP(H564,Instructions!D:E,2,0),"BA"))</f>
        <v>BA</v>
      </c>
      <c r="L564" s="30" t="s">
        <v>2023</v>
      </c>
      <c r="M564" s="151">
        <f>IF(SUM(V564:BC564)=0,"-",SUM(V564:BC564))</f>
        <v>1</v>
      </c>
      <c r="N564" s="241">
        <f>IF(SUMPRODUCT($V$3:$BC$3,V564:BC564)=0,"-",SUMPRODUCT($V$3:$BC$3,V564:BC564))</f>
        <v>180</v>
      </c>
      <c r="O564" s="30" t="s">
        <v>2024</v>
      </c>
      <c r="P564" s="280" t="s">
        <v>481</v>
      </c>
      <c r="Q564" s="211">
        <v>4200675162</v>
      </c>
      <c r="R564" s="211"/>
      <c r="S564" s="211" t="s">
        <v>249</v>
      </c>
      <c r="T564" s="211" t="s">
        <v>2025</v>
      </c>
      <c r="U564" s="257" t="s">
        <v>1671</v>
      </c>
      <c r="AI564" s="8">
        <v>1</v>
      </c>
    </row>
    <row r="565" spans="1:35" hidden="1">
      <c r="A565" s="286" t="s">
        <v>244</v>
      </c>
      <c r="B565" s="286" t="s">
        <v>221</v>
      </c>
      <c r="C565" s="280" t="s">
        <v>2</v>
      </c>
      <c r="D565" s="281" t="str">
        <f>IF(F565="","",CHOOSE(MONTH(F565),"Q4","Q4","Q4","Q1","Q1","Q1","Q2","Q2","Q2","Q3","Q3","Q3"))</f>
        <v>Q3</v>
      </c>
      <c r="E565" s="282" t="str">
        <f>IF(F565="","",CHOOSE(MONTH(F565),"10-JAN","11-FEB","12-MAR","01-APR","02-MAY","03-JUN","04-JUL","05-AUG","06-SEP","07-OCT","08-NOV","09-DEC"))</f>
        <v>08-NOV</v>
      </c>
      <c r="F565" s="242">
        <v>45601</v>
      </c>
      <c r="G565" s="231" t="s">
        <v>2026</v>
      </c>
      <c r="H565" s="5" t="s">
        <v>26</v>
      </c>
      <c r="I565" s="29" t="s">
        <v>223</v>
      </c>
      <c r="J565" s="8" t="s">
        <v>130</v>
      </c>
      <c r="K565" s="281" t="str">
        <f>IF(H565="","",IFERROR(VLOOKUP(H565,Instructions!D:E,2,0),"BA"))</f>
        <v>CM</v>
      </c>
      <c r="L565" s="30" t="s">
        <v>2027</v>
      </c>
      <c r="M565" s="151">
        <f>IF(SUM(V565:BC565)=0,"-",SUM(V565:BC565))</f>
        <v>12</v>
      </c>
      <c r="N565" s="241">
        <f>IF(SUMPRODUCT($V$3:$BC$3,V565:BC565)=0,"-",SUMPRODUCT($V$3:$BC$3,V565:BC565))</f>
        <v>930</v>
      </c>
      <c r="P565" s="280" t="s">
        <v>481</v>
      </c>
      <c r="Q565" s="211">
        <v>4200673574</v>
      </c>
      <c r="R565" s="211" t="s">
        <v>351</v>
      </c>
      <c r="S565" s="211" t="s">
        <v>249</v>
      </c>
      <c r="T565" s="211" t="s">
        <v>2011</v>
      </c>
      <c r="U565" s="257" t="s">
        <v>1671</v>
      </c>
      <c r="V565" s="7">
        <v>6</v>
      </c>
      <c r="W565" s="8">
        <v>6</v>
      </c>
    </row>
    <row r="566" spans="1:35" hidden="1">
      <c r="A566" s="286" t="s">
        <v>244</v>
      </c>
      <c r="B566" s="286" t="s">
        <v>221</v>
      </c>
      <c r="C566" s="280" t="s">
        <v>2</v>
      </c>
      <c r="D566" s="281" t="str">
        <f>IF(F566="","",CHOOSE(MONTH(F566),"Q4","Q4","Q4","Q1","Q1","Q1","Q2","Q2","Q2","Q3","Q3","Q3"))</f>
        <v>Q3</v>
      </c>
      <c r="E566" s="282" t="str">
        <f>IF(F566="","",CHOOSE(MONTH(F566),"10-JAN","11-FEB","12-MAR","01-APR","02-MAY","03-JUN","04-JUL","05-AUG","06-SEP","07-OCT","08-NOV","09-DEC"))</f>
        <v>08-NOV</v>
      </c>
      <c r="F566" s="242">
        <v>45602</v>
      </c>
      <c r="G566" s="231" t="s">
        <v>2028</v>
      </c>
      <c r="H566" s="5" t="s">
        <v>35</v>
      </c>
      <c r="I566" s="29" t="s">
        <v>223</v>
      </c>
      <c r="K566" s="281" t="str">
        <f>IF(H566="","",IFERROR(VLOOKUP(H566,Instructions!D:E,2,0),"BA"))</f>
        <v>BA</v>
      </c>
      <c r="L566" s="30" t="s">
        <v>1700</v>
      </c>
      <c r="M566" s="151">
        <f>IF(SUM(V566:BC566)=0,"-",SUM(V566:BC566))</f>
        <v>3</v>
      </c>
      <c r="N566" s="241">
        <f>IF(SUMPRODUCT($V$3:$BC$3,V566:BC566)=0,"-",SUMPRODUCT($V$3:$BC$3,V566:BC566))</f>
        <v>215</v>
      </c>
      <c r="O566" s="30" t="s">
        <v>2029</v>
      </c>
      <c r="P566" s="280" t="s">
        <v>481</v>
      </c>
      <c r="Q566" s="301">
        <v>4200675176</v>
      </c>
      <c r="R566" s="211"/>
      <c r="S566" s="211" t="s">
        <v>249</v>
      </c>
      <c r="T566" s="211" t="s">
        <v>1989</v>
      </c>
      <c r="U566" s="253" t="s">
        <v>1990</v>
      </c>
      <c r="AC566" s="7">
        <v>1</v>
      </c>
      <c r="AD566" s="8">
        <v>2</v>
      </c>
    </row>
    <row r="567" spans="1:35" hidden="1">
      <c r="A567" s="286" t="s">
        <v>244</v>
      </c>
      <c r="B567" s="286" t="s">
        <v>221</v>
      </c>
      <c r="C567" s="280" t="s">
        <v>2</v>
      </c>
      <c r="D567" s="281" t="str">
        <f>IF(F567="","",CHOOSE(MONTH(F567),"Q4","Q4","Q4","Q1","Q1","Q1","Q2","Q2","Q2","Q3","Q3","Q3"))</f>
        <v>Q3</v>
      </c>
      <c r="E567" s="282" t="str">
        <f>IF(F567="","",CHOOSE(MONTH(F567),"10-JAN","11-FEB","12-MAR","01-APR","02-MAY","03-JUN","04-JUL","05-AUG","06-SEP","07-OCT","08-NOV","09-DEC"))</f>
        <v>08-NOV</v>
      </c>
      <c r="F567" s="242">
        <v>45604</v>
      </c>
      <c r="G567" s="231" t="s">
        <v>2030</v>
      </c>
      <c r="H567" s="5" t="s">
        <v>26</v>
      </c>
      <c r="I567" s="29" t="s">
        <v>223</v>
      </c>
      <c r="J567" s="8" t="s">
        <v>130</v>
      </c>
      <c r="K567" s="281" t="str">
        <f>IF(H567="","",IFERROR(VLOOKUP(H567,Instructions!D:E,2,0),"BA"))</f>
        <v>CM</v>
      </c>
      <c r="L567" s="30" t="s">
        <v>2031</v>
      </c>
      <c r="M567" s="151">
        <f>IF(SUM(V567:BC567)=0,"-",SUM(V567:BC567))</f>
        <v>1</v>
      </c>
      <c r="N567" s="241">
        <f>IF(SUMPRODUCT($V$3:$BC$3,V567:BC567)=0,"-",SUMPRODUCT($V$3:$BC$3,V567:BC567))</f>
        <v>120</v>
      </c>
      <c r="P567" s="280" t="s">
        <v>481</v>
      </c>
      <c r="Q567" s="211">
        <v>4200673574</v>
      </c>
      <c r="R567" s="211" t="s">
        <v>351</v>
      </c>
      <c r="S567" s="211" t="s">
        <v>249</v>
      </c>
      <c r="T567" s="211" t="s">
        <v>2011</v>
      </c>
      <c r="U567" s="257" t="s">
        <v>1671</v>
      </c>
      <c r="V567" s="7">
        <v>1</v>
      </c>
    </row>
    <row r="568" spans="1:35" hidden="1">
      <c r="A568" s="286" t="s">
        <v>244</v>
      </c>
      <c r="B568" s="286" t="s">
        <v>221</v>
      </c>
      <c r="C568" s="280" t="s">
        <v>2</v>
      </c>
      <c r="D568" s="281" t="str">
        <f>IF(F568="","",CHOOSE(MONTH(F568),"Q4","Q4","Q4","Q1","Q1","Q1","Q2","Q2","Q2","Q3","Q3","Q3"))</f>
        <v>Q3</v>
      </c>
      <c r="E568" s="282" t="str">
        <f>IF(F568="","",CHOOSE(MONTH(F568),"10-JAN","11-FEB","12-MAR","01-APR","02-MAY","03-JUN","04-JUL","05-AUG","06-SEP","07-OCT","08-NOV","09-DEC"))</f>
        <v>08-NOV</v>
      </c>
      <c r="F568" s="242">
        <v>45605</v>
      </c>
      <c r="G568" s="231" t="s">
        <v>2032</v>
      </c>
      <c r="H568" s="5" t="s">
        <v>1955</v>
      </c>
      <c r="I568" s="29" t="s">
        <v>223</v>
      </c>
      <c r="K568" s="281" t="str">
        <f>IF(H568="","",IFERROR(VLOOKUP(H568,Instructions!D:E,2,0),"BA"))</f>
        <v>BA</v>
      </c>
      <c r="L568" s="30" t="s">
        <v>2033</v>
      </c>
      <c r="M568" s="151">
        <f>IF(SUM(V568:BC568)=0,"-",SUM(V568:BC568))</f>
        <v>7</v>
      </c>
      <c r="N568" s="241">
        <f>IF(SUMPRODUCT($V$3:$BC$3,V568:BC568)=0,"-",SUMPRODUCT($V$3:$BC$3,V568:BC568))</f>
        <v>245</v>
      </c>
      <c r="O568" s="30" t="s">
        <v>2034</v>
      </c>
      <c r="P568" s="280" t="s">
        <v>481</v>
      </c>
      <c r="Q568" s="370">
        <v>4200675992</v>
      </c>
      <c r="R568" s="211"/>
      <c r="S568" s="211" t="s">
        <v>249</v>
      </c>
      <c r="T568" s="211" t="s">
        <v>2035</v>
      </c>
      <c r="U568" s="253" t="s">
        <v>1941</v>
      </c>
      <c r="W568" s="8">
        <v>7</v>
      </c>
    </row>
    <row r="569" spans="1:35" hidden="1">
      <c r="A569" s="286" t="s">
        <v>244</v>
      </c>
      <c r="B569" s="286" t="s">
        <v>221</v>
      </c>
      <c r="C569" s="280" t="s">
        <v>2</v>
      </c>
      <c r="D569" s="281" t="str">
        <f>IF(F569="","",CHOOSE(MONTH(F569),"Q4","Q4","Q4","Q1","Q1","Q1","Q2","Q2","Q2","Q3","Q3","Q3"))</f>
        <v>Q3</v>
      </c>
      <c r="E569" s="282" t="str">
        <f>IF(F569="","",CHOOSE(MONTH(F569),"10-JAN","11-FEB","12-MAR","01-APR","02-MAY","03-JUN","04-JUL","05-AUG","06-SEP","07-OCT","08-NOV","09-DEC"))</f>
        <v>08-NOV</v>
      </c>
      <c r="F569" s="242">
        <v>45609</v>
      </c>
      <c r="G569" s="231" t="s">
        <v>2036</v>
      </c>
      <c r="H569" s="5" t="s">
        <v>1955</v>
      </c>
      <c r="I569" s="29" t="s">
        <v>223</v>
      </c>
      <c r="J569" s="8" t="s">
        <v>93</v>
      </c>
      <c r="K569" s="281" t="str">
        <f>IF(H569="","",IFERROR(VLOOKUP(H569,Instructions!D:E,2,0),"BA"))</f>
        <v>BA</v>
      </c>
      <c r="L569" s="30" t="s">
        <v>2037</v>
      </c>
      <c r="M569" s="151">
        <f>IF(SUM(V569:BC569)=0,"-",SUM(V569:BC569))</f>
        <v>3</v>
      </c>
      <c r="N569" s="241">
        <f>IF(SUMPRODUCT($V$3:$BC$3,V569:BC569)=0,"-",SUMPRODUCT($V$3:$BC$3,V569:BC569))</f>
        <v>120</v>
      </c>
      <c r="O569" s="30" t="s">
        <v>1939</v>
      </c>
      <c r="P569" s="280" t="s">
        <v>481</v>
      </c>
      <c r="Q569" s="211">
        <v>4200676002</v>
      </c>
      <c r="R569" s="211"/>
      <c r="S569" s="211" t="s">
        <v>249</v>
      </c>
      <c r="T569" s="211" t="s">
        <v>1940</v>
      </c>
      <c r="U569" s="253" t="s">
        <v>1941</v>
      </c>
      <c r="AD569" s="8">
        <v>3</v>
      </c>
    </row>
    <row r="570" spans="1:35" hidden="1">
      <c r="A570" s="286" t="s">
        <v>244</v>
      </c>
      <c r="B570" s="286" t="s">
        <v>221</v>
      </c>
      <c r="C570" s="280" t="s">
        <v>2</v>
      </c>
      <c r="D570" s="281" t="str">
        <f>IF(F570="","",CHOOSE(MONTH(F570),"Q4","Q4","Q4","Q1","Q1","Q1","Q2","Q2","Q2","Q3","Q3","Q3"))</f>
        <v>Q3</v>
      </c>
      <c r="E570" s="282" t="str">
        <f>IF(F570="","",CHOOSE(MONTH(F570),"10-JAN","11-FEB","12-MAR","01-APR","02-MAY","03-JUN","04-JUL","05-AUG","06-SEP","07-OCT","08-NOV","09-DEC"))</f>
        <v>08-NOV</v>
      </c>
      <c r="F570" s="242">
        <v>45609</v>
      </c>
      <c r="G570" s="231" t="s">
        <v>2038</v>
      </c>
      <c r="H570" s="5" t="s">
        <v>1853</v>
      </c>
      <c r="I570" s="29" t="s">
        <v>223</v>
      </c>
      <c r="J570" s="8" t="s">
        <v>93</v>
      </c>
      <c r="K570" s="281" t="str">
        <f>IF(H570="","",IFERROR(VLOOKUP(H570,Instructions!D:E,2,0),"BA"))</f>
        <v>BA</v>
      </c>
      <c r="L570" s="30" t="s">
        <v>2039</v>
      </c>
      <c r="M570" s="151">
        <f>IF(SUM(V570:BC570)=0,"-",SUM(V570:BC570))</f>
        <v>1</v>
      </c>
      <c r="N570" s="241">
        <f>IF(SUMPRODUCT($V$3:$BC$3,V570:BC570)=0,"-",SUMPRODUCT($V$3:$BC$3,V570:BC570))</f>
        <v>180</v>
      </c>
      <c r="O570" s="30" t="s">
        <v>2040</v>
      </c>
      <c r="P570" s="280" t="s">
        <v>481</v>
      </c>
      <c r="Q570" s="211">
        <v>4200680438</v>
      </c>
      <c r="R570" s="211"/>
      <c r="S570" s="211" t="s">
        <v>249</v>
      </c>
      <c r="T570" s="211" t="s">
        <v>1856</v>
      </c>
      <c r="U570" s="253" t="s">
        <v>1226</v>
      </c>
      <c r="AE570" s="8">
        <v>1</v>
      </c>
    </row>
    <row r="571" spans="1:35" hidden="1">
      <c r="A571" s="286" t="s">
        <v>244</v>
      </c>
      <c r="B571" s="286" t="s">
        <v>221</v>
      </c>
      <c r="C571" s="280" t="s">
        <v>2</v>
      </c>
      <c r="D571" s="281" t="str">
        <f>IF(F571="","",CHOOSE(MONTH(F571),"Q4","Q4","Q4","Q1","Q1","Q1","Q2","Q2","Q2","Q3","Q3","Q3"))</f>
        <v>Q3</v>
      </c>
      <c r="E571" s="282" t="str">
        <f>IF(F571="","",CHOOSE(MONTH(F571),"10-JAN","11-FEB","12-MAR","01-APR","02-MAY","03-JUN","04-JUL","05-AUG","06-SEP","07-OCT","08-NOV","09-DEC"))</f>
        <v>08-NOV</v>
      </c>
      <c r="F571" s="242">
        <v>45610</v>
      </c>
      <c r="G571" s="231" t="s">
        <v>2041</v>
      </c>
      <c r="H571" t="s">
        <v>38</v>
      </c>
      <c r="I571" s="29" t="s">
        <v>223</v>
      </c>
      <c r="K571" s="281" t="str">
        <f>IF(H571="","",IFERROR(VLOOKUP(H571,Instructions!D:E,2,0),"BA"))</f>
        <v>BA</v>
      </c>
      <c r="L571" s="30" t="s">
        <v>2042</v>
      </c>
      <c r="M571" s="151">
        <f>IF(SUM(V571:BC571)=0,"-",SUM(V571:BC571))</f>
        <v>1</v>
      </c>
      <c r="N571" s="241">
        <f>IF(SUMPRODUCT($V$3:$BC$3,V571:BC571)=0,"-",SUMPRODUCT($V$3:$BC$3,V571:BC571))</f>
        <v>135</v>
      </c>
      <c r="O571" s="30" t="s">
        <v>2043</v>
      </c>
      <c r="P571" s="280" t="s">
        <v>481</v>
      </c>
      <c r="Q571" s="211">
        <v>4200675157</v>
      </c>
      <c r="R571" s="211"/>
      <c r="S571" s="211" t="s">
        <v>249</v>
      </c>
      <c r="T571" s="211" t="s">
        <v>2044</v>
      </c>
      <c r="U571" s="257" t="s">
        <v>1671</v>
      </c>
      <c r="AC571" s="7">
        <v>1</v>
      </c>
    </row>
    <row r="572" spans="1:35" hidden="1">
      <c r="A572" s="286" t="s">
        <v>244</v>
      </c>
      <c r="B572" s="286" t="s">
        <v>221</v>
      </c>
      <c r="C572" s="280" t="s">
        <v>2</v>
      </c>
      <c r="D572" s="281" t="str">
        <f>IF(F572="","",CHOOSE(MONTH(F572),"Q4","Q4","Q4","Q1","Q1","Q1","Q2","Q2","Q2","Q3","Q3","Q3"))</f>
        <v>Q3</v>
      </c>
      <c r="E572" s="282" t="str">
        <f>IF(F572="","",CHOOSE(MONTH(F572),"10-JAN","11-FEB","12-MAR","01-APR","02-MAY","03-JUN","04-JUL","05-AUG","06-SEP","07-OCT","08-NOV","09-DEC"))</f>
        <v>08-NOV</v>
      </c>
      <c r="F572" s="242">
        <v>45610</v>
      </c>
      <c r="G572" s="231" t="s">
        <v>2045</v>
      </c>
      <c r="H572" s="5" t="s">
        <v>2018</v>
      </c>
      <c r="I572" s="29" t="s">
        <v>223</v>
      </c>
      <c r="J572" s="8" t="s">
        <v>69</v>
      </c>
      <c r="K572" s="281" t="str">
        <f>IF(H572="","",IFERROR(VLOOKUP(H572,Instructions!D:E,2,0),"BA"))</f>
        <v>BA</v>
      </c>
      <c r="L572" s="30" t="s">
        <v>2046</v>
      </c>
      <c r="M572" s="151">
        <f>IF(SUM(V572:BC572)=0,"-",SUM(V572:BC572))</f>
        <v>1</v>
      </c>
      <c r="N572" s="241">
        <f>IF(SUMPRODUCT($V$3:$BC$3,V572:BC572)=0,"-",SUMPRODUCT($V$3:$BC$3,V572:BC572))</f>
        <v>135</v>
      </c>
      <c r="O572" s="30" t="s">
        <v>2047</v>
      </c>
      <c r="P572" s="280" t="s">
        <v>481</v>
      </c>
      <c r="Q572" s="211">
        <v>4200676215</v>
      </c>
      <c r="R572" s="211"/>
      <c r="S572" s="211" t="s">
        <v>249</v>
      </c>
      <c r="T572" s="211" t="s">
        <v>2048</v>
      </c>
      <c r="U572" s="253" t="s">
        <v>1941</v>
      </c>
      <c r="AC572" s="7">
        <v>1</v>
      </c>
    </row>
    <row r="573" spans="1:35" hidden="1">
      <c r="A573" s="286" t="s">
        <v>244</v>
      </c>
      <c r="B573" s="286" t="s">
        <v>221</v>
      </c>
      <c r="C573" s="280" t="s">
        <v>2</v>
      </c>
      <c r="D573" s="281" t="str">
        <f>IF(F573="","",CHOOSE(MONTH(F573),"Q4","Q4","Q4","Q1","Q1","Q1","Q2","Q2","Q2","Q3","Q3","Q3"))</f>
        <v>Q3</v>
      </c>
      <c r="E573" s="282" t="str">
        <f>IF(F573="","",CHOOSE(MONTH(F573),"10-JAN","11-FEB","12-MAR","01-APR","02-MAY","03-JUN","04-JUL","05-AUG","06-SEP","07-OCT","08-NOV","09-DEC"))</f>
        <v>08-NOV</v>
      </c>
      <c r="F573" s="242">
        <v>45611</v>
      </c>
      <c r="G573" s="231" t="s">
        <v>2049</v>
      </c>
      <c r="H573" s="5" t="s">
        <v>35</v>
      </c>
      <c r="I573" s="29" t="s">
        <v>223</v>
      </c>
      <c r="J573" s="8" t="s">
        <v>1106</v>
      </c>
      <c r="K573" s="281" t="str">
        <f>IF(H573="","",IFERROR(VLOOKUP(H573,Instructions!D:E,2,0),"BA"))</f>
        <v>BA</v>
      </c>
      <c r="L573" s="30" t="s">
        <v>2050</v>
      </c>
      <c r="M573" s="151">
        <f>IF(SUM(V573:BC573)=0,"-",SUM(V573:BC573))</f>
        <v>1</v>
      </c>
      <c r="N573" s="241">
        <f>IF(SUMPRODUCT($V$3:$BC$3,V573:BC573)=0,"-",SUMPRODUCT($V$3:$BC$3,V573:BC573))</f>
        <v>200</v>
      </c>
      <c r="O573" s="30" t="s">
        <v>2051</v>
      </c>
      <c r="P573" s="280" t="s">
        <v>481</v>
      </c>
      <c r="Q573" s="301">
        <v>4200675176</v>
      </c>
      <c r="R573" s="211"/>
      <c r="S573" s="211" t="s">
        <v>249</v>
      </c>
      <c r="T573" s="211" t="s">
        <v>1989</v>
      </c>
      <c r="U573" s="253" t="s">
        <v>1990</v>
      </c>
      <c r="AG573" s="8">
        <v>1</v>
      </c>
    </row>
    <row r="574" spans="1:35" hidden="1">
      <c r="A574" s="286" t="s">
        <v>244</v>
      </c>
      <c r="B574" s="286" t="s">
        <v>221</v>
      </c>
      <c r="C574" s="280" t="s">
        <v>2</v>
      </c>
      <c r="D574" s="281" t="str">
        <f>IF(F574="","",CHOOSE(MONTH(F574),"Q4","Q4","Q4","Q1","Q1","Q1","Q2","Q2","Q2","Q3","Q3","Q3"))</f>
        <v>Q3</v>
      </c>
      <c r="E574" s="282" t="str">
        <f>IF(F574="","",CHOOSE(MONTH(F574),"10-JAN","11-FEB","12-MAR","01-APR","02-MAY","03-JUN","04-JUL","05-AUG","06-SEP","07-OCT","08-NOV","09-DEC"))</f>
        <v>08-NOV</v>
      </c>
      <c r="F574" s="242">
        <v>45614</v>
      </c>
      <c r="G574" s="231" t="s">
        <v>2052</v>
      </c>
      <c r="H574" s="5" t="s">
        <v>26</v>
      </c>
      <c r="I574" s="29" t="s">
        <v>223</v>
      </c>
      <c r="J574" s="8" t="s">
        <v>129</v>
      </c>
      <c r="K574" s="281" t="str">
        <f>IF(H574="","",IFERROR(VLOOKUP(H574,Instructions!D:E,2,0),"BA"))</f>
        <v>CM</v>
      </c>
      <c r="L574" s="30" t="s">
        <v>2053</v>
      </c>
      <c r="M574" s="151">
        <f>IF(SUM(V574:BC574)=0,"-",SUM(V574:BC574))</f>
        <v>2</v>
      </c>
      <c r="N574" s="241">
        <f>IF(SUMPRODUCT($V$3:$BC$3,V574:BC574)=0,"-",SUMPRODUCT($V$3:$BC$3,V574:BC574))</f>
        <v>155</v>
      </c>
      <c r="P574" s="280" t="s">
        <v>481</v>
      </c>
      <c r="Q574" s="211">
        <v>4200673569</v>
      </c>
      <c r="R574" s="211" t="s">
        <v>351</v>
      </c>
      <c r="S574" s="211" t="s">
        <v>249</v>
      </c>
      <c r="T574" s="211" t="s">
        <v>2054</v>
      </c>
      <c r="U574" s="257" t="s">
        <v>1671</v>
      </c>
      <c r="V574" s="7">
        <v>1</v>
      </c>
      <c r="W574" s="8">
        <v>1</v>
      </c>
    </row>
    <row r="575" spans="1:35" hidden="1">
      <c r="A575" s="286" t="s">
        <v>244</v>
      </c>
      <c r="B575" s="286" t="s">
        <v>221</v>
      </c>
      <c r="C575" s="280" t="s">
        <v>2</v>
      </c>
      <c r="D575" s="281" t="str">
        <f>IF(F575="","",CHOOSE(MONTH(F575),"Q4","Q4","Q4","Q1","Q1","Q1","Q2","Q2","Q2","Q3","Q3","Q3"))</f>
        <v>Q3</v>
      </c>
      <c r="E575" s="282" t="str">
        <f>IF(F575="","",CHOOSE(MONTH(F575),"10-JAN","11-FEB","12-MAR","01-APR","02-MAY","03-JUN","04-JUL","05-AUG","06-SEP","07-OCT","08-NOV","09-DEC"))</f>
        <v>08-NOV</v>
      </c>
      <c r="F575" s="242">
        <v>45614</v>
      </c>
      <c r="G575" s="231" t="s">
        <v>2055</v>
      </c>
      <c r="H575" s="5" t="s">
        <v>1955</v>
      </c>
      <c r="I575" s="29" t="s">
        <v>223</v>
      </c>
      <c r="J575" s="8" t="s">
        <v>130</v>
      </c>
      <c r="K575" s="281" t="str">
        <f>IF(H575="","",IFERROR(VLOOKUP(H575,Instructions!D:E,2,0),"BA"))</f>
        <v>BA</v>
      </c>
      <c r="L575" s="78" t="s">
        <v>2056</v>
      </c>
      <c r="M575" s="151">
        <f>IF(SUM(V575:BC575)=0,"-",SUM(V575:BC575))</f>
        <v>4</v>
      </c>
      <c r="N575" s="241">
        <f>IF(SUMPRODUCT($V$3:$BC$3,V575:BC575)=0,"-",SUMPRODUCT($V$3:$BC$3,V575:BC575))</f>
        <v>310</v>
      </c>
      <c r="O575" s="30" t="s">
        <v>2057</v>
      </c>
      <c r="P575" s="280" t="s">
        <v>481</v>
      </c>
      <c r="Q575" s="211">
        <v>4200676280</v>
      </c>
      <c r="R575" s="211"/>
      <c r="S575" s="211" t="s">
        <v>249</v>
      </c>
      <c r="T575" s="211" t="s">
        <v>2058</v>
      </c>
      <c r="U575" s="253" t="s">
        <v>1941</v>
      </c>
      <c r="V575" s="7">
        <v>2</v>
      </c>
      <c r="W575" s="8">
        <v>2</v>
      </c>
    </row>
    <row r="576" spans="1:35" hidden="1">
      <c r="A576" s="286" t="s">
        <v>244</v>
      </c>
      <c r="B576" s="286" t="s">
        <v>221</v>
      </c>
      <c r="C576" s="280" t="s">
        <v>2</v>
      </c>
      <c r="D576" s="281" t="str">
        <f>IF(F576="","",CHOOSE(MONTH(F576),"Q4","Q4","Q4","Q1","Q1","Q1","Q2","Q2","Q2","Q3","Q3","Q3"))</f>
        <v>Q3</v>
      </c>
      <c r="E576" s="282" t="str">
        <f>IF(F576="","",CHOOSE(MONTH(F576),"10-JAN","11-FEB","12-MAR","01-APR","02-MAY","03-JUN","04-JUL","05-AUG","06-SEP","07-OCT","08-NOV","09-DEC"))</f>
        <v>08-NOV</v>
      </c>
      <c r="F576" s="242">
        <v>45615</v>
      </c>
      <c r="G576" s="231" t="s">
        <v>2059</v>
      </c>
      <c r="H576" s="5" t="s">
        <v>1787</v>
      </c>
      <c r="I576" s="29" t="s">
        <v>223</v>
      </c>
      <c r="J576" s="8" t="s">
        <v>69</v>
      </c>
      <c r="K576" s="281" t="str">
        <f>IF(H576="","",IFERROR(VLOOKUP(H576,Instructions!D:E,2,0),"BA"))</f>
        <v>BA</v>
      </c>
      <c r="L576" s="30" t="s">
        <v>2060</v>
      </c>
      <c r="M576" s="151">
        <f>IF(SUM(V576:BC576)=0,"-",SUM(V576:BC576))</f>
        <v>1</v>
      </c>
      <c r="N576" s="241">
        <f>IF(SUMPRODUCT($V$3:$BC$3,V576:BC576)=0,"-",SUMPRODUCT($V$3:$BC$3,V576:BC576))</f>
        <v>40</v>
      </c>
      <c r="O576" s="30" t="s">
        <v>2061</v>
      </c>
      <c r="P576" s="280" t="s">
        <v>481</v>
      </c>
      <c r="Q576" s="211">
        <v>4270029120</v>
      </c>
      <c r="R576" s="211"/>
      <c r="S576" s="211" t="s">
        <v>249</v>
      </c>
      <c r="T576" s="211" t="s">
        <v>2062</v>
      </c>
      <c r="U576" s="257" t="s">
        <v>1671</v>
      </c>
      <c r="AD576" s="8">
        <v>1</v>
      </c>
    </row>
    <row r="577" spans="1:40" hidden="1">
      <c r="A577" s="286" t="s">
        <v>244</v>
      </c>
      <c r="B577" s="286" t="s">
        <v>221</v>
      </c>
      <c r="C577" s="280" t="s">
        <v>2</v>
      </c>
      <c r="D577" s="281" t="str">
        <f>IF(F577="","",CHOOSE(MONTH(F577),"Q4","Q4","Q4","Q1","Q1","Q1","Q2","Q2","Q2","Q3","Q3","Q3"))</f>
        <v>Q3</v>
      </c>
      <c r="E577" s="282" t="str">
        <f>IF(F577="","",CHOOSE(MONTH(F577),"10-JAN","11-FEB","12-MAR","01-APR","02-MAY","03-JUN","04-JUL","05-AUG","06-SEP","07-OCT","08-NOV","09-DEC"))</f>
        <v>08-NOV</v>
      </c>
      <c r="F577" s="242">
        <v>45615</v>
      </c>
      <c r="G577" s="231" t="s">
        <v>2063</v>
      </c>
      <c r="H577" s="5" t="s">
        <v>1787</v>
      </c>
      <c r="I577" s="29" t="s">
        <v>223</v>
      </c>
      <c r="J577" s="8" t="s">
        <v>69</v>
      </c>
      <c r="K577" s="281" t="str">
        <f>IF(H577="","",IFERROR(VLOOKUP(H577,Instructions!D:E,2,0),"BA"))</f>
        <v>BA</v>
      </c>
      <c r="L577" s="30" t="s">
        <v>2023</v>
      </c>
      <c r="M577" s="151">
        <f>IF(SUM(V577:BC577)=0,"-",SUM(V577:BC577))</f>
        <v>1</v>
      </c>
      <c r="N577" s="241">
        <f>IF(SUMPRODUCT($V$3:$BC$3,V577:BC577)=0,"-",SUMPRODUCT($V$3:$BC$3,V577:BC577))</f>
        <v>40</v>
      </c>
      <c r="O577" s="30" t="s">
        <v>2064</v>
      </c>
      <c r="P577" s="280" t="s">
        <v>481</v>
      </c>
      <c r="Q577" s="211">
        <v>4270029109</v>
      </c>
      <c r="R577" s="211"/>
      <c r="S577" s="211" t="s">
        <v>249</v>
      </c>
      <c r="T577" s="211" t="s">
        <v>2065</v>
      </c>
      <c r="U577" s="257" t="s">
        <v>1671</v>
      </c>
      <c r="AD577" s="8">
        <v>1</v>
      </c>
    </row>
    <row r="578" spans="1:40" hidden="1">
      <c r="A578" s="286" t="s">
        <v>244</v>
      </c>
      <c r="B578" s="286" t="s">
        <v>221</v>
      </c>
      <c r="C578" s="280" t="s">
        <v>2</v>
      </c>
      <c r="D578" s="281" t="str">
        <f>IF(F578="","",CHOOSE(MONTH(F578),"Q4","Q4","Q4","Q1","Q1","Q1","Q2","Q2","Q2","Q3","Q3","Q3"))</f>
        <v>Q3</v>
      </c>
      <c r="E578" s="282" t="str">
        <f>IF(F578="","",CHOOSE(MONTH(F578),"10-JAN","11-FEB","12-MAR","01-APR","02-MAY","03-JUN","04-JUL","05-AUG","06-SEP","07-OCT","08-NOV","09-DEC"))</f>
        <v>08-NOV</v>
      </c>
      <c r="F578" s="242">
        <v>45615</v>
      </c>
      <c r="G578" s="231" t="s">
        <v>2066</v>
      </c>
      <c r="H578" s="5" t="s">
        <v>1787</v>
      </c>
      <c r="I578" s="29" t="s">
        <v>223</v>
      </c>
      <c r="J578" s="8" t="s">
        <v>69</v>
      </c>
      <c r="K578" s="281" t="str">
        <f>IF(H578="","",IFERROR(VLOOKUP(H578,Instructions!D:E,2,0),"BA"))</f>
        <v>BA</v>
      </c>
      <c r="L578" s="30" t="s">
        <v>2067</v>
      </c>
      <c r="M578" s="151">
        <f>IF(SUM(V578:BC578)=0,"-",SUM(V578:BC578))</f>
        <v>27</v>
      </c>
      <c r="N578" s="241">
        <f>IF(SUMPRODUCT($V$3:$BC$3,V578:BC578)=0,"-",SUMPRODUCT($V$3:$BC$3,V578:BC578))</f>
        <v>945</v>
      </c>
      <c r="O578" s="30" t="s">
        <v>2068</v>
      </c>
      <c r="P578" s="280" t="s">
        <v>481</v>
      </c>
      <c r="Q578" s="211">
        <v>4200675171</v>
      </c>
      <c r="R578" s="211"/>
      <c r="S578" s="211" t="s">
        <v>249</v>
      </c>
      <c r="T578" s="211" t="s">
        <v>2069</v>
      </c>
      <c r="U578" s="257" t="s">
        <v>1671</v>
      </c>
      <c r="W578" s="8">
        <v>27</v>
      </c>
    </row>
    <row r="579" spans="1:40" hidden="1">
      <c r="A579" s="286" t="s">
        <v>244</v>
      </c>
      <c r="B579" s="286" t="s">
        <v>221</v>
      </c>
      <c r="C579" s="280" t="s">
        <v>2</v>
      </c>
      <c r="D579" s="281" t="str">
        <f>IF(F579="","",CHOOSE(MONTH(F579),"Q4","Q4","Q4","Q1","Q1","Q1","Q2","Q2","Q2","Q3","Q3","Q3"))</f>
        <v>Q3</v>
      </c>
      <c r="E579" s="282" t="str">
        <f>IF(F579="","",CHOOSE(MONTH(F579),"10-JAN","11-FEB","12-MAR","01-APR","02-MAY","03-JUN","04-JUL","05-AUG","06-SEP","07-OCT","08-NOV","09-DEC"))</f>
        <v>08-NOV</v>
      </c>
      <c r="F579" s="242">
        <v>45616</v>
      </c>
      <c r="G579" s="231" t="s">
        <v>1945</v>
      </c>
      <c r="H579" s="5" t="s">
        <v>1787</v>
      </c>
      <c r="I579" s="29" t="s">
        <v>223</v>
      </c>
      <c r="J579" s="8" t="s">
        <v>69</v>
      </c>
      <c r="K579" s="281" t="str">
        <f>IF(H579="","",IFERROR(VLOOKUP(H579,Instructions!D:E,2,0),"BA"))</f>
        <v>BA</v>
      </c>
      <c r="L579" s="30" t="s">
        <v>1946</v>
      </c>
      <c r="M579" s="151">
        <f>IF(SUM(V579:BC579)=0,"-",SUM(V579:BC579))</f>
        <v>7</v>
      </c>
      <c r="N579" s="241">
        <f>IF(SUMPRODUCT($V$3:$BC$3,V579:BC579)=0,"-",SUMPRODUCT($V$3:$BC$3,V579:BC579))</f>
        <v>330</v>
      </c>
      <c r="O579" s="30" t="s">
        <v>1947</v>
      </c>
      <c r="P579" s="280" t="s">
        <v>481</v>
      </c>
      <c r="Q579" s="211">
        <v>4200675194</v>
      </c>
      <c r="R579" s="211"/>
      <c r="S579" s="211" t="s">
        <v>249</v>
      </c>
      <c r="T579" s="211" t="s">
        <v>2070</v>
      </c>
      <c r="U579" s="257" t="s">
        <v>1671</v>
      </c>
      <c r="V579" s="7">
        <v>1</v>
      </c>
      <c r="W579" s="8">
        <v>6</v>
      </c>
    </row>
    <row r="580" spans="1:40" hidden="1">
      <c r="A580" s="286" t="s">
        <v>244</v>
      </c>
      <c r="B580" s="286" t="s">
        <v>221</v>
      </c>
      <c r="C580" s="280" t="s">
        <v>2</v>
      </c>
      <c r="D580" s="281" t="str">
        <f>IF(F580="","",CHOOSE(MONTH(F580),"Q4","Q4","Q4","Q1","Q1","Q1","Q2","Q2","Q2","Q3","Q3","Q3"))</f>
        <v>Q3</v>
      </c>
      <c r="E580" s="282" t="str">
        <f>IF(F580="","",CHOOSE(MONTH(F580),"10-JAN","11-FEB","12-MAR","01-APR","02-MAY","03-JUN","04-JUL","05-AUG","06-SEP","07-OCT","08-NOV","09-DEC"))</f>
        <v>08-NOV</v>
      </c>
      <c r="F580" s="242">
        <v>45617</v>
      </c>
      <c r="G580" s="231" t="s">
        <v>2071</v>
      </c>
      <c r="H580" s="5" t="s">
        <v>1787</v>
      </c>
      <c r="I580" s="29" t="s">
        <v>223</v>
      </c>
      <c r="J580" s="8" t="s">
        <v>69</v>
      </c>
      <c r="K580" s="281" t="str">
        <f>IF(H580="","",IFERROR(VLOOKUP(H580,Instructions!D:E,2,0),"BA"))</f>
        <v>BA</v>
      </c>
      <c r="M580" s="151">
        <f>IF(SUM(V580:BC580)=0,"-",SUM(V580:BC580))</f>
        <v>1</v>
      </c>
      <c r="N580" s="241">
        <f>IF(SUMPRODUCT($V$3:$BC$3,V580:BC580)=0,"-",SUMPRODUCT($V$3:$BC$3,V580:BC580))</f>
        <v>600</v>
      </c>
      <c r="O580" s="30" t="s">
        <v>2072</v>
      </c>
      <c r="P580" s="280" t="s">
        <v>481</v>
      </c>
      <c r="Q580" s="211">
        <v>4200675211</v>
      </c>
      <c r="R580" s="211"/>
      <c r="S580" s="211" t="s">
        <v>249</v>
      </c>
      <c r="T580" s="211" t="s">
        <v>2073</v>
      </c>
      <c r="U580" s="257" t="s">
        <v>1671</v>
      </c>
      <c r="AN580" s="8">
        <v>1</v>
      </c>
    </row>
    <row r="581" spans="1:40" hidden="1">
      <c r="A581" s="286" t="s">
        <v>244</v>
      </c>
      <c r="B581" s="286" t="s">
        <v>221</v>
      </c>
      <c r="C581" s="280" t="s">
        <v>2</v>
      </c>
      <c r="D581" s="281" t="str">
        <f>IF(F581="","",CHOOSE(MONTH(F581),"Q4","Q4","Q4","Q1","Q1","Q1","Q2","Q2","Q2","Q3","Q3","Q3"))</f>
        <v>Q3</v>
      </c>
      <c r="E581" s="282" t="str">
        <f>IF(F581="","",CHOOSE(MONTH(F581),"10-JAN","11-FEB","12-MAR","01-APR","02-MAY","03-JUN","04-JUL","05-AUG","06-SEP","07-OCT","08-NOV","09-DEC"))</f>
        <v>08-NOV</v>
      </c>
      <c r="F581" s="242">
        <v>45617</v>
      </c>
      <c r="G581" s="231" t="s">
        <v>2074</v>
      </c>
      <c r="H581" s="5" t="s">
        <v>1955</v>
      </c>
      <c r="I581" s="29" t="s">
        <v>223</v>
      </c>
      <c r="J581" s="8" t="s">
        <v>130</v>
      </c>
      <c r="K581" s="281" t="str">
        <f>IF(H581="","",IFERROR(VLOOKUP(H581,Instructions!D:E,2,0),"BA"))</f>
        <v>BA</v>
      </c>
      <c r="L581" s="78"/>
      <c r="M581" s="151">
        <f>IF(SUM(V581:BC581)=0,"-",SUM(V581:BC581))</f>
        <v>2</v>
      </c>
      <c r="N581" s="241">
        <f>IF(SUMPRODUCT($V$3:$BC$3,V581:BC581)=0,"-",SUMPRODUCT($V$3:$BC$3,V581:BC581))</f>
        <v>70</v>
      </c>
      <c r="O581" s="30" t="s">
        <v>1939</v>
      </c>
      <c r="P581" s="280" t="s">
        <v>481</v>
      </c>
      <c r="Q581" s="211">
        <v>4200676002</v>
      </c>
      <c r="R581" s="211"/>
      <c r="S581" s="211" t="s">
        <v>249</v>
      </c>
      <c r="T581" s="211" t="s">
        <v>1940</v>
      </c>
      <c r="U581" s="253" t="s">
        <v>1941</v>
      </c>
      <c r="W581" s="8">
        <v>2</v>
      </c>
    </row>
    <row r="582" spans="1:40" hidden="1">
      <c r="A582" s="286" t="s">
        <v>244</v>
      </c>
      <c r="B582" s="286" t="s">
        <v>221</v>
      </c>
      <c r="C582" s="280" t="s">
        <v>2</v>
      </c>
      <c r="D582" s="281" t="str">
        <f>IF(F582="","",CHOOSE(MONTH(F582),"Q4","Q4","Q4","Q1","Q1","Q1","Q2","Q2","Q2","Q3","Q3","Q3"))</f>
        <v>Q3</v>
      </c>
      <c r="E582" s="282" t="str">
        <f>IF(F582="","",CHOOSE(MONTH(F582),"10-JAN","11-FEB","12-MAR","01-APR","02-MAY","03-JUN","04-JUL","05-AUG","06-SEP","07-OCT","08-NOV","09-DEC"))</f>
        <v>08-NOV</v>
      </c>
      <c r="F582" s="242">
        <v>45617</v>
      </c>
      <c r="G582" s="231" t="s">
        <v>2075</v>
      </c>
      <c r="H582" s="5" t="s">
        <v>26</v>
      </c>
      <c r="I582" s="118" t="s">
        <v>223</v>
      </c>
      <c r="J582" s="8" t="s">
        <v>130</v>
      </c>
      <c r="K582" s="281" t="str">
        <f>IF(H582="","",IFERROR(VLOOKUP(H582,Instructions!D:E,2,0),"BA"))</f>
        <v>CM</v>
      </c>
      <c r="L582" s="126" t="s">
        <v>2076</v>
      </c>
      <c r="M582" s="151">
        <f>IF(SUM(V582:BC582)=0,"-",SUM(V582:BC582))</f>
        <v>4</v>
      </c>
      <c r="N582" s="278">
        <f>IF(SUMPRODUCT($V$3:$BC$3,V582:BC582)=0,"-",SUMPRODUCT($V$3:$BC$3,V582:BC582))</f>
        <v>225</v>
      </c>
      <c r="P582" s="280" t="s">
        <v>481</v>
      </c>
      <c r="Q582" s="211">
        <v>4200673574</v>
      </c>
      <c r="R582" s="211" t="s">
        <v>309</v>
      </c>
      <c r="S582" s="211" t="s">
        <v>249</v>
      </c>
      <c r="T582" s="211" t="s">
        <v>2077</v>
      </c>
      <c r="U582" s="253" t="s">
        <v>1941</v>
      </c>
      <c r="V582" s="7">
        <v>1</v>
      </c>
      <c r="W582" s="8">
        <v>3</v>
      </c>
    </row>
    <row r="583" spans="1:40" hidden="1">
      <c r="A583" s="286" t="s">
        <v>244</v>
      </c>
      <c r="B583" s="286" t="s">
        <v>221</v>
      </c>
      <c r="C583" s="280" t="s">
        <v>2</v>
      </c>
      <c r="D583" s="281" t="str">
        <f>IF(F583="","",CHOOSE(MONTH(F583),"Q4","Q4","Q4","Q1","Q1","Q1","Q2","Q2","Q2","Q3","Q3","Q3"))</f>
        <v>Q3</v>
      </c>
      <c r="E583" s="282" t="str">
        <f>IF(F583="","",CHOOSE(MONTH(F583),"10-JAN","11-FEB","12-MAR","01-APR","02-MAY","03-JUN","04-JUL","05-AUG","06-SEP","07-OCT","08-NOV","09-DEC"))</f>
        <v>08-NOV</v>
      </c>
      <c r="F583" s="242">
        <v>45618</v>
      </c>
      <c r="G583" s="231" t="s">
        <v>2078</v>
      </c>
      <c r="H583" s="5" t="s">
        <v>35</v>
      </c>
      <c r="I583" s="29" t="s">
        <v>223</v>
      </c>
      <c r="J583" s="8" t="s">
        <v>1106</v>
      </c>
      <c r="K583" s="281" t="str">
        <f>IF(H583="","",IFERROR(VLOOKUP(H583,Instructions!D:E,2,0),"BA"))</f>
        <v>BA</v>
      </c>
      <c r="L583" s="30" t="s">
        <v>2079</v>
      </c>
      <c r="M583" s="151">
        <f>IF(SUM(V583:BC583)=0,"-",SUM(V583:BC583))</f>
        <v>2</v>
      </c>
      <c r="N583" s="241">
        <f>IF(SUMPRODUCT($V$3:$BC$3,V583:BC583)=0,"-",SUMPRODUCT($V$3:$BC$3,V583:BC583))</f>
        <v>270</v>
      </c>
      <c r="O583" s="30" t="s">
        <v>2080</v>
      </c>
      <c r="P583" s="280" t="s">
        <v>481</v>
      </c>
      <c r="Q583" s="301">
        <v>4200675176</v>
      </c>
      <c r="R583" s="211"/>
      <c r="S583" s="211" t="s">
        <v>249</v>
      </c>
      <c r="T583" s="211" t="s">
        <v>1989</v>
      </c>
      <c r="U583" s="253" t="s">
        <v>1990</v>
      </c>
      <c r="AC583" s="7">
        <v>2</v>
      </c>
    </row>
    <row r="584" spans="1:40" hidden="1">
      <c r="A584" s="286" t="s">
        <v>244</v>
      </c>
      <c r="B584" s="286" t="s">
        <v>221</v>
      </c>
      <c r="C584" s="280" t="s">
        <v>2</v>
      </c>
      <c r="D584" s="281" t="str">
        <f>IF(F584="","",CHOOSE(MONTH(F584),"Q4","Q4","Q4","Q1","Q1","Q1","Q2","Q2","Q2","Q3","Q3","Q3"))</f>
        <v>Q3</v>
      </c>
      <c r="E584" s="282" t="str">
        <f>IF(F584="","",CHOOSE(MONTH(F584),"10-JAN","11-FEB","12-MAR","01-APR","02-MAY","03-JUN","04-JUL","05-AUG","06-SEP","07-OCT","08-NOV","09-DEC"))</f>
        <v>08-NOV</v>
      </c>
      <c r="F584" s="242">
        <v>45618</v>
      </c>
      <c r="G584" s="231" t="s">
        <v>2081</v>
      </c>
      <c r="H584" s="5" t="s">
        <v>26</v>
      </c>
      <c r="I584" s="29" t="s">
        <v>223</v>
      </c>
      <c r="J584" s="8" t="s">
        <v>93</v>
      </c>
      <c r="K584" s="281" t="str">
        <f>IF(H584="","",IFERROR(VLOOKUP(H584,Instructions!D:E,2,0),"BA"))</f>
        <v>CM</v>
      </c>
      <c r="L584" s="30" t="s">
        <v>2082</v>
      </c>
      <c r="M584" s="151">
        <f>IF(SUM(V584:BC584)=0,"-",SUM(V584:BC584))</f>
        <v>1</v>
      </c>
      <c r="N584" s="241">
        <f>IF(SUMPRODUCT($V$3:$BC$3,V584:BC584)=0,"-",SUMPRODUCT($V$3:$BC$3,V584:BC584))</f>
        <v>35</v>
      </c>
      <c r="P584" s="280" t="s">
        <v>481</v>
      </c>
      <c r="Q584" s="211">
        <v>4200673568</v>
      </c>
      <c r="R584" s="211" t="s">
        <v>309</v>
      </c>
      <c r="S584" s="211" t="s">
        <v>249</v>
      </c>
      <c r="T584" s="211" t="s">
        <v>2083</v>
      </c>
      <c r="U584" s="253" t="s">
        <v>1941</v>
      </c>
      <c r="W584" s="8">
        <v>1</v>
      </c>
    </row>
    <row r="585" spans="1:40" hidden="1">
      <c r="A585" s="286" t="s">
        <v>244</v>
      </c>
      <c r="B585" s="286" t="s">
        <v>221</v>
      </c>
      <c r="C585" s="280" t="s">
        <v>2</v>
      </c>
      <c r="D585" s="281" t="str">
        <f>IF(F585="","",CHOOSE(MONTH(F585),"Q4","Q4","Q4","Q1","Q1","Q1","Q2","Q2","Q2","Q3","Q3","Q3"))</f>
        <v>Q3</v>
      </c>
      <c r="E585" s="282" t="str">
        <f>IF(F585="","",CHOOSE(MONTH(F585),"10-JAN","11-FEB","12-MAR","01-APR","02-MAY","03-JUN","04-JUL","05-AUG","06-SEP","07-OCT","08-NOV","09-DEC"))</f>
        <v>08-NOV</v>
      </c>
      <c r="F585" s="242">
        <v>45622</v>
      </c>
      <c r="G585" s="231" t="s">
        <v>2084</v>
      </c>
      <c r="H585" s="5" t="s">
        <v>1955</v>
      </c>
      <c r="I585" s="29" t="s">
        <v>223</v>
      </c>
      <c r="K585" s="281" t="str">
        <f>IF(H585="","",IFERROR(VLOOKUP(H585,Instructions!D:E,2,0),"BA"))</f>
        <v>BA</v>
      </c>
      <c r="M585" s="151">
        <f>IF(SUM(V585:BC585)=0,"-",SUM(V585:BC585))</f>
        <v>1</v>
      </c>
      <c r="N585" s="241">
        <f>IF(SUMPRODUCT($V$3:$BC$3,V585:BC585)=0,"-",SUMPRODUCT($V$3:$BC$3,V585:BC585))</f>
        <v>40</v>
      </c>
      <c r="O585" s="30" t="s">
        <v>1939</v>
      </c>
      <c r="P585" s="280" t="s">
        <v>481</v>
      </c>
      <c r="Q585" s="211">
        <v>4200676002</v>
      </c>
      <c r="R585" s="211"/>
      <c r="S585" s="211" t="s">
        <v>249</v>
      </c>
      <c r="T585" s="211" t="s">
        <v>1940</v>
      </c>
      <c r="U585" s="253" t="s">
        <v>1941</v>
      </c>
      <c r="AD585" s="8">
        <v>1</v>
      </c>
    </row>
    <row r="586" spans="1:40" hidden="1">
      <c r="A586" s="286" t="s">
        <v>244</v>
      </c>
      <c r="B586" s="286" t="s">
        <v>221</v>
      </c>
      <c r="C586" s="280" t="s">
        <v>2</v>
      </c>
      <c r="D586" s="281" t="str">
        <f>IF(F586="","",CHOOSE(MONTH(F586),"Q4","Q4","Q4","Q1","Q1","Q1","Q2","Q2","Q2","Q3","Q3","Q3"))</f>
        <v>Q3</v>
      </c>
      <c r="E586" s="282" t="str">
        <f>IF(F586="","",CHOOSE(MONTH(F586),"10-JAN","11-FEB","12-MAR","01-APR","02-MAY","03-JUN","04-JUL","05-AUG","06-SEP","07-OCT","08-NOV","09-DEC"))</f>
        <v>08-NOV</v>
      </c>
      <c r="F586" s="242">
        <v>45623</v>
      </c>
      <c r="G586" s="231" t="s">
        <v>2085</v>
      </c>
      <c r="H586" s="5" t="s">
        <v>26</v>
      </c>
      <c r="I586" s="29" t="s">
        <v>223</v>
      </c>
      <c r="J586" s="8" t="s">
        <v>95</v>
      </c>
      <c r="K586" s="281" t="str">
        <f>IF(H586="","",IFERROR(VLOOKUP(H586,Instructions!D:E,2,0),"BA"))</f>
        <v>CM</v>
      </c>
      <c r="L586" s="78" t="s">
        <v>2086</v>
      </c>
      <c r="M586" s="151">
        <f>IF(SUM(V586:BC586)=0,"-",SUM(V586:BC586))</f>
        <v>15</v>
      </c>
      <c r="N586" s="241">
        <f>IF(SUMPRODUCT($V$3:$BC$3,V586:BC586)=0,"-",SUMPRODUCT($V$3:$BC$3,V586:BC586))</f>
        <v>610</v>
      </c>
      <c r="P586" s="280" t="s">
        <v>481</v>
      </c>
      <c r="Q586" s="211">
        <v>4200673567</v>
      </c>
      <c r="R586" s="211" t="s">
        <v>309</v>
      </c>
      <c r="S586" s="211" t="s">
        <v>249</v>
      </c>
      <c r="T586" s="211" t="s">
        <v>2087</v>
      </c>
      <c r="U586" s="253" t="s">
        <v>1941</v>
      </c>
      <c r="V586" s="7">
        <v>1</v>
      </c>
      <c r="W586" s="8">
        <v>14</v>
      </c>
    </row>
    <row r="587" spans="1:40" hidden="1">
      <c r="A587" s="286" t="s">
        <v>244</v>
      </c>
      <c r="B587" s="286" t="s">
        <v>221</v>
      </c>
      <c r="C587" s="280" t="s">
        <v>2</v>
      </c>
      <c r="D587" s="281" t="str">
        <f>IF(F587="","",CHOOSE(MONTH(F587),"Q4","Q4","Q4","Q1","Q1","Q1","Q2","Q2","Q2","Q3","Q3","Q3"))</f>
        <v>Q3</v>
      </c>
      <c r="E587" s="282" t="str">
        <f>IF(F587="","",CHOOSE(MONTH(F587),"10-JAN","11-FEB","12-MAR","01-APR","02-MAY","03-JUN","04-JUL","05-AUG","06-SEP","07-OCT","08-NOV","09-DEC"))</f>
        <v>08-NOV</v>
      </c>
      <c r="F587" s="242">
        <v>45624</v>
      </c>
      <c r="G587" s="231" t="s">
        <v>2088</v>
      </c>
      <c r="H587" s="5" t="s">
        <v>1787</v>
      </c>
      <c r="I587" s="29" t="s">
        <v>223</v>
      </c>
      <c r="J587" s="8" t="s">
        <v>69</v>
      </c>
      <c r="K587" s="281" t="str">
        <f>IF(H587="","",IFERROR(VLOOKUP(H587,Instructions!D:E,2,0),"BA"))</f>
        <v>BA</v>
      </c>
      <c r="L587" s="30" t="s">
        <v>2060</v>
      </c>
      <c r="M587" s="151">
        <f>IF(SUM(V587:BC587)=0,"-",SUM(V587:BC587))</f>
        <v>1</v>
      </c>
      <c r="N587" s="241">
        <f>IF(SUMPRODUCT($V$3:$BC$3,V587:BC587)=0,"-",SUMPRODUCT($V$3:$BC$3,V587:BC587))</f>
        <v>135</v>
      </c>
      <c r="O587" s="30" t="s">
        <v>2089</v>
      </c>
      <c r="P587" s="280" t="s">
        <v>481</v>
      </c>
      <c r="Q587" s="211">
        <v>4200676074</v>
      </c>
      <c r="R587" s="211"/>
      <c r="S587" s="211" t="s">
        <v>249</v>
      </c>
      <c r="T587" s="211" t="s">
        <v>2090</v>
      </c>
      <c r="U587" s="253" t="s">
        <v>1941</v>
      </c>
      <c r="AC587" s="7">
        <v>1</v>
      </c>
    </row>
    <row r="588" spans="1:40" hidden="1">
      <c r="A588" s="286" t="s">
        <v>244</v>
      </c>
      <c r="B588" s="286" t="s">
        <v>221</v>
      </c>
      <c r="C588" s="280" t="s">
        <v>2</v>
      </c>
      <c r="D588" s="281" t="str">
        <f>IF(F588="","",CHOOSE(MONTH(F588),"Q4","Q4","Q4","Q1","Q1","Q1","Q2","Q2","Q2","Q3","Q3","Q3"))</f>
        <v>Q3</v>
      </c>
      <c r="E588" s="282" t="str">
        <f>IF(F588="","",CHOOSE(MONTH(F588),"10-JAN","11-FEB","12-MAR","01-APR","02-MAY","03-JUN","04-JUL","05-AUG","06-SEP","07-OCT","08-NOV","09-DEC"))</f>
        <v>08-NOV</v>
      </c>
      <c r="F588" s="242">
        <v>45624</v>
      </c>
      <c r="G588" s="231" t="s">
        <v>2091</v>
      </c>
      <c r="H588" s="5" t="s">
        <v>2018</v>
      </c>
      <c r="I588" s="29" t="s">
        <v>223</v>
      </c>
      <c r="K588" s="281" t="str">
        <f>IF(H588="","",IFERROR(VLOOKUP(H588,Instructions!D:E,2,0),"BA"))</f>
        <v>BA</v>
      </c>
      <c r="L588" s="30" t="s">
        <v>2092</v>
      </c>
      <c r="M588" s="151">
        <f>IF(SUM(V588:BC588)=0,"-",SUM(V588:BC588))</f>
        <v>7</v>
      </c>
      <c r="N588" s="241">
        <f>IF(SUMPRODUCT($V$3:$BC$3,V588:BC588)=0,"-",SUMPRODUCT($V$3:$BC$3,V588:BC588))</f>
        <v>270</v>
      </c>
      <c r="O588" s="30" t="s">
        <v>2093</v>
      </c>
      <c r="P588" s="280" t="s">
        <v>481</v>
      </c>
      <c r="Q588" s="211">
        <v>4200676408</v>
      </c>
      <c r="R588" s="211"/>
      <c r="S588" s="211" t="s">
        <v>249</v>
      </c>
      <c r="T588" s="211" t="s">
        <v>2094</v>
      </c>
      <c r="U588" s="388" t="s">
        <v>1915</v>
      </c>
      <c r="W588" s="8">
        <v>6</v>
      </c>
      <c r="Y588" s="8">
        <v>1</v>
      </c>
    </row>
    <row r="589" spans="1:40" hidden="1">
      <c r="A589" s="286" t="s">
        <v>244</v>
      </c>
      <c r="B589" s="286" t="s">
        <v>221</v>
      </c>
      <c r="C589" s="280" t="s">
        <v>2</v>
      </c>
      <c r="D589" s="281" t="str">
        <f>IF(F589="","",CHOOSE(MONTH(F589),"Q4","Q4","Q4","Q1","Q1","Q1","Q2","Q2","Q2","Q3","Q3","Q3"))</f>
        <v>Q3</v>
      </c>
      <c r="E589" s="282" t="str">
        <f>IF(F589="","",CHOOSE(MONTH(F589),"10-JAN","11-FEB","12-MAR","01-APR","02-MAY","03-JUN","04-JUL","05-AUG","06-SEP","07-OCT","08-NOV","09-DEC"))</f>
        <v>08-NOV</v>
      </c>
      <c r="F589" s="242">
        <v>45625</v>
      </c>
      <c r="G589" s="231" t="s">
        <v>2095</v>
      </c>
      <c r="H589" s="5" t="s">
        <v>26</v>
      </c>
      <c r="I589" s="29" t="s">
        <v>223</v>
      </c>
      <c r="J589" s="8" t="s">
        <v>95</v>
      </c>
      <c r="K589" s="281" t="str">
        <f>IF(H589="","",IFERROR(VLOOKUP(H589,Instructions!D:E,2,0),"BA"))</f>
        <v>CM</v>
      </c>
      <c r="L589" s="78" t="s">
        <v>2096</v>
      </c>
      <c r="M589" s="151">
        <f>IF(SUM(V589:BC589)=0,"-",SUM(V589:BC589))</f>
        <v>1</v>
      </c>
      <c r="N589" s="241">
        <f>IF(SUMPRODUCT($V$3:$BC$3,V589:BC589)=0,"-",SUMPRODUCT($V$3:$BC$3,V589:BC589))</f>
        <v>500</v>
      </c>
      <c r="Q589" s="211">
        <v>4200673567</v>
      </c>
      <c r="R589" s="211" t="s">
        <v>309</v>
      </c>
      <c r="S589" s="211" t="s">
        <v>249</v>
      </c>
      <c r="T589" s="211" t="s">
        <v>2087</v>
      </c>
      <c r="U589" s="253" t="s">
        <v>1941</v>
      </c>
      <c r="AM589" s="7">
        <v>1</v>
      </c>
    </row>
    <row r="590" spans="1:40" hidden="1">
      <c r="A590" s="286" t="s">
        <v>244</v>
      </c>
      <c r="B590" s="286" t="s">
        <v>221</v>
      </c>
      <c r="C590" s="280" t="s">
        <v>2</v>
      </c>
      <c r="D590" s="281" t="str">
        <f>IF(F590="","",CHOOSE(MONTH(F590),"Q4","Q4","Q4","Q1","Q1","Q1","Q2","Q2","Q2","Q3","Q3","Q3"))</f>
        <v>Q3</v>
      </c>
      <c r="E590" s="282" t="str">
        <f>IF(F590="","",CHOOSE(MONTH(F590),"10-JAN","11-FEB","12-MAR","01-APR","02-MAY","03-JUN","04-JUL","05-AUG","06-SEP","07-OCT","08-NOV","09-DEC"))</f>
        <v>08-NOV</v>
      </c>
      <c r="F590" s="242">
        <v>45625</v>
      </c>
      <c r="G590" s="231" t="s">
        <v>2097</v>
      </c>
      <c r="H590" s="5" t="s">
        <v>26</v>
      </c>
      <c r="I590" s="118" t="s">
        <v>223</v>
      </c>
      <c r="J590" s="8" t="s">
        <v>130</v>
      </c>
      <c r="K590" s="281" t="str">
        <f>IF(H590="","",IFERROR(VLOOKUP(H590,Instructions!D:E,2,0),"BA"))</f>
        <v>CM</v>
      </c>
      <c r="L590" s="126" t="s">
        <v>2098</v>
      </c>
      <c r="M590" s="151">
        <f>IF(SUM(V590:BC590)=0,"-",SUM(V590:BC590))</f>
        <v>2</v>
      </c>
      <c r="N590" s="278">
        <f>IF(SUMPRODUCT($V$3:$BC$3,V590:BC590)=0,"-",SUMPRODUCT($V$3:$BC$3,V590:BC590))</f>
        <v>155</v>
      </c>
      <c r="P590" s="280" t="s">
        <v>481</v>
      </c>
      <c r="Q590" s="211">
        <v>4200673574</v>
      </c>
      <c r="R590" s="211" t="s">
        <v>309</v>
      </c>
      <c r="S590" s="211" t="s">
        <v>249</v>
      </c>
      <c r="T590" s="211" t="s">
        <v>2077</v>
      </c>
      <c r="U590" s="253" t="s">
        <v>1941</v>
      </c>
      <c r="V590" s="7">
        <v>1</v>
      </c>
      <c r="W590" s="8">
        <v>1</v>
      </c>
    </row>
    <row r="591" spans="1:40" hidden="1">
      <c r="A591" s="286" t="s">
        <v>244</v>
      </c>
      <c r="B591" s="286" t="s">
        <v>221</v>
      </c>
      <c r="C591" s="280" t="s">
        <v>2</v>
      </c>
      <c r="D591" s="281" t="str">
        <f>IF(F591="","",CHOOSE(MONTH(F591),"Q4","Q4","Q4","Q1","Q1","Q1","Q2","Q2","Q2","Q3","Q3","Q3"))</f>
        <v>Q3</v>
      </c>
      <c r="E591" s="282" t="str">
        <f>IF(F591="","",CHOOSE(MONTH(F591),"10-JAN","11-FEB","12-MAR","01-APR","02-MAY","03-JUN","04-JUL","05-AUG","06-SEP","07-OCT","08-NOV","09-DEC"))</f>
        <v>09-DEC</v>
      </c>
      <c r="F591" s="242">
        <v>45629</v>
      </c>
      <c r="G591" s="231" t="s">
        <v>2099</v>
      </c>
      <c r="H591" s="5" t="s">
        <v>26</v>
      </c>
      <c r="I591" s="29" t="s">
        <v>223</v>
      </c>
      <c r="J591" s="8" t="s">
        <v>93</v>
      </c>
      <c r="K591" s="281" t="str">
        <f>IF(H591="","",IFERROR(VLOOKUP(H591,Instructions!D:E,2,0),"BA"))</f>
        <v>CM</v>
      </c>
      <c r="L591" s="78" t="s">
        <v>2100</v>
      </c>
      <c r="M591" s="151">
        <f>IF(SUM(V591:BC591)=0,"-",SUM(V591:BC591))</f>
        <v>2</v>
      </c>
      <c r="N591" s="241">
        <f>IF(SUMPRODUCT($V$3:$BC$3,V591:BC591)=0,"-",SUMPRODUCT($V$3:$BC$3,V591:BC591))</f>
        <v>70</v>
      </c>
      <c r="Q591" s="211">
        <v>4200673568</v>
      </c>
      <c r="R591" s="211" t="s">
        <v>309</v>
      </c>
      <c r="S591" s="211" t="s">
        <v>249</v>
      </c>
      <c r="T591" s="211" t="s">
        <v>2083</v>
      </c>
      <c r="U591" s="253" t="s">
        <v>1941</v>
      </c>
      <c r="W591" s="8">
        <v>2</v>
      </c>
    </row>
    <row r="592" spans="1:40" hidden="1">
      <c r="A592" s="286" t="s">
        <v>244</v>
      </c>
      <c r="B592" s="286" t="s">
        <v>221</v>
      </c>
      <c r="C592" s="280" t="s">
        <v>2</v>
      </c>
      <c r="D592" s="281" t="str">
        <f>IF(F592="","",CHOOSE(MONTH(F592),"Q4","Q4","Q4","Q1","Q1","Q1","Q2","Q2","Q2","Q3","Q3","Q3"))</f>
        <v>Q3</v>
      </c>
      <c r="E592" s="282" t="str">
        <f>IF(F592="","",CHOOSE(MONTH(F592),"10-JAN","11-FEB","12-MAR","01-APR","02-MAY","03-JUN","04-JUL","05-AUG","06-SEP","07-OCT","08-NOV","09-DEC"))</f>
        <v>09-DEC</v>
      </c>
      <c r="F592" s="242">
        <v>45629</v>
      </c>
      <c r="G592" s="231" t="s">
        <v>2101</v>
      </c>
      <c r="H592" s="5" t="s">
        <v>26</v>
      </c>
      <c r="I592" s="29" t="s">
        <v>223</v>
      </c>
      <c r="J592" s="8" t="s">
        <v>129</v>
      </c>
      <c r="K592" s="281" t="str">
        <f>IF(H592="","",IFERROR(VLOOKUP(H592,Instructions!D:E,2,0),"BA"))</f>
        <v>CM</v>
      </c>
      <c r="L592" s="30" t="s">
        <v>2102</v>
      </c>
      <c r="M592" s="151">
        <f>IF(SUM(V592:BC592)=0,"-",SUM(V592:BC592))</f>
        <v>2</v>
      </c>
      <c r="N592" s="241">
        <f>IF(SUMPRODUCT($V$3:$BC$3,V592:BC592)=0,"-",SUMPRODUCT($V$3:$BC$3,V592:BC592))</f>
        <v>155</v>
      </c>
      <c r="Q592" s="211">
        <v>4200673569</v>
      </c>
      <c r="R592" s="211" t="s">
        <v>309</v>
      </c>
      <c r="S592" s="211" t="s">
        <v>249</v>
      </c>
      <c r="T592" s="211" t="s">
        <v>2103</v>
      </c>
      <c r="U592" s="253" t="s">
        <v>1941</v>
      </c>
      <c r="V592" s="7">
        <v>1</v>
      </c>
      <c r="W592" s="8">
        <v>1</v>
      </c>
    </row>
    <row r="593" spans="1:45" hidden="1">
      <c r="A593" s="286" t="s">
        <v>244</v>
      </c>
      <c r="B593" s="286" t="s">
        <v>221</v>
      </c>
      <c r="C593" s="280" t="s">
        <v>2</v>
      </c>
      <c r="D593" s="281" t="str">
        <f>IF(F593="","",CHOOSE(MONTH(F593),"Q4","Q4","Q4","Q1","Q1","Q1","Q2","Q2","Q2","Q3","Q3","Q3"))</f>
        <v>Q3</v>
      </c>
      <c r="E593" s="282" t="str">
        <f>IF(F593="","",CHOOSE(MONTH(F593),"10-JAN","11-FEB","12-MAR","01-APR","02-MAY","03-JUN","04-JUL","05-AUG","06-SEP","07-OCT","08-NOV","09-DEC"))</f>
        <v>09-DEC</v>
      </c>
      <c r="F593" s="242">
        <v>45630</v>
      </c>
      <c r="G593" s="236" t="s">
        <v>2104</v>
      </c>
      <c r="H593" s="5" t="s">
        <v>1787</v>
      </c>
      <c r="I593" s="29" t="s">
        <v>223</v>
      </c>
      <c r="J593" s="8" t="s">
        <v>69</v>
      </c>
      <c r="K593" s="281" t="str">
        <f>IF(H593="","",IFERROR(VLOOKUP(H593,Instructions!D:E,2,0),"BA"))</f>
        <v>BA</v>
      </c>
      <c r="L593" s="78" t="s">
        <v>2105</v>
      </c>
      <c r="M593" s="151">
        <f>IF(SUM(V593:BC593)=0,"-",SUM(V593:BC593))</f>
        <v>1</v>
      </c>
      <c r="N593" s="241">
        <f>IF(SUMPRODUCT($V$3:$BC$3,V593:BC593)=0,"-",SUMPRODUCT($V$3:$BC$3,V593:BC593))</f>
        <v>135</v>
      </c>
      <c r="O593" s="30" t="s">
        <v>2106</v>
      </c>
      <c r="P593" s="280" t="s">
        <v>481</v>
      </c>
      <c r="Q593" s="211">
        <v>4200676073</v>
      </c>
      <c r="R593" s="211"/>
      <c r="S593" s="211" t="s">
        <v>249</v>
      </c>
      <c r="T593" s="211" t="s">
        <v>2107</v>
      </c>
      <c r="U593" s="253" t="s">
        <v>1941</v>
      </c>
      <c r="AC593" s="7">
        <v>1</v>
      </c>
    </row>
    <row r="594" spans="1:45" hidden="1">
      <c r="A594" s="286" t="s">
        <v>244</v>
      </c>
      <c r="B594" s="286" t="s">
        <v>221</v>
      </c>
      <c r="C594" s="280" t="s">
        <v>2</v>
      </c>
      <c r="D594" s="281" t="str">
        <f>IF(F594="","",CHOOSE(MONTH(F594),"Q4","Q4","Q4","Q1","Q1","Q1","Q2","Q2","Q2","Q3","Q3","Q3"))</f>
        <v>Q3</v>
      </c>
      <c r="E594" s="282" t="str">
        <f>IF(F594="","",CHOOSE(MONTH(F594),"10-JAN","11-FEB","12-MAR","01-APR","02-MAY","03-JUN","04-JUL","05-AUG","06-SEP","07-OCT","08-NOV","09-DEC"))</f>
        <v>09-DEC</v>
      </c>
      <c r="F594" s="242">
        <v>45632</v>
      </c>
      <c r="G594" s="231" t="s">
        <v>2108</v>
      </c>
      <c r="H594" s="5" t="s">
        <v>1930</v>
      </c>
      <c r="I594" s="29" t="s">
        <v>223</v>
      </c>
      <c r="K594" s="281" t="str">
        <f>IF(H594="","",IFERROR(VLOOKUP(H594,Instructions!D:E,2,0),"BA"))</f>
        <v>BA</v>
      </c>
      <c r="L594" s="30" t="s">
        <v>2109</v>
      </c>
      <c r="M594" s="151">
        <f>IF(SUM(V594:BC594)=0,"-",SUM(V594:BC594))</f>
        <v>15</v>
      </c>
      <c r="N594" s="241">
        <f>IF(SUMPRODUCT($V$3:$BC$3,V594:BC594)=0,"-",SUMPRODUCT($V$3:$BC$3,V594:BC594))</f>
        <v>610</v>
      </c>
      <c r="O594" s="30" t="s">
        <v>2110</v>
      </c>
      <c r="P594" s="280" t="s">
        <v>481</v>
      </c>
      <c r="Q594" s="211">
        <v>4200676215</v>
      </c>
      <c r="R594" s="211"/>
      <c r="S594" s="211" t="s">
        <v>249</v>
      </c>
      <c r="T594" s="211" t="s">
        <v>2111</v>
      </c>
      <c r="U594" s="253" t="s">
        <v>1941</v>
      </c>
      <c r="V594" s="7">
        <v>1</v>
      </c>
      <c r="W594" s="8">
        <v>14</v>
      </c>
    </row>
    <row r="595" spans="1:45" hidden="1">
      <c r="A595" s="286" t="s">
        <v>244</v>
      </c>
      <c r="B595" s="286" t="s">
        <v>221</v>
      </c>
      <c r="C595" s="280" t="s">
        <v>2</v>
      </c>
      <c r="D595" s="281" t="str">
        <f>IF(F595="","",CHOOSE(MONTH(F595),"Q4","Q4","Q4","Q1","Q1","Q1","Q2","Q2","Q2","Q3","Q3","Q3"))</f>
        <v>Q3</v>
      </c>
      <c r="E595" s="282" t="str">
        <f>IF(F595="","",CHOOSE(MONTH(F595),"10-JAN","11-FEB","12-MAR","01-APR","02-MAY","03-JUN","04-JUL","05-AUG","06-SEP","07-OCT","08-NOV","09-DEC"))</f>
        <v>09-DEC</v>
      </c>
      <c r="F595" s="242">
        <v>45632</v>
      </c>
      <c r="G595" s="231" t="s">
        <v>2112</v>
      </c>
      <c r="H595" s="5" t="s">
        <v>35</v>
      </c>
      <c r="I595" s="29" t="s">
        <v>223</v>
      </c>
      <c r="J595" s="8" t="s">
        <v>95</v>
      </c>
      <c r="K595" s="281" t="str">
        <f>IF(H595="","",IFERROR(VLOOKUP(H595,Instructions!D:E,2,0),"BA"))</f>
        <v>BA</v>
      </c>
      <c r="M595" s="151">
        <f>IF(SUM(V595:BC595)=0,"-",SUM(V595:BC595))</f>
        <v>2</v>
      </c>
      <c r="N595" s="241">
        <f>IF(SUMPRODUCT($V$3:$BC$3,V595:BC595)=0,"-",SUMPRODUCT($V$3:$BC$3,V595:BC595))</f>
        <v>500</v>
      </c>
      <c r="O595" s="30" t="s">
        <v>2113</v>
      </c>
      <c r="P595" s="280" t="s">
        <v>481</v>
      </c>
      <c r="Q595" s="341">
        <v>4200675176</v>
      </c>
      <c r="R595" s="211"/>
      <c r="S595" s="211" t="s">
        <v>249</v>
      </c>
      <c r="T595" s="211" t="s">
        <v>2114</v>
      </c>
      <c r="U595" s="253" t="s">
        <v>1941</v>
      </c>
      <c r="AH595" s="8">
        <v>2</v>
      </c>
    </row>
    <row r="596" spans="1:45" hidden="1">
      <c r="A596" s="286" t="s">
        <v>244</v>
      </c>
      <c r="B596" s="286" t="s">
        <v>221</v>
      </c>
      <c r="C596" s="280" t="s">
        <v>2</v>
      </c>
      <c r="D596" s="281" t="str">
        <f>IF(F596="","",CHOOSE(MONTH(F596),"Q4","Q4","Q4","Q1","Q1","Q1","Q2","Q2","Q2","Q3","Q3","Q3"))</f>
        <v>Q3</v>
      </c>
      <c r="E596" s="282" t="str">
        <f>IF(F596="","",CHOOSE(MONTH(F596),"10-JAN","11-FEB","12-MAR","01-APR","02-MAY","03-JUN","04-JUL","05-AUG","06-SEP","07-OCT","08-NOV","09-DEC"))</f>
        <v>09-DEC</v>
      </c>
      <c r="F596" s="242">
        <v>45637</v>
      </c>
      <c r="G596" s="231" t="s">
        <v>2115</v>
      </c>
      <c r="H596" s="5" t="s">
        <v>26</v>
      </c>
      <c r="I596" s="29" t="s">
        <v>223</v>
      </c>
      <c r="J596" s="8" t="s">
        <v>130</v>
      </c>
      <c r="K596" s="281" t="str">
        <f>IF(H596="","",IFERROR(VLOOKUP(H596,Instructions!D:E,2,0),"BA"))</f>
        <v>CM</v>
      </c>
      <c r="L596" s="30" t="s">
        <v>2082</v>
      </c>
      <c r="M596" s="151">
        <f>IF(SUM(V596:BC596)=0,"-",SUM(V596:BC596))</f>
        <v>2</v>
      </c>
      <c r="N596" s="241">
        <f>IF(SUMPRODUCT($V$3:$BC$3,V596:BC596)=0,"-",SUMPRODUCT($V$3:$BC$3,V596:BC596))</f>
        <v>240</v>
      </c>
      <c r="P596" s="280" t="s">
        <v>481</v>
      </c>
      <c r="Q596" s="211">
        <v>4200673574</v>
      </c>
      <c r="R596" s="211" t="s">
        <v>351</v>
      </c>
      <c r="S596" s="211" t="s">
        <v>249</v>
      </c>
      <c r="T596" s="211" t="s">
        <v>2011</v>
      </c>
      <c r="U596" s="257" t="s">
        <v>1671</v>
      </c>
      <c r="V596" s="7">
        <v>2</v>
      </c>
    </row>
    <row r="597" spans="1:45" hidden="1">
      <c r="A597" s="286" t="s">
        <v>244</v>
      </c>
      <c r="B597" s="286" t="s">
        <v>221</v>
      </c>
      <c r="C597" s="280" t="s">
        <v>2</v>
      </c>
      <c r="D597" s="281" t="str">
        <f>IF(F597="","",CHOOSE(MONTH(F597),"Q4","Q4","Q4","Q1","Q1","Q1","Q2","Q2","Q2","Q3","Q3","Q3"))</f>
        <v>Q3</v>
      </c>
      <c r="E597" s="282" t="str">
        <f>IF(F597="","",CHOOSE(MONTH(F597),"10-JAN","11-FEB","12-MAR","01-APR","02-MAY","03-JUN","04-JUL","05-AUG","06-SEP","07-OCT","08-NOV","09-DEC"))</f>
        <v>09-DEC</v>
      </c>
      <c r="F597" s="242">
        <v>45637</v>
      </c>
      <c r="G597" s="231" t="s">
        <v>2116</v>
      </c>
      <c r="H597" s="5" t="s">
        <v>1955</v>
      </c>
      <c r="I597" s="29" t="s">
        <v>223</v>
      </c>
      <c r="J597" s="8" t="s">
        <v>130</v>
      </c>
      <c r="K597" s="281" t="str">
        <f>IF(H597="","",IFERROR(VLOOKUP(H597,Instructions!D:E,2,0),"BA"))</f>
        <v>BA</v>
      </c>
      <c r="L597" s="30" t="s">
        <v>2117</v>
      </c>
      <c r="M597" s="151">
        <f>IF(SUM(V597:BC597)=0,"-",SUM(V597:BC597))</f>
        <v>2</v>
      </c>
      <c r="N597" s="241">
        <f>IF(SUMPRODUCT($V$3:$BC$3,V597:BC597)=0,"-",SUMPRODUCT($V$3:$BC$3,V597:BC597))</f>
        <v>255</v>
      </c>
      <c r="O597" s="30" t="s">
        <v>2118</v>
      </c>
      <c r="P597" s="280" t="s">
        <v>481</v>
      </c>
      <c r="Q597" s="211">
        <v>4200677762</v>
      </c>
      <c r="R597" s="211"/>
      <c r="S597" s="211" t="s">
        <v>249</v>
      </c>
      <c r="T597" s="211" t="s">
        <v>2119</v>
      </c>
      <c r="U597" s="253" t="s">
        <v>2120</v>
      </c>
      <c r="V597" s="7">
        <v>1</v>
      </c>
      <c r="AC597" s="7">
        <v>1</v>
      </c>
    </row>
    <row r="598" spans="1:45" hidden="1">
      <c r="A598" s="286" t="s">
        <v>244</v>
      </c>
      <c r="B598" s="286" t="s">
        <v>221</v>
      </c>
      <c r="C598" s="280" t="s">
        <v>2</v>
      </c>
      <c r="D598" s="281" t="str">
        <f>IF(F598="","",CHOOSE(MONTH(F598),"Q4","Q4","Q4","Q1","Q1","Q1","Q2","Q2","Q2","Q3","Q3","Q3"))</f>
        <v>Q3</v>
      </c>
      <c r="E598" s="282" t="str">
        <f>IF(F598="","",CHOOSE(MONTH(F598),"10-JAN","11-FEB","12-MAR","01-APR","02-MAY","03-JUN","04-JUL","05-AUG","06-SEP","07-OCT","08-NOV","09-DEC"))</f>
        <v>09-DEC</v>
      </c>
      <c r="F598" s="242">
        <v>45642</v>
      </c>
      <c r="G598" s="231" t="s">
        <v>2121</v>
      </c>
      <c r="H598" s="5" t="s">
        <v>1787</v>
      </c>
      <c r="I598" s="29" t="s">
        <v>223</v>
      </c>
      <c r="J598" s="8" t="s">
        <v>69</v>
      </c>
      <c r="K598" s="281" t="str">
        <f>IF(H598="","",IFERROR(VLOOKUP(H598,Instructions!D:E,2,0),"BA"))</f>
        <v>BA</v>
      </c>
      <c r="L598" s="30" t="s">
        <v>2122</v>
      </c>
      <c r="M598" s="151">
        <f>IF(SUM(V598:BC598)=0,"-",SUM(V598:BC598))</f>
        <v>1</v>
      </c>
      <c r="N598" s="241">
        <f>IF(SUMPRODUCT($V$3:$BC$3,V598:BC598)=0,"-",SUMPRODUCT($V$3:$BC$3,V598:BC598))</f>
        <v>135</v>
      </c>
      <c r="O598" s="30" t="s">
        <v>2123</v>
      </c>
      <c r="P598" s="280" t="s">
        <v>481</v>
      </c>
      <c r="Q598" s="211">
        <v>4200676277</v>
      </c>
      <c r="R598" s="211"/>
      <c r="S598" s="211" t="s">
        <v>249</v>
      </c>
      <c r="T598" s="211" t="s">
        <v>2124</v>
      </c>
      <c r="U598" s="253" t="s">
        <v>1941</v>
      </c>
      <c r="AC598" s="7">
        <v>1</v>
      </c>
    </row>
    <row r="599" spans="1:45" hidden="1">
      <c r="A599" s="286" t="s">
        <v>244</v>
      </c>
      <c r="B599" s="286" t="s">
        <v>221</v>
      </c>
      <c r="C599" s="280" t="s">
        <v>2</v>
      </c>
      <c r="D599" s="281" t="str">
        <f>IF(F599="","",CHOOSE(MONTH(F599),"Q4","Q4","Q4","Q1","Q1","Q1","Q2","Q2","Q2","Q3","Q3","Q3"))</f>
        <v>Q3</v>
      </c>
      <c r="E599" s="282" t="str">
        <f>IF(F599="","",CHOOSE(MONTH(F599),"10-JAN","11-FEB","12-MAR","01-APR","02-MAY","03-JUN","04-JUL","05-AUG","06-SEP","07-OCT","08-NOV","09-DEC"))</f>
        <v>09-DEC</v>
      </c>
      <c r="F599" s="242">
        <v>45642</v>
      </c>
      <c r="G599" s="231" t="s">
        <v>2125</v>
      </c>
      <c r="H599" s="5" t="s">
        <v>2018</v>
      </c>
      <c r="I599" s="29" t="s">
        <v>223</v>
      </c>
      <c r="K599" s="281" t="str">
        <f>IF(H599="","",IFERROR(VLOOKUP(H599,Instructions!D:E,2,0),"BA"))</f>
        <v>BA</v>
      </c>
      <c r="L599" s="30" t="s">
        <v>2126</v>
      </c>
      <c r="M599" s="151">
        <f>IF(SUM(V599:BC599)=0,"-",SUM(V599:BC599))</f>
        <v>10</v>
      </c>
      <c r="N599" s="241">
        <f>IF(SUMPRODUCT($V$3:$BC$3,V599:BC599)=0,"-",SUMPRODUCT($V$3:$BC$3,V599:BC599))</f>
        <v>620</v>
      </c>
      <c r="Q599" s="211">
        <v>4200669152</v>
      </c>
      <c r="R599" s="211"/>
      <c r="S599" s="211" t="s">
        <v>249</v>
      </c>
      <c r="T599" s="211" t="s">
        <v>2127</v>
      </c>
      <c r="U599" s="253" t="s">
        <v>1941</v>
      </c>
      <c r="V599" s="7">
        <v>1</v>
      </c>
      <c r="W599" s="8">
        <v>8</v>
      </c>
      <c r="X599" s="8">
        <v>1</v>
      </c>
    </row>
    <row r="600" spans="1:45" hidden="1">
      <c r="A600" s="286" t="s">
        <v>244</v>
      </c>
      <c r="B600" s="286" t="s">
        <v>221</v>
      </c>
      <c r="C600" s="280" t="s">
        <v>2</v>
      </c>
      <c r="D600" s="281" t="str">
        <f>IF(F600="","",CHOOSE(MONTH(F600),"Q4","Q4","Q4","Q1","Q1","Q1","Q2","Q2","Q2","Q3","Q3","Q3"))</f>
        <v>Q3</v>
      </c>
      <c r="E600" s="282" t="str">
        <f>IF(F600="","",CHOOSE(MONTH(F600),"10-JAN","11-FEB","12-MAR","01-APR","02-MAY","03-JUN","04-JUL","05-AUG","06-SEP","07-OCT","08-NOV","09-DEC"))</f>
        <v>09-DEC</v>
      </c>
      <c r="F600" s="242">
        <v>45643</v>
      </c>
      <c r="G600" s="231" t="s">
        <v>2128</v>
      </c>
      <c r="H600" s="5" t="s">
        <v>1955</v>
      </c>
      <c r="I600" s="29" t="s">
        <v>223</v>
      </c>
      <c r="J600" s="8" t="s">
        <v>93</v>
      </c>
      <c r="K600" s="281" t="str">
        <f>IF(H600="","",IFERROR(VLOOKUP(H600,Instructions!D:E,2,0),"BA"))</f>
        <v>BA</v>
      </c>
      <c r="L600" s="30" t="s">
        <v>2129</v>
      </c>
      <c r="M600" s="151">
        <f>IF(SUM(V600:BC600)=0,"-",SUM(V600:BC600))</f>
        <v>2</v>
      </c>
      <c r="N600" s="241">
        <f>IF(SUMPRODUCT($V$3:$BC$3,V600:BC600)=0,"-",SUMPRODUCT($V$3:$BC$3,V600:BC600))</f>
        <v>175</v>
      </c>
      <c r="O600" s="30" t="s">
        <v>2130</v>
      </c>
      <c r="P600" s="280" t="s">
        <v>481</v>
      </c>
      <c r="Q600" s="211">
        <v>4200677771</v>
      </c>
      <c r="R600" s="211"/>
      <c r="S600" s="211" t="s">
        <v>249</v>
      </c>
      <c r="T600" s="211" t="s">
        <v>2131</v>
      </c>
      <c r="U600" s="253" t="s">
        <v>2120</v>
      </c>
      <c r="AC600" s="7">
        <v>1</v>
      </c>
      <c r="AD600" s="8">
        <v>1</v>
      </c>
    </row>
    <row r="601" spans="1:45" hidden="1">
      <c r="A601" s="286" t="s">
        <v>244</v>
      </c>
      <c r="B601" s="286" t="s">
        <v>221</v>
      </c>
      <c r="C601" s="280" t="s">
        <v>2</v>
      </c>
      <c r="D601" s="281" t="str">
        <f>IF(F601="","",CHOOSE(MONTH(F601),"Q4","Q4","Q4","Q1","Q1","Q1","Q2","Q2","Q2","Q3","Q3","Q3"))</f>
        <v>Q3</v>
      </c>
      <c r="E601" s="282" t="str">
        <f>IF(F601="","",CHOOSE(MONTH(F601),"10-JAN","11-FEB","12-MAR","01-APR","02-MAY","03-JUN","04-JUL","05-AUG","06-SEP","07-OCT","08-NOV","09-DEC"))</f>
        <v>09-DEC</v>
      </c>
      <c r="F601" s="242">
        <v>45644</v>
      </c>
      <c r="G601" s="231" t="s">
        <v>2132</v>
      </c>
      <c r="H601" s="5" t="s">
        <v>1699</v>
      </c>
      <c r="I601" s="29" t="s">
        <v>223</v>
      </c>
      <c r="J601" s="8" t="s">
        <v>95</v>
      </c>
      <c r="K601" s="281" t="str">
        <f>IF(H601="","",IFERROR(VLOOKUP(H601,Instructions!D:E,2,0),"BA"))</f>
        <v>BA</v>
      </c>
      <c r="L601" s="30" t="s">
        <v>2133</v>
      </c>
      <c r="M601" s="151">
        <f>IF(SUM(V601:BC601)=0,"-",SUM(V601:BC601))</f>
        <v>2</v>
      </c>
      <c r="N601" s="278">
        <f>IF(SUMPRODUCT($V$3:$BC$3,V601:BC601)=0,"-",SUMPRODUCT($V$3:$BC$3,V601:BC601))</f>
        <v>175</v>
      </c>
      <c r="O601" s="30" t="s">
        <v>2134</v>
      </c>
      <c r="P601" s="280" t="s">
        <v>481</v>
      </c>
      <c r="Q601" s="411">
        <v>4200679422</v>
      </c>
      <c r="R601" s="211"/>
      <c r="S601" s="211" t="s">
        <v>249</v>
      </c>
      <c r="T601" s="211" t="s">
        <v>2016</v>
      </c>
      <c r="U601" s="253" t="s">
        <v>1306</v>
      </c>
      <c r="AC601" s="7">
        <v>1</v>
      </c>
      <c r="AD601" s="8">
        <v>1</v>
      </c>
    </row>
    <row r="602" spans="1:45" hidden="1">
      <c r="A602" s="286" t="s">
        <v>244</v>
      </c>
      <c r="B602" s="286" t="s">
        <v>221</v>
      </c>
      <c r="C602" s="280" t="s">
        <v>2</v>
      </c>
      <c r="D602" s="281" t="str">
        <f>IF(F602="","",CHOOSE(MONTH(F602),"Q4","Q4","Q4","Q1","Q1","Q1","Q2","Q2","Q2","Q3","Q3","Q3"))</f>
        <v>Q3</v>
      </c>
      <c r="E602" s="282" t="str">
        <f>IF(F602="","",CHOOSE(MONTH(F602),"10-JAN","11-FEB","12-MAR","01-APR","02-MAY","03-JUN","04-JUL","05-AUG","06-SEP","07-OCT","08-NOV","09-DEC"))</f>
        <v>09-DEC</v>
      </c>
      <c r="F602" s="242">
        <v>45645</v>
      </c>
      <c r="G602" s="231" t="s">
        <v>2135</v>
      </c>
      <c r="H602" s="5" t="s">
        <v>1787</v>
      </c>
      <c r="I602" s="29" t="s">
        <v>223</v>
      </c>
      <c r="K602" s="281" t="str">
        <f>IF(H602="","",IFERROR(VLOOKUP(H602,Instructions!D:E,2,0),"BA"))</f>
        <v>BA</v>
      </c>
      <c r="L602" s="78" t="s">
        <v>2136</v>
      </c>
      <c r="M602" s="151">
        <f>IF(SUM(V602:BC602)=0,"-",SUM(V602:BC602))</f>
        <v>14</v>
      </c>
      <c r="N602" s="65">
        <f>IF(SUMPRODUCT($V$3:$BC$3,V602:BC602)=0,"-",SUMPRODUCT($V$3:$BC$3,V602:BC602))</f>
        <v>575</v>
      </c>
      <c r="O602" s="30" t="s">
        <v>2137</v>
      </c>
      <c r="P602" s="280" t="s">
        <v>481</v>
      </c>
      <c r="Q602" s="211">
        <v>4200676659</v>
      </c>
      <c r="R602" s="211"/>
      <c r="S602" s="211" t="s">
        <v>249</v>
      </c>
      <c r="T602" s="211" t="s">
        <v>2138</v>
      </c>
      <c r="U602" s="388" t="s">
        <v>1915</v>
      </c>
      <c r="V602" s="7">
        <v>1</v>
      </c>
      <c r="W602" s="8">
        <v>13</v>
      </c>
    </row>
    <row r="603" spans="1:45" hidden="1">
      <c r="A603" s="286" t="s">
        <v>244</v>
      </c>
      <c r="B603" s="286" t="s">
        <v>221</v>
      </c>
      <c r="C603" s="280" t="s">
        <v>2</v>
      </c>
      <c r="D603" s="281" t="str">
        <f>IF(F603="","",CHOOSE(MONTH(F603),"Q4","Q4","Q4","Q1","Q1","Q1","Q2","Q2","Q2","Q3","Q3","Q3"))</f>
        <v>Q3</v>
      </c>
      <c r="E603" s="282" t="str">
        <f>IF(F603="","",CHOOSE(MONTH(F603),"10-JAN","11-FEB","12-MAR","01-APR","02-MAY","03-JUN","04-JUL","05-AUG","06-SEP","07-OCT","08-NOV","09-DEC"))</f>
        <v>09-DEC</v>
      </c>
      <c r="F603" s="242">
        <v>45645</v>
      </c>
      <c r="G603" s="231" t="s">
        <v>2139</v>
      </c>
      <c r="H603" s="5" t="s">
        <v>1787</v>
      </c>
      <c r="I603" s="29" t="s">
        <v>223</v>
      </c>
      <c r="K603" s="281" t="str">
        <f>IF(H603="","",IFERROR(VLOOKUP(H603,Instructions!D:E,2,0),"BA"))</f>
        <v>BA</v>
      </c>
      <c r="L603" s="30" t="s">
        <v>2140</v>
      </c>
      <c r="M603" s="151">
        <f>IF(SUM(V603:BC603)=0,"-",SUM(V603:BC603))</f>
        <v>13</v>
      </c>
      <c r="N603" s="65">
        <f>IF(SUMPRODUCT($V$3:$BC$3,V603:BC603)=0,"-",SUMPRODUCT($V$3:$BC$3,V603:BC603))-40</f>
        <v>520</v>
      </c>
      <c r="O603" s="30" t="s">
        <v>2141</v>
      </c>
      <c r="P603" s="280" t="s">
        <v>481</v>
      </c>
      <c r="Q603" s="211">
        <v>4200676657</v>
      </c>
      <c r="R603" s="211"/>
      <c r="S603" s="211" t="s">
        <v>249</v>
      </c>
      <c r="T603" s="211" t="s">
        <v>2142</v>
      </c>
      <c r="U603" s="388" t="s">
        <v>1915</v>
      </c>
      <c r="W603" s="8">
        <v>11</v>
      </c>
      <c r="AC603" s="7">
        <v>1</v>
      </c>
      <c r="AD603" s="8">
        <v>1</v>
      </c>
    </row>
    <row r="604" spans="1:45" hidden="1">
      <c r="A604" s="286" t="s">
        <v>244</v>
      </c>
      <c r="B604" s="286" t="s">
        <v>221</v>
      </c>
      <c r="C604" s="280" t="s">
        <v>2</v>
      </c>
      <c r="D604" s="281" t="str">
        <f>IF(F604="","",CHOOSE(MONTH(F604),"Q4","Q4","Q4","Q1","Q1","Q1","Q2","Q2","Q2","Q3","Q3","Q3"))</f>
        <v>Q3</v>
      </c>
      <c r="E604" s="282" t="str">
        <f>IF(F604="","",CHOOSE(MONTH(F604),"10-JAN","11-FEB","12-MAR","01-APR","02-MAY","03-JUN","04-JUL","05-AUG","06-SEP","07-OCT","08-NOV","09-DEC"))</f>
        <v>09-DEC</v>
      </c>
      <c r="F604" s="242">
        <v>45645</v>
      </c>
      <c r="G604" s="231" t="s">
        <v>2143</v>
      </c>
      <c r="H604" s="5" t="s">
        <v>1955</v>
      </c>
      <c r="I604" s="29" t="s">
        <v>223</v>
      </c>
      <c r="J604" s="8" t="s">
        <v>93</v>
      </c>
      <c r="K604" s="281" t="str">
        <f>IF(H604="","",IFERROR(VLOOKUP(H604,Instructions!D:E,2,0),"BA"))</f>
        <v>BA</v>
      </c>
      <c r="L604" s="30" t="s">
        <v>2082</v>
      </c>
      <c r="M604" s="151">
        <f>IF(SUM(V604:BC604)=0,"-",SUM(V604:BC604))</f>
        <v>2</v>
      </c>
      <c r="N604" s="65">
        <f>IF(SUMPRODUCT($V$3:$BC$3,V604:BC604)=0,"-",SUMPRODUCT($V$3:$BC$3,V604:BC604))</f>
        <v>70</v>
      </c>
      <c r="O604" s="30" t="s">
        <v>2144</v>
      </c>
      <c r="P604" s="280" t="s">
        <v>481</v>
      </c>
      <c r="Q604" s="211">
        <v>4200677771</v>
      </c>
      <c r="R604" s="211"/>
      <c r="S604" s="211" t="s">
        <v>249</v>
      </c>
      <c r="T604" s="211" t="s">
        <v>2131</v>
      </c>
      <c r="U604" s="253" t="s">
        <v>2120</v>
      </c>
      <c r="W604" s="8">
        <v>2</v>
      </c>
    </row>
    <row r="605" spans="1:45" hidden="1">
      <c r="A605" s="286" t="s">
        <v>244</v>
      </c>
      <c r="B605" s="286" t="s">
        <v>221</v>
      </c>
      <c r="C605" s="280" t="s">
        <v>2</v>
      </c>
      <c r="D605" s="281" t="str">
        <f>IF(F605="","",CHOOSE(MONTH(F605),"Q4","Q4","Q4","Q1","Q1","Q1","Q2","Q2","Q2","Q3","Q3","Q3"))</f>
        <v>Q3</v>
      </c>
      <c r="E605" s="282" t="str">
        <f>IF(F605="","",CHOOSE(MONTH(F605),"10-JAN","11-FEB","12-MAR","01-APR","02-MAY","03-JUN","04-JUL","05-AUG","06-SEP","07-OCT","08-NOV","09-DEC"))</f>
        <v>09-DEC</v>
      </c>
      <c r="F605" s="242">
        <v>45649</v>
      </c>
      <c r="G605" s="231" t="s">
        <v>2145</v>
      </c>
      <c r="H605" s="5" t="s">
        <v>26</v>
      </c>
      <c r="I605" s="29" t="s">
        <v>223</v>
      </c>
      <c r="J605" s="8" t="s">
        <v>130</v>
      </c>
      <c r="K605" s="281" t="str">
        <f>IF(H605="","",IFERROR(VLOOKUP(H605,Instructions!D:E,2,0),"BA"))</f>
        <v>CM</v>
      </c>
      <c r="L605" s="30" t="s">
        <v>2146</v>
      </c>
      <c r="M605" s="151">
        <f>IF(SUM(V605:BC605)=0,"-",SUM(V605:BC605))</f>
        <v>5</v>
      </c>
      <c r="N605" s="65">
        <f>IF(SUMPRODUCT($V$3:$BC$3,V605:BC605)=0,"-",SUMPRODUCT($V$3:$BC$3,V605:BC605))</f>
        <v>560</v>
      </c>
      <c r="P605" s="280" t="s">
        <v>481</v>
      </c>
      <c r="Q605" s="211" t="s">
        <v>481</v>
      </c>
      <c r="R605" s="211" t="s">
        <v>309</v>
      </c>
      <c r="S605" s="211" t="s">
        <v>481</v>
      </c>
      <c r="T605" s="211" t="s">
        <v>481</v>
      </c>
      <c r="U605" s="253" t="s">
        <v>481</v>
      </c>
      <c r="V605" s="7">
        <v>4</v>
      </c>
      <c r="AS605" s="7">
        <v>1</v>
      </c>
    </row>
    <row r="606" spans="1:45" hidden="1">
      <c r="A606" s="286" t="s">
        <v>244</v>
      </c>
      <c r="B606" s="286" t="s">
        <v>221</v>
      </c>
      <c r="C606" s="280" t="s">
        <v>2</v>
      </c>
      <c r="D606" s="281" t="str">
        <f>IF(F606="","",CHOOSE(MONTH(F606),"Q4","Q4","Q4","Q1","Q1","Q1","Q2","Q2","Q2","Q3","Q3","Q3"))</f>
        <v>Q3</v>
      </c>
      <c r="E606" s="282" t="str">
        <f>IF(F606="","",CHOOSE(MONTH(F606),"10-JAN","11-FEB","12-MAR","01-APR","02-MAY","03-JUN","04-JUL","05-AUG","06-SEP","07-OCT","08-NOV","09-DEC"))</f>
        <v>09-DEC</v>
      </c>
      <c r="F606" s="242">
        <v>45650</v>
      </c>
      <c r="G606" s="231" t="s">
        <v>2147</v>
      </c>
      <c r="H606" s="5" t="s">
        <v>26</v>
      </c>
      <c r="I606" s="29" t="s">
        <v>223</v>
      </c>
      <c r="J606" s="8" t="s">
        <v>130</v>
      </c>
      <c r="K606" s="281" t="str">
        <f>IF(H606="","",IFERROR(VLOOKUP(H606,Instructions!D:E,2,0),"BA"))</f>
        <v>CM</v>
      </c>
      <c r="L606" s="30" t="s">
        <v>2148</v>
      </c>
      <c r="M606" s="151">
        <f>IF(SUM(V606:BC606)=0,"-",SUM(V606:BC606))</f>
        <v>4</v>
      </c>
      <c r="N606" s="65">
        <f>IF(SUMPRODUCT($V$3:$BC$3,V606:BC606)=0,"-",SUMPRODUCT($V$3:$BC$3,V606:BC606))</f>
        <v>310</v>
      </c>
      <c r="P606" s="280" t="s">
        <v>481</v>
      </c>
      <c r="Q606" s="211" t="s">
        <v>481</v>
      </c>
      <c r="R606" s="211" t="s">
        <v>309</v>
      </c>
      <c r="S606" s="211" t="s">
        <v>481</v>
      </c>
      <c r="T606" s="211" t="s">
        <v>481</v>
      </c>
      <c r="U606" s="253" t="s">
        <v>481</v>
      </c>
      <c r="V606" s="7">
        <v>2</v>
      </c>
      <c r="W606" s="8">
        <v>2</v>
      </c>
    </row>
    <row r="607" spans="1:45" hidden="1">
      <c r="A607" s="286" t="s">
        <v>244</v>
      </c>
      <c r="B607" s="286" t="s">
        <v>221</v>
      </c>
      <c r="C607" s="280" t="s">
        <v>2</v>
      </c>
      <c r="D607" s="281" t="str">
        <f>IF(F607="","",CHOOSE(MONTH(F607),"Q4","Q4","Q4","Q1","Q1","Q1","Q2","Q2","Q2","Q3","Q3","Q3"))</f>
        <v>Q3</v>
      </c>
      <c r="E607" s="282" t="str">
        <f>IF(F607="","",CHOOSE(MONTH(F607),"10-JAN","11-FEB","12-MAR","01-APR","02-MAY","03-JUN","04-JUL","05-AUG","06-SEP","07-OCT","08-NOV","09-DEC"))</f>
        <v>09-DEC</v>
      </c>
      <c r="F607" s="242">
        <v>45651</v>
      </c>
      <c r="G607" s="222" t="s">
        <v>2149</v>
      </c>
      <c r="H607" s="5" t="s">
        <v>1787</v>
      </c>
      <c r="I607" s="29" t="s">
        <v>223</v>
      </c>
      <c r="K607" s="281" t="str">
        <f>IF(H607="","",IFERROR(VLOOKUP(H607,Instructions!D:E,2,0),"BA"))</f>
        <v>BA</v>
      </c>
      <c r="L607" s="30" t="s">
        <v>2150</v>
      </c>
      <c r="M607" s="151">
        <f>IF(SUM(V607:BC607)=0,"-",SUM(V607:BC607))</f>
        <v>3</v>
      </c>
      <c r="N607" s="65">
        <v>150</v>
      </c>
      <c r="O607" s="30" t="s">
        <v>2151</v>
      </c>
      <c r="P607" s="280" t="s">
        <v>481</v>
      </c>
      <c r="Q607" s="211">
        <v>4200676660</v>
      </c>
      <c r="R607" s="211"/>
      <c r="S607" s="211" t="s">
        <v>249</v>
      </c>
      <c r="T607" s="211" t="s">
        <v>2152</v>
      </c>
      <c r="U607" s="388" t="s">
        <v>1915</v>
      </c>
      <c r="V607" s="7">
        <v>2</v>
      </c>
      <c r="AF607" s="8">
        <v>1</v>
      </c>
    </row>
    <row r="608" spans="1:45" hidden="1">
      <c r="A608" s="286" t="s">
        <v>244</v>
      </c>
      <c r="B608" s="286" t="s">
        <v>221</v>
      </c>
      <c r="C608" s="280" t="s">
        <v>2</v>
      </c>
      <c r="D608" s="281" t="str">
        <f>IF(F608="","",CHOOSE(MONTH(F608),"Q4","Q4","Q4","Q1","Q1","Q1","Q2","Q2","Q2","Q3","Q3","Q3"))</f>
        <v>Q3</v>
      </c>
      <c r="E608" s="282" t="str">
        <f>IF(F608="","",CHOOSE(MONTH(F608),"10-JAN","11-FEB","12-MAR","01-APR","02-MAY","03-JUN","04-JUL","05-AUG","06-SEP","07-OCT","08-NOV","09-DEC"))</f>
        <v>09-DEC</v>
      </c>
      <c r="F608" s="242">
        <v>45651</v>
      </c>
      <c r="G608" s="222" t="s">
        <v>2153</v>
      </c>
      <c r="H608" s="5" t="s">
        <v>1787</v>
      </c>
      <c r="I608" s="29" t="s">
        <v>223</v>
      </c>
      <c r="K608" s="281" t="str">
        <f>IF(H608="","",IFERROR(VLOOKUP(H608,Instructions!D:E,2,0),"BA"))</f>
        <v>BA</v>
      </c>
      <c r="L608" s="30" t="s">
        <v>2150</v>
      </c>
      <c r="M608" s="151">
        <f>IF(SUM(V608:BC608)=0,"-",SUM(V608:BC608))</f>
        <v>1</v>
      </c>
      <c r="N608" s="65">
        <v>600</v>
      </c>
      <c r="O608" s="30" t="s">
        <v>2154</v>
      </c>
      <c r="P608" s="280" t="s">
        <v>481</v>
      </c>
      <c r="Q608" s="211">
        <v>4200676658</v>
      </c>
      <c r="R608" s="211"/>
      <c r="S608" s="211" t="s">
        <v>249</v>
      </c>
      <c r="T608" s="211" t="s">
        <v>2155</v>
      </c>
      <c r="U608" s="388" t="s">
        <v>1915</v>
      </c>
      <c r="AN608" s="8">
        <v>1</v>
      </c>
    </row>
    <row r="609" spans="1:32" hidden="1">
      <c r="A609" s="286" t="s">
        <v>244</v>
      </c>
      <c r="B609" s="286" t="s">
        <v>221</v>
      </c>
      <c r="C609" s="280" t="s">
        <v>2</v>
      </c>
      <c r="D609" s="281" t="str">
        <f>IF(F609="","",CHOOSE(MONTH(F609),"Q4","Q4","Q4","Q1","Q1","Q1","Q2","Q2","Q2","Q3","Q3","Q3"))</f>
        <v>Q3</v>
      </c>
      <c r="E609" s="282" t="str">
        <f>IF(F609="","",CHOOSE(MONTH(F609),"10-JAN","11-FEB","12-MAR","01-APR","02-MAY","03-JUN","04-JUL","05-AUG","06-SEP","07-OCT","08-NOV","09-DEC"))</f>
        <v>09-DEC</v>
      </c>
      <c r="F609" s="242">
        <v>45652</v>
      </c>
      <c r="G609" s="222" t="s">
        <v>2156</v>
      </c>
      <c r="H609" s="410" t="s">
        <v>1955</v>
      </c>
      <c r="I609" s="29" t="s">
        <v>223</v>
      </c>
      <c r="K609" s="281" t="str">
        <f>IF(H609="","",IFERROR(VLOOKUP(H609,Instructions!D:E,2,0),"BA"))</f>
        <v>BA</v>
      </c>
      <c r="L609" s="30" t="s">
        <v>2117</v>
      </c>
      <c r="M609" s="151">
        <f>IF(SUM(V609:BC609)=0,"-",SUM(V609:BC609))</f>
        <v>4</v>
      </c>
      <c r="N609" s="65">
        <f>IF(SUMPRODUCT($V$3:$BC$3,V609:BC609)=0,"-",SUMPRODUCT($V$3:$BC$3,V609:BC609))</f>
        <v>145</v>
      </c>
      <c r="O609" s="30" t="s">
        <v>2157</v>
      </c>
      <c r="P609" s="280" t="s">
        <v>481</v>
      </c>
      <c r="Q609" s="211">
        <v>4200677762</v>
      </c>
      <c r="R609" s="211"/>
      <c r="S609" s="211" t="s">
        <v>249</v>
      </c>
      <c r="T609" s="211" t="s">
        <v>2119</v>
      </c>
      <c r="U609" s="253" t="s">
        <v>2120</v>
      </c>
      <c r="W609" s="8">
        <v>3</v>
      </c>
      <c r="AD609" s="8">
        <v>1</v>
      </c>
    </row>
    <row r="610" spans="1:32" hidden="1">
      <c r="A610" s="286" t="s">
        <v>244</v>
      </c>
      <c r="B610" s="286" t="s">
        <v>221</v>
      </c>
      <c r="C610" s="280" t="s">
        <v>2</v>
      </c>
      <c r="D610" s="281" t="str">
        <f>IF(F610="","",CHOOSE(MONTH(F610),"Q4","Q4","Q4","Q1","Q1","Q1","Q2","Q2","Q2","Q3","Q3","Q3"))</f>
        <v>Q3</v>
      </c>
      <c r="E610" s="282" t="str">
        <f>IF(F610="","",CHOOSE(MONTH(F610),"10-JAN","11-FEB","12-MAR","01-APR","02-MAY","03-JUN","04-JUL","05-AUG","06-SEP","07-OCT","08-NOV","09-DEC"))</f>
        <v>09-DEC</v>
      </c>
      <c r="F610" s="242">
        <v>45652</v>
      </c>
      <c r="G610" s="231" t="s">
        <v>2158</v>
      </c>
      <c r="H610" s="5" t="s">
        <v>1699</v>
      </c>
      <c r="I610" s="29" t="s">
        <v>223</v>
      </c>
      <c r="J610" s="8" t="s">
        <v>164</v>
      </c>
      <c r="K610" s="281" t="str">
        <f>IF(H610="","",IFERROR(VLOOKUP(H610,Instructions!D:E,2,0),"BA"))</f>
        <v>BA</v>
      </c>
      <c r="L610" s="30" t="s">
        <v>2159</v>
      </c>
      <c r="M610" s="151">
        <f>IF(SUM(V610:BC610)=0,"-",SUM(V610:BC610))</f>
        <v>1</v>
      </c>
      <c r="N610" s="352">
        <f>IF(SUMPRODUCT($V$3:$BC$3,V610:BC610)=0,"-",SUMPRODUCT($V$3:$BC$3,V610:BC610))</f>
        <v>250</v>
      </c>
      <c r="O610" s="30" t="s">
        <v>2160</v>
      </c>
      <c r="P610" s="280" t="s">
        <v>481</v>
      </c>
      <c r="Q610" s="411">
        <v>4200679422</v>
      </c>
      <c r="R610" s="211"/>
      <c r="S610" s="211" t="s">
        <v>249</v>
      </c>
      <c r="T610" s="211" t="s">
        <v>2016</v>
      </c>
      <c r="U610" s="253" t="s">
        <v>1306</v>
      </c>
      <c r="AF610" s="8">
        <v>1</v>
      </c>
    </row>
    <row r="611" spans="1:32" hidden="1">
      <c r="A611" s="286" t="s">
        <v>244</v>
      </c>
      <c r="B611" s="286" t="s">
        <v>221</v>
      </c>
      <c r="C611" s="280" t="s">
        <v>2</v>
      </c>
      <c r="D611" s="281" t="str">
        <f>IF(F611="","",CHOOSE(MONTH(F611),"Q4","Q4","Q4","Q1","Q1","Q1","Q2","Q2","Q2","Q3","Q3","Q3"))</f>
        <v>Q4</v>
      </c>
      <c r="E611" s="282" t="str">
        <f>IF(F611="","",CHOOSE(MONTH(F611),"10-JAN","11-FEB","12-MAR","01-APR","02-MAY","03-JUN","04-JUL","05-AUG","06-SEP","07-OCT","08-NOV","09-DEC"))</f>
        <v>10-JAN</v>
      </c>
      <c r="F611" s="242">
        <v>45660</v>
      </c>
      <c r="G611" s="231" t="s">
        <v>2161</v>
      </c>
      <c r="H611" s="5" t="s">
        <v>1699</v>
      </c>
      <c r="I611" s="29" t="s">
        <v>223</v>
      </c>
      <c r="J611" s="8" t="s">
        <v>1106</v>
      </c>
      <c r="K611" s="281" t="str">
        <f>IF(H611="","",IFERROR(VLOOKUP(H611,Instructions!D:E,2,0),"BA"))</f>
        <v>BA</v>
      </c>
      <c r="L611" s="78" t="s">
        <v>2162</v>
      </c>
      <c r="M611" s="151">
        <f>IF(SUM(V611:BC611)=0,"-",SUM(V611:BC611))</f>
        <v>4</v>
      </c>
      <c r="N611" s="352">
        <f>IF(SUMPRODUCT($V$3:$BC$3,V611:BC611)=0,"-",SUMPRODUCT($V$3:$BC$3,V611:BC611))</f>
        <v>350</v>
      </c>
      <c r="O611" s="30" t="s">
        <v>2163</v>
      </c>
      <c r="P611" s="280" t="s">
        <v>481</v>
      </c>
      <c r="Q611" s="411">
        <v>4200679422</v>
      </c>
      <c r="R611" s="211"/>
      <c r="S611" s="211" t="s">
        <v>249</v>
      </c>
      <c r="T611" s="211" t="s">
        <v>2016</v>
      </c>
      <c r="U611" s="253" t="s">
        <v>1306</v>
      </c>
      <c r="AC611" s="7">
        <v>2</v>
      </c>
      <c r="AD611" s="8">
        <v>2</v>
      </c>
    </row>
    <row r="612" spans="1:32" hidden="1">
      <c r="A612" s="286" t="s">
        <v>244</v>
      </c>
      <c r="B612" s="286" t="s">
        <v>221</v>
      </c>
      <c r="C612" s="280" t="s">
        <v>2</v>
      </c>
      <c r="D612" s="281" t="str">
        <f>IF(F612="","",CHOOSE(MONTH(F612),"Q4","Q4","Q4","Q1","Q1","Q1","Q2","Q2","Q2","Q3","Q3","Q3"))</f>
        <v>Q4</v>
      </c>
      <c r="E612" s="282" t="str">
        <f>IF(F612="","",CHOOSE(MONTH(F612),"10-JAN","11-FEB","12-MAR","01-APR","02-MAY","03-JUN","04-JUL","05-AUG","06-SEP","07-OCT","08-NOV","09-DEC"))</f>
        <v>10-JAN</v>
      </c>
      <c r="F612" s="242">
        <v>45663</v>
      </c>
      <c r="G612" s="231" t="s">
        <v>2164</v>
      </c>
      <c r="H612" s="5" t="s">
        <v>2018</v>
      </c>
      <c r="I612" s="29" t="s">
        <v>223</v>
      </c>
      <c r="K612" s="281" t="str">
        <f>IF(H612="","",IFERROR(VLOOKUP(H612,Instructions!D:E,2,0),"BA"))</f>
        <v>BA</v>
      </c>
      <c r="L612" s="30" t="s">
        <v>2165</v>
      </c>
      <c r="M612" s="151">
        <f>IF(SUM(V612:BC612)=0,"-",SUM(V612:BC612))</f>
        <v>2</v>
      </c>
      <c r="N612" s="65">
        <f>IF(SUMPRODUCT($V$3:$BC$3,V612:BC612)=0,"-",SUMPRODUCT($V$3:$BC$3,V612:BC612))</f>
        <v>175</v>
      </c>
      <c r="O612" s="30" t="s">
        <v>2166</v>
      </c>
      <c r="P612" s="280" t="s">
        <v>481</v>
      </c>
      <c r="Q612" s="211">
        <v>4200678470</v>
      </c>
      <c r="R612" s="211"/>
      <c r="S612" s="211" t="s">
        <v>249</v>
      </c>
      <c r="T612" s="211" t="s">
        <v>2167</v>
      </c>
      <c r="U612" s="253" t="s">
        <v>1755</v>
      </c>
      <c r="AC612" s="7">
        <v>1</v>
      </c>
      <c r="AD612" s="8">
        <v>1</v>
      </c>
    </row>
    <row r="613" spans="1:32" hidden="1">
      <c r="A613" s="286" t="s">
        <v>244</v>
      </c>
      <c r="B613" s="286" t="s">
        <v>221</v>
      </c>
      <c r="C613" s="280" t="s">
        <v>2</v>
      </c>
      <c r="D613" s="281" t="str">
        <f>IF(F613="","",CHOOSE(MONTH(F613),"Q4","Q4","Q4","Q1","Q1","Q1","Q2","Q2","Q2","Q3","Q3","Q3"))</f>
        <v>Q4</v>
      </c>
      <c r="E613" s="282" t="str">
        <f>IF(F613="","",CHOOSE(MONTH(F613),"10-JAN","11-FEB","12-MAR","01-APR","02-MAY","03-JUN","04-JUL","05-AUG","06-SEP","07-OCT","08-NOV","09-DEC"))</f>
        <v>10-JAN</v>
      </c>
      <c r="F613" s="242">
        <v>45664</v>
      </c>
      <c r="G613" s="231" t="s">
        <v>2168</v>
      </c>
      <c r="H613" s="5" t="s">
        <v>26</v>
      </c>
      <c r="I613" s="29" t="s">
        <v>223</v>
      </c>
      <c r="J613" s="8" t="s">
        <v>129</v>
      </c>
      <c r="K613" s="281" t="str">
        <f>IF(H613="","",IFERROR(VLOOKUP(H613,Instructions!D:E,2,0),"BA"))</f>
        <v>CM</v>
      </c>
      <c r="L613" s="78" t="s">
        <v>2169</v>
      </c>
      <c r="M613" s="151">
        <f>IF(SUM(V613:BC613)=0,"-",SUM(V613:BC613))</f>
        <v>2</v>
      </c>
      <c r="N613" s="65">
        <f>IF(SUMPRODUCT($V$3:$BC$3,V613:BC613)=0,"-",SUMPRODUCT($V$3:$BC$3,V613:BC613))</f>
        <v>155</v>
      </c>
      <c r="P613" s="280" t="s">
        <v>481</v>
      </c>
      <c r="Q613" s="414">
        <v>4200673569</v>
      </c>
      <c r="R613" s="211" t="s">
        <v>2170</v>
      </c>
      <c r="S613" s="211" t="s">
        <v>249</v>
      </c>
      <c r="T613" s="211" t="s">
        <v>2171</v>
      </c>
      <c r="U613" s="253" t="s">
        <v>2120</v>
      </c>
      <c r="V613" s="7">
        <v>1</v>
      </c>
      <c r="W613" s="8">
        <v>1</v>
      </c>
    </row>
    <row r="614" spans="1:32" hidden="1">
      <c r="A614" s="286" t="s">
        <v>244</v>
      </c>
      <c r="B614" s="286" t="s">
        <v>221</v>
      </c>
      <c r="C614" s="280" t="s">
        <v>2</v>
      </c>
      <c r="D614" s="281" t="str">
        <f>IF(F614="","",CHOOSE(MONTH(F614),"Q4","Q4","Q4","Q1","Q1","Q1","Q2","Q2","Q2","Q3","Q3","Q3"))</f>
        <v>Q4</v>
      </c>
      <c r="E614" s="282" t="str">
        <f>IF(F614="","",CHOOSE(MONTH(F614),"10-JAN","11-FEB","12-MAR","01-APR","02-MAY","03-JUN","04-JUL","05-AUG","06-SEP","07-OCT","08-NOV","09-DEC"))</f>
        <v>10-JAN</v>
      </c>
      <c r="F614" s="242">
        <v>45666</v>
      </c>
      <c r="G614" s="231" t="s">
        <v>2172</v>
      </c>
      <c r="H614" s="5" t="s">
        <v>1787</v>
      </c>
      <c r="I614" s="29" t="s">
        <v>223</v>
      </c>
      <c r="J614" s="8" t="s">
        <v>69</v>
      </c>
      <c r="K614" s="281" t="str">
        <f>IF(H614="","",IFERROR(VLOOKUP(H614,Instructions!D:E,2,0),"BA"))</f>
        <v>BA</v>
      </c>
      <c r="L614" s="30" t="s">
        <v>2173</v>
      </c>
      <c r="M614" s="151">
        <f>IF(SUM(V614:BC614)=0,"-",SUM(V614:BC614))</f>
        <v>2</v>
      </c>
      <c r="N614" s="65">
        <f>IF(SUMPRODUCT($V$3:$BC$3,V614:BC614)=0,"-",SUMPRODUCT($V$3:$BC$3,V614:BC614))</f>
        <v>70</v>
      </c>
      <c r="O614" s="30" t="s">
        <v>2174</v>
      </c>
      <c r="P614" s="280" t="s">
        <v>481</v>
      </c>
      <c r="Q614" s="211">
        <v>4270029328</v>
      </c>
      <c r="R614" s="211"/>
      <c r="S614" s="211" t="s">
        <v>249</v>
      </c>
      <c r="T614" s="211" t="s">
        <v>2175</v>
      </c>
      <c r="U614" s="253" t="s">
        <v>2176</v>
      </c>
      <c r="W614" s="8">
        <v>2</v>
      </c>
    </row>
    <row r="615" spans="1:32" hidden="1">
      <c r="A615" s="286" t="s">
        <v>244</v>
      </c>
      <c r="B615" s="286" t="s">
        <v>221</v>
      </c>
      <c r="C615" s="280" t="s">
        <v>2</v>
      </c>
      <c r="D615" s="281" t="str">
        <f>IF(F615="","",CHOOSE(MONTH(F615),"Q4","Q4","Q4","Q1","Q1","Q1","Q2","Q2","Q2","Q3","Q3","Q3"))</f>
        <v>Q4</v>
      </c>
      <c r="E615" s="282" t="str">
        <f>IF(F615="","",CHOOSE(MONTH(F615),"10-JAN","11-FEB","12-MAR","01-APR","02-MAY","03-JUN","04-JUL","05-AUG","06-SEP","07-OCT","08-NOV","09-DEC"))</f>
        <v>10-JAN</v>
      </c>
      <c r="F615" s="242">
        <v>45678</v>
      </c>
      <c r="G615" s="231" t="s">
        <v>2177</v>
      </c>
      <c r="H615" s="5" t="s">
        <v>1699</v>
      </c>
      <c r="I615" s="29" t="s">
        <v>223</v>
      </c>
      <c r="J615" s="8" t="s">
        <v>95</v>
      </c>
      <c r="K615" s="281" t="str">
        <f>IF(H615="","",IFERROR(VLOOKUP(H615,Instructions!D:E,2,0),"BA"))</f>
        <v>BA</v>
      </c>
      <c r="L615" s="30" t="s">
        <v>2178</v>
      </c>
      <c r="M615" s="151">
        <f>IF(SUM(V615:BC615)=0,"-",SUM(V615:BC615))</f>
        <v>1</v>
      </c>
      <c r="N615" s="352">
        <f>IF(SUMPRODUCT($V$3:$BC$3,V615:BC615)=0,"-",SUMPRODUCT($V$3:$BC$3,V615:BC615))</f>
        <v>120</v>
      </c>
      <c r="O615" s="30" t="s">
        <v>2179</v>
      </c>
      <c r="P615" s="280" t="s">
        <v>481</v>
      </c>
      <c r="Q615" s="411">
        <v>4200679422</v>
      </c>
      <c r="R615" s="211"/>
      <c r="S615" s="211" t="s">
        <v>249</v>
      </c>
      <c r="T615" s="211" t="s">
        <v>2016</v>
      </c>
      <c r="U615" s="253" t="s">
        <v>1306</v>
      </c>
      <c r="V615" s="7">
        <v>1</v>
      </c>
    </row>
    <row r="616" spans="1:32" hidden="1">
      <c r="A616" s="286" t="s">
        <v>244</v>
      </c>
      <c r="B616" s="286" t="s">
        <v>221</v>
      </c>
      <c r="C616" s="280" t="s">
        <v>2</v>
      </c>
      <c r="D616" s="281" t="str">
        <f>IF(F616="","",CHOOSE(MONTH(F616),"Q4","Q4","Q4","Q1","Q1","Q1","Q2","Q2","Q2","Q3","Q3","Q3"))</f>
        <v>Q4</v>
      </c>
      <c r="E616" s="282" t="str">
        <f>IF(F616="","",CHOOSE(MONTH(F616),"10-JAN","11-FEB","12-MAR","01-APR","02-MAY","03-JUN","04-JUL","05-AUG","06-SEP","07-OCT","08-NOV","09-DEC"))</f>
        <v>10-JAN</v>
      </c>
      <c r="F616" s="242">
        <v>45679</v>
      </c>
      <c r="G616" s="231" t="s">
        <v>2180</v>
      </c>
      <c r="H616" t="s">
        <v>38</v>
      </c>
      <c r="I616" s="29" t="s">
        <v>223</v>
      </c>
      <c r="K616" s="281" t="str">
        <f>IF(H616="","",IFERROR(VLOOKUP(H616,Instructions!D:E,2,0),"BA"))</f>
        <v>BA</v>
      </c>
      <c r="L616" s="30" t="s">
        <v>2181</v>
      </c>
      <c r="M616" s="151">
        <f>IF(SUM(V616:BC616)=0,"-",SUM(V616:BC616))</f>
        <v>1</v>
      </c>
      <c r="N616" s="352">
        <f>IF(SUMPRODUCT($V$3:$BC$3,V616:BC616)=0,"-",SUMPRODUCT($V$3:$BC$3,V616:BC616))</f>
        <v>135</v>
      </c>
      <c r="O616" s="30" t="s">
        <v>2182</v>
      </c>
      <c r="P616" s="280" t="s">
        <v>481</v>
      </c>
      <c r="Q616" s="313">
        <v>4200678404</v>
      </c>
      <c r="R616" s="211"/>
      <c r="S616" s="211" t="s">
        <v>249</v>
      </c>
      <c r="T616" s="211" t="s">
        <v>2183</v>
      </c>
      <c r="U616" s="325" t="s">
        <v>2184</v>
      </c>
      <c r="AC616" s="7">
        <v>1</v>
      </c>
    </row>
    <row r="617" spans="1:32" hidden="1">
      <c r="A617" s="286" t="s">
        <v>244</v>
      </c>
      <c r="B617" s="286" t="s">
        <v>221</v>
      </c>
      <c r="C617" s="280" t="s">
        <v>2</v>
      </c>
      <c r="D617" s="281" t="str">
        <f>IF(F617="","",CHOOSE(MONTH(F617),"Q4","Q4","Q4","Q1","Q1","Q1","Q2","Q2","Q2","Q3","Q3","Q3"))</f>
        <v>Q4</v>
      </c>
      <c r="E617" s="282" t="str">
        <f>IF(F617="","",CHOOSE(MONTH(F617),"10-JAN","11-FEB","12-MAR","01-APR","02-MAY","03-JUN","04-JUL","05-AUG","06-SEP","07-OCT","08-NOV","09-DEC"))</f>
        <v>10-JAN</v>
      </c>
      <c r="F617" s="242">
        <v>45680</v>
      </c>
      <c r="G617" s="231" t="s">
        <v>2185</v>
      </c>
      <c r="H617" s="5" t="s">
        <v>1787</v>
      </c>
      <c r="I617" s="29" t="s">
        <v>223</v>
      </c>
      <c r="K617" s="281" t="str">
        <f>IF(H617="","",IFERROR(VLOOKUP(H617,Instructions!D:E,2,0),"BA"))</f>
        <v>BA</v>
      </c>
      <c r="L617" s="30" t="s">
        <v>2186</v>
      </c>
      <c r="M617" s="151">
        <f>IF(SUM(V617:BC617)=0,"-",SUM(V617:BC617))</f>
        <v>14</v>
      </c>
      <c r="N617" s="352">
        <f>IF(SUMPRODUCT($V$3:$BC$3,V617:BC617)=0,"-",SUMPRODUCT($V$3:$BC$3,V617:BC617))</f>
        <v>680</v>
      </c>
      <c r="O617" s="30" t="s">
        <v>2187</v>
      </c>
      <c r="P617" s="280" t="s">
        <v>481</v>
      </c>
      <c r="Q617" s="211">
        <v>4200678246</v>
      </c>
      <c r="R617" s="211"/>
      <c r="S617" s="211" t="s">
        <v>249</v>
      </c>
      <c r="T617" s="211" t="s">
        <v>2188</v>
      </c>
      <c r="U617" s="253" t="s">
        <v>2189</v>
      </c>
      <c r="V617" s="7">
        <v>1</v>
      </c>
      <c r="W617" s="8">
        <v>11</v>
      </c>
      <c r="AC617" s="7">
        <v>1</v>
      </c>
      <c r="AD617" s="8">
        <v>1</v>
      </c>
    </row>
    <row r="618" spans="1:32" hidden="1">
      <c r="A618" s="286" t="s">
        <v>244</v>
      </c>
      <c r="B618" s="286" t="s">
        <v>221</v>
      </c>
      <c r="C618" s="280" t="s">
        <v>2</v>
      </c>
      <c r="D618" s="281" t="str">
        <f>IF(F618="","",CHOOSE(MONTH(F618),"Q4","Q4","Q4","Q1","Q1","Q1","Q2","Q2","Q2","Q3","Q3","Q3"))</f>
        <v>Q4</v>
      </c>
      <c r="E618" s="282" t="str">
        <f>IF(F618="","",CHOOSE(MONTH(F618),"10-JAN","11-FEB","12-MAR","01-APR","02-MAY","03-JUN","04-JUL","05-AUG","06-SEP","07-OCT","08-NOV","09-DEC"))</f>
        <v>10-JAN</v>
      </c>
      <c r="F618" s="242">
        <v>45680</v>
      </c>
      <c r="G618" s="231" t="s">
        <v>2190</v>
      </c>
      <c r="H618" t="s">
        <v>38</v>
      </c>
      <c r="I618" s="29" t="s">
        <v>223</v>
      </c>
      <c r="K618" s="281" t="str">
        <f>IF(H618="","",IFERROR(VLOOKUP(H618,Instructions!D:E,2,0),"BA"))</f>
        <v>BA</v>
      </c>
      <c r="L618" s="30" t="s">
        <v>2191</v>
      </c>
      <c r="M618" s="151">
        <f>IF(SUM(V618:BC618)=0,"-",SUM(V618:BC618))</f>
        <v>2</v>
      </c>
      <c r="N618" s="352">
        <f>IF(SUMPRODUCT($V$3:$BC$3,V618:BC618)=0,"-",SUMPRODUCT($V$3:$BC$3,V618:BC618))</f>
        <v>270</v>
      </c>
      <c r="O618" s="30" t="s">
        <v>2182</v>
      </c>
      <c r="P618" s="280" t="s">
        <v>481</v>
      </c>
      <c r="Q618" s="211">
        <v>4200678404</v>
      </c>
      <c r="R618" s="211"/>
      <c r="S618" s="211" t="s">
        <v>249</v>
      </c>
      <c r="T618" s="211" t="s">
        <v>2183</v>
      </c>
      <c r="U618" s="325" t="s">
        <v>2184</v>
      </c>
      <c r="AC618" s="7">
        <v>2</v>
      </c>
    </row>
    <row r="619" spans="1:32" hidden="1">
      <c r="A619" s="286" t="s">
        <v>244</v>
      </c>
      <c r="B619" s="286" t="s">
        <v>221</v>
      </c>
      <c r="C619" s="280" t="s">
        <v>2</v>
      </c>
      <c r="D619" s="281" t="str">
        <f>IF(F619="","",CHOOSE(MONTH(F619),"Q4","Q4","Q4","Q1","Q1","Q1","Q2","Q2","Q2","Q3","Q3","Q3"))</f>
        <v>Q4</v>
      </c>
      <c r="E619" s="282" t="str">
        <f>IF(F619="","",CHOOSE(MONTH(F619),"10-JAN","11-FEB","12-MAR","01-APR","02-MAY","03-JUN","04-JUL","05-AUG","06-SEP","07-OCT","08-NOV","09-DEC"))</f>
        <v>10-JAN</v>
      </c>
      <c r="F619" s="242">
        <v>45680</v>
      </c>
      <c r="G619" s="231" t="s">
        <v>2192</v>
      </c>
      <c r="H619" s="5" t="s">
        <v>1955</v>
      </c>
      <c r="I619" s="29" t="s">
        <v>223</v>
      </c>
      <c r="J619" s="8" t="s">
        <v>93</v>
      </c>
      <c r="K619" s="281" t="str">
        <f>IF(H619="","",IFERROR(VLOOKUP(H619,Instructions!D:E,2,0),"BA"))</f>
        <v>BA</v>
      </c>
      <c r="L619" s="30" t="s">
        <v>2193</v>
      </c>
      <c r="M619" s="151">
        <f>IF(SUM(V619:BC619)=0,"-",SUM(V619:BC619))</f>
        <v>1</v>
      </c>
      <c r="N619" s="352">
        <f>IF(SUMPRODUCT($V$3:$BC$3,V619:BC619)=0,"-",SUMPRODUCT($V$3:$BC$3,V619:BC619))</f>
        <v>120</v>
      </c>
      <c r="O619" s="30" t="s">
        <v>2194</v>
      </c>
      <c r="P619" s="280" t="s">
        <v>481</v>
      </c>
      <c r="Q619" s="412">
        <v>4200679453</v>
      </c>
      <c r="R619" s="211"/>
      <c r="S619" s="211" t="s">
        <v>249</v>
      </c>
      <c r="T619" s="211" t="s">
        <v>2195</v>
      </c>
      <c r="U619" s="253" t="s">
        <v>1306</v>
      </c>
      <c r="V619" s="7">
        <v>1</v>
      </c>
    </row>
    <row r="620" spans="1:32" hidden="1">
      <c r="A620" s="286" t="s">
        <v>244</v>
      </c>
      <c r="B620" s="286" t="s">
        <v>221</v>
      </c>
      <c r="C620" s="280" t="s">
        <v>2</v>
      </c>
      <c r="D620" s="281" t="str">
        <f>IF(F620="","",CHOOSE(MONTH(F620),"Q4","Q4","Q4","Q1","Q1","Q1","Q2","Q2","Q2","Q3","Q3","Q3"))</f>
        <v>Q4</v>
      </c>
      <c r="E620" s="282" t="str">
        <f>IF(F620="","",CHOOSE(MONTH(F620),"10-JAN","11-FEB","12-MAR","01-APR","02-MAY","03-JUN","04-JUL","05-AUG","06-SEP","07-OCT","08-NOV","09-DEC"))</f>
        <v>10-JAN</v>
      </c>
      <c r="F620" s="453">
        <v>45681</v>
      </c>
      <c r="G620" s="463" t="s">
        <v>2196</v>
      </c>
      <c r="H620" s="410" t="s">
        <v>36</v>
      </c>
      <c r="I620" s="29" t="s">
        <v>223</v>
      </c>
      <c r="J620" s="105"/>
      <c r="K620" s="281" t="str">
        <f>IF(H620="","",IFERROR(VLOOKUP(H620,Instructions!D:E,2,0),"BA"))</f>
        <v>BA</v>
      </c>
      <c r="L620" s="457" t="s">
        <v>2197</v>
      </c>
      <c r="M620" s="151">
        <f>IF(SUM(V620:BC620)=0,"-",SUM(V620:BC620))</f>
        <v>13</v>
      </c>
      <c r="N620" s="458">
        <f>IF(SUMPRODUCT($V$3:$BC$3,V620:BC620)=0,"-",SUMPRODUCT($V$3:$BC$3,V620:BC620))</f>
        <v>645</v>
      </c>
      <c r="O620" s="457" t="s">
        <v>2198</v>
      </c>
      <c r="P620" s="280" t="s">
        <v>481</v>
      </c>
      <c r="Q620" s="456">
        <v>4200678238</v>
      </c>
      <c r="R620" s="421"/>
      <c r="S620" s="421" t="s">
        <v>249</v>
      </c>
      <c r="T620" s="421" t="s">
        <v>2199</v>
      </c>
      <c r="U620" s="422" t="s">
        <v>2200</v>
      </c>
      <c r="V620" s="7">
        <v>1</v>
      </c>
      <c r="W620" s="8">
        <v>10</v>
      </c>
      <c r="AC620" s="7">
        <v>1</v>
      </c>
      <c r="AD620" s="8">
        <v>1</v>
      </c>
    </row>
    <row r="621" spans="1:32" hidden="1">
      <c r="A621" s="286" t="s">
        <v>244</v>
      </c>
      <c r="B621" s="286" t="s">
        <v>221</v>
      </c>
      <c r="C621" s="280" t="s">
        <v>2</v>
      </c>
      <c r="D621" s="281" t="str">
        <f>IF(F621="","",CHOOSE(MONTH(F621),"Q4","Q4","Q4","Q1","Q1","Q1","Q2","Q2","Q2","Q3","Q3","Q3"))</f>
        <v>Q4</v>
      </c>
      <c r="E621" s="282" t="str">
        <f>IF(F621="","",CHOOSE(MONTH(F621),"10-JAN","11-FEB","12-MAR","01-APR","02-MAY","03-JUN","04-JUL","05-AUG","06-SEP","07-OCT","08-NOV","09-DEC"))</f>
        <v>10-JAN</v>
      </c>
      <c r="F621" s="242">
        <v>45681</v>
      </c>
      <c r="G621" s="231" t="s">
        <v>2201</v>
      </c>
      <c r="H621" s="5" t="s">
        <v>1699</v>
      </c>
      <c r="I621" s="29" t="s">
        <v>223</v>
      </c>
      <c r="J621" s="8" t="s">
        <v>95</v>
      </c>
      <c r="K621" s="281" t="str">
        <f>IF(H621="","",IFERROR(VLOOKUP(H621,Instructions!D:E,2,0),"BA"))</f>
        <v>BA</v>
      </c>
      <c r="L621" s="30" t="s">
        <v>2202</v>
      </c>
      <c r="M621" s="151">
        <f>IF(SUM(V621:BC621)=0,"-",SUM(V621:BC621))</f>
        <v>1</v>
      </c>
      <c r="N621" s="352">
        <f>IF(SUMPRODUCT($V$3:$BC$3,V621:BC621)=0,"-",SUMPRODUCT($V$3:$BC$3,V621:BC621))</f>
        <v>135</v>
      </c>
      <c r="P621" s="280" t="s">
        <v>481</v>
      </c>
      <c r="Q621" s="411">
        <v>4200679422</v>
      </c>
      <c r="R621" s="211"/>
      <c r="S621" s="211" t="s">
        <v>249</v>
      </c>
      <c r="T621" s="211" t="s">
        <v>2016</v>
      </c>
      <c r="U621" s="253" t="s">
        <v>1306</v>
      </c>
      <c r="AC621" s="7">
        <v>1</v>
      </c>
    </row>
    <row r="622" spans="1:32" hidden="1">
      <c r="A622" s="286" t="s">
        <v>244</v>
      </c>
      <c r="B622" s="286" t="s">
        <v>221</v>
      </c>
      <c r="C622" s="280" t="s">
        <v>2</v>
      </c>
      <c r="D622" s="281" t="str">
        <f>IF(F622="","",CHOOSE(MONTH(F622),"Q4","Q4","Q4","Q1","Q1","Q1","Q2","Q2","Q2","Q3","Q3","Q3"))</f>
        <v>Q4</v>
      </c>
      <c r="E622" s="282" t="str">
        <f>IF(F622="","",CHOOSE(MONTH(F622),"10-JAN","11-FEB","12-MAR","01-APR","02-MAY","03-JUN","04-JUL","05-AUG","06-SEP","07-OCT","08-NOV","09-DEC"))</f>
        <v>10-JAN</v>
      </c>
      <c r="F622" s="242">
        <v>45681</v>
      </c>
      <c r="G622" s="231" t="s">
        <v>2203</v>
      </c>
      <c r="H622" s="5" t="s">
        <v>1699</v>
      </c>
      <c r="I622" s="29" t="s">
        <v>223</v>
      </c>
      <c r="J622" s="8" t="s">
        <v>95</v>
      </c>
      <c r="K622" s="281" t="str">
        <f>IF(H622="","",IFERROR(VLOOKUP(H622,Instructions!D:E,2,0),"BA"))</f>
        <v>BA</v>
      </c>
      <c r="L622" s="30" t="s">
        <v>2204</v>
      </c>
      <c r="M622" s="151">
        <f>IF(SUM(V622:BC622)=0,"-",SUM(V622:BC622))</f>
        <v>1</v>
      </c>
      <c r="N622" s="352">
        <f>IF(SUMPRODUCT($V$3:$BC$3,V622:BC622)=0,"-",SUMPRODUCT($V$3:$BC$3,V622:BC622))</f>
        <v>135</v>
      </c>
      <c r="P622" s="280" t="s">
        <v>481</v>
      </c>
      <c r="Q622" s="411">
        <v>4200679422</v>
      </c>
      <c r="R622" s="211"/>
      <c r="S622" s="211" t="s">
        <v>249</v>
      </c>
      <c r="T622" s="211" t="s">
        <v>2016</v>
      </c>
      <c r="U622" s="253" t="s">
        <v>1306</v>
      </c>
      <c r="AC622" s="7">
        <v>1</v>
      </c>
    </row>
    <row r="623" spans="1:32" hidden="1">
      <c r="A623" s="286" t="s">
        <v>244</v>
      </c>
      <c r="B623" s="286" t="s">
        <v>221</v>
      </c>
      <c r="C623" s="280" t="s">
        <v>2</v>
      </c>
      <c r="D623" s="281" t="str">
        <f>IF(F623="","",CHOOSE(MONTH(F623),"Q4","Q4","Q4","Q1","Q1","Q1","Q2","Q2","Q2","Q3","Q3","Q3"))</f>
        <v>Q4</v>
      </c>
      <c r="E623" s="282" t="str">
        <f>IF(F623="","",CHOOSE(MONTH(F623),"10-JAN","11-FEB","12-MAR","01-APR","02-MAY","03-JUN","04-JUL","05-AUG","06-SEP","07-OCT","08-NOV","09-DEC"))</f>
        <v>10-JAN</v>
      </c>
      <c r="F623" s="242">
        <v>45684</v>
      </c>
      <c r="G623" s="231" t="s">
        <v>2205</v>
      </c>
      <c r="H623" s="5" t="s">
        <v>1787</v>
      </c>
      <c r="I623" s="29" t="s">
        <v>223</v>
      </c>
      <c r="K623" s="281" t="str">
        <f>IF(H623="","",IFERROR(VLOOKUP(H623,Instructions!D:E,2,0),"BA"))</f>
        <v>BA</v>
      </c>
      <c r="L623" s="30" t="s">
        <v>2206</v>
      </c>
      <c r="M623" s="151">
        <f>IF(SUM(V623:BC623)=0,"-",SUM(V623:BC623))</f>
        <v>1</v>
      </c>
      <c r="N623" s="352">
        <f>IF(SUMPRODUCT($V$3:$BC$3,V623:BC623)=0,"-",SUMPRODUCT($V$3:$BC$3,V623:BC623))</f>
        <v>40</v>
      </c>
      <c r="O623" s="30" t="s">
        <v>2207</v>
      </c>
      <c r="P623" s="280" t="s">
        <v>481</v>
      </c>
      <c r="Q623" s="211">
        <v>4270029453</v>
      </c>
      <c r="R623" s="211"/>
      <c r="S623" s="211" t="s">
        <v>249</v>
      </c>
      <c r="T623" s="211" t="s">
        <v>2208</v>
      </c>
      <c r="U623" s="253" t="s">
        <v>2209</v>
      </c>
      <c r="AD623" s="8">
        <v>1</v>
      </c>
    </row>
    <row r="624" spans="1:32" hidden="1">
      <c r="A624" s="286" t="s">
        <v>244</v>
      </c>
      <c r="B624" s="286" t="s">
        <v>221</v>
      </c>
      <c r="C624" s="280" t="s">
        <v>2</v>
      </c>
      <c r="D624" s="281" t="str">
        <f>IF(F624="","",CHOOSE(MONTH(F624),"Q4","Q4","Q4","Q1","Q1","Q1","Q2","Q2","Q2","Q3","Q3","Q3"))</f>
        <v>Q4</v>
      </c>
      <c r="E624" s="282" t="str">
        <f>IF(F624="","",CHOOSE(MONTH(F624),"10-JAN","11-FEB","12-MAR","01-APR","02-MAY","03-JUN","04-JUL","05-AUG","06-SEP","07-OCT","08-NOV","09-DEC"))</f>
        <v>10-JAN</v>
      </c>
      <c r="F624" s="242">
        <v>45685</v>
      </c>
      <c r="G624" s="231" t="s">
        <v>2210</v>
      </c>
      <c r="H624" t="s">
        <v>38</v>
      </c>
      <c r="I624" s="29" t="s">
        <v>223</v>
      </c>
      <c r="J624" s="8" t="s">
        <v>69</v>
      </c>
      <c r="K624" s="281" t="str">
        <f>IF(H624="","",IFERROR(VLOOKUP(H624,Instructions!D:E,2,0),"BA"))</f>
        <v>BA</v>
      </c>
      <c r="L624" s="78" t="s">
        <v>2211</v>
      </c>
      <c r="M624" s="151">
        <f>IF(SUM(V624:BC624)=0,"-",SUM(V624:BC624))</f>
        <v>1</v>
      </c>
      <c r="N624" s="352">
        <f>IF(SUMPRODUCT($V$3:$BC$3,V624:BC624)=0,"-",SUMPRODUCT($V$3:$BC$3,V624:BC624))</f>
        <v>135</v>
      </c>
      <c r="O624" s="30" t="s">
        <v>2182</v>
      </c>
      <c r="P624" s="280" t="s">
        <v>481</v>
      </c>
      <c r="Q624" s="211">
        <v>4200678404</v>
      </c>
      <c r="R624" s="211"/>
      <c r="S624" s="211" t="s">
        <v>249</v>
      </c>
      <c r="T624" s="211" t="s">
        <v>2183</v>
      </c>
      <c r="U624" s="325" t="s">
        <v>2184</v>
      </c>
      <c r="AC624" s="7">
        <v>1</v>
      </c>
    </row>
    <row r="625" spans="1:33" hidden="1">
      <c r="A625" s="286" t="s">
        <v>244</v>
      </c>
      <c r="B625" s="286" t="s">
        <v>221</v>
      </c>
      <c r="C625" s="280" t="s">
        <v>2</v>
      </c>
      <c r="D625" s="281" t="str">
        <f>IF(F625="","",CHOOSE(MONTH(F625),"Q4","Q4","Q4","Q1","Q1","Q1","Q2","Q2","Q2","Q3","Q3","Q3"))</f>
        <v>Q4</v>
      </c>
      <c r="E625" s="282" t="str">
        <f>IF(F625="","",CHOOSE(MONTH(F625),"10-JAN","11-FEB","12-MAR","01-APR","02-MAY","03-JUN","04-JUL","05-AUG","06-SEP","07-OCT","08-NOV","09-DEC"))</f>
        <v>10-JAN</v>
      </c>
      <c r="F625" s="242">
        <v>45685</v>
      </c>
      <c r="G625" s="231" t="s">
        <v>2212</v>
      </c>
      <c r="H625" s="459" t="s">
        <v>1304</v>
      </c>
      <c r="I625" s="118" t="s">
        <v>223</v>
      </c>
      <c r="J625" s="8" t="s">
        <v>130</v>
      </c>
      <c r="K625" s="281" t="str">
        <f>IF(H625="","",IFERROR(VLOOKUP(H625,Instructions!D:E,2,0),"BA"))</f>
        <v>BA</v>
      </c>
      <c r="L625" s="124" t="s">
        <v>2213</v>
      </c>
      <c r="M625" s="151">
        <f>IF(SUM(V625:BC625)=0,"-",SUM(V625:BC625))</f>
        <v>2</v>
      </c>
      <c r="N625" s="352">
        <f>IF(SUMPRODUCT($V$3:$BC$3,V625:BC625)=0,"-",SUMPRODUCT($V$3:$BC$3,V625:BC625))</f>
        <v>70</v>
      </c>
      <c r="O625" s="30" t="s">
        <v>2214</v>
      </c>
      <c r="P625" s="280" t="s">
        <v>481</v>
      </c>
      <c r="Q625" s="412">
        <v>4200679445</v>
      </c>
      <c r="R625" s="211"/>
      <c r="S625" s="211" t="s">
        <v>249</v>
      </c>
      <c r="T625" s="211" t="s">
        <v>1305</v>
      </c>
      <c r="U625" s="253" t="s">
        <v>1306</v>
      </c>
      <c r="W625" s="8">
        <v>2</v>
      </c>
    </row>
    <row r="626" spans="1:33" hidden="1">
      <c r="A626" s="286" t="s">
        <v>244</v>
      </c>
      <c r="B626" s="286" t="s">
        <v>221</v>
      </c>
      <c r="C626" s="280" t="s">
        <v>2</v>
      </c>
      <c r="D626" s="281" t="str">
        <f>IF(F626="","",CHOOSE(MONTH(F626),"Q4","Q4","Q4","Q1","Q1","Q1","Q2","Q2","Q2","Q3","Q3","Q3"))</f>
        <v>Q4</v>
      </c>
      <c r="E626" s="282" t="str">
        <f>IF(F626="","",CHOOSE(MONTH(F626),"10-JAN","11-FEB","12-MAR","01-APR","02-MAY","03-JUN","04-JUL","05-AUG","06-SEP","07-OCT","08-NOV","09-DEC"))</f>
        <v>10-JAN</v>
      </c>
      <c r="F626" s="242">
        <v>45685</v>
      </c>
      <c r="G626" s="231" t="s">
        <v>2215</v>
      </c>
      <c r="H626" s="5" t="s">
        <v>1955</v>
      </c>
      <c r="I626" s="29" t="s">
        <v>223</v>
      </c>
      <c r="J626" s="8" t="s">
        <v>93</v>
      </c>
      <c r="K626" s="281" t="str">
        <f>IF(H626="","",IFERROR(VLOOKUP(H626,Instructions!D:E,2,0),"BA"))</f>
        <v>BA</v>
      </c>
      <c r="L626" s="30" t="s">
        <v>2216</v>
      </c>
      <c r="M626" s="151">
        <f>IF(SUM(V626:BC626)=0,"-",SUM(V626:BC626))</f>
        <v>2</v>
      </c>
      <c r="N626" s="352">
        <f>IF(SUMPRODUCT($V$3:$BC$3,V626:BC626)=0,"-",SUMPRODUCT($V$3:$BC$3,V626:BC626))</f>
        <v>155</v>
      </c>
      <c r="O626" s="30" t="s">
        <v>2217</v>
      </c>
      <c r="P626" s="280" t="s">
        <v>481</v>
      </c>
      <c r="Q626" s="412">
        <v>4200679453</v>
      </c>
      <c r="R626" s="211"/>
      <c r="S626" s="211" t="s">
        <v>249</v>
      </c>
      <c r="T626" s="211" t="s">
        <v>2195</v>
      </c>
      <c r="U626" s="253" t="s">
        <v>1306</v>
      </c>
      <c r="V626" s="7">
        <v>1</v>
      </c>
      <c r="W626" s="8">
        <v>1</v>
      </c>
    </row>
    <row r="627" spans="1:33" hidden="1">
      <c r="A627" s="286" t="s">
        <v>244</v>
      </c>
      <c r="B627" s="286" t="s">
        <v>221</v>
      </c>
      <c r="C627" s="280" t="s">
        <v>2</v>
      </c>
      <c r="D627" s="281" t="str">
        <f>IF(F627="","",CHOOSE(MONTH(F627),"Q4","Q4","Q4","Q1","Q1","Q1","Q2","Q2","Q2","Q3","Q3","Q3"))</f>
        <v>Q4</v>
      </c>
      <c r="E627" s="282" t="str">
        <f>IF(F627="","",CHOOSE(MONTH(F627),"10-JAN","11-FEB","12-MAR","01-APR","02-MAY","03-JUN","04-JUL","05-AUG","06-SEP","07-OCT","08-NOV","09-DEC"))</f>
        <v>10-JAN</v>
      </c>
      <c r="F627" s="242">
        <v>45685</v>
      </c>
      <c r="G627" s="231" t="s">
        <v>2218</v>
      </c>
      <c r="H627" s="5" t="s">
        <v>26</v>
      </c>
      <c r="I627" s="29" t="s">
        <v>223</v>
      </c>
      <c r="J627" s="8" t="s">
        <v>95</v>
      </c>
      <c r="K627" s="281" t="str">
        <f>IF(H627="","",IFERROR(VLOOKUP(H627,Instructions!D:E,2,0),"BA"))</f>
        <v>CM</v>
      </c>
      <c r="L627" s="78" t="s">
        <v>2219</v>
      </c>
      <c r="M627" s="151">
        <f>IF(SUM(V627:BC627)=0,"-",SUM(V627:BC627))</f>
        <v>1</v>
      </c>
      <c r="N627" s="352">
        <f>IF(SUMPRODUCT($V$3:$BC$3,V627:BC627)=0,"-",SUMPRODUCT($V$3:$BC$3,V627:BC627))</f>
        <v>120</v>
      </c>
      <c r="Q627" s="211">
        <v>4200673567</v>
      </c>
      <c r="R627" s="211" t="s">
        <v>1302</v>
      </c>
      <c r="S627" s="211" t="s">
        <v>249</v>
      </c>
      <c r="T627" s="211" t="s">
        <v>2220</v>
      </c>
      <c r="U627" s="253" t="s">
        <v>1226</v>
      </c>
      <c r="V627" s="7">
        <v>1</v>
      </c>
    </row>
    <row r="628" spans="1:33" hidden="1">
      <c r="A628" s="286" t="s">
        <v>244</v>
      </c>
      <c r="B628" s="286" t="s">
        <v>221</v>
      </c>
      <c r="C628" s="280" t="s">
        <v>2</v>
      </c>
      <c r="D628" s="281" t="str">
        <f>IF(F628="","",CHOOSE(MONTH(F628),"Q4","Q4","Q4","Q1","Q1","Q1","Q2","Q2","Q2","Q3","Q3","Q3"))</f>
        <v>Q4</v>
      </c>
      <c r="E628" s="282" t="str">
        <f>IF(F628="","",CHOOSE(MONTH(F628),"10-JAN","11-FEB","12-MAR","01-APR","02-MAY","03-JUN","04-JUL","05-AUG","06-SEP","07-OCT","08-NOV","09-DEC"))</f>
        <v>10-JAN</v>
      </c>
      <c r="F628" s="242">
        <v>45685</v>
      </c>
      <c r="G628" s="236" t="s">
        <v>2221</v>
      </c>
      <c r="H628" s="5" t="s">
        <v>26</v>
      </c>
      <c r="I628" s="29" t="s">
        <v>223</v>
      </c>
      <c r="J628" s="8" t="s">
        <v>130</v>
      </c>
      <c r="K628" s="281" t="str">
        <f>IF(H628="","",IFERROR(VLOOKUP(H628,Instructions!D:E,2,0),"BA"))</f>
        <v>CM</v>
      </c>
      <c r="L628" s="78" t="s">
        <v>2222</v>
      </c>
      <c r="M628" s="151">
        <f>IF(SUM(V628:BC628)=0,"-",SUM(V628:BC628))</f>
        <v>2</v>
      </c>
      <c r="N628" s="352">
        <f>IF(SUMPRODUCT($V$3:$BC$3,V628:BC628)=0,"-",SUMPRODUCT($V$3:$BC$3,V628:BC628))</f>
        <v>70</v>
      </c>
      <c r="Q628" s="211">
        <v>4200673574</v>
      </c>
      <c r="R628" s="211" t="s">
        <v>1302</v>
      </c>
      <c r="S628" s="211" t="s">
        <v>249</v>
      </c>
      <c r="T628" s="211" t="s">
        <v>2223</v>
      </c>
      <c r="U628" s="253" t="s">
        <v>1226</v>
      </c>
      <c r="W628" s="8">
        <v>2</v>
      </c>
    </row>
    <row r="629" spans="1:33" hidden="1">
      <c r="A629" s="286" t="s">
        <v>244</v>
      </c>
      <c r="B629" s="286" t="s">
        <v>221</v>
      </c>
      <c r="C629" s="280" t="s">
        <v>2</v>
      </c>
      <c r="D629" s="281" t="str">
        <f>IF(F629="","",CHOOSE(MONTH(F629),"Q4","Q4","Q4","Q1","Q1","Q1","Q2","Q2","Q2","Q3","Q3","Q3"))</f>
        <v>Q4</v>
      </c>
      <c r="E629" s="282" t="str">
        <f>IF(F629="","",CHOOSE(MONTH(F629),"10-JAN","11-FEB","12-MAR","01-APR","02-MAY","03-JUN","04-JUL","05-AUG","06-SEP","07-OCT","08-NOV","09-DEC"))</f>
        <v>10-JAN</v>
      </c>
      <c r="F629" s="242">
        <v>45688</v>
      </c>
      <c r="G629" s="231" t="s">
        <v>2224</v>
      </c>
      <c r="H629" s="5" t="s">
        <v>1787</v>
      </c>
      <c r="I629" s="29" t="s">
        <v>223</v>
      </c>
      <c r="J629" s="8" t="s">
        <v>69</v>
      </c>
      <c r="K629" s="281" t="str">
        <f>IF(H629="","",IFERROR(VLOOKUP(H629,Instructions!D:E,2,0),"BA"))</f>
        <v>BA</v>
      </c>
      <c r="L629" s="30" t="s">
        <v>2225</v>
      </c>
      <c r="M629" s="151">
        <f>IF(SUM(V629:BC629)=0,"-",SUM(V629:BC629))</f>
        <v>2</v>
      </c>
      <c r="N629" s="65">
        <f>IF(SUMPRODUCT($V$3:$BC$3,V629:BC629)=0,"-",SUMPRODUCT($V$3:$BC$3,V629:BC629))</f>
        <v>400</v>
      </c>
      <c r="O629" s="30" t="s">
        <v>2226</v>
      </c>
      <c r="P629" s="280" t="s">
        <v>481</v>
      </c>
      <c r="Q629" s="211">
        <v>4200679298</v>
      </c>
      <c r="R629" s="211"/>
      <c r="S629" s="211" t="s">
        <v>249</v>
      </c>
      <c r="T629" s="211" t="s">
        <v>2227</v>
      </c>
      <c r="U629" s="253" t="s">
        <v>1306</v>
      </c>
      <c r="AG629" s="8">
        <v>2</v>
      </c>
    </row>
    <row r="630" spans="1:33" hidden="1">
      <c r="A630" s="286" t="s">
        <v>244</v>
      </c>
      <c r="B630" s="286" t="s">
        <v>221</v>
      </c>
      <c r="C630" s="280" t="s">
        <v>2</v>
      </c>
      <c r="D630" s="281" t="str">
        <f>IF(F630="","",CHOOSE(MONTH(F630),"Q4","Q4","Q4","Q1","Q1","Q1","Q2","Q2","Q2","Q3","Q3","Q3"))</f>
        <v>Q4</v>
      </c>
      <c r="E630" s="282" t="str">
        <f>IF(F630="","",CHOOSE(MONTH(F630),"10-JAN","11-FEB","12-MAR","01-APR","02-MAY","03-JUN","04-JUL","05-AUG","06-SEP","07-OCT","08-NOV","09-DEC"))</f>
        <v>10-JAN</v>
      </c>
      <c r="F630" s="242">
        <v>45688</v>
      </c>
      <c r="G630" s="231" t="s">
        <v>2228</v>
      </c>
      <c r="H630" s="5" t="s">
        <v>1787</v>
      </c>
      <c r="I630" s="29" t="s">
        <v>223</v>
      </c>
      <c r="J630" s="8" t="s">
        <v>69</v>
      </c>
      <c r="K630" s="281" t="str">
        <f>IF(H630="","",IFERROR(VLOOKUP(H630,Instructions!D:E,2,0),"BA"))</f>
        <v>BA</v>
      </c>
      <c r="L630" s="30" t="s">
        <v>2229</v>
      </c>
      <c r="M630" s="151">
        <f>IF(SUM(V630:BC630)=0,"-",SUM(V630:BC630))</f>
        <v>1</v>
      </c>
      <c r="N630" s="65">
        <f>IF(SUMPRODUCT($V$3:$BC$3,V630:BC630)=0,"-",SUMPRODUCT($V$3:$BC$3,V630:BC630))</f>
        <v>200</v>
      </c>
      <c r="O630" s="30" t="s">
        <v>2230</v>
      </c>
      <c r="P630" s="280" t="s">
        <v>481</v>
      </c>
      <c r="Q630" s="211">
        <v>4200679300</v>
      </c>
      <c r="R630" s="211"/>
      <c r="S630" s="211" t="s">
        <v>249</v>
      </c>
      <c r="T630" s="211" t="s">
        <v>2231</v>
      </c>
      <c r="U630" s="253" t="s">
        <v>1306</v>
      </c>
      <c r="AG630" s="8">
        <v>1</v>
      </c>
    </row>
    <row r="631" spans="1:33" hidden="1">
      <c r="A631" s="286" t="s">
        <v>244</v>
      </c>
      <c r="B631" s="286" t="s">
        <v>221</v>
      </c>
      <c r="C631" s="280" t="s">
        <v>2</v>
      </c>
      <c r="D631" s="281" t="str">
        <f>IF(F631="","",CHOOSE(MONTH(F631),"Q4","Q4","Q4","Q1","Q1","Q1","Q2","Q2","Q2","Q3","Q3","Q3"))</f>
        <v>Q4</v>
      </c>
      <c r="E631" s="282" t="str">
        <f>IF(F631="","",CHOOSE(MONTH(F631),"10-JAN","11-FEB","12-MAR","01-APR","02-MAY","03-JUN","04-JUL","05-AUG","06-SEP","07-OCT","08-NOV","09-DEC"))</f>
        <v>11-FEB</v>
      </c>
      <c r="F631" s="242">
        <v>45691</v>
      </c>
      <c r="G631" s="231" t="s">
        <v>2232</v>
      </c>
      <c r="H631" s="5" t="s">
        <v>1787</v>
      </c>
      <c r="I631" s="29" t="s">
        <v>223</v>
      </c>
      <c r="J631" s="8" t="s">
        <v>69</v>
      </c>
      <c r="K631" s="281" t="str">
        <f>IF(H631="","",IFERROR(VLOOKUP(H631,Instructions!D:E,2,0),"BA"))</f>
        <v>BA</v>
      </c>
      <c r="L631" s="30" t="s">
        <v>2233</v>
      </c>
      <c r="M631" s="151">
        <f>IF(SUM(V631:BC631)=0,"-",SUM(V631:BC631))</f>
        <v>1</v>
      </c>
      <c r="N631" s="65">
        <f>IF(SUMPRODUCT($V$3:$BC$3,V631:BC631)=0,"-",SUMPRODUCT($V$3:$BC$3,V631:BC631))</f>
        <v>200</v>
      </c>
      <c r="O631" s="30" t="s">
        <v>2234</v>
      </c>
      <c r="P631" s="280" t="s">
        <v>481</v>
      </c>
      <c r="Q631" s="211">
        <v>4200679299</v>
      </c>
      <c r="R631" s="211"/>
      <c r="S631" s="211" t="s">
        <v>249</v>
      </c>
      <c r="T631" s="211" t="s">
        <v>2235</v>
      </c>
      <c r="U631" s="388" t="s">
        <v>2236</v>
      </c>
      <c r="AG631" s="8">
        <v>1</v>
      </c>
    </row>
    <row r="632" spans="1:33" hidden="1">
      <c r="A632" s="286" t="s">
        <v>244</v>
      </c>
      <c r="B632" s="286" t="s">
        <v>221</v>
      </c>
      <c r="C632" s="280" t="s">
        <v>2</v>
      </c>
      <c r="D632" s="281" t="str">
        <f>IF(F632="","",CHOOSE(MONTH(F632),"Q4","Q4","Q4","Q1","Q1","Q1","Q2","Q2","Q2","Q3","Q3","Q3"))</f>
        <v>Q4</v>
      </c>
      <c r="E632" s="282" t="str">
        <f>IF(F632="","",CHOOSE(MONTH(F632),"10-JAN","11-FEB","12-MAR","01-APR","02-MAY","03-JUN","04-JUL","05-AUG","06-SEP","07-OCT","08-NOV","09-DEC"))</f>
        <v>11-FEB</v>
      </c>
      <c r="F632" s="242">
        <v>45692</v>
      </c>
      <c r="G632" s="231" t="s">
        <v>2237</v>
      </c>
      <c r="H632" s="5" t="s">
        <v>1699</v>
      </c>
      <c r="I632" s="29" t="s">
        <v>223</v>
      </c>
      <c r="J632" s="8" t="s">
        <v>163</v>
      </c>
      <c r="K632" s="281" t="str">
        <f>IF(H632="","",IFERROR(VLOOKUP(H632,Instructions!D:E,2,0),"BA"))</f>
        <v>BA</v>
      </c>
      <c r="L632" s="30" t="s">
        <v>2238</v>
      </c>
      <c r="M632" s="151">
        <f>IF(SUM(V632:BC632)=0,"-",SUM(V632:BC632))</f>
        <v>2</v>
      </c>
      <c r="N632" s="352">
        <f>IF(SUMPRODUCT($V$3:$BC$3,V632:BC632)=0,"-",SUMPRODUCT($V$3:$BC$3,V632:BC632))</f>
        <v>80</v>
      </c>
      <c r="O632" s="30" t="s">
        <v>2239</v>
      </c>
      <c r="P632" s="280" t="s">
        <v>481</v>
      </c>
      <c r="Q632" s="411">
        <v>4200679422</v>
      </c>
      <c r="R632" s="211"/>
      <c r="S632" s="211" t="s">
        <v>249</v>
      </c>
      <c r="T632" s="211" t="s">
        <v>2016</v>
      </c>
      <c r="U632" s="253" t="s">
        <v>1306</v>
      </c>
      <c r="AD632" s="8">
        <v>2</v>
      </c>
    </row>
    <row r="633" spans="1:33" hidden="1">
      <c r="A633" s="286" t="s">
        <v>244</v>
      </c>
      <c r="B633" s="286" t="s">
        <v>221</v>
      </c>
      <c r="C633" s="280" t="s">
        <v>2</v>
      </c>
      <c r="D633" s="281" t="str">
        <f>IF(F633="","",CHOOSE(MONTH(F633),"Q4","Q4","Q4","Q1","Q1","Q1","Q2","Q2","Q2","Q3","Q3","Q3"))</f>
        <v>Q4</v>
      </c>
      <c r="E633" s="282" t="str">
        <f>IF(F633="","",CHOOSE(MONTH(F633),"10-JAN","11-FEB","12-MAR","01-APR","02-MAY","03-JUN","04-JUL","05-AUG","06-SEP","07-OCT","08-NOV","09-DEC"))</f>
        <v>11-FEB</v>
      </c>
      <c r="F633" s="242">
        <v>45693</v>
      </c>
      <c r="G633" s="231" t="s">
        <v>2240</v>
      </c>
      <c r="H633" s="5" t="s">
        <v>26</v>
      </c>
      <c r="I633" s="29" t="s">
        <v>223</v>
      </c>
      <c r="J633" s="8" t="s">
        <v>95</v>
      </c>
      <c r="K633" s="281" t="str">
        <f>IF(H633="","",IFERROR(VLOOKUP(H633,Instructions!D:E,2,0),"BA"))</f>
        <v>CM</v>
      </c>
      <c r="L633" s="30" t="s">
        <v>2241</v>
      </c>
      <c r="M633" s="151">
        <f>IF(SUM(V633:BC633)=0,"-",SUM(V633:BC633))</f>
        <v>2</v>
      </c>
      <c r="N633" s="65">
        <f>IF(SUMPRODUCT($V$3:$BC$3,V633:BC633)=0,"-",SUMPRODUCT($V$3:$BC$3,V633:BC633))</f>
        <v>70</v>
      </c>
      <c r="P633" s="280" t="s">
        <v>481</v>
      </c>
      <c r="Q633" s="211">
        <v>4200673567</v>
      </c>
      <c r="R633" s="211" t="s">
        <v>1302</v>
      </c>
      <c r="S633" s="211" t="s">
        <v>249</v>
      </c>
      <c r="T633" s="211" t="s">
        <v>2220</v>
      </c>
      <c r="U633" s="253" t="s">
        <v>1226</v>
      </c>
      <c r="W633" s="8">
        <v>2</v>
      </c>
    </row>
    <row r="634" spans="1:33" hidden="1">
      <c r="A634" s="286" t="s">
        <v>244</v>
      </c>
      <c r="B634" s="286" t="s">
        <v>221</v>
      </c>
      <c r="C634" s="280" t="s">
        <v>2</v>
      </c>
      <c r="D634" s="281" t="str">
        <f>IF(F634="","",CHOOSE(MONTH(F634),"Q4","Q4","Q4","Q1","Q1","Q1","Q2","Q2","Q2","Q3","Q3","Q3"))</f>
        <v>Q4</v>
      </c>
      <c r="E634" s="282" t="str">
        <f>IF(F634="","",CHOOSE(MONTH(F634),"10-JAN","11-FEB","12-MAR","01-APR","02-MAY","03-JUN","04-JUL","05-AUG","06-SEP","07-OCT","08-NOV","09-DEC"))</f>
        <v>11-FEB</v>
      </c>
      <c r="F634" s="242">
        <v>45693</v>
      </c>
      <c r="G634" s="231" t="s">
        <v>2242</v>
      </c>
      <c r="H634" s="5" t="s">
        <v>26</v>
      </c>
      <c r="I634" s="29" t="s">
        <v>223</v>
      </c>
      <c r="J634" s="8" t="s">
        <v>130</v>
      </c>
      <c r="K634" s="281" t="str">
        <f>IF(H634="","",IFERROR(VLOOKUP(H634,Instructions!D:E,2,0),"BA"))</f>
        <v>CM</v>
      </c>
      <c r="L634" s="30" t="s">
        <v>2243</v>
      </c>
      <c r="M634" s="151">
        <f>IF(SUM(V634:BC634)=0,"-",SUM(V634:BC634))</f>
        <v>2</v>
      </c>
      <c r="N634" s="65">
        <f>IF(SUMPRODUCT($V$3:$BC$3,V634:BC634)=0,"-",SUMPRODUCT($V$3:$BC$3,V634:BC634))</f>
        <v>155</v>
      </c>
      <c r="P634" s="280" t="s">
        <v>481</v>
      </c>
      <c r="Q634" s="211">
        <v>4200673574</v>
      </c>
      <c r="R634" s="211" t="s">
        <v>1302</v>
      </c>
      <c r="S634" s="211" t="s">
        <v>249</v>
      </c>
      <c r="T634" s="211" t="s">
        <v>2223</v>
      </c>
      <c r="U634" s="253" t="s">
        <v>1226</v>
      </c>
      <c r="V634" s="7">
        <v>1</v>
      </c>
      <c r="W634" s="8">
        <v>1</v>
      </c>
    </row>
    <row r="635" spans="1:33" hidden="1">
      <c r="A635" s="286" t="s">
        <v>244</v>
      </c>
      <c r="B635" s="286" t="s">
        <v>221</v>
      </c>
      <c r="C635" s="280" t="s">
        <v>2</v>
      </c>
      <c r="D635" s="281" t="str">
        <f>IF(F635="","",CHOOSE(MONTH(F635),"Q4","Q4","Q4","Q1","Q1","Q1","Q2","Q2","Q2","Q3","Q3","Q3"))</f>
        <v>Q4</v>
      </c>
      <c r="E635" s="282" t="str">
        <f>IF(F635="","",CHOOSE(MONTH(F635),"10-JAN","11-FEB","12-MAR","01-APR","02-MAY","03-JUN","04-JUL","05-AUG","06-SEP","07-OCT","08-NOV","09-DEC"))</f>
        <v>11-FEB</v>
      </c>
      <c r="F635" s="242">
        <v>45693</v>
      </c>
      <c r="G635" s="231" t="s">
        <v>2244</v>
      </c>
      <c r="H635" s="5" t="s">
        <v>26</v>
      </c>
      <c r="I635" s="29" t="s">
        <v>223</v>
      </c>
      <c r="J635" s="8" t="s">
        <v>130</v>
      </c>
      <c r="K635" s="281" t="str">
        <f>IF(H635="","",IFERROR(VLOOKUP(H635,Instructions!D:E,2,0),"BA"))</f>
        <v>CM</v>
      </c>
      <c r="L635" s="30" t="s">
        <v>2245</v>
      </c>
      <c r="M635" s="151">
        <f>IF(SUM(V635:BC635)=0,"-",SUM(V635:BC635))</f>
        <v>2</v>
      </c>
      <c r="N635" s="65">
        <f>IF(SUMPRODUCT($V$3:$BC$3,V635:BC635)=0,"-",SUMPRODUCT($V$3:$BC$3,V635:BC635))</f>
        <v>155</v>
      </c>
      <c r="P635" s="280" t="s">
        <v>481</v>
      </c>
      <c r="Q635" s="211">
        <v>4200673574</v>
      </c>
      <c r="R635" s="211" t="s">
        <v>1302</v>
      </c>
      <c r="S635" s="211" t="s">
        <v>249</v>
      </c>
      <c r="T635" s="211" t="s">
        <v>2223</v>
      </c>
      <c r="U635" s="253" t="s">
        <v>1226</v>
      </c>
      <c r="V635" s="7">
        <v>1</v>
      </c>
      <c r="W635" s="8">
        <v>1</v>
      </c>
    </row>
    <row r="636" spans="1:33" hidden="1">
      <c r="A636" s="286" t="s">
        <v>244</v>
      </c>
      <c r="B636" s="286" t="s">
        <v>221</v>
      </c>
      <c r="C636" s="280" t="s">
        <v>2</v>
      </c>
      <c r="D636" s="281" t="str">
        <f>IF(F636="","",CHOOSE(MONTH(F636),"Q4","Q4","Q4","Q1","Q1","Q1","Q2","Q2","Q2","Q3","Q3","Q3"))</f>
        <v>Q4</v>
      </c>
      <c r="E636" s="282" t="str">
        <f>IF(F636="","",CHOOSE(MONTH(F636),"10-JAN","11-FEB","12-MAR","01-APR","02-MAY","03-JUN","04-JUL","05-AUG","06-SEP","07-OCT","08-NOV","09-DEC"))</f>
        <v>11-FEB</v>
      </c>
      <c r="F636" s="242">
        <v>45698</v>
      </c>
      <c r="G636" s="231" t="s">
        <v>2246</v>
      </c>
      <c r="H636" s="5" t="s">
        <v>26</v>
      </c>
      <c r="I636" s="29" t="s">
        <v>223</v>
      </c>
      <c r="J636" s="8" t="s">
        <v>95</v>
      </c>
      <c r="K636" s="281" t="str">
        <f>IF(H636="","",IFERROR(VLOOKUP(H636,Instructions!D:E,2,0),"BA"))</f>
        <v>CM</v>
      </c>
      <c r="L636" s="30" t="s">
        <v>2247</v>
      </c>
      <c r="M636" s="151">
        <f>IF(SUM(V636:BC636)=0,"-",SUM(V636:BC636))</f>
        <v>1</v>
      </c>
      <c r="N636" s="65">
        <f>IF(SUMPRODUCT($V$3:$BC$3,V636:BC636)=0,"-",SUMPRODUCT($V$3:$BC$3,V636:BC636))</f>
        <v>120</v>
      </c>
      <c r="P636" s="280" t="s">
        <v>481</v>
      </c>
      <c r="Q636" s="211">
        <v>4200673567</v>
      </c>
      <c r="R636" s="211" t="s">
        <v>1302</v>
      </c>
      <c r="S636" s="211" t="s">
        <v>249</v>
      </c>
      <c r="T636" s="211" t="s">
        <v>2220</v>
      </c>
      <c r="U636" s="253" t="s">
        <v>1226</v>
      </c>
      <c r="V636" s="7">
        <v>1</v>
      </c>
    </row>
    <row r="637" spans="1:33" hidden="1">
      <c r="A637" s="286" t="s">
        <v>244</v>
      </c>
      <c r="B637" s="286" t="s">
        <v>221</v>
      </c>
      <c r="C637" s="280" t="s">
        <v>2</v>
      </c>
      <c r="D637" s="281" t="str">
        <f>IF(F637="","",CHOOSE(MONTH(F637),"Q4","Q4","Q4","Q1","Q1","Q1","Q2","Q2","Q2","Q3","Q3","Q3"))</f>
        <v>Q4</v>
      </c>
      <c r="E637" s="282" t="str">
        <f>IF(F637="","",CHOOSE(MONTH(F637),"10-JAN","11-FEB","12-MAR","01-APR","02-MAY","03-JUN","04-JUL","05-AUG","06-SEP","07-OCT","08-NOV","09-DEC"))</f>
        <v>11-FEB</v>
      </c>
      <c r="F637" s="242">
        <v>45698</v>
      </c>
      <c r="G637" s="231" t="s">
        <v>2248</v>
      </c>
      <c r="H637" s="5" t="s">
        <v>26</v>
      </c>
      <c r="I637" s="29" t="s">
        <v>223</v>
      </c>
      <c r="J637" s="8" t="s">
        <v>130</v>
      </c>
      <c r="K637" s="281" t="str">
        <f>IF(H637="","",IFERROR(VLOOKUP(H637,Instructions!D:E,2,0),"BA"))</f>
        <v>CM</v>
      </c>
      <c r="L637" s="78" t="s">
        <v>2249</v>
      </c>
      <c r="M637" s="151">
        <f>IF(SUM(V637:BC637)=0,"-",SUM(V637:BC637))</f>
        <v>1</v>
      </c>
      <c r="N637" s="65">
        <f>IF(SUMPRODUCT($V$3:$BC$3,V637:BC637)=0,"-",SUMPRODUCT($V$3:$BC$3,V637:BC637))</f>
        <v>120</v>
      </c>
      <c r="P637" s="280" t="s">
        <v>481</v>
      </c>
      <c r="Q637" s="211">
        <v>4200673574</v>
      </c>
      <c r="R637" s="211" t="s">
        <v>1302</v>
      </c>
      <c r="S637" s="211" t="s">
        <v>249</v>
      </c>
      <c r="T637" s="211" t="s">
        <v>2223</v>
      </c>
      <c r="U637" s="253" t="s">
        <v>1226</v>
      </c>
      <c r="V637" s="7">
        <v>1</v>
      </c>
    </row>
    <row r="638" spans="1:33" hidden="1">
      <c r="A638" s="286" t="s">
        <v>244</v>
      </c>
      <c r="B638" s="286" t="s">
        <v>221</v>
      </c>
      <c r="C638" s="280" t="s">
        <v>2</v>
      </c>
      <c r="D638" s="281" t="str">
        <f>IF(F638="","",CHOOSE(MONTH(F638),"Q4","Q4","Q4","Q1","Q1","Q1","Q2","Q2","Q2","Q3","Q3","Q3"))</f>
        <v>Q4</v>
      </c>
      <c r="E638" s="282" t="str">
        <f>IF(F638="","",CHOOSE(MONTH(F638),"10-JAN","11-FEB","12-MAR","01-APR","02-MAY","03-JUN","04-JUL","05-AUG","06-SEP","07-OCT","08-NOV","09-DEC"))</f>
        <v>11-FEB</v>
      </c>
      <c r="F638" s="242">
        <v>45705</v>
      </c>
      <c r="G638" s="231" t="s">
        <v>2250</v>
      </c>
      <c r="H638" s="5" t="s">
        <v>1699</v>
      </c>
      <c r="I638" s="29" t="s">
        <v>223</v>
      </c>
      <c r="J638" s="8" t="s">
        <v>93</v>
      </c>
      <c r="K638" s="281" t="str">
        <f>IF(H638="","",IFERROR(VLOOKUP(H638,Instructions!D:E,2,0),"BA"))</f>
        <v>BA</v>
      </c>
      <c r="L638" s="78" t="s">
        <v>2251</v>
      </c>
      <c r="M638" s="151">
        <f>IF(SUM(V638:BC638)=0,"-",SUM(V638:BC638))</f>
        <v>1</v>
      </c>
      <c r="N638" s="352">
        <f>IF(SUMPRODUCT($V$3:$BC$3,V638:BC638)=0,"-",SUMPRODUCT($V$3:$BC$3,V638:BC638))</f>
        <v>135</v>
      </c>
      <c r="O638" s="30" t="s">
        <v>2252</v>
      </c>
      <c r="P638" s="280" t="s">
        <v>481</v>
      </c>
      <c r="Q638" s="412">
        <v>4200679453</v>
      </c>
      <c r="R638" s="211"/>
      <c r="S638" s="211" t="s">
        <v>249</v>
      </c>
      <c r="T638" s="211" t="s">
        <v>2195</v>
      </c>
      <c r="U638" s="253" t="s">
        <v>1306</v>
      </c>
      <c r="AC638" s="7">
        <v>1</v>
      </c>
    </row>
    <row r="639" spans="1:33" hidden="1">
      <c r="A639" s="286" t="s">
        <v>244</v>
      </c>
      <c r="B639" s="286" t="s">
        <v>221</v>
      </c>
      <c r="C639" s="280" t="s">
        <v>2</v>
      </c>
      <c r="D639" s="281" t="str">
        <f>IF(F639="","",CHOOSE(MONTH(F639),"Q4","Q4","Q4","Q1","Q1","Q1","Q2","Q2","Q2","Q3","Q3","Q3"))</f>
        <v>Q4</v>
      </c>
      <c r="E639" s="282" t="str">
        <f>IF(F639="","",CHOOSE(MONTH(F639),"10-JAN","11-FEB","12-MAR","01-APR","02-MAY","03-JUN","04-JUL","05-AUG","06-SEP","07-OCT","08-NOV","09-DEC"))</f>
        <v>11-FEB</v>
      </c>
      <c r="F639" s="242">
        <v>45705</v>
      </c>
      <c r="G639" s="231" t="s">
        <v>2253</v>
      </c>
      <c r="H639" s="5" t="s">
        <v>26</v>
      </c>
      <c r="I639" s="29" t="s">
        <v>223</v>
      </c>
      <c r="J639" s="8" t="s">
        <v>129</v>
      </c>
      <c r="K639" s="281" t="str">
        <f>IF(H639="","",IFERROR(VLOOKUP(H639,Instructions!D:E,2,0),"BA"))</f>
        <v>CM</v>
      </c>
      <c r="L639" s="30" t="s">
        <v>2254</v>
      </c>
      <c r="M639" s="151">
        <f>IF(SUM(V639:BC639)=0,"-",SUM(V639:BC639))</f>
        <v>4</v>
      </c>
      <c r="N639" s="65">
        <f>IF(SUMPRODUCT($V$3:$BC$3,V639:BC639)=0,"-",SUMPRODUCT($V$3:$BC$3,V639:BC639))</f>
        <v>225</v>
      </c>
      <c r="P639" s="280" t="s">
        <v>481</v>
      </c>
      <c r="Q639" s="211">
        <v>4200673569</v>
      </c>
      <c r="R639" s="211" t="s">
        <v>1302</v>
      </c>
      <c r="S639" s="211" t="s">
        <v>249</v>
      </c>
      <c r="T639" s="211" t="s">
        <v>2255</v>
      </c>
      <c r="U639" s="253" t="s">
        <v>1226</v>
      </c>
      <c r="V639" s="7">
        <v>1</v>
      </c>
      <c r="W639" s="8">
        <v>3</v>
      </c>
    </row>
    <row r="640" spans="1:33" hidden="1">
      <c r="A640" s="286" t="s">
        <v>244</v>
      </c>
      <c r="B640" s="286" t="s">
        <v>221</v>
      </c>
      <c r="C640" s="280" t="s">
        <v>2</v>
      </c>
      <c r="D640" s="281" t="str">
        <f>IF(F640="","",CHOOSE(MONTH(F640),"Q4","Q4","Q4","Q1","Q1","Q1","Q2","Q2","Q2","Q3","Q3","Q3"))</f>
        <v>Q4</v>
      </c>
      <c r="E640" s="282" t="str">
        <f>IF(F640="","",CHOOSE(MONTH(F640),"10-JAN","11-FEB","12-MAR","01-APR","02-MAY","03-JUN","04-JUL","05-AUG","06-SEP","07-OCT","08-NOV","09-DEC"))</f>
        <v>11-FEB</v>
      </c>
      <c r="F640" s="242">
        <v>45706</v>
      </c>
      <c r="G640" s="231" t="s">
        <v>2256</v>
      </c>
      <c r="H640" s="5" t="s">
        <v>1787</v>
      </c>
      <c r="I640" s="29" t="s">
        <v>223</v>
      </c>
      <c r="J640" s="8" t="s">
        <v>69</v>
      </c>
      <c r="K640" s="281" t="str">
        <f>IF(H640="","",IFERROR(VLOOKUP(H640,Instructions!D:E,2,0),"BA"))</f>
        <v>BA</v>
      </c>
      <c r="L640" s="30" t="s">
        <v>2257</v>
      </c>
      <c r="M640" s="151">
        <f>IF(SUM(V640:BC640)=0,"-",SUM(V640:BC640))</f>
        <v>13</v>
      </c>
      <c r="N640" s="65">
        <f>IF(SUMPRODUCT($V$3:$BC$3,V640:BC640)=0,"-",SUMPRODUCT($V$3:$BC$3,V640:BC640))</f>
        <v>645</v>
      </c>
      <c r="O640" s="30" t="s">
        <v>2258</v>
      </c>
      <c r="P640" s="280" t="s">
        <v>481</v>
      </c>
      <c r="Q640" s="211">
        <v>4200679311</v>
      </c>
      <c r="R640" s="211"/>
      <c r="S640" s="211" t="s">
        <v>249</v>
      </c>
      <c r="T640" s="211" t="s">
        <v>2259</v>
      </c>
      <c r="U640" s="253" t="s">
        <v>1306</v>
      </c>
      <c r="V640" s="7">
        <v>1</v>
      </c>
      <c r="W640" s="8">
        <v>10</v>
      </c>
      <c r="AC640" s="7">
        <v>1</v>
      </c>
      <c r="AD640" s="8">
        <v>1</v>
      </c>
    </row>
    <row r="641" spans="1:30" hidden="1">
      <c r="A641" s="286" t="s">
        <v>244</v>
      </c>
      <c r="B641" s="286" t="s">
        <v>221</v>
      </c>
      <c r="C641" s="280" t="s">
        <v>2</v>
      </c>
      <c r="D641" s="281" t="str">
        <f>IF(F641="","",CHOOSE(MONTH(F641),"Q4","Q4","Q4","Q1","Q1","Q1","Q2","Q2","Q2","Q3","Q3","Q3"))</f>
        <v>Q4</v>
      </c>
      <c r="E641" s="282" t="str">
        <f>IF(F641="","",CHOOSE(MONTH(F641),"10-JAN","11-FEB","12-MAR","01-APR","02-MAY","03-JUN","04-JUL","05-AUG","06-SEP","07-OCT","08-NOV","09-DEC"))</f>
        <v>11-FEB</v>
      </c>
      <c r="F641" s="242">
        <v>45706</v>
      </c>
      <c r="G641" s="222" t="s">
        <v>2260</v>
      </c>
      <c r="H641" s="410" t="s">
        <v>1787</v>
      </c>
      <c r="I641" s="29" t="s">
        <v>223</v>
      </c>
      <c r="J641" s="8" t="s">
        <v>69</v>
      </c>
      <c r="K641" s="281" t="str">
        <f>IF(H641="","",IFERROR(VLOOKUP(H641,Instructions!D:E,2,0),"BA"))</f>
        <v>BA</v>
      </c>
      <c r="L641" s="30" t="s">
        <v>2261</v>
      </c>
      <c r="M641" s="151">
        <f>IF(SUM(V641:BC641)=0,"-",SUM(V641:BC641))</f>
        <v>13</v>
      </c>
      <c r="N641" s="65">
        <f>IF(SUMPRODUCT($V$3:$BC$3,V641:BC641)=0,"-",SUMPRODUCT($V$3:$BC$3,V641:BC641))</f>
        <v>645</v>
      </c>
      <c r="O641" s="30" t="s">
        <v>2262</v>
      </c>
      <c r="P641" s="280" t="s">
        <v>481</v>
      </c>
      <c r="Q641" s="211">
        <v>4200679307</v>
      </c>
      <c r="R641" s="211"/>
      <c r="S641" s="211" t="s">
        <v>249</v>
      </c>
      <c r="T641" s="211" t="s">
        <v>2263</v>
      </c>
      <c r="U641" s="253" t="s">
        <v>1306</v>
      </c>
      <c r="V641" s="7">
        <v>1</v>
      </c>
      <c r="W641" s="8">
        <v>10</v>
      </c>
      <c r="AC641" s="7">
        <v>1</v>
      </c>
      <c r="AD641" s="8">
        <v>1</v>
      </c>
    </row>
    <row r="642" spans="1:30" hidden="1">
      <c r="A642" s="286" t="s">
        <v>244</v>
      </c>
      <c r="B642" s="286" t="s">
        <v>221</v>
      </c>
      <c r="C642" s="280" t="s">
        <v>2</v>
      </c>
      <c r="D642" s="281" t="str">
        <f>IF(F642="","",CHOOSE(MONTH(F642),"Q4","Q4","Q4","Q1","Q1","Q1","Q2","Q2","Q2","Q3","Q3","Q3"))</f>
        <v>Q4</v>
      </c>
      <c r="E642" s="282" t="str">
        <f>IF(F642="","",CHOOSE(MONTH(F642),"10-JAN","11-FEB","12-MAR","01-APR","02-MAY","03-JUN","04-JUL","05-AUG","06-SEP","07-OCT","08-NOV","09-DEC"))</f>
        <v>11-FEB</v>
      </c>
      <c r="F642" s="242">
        <v>45708</v>
      </c>
      <c r="G642" s="231" t="s">
        <v>2264</v>
      </c>
      <c r="H642" s="5" t="s">
        <v>26</v>
      </c>
      <c r="I642" s="29" t="s">
        <v>223</v>
      </c>
      <c r="J642" s="8" t="s">
        <v>130</v>
      </c>
      <c r="K642" s="281" t="str">
        <f>IF(H642="","",IFERROR(VLOOKUP(H642,Instructions!D:E,2,0),"BA"))</f>
        <v>CM</v>
      </c>
      <c r="L642" s="30" t="s">
        <v>2265</v>
      </c>
      <c r="M642" s="151">
        <f>IF(SUM(V642:BC642)=0,"-",SUM(V642:BC642))</f>
        <v>2</v>
      </c>
      <c r="N642" s="65">
        <f>IF(SUMPRODUCT($V$3:$BC$3,V642:BC642)=0,"-",SUMPRODUCT($V$3:$BC$3,V642:BC642))</f>
        <v>155</v>
      </c>
      <c r="P642" s="280" t="s">
        <v>481</v>
      </c>
      <c r="Q642" s="211">
        <v>4200673574</v>
      </c>
      <c r="R642" s="211" t="s">
        <v>1302</v>
      </c>
      <c r="S642" s="211" t="s">
        <v>249</v>
      </c>
      <c r="T642" s="211" t="s">
        <v>2223</v>
      </c>
      <c r="U642" s="253" t="s">
        <v>1226</v>
      </c>
      <c r="V642" s="7">
        <v>1</v>
      </c>
      <c r="W642" s="8">
        <v>1</v>
      </c>
    </row>
    <row r="643" spans="1:30" hidden="1">
      <c r="A643" s="286" t="s">
        <v>244</v>
      </c>
      <c r="B643" s="286" t="s">
        <v>221</v>
      </c>
      <c r="C643" s="280" t="s">
        <v>2</v>
      </c>
      <c r="D643" s="281" t="str">
        <f>IF(F643="","",CHOOSE(MONTH(F643),"Q4","Q4","Q4","Q1","Q1","Q1","Q2","Q2","Q2","Q3","Q3","Q3"))</f>
        <v>Q4</v>
      </c>
      <c r="E643" s="282" t="str">
        <f>IF(F643="","",CHOOSE(MONTH(F643),"10-JAN","11-FEB","12-MAR","01-APR","02-MAY","03-JUN","04-JUL","05-AUG","06-SEP","07-OCT","08-NOV","09-DEC"))</f>
        <v>11-FEB</v>
      </c>
      <c r="F643" s="242">
        <v>45713</v>
      </c>
      <c r="G643" s="231" t="s">
        <v>2266</v>
      </c>
      <c r="H643" s="5" t="s">
        <v>1699</v>
      </c>
      <c r="I643" s="29" t="s">
        <v>223</v>
      </c>
      <c r="J643" s="8" t="s">
        <v>95</v>
      </c>
      <c r="K643" s="281" t="str">
        <f>IF(H643="","",IFERROR(VLOOKUP(H643,Instructions!D:E,2,0),"BA"))</f>
        <v>BA</v>
      </c>
      <c r="L643" s="30" t="s">
        <v>2267</v>
      </c>
      <c r="M643" s="151">
        <f>IF(SUM(V643:BC643)=0,"-",SUM(V643:BC643))</f>
        <v>4</v>
      </c>
      <c r="N643" s="352">
        <f>IF(SUMPRODUCT($V$3:$BC$3,V643:BC643)=0,"-",SUMPRODUCT($V$3:$BC$3,V643:BC643))</f>
        <v>140</v>
      </c>
      <c r="O643" s="30" t="s">
        <v>2268</v>
      </c>
      <c r="P643" s="280" t="s">
        <v>481</v>
      </c>
      <c r="Q643" s="411">
        <v>4200679422</v>
      </c>
      <c r="R643" s="211"/>
      <c r="S643" s="211" t="s">
        <v>249</v>
      </c>
      <c r="T643" s="211" t="s">
        <v>2016</v>
      </c>
      <c r="U643" s="253" t="s">
        <v>1306</v>
      </c>
      <c r="W643" s="8">
        <v>4</v>
      </c>
    </row>
    <row r="644" spans="1:30" hidden="1">
      <c r="A644" s="286" t="s">
        <v>244</v>
      </c>
      <c r="B644" s="286" t="s">
        <v>221</v>
      </c>
      <c r="C644" s="280" t="s">
        <v>2</v>
      </c>
      <c r="D644" s="281" t="str">
        <f>IF(F644="","",CHOOSE(MONTH(F644),"Q4","Q4","Q4","Q1","Q1","Q1","Q2","Q2","Q2","Q3","Q3","Q3"))</f>
        <v>Q4</v>
      </c>
      <c r="E644" s="282" t="str">
        <f>IF(F644="","",CHOOSE(MONTH(F644),"10-JAN","11-FEB","12-MAR","01-APR","02-MAY","03-JUN","04-JUL","05-AUG","06-SEP","07-OCT","08-NOV","09-DEC"))</f>
        <v>11-FEB</v>
      </c>
      <c r="F644" s="242">
        <v>45713</v>
      </c>
      <c r="G644" s="231" t="s">
        <v>2269</v>
      </c>
      <c r="H644" s="459" t="s">
        <v>1304</v>
      </c>
      <c r="I644" s="29" t="s">
        <v>223</v>
      </c>
      <c r="J644" s="8" t="s">
        <v>93</v>
      </c>
      <c r="K644" s="281" t="str">
        <f>IF(H644="","",IFERROR(VLOOKUP(H644,Instructions!D:E,2,0),"BA"))</f>
        <v>BA</v>
      </c>
      <c r="L644" s="30" t="s">
        <v>2270</v>
      </c>
      <c r="M644" s="151">
        <f>IF(SUM(V644:BC644)=0,"-",SUM(V644:BC644))</f>
        <v>4</v>
      </c>
      <c r="N644" s="65">
        <f>IF(SUMPRODUCT($V$3:$BC$3,V644:BC644)=0,"-",SUMPRODUCT($V$3:$BC$3,V644:BC644))</f>
        <v>160</v>
      </c>
      <c r="P644" s="280" t="s">
        <v>481</v>
      </c>
      <c r="Q644" s="211">
        <v>4200680438</v>
      </c>
      <c r="R644" s="211"/>
      <c r="S644" s="211" t="s">
        <v>249</v>
      </c>
      <c r="T644" s="211" t="s">
        <v>1856</v>
      </c>
      <c r="U644" s="253" t="s">
        <v>1226</v>
      </c>
      <c r="AD644" s="8">
        <v>4</v>
      </c>
    </row>
    <row r="645" spans="1:30" hidden="1">
      <c r="A645" s="286" t="s">
        <v>244</v>
      </c>
      <c r="B645" s="286" t="s">
        <v>221</v>
      </c>
      <c r="C645" s="280" t="s">
        <v>2</v>
      </c>
      <c r="D645" s="281" t="str">
        <f>IF(F645="","",CHOOSE(MONTH(F645),"Q4","Q4","Q4","Q1","Q1","Q1","Q2","Q2","Q2","Q3","Q3","Q3"))</f>
        <v>Q4</v>
      </c>
      <c r="E645" s="282" t="str">
        <f>IF(F645="","",CHOOSE(MONTH(F645),"10-JAN","11-FEB","12-MAR","01-APR","02-MAY","03-JUN","04-JUL","05-AUG","06-SEP","07-OCT","08-NOV","09-DEC"))</f>
        <v>11-FEB</v>
      </c>
      <c r="F645" s="242">
        <v>45714</v>
      </c>
      <c r="G645" s="231" t="s">
        <v>2271</v>
      </c>
      <c r="H645" s="5" t="s">
        <v>1787</v>
      </c>
      <c r="I645" s="29" t="s">
        <v>223</v>
      </c>
      <c r="J645" s="8" t="s">
        <v>69</v>
      </c>
      <c r="K645" s="281" t="str">
        <f>IF(H645="","",IFERROR(VLOOKUP(H645,Instructions!D:E,2,0),"BA"))</f>
        <v>BA</v>
      </c>
      <c r="L645" s="30" t="s">
        <v>2272</v>
      </c>
      <c r="M645" s="151">
        <f>IF(SUM(V645:BC645)=0,"-",SUM(V645:BC645))</f>
        <v>30</v>
      </c>
      <c r="N645" s="65">
        <f>IF(SUMPRODUCT($V$3:$BC$3,V645:BC645)=0,"-",SUMPRODUCT($V$3:$BC$3,V645:BC645))</f>
        <v>1050</v>
      </c>
      <c r="O645" s="30" t="s">
        <v>2273</v>
      </c>
      <c r="P645" s="280" t="s">
        <v>481</v>
      </c>
      <c r="Q645" s="211">
        <v>4200679293</v>
      </c>
      <c r="R645" s="211"/>
      <c r="S645" s="211" t="s">
        <v>249</v>
      </c>
      <c r="T645" s="211" t="s">
        <v>2274</v>
      </c>
      <c r="U645" s="388" t="s">
        <v>2236</v>
      </c>
      <c r="W645" s="8">
        <v>30</v>
      </c>
    </row>
    <row r="646" spans="1:30" hidden="1">
      <c r="A646" s="286" t="s">
        <v>244</v>
      </c>
      <c r="B646" s="286" t="s">
        <v>221</v>
      </c>
      <c r="C646" s="280" t="s">
        <v>2</v>
      </c>
      <c r="D646" s="281" t="str">
        <f>IF(F646="","",CHOOSE(MONTH(F646),"Q4","Q4","Q4","Q1","Q1","Q1","Q2","Q2","Q2","Q3","Q3","Q3"))</f>
        <v>Q4</v>
      </c>
      <c r="E646" s="282" t="str">
        <f>IF(F646="","",CHOOSE(MONTH(F646),"10-JAN","11-FEB","12-MAR","01-APR","02-MAY","03-JUN","04-JUL","05-AUG","06-SEP","07-OCT","08-NOV","09-DEC"))</f>
        <v>11-FEB</v>
      </c>
      <c r="F646" s="242">
        <v>45714</v>
      </c>
      <c r="G646" s="231" t="s">
        <v>2275</v>
      </c>
      <c r="H646" s="5" t="s">
        <v>1787</v>
      </c>
      <c r="I646" s="29" t="s">
        <v>223</v>
      </c>
      <c r="J646" s="8" t="s">
        <v>2276</v>
      </c>
      <c r="K646" s="281" t="str">
        <f>IF(H646="","",IFERROR(VLOOKUP(H646,Instructions!D:E,2,0),"BA"))</f>
        <v>BA</v>
      </c>
      <c r="L646" s="30" t="s">
        <v>2277</v>
      </c>
      <c r="M646" s="151">
        <f>IF(SUM(V646:BC646)=0,"-",SUM(V646:BC646))</f>
        <v>12</v>
      </c>
      <c r="N646" s="65">
        <f>IF(SUMPRODUCT($V$3:$BC$3,V646:BC646)=0,"-",SUMPRODUCT($V$3:$BC$3,V646:BC646))</f>
        <v>860</v>
      </c>
      <c r="O646" s="30" t="s">
        <v>2278</v>
      </c>
      <c r="P646" s="280" t="s">
        <v>481</v>
      </c>
      <c r="Q646" s="211">
        <v>4200680997</v>
      </c>
      <c r="R646" s="211"/>
      <c r="S646" s="211" t="s">
        <v>249</v>
      </c>
      <c r="T646" s="211" t="s">
        <v>2279</v>
      </c>
      <c r="U646" s="253" t="s">
        <v>1226</v>
      </c>
      <c r="AC646" s="7">
        <v>4</v>
      </c>
      <c r="AD646" s="8">
        <v>8</v>
      </c>
    </row>
    <row r="647" spans="1:30" hidden="1">
      <c r="A647" s="286" t="s">
        <v>244</v>
      </c>
      <c r="B647" s="286" t="s">
        <v>221</v>
      </c>
      <c r="C647" s="280" t="s">
        <v>2</v>
      </c>
      <c r="D647" s="281" t="str">
        <f>IF(F647="","",CHOOSE(MONTH(F647),"Q4","Q4","Q4","Q1","Q1","Q1","Q2","Q2","Q2","Q3","Q3","Q3"))</f>
        <v>Q4</v>
      </c>
      <c r="E647" s="282" t="str">
        <f>IF(F647="","",CHOOSE(MONTH(F647),"10-JAN","11-FEB","12-MAR","01-APR","02-MAY","03-JUN","04-JUL","05-AUG","06-SEP","07-OCT","08-NOV","09-DEC"))</f>
        <v>11-FEB</v>
      </c>
      <c r="F647" s="242">
        <v>45715</v>
      </c>
      <c r="G647" s="235" t="s">
        <v>2280</v>
      </c>
      <c r="H647" s="5" t="s">
        <v>1699</v>
      </c>
      <c r="I647" s="29" t="s">
        <v>223</v>
      </c>
      <c r="J647" s="8" t="s">
        <v>95</v>
      </c>
      <c r="K647" s="281" t="str">
        <f>IF(H647="","",IFERROR(VLOOKUP(H647,Instructions!D:E,2,0),"BA"))</f>
        <v>BA</v>
      </c>
      <c r="L647" s="30" t="s">
        <v>2281</v>
      </c>
      <c r="M647" s="151">
        <f>IF(SUM(V647:BC647)=0,"-",SUM(V647:BC647))</f>
        <v>1</v>
      </c>
      <c r="N647" s="352">
        <f>IF(SUMPRODUCT($V$3:$BC$3,V647:BC647)=0,"-",SUMPRODUCT($V$3:$BC$3,V647:BC647))</f>
        <v>120</v>
      </c>
      <c r="P647" s="280" t="s">
        <v>481</v>
      </c>
      <c r="Q647" s="411">
        <v>4200679422</v>
      </c>
      <c r="R647" s="211"/>
      <c r="S647" s="211" t="s">
        <v>249</v>
      </c>
      <c r="T647" s="211" t="s">
        <v>2016</v>
      </c>
      <c r="U647" s="253" t="s">
        <v>1306</v>
      </c>
      <c r="V647" s="7">
        <v>1</v>
      </c>
    </row>
    <row r="648" spans="1:30" hidden="1">
      <c r="A648" s="286" t="s">
        <v>244</v>
      </c>
      <c r="B648" s="286" t="s">
        <v>221</v>
      </c>
      <c r="C648" s="280" t="s">
        <v>2</v>
      </c>
      <c r="D648" s="281" t="str">
        <f>IF(F648="","",CHOOSE(MONTH(F648),"Q4","Q4","Q4","Q1","Q1","Q1","Q2","Q2","Q2","Q3","Q3","Q3"))</f>
        <v>Q4</v>
      </c>
      <c r="E648" s="282" t="str">
        <f>IF(F648="","",CHOOSE(MONTH(F648),"10-JAN","11-FEB","12-MAR","01-APR","02-MAY","03-JUN","04-JUL","05-AUG","06-SEP","07-OCT","08-NOV","09-DEC"))</f>
        <v>11-FEB</v>
      </c>
      <c r="F648" s="242">
        <v>45715</v>
      </c>
      <c r="G648" s="231" t="s">
        <v>2282</v>
      </c>
      <c r="H648" s="5" t="s">
        <v>35</v>
      </c>
      <c r="I648" s="29" t="s">
        <v>223</v>
      </c>
      <c r="J648" s="8" t="s">
        <v>93</v>
      </c>
      <c r="K648" s="281" t="str">
        <f>IF(H648="","",IFERROR(VLOOKUP(H648,Instructions!D:E,2,0),"BA"))</f>
        <v>BA</v>
      </c>
      <c r="L648" s="30" t="s">
        <v>2283</v>
      </c>
      <c r="M648" s="151">
        <f>IF(SUM(V648:BC648)=0,"-",SUM(V648:BC648))</f>
        <v>10</v>
      </c>
      <c r="N648" s="65">
        <f>IF(SUMPRODUCT($V$3:$BC$3,V648:BC648)=0,"-",SUMPRODUCT($V$3:$BC$3,V648:BC648))</f>
        <v>635</v>
      </c>
      <c r="O648" s="30" t="s">
        <v>2284</v>
      </c>
      <c r="P648" s="280" t="s">
        <v>481</v>
      </c>
      <c r="Q648" s="211">
        <v>4200680438</v>
      </c>
      <c r="R648" s="211"/>
      <c r="S648" s="211" t="s">
        <v>249</v>
      </c>
      <c r="T648" s="211" t="s">
        <v>1856</v>
      </c>
      <c r="U648" s="253" t="s">
        <v>1226</v>
      </c>
      <c r="W648" s="8">
        <v>5</v>
      </c>
      <c r="X648" s="8">
        <v>1</v>
      </c>
      <c r="Y648" s="8">
        <v>4</v>
      </c>
    </row>
    <row r="649" spans="1:30" hidden="1">
      <c r="A649" s="286" t="s">
        <v>244</v>
      </c>
      <c r="B649" s="286" t="s">
        <v>221</v>
      </c>
      <c r="C649" s="280" t="s">
        <v>2</v>
      </c>
      <c r="D649" s="281" t="str">
        <f>IF(F649="","",CHOOSE(MONTH(F649),"Q4","Q4","Q4","Q1","Q1","Q1","Q2","Q2","Q2","Q3","Q3","Q3"))</f>
        <v>Q4</v>
      </c>
      <c r="E649" s="282" t="str">
        <f>IF(F649="","",CHOOSE(MONTH(F649),"10-JAN","11-FEB","12-MAR","01-APR","02-MAY","03-JUN","04-JUL","05-AUG","06-SEP","07-OCT","08-NOV","09-DEC"))</f>
        <v>11-FEB</v>
      </c>
      <c r="F649" s="242">
        <v>45716</v>
      </c>
      <c r="G649" s="235" t="s">
        <v>2285</v>
      </c>
      <c r="H649" s="5" t="s">
        <v>2018</v>
      </c>
      <c r="I649" s="29" t="s">
        <v>223</v>
      </c>
      <c r="J649" s="105" t="s">
        <v>69</v>
      </c>
      <c r="K649" s="281" t="str">
        <f>IF(H649="","",IFERROR(VLOOKUP(H649,Instructions!D:E,2,0),"BA"))</f>
        <v>BA</v>
      </c>
      <c r="L649" s="418" t="s">
        <v>2286</v>
      </c>
      <c r="M649" s="151">
        <f>IF(SUM(V649:BC649)=0,"-",SUM(V649:BC649))</f>
        <v>10</v>
      </c>
      <c r="N649" s="419">
        <f>IF(SUMPRODUCT($V$3:$BC$3,V649:BC649)=0,"-",SUMPRODUCT($V$3:$BC$3,V649:BC649))</f>
        <v>495</v>
      </c>
      <c r="O649" s="30" t="s">
        <v>2287</v>
      </c>
      <c r="P649" s="415" t="s">
        <v>481</v>
      </c>
      <c r="Q649" s="139">
        <v>4200678470</v>
      </c>
      <c r="R649" s="260"/>
      <c r="S649" s="211" t="s">
        <v>249</v>
      </c>
      <c r="T649" s="211" t="s">
        <v>2288</v>
      </c>
      <c r="U649" s="253" t="s">
        <v>2289</v>
      </c>
      <c r="V649" s="416"/>
      <c r="W649" s="374"/>
      <c r="X649" s="374"/>
      <c r="Y649" s="374"/>
      <c r="AC649" s="7">
        <v>1</v>
      </c>
      <c r="AD649" s="8">
        <v>9</v>
      </c>
    </row>
    <row r="650" spans="1:30" hidden="1">
      <c r="A650" s="286" t="s">
        <v>244</v>
      </c>
      <c r="B650" s="286" t="s">
        <v>221</v>
      </c>
      <c r="C650" s="280" t="s">
        <v>2</v>
      </c>
      <c r="D650" s="281" t="str">
        <f>IF(F650="","",CHOOSE(MONTH(F650),"Q4","Q4","Q4","Q1","Q1","Q1","Q2","Q2","Q2","Q3","Q3","Q3"))</f>
        <v>Q4</v>
      </c>
      <c r="E650" s="282" t="str">
        <f>IF(F650="","",CHOOSE(MONTH(F650),"10-JAN","11-FEB","12-MAR","01-APR","02-MAY","03-JUN","04-JUL","05-AUG","06-SEP","07-OCT","08-NOV","09-DEC"))</f>
        <v>12-MAR</v>
      </c>
      <c r="F650" s="242">
        <v>45719</v>
      </c>
      <c r="G650" s="235" t="s">
        <v>2290</v>
      </c>
      <c r="H650" s="156" t="s">
        <v>26</v>
      </c>
      <c r="I650" s="29" t="s">
        <v>223</v>
      </c>
      <c r="J650" s="105" t="s">
        <v>69</v>
      </c>
      <c r="K650" s="281" t="s">
        <v>30</v>
      </c>
      <c r="L650" s="418" t="s">
        <v>2291</v>
      </c>
      <c r="M650" s="151">
        <f>IF(SUM(V650:BC650)=0,"-",SUM(V650:BC650))</f>
        <v>10</v>
      </c>
      <c r="N650" s="419">
        <f>IF(SUMPRODUCT($V$3:$BC$3,V650:BC650)=0,"-",SUMPRODUCT($V$3:$BC$3,V650:BC650))</f>
        <v>775</v>
      </c>
      <c r="O650" s="374"/>
      <c r="P650" s="415" t="s">
        <v>481</v>
      </c>
      <c r="Q650" s="139">
        <v>4200673779</v>
      </c>
      <c r="R650" s="260" t="s">
        <v>1302</v>
      </c>
      <c r="S650" s="211" t="s">
        <v>249</v>
      </c>
      <c r="T650" s="211" t="s">
        <v>1821</v>
      </c>
      <c r="U650" s="253" t="s">
        <v>1226</v>
      </c>
      <c r="V650" s="416">
        <v>5</v>
      </c>
      <c r="W650" s="374">
        <v>5</v>
      </c>
      <c r="X650" s="374"/>
      <c r="Y650" s="374"/>
    </row>
    <row r="651" spans="1:30" hidden="1">
      <c r="A651" s="286" t="s">
        <v>244</v>
      </c>
      <c r="B651" s="286" t="s">
        <v>221</v>
      </c>
      <c r="C651" s="280" t="s">
        <v>2</v>
      </c>
      <c r="D651" s="281" t="str">
        <f>IF(F651="","",CHOOSE(MONTH(F651),"Q4","Q4","Q4","Q1","Q1","Q1","Q2","Q2","Q2","Q3","Q3","Q3"))</f>
        <v>Q4</v>
      </c>
      <c r="E651" s="282" t="str">
        <f>IF(F651="","",CHOOSE(MONTH(F651),"10-JAN","11-FEB","12-MAR","01-APR","02-MAY","03-JUN","04-JUL","05-AUG","06-SEP","07-OCT","08-NOV","09-DEC"))</f>
        <v>12-MAR</v>
      </c>
      <c r="F651" s="242">
        <v>45726</v>
      </c>
      <c r="G651" s="222" t="s">
        <v>2292</v>
      </c>
      <c r="H651" s="410" t="s">
        <v>1699</v>
      </c>
      <c r="I651" s="29" t="s">
        <v>223</v>
      </c>
      <c r="J651" s="8" t="s">
        <v>130</v>
      </c>
      <c r="K651" s="281" t="str">
        <f>IF(H651="","",IFERROR(VLOOKUP(H651,Instructions!D:E,2,0),"BA"))</f>
        <v>BA</v>
      </c>
      <c r="L651" s="30" t="s">
        <v>2293</v>
      </c>
      <c r="M651" s="105">
        <v>1</v>
      </c>
      <c r="N651" s="65">
        <f>IF(SUMPRODUCT($V$3:$BC$3,V651:BC651)=0,"-",SUMPRODUCT($V$3:$BC$3,V651:BC651))</f>
        <v>40</v>
      </c>
      <c r="O651" s="30" t="s">
        <v>2294</v>
      </c>
      <c r="P651" s="280" t="s">
        <v>481</v>
      </c>
      <c r="Q651" s="211">
        <v>4270029626</v>
      </c>
      <c r="R651" s="211"/>
      <c r="S651" s="211" t="s">
        <v>249</v>
      </c>
      <c r="T651" s="211" t="s">
        <v>2295</v>
      </c>
      <c r="U651" s="253" t="s">
        <v>2296</v>
      </c>
      <c r="AD651" s="8">
        <v>1</v>
      </c>
    </row>
    <row r="652" spans="1:30" hidden="1">
      <c r="A652" s="286" t="s">
        <v>244</v>
      </c>
      <c r="B652" s="286" t="s">
        <v>221</v>
      </c>
      <c r="C652" s="280" t="s">
        <v>2</v>
      </c>
      <c r="D652" s="281" t="str">
        <f>IF(F652="","",CHOOSE(MONTH(F652),"Q4","Q4","Q4","Q1","Q1","Q1","Q2","Q2","Q2","Q3","Q3","Q3"))</f>
        <v>Q4</v>
      </c>
      <c r="E652" s="282" t="str">
        <f>IF(F652="","",CHOOSE(MONTH(F652),"10-JAN","11-FEB","12-MAR","01-APR","02-MAY","03-JUN","04-JUL","05-AUG","06-SEP","07-OCT","08-NOV","09-DEC"))</f>
        <v>12-MAR</v>
      </c>
      <c r="F652" s="242">
        <v>45726</v>
      </c>
      <c r="G652" s="231" t="s">
        <v>2297</v>
      </c>
      <c r="H652" s="5" t="s">
        <v>1787</v>
      </c>
      <c r="I652" s="29" t="s">
        <v>223</v>
      </c>
      <c r="J652" s="8" t="s">
        <v>2276</v>
      </c>
      <c r="K652" s="281" t="str">
        <f>IF(H652="","",IFERROR(VLOOKUP(H652,Instructions!D:E,2,0),"BA"))</f>
        <v>BA</v>
      </c>
      <c r="L652" s="30" t="s">
        <v>2298</v>
      </c>
      <c r="M652" s="151">
        <f>IF(SUM(V652:BC652)=0,"-",SUM(V652:BC652))</f>
        <v>17</v>
      </c>
      <c r="N652" s="65">
        <f>IF(SUMPRODUCT($V$3:$BC$3,V652:BC652)=0,"-",SUMPRODUCT($V$3:$BC$3,V652:BC652))</f>
        <v>595</v>
      </c>
      <c r="O652" s="30" t="s">
        <v>2299</v>
      </c>
      <c r="P652" s="280" t="s">
        <v>481</v>
      </c>
      <c r="Q652" s="211">
        <v>4200680998</v>
      </c>
      <c r="R652" s="211"/>
      <c r="S652" s="211" t="s">
        <v>249</v>
      </c>
      <c r="T652" s="211" t="s">
        <v>2300</v>
      </c>
      <c r="U652" s="253" t="s">
        <v>1226</v>
      </c>
      <c r="W652" s="8">
        <v>17</v>
      </c>
    </row>
    <row r="653" spans="1:30" hidden="1">
      <c r="A653" s="286" t="s">
        <v>244</v>
      </c>
      <c r="B653" s="286" t="s">
        <v>221</v>
      </c>
      <c r="C653" s="280" t="s">
        <v>2</v>
      </c>
      <c r="D653" s="281" t="str">
        <f>IF(F653="","",CHOOSE(MONTH(F653),"Q4","Q4","Q4","Q1","Q1","Q1","Q2","Q2","Q2","Q3","Q3","Q3"))</f>
        <v>Q4</v>
      </c>
      <c r="E653" s="282" t="str">
        <f>IF(F653="","",CHOOSE(MONTH(F653),"10-JAN","11-FEB","12-MAR","01-APR","02-MAY","03-JUN","04-JUL","05-AUG","06-SEP","07-OCT","08-NOV","09-DEC"))</f>
        <v>12-MAR</v>
      </c>
      <c r="F653" s="242">
        <v>45726</v>
      </c>
      <c r="G653" s="231" t="s">
        <v>2205</v>
      </c>
      <c r="H653" s="5" t="s">
        <v>1787</v>
      </c>
      <c r="I653" s="29" t="s">
        <v>223</v>
      </c>
      <c r="J653" s="8" t="s">
        <v>2276</v>
      </c>
      <c r="K653" s="281" t="str">
        <f>IF(H653="","",IFERROR(VLOOKUP(H653,Instructions!D:E,2,0),"BA"))</f>
        <v>BA</v>
      </c>
      <c r="L653" s="30" t="s">
        <v>2206</v>
      </c>
      <c r="M653" s="151">
        <v>2</v>
      </c>
      <c r="N653" s="65">
        <f>IF(SUMPRODUCT($V$3:$BC$3,V653:BC653)=0,"-",SUMPRODUCT($V$3:$BC$3,V653:BC653))</f>
        <v>175</v>
      </c>
      <c r="O653" s="30" t="s">
        <v>2207</v>
      </c>
      <c r="P653" s="280" t="s">
        <v>481</v>
      </c>
      <c r="Q653" s="211">
        <v>4200680999</v>
      </c>
      <c r="R653" s="211"/>
      <c r="S653" s="211" t="s">
        <v>249</v>
      </c>
      <c r="T653" s="211" t="s">
        <v>2301</v>
      </c>
      <c r="U653" s="253" t="s">
        <v>2209</v>
      </c>
      <c r="AC653" s="7">
        <v>1</v>
      </c>
      <c r="AD653" s="8">
        <v>1</v>
      </c>
    </row>
    <row r="654" spans="1:30" hidden="1">
      <c r="A654" s="286" t="s">
        <v>244</v>
      </c>
      <c r="B654" s="286" t="s">
        <v>221</v>
      </c>
      <c r="C654" s="280" t="s">
        <v>2302</v>
      </c>
      <c r="D654" s="281" t="str">
        <f>IF(F654="","",CHOOSE(MONTH(F654),"Q4","Q4","Q4","Q1","Q1","Q1","Q2","Q2","Q2","Q3","Q3","Q3"))</f>
        <v>Q4</v>
      </c>
      <c r="E654" s="282" t="str">
        <f>IF(F654="","",CHOOSE(MONTH(F654),"10-JAN","11-FEB","12-MAR","01-APR","02-MAY","03-JUN","04-JUL","05-AUG","06-SEP","07-OCT","08-NOV","09-DEC"))</f>
        <v>12-MAR</v>
      </c>
      <c r="F654" s="242">
        <v>45726</v>
      </c>
      <c r="G654" s="231" t="s">
        <v>2303</v>
      </c>
      <c r="H654" s="5" t="s">
        <v>2304</v>
      </c>
      <c r="I654" s="29" t="s">
        <v>223</v>
      </c>
      <c r="L654" s="78" t="s">
        <v>2305</v>
      </c>
      <c r="M654" s="151">
        <f>IF(SUM(V654:BC654)=0,"-",SUM(V654:BC654))</f>
        <v>13</v>
      </c>
      <c r="N654" s="352">
        <f>IF(SUMPRODUCT($V$3:$BC$3,V654:BC654)=0,"-",SUMPRODUCT($V$3:$BC$3,V654:BC654))</f>
        <v>520</v>
      </c>
      <c r="O654" s="98" t="s">
        <v>2306</v>
      </c>
      <c r="P654" s="280" t="s">
        <v>481</v>
      </c>
      <c r="Q654" s="359"/>
      <c r="R654" s="359"/>
      <c r="S654" s="359"/>
      <c r="T654" s="359"/>
      <c r="U654" s="360"/>
      <c r="AD654" s="8">
        <v>13</v>
      </c>
    </row>
    <row r="655" spans="1:30" hidden="1">
      <c r="A655" s="286" t="s">
        <v>244</v>
      </c>
      <c r="B655" s="286" t="s">
        <v>221</v>
      </c>
      <c r="C655" s="280" t="s">
        <v>2</v>
      </c>
      <c r="D655" s="281" t="str">
        <f>IF(F655="","",CHOOSE(MONTH(F655),"Q4","Q4","Q4","Q1","Q1","Q1","Q2","Q2","Q2","Q3","Q3","Q3"))</f>
        <v>Q4</v>
      </c>
      <c r="E655" s="282" t="str">
        <f>IF(F655="","",CHOOSE(MONTH(F655),"10-JAN","11-FEB","12-MAR","01-APR","02-MAY","03-JUN","04-JUL","05-AUG","06-SEP","07-OCT","08-NOV","09-DEC"))</f>
        <v>12-MAR</v>
      </c>
      <c r="F655" s="242">
        <v>45728</v>
      </c>
      <c r="G655" s="231" t="s">
        <v>2307</v>
      </c>
      <c r="H655" s="5" t="s">
        <v>26</v>
      </c>
      <c r="I655" s="29" t="s">
        <v>223</v>
      </c>
      <c r="J655" s="8" t="s">
        <v>69</v>
      </c>
      <c r="K655" s="281" t="str">
        <f>IF(H655="","",IFERROR(VLOOKUP(H655,Instructions!D:E,2,0),"BA"))</f>
        <v>CM</v>
      </c>
      <c r="L655" s="30" t="s">
        <v>2308</v>
      </c>
      <c r="M655" s="151">
        <f>IF(SUM(V655:BC655)=0,"-",SUM(V655:BC655))</f>
        <v>2</v>
      </c>
      <c r="N655" s="241">
        <f>IF(SUMPRODUCT($V$3:$BC$3,V655:BC655)=0,"-",SUMPRODUCT($V$3:$BC$3,V655:BC655))</f>
        <v>155</v>
      </c>
      <c r="P655" s="280" t="s">
        <v>481</v>
      </c>
      <c r="Q655" s="139">
        <v>4200673779</v>
      </c>
      <c r="R655" s="260" t="s">
        <v>1302</v>
      </c>
      <c r="S655" s="211" t="s">
        <v>249</v>
      </c>
      <c r="T655" s="211" t="s">
        <v>1821</v>
      </c>
      <c r="U655" s="253" t="s">
        <v>1226</v>
      </c>
      <c r="V655" s="7">
        <v>1</v>
      </c>
      <c r="W655" s="8">
        <v>1</v>
      </c>
    </row>
    <row r="656" spans="1:30" hidden="1">
      <c r="A656" s="286" t="s">
        <v>244</v>
      </c>
      <c r="B656" s="286" t="s">
        <v>221</v>
      </c>
      <c r="C656" s="280" t="s">
        <v>2</v>
      </c>
      <c r="D656" s="281" t="str">
        <f>IF(F656="","",CHOOSE(MONTH(F656),"Q4","Q4","Q4","Q1","Q1","Q1","Q2","Q2","Q2","Q3","Q3","Q3"))</f>
        <v>Q4</v>
      </c>
      <c r="E656" s="282" t="str">
        <f>IF(F656="","",CHOOSE(MONTH(F656),"10-JAN","11-FEB","12-MAR","01-APR","02-MAY","03-JUN","04-JUL","05-AUG","06-SEP","07-OCT","08-NOV","09-DEC"))</f>
        <v>12-MAR</v>
      </c>
      <c r="F656" s="242">
        <v>45729</v>
      </c>
      <c r="G656" s="231" t="s">
        <v>2309</v>
      </c>
      <c r="H656" s="459" t="s">
        <v>1304</v>
      </c>
      <c r="I656" s="29" t="s">
        <v>223</v>
      </c>
      <c r="J656" s="8" t="s">
        <v>130</v>
      </c>
      <c r="K656" s="281" t="str">
        <f>IF(H656="","",IFERROR(VLOOKUP(H656,Instructions!D:E,2,0),"BA"))</f>
        <v>BA</v>
      </c>
      <c r="L656" s="30" t="s">
        <v>2310</v>
      </c>
      <c r="M656" s="151">
        <f>IF(SUM(V656:BC656)=0,"-",SUM(V656:BC656))</f>
        <v>3</v>
      </c>
      <c r="N656" s="241">
        <f>IF(SUMPRODUCT($V$3:$BC$3,V656:BC656)=0,"-",SUMPRODUCT($V$3:$BC$3,V656:BC656))</f>
        <v>310</v>
      </c>
      <c r="O656" s="30" t="s">
        <v>2311</v>
      </c>
      <c r="P656" s="280" t="s">
        <v>481</v>
      </c>
      <c r="Q656" s="211">
        <v>4200680739</v>
      </c>
      <c r="R656" s="211"/>
      <c r="S656" s="211" t="s">
        <v>249</v>
      </c>
      <c r="T656" s="211" t="s">
        <v>2312</v>
      </c>
      <c r="U656" s="253" t="s">
        <v>1226</v>
      </c>
      <c r="AC656" s="7">
        <v>2</v>
      </c>
      <c r="AD656" s="8">
        <v>1</v>
      </c>
    </row>
    <row r="657" spans="1:33" hidden="1">
      <c r="A657" s="286" t="s">
        <v>244</v>
      </c>
      <c r="B657" s="286" t="s">
        <v>221</v>
      </c>
      <c r="C657" s="280" t="s">
        <v>2</v>
      </c>
      <c r="D657" s="281" t="str">
        <f>IF(F657="","",CHOOSE(MONTH(F657),"Q4","Q4","Q4","Q1","Q1","Q1","Q2","Q2","Q2","Q3","Q3","Q3"))</f>
        <v>Q4</v>
      </c>
      <c r="E657" s="282" t="str">
        <f>IF(F657="","",CHOOSE(MONTH(F657),"10-JAN","11-FEB","12-MAR","01-APR","02-MAY","03-JUN","04-JUL","05-AUG","06-SEP","07-OCT","08-NOV","09-DEC"))</f>
        <v>12-MAR</v>
      </c>
      <c r="F657" s="242">
        <v>45733</v>
      </c>
      <c r="G657" s="231" t="s">
        <v>2313</v>
      </c>
      <c r="H657" s="459" t="s">
        <v>31</v>
      </c>
      <c r="I657" s="29" t="s">
        <v>223</v>
      </c>
      <c r="J657" s="8" t="s">
        <v>93</v>
      </c>
      <c r="K657" s="281" t="str">
        <f>IF(H657="","",IFERROR(VLOOKUP(H657,Instructions!D:E,2,0),"BA"))</f>
        <v>BA</v>
      </c>
      <c r="L657" s="30" t="s">
        <v>2314</v>
      </c>
      <c r="M657" s="151">
        <v>3</v>
      </c>
      <c r="N657" s="241">
        <f>IF(SUMPRODUCT($V$3:$BC$3,V657:BC657)=0,"-",SUMPRODUCT($V$3:$BC$3,V657:BC657))</f>
        <v>540</v>
      </c>
      <c r="O657" s="30" t="s">
        <v>2315</v>
      </c>
      <c r="P657" s="280" t="s">
        <v>481</v>
      </c>
      <c r="Q657" s="211">
        <v>4200680438</v>
      </c>
      <c r="R657" s="211"/>
      <c r="S657" s="211" t="s">
        <v>249</v>
      </c>
      <c r="T657" s="211" t="s">
        <v>1856</v>
      </c>
      <c r="U657" s="253" t="s">
        <v>1226</v>
      </c>
      <c r="AE657" s="8">
        <v>3</v>
      </c>
    </row>
    <row r="658" spans="1:33" hidden="1">
      <c r="A658" s="286" t="s">
        <v>244</v>
      </c>
      <c r="B658" s="286" t="s">
        <v>221</v>
      </c>
      <c r="C658" s="280" t="s">
        <v>2</v>
      </c>
      <c r="D658" s="281" t="str">
        <f>IF(F658="","",CHOOSE(MONTH(F658),"Q4","Q4","Q4","Q1","Q1","Q1","Q2","Q2","Q2","Q3","Q3","Q3"))</f>
        <v>Q4</v>
      </c>
      <c r="E658" s="282" t="str">
        <f>IF(F658="","",CHOOSE(MONTH(F658),"10-JAN","11-FEB","12-MAR","01-APR","02-MAY","03-JUN","04-JUL","05-AUG","06-SEP","07-OCT","08-NOV","09-DEC"))</f>
        <v>12-MAR</v>
      </c>
      <c r="F658" s="242">
        <v>45733</v>
      </c>
      <c r="G658" s="231" t="s">
        <v>2316</v>
      </c>
      <c r="H658" s="5" t="s">
        <v>1787</v>
      </c>
      <c r="I658" s="29" t="s">
        <v>223</v>
      </c>
      <c r="J658" s="8" t="s">
        <v>69</v>
      </c>
      <c r="K658" s="281" t="str">
        <f>IF(H658="","",IFERROR(VLOOKUP(H658,Instructions!D:E,2,0),"BA"))</f>
        <v>BA</v>
      </c>
      <c r="L658" s="30"/>
      <c r="M658" s="151">
        <f>IF(SUM(V658:BC658)=0,"-",SUM(V658:BC658))</f>
        <v>3</v>
      </c>
      <c r="N658" s="65">
        <f>IF(SUMPRODUCT($V$3:$BC$3,V658:BC658)=0,"-",SUMPRODUCT($V$3:$BC$3,V658:BC658))</f>
        <v>360</v>
      </c>
      <c r="O658" s="30" t="s">
        <v>2317</v>
      </c>
      <c r="P658" s="280" t="s">
        <v>481</v>
      </c>
      <c r="Q658" s="211">
        <v>4200681672</v>
      </c>
      <c r="R658" s="211"/>
      <c r="S658" s="211" t="s">
        <v>249</v>
      </c>
      <c r="T658" s="211" t="s">
        <v>2318</v>
      </c>
      <c r="U658" s="253" t="s">
        <v>2319</v>
      </c>
      <c r="V658" s="7">
        <v>3</v>
      </c>
    </row>
    <row r="659" spans="1:33" hidden="1" outlineLevel="1">
      <c r="A659" s="286" t="s">
        <v>244</v>
      </c>
      <c r="B659" s="286" t="s">
        <v>221</v>
      </c>
      <c r="C659" s="280" t="s">
        <v>2</v>
      </c>
      <c r="D659" s="281" t="str">
        <f>IF(F659="","",CHOOSE(MONTH(F659),"Q4","Q4","Q4","Q1","Q1","Q1","Q2","Q2","Q2","Q3","Q3","Q3"))</f>
        <v>Q4</v>
      </c>
      <c r="E659" s="282" t="str">
        <f>IF(F659="","",CHOOSE(MONTH(F659),"10-JAN","11-FEB","12-MAR","01-APR","02-MAY","03-JUN","04-JUL","05-AUG","06-SEP","07-OCT","08-NOV","09-DEC"))</f>
        <v>12-MAR</v>
      </c>
      <c r="F659" s="242">
        <v>45734</v>
      </c>
      <c r="G659" s="231" t="s">
        <v>2320</v>
      </c>
      <c r="H659" s="459" t="s">
        <v>1304</v>
      </c>
      <c r="I659" s="29" t="s">
        <v>223</v>
      </c>
      <c r="J659" s="8" t="s">
        <v>130</v>
      </c>
      <c r="K659" s="281" t="str">
        <f>IF(H659="","",IFERROR(VLOOKUP(H659,Instructions!D:E,2,0),"BA"))</f>
        <v>BA</v>
      </c>
      <c r="L659" s="30" t="s">
        <v>2321</v>
      </c>
      <c r="M659" s="151">
        <f>IF(SUM(V659:BC659)=0,"-",SUM(V659:BC659))</f>
        <v>51</v>
      </c>
      <c r="N659" s="419">
        <f>IF(SUMPRODUCT($V$3:$BC$3,V659:BC659)=0,"-",SUMPRODUCT($V$3:$BC$3,V659:BC659))</f>
        <v>2035</v>
      </c>
      <c r="O659" s="30" t="s">
        <v>2322</v>
      </c>
      <c r="P659" s="280" t="s">
        <v>481</v>
      </c>
      <c r="Q659" s="248">
        <v>4200683822</v>
      </c>
      <c r="R659" s="211"/>
      <c r="S659" s="211" t="s">
        <v>249</v>
      </c>
      <c r="T659" s="211" t="s">
        <v>2323</v>
      </c>
      <c r="U659" s="253" t="s">
        <v>2324</v>
      </c>
      <c r="V659" s="7">
        <v>1</v>
      </c>
      <c r="W659" s="8">
        <v>17</v>
      </c>
      <c r="AD659" s="8">
        <v>33</v>
      </c>
    </row>
    <row r="660" spans="1:33" hidden="1" collapsed="1">
      <c r="A660" s="286" t="s">
        <v>244</v>
      </c>
      <c r="B660" s="286" t="s">
        <v>221</v>
      </c>
      <c r="C660" s="280" t="s">
        <v>2</v>
      </c>
      <c r="D660" s="281" t="str">
        <f>IF(F660="","",CHOOSE(MONTH(F660),"Q4","Q4","Q4","Q1","Q1","Q1","Q2","Q2","Q2","Q3","Q3","Q3"))</f>
        <v>Q4</v>
      </c>
      <c r="E660" s="282" t="str">
        <f>IF(F660="","",CHOOSE(MONTH(F660),"10-JAN","11-FEB","12-MAR","01-APR","02-MAY","03-JUN","04-JUL","05-AUG","06-SEP","07-OCT","08-NOV","09-DEC"))</f>
        <v>12-MAR</v>
      </c>
      <c r="F660" s="242">
        <v>45735</v>
      </c>
      <c r="G660" s="231" t="s">
        <v>2325</v>
      </c>
      <c r="H660" s="459" t="s">
        <v>764</v>
      </c>
      <c r="I660" s="29" t="s">
        <v>223</v>
      </c>
      <c r="J660" s="8" t="s">
        <v>129</v>
      </c>
      <c r="K660" s="281" t="str">
        <f>IF(H660="","",IFERROR(VLOOKUP(H660,Instructions!D:E,2,0),"BA"))</f>
        <v>BA</v>
      </c>
      <c r="L660" s="30" t="s">
        <v>2326</v>
      </c>
      <c r="M660" s="151">
        <f>IF(SUM(V660:BC660)=0,"-",SUM(V660:BC660))</f>
        <v>1</v>
      </c>
      <c r="N660" s="65">
        <f>IF(SUMPRODUCT($V$3:$BC$3,V660:BC660)=0,"-",SUMPRODUCT($V$3:$BC$3,V660:BC660))</f>
        <v>250</v>
      </c>
      <c r="O660" s="30" t="s">
        <v>2327</v>
      </c>
      <c r="P660" s="280" t="s">
        <v>481</v>
      </c>
      <c r="Q660" s="211">
        <v>4200665532</v>
      </c>
      <c r="R660" s="211"/>
      <c r="S660" s="211" t="s">
        <v>249</v>
      </c>
      <c r="T660" s="429" t="s">
        <v>1801</v>
      </c>
      <c r="U660" s="253" t="s">
        <v>1802</v>
      </c>
      <c r="AF660" s="8">
        <v>1</v>
      </c>
    </row>
    <row r="661" spans="1:33" hidden="1">
      <c r="C661" s="280" t="s">
        <v>2</v>
      </c>
      <c r="F661" s="242">
        <v>45735</v>
      </c>
      <c r="G661" s="231" t="s">
        <v>2328</v>
      </c>
      <c r="H661" s="459" t="s">
        <v>764</v>
      </c>
      <c r="I661" s="29" t="s">
        <v>223</v>
      </c>
      <c r="J661" s="8" t="s">
        <v>129</v>
      </c>
      <c r="K661" s="281" t="str">
        <f>IF(H661="","",IFERROR(VLOOKUP(H661,Instructions!D:E,2,0),"BA"))</f>
        <v>BA</v>
      </c>
      <c r="L661" s="30" t="s">
        <v>2329</v>
      </c>
      <c r="M661" s="151" t="str">
        <f>IF(SUM(V661:BC661)=0,"-",SUM(V661:BC661))</f>
        <v>-</v>
      </c>
      <c r="N661" s="65" t="str">
        <f>IF(SUMPRODUCT($V$3:$BC$3,V661:BC661)=0,"-",SUMPRODUCT($V$3:$BC$3,V661:BC661))</f>
        <v>-</v>
      </c>
      <c r="P661" s="280" t="s">
        <v>481</v>
      </c>
      <c r="Q661" s="211">
        <v>4200665532</v>
      </c>
      <c r="R661" s="413"/>
      <c r="S661" s="211" t="s">
        <v>249</v>
      </c>
      <c r="T661" s="425" t="s">
        <v>1801</v>
      </c>
      <c r="U661" s="253" t="s">
        <v>1802</v>
      </c>
    </row>
    <row r="662" spans="1:33" hidden="1">
      <c r="A662" s="286" t="s">
        <v>244</v>
      </c>
      <c r="B662" s="286" t="s">
        <v>221</v>
      </c>
      <c r="C662" s="280" t="s">
        <v>2</v>
      </c>
      <c r="D662" s="281" t="str">
        <f>IF(F662="","",CHOOSE(MONTH(F662),"Q4","Q4","Q4","Q1","Q1","Q1","Q2","Q2","Q2","Q3","Q3","Q3"))</f>
        <v>Q4</v>
      </c>
      <c r="E662" s="282" t="str">
        <f>IF(F662="","",CHOOSE(MONTH(F662),"10-JAN","11-FEB","12-MAR","01-APR","02-MAY","03-JUN","04-JUL","05-AUG","06-SEP","07-OCT","08-NOV","09-DEC"))</f>
        <v>12-MAR</v>
      </c>
      <c r="F662" s="242">
        <v>45736</v>
      </c>
      <c r="G662" s="231" t="s">
        <v>2328</v>
      </c>
      <c r="H662" s="459" t="s">
        <v>764</v>
      </c>
      <c r="I662" s="29" t="s">
        <v>223</v>
      </c>
      <c r="J662" s="8" t="s">
        <v>129</v>
      </c>
      <c r="K662" s="281" t="str">
        <f>IF(H662="","",IFERROR(VLOOKUP(H662,Instructions!D:E,2,0),"BA"))</f>
        <v>BA</v>
      </c>
      <c r="L662" s="30" t="s">
        <v>2329</v>
      </c>
      <c r="M662" s="151">
        <f>IF(SUM(V662:BC662)=0,"-",SUM(V662:BC662))</f>
        <v>1</v>
      </c>
      <c r="N662" s="65">
        <f>IF(SUMPRODUCT($V$3:$BC$3,V662:BC662)=0,"-",SUMPRODUCT($V$3:$BC$3,V662:BC662))</f>
        <v>250</v>
      </c>
      <c r="O662" s="30" t="s">
        <v>2330</v>
      </c>
      <c r="Q662" s="341">
        <v>4200665532</v>
      </c>
      <c r="R662" s="211"/>
      <c r="S662" s="211" t="s">
        <v>249</v>
      </c>
      <c r="T662" s="429" t="s">
        <v>1801</v>
      </c>
      <c r="U662" s="253" t="s">
        <v>1802</v>
      </c>
      <c r="AF662" s="8">
        <v>1</v>
      </c>
    </row>
    <row r="663" spans="1:33" hidden="1">
      <c r="A663" s="286" t="s">
        <v>244</v>
      </c>
      <c r="B663" s="286" t="s">
        <v>221</v>
      </c>
      <c r="C663" s="280" t="s">
        <v>2</v>
      </c>
      <c r="D663" s="281" t="str">
        <f>IF(F663="","",CHOOSE(MONTH(F663),"Q4","Q4","Q4","Q1","Q1","Q1","Q2","Q2","Q2","Q3","Q3","Q3"))</f>
        <v>Q4</v>
      </c>
      <c r="E663" s="282" t="str">
        <f>IF(F663="","",CHOOSE(MONTH(F663),"10-JAN","11-FEB","12-MAR","01-APR","02-MAY","03-JUN","04-JUL","05-AUG","06-SEP","07-OCT","08-NOV","09-DEC"))</f>
        <v>12-MAR</v>
      </c>
      <c r="F663" s="242">
        <v>45736</v>
      </c>
      <c r="G663" s="231" t="s">
        <v>2331</v>
      </c>
      <c r="H663" s="459" t="s">
        <v>31</v>
      </c>
      <c r="I663" s="29" t="s">
        <v>223</v>
      </c>
      <c r="J663" s="8" t="s">
        <v>93</v>
      </c>
      <c r="K663" s="281" t="str">
        <f>IF(H663="","",IFERROR(VLOOKUP(H663,Instructions!D:E,2,0),"BA"))</f>
        <v>BA</v>
      </c>
      <c r="L663" s="30" t="s">
        <v>2332</v>
      </c>
      <c r="M663" s="151">
        <f>IF(SUM(V663:BC663)=0,"-",SUM(V663:BC663))</f>
        <v>2</v>
      </c>
      <c r="N663" s="65">
        <f>IF(SUMPRODUCT($V$3:$BC$3,V663:BC663)=0,"-",SUMPRODUCT($V$3:$BC$3,V663:BC663))</f>
        <v>270</v>
      </c>
      <c r="O663" s="30" t="s">
        <v>2333</v>
      </c>
      <c r="P663" s="280" t="s">
        <v>481</v>
      </c>
      <c r="Q663" s="211">
        <v>4200681020</v>
      </c>
      <c r="R663" s="211"/>
      <c r="S663" s="211" t="s">
        <v>249</v>
      </c>
      <c r="T663" s="211" t="s">
        <v>2334</v>
      </c>
      <c r="U663" s="253" t="s">
        <v>2335</v>
      </c>
      <c r="AC663" s="7">
        <v>2</v>
      </c>
    </row>
    <row r="664" spans="1:33" hidden="1" outlineLevel="1">
      <c r="A664" s="286" t="s">
        <v>244</v>
      </c>
      <c r="B664" s="286" t="s">
        <v>221</v>
      </c>
      <c r="C664" s="280" t="s">
        <v>2</v>
      </c>
      <c r="D664" s="281" t="str">
        <f>IF(F664="","",CHOOSE(MONTH(F664),"Q4","Q4","Q4","Q1","Q1","Q1","Q2","Q2","Q2","Q3","Q3","Q3"))</f>
        <v>Q4</v>
      </c>
      <c r="E664" s="282" t="str">
        <f>IF(F664="","",CHOOSE(MONTH(F664),"10-JAN","11-FEB","12-MAR","01-APR","02-MAY","03-JUN","04-JUL","05-AUG","06-SEP","07-OCT","08-NOV","09-DEC"))</f>
        <v>12-MAR</v>
      </c>
      <c r="F664" s="242">
        <v>45736</v>
      </c>
      <c r="G664" s="222" t="s">
        <v>2250</v>
      </c>
      <c r="H664" s="459" t="s">
        <v>31</v>
      </c>
      <c r="I664" s="29" t="s">
        <v>223</v>
      </c>
      <c r="J664" s="8" t="s">
        <v>93</v>
      </c>
      <c r="K664" s="281" t="str">
        <f>IF(H664="","",IFERROR(VLOOKUP(H664,Instructions!D:E,2,0),"BA"))</f>
        <v>BA</v>
      </c>
      <c r="L664" s="30" t="s">
        <v>2336</v>
      </c>
      <c r="M664" s="151">
        <f>IF(SUM(V664:BC664)=0,"-",SUM(V664:BC664))</f>
        <v>1</v>
      </c>
      <c r="N664" s="65">
        <f>IF(SUMPRODUCT($V$3:$BC$3,V664:BC664)=0,"-",SUMPRODUCT($V$3:$BC$3,V664:BC664))</f>
        <v>200</v>
      </c>
      <c r="O664" s="30" t="s">
        <v>2337</v>
      </c>
      <c r="P664" s="280" t="s">
        <v>481</v>
      </c>
      <c r="Q664" s="211">
        <v>4200681020</v>
      </c>
      <c r="R664" s="211"/>
      <c r="S664" s="211" t="s">
        <v>249</v>
      </c>
      <c r="T664" s="211" t="s">
        <v>2334</v>
      </c>
      <c r="U664" s="253" t="s">
        <v>2335</v>
      </c>
      <c r="AG664" s="8">
        <v>1</v>
      </c>
    </row>
    <row r="665" spans="1:33" hidden="1" collapsed="1">
      <c r="A665" s="286" t="s">
        <v>244</v>
      </c>
      <c r="B665" s="286" t="s">
        <v>221</v>
      </c>
      <c r="C665" s="280" t="s">
        <v>2</v>
      </c>
      <c r="D665" s="281" t="str">
        <f>IF(F665="","",CHOOSE(MONTH(F665),"Q4","Q4","Q4","Q1","Q1","Q1","Q2","Q2","Q2","Q3","Q3","Q3"))</f>
        <v>Q4</v>
      </c>
      <c r="E665" s="282" t="str">
        <f>IF(F665="","",CHOOSE(MONTH(F665),"10-JAN","11-FEB","12-MAR","01-APR","02-MAY","03-JUN","04-JUL","05-AUG","06-SEP","07-OCT","08-NOV","09-DEC"))</f>
        <v>12-MAR</v>
      </c>
      <c r="F665" s="242">
        <v>45736</v>
      </c>
      <c r="G665" s="231" t="s">
        <v>2338</v>
      </c>
      <c r="H665" s="5" t="s">
        <v>35</v>
      </c>
      <c r="I665" s="29" t="s">
        <v>223</v>
      </c>
      <c r="J665" s="8" t="s">
        <v>130</v>
      </c>
      <c r="K665" s="281" t="str">
        <f>IF(H665="","",IFERROR(VLOOKUP(H665,Instructions!D:E,2,0),"BA"))</f>
        <v>BA</v>
      </c>
      <c r="L665" s="30" t="s">
        <v>2293</v>
      </c>
      <c r="M665" s="151">
        <f>IF(SUM(V665:BC665)=0,"-",SUM(V665:BC665))</f>
        <v>1</v>
      </c>
      <c r="N665" s="65">
        <f>IF(SUMPRODUCT($V$3:$BC$3,V665:BC665)=0,"-",SUMPRODUCT($V$3:$BC$3,V665:BC665))</f>
        <v>40</v>
      </c>
      <c r="O665" s="30" t="s">
        <v>2339</v>
      </c>
      <c r="P665" s="280" t="s">
        <v>481</v>
      </c>
      <c r="Q665" s="248">
        <v>4200683822</v>
      </c>
      <c r="R665" s="425"/>
      <c r="S665" s="211" t="s">
        <v>249</v>
      </c>
      <c r="T665" s="211" t="s">
        <v>2323</v>
      </c>
      <c r="U665" s="253" t="s">
        <v>2324</v>
      </c>
      <c r="AD665" s="8">
        <v>1</v>
      </c>
    </row>
    <row r="666" spans="1:33" hidden="1">
      <c r="A666" s="286" t="s">
        <v>244</v>
      </c>
      <c r="B666" s="286" t="s">
        <v>221</v>
      </c>
      <c r="C666" s="280" t="s">
        <v>2</v>
      </c>
      <c r="D666" s="281" t="str">
        <f>IF(F666="","",CHOOSE(MONTH(F666),"Q4","Q4","Q4","Q1","Q1","Q1","Q2","Q2","Q2","Q3","Q3","Q3"))</f>
        <v>Q4</v>
      </c>
      <c r="E666" s="282" t="str">
        <f>IF(F666="","",CHOOSE(MONTH(F666),"10-JAN","11-FEB","12-MAR","01-APR","02-MAY","03-JUN","04-JUL","05-AUG","06-SEP","07-OCT","08-NOV","09-DEC"))</f>
        <v>12-MAR</v>
      </c>
      <c r="F666" s="242">
        <v>45737</v>
      </c>
      <c r="G666" s="231" t="s">
        <v>2340</v>
      </c>
      <c r="H666" s="459" t="s">
        <v>1304</v>
      </c>
      <c r="I666" s="29" t="s">
        <v>223</v>
      </c>
      <c r="J666" s="8" t="s">
        <v>130</v>
      </c>
      <c r="K666" s="281" t="str">
        <f>IF(H666="","",IFERROR(VLOOKUP(H666,Instructions!D:E,2,0),"BA"))</f>
        <v>BA</v>
      </c>
      <c r="L666" s="30" t="s">
        <v>2341</v>
      </c>
      <c r="M666" s="151">
        <f>IF(SUM(V666:BC666)=0,"-",SUM(V666:BC666))</f>
        <v>1</v>
      </c>
      <c r="N666" s="419">
        <f>IF(SUMPRODUCT($V$3:$BC$3,V666:BC666)=0,"-",SUMPRODUCT($V$3:$BC$3,V666:BC666))+7</f>
        <v>142</v>
      </c>
      <c r="O666" s="114" t="s">
        <v>2342</v>
      </c>
      <c r="P666" s="280" t="s">
        <v>481</v>
      </c>
      <c r="Q666" s="248">
        <v>4200683822</v>
      </c>
      <c r="R666" s="211"/>
      <c r="S666" s="211" t="s">
        <v>249</v>
      </c>
      <c r="T666" s="211" t="s">
        <v>2323</v>
      </c>
      <c r="U666" s="253" t="s">
        <v>2324</v>
      </c>
      <c r="AC666" s="7">
        <v>1</v>
      </c>
    </row>
    <row r="667" spans="1:33" hidden="1">
      <c r="A667" s="286" t="s">
        <v>244</v>
      </c>
      <c r="B667" s="286" t="s">
        <v>221</v>
      </c>
      <c r="C667" s="280" t="s">
        <v>2</v>
      </c>
      <c r="D667" s="281" t="str">
        <f>IF(F667="","",CHOOSE(MONTH(F667),"Q4","Q4","Q4","Q1","Q1","Q1","Q2","Q2","Q2","Q3","Q3","Q3"))</f>
        <v>Q4</v>
      </c>
      <c r="E667" s="282" t="str">
        <f>IF(F667="","",CHOOSE(MONTH(F667),"10-JAN","11-FEB","12-MAR","01-APR","02-MAY","03-JUN","04-JUL","05-AUG","06-SEP","07-OCT","08-NOV","09-DEC"))</f>
        <v>12-MAR</v>
      </c>
      <c r="F667" s="242">
        <v>45741</v>
      </c>
      <c r="G667" s="222" t="s">
        <v>2343</v>
      </c>
      <c r="H667" s="410" t="s">
        <v>35</v>
      </c>
      <c r="I667" s="29" t="s">
        <v>223</v>
      </c>
      <c r="J667" s="8" t="s">
        <v>163</v>
      </c>
      <c r="K667" s="281" t="str">
        <f>IF(H667="","",IFERROR(VLOOKUP(H667,Instructions!D:E,2,0),"BA"))</f>
        <v>BA</v>
      </c>
      <c r="L667" s="30" t="s">
        <v>2344</v>
      </c>
      <c r="M667" s="151">
        <f>IF(SUM(V667:BC667)=0,"-",SUM(V667:BC667))</f>
        <v>1</v>
      </c>
      <c r="N667" s="65">
        <f>IF(SUMPRODUCT($V$3:$BC$3,V667:BC667)=0,"-",SUMPRODUCT($V$3:$BC$3,V667:BC667))</f>
        <v>250</v>
      </c>
      <c r="O667" s="30" t="s">
        <v>2345</v>
      </c>
      <c r="P667" s="280" t="s">
        <v>481</v>
      </c>
      <c r="Q667" s="211">
        <v>4200665532</v>
      </c>
      <c r="R667" s="211"/>
      <c r="S667" s="211" t="s">
        <v>249</v>
      </c>
      <c r="T667" s="211" t="s">
        <v>1801</v>
      </c>
      <c r="U667" s="253" t="s">
        <v>517</v>
      </c>
      <c r="AF667" s="8">
        <v>1</v>
      </c>
    </row>
    <row r="668" spans="1:33" hidden="1">
      <c r="A668" s="286" t="s">
        <v>244</v>
      </c>
      <c r="B668" s="286" t="s">
        <v>221</v>
      </c>
      <c r="C668" s="280" t="s">
        <v>2</v>
      </c>
      <c r="D668" s="281" t="str">
        <f>IF(F668="","",CHOOSE(MONTH(F668),"Q4","Q4","Q4","Q1","Q1","Q1","Q2","Q2","Q2","Q3","Q3","Q3"))</f>
        <v>Q4</v>
      </c>
      <c r="E668" s="282" t="str">
        <f>IF(F668="","",CHOOSE(MONTH(F668),"10-JAN","11-FEB","12-MAR","01-APR","02-MAY","03-JUN","04-JUL","05-AUG","06-SEP","07-OCT","08-NOV","09-DEC"))</f>
        <v>12-MAR</v>
      </c>
      <c r="F668" s="242">
        <v>45741</v>
      </c>
      <c r="G668" s="231" t="s">
        <v>2346</v>
      </c>
      <c r="H668" s="5" t="s">
        <v>35</v>
      </c>
      <c r="I668" s="29" t="s">
        <v>223</v>
      </c>
      <c r="J668" s="8" t="s">
        <v>95</v>
      </c>
      <c r="K668" s="281" t="str">
        <f>IF(H668="","",IFERROR(VLOOKUP(H668,Instructions!D:E,2,0),"BA"))</f>
        <v>BA</v>
      </c>
      <c r="L668" s="30" t="s">
        <v>2347</v>
      </c>
      <c r="M668" s="151">
        <f>IF(SUM(V668:BC668)=0,"-",SUM(V668:BC668))</f>
        <v>9</v>
      </c>
      <c r="N668" s="65">
        <f>IF(SUMPRODUCT($V$3:$BC$3,V668:BC668)=0,"-",SUMPRODUCT($V$3:$BC$3,V668:BC668))</f>
        <v>615</v>
      </c>
      <c r="O668" s="30" t="s">
        <v>2348</v>
      </c>
      <c r="P668" s="280" t="s">
        <v>481</v>
      </c>
      <c r="Q668" s="211">
        <v>4200681021</v>
      </c>
      <c r="R668" s="211"/>
      <c r="S668" s="211" t="s">
        <v>249</v>
      </c>
      <c r="T668" s="211" t="s">
        <v>2349</v>
      </c>
      <c r="U668" s="253" t="s">
        <v>1226</v>
      </c>
      <c r="V668" s="7">
        <v>1</v>
      </c>
      <c r="W668" s="8">
        <v>7</v>
      </c>
      <c r="AF668" s="8">
        <v>1</v>
      </c>
    </row>
    <row r="669" spans="1:33" hidden="1">
      <c r="A669" s="286" t="s">
        <v>244</v>
      </c>
      <c r="B669" s="286" t="s">
        <v>221</v>
      </c>
      <c r="C669" s="280" t="s">
        <v>2</v>
      </c>
      <c r="D669" s="281" t="str">
        <f>IF(F669="","",CHOOSE(MONTH(F669),"Q4","Q4","Q4","Q1","Q1","Q1","Q2","Q2","Q2","Q3","Q3","Q3"))</f>
        <v>Q4</v>
      </c>
      <c r="E669" s="282" t="str">
        <f>IF(F669="","",CHOOSE(MONTH(F669),"10-JAN","11-FEB","12-MAR","01-APR","02-MAY","03-JUN","04-JUL","05-AUG","06-SEP","07-OCT","08-NOV","09-DEC"))</f>
        <v>12-MAR</v>
      </c>
      <c r="F669" s="242">
        <v>45742</v>
      </c>
      <c r="G669" s="231" t="s">
        <v>2350</v>
      </c>
      <c r="H669" s="5" t="s">
        <v>35</v>
      </c>
      <c r="I669" s="29" t="s">
        <v>223</v>
      </c>
      <c r="J669" s="8" t="s">
        <v>95</v>
      </c>
      <c r="K669" s="281" t="str">
        <f>IF(H669="","",IFERROR(VLOOKUP(H669,Instructions!D:E,2,0),"BA"))</f>
        <v>BA</v>
      </c>
      <c r="L669" s="30" t="s">
        <v>2351</v>
      </c>
      <c r="M669" s="151">
        <f>IF(SUM(V669:BC669)=0,"-",SUM(V669:BC669))</f>
        <v>7</v>
      </c>
      <c r="N669" s="65">
        <f>IF(SUMPRODUCT($V$3:$BC$3,V669:BC669)=0,"-",SUMPRODUCT($V$3:$BC$3,V669:BC669))</f>
        <v>565</v>
      </c>
      <c r="P669" s="280" t="s">
        <v>481</v>
      </c>
      <c r="Q669" s="341">
        <v>4200665532</v>
      </c>
      <c r="R669" s="211"/>
      <c r="S669" s="211" t="s">
        <v>249</v>
      </c>
      <c r="T669" s="429" t="s">
        <v>1801</v>
      </c>
      <c r="U669" s="253" t="s">
        <v>1802</v>
      </c>
      <c r="AC669" s="7">
        <v>3</v>
      </c>
      <c r="AD669" s="8">
        <v>4</v>
      </c>
    </row>
    <row r="670" spans="1:33" hidden="1">
      <c r="A670" s="286" t="s">
        <v>244</v>
      </c>
      <c r="B670" s="286" t="s">
        <v>221</v>
      </c>
      <c r="C670" s="280" t="s">
        <v>2</v>
      </c>
      <c r="D670" s="281" t="str">
        <f>IF(F670="","",CHOOSE(MONTH(F670),"Q4","Q4","Q4","Q1","Q1","Q1","Q2","Q2","Q2","Q3","Q3","Q3"))</f>
        <v>Q4</v>
      </c>
      <c r="E670" s="282" t="str">
        <f>IF(F670="","",CHOOSE(MONTH(F670),"10-JAN","11-FEB","12-MAR","01-APR","02-MAY","03-JUN","04-JUL","05-AUG","06-SEP","07-OCT","08-NOV","09-DEC"))</f>
        <v>12-MAR</v>
      </c>
      <c r="F670" s="242">
        <v>45743</v>
      </c>
      <c r="G670" s="231" t="s">
        <v>2352</v>
      </c>
      <c r="H670" s="5" t="s">
        <v>35</v>
      </c>
      <c r="I670" s="29" t="s">
        <v>223</v>
      </c>
      <c r="J670" s="8" t="s">
        <v>95</v>
      </c>
      <c r="K670" s="281" t="str">
        <f>IF(H670="","",IFERROR(VLOOKUP(H670,Instructions!D:E,2,0),"BA"))</f>
        <v>BA</v>
      </c>
      <c r="L670" s="30" t="s">
        <v>2353</v>
      </c>
      <c r="M670" s="151">
        <f>IF(SUM(V670:BC670)=0,"-",SUM(V670:BC670))</f>
        <v>2</v>
      </c>
      <c r="N670" s="65">
        <f>IF(SUMPRODUCT($V$3:$BC$3,V670:BC670)=0,"-",SUMPRODUCT($V$3:$BC$3,V670:BC670))</f>
        <v>175</v>
      </c>
      <c r="O670" s="30" t="s">
        <v>2354</v>
      </c>
      <c r="Q670" s="211">
        <v>4200681021</v>
      </c>
      <c r="R670" s="211"/>
      <c r="S670" s="211" t="s">
        <v>249</v>
      </c>
      <c r="T670" s="211" t="s">
        <v>2349</v>
      </c>
      <c r="U670" s="253" t="s">
        <v>1226</v>
      </c>
      <c r="AC670" s="7">
        <v>1</v>
      </c>
      <c r="AD670" s="8">
        <v>1</v>
      </c>
    </row>
    <row r="671" spans="1:33" hidden="1">
      <c r="A671" s="286" t="s">
        <v>244</v>
      </c>
      <c r="B671" s="286" t="s">
        <v>221</v>
      </c>
      <c r="C671" s="280" t="s">
        <v>2</v>
      </c>
      <c r="D671" s="281" t="str">
        <f>IF(F671="","",CHOOSE(MONTH(F671),"Q4","Q4","Q4","Q1","Q1","Q1","Q2","Q2","Q2","Q3","Q3","Q3"))</f>
        <v>Q4</v>
      </c>
      <c r="E671" s="282" t="str">
        <f>IF(F671="","",CHOOSE(MONTH(F671),"10-JAN","11-FEB","12-MAR","01-APR","02-MAY","03-JUN","04-JUL","05-AUG","06-SEP","07-OCT","08-NOV","09-DEC"))</f>
        <v>12-MAR</v>
      </c>
      <c r="F671" s="242">
        <v>45743</v>
      </c>
      <c r="G671" s="222" t="s">
        <v>2355</v>
      </c>
      <c r="H671" s="410" t="s">
        <v>35</v>
      </c>
      <c r="I671" s="29" t="s">
        <v>223</v>
      </c>
      <c r="J671" s="8" t="s">
        <v>95</v>
      </c>
      <c r="K671" s="281" t="str">
        <f>IF(H671="","",IFERROR(VLOOKUP(H671,Instructions!D:E,2,0),"BA"))</f>
        <v>BA</v>
      </c>
      <c r="L671" s="30" t="s">
        <v>2356</v>
      </c>
      <c r="M671" s="151"/>
      <c r="N671" s="65">
        <v>225</v>
      </c>
      <c r="Q671" s="211">
        <v>4200681021</v>
      </c>
      <c r="R671" s="211"/>
      <c r="S671" s="211" t="s">
        <v>249</v>
      </c>
      <c r="T671" s="211" t="s">
        <v>2349</v>
      </c>
      <c r="U671" s="253" t="s">
        <v>1226</v>
      </c>
    </row>
    <row r="672" spans="1:33" hidden="1">
      <c r="A672" s="286" t="s">
        <v>244</v>
      </c>
      <c r="B672" s="286" t="s">
        <v>221</v>
      </c>
      <c r="C672" s="280" t="s">
        <v>2</v>
      </c>
      <c r="D672" s="281" t="str">
        <f>IF(F672="","",CHOOSE(MONTH(F672),"Q4","Q4","Q4","Q1","Q1","Q1","Q2","Q2","Q2","Q3","Q3","Q3"))</f>
        <v>Q4</v>
      </c>
      <c r="E672" s="282" t="str">
        <f>IF(F672="","",CHOOSE(MONTH(F672),"10-JAN","11-FEB","12-MAR","01-APR","02-MAY","03-JUN","04-JUL","05-AUG","06-SEP","07-OCT","08-NOV","09-DEC"))</f>
        <v>12-MAR</v>
      </c>
      <c r="F672" s="242">
        <v>45743</v>
      </c>
      <c r="G672" s="222" t="s">
        <v>2357</v>
      </c>
      <c r="H672" s="460" t="s">
        <v>1304</v>
      </c>
      <c r="I672" s="29" t="s">
        <v>223</v>
      </c>
      <c r="J672" s="8" t="s">
        <v>130</v>
      </c>
      <c r="K672" s="281" t="str">
        <f>IF(H672="","",IFERROR(VLOOKUP(H672,Instructions!D:E,2,0),"BA"))</f>
        <v>BA</v>
      </c>
      <c r="L672" s="30" t="s">
        <v>2358</v>
      </c>
      <c r="M672" s="151">
        <f>IF(SUM(V672:BC672)=0,"-",SUM(V672:BC672))</f>
        <v>2</v>
      </c>
      <c r="N672" s="419">
        <v>248</v>
      </c>
      <c r="O672" s="30" t="s">
        <v>2359</v>
      </c>
      <c r="Q672" s="118">
        <v>4200681019</v>
      </c>
      <c r="R672" s="260"/>
      <c r="S672" s="260" t="s">
        <v>249</v>
      </c>
      <c r="T672" s="260" t="s">
        <v>2360</v>
      </c>
      <c r="U672" s="253" t="s">
        <v>2361</v>
      </c>
      <c r="V672" s="7">
        <v>1</v>
      </c>
      <c r="AC672" s="7">
        <v>1</v>
      </c>
    </row>
    <row r="673" spans="1:45" hidden="1">
      <c r="A673" s="286" t="s">
        <v>244</v>
      </c>
      <c r="B673" s="286" t="s">
        <v>221</v>
      </c>
      <c r="C673" s="280" t="s">
        <v>2</v>
      </c>
      <c r="D673" s="281" t="str">
        <f>IF(F673="","",CHOOSE(MONTH(F673),"Q4","Q4","Q4","Q1","Q1","Q1","Q2","Q2","Q2","Q3","Q3","Q3"))</f>
        <v>Q4</v>
      </c>
      <c r="E673" s="282" t="str">
        <f>IF(F673="","",CHOOSE(MONTH(F673),"10-JAN","11-FEB","12-MAR","01-APR","02-MAY","03-JUN","04-JUL","05-AUG","06-SEP","07-OCT","08-NOV","09-DEC"))</f>
        <v>12-MAR</v>
      </c>
      <c r="F673" s="242">
        <v>45744</v>
      </c>
      <c r="G673" s="231" t="s">
        <v>2362</v>
      </c>
      <c r="H673" s="5" t="s">
        <v>2018</v>
      </c>
      <c r="I673" s="29" t="s">
        <v>223</v>
      </c>
      <c r="J673" s="8" t="s">
        <v>69</v>
      </c>
      <c r="K673" s="281" t="str">
        <f>IF(H673="","",IFERROR(VLOOKUP(H673,Instructions!D:E,2,0),"BA"))</f>
        <v>BA</v>
      </c>
      <c r="L673" s="30" t="s">
        <v>2363</v>
      </c>
      <c r="M673" s="151">
        <f>IF(SUM(V673:BC673)=0,"-",SUM(V673:BC673))</f>
        <v>3</v>
      </c>
      <c r="N673" s="419">
        <f>IF(SUMPRODUCT($V$3:$BC$3,V673:BC673)=0,"-",SUMPRODUCT($V$3:$BC$3,V673:BC673))</f>
        <v>110</v>
      </c>
      <c r="O673" s="30" t="s">
        <v>2364</v>
      </c>
      <c r="P673" s="211" t="s">
        <v>481</v>
      </c>
      <c r="Q673" s="211">
        <v>4200678470</v>
      </c>
      <c r="R673" s="211"/>
      <c r="S673" s="211" t="s">
        <v>249</v>
      </c>
      <c r="T673" s="211" t="s">
        <v>2365</v>
      </c>
      <c r="U673" s="253" t="s">
        <v>2366</v>
      </c>
      <c r="W673" s="8">
        <v>2</v>
      </c>
      <c r="AD673" s="8">
        <v>1</v>
      </c>
    </row>
    <row r="674" spans="1:45" hidden="1">
      <c r="A674" s="286" t="s">
        <v>244</v>
      </c>
      <c r="B674" s="286" t="s">
        <v>221</v>
      </c>
      <c r="C674" s="280" t="s">
        <v>2</v>
      </c>
      <c r="D674" s="281" t="str">
        <f>IF(F674="","",CHOOSE(MONTH(F674),"Q4","Q4","Q4","Q1","Q1","Q1","Q2","Q2","Q2","Q3","Q3","Q3"))</f>
        <v>Q4</v>
      </c>
      <c r="E674" s="282" t="str">
        <f>IF(F674="","",CHOOSE(MONTH(F674),"10-JAN","11-FEB","12-MAR","01-APR","02-MAY","03-JUN","04-JUL","05-AUG","06-SEP","07-OCT","08-NOV","09-DEC"))</f>
        <v>12-MAR</v>
      </c>
      <c r="F674" s="242">
        <v>45744</v>
      </c>
      <c r="G674" s="231" t="s">
        <v>2367</v>
      </c>
      <c r="H674" s="5" t="s">
        <v>35</v>
      </c>
      <c r="I674" s="29" t="s">
        <v>223</v>
      </c>
      <c r="J674" s="8" t="s">
        <v>93</v>
      </c>
      <c r="K674" s="281" t="str">
        <f>IF(H674="","",IFERROR(VLOOKUP(H674,Instructions!D:E,2,0),"BA"))</f>
        <v>BA</v>
      </c>
      <c r="L674" s="30" t="s">
        <v>2368</v>
      </c>
      <c r="M674" s="151">
        <f>IF(SUM(V674:BC674)=0,"-",SUM(V674:BC674))</f>
        <v>6</v>
      </c>
      <c r="N674" s="419">
        <f>IF(SUMPRODUCT($V$3:$BC$3,V674:BC674)=0,"-",SUMPRODUCT($V$3:$BC$3,V674:BC674))</f>
        <v>480</v>
      </c>
      <c r="O674" s="30" t="s">
        <v>2369</v>
      </c>
      <c r="P674" s="280" t="s">
        <v>481</v>
      </c>
      <c r="Q674" s="211">
        <v>4200683823</v>
      </c>
      <c r="R674" s="211"/>
      <c r="S674" s="211" t="s">
        <v>249</v>
      </c>
      <c r="T674" s="211" t="s">
        <v>2370</v>
      </c>
      <c r="U674" s="253" t="s">
        <v>2324</v>
      </c>
      <c r="AS674" s="7">
        <v>6</v>
      </c>
    </row>
    <row r="675" spans="1:45" hidden="1">
      <c r="A675" s="286" t="s">
        <v>244</v>
      </c>
      <c r="B675" s="286" t="s">
        <v>221</v>
      </c>
      <c r="C675" s="280" t="s">
        <v>2</v>
      </c>
      <c r="D675" s="281" t="str">
        <f>IF(F675="","",CHOOSE(MONTH(F675),"Q4","Q4","Q4","Q1","Q1","Q1","Q2","Q2","Q2","Q3","Q3","Q3"))</f>
        <v>Q4</v>
      </c>
      <c r="E675" s="282" t="str">
        <f>IF(F675="","",CHOOSE(MONTH(F675),"10-JAN","11-FEB","12-MAR","01-APR","02-MAY","03-JUN","04-JUL","05-AUG","06-SEP","07-OCT","08-NOV","09-DEC"))</f>
        <v>12-MAR</v>
      </c>
      <c r="F675" s="242">
        <v>45747</v>
      </c>
      <c r="G675" s="2" t="s">
        <v>2371</v>
      </c>
      <c r="H675" s="459" t="s">
        <v>31</v>
      </c>
      <c r="I675" s="29" t="s">
        <v>223</v>
      </c>
      <c r="J675" s="8" t="s">
        <v>93</v>
      </c>
      <c r="K675" s="281" t="str">
        <f>IF(H675="","",IFERROR(VLOOKUP(H675,Instructions!D:E,2,0),"BA"))</f>
        <v>BA</v>
      </c>
      <c r="L675" s="30" t="s">
        <v>2372</v>
      </c>
      <c r="M675" s="151">
        <f>IF(SUM(V675:BC675)=0,"-",SUM(V675:BC675))</f>
        <v>7</v>
      </c>
      <c r="N675" s="419">
        <f>IF(SUMPRODUCT($V$3:$BC$3,V675:BC675)=0,"-",SUMPRODUCT($V$3:$BC$3,V675:BC675))</f>
        <v>415</v>
      </c>
      <c r="P675" s="280" t="s">
        <v>481</v>
      </c>
      <c r="Q675" s="211">
        <v>4200683823</v>
      </c>
      <c r="R675" s="211"/>
      <c r="S675" s="211" t="s">
        <v>249</v>
      </c>
      <c r="T675" s="211" t="s">
        <v>2370</v>
      </c>
      <c r="U675" s="253" t="s">
        <v>2324</v>
      </c>
      <c r="V675" s="7">
        <v>2</v>
      </c>
      <c r="W675" s="8">
        <v>5</v>
      </c>
    </row>
    <row r="676" spans="1:45" hidden="1">
      <c r="A676" s="286" t="s">
        <v>244</v>
      </c>
      <c r="B676" s="286" t="s">
        <v>221</v>
      </c>
      <c r="C676" s="280" t="s">
        <v>2302</v>
      </c>
      <c r="D676" s="281" t="str">
        <f>IF(F676="","",CHOOSE(MONTH(F676),"Q4","Q4","Q4","Q1","Q1","Q1","Q2","Q2","Q2","Q3","Q3","Q3"))</f>
        <v>Q1</v>
      </c>
      <c r="E676" s="282" t="str">
        <f>IF(F676="","",CHOOSE(MONTH(F676),"10-JAN","11-FEB","12-MAR","01-APR","02-MAY","03-JUN","04-JUL","05-AUG","06-SEP","07-OCT","08-NOV","09-DEC"))</f>
        <v>01-APR</v>
      </c>
      <c r="F676" s="242">
        <v>45748</v>
      </c>
      <c r="G676" s="2" t="s">
        <v>2373</v>
      </c>
      <c r="H676" s="5" t="s">
        <v>35</v>
      </c>
      <c r="I676" s="29" t="s">
        <v>223</v>
      </c>
      <c r="J676" s="8" t="s">
        <v>93</v>
      </c>
      <c r="K676" s="281" t="str">
        <f>IF(H676="","",IFERROR(VLOOKUP(H676,Instructions!D:E,2,0),"BA"))</f>
        <v>BA</v>
      </c>
      <c r="L676" s="30" t="s">
        <v>2374</v>
      </c>
      <c r="M676" s="151">
        <f>IF(SUM(V676:BC676)=0,"-",SUM(V676:BC676))</f>
        <v>1</v>
      </c>
      <c r="N676" s="65">
        <f>IF(SUMPRODUCT($V$3:$BC$3,V676:BC676)=0,"-",SUMPRODUCT($V$3:$BC$3,V676:BC676))</f>
        <v>135</v>
      </c>
      <c r="O676" s="30" t="s">
        <v>2375</v>
      </c>
      <c r="P676" s="280" t="s">
        <v>481</v>
      </c>
      <c r="Q676" s="211">
        <v>4200681020</v>
      </c>
      <c r="R676" s="211"/>
      <c r="S676" s="211" t="s">
        <v>249</v>
      </c>
      <c r="T676" s="211" t="s">
        <v>2334</v>
      </c>
      <c r="U676" s="253" t="s">
        <v>2335</v>
      </c>
      <c r="AC676" s="7">
        <v>1</v>
      </c>
    </row>
    <row r="677" spans="1:45" hidden="1">
      <c r="A677" s="286" t="s">
        <v>244</v>
      </c>
      <c r="B677" s="286" t="s">
        <v>221</v>
      </c>
      <c r="C677" s="280" t="s">
        <v>2302</v>
      </c>
      <c r="D677" s="281" t="str">
        <f>IF(F677="","",CHOOSE(MONTH(F677),"Q4","Q4","Q4","Q1","Q1","Q1","Q2","Q2","Q2","Q3","Q3","Q3"))</f>
        <v>Q1</v>
      </c>
      <c r="E677" s="282" t="str">
        <f>IF(F677="","",CHOOSE(MONTH(F677),"10-JAN","11-FEB","12-MAR","01-APR","02-MAY","03-JUN","04-JUL","05-AUG","06-SEP","07-OCT","08-NOV","09-DEC"))</f>
        <v>01-APR</v>
      </c>
      <c r="F677" s="242">
        <v>45748</v>
      </c>
      <c r="G677" s="2" t="s">
        <v>2376</v>
      </c>
      <c r="H677" s="5" t="s">
        <v>2377</v>
      </c>
      <c r="I677" s="29" t="s">
        <v>223</v>
      </c>
      <c r="J677" s="8" t="s">
        <v>95</v>
      </c>
      <c r="K677" s="281" t="str">
        <f>IF(H677="","",IFERROR(VLOOKUP(H677,Instructions!D:E,2,0),"BA"))</f>
        <v>CM</v>
      </c>
      <c r="L677" s="30" t="s">
        <v>2378</v>
      </c>
      <c r="M677" s="151">
        <f>IF(SUM(V677:BC677)=0,"-",SUM(V677:BC677))</f>
        <v>2</v>
      </c>
      <c r="N677" s="65">
        <f>IF(SUMPRODUCT($V$3:$BC$3,V677:BC677)=0,"-",SUMPRODUCT($V$3:$BC$3,V677:BC677))</f>
        <v>155</v>
      </c>
      <c r="P677" s="280" t="s">
        <v>481</v>
      </c>
      <c r="Q677" s="211">
        <v>4200681305</v>
      </c>
      <c r="R677" s="211" t="s">
        <v>232</v>
      </c>
      <c r="S677" s="211" t="s">
        <v>249</v>
      </c>
      <c r="T677" s="211" t="s">
        <v>2379</v>
      </c>
      <c r="U677" s="253" t="s">
        <v>2324</v>
      </c>
      <c r="V677" s="7">
        <v>1</v>
      </c>
      <c r="W677" s="8">
        <v>1</v>
      </c>
    </row>
    <row r="678" spans="1:45" hidden="1">
      <c r="A678" s="286" t="s">
        <v>220</v>
      </c>
      <c r="B678" s="286" t="s">
        <v>221</v>
      </c>
      <c r="C678" s="280" t="s">
        <v>2302</v>
      </c>
      <c r="D678" s="281" t="str">
        <f>IF(F678="","",CHOOSE(MONTH(F678),"Q4","Q4","Q4","Q1","Q1","Q1","Q2","Q2","Q2","Q3","Q3","Q3"))</f>
        <v>Q1</v>
      </c>
      <c r="E678" s="282" t="str">
        <f>IF(F678="","",CHOOSE(MONTH(F678),"10-JAN","11-FEB","12-MAR","01-APR","02-MAY","03-JUN","04-JUL","05-AUG","06-SEP","07-OCT","08-NOV","09-DEC"))</f>
        <v>01-APR</v>
      </c>
      <c r="F678" s="242">
        <v>45748</v>
      </c>
      <c r="G678" s="2" t="s">
        <v>2380</v>
      </c>
      <c r="H678" s="410" t="s">
        <v>2381</v>
      </c>
      <c r="I678" s="29" t="s">
        <v>223</v>
      </c>
      <c r="J678" s="8" t="s">
        <v>93</v>
      </c>
      <c r="K678" s="281" t="str">
        <f>IF(H678="","",IFERROR(VLOOKUP(H678,Instructions!D:E,2,0),"BA"))</f>
        <v>BA</v>
      </c>
      <c r="L678" s="78" t="s">
        <v>2382</v>
      </c>
      <c r="M678" s="151">
        <f>IF(SUM(V678:BC678)=0,"-",SUM(V678:BC678))</f>
        <v>2</v>
      </c>
      <c r="N678" s="65">
        <f>IF(SUMPRODUCT($V$3:$BC$3,V678:BC678)=0,"-",SUMPRODUCT($V$3:$BC$3,V678:BC678))</f>
        <v>160</v>
      </c>
      <c r="O678" s="30" t="s">
        <v>2383</v>
      </c>
      <c r="P678" s="280" t="s">
        <v>481</v>
      </c>
      <c r="Q678" s="211">
        <v>4200682307</v>
      </c>
      <c r="R678" s="211" t="s">
        <v>232</v>
      </c>
      <c r="S678" s="211" t="s">
        <v>249</v>
      </c>
      <c r="T678" s="211" t="s">
        <v>2384</v>
      </c>
      <c r="U678" s="253" t="s">
        <v>2324</v>
      </c>
      <c r="AS678" s="7">
        <v>2</v>
      </c>
    </row>
    <row r="679" spans="1:45" hidden="1">
      <c r="A679" s="286" t="s">
        <v>244</v>
      </c>
      <c r="B679" s="286" t="s">
        <v>221</v>
      </c>
      <c r="C679" s="280" t="s">
        <v>2302</v>
      </c>
      <c r="D679" s="281" t="str">
        <f>IF(F679="","",CHOOSE(MONTH(F679),"Q4","Q4","Q4","Q1","Q1","Q1","Q2","Q2","Q2","Q3","Q3","Q3"))</f>
        <v>Q1</v>
      </c>
      <c r="E679" s="282" t="str">
        <f>IF(F679="","",CHOOSE(MONTH(F679),"10-JAN","11-FEB","12-MAR","01-APR","02-MAY","03-JUN","04-JUL","05-AUG","06-SEP","07-OCT","08-NOV","09-DEC"))</f>
        <v>01-APR</v>
      </c>
      <c r="F679" s="242">
        <v>45749</v>
      </c>
      <c r="G679" s="2" t="s">
        <v>2385</v>
      </c>
      <c r="H679" s="410" t="s">
        <v>2377</v>
      </c>
      <c r="I679" s="29" t="s">
        <v>223</v>
      </c>
      <c r="J679" s="8" t="s">
        <v>93</v>
      </c>
      <c r="K679" s="281" t="str">
        <f>IF(H679="","",IFERROR(VLOOKUP(H679,Instructions!D:E,2,0),"BA"))</f>
        <v>CM</v>
      </c>
      <c r="L679" s="30" t="s">
        <v>2386</v>
      </c>
      <c r="M679" s="151">
        <f>IF(SUM(V679:BC679)=0,"-",SUM(V679:BC679))</f>
        <v>2</v>
      </c>
      <c r="N679" s="65">
        <f>IF(SUMPRODUCT($V$3:$BC$3,V679:BC679)=0,"-",SUMPRODUCT($V$3:$BC$3,V679:BC679))</f>
        <v>155</v>
      </c>
      <c r="P679" s="280" t="s">
        <v>481</v>
      </c>
      <c r="Q679" s="211">
        <v>4200682307</v>
      </c>
      <c r="R679" s="211" t="s">
        <v>232</v>
      </c>
      <c r="S679" s="211" t="s">
        <v>249</v>
      </c>
      <c r="T679" s="211" t="s">
        <v>2387</v>
      </c>
      <c r="U679" s="253" t="s">
        <v>2366</v>
      </c>
      <c r="V679" s="7">
        <v>1</v>
      </c>
      <c r="W679" s="8">
        <v>1</v>
      </c>
    </row>
    <row r="680" spans="1:45" hidden="1">
      <c r="A680" s="286" t="s">
        <v>244</v>
      </c>
      <c r="B680" s="286" t="s">
        <v>221</v>
      </c>
      <c r="C680" s="280" t="s">
        <v>2302</v>
      </c>
      <c r="D680" s="281" t="str">
        <f>IF(F680="","",CHOOSE(MONTH(F680),"Q4","Q4","Q4","Q1","Q1","Q1","Q2","Q2","Q2","Q3","Q3","Q3"))</f>
        <v>Q1</v>
      </c>
      <c r="E680" s="282" t="str">
        <f>IF(F680="","",CHOOSE(MONTH(F680),"10-JAN","11-FEB","12-MAR","01-APR","02-MAY","03-JUN","04-JUL","05-AUG","06-SEP","07-OCT","08-NOV","09-DEC"))</f>
        <v>01-APR</v>
      </c>
      <c r="F680" s="242">
        <v>45750</v>
      </c>
      <c r="G680" s="2" t="s">
        <v>2388</v>
      </c>
      <c r="H680" s="410" t="s">
        <v>2377</v>
      </c>
      <c r="I680" s="29" t="s">
        <v>223</v>
      </c>
      <c r="J680" s="8" t="s">
        <v>129</v>
      </c>
      <c r="K680" s="281" t="str">
        <f>IF(H680="","",IFERROR(VLOOKUP(H680,Instructions!D:E,2,0),"BA"))</f>
        <v>CM</v>
      </c>
      <c r="L680" s="30" t="s">
        <v>2389</v>
      </c>
      <c r="M680" s="151">
        <f>IF(SUM(V680:BC680)=0,"-",SUM(V680:BC680))</f>
        <v>2</v>
      </c>
      <c r="N680" s="65">
        <f>IF(SUMPRODUCT($V$3:$BC$3,V680:BC680)=0,"-",SUMPRODUCT($V$3:$BC$3,V680:BC680))</f>
        <v>155</v>
      </c>
      <c r="P680" s="280" t="s">
        <v>481</v>
      </c>
      <c r="Q680" s="211">
        <v>4200681237</v>
      </c>
      <c r="R680" s="211" t="s">
        <v>237</v>
      </c>
      <c r="S680" s="211" t="s">
        <v>249</v>
      </c>
      <c r="T680" s="211" t="s">
        <v>2390</v>
      </c>
      <c r="U680" s="253" t="s">
        <v>2366</v>
      </c>
      <c r="V680" s="7">
        <v>1</v>
      </c>
      <c r="W680" s="8">
        <v>1</v>
      </c>
    </row>
    <row r="681" spans="1:45" hidden="1">
      <c r="A681" s="286" t="s">
        <v>244</v>
      </c>
      <c r="B681" s="286" t="s">
        <v>221</v>
      </c>
      <c r="C681" s="280" t="s">
        <v>2302</v>
      </c>
      <c r="D681" s="281" t="str">
        <f>IF(F681="","",CHOOSE(MONTH(F681),"Q4","Q4","Q4","Q1","Q1","Q1","Q2","Q2","Q2","Q3","Q3","Q3"))</f>
        <v>Q1</v>
      </c>
      <c r="E681" s="282" t="str">
        <f>IF(F681="","",CHOOSE(MONTH(F681),"10-JAN","11-FEB","12-MAR","01-APR","02-MAY","03-JUN","04-JUL","05-AUG","06-SEP","07-OCT","08-NOV","09-DEC"))</f>
        <v>01-APR</v>
      </c>
      <c r="F681" s="242">
        <v>45750</v>
      </c>
      <c r="G681" s="2" t="s">
        <v>2391</v>
      </c>
      <c r="H681" s="410" t="s">
        <v>2377</v>
      </c>
      <c r="I681" s="29" t="s">
        <v>223</v>
      </c>
      <c r="J681" s="8" t="s">
        <v>95</v>
      </c>
      <c r="K681" s="281" t="str">
        <f>IF(H681="","",IFERROR(VLOOKUP(H681,Instructions!D:E,2,0),"BA"))</f>
        <v>CM</v>
      </c>
      <c r="L681" s="30" t="s">
        <v>2392</v>
      </c>
      <c r="M681" s="151">
        <f>IF(SUM(V681:BC681)=0,"-",SUM(V681:BC681))</f>
        <v>2</v>
      </c>
      <c r="N681" s="65">
        <f>IF(SUMPRODUCT($V$3:$BC$3,V681:BC681)=0,"-",SUMPRODUCT($V$3:$BC$3,V681:BC681))</f>
        <v>155</v>
      </c>
      <c r="P681" s="280" t="s">
        <v>481</v>
      </c>
      <c r="Q681" s="211">
        <v>4200681305</v>
      </c>
      <c r="R681" s="211" t="s">
        <v>232</v>
      </c>
      <c r="S681" s="211" t="s">
        <v>249</v>
      </c>
      <c r="T681" s="211" t="s">
        <v>2379</v>
      </c>
      <c r="U681" s="253" t="s">
        <v>2324</v>
      </c>
      <c r="V681" s="7">
        <v>1</v>
      </c>
      <c r="W681" s="8">
        <v>1</v>
      </c>
    </row>
    <row r="682" spans="1:45" hidden="1">
      <c r="A682" s="286" t="s">
        <v>244</v>
      </c>
      <c r="B682" s="286" t="s">
        <v>221</v>
      </c>
      <c r="C682" s="280" t="s">
        <v>2302</v>
      </c>
      <c r="D682" s="281" t="str">
        <f>IF(F682="","",CHOOSE(MONTH(F682),"Q4","Q4","Q4","Q1","Q1","Q1","Q2","Q2","Q2","Q3","Q3","Q3"))</f>
        <v>Q1</v>
      </c>
      <c r="E682" s="282" t="str">
        <f>IF(F682="","",CHOOSE(MONTH(F682),"10-JAN","11-FEB","12-MAR","01-APR","02-MAY","03-JUN","04-JUL","05-AUG","06-SEP","07-OCT","08-NOV","09-DEC"))</f>
        <v>01-APR</v>
      </c>
      <c r="F682" s="242">
        <v>45750</v>
      </c>
      <c r="G682" s="2" t="s">
        <v>2393</v>
      </c>
      <c r="H682" s="476" t="s">
        <v>28</v>
      </c>
      <c r="I682" s="29" t="s">
        <v>223</v>
      </c>
      <c r="K682" s="281" t="str">
        <f>IF(H682="","",IFERROR(VLOOKUP(H682,Instructions!D:E,2,0),"BA"))</f>
        <v>BA</v>
      </c>
      <c r="L682" s="30" t="s">
        <v>2394</v>
      </c>
      <c r="M682" s="151">
        <f>IF(SUM(V682:BC682)=0,"-",SUM(V682:BC682))</f>
        <v>5</v>
      </c>
      <c r="N682" s="65">
        <f>IF(SUMPRODUCT($V$3:$BC$3,V682:BC682)=0,"-",SUMPRODUCT($V$3:$BC$3,V682:BC682))</f>
        <v>505</v>
      </c>
      <c r="O682" s="30" t="s">
        <v>2395</v>
      </c>
      <c r="P682" s="280" t="s">
        <v>481</v>
      </c>
      <c r="Q682" s="211">
        <v>4200682289</v>
      </c>
      <c r="R682" s="211"/>
      <c r="S682" s="211" t="s">
        <v>249</v>
      </c>
      <c r="T682" s="211" t="s">
        <v>2396</v>
      </c>
      <c r="U682" s="253" t="s">
        <v>2324</v>
      </c>
      <c r="AC682" s="7">
        <v>1</v>
      </c>
      <c r="AD682" s="8">
        <v>3</v>
      </c>
      <c r="AF682" s="8">
        <v>1</v>
      </c>
    </row>
    <row r="683" spans="1:45" hidden="1">
      <c r="A683" s="286" t="s">
        <v>244</v>
      </c>
      <c r="B683" s="286" t="s">
        <v>221</v>
      </c>
      <c r="C683" s="280" t="s">
        <v>2302</v>
      </c>
      <c r="D683" s="281" t="str">
        <f>IF(F683="","",CHOOSE(MONTH(F683),"Q4","Q4","Q4","Q1","Q1","Q1","Q2","Q2","Q2","Q3","Q3","Q3"))</f>
        <v>Q1</v>
      </c>
      <c r="E683" s="282" t="str">
        <f>IF(F683="","",CHOOSE(MONTH(F683),"10-JAN","11-FEB","12-MAR","01-APR","02-MAY","03-JUN","04-JUL","05-AUG","06-SEP","07-OCT","08-NOV","09-DEC"))</f>
        <v>01-APR</v>
      </c>
      <c r="F683" s="242">
        <v>45751</v>
      </c>
      <c r="G683" s="2" t="s">
        <v>2397</v>
      </c>
      <c r="H683" s="5" t="s">
        <v>2018</v>
      </c>
      <c r="I683" s="29" t="s">
        <v>223</v>
      </c>
      <c r="J683" s="8" t="s">
        <v>69</v>
      </c>
      <c r="K683" s="281" t="str">
        <f>IF(H683="","",IFERROR(VLOOKUP(H683,Instructions!D:E,2,0),"BA"))</f>
        <v>BA</v>
      </c>
      <c r="L683" s="30" t="s">
        <v>2398</v>
      </c>
      <c r="M683" s="151">
        <f>IF(SUM(V683:BC683)=0,"-",SUM(V683:BC683))</f>
        <v>2</v>
      </c>
      <c r="N683" s="65">
        <f>IF(SUMPRODUCT($V$3:$BC$3,V683:BC683)=0,"-",SUMPRODUCT($V$3:$BC$3,V683:BC683))</f>
        <v>175</v>
      </c>
      <c r="O683" s="30" t="s">
        <v>2399</v>
      </c>
      <c r="P683" s="280" t="s">
        <v>481</v>
      </c>
      <c r="Q683" s="211">
        <v>4200678470</v>
      </c>
      <c r="R683" s="211"/>
      <c r="S683" s="211" t="s">
        <v>249</v>
      </c>
      <c r="T683" s="211" t="s">
        <v>2365</v>
      </c>
      <c r="U683" s="253" t="s">
        <v>2366</v>
      </c>
      <c r="AC683" s="7">
        <v>1</v>
      </c>
      <c r="AD683" s="8">
        <v>1</v>
      </c>
    </row>
    <row r="684" spans="1:45" hidden="1">
      <c r="A684" s="286" t="s">
        <v>220</v>
      </c>
      <c r="B684" s="286" t="s">
        <v>221</v>
      </c>
      <c r="C684" s="280" t="s">
        <v>2302</v>
      </c>
      <c r="D684" s="281" t="str">
        <f>IF(F684="","",CHOOSE(MONTH(F684),"Q4","Q4","Q4","Q1","Q1","Q1","Q2","Q2","Q2","Q3","Q3","Q3"))</f>
        <v>Q1</v>
      </c>
      <c r="E684" s="282" t="str">
        <f>IF(F684="","",CHOOSE(MONTH(F684),"10-JAN","11-FEB","12-MAR","01-APR","02-MAY","03-JUN","04-JUL","05-AUG","06-SEP","07-OCT","08-NOV","09-DEC"))</f>
        <v>01-APR</v>
      </c>
      <c r="F684" s="242">
        <v>45751</v>
      </c>
      <c r="G684" s="2" t="s">
        <v>2400</v>
      </c>
      <c r="H684" s="410" t="s">
        <v>2381</v>
      </c>
      <c r="I684" s="29" t="s">
        <v>223</v>
      </c>
      <c r="J684" s="8" t="s">
        <v>93</v>
      </c>
      <c r="K684" s="281" t="str">
        <f>IF(H684="","",IFERROR(VLOOKUP(H684,Instructions!D:E,2,0),"BA"))</f>
        <v>BA</v>
      </c>
      <c r="L684" s="30" t="s">
        <v>2401</v>
      </c>
      <c r="M684" s="151">
        <f>IF(SUM(V684:BC684)=0,"-",SUM(V684:BC684))</f>
        <v>2</v>
      </c>
      <c r="N684" s="65">
        <f>IF(SUMPRODUCT($V$3:$BC$3,V684:BC684)=0,"-",SUMPRODUCT($V$3:$BC$3,V684:BC684))</f>
        <v>155</v>
      </c>
      <c r="O684" s="30" t="s">
        <v>2402</v>
      </c>
      <c r="P684" s="280" t="s">
        <v>481</v>
      </c>
      <c r="Q684" s="424">
        <v>4200682307</v>
      </c>
      <c r="R684" s="211" t="s">
        <v>237</v>
      </c>
      <c r="S684" s="211" t="s">
        <v>249</v>
      </c>
      <c r="T684" s="211" t="s">
        <v>2384</v>
      </c>
      <c r="U684" s="253" t="s">
        <v>2324</v>
      </c>
      <c r="V684" s="7">
        <v>1</v>
      </c>
      <c r="W684" s="8">
        <v>1</v>
      </c>
    </row>
    <row r="685" spans="1:45" hidden="1">
      <c r="C685" s="280" t="s">
        <v>2</v>
      </c>
      <c r="F685" s="242">
        <v>45755</v>
      </c>
      <c r="G685" s="222" t="s">
        <v>2403</v>
      </c>
      <c r="H685" s="459" t="s">
        <v>764</v>
      </c>
      <c r="I685" s="29" t="s">
        <v>223</v>
      </c>
      <c r="J685" s="8" t="s">
        <v>129</v>
      </c>
      <c r="K685" s="281" t="str">
        <f>IF(H685="","",IFERROR(VLOOKUP(H685,Instructions!D:E,2,0),"BA"))</f>
        <v>BA</v>
      </c>
      <c r="M685" s="151" t="str">
        <f>IF(SUM(V685:BC685)=0,"-",SUM(V685:BC685))</f>
        <v>-</v>
      </c>
      <c r="N685" s="65" t="str">
        <f>IF(SUMPRODUCT($V$3:$BC$3,V685:BC685)=0,"-",SUMPRODUCT($V$3:$BC$3,V685:BC685))</f>
        <v>-</v>
      </c>
      <c r="P685" s="280" t="s">
        <v>481</v>
      </c>
      <c r="Q685" s="211">
        <v>4200665532</v>
      </c>
      <c r="R685" s="413"/>
      <c r="S685" s="211" t="s">
        <v>249</v>
      </c>
      <c r="T685" s="425" t="s">
        <v>1801</v>
      </c>
      <c r="U685" s="253" t="s">
        <v>1802</v>
      </c>
    </row>
    <row r="686" spans="1:45" hidden="1">
      <c r="A686" s="286" t="s">
        <v>244</v>
      </c>
      <c r="B686" s="286" t="s">
        <v>221</v>
      </c>
      <c r="C686" s="280" t="s">
        <v>2302</v>
      </c>
      <c r="D686" s="281" t="str">
        <f>IF(F686="","",CHOOSE(MONTH(F686),"Q4","Q4","Q4","Q1","Q1","Q1","Q2","Q2","Q2","Q3","Q3","Q3"))</f>
        <v>Q1</v>
      </c>
      <c r="E686" s="282" t="str">
        <f>IF(F686="","",CHOOSE(MONTH(F686),"10-JAN","11-FEB","12-MAR","01-APR","02-MAY","03-JUN","04-JUL","05-AUG","06-SEP","07-OCT","08-NOV","09-DEC"))</f>
        <v>01-APR</v>
      </c>
      <c r="F686" s="242">
        <v>45755</v>
      </c>
      <c r="G686" s="230" t="s">
        <v>2404</v>
      </c>
      <c r="H686" s="459" t="s">
        <v>764</v>
      </c>
      <c r="I686" s="29" t="s">
        <v>223</v>
      </c>
      <c r="J686" s="8" t="s">
        <v>163</v>
      </c>
      <c r="K686" s="281" t="str">
        <f>IF(H686="","",IFERROR(VLOOKUP(H686,Instructions!D:E,2,0),"BA"))</f>
        <v>BA</v>
      </c>
      <c r="L686" s="30" t="s">
        <v>2405</v>
      </c>
      <c r="M686" s="151">
        <f>IF(SUM(V686:BC686)=0,"-",SUM(V686:BC686))</f>
        <v>1</v>
      </c>
      <c r="N686" s="65">
        <f>IF(SUMPRODUCT($V$3:$BC$3,V686:BC686)=0,"-",SUMPRODUCT($V$3:$BC$3,V686:BC686))</f>
        <v>250</v>
      </c>
      <c r="O686" s="30" t="s">
        <v>2406</v>
      </c>
      <c r="P686" s="280" t="s">
        <v>481</v>
      </c>
      <c r="Q686" s="248">
        <v>4200683831</v>
      </c>
      <c r="R686" s="211"/>
      <c r="S686" s="211" t="s">
        <v>249</v>
      </c>
      <c r="T686" s="211" t="s">
        <v>2407</v>
      </c>
      <c r="U686" s="253" t="s">
        <v>2324</v>
      </c>
      <c r="AF686" s="8">
        <v>1</v>
      </c>
    </row>
    <row r="687" spans="1:45" hidden="1">
      <c r="A687" s="286" t="s">
        <v>244</v>
      </c>
      <c r="B687" s="286" t="s">
        <v>221</v>
      </c>
      <c r="C687" s="280" t="s">
        <v>2302</v>
      </c>
      <c r="D687" s="281" t="str">
        <f>IF(F687="","",CHOOSE(MONTH(F687),"Q4","Q4","Q4","Q1","Q1","Q1","Q2","Q2","Q2","Q3","Q3","Q3"))</f>
        <v>Q1</v>
      </c>
      <c r="E687" s="282" t="str">
        <f>IF(F687="","",CHOOSE(MONTH(F687),"10-JAN","11-FEB","12-MAR","01-APR","02-MAY","03-JUN","04-JUL","05-AUG","06-SEP","07-OCT","08-NOV","09-DEC"))</f>
        <v>01-APR</v>
      </c>
      <c r="F687" s="242">
        <v>45755</v>
      </c>
      <c r="G687" s="2" t="s">
        <v>2408</v>
      </c>
      <c r="H687" s="460" t="s">
        <v>1304</v>
      </c>
      <c r="I687" s="29" t="s">
        <v>223</v>
      </c>
      <c r="J687" s="8" t="s">
        <v>130</v>
      </c>
      <c r="K687" s="281" t="str">
        <f>IF(H687="","",IFERROR(VLOOKUP(H687,Instructions!D:E,2,0),"BA"))</f>
        <v>BA</v>
      </c>
      <c r="L687" s="30" t="s">
        <v>2358</v>
      </c>
      <c r="M687" s="151">
        <f>IF(SUM(V687:BC687)=0,"-",SUM(V687:BC687))</f>
        <v>21</v>
      </c>
      <c r="N687" s="65">
        <f>IF(SUMPRODUCT($V$3:$BC$3,V687:BC687)=0,"-",SUMPRODUCT($V$3:$BC$3,V687:BC687))</f>
        <v>1145</v>
      </c>
      <c r="O687" s="30" t="s">
        <v>2359</v>
      </c>
      <c r="P687" s="280" t="s">
        <v>481</v>
      </c>
      <c r="Q687" s="248">
        <v>4200683824</v>
      </c>
      <c r="R687" s="211"/>
      <c r="S687" s="211" t="s">
        <v>249</v>
      </c>
      <c r="T687" s="211" t="s">
        <v>2409</v>
      </c>
      <c r="U687" s="253" t="s">
        <v>2324</v>
      </c>
      <c r="V687" s="7">
        <v>3</v>
      </c>
      <c r="W687" s="8">
        <v>15</v>
      </c>
      <c r="AD687" s="8">
        <v>2</v>
      </c>
      <c r="AE687" s="8">
        <v>1</v>
      </c>
    </row>
    <row r="688" spans="1:45" hidden="1">
      <c r="A688" s="286" t="s">
        <v>244</v>
      </c>
      <c r="B688" s="286" t="s">
        <v>221</v>
      </c>
      <c r="C688" s="280" t="s">
        <v>2302</v>
      </c>
      <c r="D688" s="281" t="str">
        <f>IF(F688="","",CHOOSE(MONTH(F688),"Q4","Q4","Q4","Q1","Q1","Q1","Q2","Q2","Q2","Q3","Q3","Q3"))</f>
        <v>Q1</v>
      </c>
      <c r="E688" s="282" t="str">
        <f>IF(F688="","",CHOOSE(MONTH(F688),"10-JAN","11-FEB","12-MAR","01-APR","02-MAY","03-JUN","04-JUL","05-AUG","06-SEP","07-OCT","08-NOV","09-DEC"))</f>
        <v>01-APR</v>
      </c>
      <c r="F688" s="242">
        <v>45756</v>
      </c>
      <c r="G688" s="230" t="s">
        <v>2410</v>
      </c>
      <c r="H688" s="5" t="s">
        <v>35</v>
      </c>
      <c r="I688" s="29" t="s">
        <v>223</v>
      </c>
      <c r="J688" s="8" t="s">
        <v>2411</v>
      </c>
      <c r="K688" s="281" t="str">
        <f>IF(H688="","",IFERROR(VLOOKUP(H688,Instructions!D:E,2,0),"BA"))</f>
        <v>BA</v>
      </c>
      <c r="L688" s="30" t="s">
        <v>2412</v>
      </c>
      <c r="M688" s="151">
        <f>IF(SUM(V688:BC688)=0,"-",SUM(V688:BC688))</f>
        <v>1</v>
      </c>
      <c r="N688" s="65">
        <f>IF(SUMPRODUCT($V$3:$BC$3,V688:BC688)=0,"-",SUMPRODUCT($V$3:$BC$3,V688:BC688))</f>
        <v>80</v>
      </c>
      <c r="O688" s="30" t="s">
        <v>2413</v>
      </c>
      <c r="P688" s="280" t="s">
        <v>481</v>
      </c>
      <c r="Q688" s="260">
        <v>4200684022</v>
      </c>
      <c r="R688" s="211"/>
      <c r="S688" s="211" t="s">
        <v>249</v>
      </c>
      <c r="T688" s="211" t="s">
        <v>2414</v>
      </c>
      <c r="U688" s="388" t="s">
        <v>2324</v>
      </c>
      <c r="AS688" s="7">
        <v>1</v>
      </c>
    </row>
    <row r="689" spans="1:35" hidden="1">
      <c r="A689" s="286" t="s">
        <v>244</v>
      </c>
      <c r="B689" s="286" t="s">
        <v>221</v>
      </c>
      <c r="C689" s="280" t="s">
        <v>2302</v>
      </c>
      <c r="D689" s="281" t="str">
        <f>IF(F689="","",CHOOSE(MONTH(F689),"Q4","Q4","Q4","Q1","Q1","Q1","Q2","Q2","Q2","Q3","Q3","Q3"))</f>
        <v>Q1</v>
      </c>
      <c r="E689" s="282" t="str">
        <f>IF(F689="","",CHOOSE(MONTH(F689),"10-JAN","11-FEB","12-MAR","01-APR","02-MAY","03-JUN","04-JUL","05-AUG","06-SEP","07-OCT","08-NOV","09-DEC"))</f>
        <v>01-APR</v>
      </c>
      <c r="F689" s="242">
        <v>45756</v>
      </c>
      <c r="G689" s="2" t="s">
        <v>2415</v>
      </c>
      <c r="H689" s="410" t="s">
        <v>35</v>
      </c>
      <c r="I689" s="29" t="s">
        <v>223</v>
      </c>
      <c r="J689" s="8" t="s">
        <v>163</v>
      </c>
      <c r="K689" s="281" t="str">
        <f>IF(H689="","",IFERROR(VLOOKUP(H689,Instructions!D:E,2,0),"BA"))</f>
        <v>BA</v>
      </c>
      <c r="L689" s="30" t="s">
        <v>2416</v>
      </c>
      <c r="M689" s="151">
        <f>IF(SUM(V689:BC689)=0,"-",SUM(V689:BC689))</f>
        <v>14</v>
      </c>
      <c r="N689" s="65">
        <f>IF(SUMPRODUCT($V$3:$BC$3,V689:BC689)=0,"-",SUMPRODUCT($V$3:$BC$3,V689:BC689))</f>
        <v>660</v>
      </c>
      <c r="O689" s="30" t="s">
        <v>2417</v>
      </c>
      <c r="P689" s="280" t="s">
        <v>481</v>
      </c>
      <c r="Q689" s="260">
        <v>4200681021</v>
      </c>
      <c r="R689" s="211"/>
      <c r="S689" s="211" t="s">
        <v>249</v>
      </c>
      <c r="T689" s="211" t="s">
        <v>2418</v>
      </c>
      <c r="U689" s="388" t="s">
        <v>2324</v>
      </c>
      <c r="V689" s="7">
        <v>2</v>
      </c>
      <c r="W689" s="8">
        <v>12</v>
      </c>
    </row>
    <row r="690" spans="1:35" hidden="1">
      <c r="A690" s="286" t="s">
        <v>244</v>
      </c>
      <c r="B690" s="286" t="s">
        <v>221</v>
      </c>
      <c r="C690" s="280" t="s">
        <v>2</v>
      </c>
      <c r="D690" s="281" t="str">
        <f>IF(F690="","",CHOOSE(MONTH(F690),"Q4","Q4","Q4","Q1","Q1","Q1","Q2","Q2","Q2","Q3","Q3","Q3"))</f>
        <v>Q1</v>
      </c>
      <c r="E690" s="282" t="str">
        <f>IF(F690="","",CHOOSE(MONTH(F690),"10-JAN","11-FEB","12-MAR","01-APR","02-MAY","03-JUN","04-JUL","05-AUG","06-SEP","07-OCT","08-NOV","09-DEC"))</f>
        <v>01-APR</v>
      </c>
      <c r="F690" s="242">
        <v>45758</v>
      </c>
      <c r="G690" s="222" t="s">
        <v>2419</v>
      </c>
      <c r="H690" s="460" t="s">
        <v>764</v>
      </c>
      <c r="I690" s="29" t="s">
        <v>223</v>
      </c>
      <c r="J690" s="8" t="s">
        <v>129</v>
      </c>
      <c r="K690" s="281" t="str">
        <f>IF(H690="","",IFERROR(VLOOKUP(H690,Instructions!D:E,2,0),"BA"))</f>
        <v>BA</v>
      </c>
      <c r="M690" s="151" t="str">
        <f>IF(SUM(V690:BC690)=0,"-",SUM(V690:BC690))</f>
        <v>-</v>
      </c>
      <c r="N690" s="65" t="str">
        <f>IF(SUMPRODUCT($V$3:$BC$3,V690:BC690)=0,"-",SUMPRODUCT($V$3:$BC$3,V690:BC690))</f>
        <v>-</v>
      </c>
      <c r="P690" s="280" t="s">
        <v>481</v>
      </c>
      <c r="Q690" s="211">
        <v>4200665532</v>
      </c>
      <c r="R690" s="413"/>
      <c r="S690" s="211" t="s">
        <v>249</v>
      </c>
      <c r="T690" s="425" t="s">
        <v>1801</v>
      </c>
      <c r="U690" s="253" t="s">
        <v>1802</v>
      </c>
    </row>
    <row r="691" spans="1:35" hidden="1">
      <c r="A691" s="286" t="s">
        <v>244</v>
      </c>
      <c r="B691" s="286" t="s">
        <v>221</v>
      </c>
      <c r="C691" s="280" t="s">
        <v>2302</v>
      </c>
      <c r="D691" s="281" t="str">
        <f>IF(F691="","",CHOOSE(MONTH(F691),"Q4","Q4","Q4","Q1","Q1","Q1","Q2","Q2","Q2","Q3","Q3","Q3"))</f>
        <v>Q1</v>
      </c>
      <c r="E691" s="282" t="str">
        <f>IF(F691="","",CHOOSE(MONTH(F691),"10-JAN","11-FEB","12-MAR","01-APR","02-MAY","03-JUN","04-JUL","05-AUG","06-SEP","07-OCT","08-NOV","09-DEC"))</f>
        <v>01-APR</v>
      </c>
      <c r="F691" s="242">
        <v>45758</v>
      </c>
      <c r="G691" s="222" t="s">
        <v>2420</v>
      </c>
      <c r="H691" s="459" t="s">
        <v>764</v>
      </c>
      <c r="I691" s="29" t="s">
        <v>223</v>
      </c>
      <c r="J691" s="8" t="s">
        <v>163</v>
      </c>
      <c r="K691" s="281" t="str">
        <f>IF(H691="","",IFERROR(VLOOKUP(H691,Instructions!D:E,2,0),"BA"))</f>
        <v>BA</v>
      </c>
      <c r="L691" s="30" t="s">
        <v>2421</v>
      </c>
      <c r="M691" s="151">
        <f>IF(SUM(V691:BC691)=0,"-",SUM(V691:BC691))</f>
        <v>11</v>
      </c>
      <c r="N691" s="65">
        <f>IF(SUMPRODUCT($V$3:$BC$3,V691:BC691)=0,"-",SUMPRODUCT($V$3:$BC$3,V691:BC691))</f>
        <v>440</v>
      </c>
      <c r="O691" s="30" t="s">
        <v>2422</v>
      </c>
      <c r="P691" s="280" t="s">
        <v>481</v>
      </c>
      <c r="Q691" s="260">
        <v>4200681021</v>
      </c>
      <c r="R691" s="211" t="s">
        <v>481</v>
      </c>
      <c r="S691" s="211" t="s">
        <v>249</v>
      </c>
      <c r="T691" s="211" t="s">
        <v>2423</v>
      </c>
      <c r="U691" s="253" t="s">
        <v>2424</v>
      </c>
      <c r="AD691" s="8">
        <v>11</v>
      </c>
    </row>
    <row r="692" spans="1:35" hidden="1">
      <c r="A692" s="286" t="s">
        <v>220</v>
      </c>
      <c r="B692" s="286" t="s">
        <v>221</v>
      </c>
      <c r="C692" s="280" t="s">
        <v>2302</v>
      </c>
      <c r="D692" s="281" t="str">
        <f>IF(F692="","",CHOOSE(MONTH(F692),"Q4","Q4","Q4","Q1","Q1","Q1","Q2","Q2","Q2","Q3","Q3","Q3"))</f>
        <v>Q1</v>
      </c>
      <c r="E692" s="282" t="str">
        <f>IF(F692="","",CHOOSE(MONTH(F692),"10-JAN","11-FEB","12-MAR","01-APR","02-MAY","03-JUN","04-JUL","05-AUG","06-SEP","07-OCT","08-NOV","09-DEC"))</f>
        <v>01-APR</v>
      </c>
      <c r="F692" s="242">
        <v>45762</v>
      </c>
      <c r="G692" s="222" t="s">
        <v>2425</v>
      </c>
      <c r="H692" s="410" t="s">
        <v>28</v>
      </c>
      <c r="I692" s="29" t="s">
        <v>223</v>
      </c>
      <c r="J692" s="8" t="s">
        <v>95</v>
      </c>
      <c r="K692" s="281" t="str">
        <f>IF(H692="","",IFERROR(VLOOKUP(H692,Instructions!D:E,2,0),"BA"))</f>
        <v>BA</v>
      </c>
      <c r="L692" s="30" t="s">
        <v>2277</v>
      </c>
      <c r="M692" s="151">
        <f>IF(SUM(V692:BC692)=0,"-",SUM(V692:BC692))</f>
        <v>2</v>
      </c>
      <c r="N692" s="65">
        <f>IF(SUMPRODUCT($V$3:$BC$3,V692:BC692)=0,"-",SUMPRODUCT($V$3:$BC$3,V692:BC692))</f>
        <v>70</v>
      </c>
      <c r="O692" s="30" t="s">
        <v>2426</v>
      </c>
      <c r="P692" s="280" t="s">
        <v>481</v>
      </c>
      <c r="Q692" s="211">
        <v>4270029777</v>
      </c>
      <c r="R692" s="211"/>
      <c r="S692" s="211" t="s">
        <v>249</v>
      </c>
      <c r="T692" s="211" t="s">
        <v>2427</v>
      </c>
      <c r="U692" s="253" t="s">
        <v>2366</v>
      </c>
      <c r="W692" s="8">
        <v>2</v>
      </c>
    </row>
    <row r="693" spans="1:35" hidden="1">
      <c r="A693" s="286" t="s">
        <v>244</v>
      </c>
      <c r="B693" s="286" t="s">
        <v>221</v>
      </c>
      <c r="C693" s="280" t="s">
        <v>2302</v>
      </c>
      <c r="D693" s="281" t="str">
        <f t="shared" ref="D693:D756" si="0">IF(F693="","",CHOOSE(MONTH(F693),"Q4","Q4","Q4","Q1","Q1","Q1","Q2","Q2","Q2","Q3","Q3","Q3"))</f>
        <v>Q1</v>
      </c>
      <c r="E693" s="282" t="str">
        <f t="shared" ref="E693:E756" si="1">IF(F693="","",CHOOSE(MONTH(F693),"10-JAN","11-FEB","12-MAR","01-APR","02-MAY","03-JUN","04-JUL","05-AUG","06-SEP","07-OCT","08-NOV","09-DEC"))</f>
        <v>01-APR</v>
      </c>
      <c r="F693" s="242">
        <v>45762</v>
      </c>
      <c r="G693" s="231" t="s">
        <v>2428</v>
      </c>
      <c r="H693" s="410" t="s">
        <v>35</v>
      </c>
      <c r="I693" s="29" t="s">
        <v>223</v>
      </c>
      <c r="J693" s="8" t="s">
        <v>2411</v>
      </c>
      <c r="K693" s="281" t="str">
        <f>IF(H693="","",IFERROR(VLOOKUP(H693,Instructions!D:E,2,0),"BA"))</f>
        <v>BA</v>
      </c>
      <c r="L693" s="78" t="s">
        <v>2429</v>
      </c>
      <c r="M693" s="151">
        <f>IF(SUM(V693:BC693)=0,"-",SUM(V693:BC693))</f>
        <v>1</v>
      </c>
      <c r="N693" s="65">
        <f>IF(SUMPRODUCT($V$3:$BC$3,V693:BC693)=0,"-",SUMPRODUCT($V$3:$BC$3,V693:BC693))</f>
        <v>135</v>
      </c>
      <c r="O693" s="30" t="s">
        <v>2430</v>
      </c>
      <c r="P693" s="280" t="s">
        <v>481</v>
      </c>
      <c r="Q693" s="172">
        <v>4200684022</v>
      </c>
      <c r="R693" s="211"/>
      <c r="S693" s="211" t="s">
        <v>249</v>
      </c>
      <c r="T693" s="211" t="s">
        <v>2414</v>
      </c>
      <c r="U693" s="388" t="s">
        <v>2324</v>
      </c>
      <c r="AC693" s="7">
        <v>1</v>
      </c>
    </row>
    <row r="694" spans="1:35" hidden="1">
      <c r="A694" s="286" t="s">
        <v>244</v>
      </c>
      <c r="B694" s="286" t="s">
        <v>221</v>
      </c>
      <c r="C694" s="280" t="s">
        <v>2302</v>
      </c>
      <c r="D694" s="281" t="str">
        <f t="shared" si="0"/>
        <v>Q1</v>
      </c>
      <c r="E694" s="282" t="str">
        <f t="shared" si="1"/>
        <v>01-APR</v>
      </c>
      <c r="F694" s="242">
        <v>45763</v>
      </c>
      <c r="G694" s="222" t="s">
        <v>2431</v>
      </c>
      <c r="H694" s="5" t="s">
        <v>2377</v>
      </c>
      <c r="I694" s="29" t="s">
        <v>223</v>
      </c>
      <c r="J694" s="8" t="s">
        <v>130</v>
      </c>
      <c r="K694" s="281" t="str">
        <f>IF(H694="","",IFERROR(VLOOKUP(H694,Instructions!D:E,2,0),"BA"))</f>
        <v>CM</v>
      </c>
      <c r="L694" s="30" t="s">
        <v>2432</v>
      </c>
      <c r="M694" s="151">
        <f>IF(SUM(V694:BC694)=0,"-",SUM(V694:BC694))</f>
        <v>4</v>
      </c>
      <c r="N694" s="65">
        <f>IF(SUMPRODUCT($V$3:$BC$3,V694:BC694)=0,"-",SUMPRODUCT($V$3:$BC$3,V694:BC694))</f>
        <v>310</v>
      </c>
      <c r="P694" s="280" t="s">
        <v>481</v>
      </c>
      <c r="Q694" s="211">
        <v>4200682184</v>
      </c>
      <c r="R694" s="211" t="s">
        <v>232</v>
      </c>
      <c r="S694" s="211" t="s">
        <v>249</v>
      </c>
      <c r="T694" s="211" t="s">
        <v>2433</v>
      </c>
      <c r="U694" s="253" t="s">
        <v>2361</v>
      </c>
      <c r="V694" s="7">
        <v>2</v>
      </c>
      <c r="W694" s="8">
        <v>2</v>
      </c>
    </row>
    <row r="695" spans="1:35" hidden="1">
      <c r="A695" s="286" t="s">
        <v>244</v>
      </c>
      <c r="B695" s="286" t="s">
        <v>221</v>
      </c>
      <c r="C695" s="280" t="s">
        <v>2</v>
      </c>
      <c r="D695" s="281" t="str">
        <f t="shared" si="0"/>
        <v>Q1</v>
      </c>
      <c r="E695" s="282" t="str">
        <f t="shared" si="1"/>
        <v>01-APR</v>
      </c>
      <c r="F695" s="242">
        <v>45763</v>
      </c>
      <c r="G695" s="222" t="s">
        <v>2434</v>
      </c>
      <c r="H695" s="459" t="s">
        <v>764</v>
      </c>
      <c r="I695" s="29" t="s">
        <v>223</v>
      </c>
      <c r="J695" s="8" t="s">
        <v>163</v>
      </c>
      <c r="K695" s="281" t="str">
        <f>IF(H695="","",IFERROR(VLOOKUP(H695,Instructions!D:E,2,0),"BA"))</f>
        <v>BA</v>
      </c>
      <c r="L695" s="30" t="s">
        <v>2435</v>
      </c>
      <c r="M695" s="151">
        <f>IF(SUM(V695:BC695)=0,"-",SUM(V695:BC695))</f>
        <v>1</v>
      </c>
      <c r="N695" s="65">
        <f>IF(SUMPRODUCT($V$3:$BC$3,V695:BC695)=0,"-",SUMPRODUCT($V$3:$BC$3,V695:BC695))</f>
        <v>40</v>
      </c>
      <c r="O695" s="30" t="s">
        <v>2436</v>
      </c>
      <c r="P695" s="280" t="s">
        <v>481</v>
      </c>
      <c r="Q695" s="248">
        <v>4200683831</v>
      </c>
      <c r="R695" s="211"/>
      <c r="S695" s="211" t="s">
        <v>249</v>
      </c>
      <c r="T695" s="211" t="s">
        <v>2407</v>
      </c>
      <c r="U695" s="253" t="s">
        <v>2324</v>
      </c>
      <c r="AD695" s="8">
        <v>1</v>
      </c>
    </row>
    <row r="696" spans="1:35" hidden="1">
      <c r="A696" s="286" t="s">
        <v>244</v>
      </c>
      <c r="B696" s="286" t="s">
        <v>221</v>
      </c>
      <c r="C696" s="280" t="s">
        <v>2302</v>
      </c>
      <c r="D696" s="281" t="str">
        <f t="shared" si="0"/>
        <v>Q1</v>
      </c>
      <c r="E696" s="282" t="str">
        <f t="shared" si="1"/>
        <v>01-APR</v>
      </c>
      <c r="F696" s="242">
        <v>45768</v>
      </c>
      <c r="G696" s="222" t="s">
        <v>2437</v>
      </c>
      <c r="H696" s="5" t="s">
        <v>35</v>
      </c>
      <c r="I696" s="29" t="s">
        <v>223</v>
      </c>
      <c r="J696" s="8" t="s">
        <v>95</v>
      </c>
      <c r="K696" s="281" t="str">
        <f>IF(H696="","",IFERROR(VLOOKUP(H696,Instructions!D:E,2,0),"BA"))</f>
        <v>BA</v>
      </c>
      <c r="L696" s="78" t="s">
        <v>2438</v>
      </c>
      <c r="M696" s="151">
        <f>IF(SUM(V696:BC696)=0,"-",SUM(V696:BC696))</f>
        <v>10</v>
      </c>
      <c r="N696" s="65">
        <f>IF(SUMPRODUCT($V$3:$BC$3,V696:BC696)=0,"-",SUMPRODUCT($V$3:$BC$3,V696:BC696))</f>
        <v>780</v>
      </c>
      <c r="O696" s="30" t="s">
        <v>2439</v>
      </c>
      <c r="P696" s="280" t="s">
        <v>481</v>
      </c>
      <c r="Q696" s="118">
        <v>4200684013</v>
      </c>
      <c r="R696" s="260"/>
      <c r="S696" s="260" t="s">
        <v>249</v>
      </c>
      <c r="T696" s="260" t="s">
        <v>2440</v>
      </c>
      <c r="U696" s="388" t="s">
        <v>2324</v>
      </c>
      <c r="AC696" s="7">
        <v>4</v>
      </c>
      <c r="AD696" s="8">
        <v>6</v>
      </c>
    </row>
    <row r="697" spans="1:35" hidden="1">
      <c r="A697" s="286" t="s">
        <v>220</v>
      </c>
      <c r="B697" s="286" t="s">
        <v>221</v>
      </c>
      <c r="C697" s="280" t="s">
        <v>2302</v>
      </c>
      <c r="D697" s="281" t="str">
        <f t="shared" si="0"/>
        <v>Q1</v>
      </c>
      <c r="E697" s="282" t="str">
        <f t="shared" si="1"/>
        <v>01-APR</v>
      </c>
      <c r="F697" s="242">
        <v>45769</v>
      </c>
      <c r="G697" s="222" t="s">
        <v>2441</v>
      </c>
      <c r="H697" s="410" t="s">
        <v>2304</v>
      </c>
      <c r="I697" s="29" t="s">
        <v>223</v>
      </c>
      <c r="J697" s="8" t="s">
        <v>69</v>
      </c>
      <c r="K697" s="281" t="str">
        <f>IF(H697="","",IFERROR(VLOOKUP(H697,Instructions!D:E,2,0),"BA"))</f>
        <v>BA</v>
      </c>
      <c r="L697" s="78" t="s">
        <v>2442</v>
      </c>
      <c r="M697" s="151">
        <f>IF(SUM(V697:BC697)=0,"-",SUM(V697:BC697))</f>
        <v>16</v>
      </c>
      <c r="N697" s="65">
        <f>IF(SUMPRODUCT($V$3:$BC$3,V697:BC697)=0,"-",SUMPRODUCT($V$3:$BC$3,V697:BC697))</f>
        <v>645</v>
      </c>
      <c r="O697" s="30" t="s">
        <v>2443</v>
      </c>
      <c r="P697" s="280" t="s">
        <v>481</v>
      </c>
      <c r="Q697" s="260">
        <v>4200682290</v>
      </c>
      <c r="R697" s="211"/>
      <c r="S697" s="211" t="s">
        <v>249</v>
      </c>
      <c r="T697" s="211" t="s">
        <v>2444</v>
      </c>
      <c r="U697" s="253" t="s">
        <v>2366</v>
      </c>
      <c r="V697" s="7">
        <v>1</v>
      </c>
      <c r="W697" s="8">
        <v>15</v>
      </c>
    </row>
    <row r="698" spans="1:35" hidden="1">
      <c r="A698" s="286" t="s">
        <v>244</v>
      </c>
      <c r="B698" s="286" t="s">
        <v>221</v>
      </c>
      <c r="C698" s="280" t="s">
        <v>2302</v>
      </c>
      <c r="D698" s="281" t="str">
        <f t="shared" si="0"/>
        <v>Q1</v>
      </c>
      <c r="E698" s="282" t="str">
        <f t="shared" si="1"/>
        <v>01-APR</v>
      </c>
      <c r="F698" s="242">
        <v>45770</v>
      </c>
      <c r="G698" s="222" t="s">
        <v>2445</v>
      </c>
      <c r="H698" s="5" t="s">
        <v>2377</v>
      </c>
      <c r="I698" s="29" t="s">
        <v>223</v>
      </c>
      <c r="J698" s="8" t="s">
        <v>130</v>
      </c>
      <c r="K698" s="281" t="str">
        <f>IF(H698="","",IFERROR(VLOOKUP(H698,Instructions!D:E,2,0),"BA"))</f>
        <v>CM</v>
      </c>
      <c r="L698" s="30" t="s">
        <v>2446</v>
      </c>
      <c r="M698" s="151">
        <f>IF(SUM(V698:BC698)=0,"-",SUM(V698:BC698))</f>
        <v>2</v>
      </c>
      <c r="N698" s="65">
        <f>IF(SUMPRODUCT($V$3:$BC$3,V698:BC698)=0,"-",SUMPRODUCT($V$3:$BC$3,V698:BC698))</f>
        <v>155</v>
      </c>
      <c r="P698" s="280" t="s">
        <v>481</v>
      </c>
      <c r="Q698" s="211">
        <v>4200682184</v>
      </c>
      <c r="R698" s="211" t="s">
        <v>237</v>
      </c>
      <c r="S698" s="211" t="s">
        <v>249</v>
      </c>
      <c r="T698" s="211" t="s">
        <v>2447</v>
      </c>
      <c r="U698" s="253" t="s">
        <v>2324</v>
      </c>
      <c r="V698" s="7">
        <v>1</v>
      </c>
      <c r="W698" s="8">
        <v>1</v>
      </c>
    </row>
    <row r="699" spans="1:35" hidden="1">
      <c r="A699" s="286" t="s">
        <v>244</v>
      </c>
      <c r="B699" s="286" t="s">
        <v>221</v>
      </c>
      <c r="C699" s="280" t="s">
        <v>2302</v>
      </c>
      <c r="D699" s="281" t="str">
        <f t="shared" si="0"/>
        <v>Q1</v>
      </c>
      <c r="E699" s="282" t="str">
        <f t="shared" si="1"/>
        <v>01-APR</v>
      </c>
      <c r="F699" s="242">
        <v>45770</v>
      </c>
      <c r="G699" s="222" t="s">
        <v>2448</v>
      </c>
      <c r="H699" s="5" t="s">
        <v>2377</v>
      </c>
      <c r="I699" s="29" t="s">
        <v>223</v>
      </c>
      <c r="J699" s="8" t="s">
        <v>93</v>
      </c>
      <c r="K699" s="281" t="str">
        <f>IF(H699="","",IFERROR(VLOOKUP(H699,Instructions!D:E,2,0),"BA"))</f>
        <v>CM</v>
      </c>
      <c r="L699" s="78" t="s">
        <v>2449</v>
      </c>
      <c r="M699" s="151">
        <f>IF(SUM(V699:BC699)=0,"-",SUM(V699:BC699))</f>
        <v>3</v>
      </c>
      <c r="N699" s="65">
        <f>IF(SUMPRODUCT($V$3:$BC$3,V699:BC699)=0,"-",SUMPRODUCT($V$3:$BC$3,V699:BC699))</f>
        <v>105</v>
      </c>
      <c r="P699" s="280" t="s">
        <v>481</v>
      </c>
      <c r="Q699" s="424" t="s">
        <v>2450</v>
      </c>
      <c r="R699" s="211" t="s">
        <v>237</v>
      </c>
      <c r="S699" s="211" t="s">
        <v>249</v>
      </c>
      <c r="T699" s="211" t="s">
        <v>2384</v>
      </c>
      <c r="U699" s="253" t="s">
        <v>2324</v>
      </c>
      <c r="W699" s="8">
        <v>3</v>
      </c>
    </row>
    <row r="700" spans="1:35" hidden="1">
      <c r="A700" s="286" t="s">
        <v>244</v>
      </c>
      <c r="B700" s="286" t="s">
        <v>221</v>
      </c>
      <c r="C700" s="280" t="s">
        <v>2</v>
      </c>
      <c r="D700" s="281" t="str">
        <f t="shared" si="0"/>
        <v>Q1</v>
      </c>
      <c r="E700" s="282" t="str">
        <f t="shared" si="1"/>
        <v>01-APR</v>
      </c>
      <c r="F700" s="242">
        <v>45772</v>
      </c>
      <c r="G700" s="222" t="s">
        <v>2451</v>
      </c>
      <c r="H700" s="459" t="s">
        <v>31</v>
      </c>
      <c r="I700" s="29" t="s">
        <v>223</v>
      </c>
      <c r="J700" s="8" t="s">
        <v>93</v>
      </c>
      <c r="K700" s="281" t="str">
        <f>IF(H700="","",IFERROR(VLOOKUP(H700,Instructions!D:E,2,0),"BA"))</f>
        <v>BA</v>
      </c>
      <c r="L700" s="30" t="s">
        <v>2452</v>
      </c>
      <c r="M700" s="151">
        <f>IF(SUM(V700:BC700)=0,"-",SUM(V700:BC700))</f>
        <v>4</v>
      </c>
      <c r="N700" s="65">
        <f>IF(SUMPRODUCT($V$3:$BC$3,V700:BC700)=0,"-",SUMPRODUCT($V$3:$BC$3,V700:BC700))</f>
        <v>310</v>
      </c>
      <c r="P700" s="280" t="s">
        <v>481</v>
      </c>
      <c r="Q700" s="211">
        <v>4200683823</v>
      </c>
      <c r="R700" s="211"/>
      <c r="S700" s="211" t="s">
        <v>249</v>
      </c>
      <c r="T700" s="211" t="s">
        <v>2370</v>
      </c>
      <c r="U700" s="253" t="s">
        <v>2324</v>
      </c>
      <c r="V700" s="7">
        <v>2</v>
      </c>
      <c r="W700" s="8">
        <v>2</v>
      </c>
    </row>
    <row r="701" spans="1:35" hidden="1">
      <c r="A701" s="286" t="s">
        <v>244</v>
      </c>
      <c r="B701" s="286" t="s">
        <v>221</v>
      </c>
      <c r="C701" s="280" t="s">
        <v>2302</v>
      </c>
      <c r="D701" s="281" t="str">
        <f t="shared" si="0"/>
        <v>Q1</v>
      </c>
      <c r="E701" s="282" t="str">
        <f t="shared" si="1"/>
        <v>01-APR</v>
      </c>
      <c r="F701" s="242">
        <v>45775</v>
      </c>
      <c r="G701" s="231" t="s">
        <v>2453</v>
      </c>
      <c r="H701" s="5" t="s">
        <v>2377</v>
      </c>
      <c r="I701" s="172" t="s">
        <v>223</v>
      </c>
      <c r="J701" s="8" t="s">
        <v>129</v>
      </c>
      <c r="K701" s="280" t="str">
        <f>IF(H701="","",IFERROR(VLOOKUP(H701,Instructions!D:E,2,0),"BA"))</f>
        <v>CM</v>
      </c>
      <c r="L701" s="432" t="s">
        <v>2454</v>
      </c>
      <c r="M701" s="8">
        <f>IF(SUM(V701:BC701)=0,"-",SUM(V701:BC701))</f>
        <v>1</v>
      </c>
      <c r="N701" s="352">
        <f>IF(SUMPRODUCT($V$3:$BC$3,V701:BC701)=0,"-",SUMPRODUCT($V$3:$BC$3,V701:BC701))</f>
        <v>35</v>
      </c>
      <c r="O701" s="432"/>
      <c r="P701" s="280" t="s">
        <v>481</v>
      </c>
      <c r="Q701" s="211">
        <v>4200681237</v>
      </c>
      <c r="R701" s="211" t="s">
        <v>237</v>
      </c>
      <c r="S701" s="253" t="s">
        <v>249</v>
      </c>
      <c r="T701" s="253" t="s">
        <v>2455</v>
      </c>
      <c r="U701" s="253" t="s">
        <v>2424</v>
      </c>
      <c r="W701" s="8">
        <v>1</v>
      </c>
    </row>
    <row r="702" spans="1:35" hidden="1">
      <c r="A702" s="286" t="s">
        <v>220</v>
      </c>
      <c r="B702" s="286" t="s">
        <v>221</v>
      </c>
      <c r="C702" s="280" t="s">
        <v>2302</v>
      </c>
      <c r="D702" s="281" t="str">
        <f t="shared" si="0"/>
        <v>Q1</v>
      </c>
      <c r="E702" s="282" t="str">
        <f t="shared" si="1"/>
        <v>01-APR</v>
      </c>
      <c r="F702" s="242">
        <v>45776</v>
      </c>
      <c r="G702" s="222" t="s">
        <v>2456</v>
      </c>
      <c r="H702" s="410" t="s">
        <v>2304</v>
      </c>
      <c r="I702" s="29" t="s">
        <v>223</v>
      </c>
      <c r="J702" s="8" t="s">
        <v>69</v>
      </c>
      <c r="K702" s="281" t="str">
        <f>IF(H702="","",IFERROR(VLOOKUP(H702,Instructions!D:E,2,0),"BA"))</f>
        <v>BA</v>
      </c>
      <c r="L702" s="30" t="s">
        <v>2457</v>
      </c>
      <c r="M702" s="151">
        <f>IF(SUM(V702:BC702)=0,"-",SUM(V702:BC702))</f>
        <v>2</v>
      </c>
      <c r="N702" s="65">
        <f>IF(SUMPRODUCT($V$3:$BC$3,V702:BC702)=0,"-",SUMPRODUCT($V$3:$BC$3,V702:BC702))</f>
        <v>175</v>
      </c>
      <c r="O702" s="30" t="s">
        <v>2458</v>
      </c>
      <c r="P702" s="280" t="s">
        <v>481</v>
      </c>
      <c r="Q702" s="211">
        <v>4200683498</v>
      </c>
      <c r="R702" s="211"/>
      <c r="S702" s="211" t="s">
        <v>249</v>
      </c>
      <c r="T702" s="211" t="s">
        <v>2459</v>
      </c>
      <c r="U702" s="253" t="s">
        <v>2324</v>
      </c>
      <c r="AC702" s="7">
        <v>1</v>
      </c>
      <c r="AD702" s="8">
        <v>1</v>
      </c>
    </row>
    <row r="703" spans="1:35" hidden="1">
      <c r="A703" s="286" t="s">
        <v>244</v>
      </c>
      <c r="B703" s="286" t="s">
        <v>221</v>
      </c>
      <c r="C703" s="280" t="s">
        <v>2302</v>
      </c>
      <c r="D703" s="281" t="str">
        <f t="shared" si="0"/>
        <v>Q1</v>
      </c>
      <c r="E703" s="282" t="str">
        <f t="shared" si="1"/>
        <v>01-APR</v>
      </c>
      <c r="F703" s="242">
        <v>45777</v>
      </c>
      <c r="G703" s="2" t="s">
        <v>2460</v>
      </c>
      <c r="H703" s="459" t="s">
        <v>31</v>
      </c>
      <c r="I703" s="29" t="s">
        <v>223</v>
      </c>
      <c r="J703" s="8" t="s">
        <v>93</v>
      </c>
      <c r="K703" s="281" t="str">
        <f>IF(H703="","",IFERROR(VLOOKUP(H703,Instructions!D:E,2,0),"BA"))</f>
        <v>BA</v>
      </c>
      <c r="L703" s="30" t="s">
        <v>2461</v>
      </c>
      <c r="M703" s="151">
        <f>IF(SUM(V703:BC703)=0,"-",SUM(V703:BC703))</f>
        <v>1</v>
      </c>
      <c r="N703" s="65">
        <f>IF(SUMPRODUCT($V$3:$BC$3,V703:BC703)=0,"-",SUMPRODUCT($V$3:$BC$3,V703:BC703))</f>
        <v>180</v>
      </c>
      <c r="P703" s="280" t="s">
        <v>481</v>
      </c>
      <c r="Q703" s="211">
        <v>4200683823</v>
      </c>
      <c r="R703" s="211"/>
      <c r="S703" s="211" t="s">
        <v>249</v>
      </c>
      <c r="T703" s="211" t="s">
        <v>2370</v>
      </c>
      <c r="U703" s="253" t="s">
        <v>2324</v>
      </c>
      <c r="AI703" s="8">
        <v>1</v>
      </c>
    </row>
    <row r="704" spans="1:35" hidden="1">
      <c r="A704" s="286" t="s">
        <v>244</v>
      </c>
      <c r="B704" s="286" t="s">
        <v>221</v>
      </c>
      <c r="C704" s="280" t="s">
        <v>2302</v>
      </c>
      <c r="D704" s="281" t="str">
        <f t="shared" si="0"/>
        <v>Q1</v>
      </c>
      <c r="E704" s="282" t="str">
        <f t="shared" si="1"/>
        <v>02-MAY</v>
      </c>
      <c r="F704" s="242">
        <v>45783</v>
      </c>
      <c r="G704" s="230" t="s">
        <v>2462</v>
      </c>
      <c r="H704" s="5" t="s">
        <v>35</v>
      </c>
      <c r="I704" s="29" t="s">
        <v>223</v>
      </c>
      <c r="J704" s="8" t="s">
        <v>95</v>
      </c>
      <c r="K704" s="281" t="str">
        <f>IF(H704="","",IFERROR(VLOOKUP(H704,Instructions!D:E,2,0),"BA"))</f>
        <v>BA</v>
      </c>
      <c r="L704" s="30" t="s">
        <v>2463</v>
      </c>
      <c r="M704" s="151">
        <f>IF(SUM(V704:BC704)=0,"-",SUM(V704:BC704))</f>
        <v>9</v>
      </c>
      <c r="N704" s="65">
        <f>IF(SUMPRODUCT($V$3:$BC$3,V704:BC704)=0,"-",SUMPRODUCT($V$3:$BC$3,V704:BC704))</f>
        <v>550</v>
      </c>
      <c r="O704" s="30" t="s">
        <v>2464</v>
      </c>
      <c r="P704" s="280" t="s">
        <v>481</v>
      </c>
      <c r="Q704" s="118">
        <v>4200684013</v>
      </c>
      <c r="R704" s="260"/>
      <c r="S704" s="260" t="s">
        <v>249</v>
      </c>
      <c r="T704" s="260" t="s">
        <v>2440</v>
      </c>
      <c r="U704" s="388" t="s">
        <v>2324</v>
      </c>
      <c r="AC704" s="7">
        <v>2</v>
      </c>
      <c r="AD704" s="8">
        <v>7</v>
      </c>
    </row>
    <row r="705" spans="1:31" hidden="1">
      <c r="A705" s="286" t="s">
        <v>244</v>
      </c>
      <c r="B705" s="286" t="s">
        <v>221</v>
      </c>
      <c r="C705" s="280" t="s">
        <v>2</v>
      </c>
      <c r="D705" s="281" t="str">
        <f t="shared" si="0"/>
        <v>Q1</v>
      </c>
      <c r="E705" s="282" t="str">
        <f t="shared" si="1"/>
        <v>02-MAY</v>
      </c>
      <c r="F705" s="242">
        <v>45784</v>
      </c>
      <c r="G705" s="2" t="s">
        <v>2465</v>
      </c>
      <c r="H705" s="460" t="s">
        <v>31</v>
      </c>
      <c r="I705" s="29" t="s">
        <v>223</v>
      </c>
      <c r="J705" s="8" t="s">
        <v>93</v>
      </c>
      <c r="K705" s="281" t="str">
        <f>IF(H705="","",IFERROR(VLOOKUP(H705,Instructions!D:E,2,0),"BA"))</f>
        <v>BA</v>
      </c>
      <c r="L705" s="30" t="s">
        <v>2466</v>
      </c>
      <c r="M705" s="151">
        <f>IF(SUM(V705:BC705)=0,"-",SUM(V705:BC705))</f>
        <v>1</v>
      </c>
      <c r="N705" s="65">
        <f>IF(SUMPRODUCT($V$3:$BC$3,V705:BC705)=0,"-",SUMPRODUCT($V$3:$BC$3,V705:BC705))</f>
        <v>120</v>
      </c>
      <c r="Q705" s="211">
        <v>4200683823</v>
      </c>
      <c r="R705" s="211"/>
      <c r="S705" s="211" t="s">
        <v>249</v>
      </c>
      <c r="T705" s="211" t="s">
        <v>2370</v>
      </c>
      <c r="U705" s="253" t="s">
        <v>2324</v>
      </c>
      <c r="V705" s="7">
        <v>1</v>
      </c>
    </row>
    <row r="706" spans="1:31" hidden="1">
      <c r="A706" s="286" t="s">
        <v>244</v>
      </c>
      <c r="B706" s="286" t="s">
        <v>221</v>
      </c>
      <c r="C706" s="280" t="s">
        <v>2302</v>
      </c>
      <c r="D706" s="281" t="str">
        <f t="shared" si="0"/>
        <v>Q1</v>
      </c>
      <c r="E706" s="282" t="str">
        <f t="shared" si="1"/>
        <v>02-MAY</v>
      </c>
      <c r="F706" s="242">
        <v>45784</v>
      </c>
      <c r="G706" s="231" t="s">
        <v>2467</v>
      </c>
      <c r="H706" s="5" t="s">
        <v>2304</v>
      </c>
      <c r="I706" s="29" t="s">
        <v>223</v>
      </c>
      <c r="J706" s="8" t="s">
        <v>69</v>
      </c>
      <c r="K706" s="281" t="str">
        <f>IF(H706="","",IFERROR(VLOOKUP(H706,Instructions!D:E,2,0),"BA"))</f>
        <v>BA</v>
      </c>
      <c r="L706" s="78" t="s">
        <v>2468</v>
      </c>
      <c r="M706" s="151">
        <f>IF(SUM(V706:BC706)=0,"-",SUM(V706:BC706))</f>
        <v>3</v>
      </c>
      <c r="N706" s="65">
        <f>IF(SUMPRODUCT($V$3:$BC$3,V706:BC706)=0,"-",SUMPRODUCT($V$3:$BC$3,V706:BC706))</f>
        <v>215</v>
      </c>
      <c r="O706" s="30" t="s">
        <v>2469</v>
      </c>
      <c r="P706" s="280" t="s">
        <v>481</v>
      </c>
      <c r="Q706" s="211">
        <v>4200683817</v>
      </c>
      <c r="R706" s="211"/>
      <c r="S706" s="211" t="s">
        <v>249</v>
      </c>
      <c r="T706" s="211" t="s">
        <v>2470</v>
      </c>
      <c r="U706" s="253" t="s">
        <v>2324</v>
      </c>
      <c r="AC706" s="7">
        <v>1</v>
      </c>
      <c r="AD706" s="8">
        <v>2</v>
      </c>
    </row>
    <row r="707" spans="1:31" hidden="1">
      <c r="A707" s="286" t="s">
        <v>220</v>
      </c>
      <c r="B707" s="286" t="s">
        <v>221</v>
      </c>
      <c r="C707" s="280" t="s">
        <v>2302</v>
      </c>
      <c r="D707" s="281" t="str">
        <f t="shared" si="0"/>
        <v>Q1</v>
      </c>
      <c r="E707" s="282" t="str">
        <f t="shared" si="1"/>
        <v>02-MAY</v>
      </c>
      <c r="F707" s="242">
        <v>45784</v>
      </c>
      <c r="G707" s="222" t="s">
        <v>2471</v>
      </c>
      <c r="H707" s="5" t="s">
        <v>2304</v>
      </c>
      <c r="I707" s="29" t="s">
        <v>223</v>
      </c>
      <c r="J707" s="8" t="s">
        <v>69</v>
      </c>
      <c r="K707" s="281" t="str">
        <f>IF(H707="","",IFERROR(VLOOKUP(H707,Instructions!D:E,2,0),"BA"))</f>
        <v>BA</v>
      </c>
      <c r="L707" s="78" t="s">
        <v>2472</v>
      </c>
      <c r="M707" s="151">
        <f>IF(SUM(V707:BC707)=0,"-",SUM(V707:BC707))</f>
        <v>1</v>
      </c>
      <c r="N707" s="65">
        <f>IF(SUMPRODUCT($V$3:$BC$3,V707:BC707)=0,"-",SUMPRODUCT($V$3:$BC$3,V707:BC707))</f>
        <v>180</v>
      </c>
      <c r="O707" s="30" t="s">
        <v>2473</v>
      </c>
      <c r="P707" s="280" t="s">
        <v>481</v>
      </c>
      <c r="Q707" s="211">
        <v>4200683808</v>
      </c>
      <c r="R707" s="211"/>
      <c r="S707" s="211" t="s">
        <v>249</v>
      </c>
      <c r="T707" s="211" t="s">
        <v>2474</v>
      </c>
      <c r="U707" s="253" t="s">
        <v>2324</v>
      </c>
      <c r="AE707" s="8">
        <v>1</v>
      </c>
    </row>
    <row r="708" spans="1:31" hidden="1">
      <c r="A708" s="286" t="s">
        <v>244</v>
      </c>
      <c r="B708" s="286" t="s">
        <v>221</v>
      </c>
      <c r="C708" s="280" t="s">
        <v>2302</v>
      </c>
      <c r="D708" s="281" t="str">
        <f t="shared" si="0"/>
        <v>Q1</v>
      </c>
      <c r="E708" s="282" t="str">
        <f t="shared" si="1"/>
        <v>02-MAY</v>
      </c>
      <c r="F708" s="242">
        <v>45786</v>
      </c>
      <c r="G708" s="222" t="s">
        <v>2475</v>
      </c>
      <c r="H708" s="5" t="s">
        <v>35</v>
      </c>
      <c r="I708" s="29" t="s">
        <v>223</v>
      </c>
      <c r="J708" s="8" t="s">
        <v>95</v>
      </c>
      <c r="K708" s="281" t="str">
        <f>IF(H708="","",IFERROR(VLOOKUP(H708,Instructions!D:E,2,0),"BA"))</f>
        <v>BA</v>
      </c>
      <c r="L708" s="78" t="s">
        <v>2476</v>
      </c>
      <c r="M708" s="151">
        <f>IF(SUM(V708:BC708)=0,"-",SUM(V708:BC708))</f>
        <v>1</v>
      </c>
      <c r="N708" s="65">
        <f>IF(SUMPRODUCT($V$3:$BC$3,V708:BC708)=0,"-",SUMPRODUCT($V$3:$BC$3,V708:BC708))</f>
        <v>180</v>
      </c>
      <c r="O708" s="30" t="s">
        <v>2477</v>
      </c>
      <c r="P708" s="280" t="s">
        <v>481</v>
      </c>
      <c r="Q708" s="118">
        <v>4200684013</v>
      </c>
      <c r="R708" s="260"/>
      <c r="S708" s="260" t="s">
        <v>249</v>
      </c>
      <c r="T708" s="260" t="s">
        <v>2440</v>
      </c>
      <c r="U708" s="388" t="s">
        <v>2324</v>
      </c>
      <c r="AE708" s="8">
        <v>1</v>
      </c>
    </row>
    <row r="709" spans="1:31" hidden="1" outlineLevel="1">
      <c r="A709" s="286" t="s">
        <v>244</v>
      </c>
      <c r="B709" s="286" t="s">
        <v>221</v>
      </c>
      <c r="C709" s="280" t="s">
        <v>2302</v>
      </c>
      <c r="D709" s="281" t="str">
        <f t="shared" si="0"/>
        <v>Q1</v>
      </c>
      <c r="E709" s="282" t="str">
        <f t="shared" si="1"/>
        <v>02-MAY</v>
      </c>
      <c r="F709" s="242">
        <v>45789</v>
      </c>
      <c r="G709" s="222" t="s">
        <v>2478</v>
      </c>
      <c r="H709" s="410" t="s">
        <v>35</v>
      </c>
      <c r="I709" s="172" t="s">
        <v>223</v>
      </c>
      <c r="J709" s="8" t="s">
        <v>163</v>
      </c>
      <c r="K709" s="280" t="str">
        <f>IF(H709="","",IFERROR(VLOOKUP(H709,Instructions!D:E,2,0),"BA"))</f>
        <v>BA</v>
      </c>
      <c r="L709" s="432" t="s">
        <v>2416</v>
      </c>
      <c r="M709" s="8">
        <f>IF(SUM(V709:BC709)=0,"-",SUM(V709:BC709))</f>
        <v>2</v>
      </c>
      <c r="N709" s="352">
        <f>IF(SUMPRODUCT($V$3:$BC$3,V709:BC709)=0,"-",SUMPRODUCT($V$3:$BC$3,V709:BC709))</f>
        <v>70</v>
      </c>
      <c r="O709" s="432"/>
      <c r="P709" s="280" t="s">
        <v>481</v>
      </c>
      <c r="Q709" s="211">
        <v>4200681237</v>
      </c>
      <c r="R709" s="211" t="s">
        <v>237</v>
      </c>
      <c r="S709" s="211" t="s">
        <v>249</v>
      </c>
      <c r="T709" s="253" t="s">
        <v>2455</v>
      </c>
      <c r="U709" s="253" t="s">
        <v>2424</v>
      </c>
      <c r="W709" s="8">
        <v>2</v>
      </c>
    </row>
    <row r="710" spans="1:31" hidden="1" collapsed="1">
      <c r="A710" s="286" t="s">
        <v>244</v>
      </c>
      <c r="B710" s="286" t="s">
        <v>221</v>
      </c>
      <c r="C710" s="280" t="s">
        <v>2</v>
      </c>
      <c r="D710" s="281" t="str">
        <f t="shared" si="0"/>
        <v>Q1</v>
      </c>
      <c r="E710" s="282" t="str">
        <f t="shared" si="1"/>
        <v>02-MAY</v>
      </c>
      <c r="F710" s="242">
        <v>45789</v>
      </c>
      <c r="G710" s="231" t="s">
        <v>2479</v>
      </c>
      <c r="H710" s="5" t="s">
        <v>35</v>
      </c>
      <c r="I710" s="29" t="s">
        <v>223</v>
      </c>
      <c r="J710" s="8" t="s">
        <v>95</v>
      </c>
      <c r="K710" s="281" t="str">
        <f>IF(H710="","",IFERROR(VLOOKUP(H710,Instructions!D:E,2,0),"BA"))</f>
        <v>BA</v>
      </c>
      <c r="L710" s="30" t="s">
        <v>2480</v>
      </c>
      <c r="M710" s="151">
        <f>IF(SUM(V710:BC710)=0,"-",SUM(V710:BC710))</f>
        <v>11</v>
      </c>
      <c r="N710" s="65">
        <f>IF(SUMPRODUCT($V$3:$BC$3,V710:BC710)=0,"-",SUMPRODUCT($V$3:$BC$3,V710:BC710))</f>
        <v>640</v>
      </c>
      <c r="P710" s="280" t="s">
        <v>481</v>
      </c>
      <c r="Q710" s="260">
        <v>4200685147</v>
      </c>
      <c r="R710" s="211"/>
      <c r="S710" s="211" t="s">
        <v>249</v>
      </c>
      <c r="T710" s="211" t="s">
        <v>2481</v>
      </c>
      <c r="U710" s="253" t="s">
        <v>1802</v>
      </c>
      <c r="V710" s="7">
        <v>3</v>
      </c>
      <c r="W710" s="8">
        <v>8</v>
      </c>
    </row>
    <row r="711" spans="1:31" hidden="1">
      <c r="A711" s="286" t="s">
        <v>244</v>
      </c>
      <c r="B711" s="286" t="s">
        <v>221</v>
      </c>
      <c r="C711" s="280" t="s">
        <v>2302</v>
      </c>
      <c r="D711" s="281" t="str">
        <f t="shared" si="0"/>
        <v>Q1</v>
      </c>
      <c r="E711" s="282" t="str">
        <f t="shared" si="1"/>
        <v>02-MAY</v>
      </c>
      <c r="F711" s="242">
        <v>45790</v>
      </c>
      <c r="G711" s="231" t="s">
        <v>2112</v>
      </c>
      <c r="H711" s="5" t="s">
        <v>35</v>
      </c>
      <c r="I711" s="29" t="s">
        <v>223</v>
      </c>
      <c r="J711" s="8" t="s">
        <v>95</v>
      </c>
      <c r="K711" s="281" t="str">
        <f>IF(H711="","",IFERROR(VLOOKUP(H711,Instructions!D:E,2,0),"BA"))</f>
        <v>BA</v>
      </c>
      <c r="L711" s="30" t="s">
        <v>2482</v>
      </c>
      <c r="M711" s="151">
        <f>IF(SUM(V711:BC711)=0,"-",SUM(V711:BC711))</f>
        <v>9</v>
      </c>
      <c r="N711" s="65">
        <f>IF(SUMPRODUCT($V$3:$BC$3,V711:BC711)=0,"-",SUMPRODUCT($V$3:$BC$3,V711:BC711))</f>
        <v>835</v>
      </c>
      <c r="O711" s="30" t="s">
        <v>2113</v>
      </c>
      <c r="P711" s="280" t="s">
        <v>481</v>
      </c>
      <c r="Q711" s="172">
        <v>4200684022</v>
      </c>
      <c r="R711" s="211"/>
      <c r="S711" s="211" t="s">
        <v>249</v>
      </c>
      <c r="T711" s="211" t="s">
        <v>2414</v>
      </c>
      <c r="U711" s="388" t="s">
        <v>2324</v>
      </c>
      <c r="AC711" s="7">
        <v>5</v>
      </c>
      <c r="AD711" s="8">
        <v>4</v>
      </c>
    </row>
    <row r="712" spans="1:31" hidden="1">
      <c r="A712" s="286" t="s">
        <v>220</v>
      </c>
      <c r="B712" s="286" t="s">
        <v>221</v>
      </c>
      <c r="C712" s="280" t="s">
        <v>2302</v>
      </c>
      <c r="D712" s="281" t="str">
        <f t="shared" si="0"/>
        <v>Q1</v>
      </c>
      <c r="E712" s="282" t="str">
        <f t="shared" si="1"/>
        <v>02-MAY</v>
      </c>
      <c r="F712" s="242">
        <v>45791</v>
      </c>
      <c r="G712" s="231" t="s">
        <v>2483</v>
      </c>
      <c r="H712" t="s">
        <v>38</v>
      </c>
      <c r="I712" s="29" t="s">
        <v>223</v>
      </c>
      <c r="K712" s="281" t="str">
        <f>IF(H712="","",IFERROR(VLOOKUP(H712,Instructions!D:E,2,0),"BA"))</f>
        <v>BA</v>
      </c>
      <c r="L712" s="30" t="s">
        <v>2310</v>
      </c>
      <c r="M712" s="151">
        <f>IF(SUM(V712:BC712)=0,"-",SUM(V712:BC712))</f>
        <v>1</v>
      </c>
      <c r="N712" s="65">
        <f>IF(SUMPRODUCT($V$3:$BC$3,V712:BC712)=0,"-",SUMPRODUCT($V$3:$BC$3,V712:BC712))</f>
        <v>40</v>
      </c>
      <c r="O712" s="30" t="s">
        <v>2484</v>
      </c>
      <c r="P712" s="280" t="s">
        <v>481</v>
      </c>
      <c r="Q712" s="211">
        <v>4270029944</v>
      </c>
      <c r="R712" s="211"/>
      <c r="S712" s="211" t="s">
        <v>249</v>
      </c>
      <c r="T712" s="211" t="s">
        <v>2485</v>
      </c>
      <c r="U712" s="388" t="s">
        <v>2324</v>
      </c>
      <c r="AD712" s="8">
        <v>1</v>
      </c>
    </row>
    <row r="713" spans="1:31" hidden="1">
      <c r="A713" s="286" t="s">
        <v>244</v>
      </c>
      <c r="B713" s="286" t="s">
        <v>221</v>
      </c>
      <c r="C713" s="280" t="s">
        <v>2302</v>
      </c>
      <c r="D713" s="281" t="str">
        <f t="shared" si="0"/>
        <v>Q1</v>
      </c>
      <c r="E713" s="282" t="str">
        <f t="shared" si="1"/>
        <v>02-MAY</v>
      </c>
      <c r="F713" s="242">
        <v>45793</v>
      </c>
      <c r="G713" s="231" t="s">
        <v>2486</v>
      </c>
      <c r="H713" t="s">
        <v>38</v>
      </c>
      <c r="I713" s="29" t="s">
        <v>223</v>
      </c>
      <c r="J713" s="8" t="s">
        <v>95</v>
      </c>
      <c r="K713" s="281" t="str">
        <f>IF(H713="","",IFERROR(VLOOKUP(H713,Instructions!D:E,2,0),"BA"))</f>
        <v>BA</v>
      </c>
      <c r="L713" s="30" t="s">
        <v>2487</v>
      </c>
      <c r="M713" s="151">
        <f>IF(SUM(V713:BC713)=0,"-",SUM(V713:BC713))</f>
        <v>3</v>
      </c>
      <c r="N713" s="65">
        <f>IF(SUMPRODUCT($V$3:$BC$3,V713:BC713)=0,"-",SUMPRODUCT($V$3:$BC$3,V713:BC713))</f>
        <v>120</v>
      </c>
      <c r="O713" s="114" t="s">
        <v>2488</v>
      </c>
      <c r="P713" s="280" t="s">
        <v>481</v>
      </c>
      <c r="Q713" s="211">
        <v>4200684222</v>
      </c>
      <c r="R713" s="211"/>
      <c r="S713" s="211" t="s">
        <v>249</v>
      </c>
      <c r="T713" s="211" t="s">
        <v>2489</v>
      </c>
      <c r="U713" s="388" t="s">
        <v>2324</v>
      </c>
      <c r="AD713" s="8">
        <v>3</v>
      </c>
    </row>
    <row r="714" spans="1:31" hidden="1">
      <c r="A714" s="286" t="s">
        <v>244</v>
      </c>
      <c r="B714" s="286" t="s">
        <v>221</v>
      </c>
      <c r="C714" s="280" t="s">
        <v>2302</v>
      </c>
      <c r="D714" s="281" t="str">
        <f t="shared" si="0"/>
        <v>Q1</v>
      </c>
      <c r="E714" s="282" t="str">
        <f t="shared" si="1"/>
        <v>02-MAY</v>
      </c>
      <c r="F714" s="242">
        <v>45793</v>
      </c>
      <c r="G714" s="231" t="s">
        <v>2490</v>
      </c>
      <c r="H714" s="5" t="s">
        <v>35</v>
      </c>
      <c r="I714" s="29" t="s">
        <v>223</v>
      </c>
      <c r="J714" s="8" t="s">
        <v>95</v>
      </c>
      <c r="K714" s="281" t="str">
        <f>IF(H714="","",IFERROR(VLOOKUP(H714,Instructions!D:E,2,0),"BA"))</f>
        <v>BA</v>
      </c>
      <c r="L714" s="30" t="s">
        <v>2491</v>
      </c>
      <c r="M714" s="151">
        <f>IF(SUM(V714:BC714)=0,"-",SUM(V714:BC714))</f>
        <v>2</v>
      </c>
      <c r="N714" s="65">
        <f>IF(SUMPRODUCT($V$3:$BC$3,V714:BC714)=0,"-",SUMPRODUCT($V$3:$BC$3,V714:BC714))</f>
        <v>270</v>
      </c>
      <c r="O714" s="30" t="s">
        <v>2492</v>
      </c>
      <c r="P714" s="280" t="s">
        <v>481</v>
      </c>
      <c r="Q714" s="118">
        <v>4200684013</v>
      </c>
      <c r="R714" s="260"/>
      <c r="S714" s="260" t="s">
        <v>249</v>
      </c>
      <c r="T714" s="260" t="s">
        <v>2440</v>
      </c>
      <c r="U714" s="388" t="s">
        <v>2324</v>
      </c>
      <c r="AC714" s="7">
        <v>2</v>
      </c>
    </row>
    <row r="715" spans="1:31" hidden="1">
      <c r="A715" s="286" t="s">
        <v>244</v>
      </c>
      <c r="B715" s="286" t="s">
        <v>221</v>
      </c>
      <c r="C715" s="280" t="s">
        <v>2</v>
      </c>
      <c r="D715" s="281" t="str">
        <f t="shared" si="0"/>
        <v>Q1</v>
      </c>
      <c r="E715" s="282" t="str">
        <f t="shared" si="1"/>
        <v>02-MAY</v>
      </c>
      <c r="F715" s="242">
        <v>45793</v>
      </c>
      <c r="G715" s="231" t="s">
        <v>2493</v>
      </c>
      <c r="H715" s="5" t="s">
        <v>35</v>
      </c>
      <c r="I715" s="29" t="s">
        <v>223</v>
      </c>
      <c r="J715" s="8" t="s">
        <v>95</v>
      </c>
      <c r="K715" s="281" t="str">
        <f>IF(H715="","",IFERROR(VLOOKUP(H715,Instructions!D:E,2,0),"BA"))</f>
        <v>BA</v>
      </c>
      <c r="L715" s="78" t="s">
        <v>2494</v>
      </c>
      <c r="M715" s="151">
        <f>IF(SUM(V715:BC715)=0,"-",SUM(V715:BC715))</f>
        <v>2</v>
      </c>
      <c r="N715" s="65">
        <f>IF(SUMPRODUCT($V$3:$BC$3,V715:BC715)=0,"-",SUMPRODUCT($V$3:$BC$3,V715:BC715))</f>
        <v>170</v>
      </c>
      <c r="O715" s="30" t="s">
        <v>2495</v>
      </c>
      <c r="P715" s="280" t="s">
        <v>481</v>
      </c>
      <c r="Q715" s="118">
        <v>4200684013</v>
      </c>
      <c r="R715" s="260"/>
      <c r="S715" s="260" t="s">
        <v>249</v>
      </c>
      <c r="T715" s="260" t="s">
        <v>2440</v>
      </c>
      <c r="U715" s="388" t="s">
        <v>2324</v>
      </c>
      <c r="W715" s="8">
        <v>1</v>
      </c>
      <c r="AC715" s="7">
        <v>1</v>
      </c>
    </row>
    <row r="716" spans="1:31" hidden="1">
      <c r="A716" s="286" t="s">
        <v>244</v>
      </c>
      <c r="B716" s="286" t="s">
        <v>221</v>
      </c>
      <c r="C716" s="280" t="s">
        <v>2302</v>
      </c>
      <c r="D716" s="281" t="str">
        <f t="shared" si="0"/>
        <v>Q1</v>
      </c>
      <c r="E716" s="282" t="str">
        <f t="shared" si="1"/>
        <v>02-MAY</v>
      </c>
      <c r="F716" s="242">
        <v>45796</v>
      </c>
      <c r="G716" s="231" t="s">
        <v>2496</v>
      </c>
      <c r="H716" s="5" t="s">
        <v>2381</v>
      </c>
      <c r="I716" s="29" t="s">
        <v>223</v>
      </c>
      <c r="J716" s="8" t="s">
        <v>95</v>
      </c>
      <c r="K716" s="281" t="str">
        <f>IF(H716="","",IFERROR(VLOOKUP(H716,Instructions!D:E,2,0),"BA"))</f>
        <v>BA</v>
      </c>
      <c r="L716" s="78" t="s">
        <v>2497</v>
      </c>
      <c r="M716" s="151">
        <f>IF(SUM(V716:BC716)=0,"-",SUM(V716:BC716))</f>
        <v>12</v>
      </c>
      <c r="N716" s="65">
        <f>IF(SUMPRODUCT($V$3:$BC$3,V716:BC716)=0,"-",SUMPRODUCT($V$3:$BC$3,V716:BC716))</f>
        <v>575</v>
      </c>
      <c r="O716" s="114" t="s">
        <v>2498</v>
      </c>
      <c r="P716" s="280" t="s">
        <v>481</v>
      </c>
      <c r="Q716" s="172">
        <v>4200683580</v>
      </c>
      <c r="R716" s="211"/>
      <c r="S716" s="211" t="s">
        <v>249</v>
      </c>
      <c r="T716" s="211" t="s">
        <v>2499</v>
      </c>
      <c r="U716" s="253" t="s">
        <v>2324</v>
      </c>
      <c r="AC716" s="7">
        <v>1</v>
      </c>
      <c r="AD716" s="8">
        <v>11</v>
      </c>
    </row>
    <row r="717" spans="1:31" hidden="1">
      <c r="A717" s="286" t="s">
        <v>220</v>
      </c>
      <c r="B717" s="286" t="s">
        <v>221</v>
      </c>
      <c r="C717" s="280" t="s">
        <v>2302</v>
      </c>
      <c r="D717" s="281" t="str">
        <f t="shared" si="0"/>
        <v>Q1</v>
      </c>
      <c r="E717" s="282" t="str">
        <f t="shared" si="1"/>
        <v>02-MAY</v>
      </c>
      <c r="F717" s="242">
        <v>45796</v>
      </c>
      <c r="G717" s="231" t="s">
        <v>2500</v>
      </c>
      <c r="H717" s="5" t="s">
        <v>35</v>
      </c>
      <c r="I717" s="29" t="s">
        <v>223</v>
      </c>
      <c r="J717" s="8" t="s">
        <v>95</v>
      </c>
      <c r="K717" s="281" t="str">
        <f>IF(H717="","",IFERROR(VLOOKUP(H717,Instructions!D:E,2,0),"BA"))</f>
        <v>BA</v>
      </c>
      <c r="L717" s="30" t="s">
        <v>2501</v>
      </c>
      <c r="M717" s="151">
        <f>IF(SUM(V717:BC717)=0,"-",SUM(V717:BC717))</f>
        <v>2</v>
      </c>
      <c r="N717" s="65">
        <f>IF(SUMPRODUCT($V$3:$BC$3,V717:BC717)=0,"-",SUMPRODUCT($V$3:$BC$3,V717:BC717))</f>
        <v>255</v>
      </c>
      <c r="O717" s="30" t="s">
        <v>2502</v>
      </c>
      <c r="P717" s="280" t="s">
        <v>481</v>
      </c>
      <c r="Q717" s="172">
        <v>4200684022</v>
      </c>
      <c r="R717" s="211"/>
      <c r="S717" s="211" t="s">
        <v>249</v>
      </c>
      <c r="T717" s="211" t="s">
        <v>2414</v>
      </c>
      <c r="U717" s="388" t="s">
        <v>2324</v>
      </c>
      <c r="V717" s="7">
        <v>1</v>
      </c>
      <c r="AC717" s="7">
        <v>1</v>
      </c>
    </row>
    <row r="718" spans="1:31" hidden="1">
      <c r="A718" s="286" t="s">
        <v>244</v>
      </c>
      <c r="B718" s="286" t="s">
        <v>221</v>
      </c>
      <c r="C718" s="280" t="s">
        <v>2302</v>
      </c>
      <c r="D718" s="281" t="str">
        <f t="shared" si="0"/>
        <v>Q1</v>
      </c>
      <c r="E718" s="282" t="str">
        <f t="shared" si="1"/>
        <v>02-MAY</v>
      </c>
      <c r="F718" s="242">
        <v>45796</v>
      </c>
      <c r="G718" s="231" t="s">
        <v>2503</v>
      </c>
      <c r="H718" s="471" t="s">
        <v>35</v>
      </c>
      <c r="I718" s="29" t="s">
        <v>223</v>
      </c>
      <c r="J718" s="8" t="s">
        <v>95</v>
      </c>
      <c r="K718" s="281" t="str">
        <f>IF(H718="","",IFERROR(VLOOKUP(H718,Instructions!D:E,2,0),"BA"))</f>
        <v>BA</v>
      </c>
      <c r="L718" s="30" t="s">
        <v>2504</v>
      </c>
      <c r="M718" s="151">
        <f>IF(SUM(V718:BC718)=0,"-",SUM(V718:BC718))</f>
        <v>1</v>
      </c>
      <c r="N718" s="65">
        <f>IF(SUMPRODUCT($V$3:$BC$3,V718:BC718)=0,"-",SUMPRODUCT($V$3:$BC$3,V718:BC718))</f>
        <v>180</v>
      </c>
      <c r="O718" s="30" t="s">
        <v>2505</v>
      </c>
      <c r="P718" s="280" t="s">
        <v>481</v>
      </c>
      <c r="Q718" s="118">
        <v>4200684013</v>
      </c>
      <c r="R718" s="260"/>
      <c r="S718" s="260" t="s">
        <v>249</v>
      </c>
      <c r="T718" s="260" t="s">
        <v>2440</v>
      </c>
      <c r="U718" s="388" t="s">
        <v>2324</v>
      </c>
      <c r="AE718" s="8">
        <v>1</v>
      </c>
    </row>
    <row r="719" spans="1:31" hidden="1">
      <c r="A719" s="286" t="s">
        <v>244</v>
      </c>
      <c r="B719" s="286" t="s">
        <v>221</v>
      </c>
      <c r="C719" s="280" t="s">
        <v>2302</v>
      </c>
      <c r="D719" s="281" t="str">
        <f t="shared" si="0"/>
        <v>Q1</v>
      </c>
      <c r="E719" s="282" t="str">
        <f t="shared" si="1"/>
        <v>02-MAY</v>
      </c>
      <c r="F719" s="242">
        <v>45796</v>
      </c>
      <c r="G719" s="231" t="s">
        <v>2506</v>
      </c>
      <c r="H719" s="5" t="s">
        <v>2304</v>
      </c>
      <c r="I719" s="29" t="s">
        <v>223</v>
      </c>
      <c r="J719" s="8" t="s">
        <v>69</v>
      </c>
      <c r="K719" s="281" t="str">
        <f>IF(H719="","",IFERROR(VLOOKUP(H719,Instructions!D:E,2,0),"BA"))</f>
        <v>BA</v>
      </c>
      <c r="L719" s="78" t="s">
        <v>2507</v>
      </c>
      <c r="M719" s="151">
        <f>IF(SUM(V719:BC719)=0,"-",SUM(V719:BC719))</f>
        <v>5</v>
      </c>
      <c r="N719" s="65">
        <f>IF(SUMPRODUCT($V$3:$BC$3,V719:BC719)=0,"-",SUMPRODUCT($V$3:$BC$3,V719:BC719))</f>
        <v>430</v>
      </c>
      <c r="O719" s="30" t="s">
        <v>2508</v>
      </c>
      <c r="P719" s="280" t="s">
        <v>481</v>
      </c>
      <c r="Q719" s="211">
        <v>4200683914</v>
      </c>
      <c r="R719" s="211"/>
      <c r="S719" s="211" t="s">
        <v>249</v>
      </c>
      <c r="T719" s="211" t="s">
        <v>2509</v>
      </c>
      <c r="U719" s="388" t="s">
        <v>2324</v>
      </c>
      <c r="V719" s="7">
        <v>3</v>
      </c>
      <c r="W719" s="8">
        <v>2</v>
      </c>
    </row>
    <row r="720" spans="1:31" hidden="1">
      <c r="A720" s="286" t="s">
        <v>244</v>
      </c>
      <c r="B720" s="286" t="s">
        <v>221</v>
      </c>
      <c r="C720" s="280" t="s">
        <v>2</v>
      </c>
      <c r="D720" s="281" t="str">
        <f t="shared" si="0"/>
        <v>Q1</v>
      </c>
      <c r="E720" s="282" t="str">
        <f t="shared" si="1"/>
        <v>02-MAY</v>
      </c>
      <c r="F720" s="242">
        <v>45797</v>
      </c>
      <c r="G720" s="231" t="s">
        <v>2510</v>
      </c>
      <c r="H720" s="471" t="s">
        <v>35</v>
      </c>
      <c r="I720" s="29" t="s">
        <v>223</v>
      </c>
      <c r="J720" s="8" t="s">
        <v>95</v>
      </c>
      <c r="K720" s="281" t="str">
        <f>IF(H720="","",IFERROR(VLOOKUP(H720,Instructions!D:E,2,0),"BA"))</f>
        <v>BA</v>
      </c>
      <c r="L720" s="78" t="s">
        <v>2511</v>
      </c>
      <c r="M720" s="151">
        <f>IF(SUM(V720:BC720)=0,"-",SUM(V720:BC720))</f>
        <v>1</v>
      </c>
      <c r="N720" s="65">
        <f>IF(SUMPRODUCT($V$3:$BC$3,V720:BC720)=0,"-",SUMPRODUCT($V$3:$BC$3,V720:BC720))</f>
        <v>135</v>
      </c>
      <c r="O720" s="30" t="s">
        <v>2512</v>
      </c>
      <c r="P720" s="280" t="s">
        <v>481</v>
      </c>
      <c r="Q720" s="118">
        <v>4200684013</v>
      </c>
      <c r="R720" s="260"/>
      <c r="S720" s="260" t="s">
        <v>249</v>
      </c>
      <c r="T720" s="260" t="s">
        <v>2440</v>
      </c>
      <c r="U720" s="388" t="s">
        <v>2324</v>
      </c>
      <c r="AC720" s="7">
        <v>1</v>
      </c>
    </row>
    <row r="721" spans="1:56" hidden="1">
      <c r="A721" s="286" t="s">
        <v>244</v>
      </c>
      <c r="B721" s="286" t="s">
        <v>221</v>
      </c>
      <c r="C721" s="280" t="s">
        <v>2302</v>
      </c>
      <c r="D721" s="281" t="str">
        <f t="shared" si="0"/>
        <v>Q1</v>
      </c>
      <c r="E721" s="282" t="str">
        <f t="shared" si="1"/>
        <v>02-MAY</v>
      </c>
      <c r="F721" s="242">
        <v>45797</v>
      </c>
      <c r="G721" s="231" t="s">
        <v>2513</v>
      </c>
      <c r="H721" s="5" t="s">
        <v>35</v>
      </c>
      <c r="I721" s="29" t="s">
        <v>223</v>
      </c>
      <c r="J721" s="8" t="s">
        <v>95</v>
      </c>
      <c r="K721" s="281" t="str">
        <f>IF(H721="","",IFERROR(VLOOKUP(H721,Instructions!D:E,2,0),"BA"))</f>
        <v>BA</v>
      </c>
      <c r="L721" s="30" t="s">
        <v>2356</v>
      </c>
      <c r="M721" s="151" t="str">
        <f>IF(SUM(V721:BC721)=0,"-",SUM(V721:BC721))</f>
        <v>-</v>
      </c>
      <c r="N721" s="65">
        <v>350</v>
      </c>
      <c r="O721" s="30" t="s">
        <v>2514</v>
      </c>
      <c r="P721" s="280" t="s">
        <v>481</v>
      </c>
      <c r="Q721" s="118">
        <v>4200684013</v>
      </c>
      <c r="R721" s="260"/>
      <c r="S721" s="260" t="s">
        <v>249</v>
      </c>
      <c r="T721" s="260" t="s">
        <v>2440</v>
      </c>
      <c r="U721" s="388" t="s">
        <v>2324</v>
      </c>
    </row>
    <row r="722" spans="1:56" hidden="1">
      <c r="A722" s="286" t="s">
        <v>220</v>
      </c>
      <c r="B722" s="286" t="s">
        <v>221</v>
      </c>
      <c r="C722" s="280" t="s">
        <v>2302</v>
      </c>
      <c r="D722" s="281" t="str">
        <f t="shared" si="0"/>
        <v>Q1</v>
      </c>
      <c r="E722" s="282" t="str">
        <f t="shared" si="1"/>
        <v>02-MAY</v>
      </c>
      <c r="F722" s="242">
        <v>45798</v>
      </c>
      <c r="G722" s="231" t="s">
        <v>2515</v>
      </c>
      <c r="H722" s="5" t="s">
        <v>2377</v>
      </c>
      <c r="I722" s="29" t="s">
        <v>223</v>
      </c>
      <c r="J722" s="8" t="s">
        <v>130</v>
      </c>
      <c r="K722" s="281" t="str">
        <f>IF(H722="","",IFERROR(VLOOKUP(H722,Instructions!D:E,2,0),"BA"))</f>
        <v>CM</v>
      </c>
      <c r="L722" s="30" t="s">
        <v>2516</v>
      </c>
      <c r="M722" s="151">
        <f>IF(SUM(V722:BC722)=0,"-",SUM(V722:BC722))</f>
        <v>4</v>
      </c>
      <c r="N722" s="65">
        <f>IF(SUMPRODUCT($V$3:$BC$3,V722:BC722)=0,"-",SUMPRODUCT($V$3:$BC$3,V722:BC722))</f>
        <v>225</v>
      </c>
      <c r="P722" s="280" t="s">
        <v>481</v>
      </c>
      <c r="Q722" s="424">
        <v>4200682184</v>
      </c>
      <c r="R722" s="211" t="s">
        <v>237</v>
      </c>
      <c r="S722" s="211" t="s">
        <v>249</v>
      </c>
      <c r="T722" s="211" t="s">
        <v>2447</v>
      </c>
      <c r="U722" s="253" t="s">
        <v>2324</v>
      </c>
      <c r="V722" s="7">
        <v>1</v>
      </c>
      <c r="W722" s="8">
        <v>3</v>
      </c>
    </row>
    <row r="723" spans="1:56" hidden="1">
      <c r="A723" s="286" t="s">
        <v>244</v>
      </c>
      <c r="B723" s="286" t="s">
        <v>221</v>
      </c>
      <c r="C723" s="280" t="s">
        <v>2302</v>
      </c>
      <c r="D723" s="281" t="str">
        <f t="shared" si="0"/>
        <v>Q1</v>
      </c>
      <c r="E723" s="282" t="str">
        <f t="shared" si="1"/>
        <v>02-MAY</v>
      </c>
      <c r="F723" s="242">
        <v>45799</v>
      </c>
      <c r="G723" s="231" t="s">
        <v>2517</v>
      </c>
      <c r="H723" s="5" t="s">
        <v>2304</v>
      </c>
      <c r="I723" s="29" t="s">
        <v>223</v>
      </c>
      <c r="J723" s="8" t="s">
        <v>69</v>
      </c>
      <c r="K723" s="281" t="str">
        <f>IF(H723="","",IFERROR(VLOOKUP(H723,Instructions!D:E,2,0),"BA"))</f>
        <v>BA</v>
      </c>
      <c r="L723" s="78" t="s">
        <v>2518</v>
      </c>
      <c r="M723" s="151">
        <f>IF(SUM(V723:BC723)=0,"-",SUM(V723:BC723))</f>
        <v>2</v>
      </c>
      <c r="N723" s="65">
        <f>IF(SUMPRODUCT($V$3:$BC$3,V723:BC723)=0,"-",SUMPRODUCT($V$3:$BC$3,V723:BC723))</f>
        <v>300</v>
      </c>
      <c r="O723" s="30" t="s">
        <v>2519</v>
      </c>
      <c r="P723" s="280" t="s">
        <v>481</v>
      </c>
      <c r="Q723" s="211">
        <v>4200683905</v>
      </c>
      <c r="R723" s="211"/>
      <c r="S723" s="211" t="s">
        <v>249</v>
      </c>
      <c r="T723" s="211" t="s">
        <v>2520</v>
      </c>
      <c r="U723" s="388" t="s">
        <v>2324</v>
      </c>
      <c r="AT723" s="8">
        <v>2</v>
      </c>
    </row>
    <row r="724" spans="1:56" hidden="1">
      <c r="A724" s="286" t="s">
        <v>244</v>
      </c>
      <c r="B724" s="286" t="s">
        <v>221</v>
      </c>
      <c r="C724" s="280" t="s">
        <v>2302</v>
      </c>
      <c r="D724" s="281" t="str">
        <f t="shared" si="0"/>
        <v>Q1</v>
      </c>
      <c r="E724" s="282" t="str">
        <f t="shared" si="1"/>
        <v>02-MAY</v>
      </c>
      <c r="F724" s="242">
        <v>45799</v>
      </c>
      <c r="G724" s="231" t="s">
        <v>2521</v>
      </c>
      <c r="H724" s="5" t="s">
        <v>2377</v>
      </c>
      <c r="I724" s="29" t="s">
        <v>223</v>
      </c>
      <c r="J724" s="8" t="s">
        <v>93</v>
      </c>
      <c r="K724" s="281" t="str">
        <f>IF(H724="","",IFERROR(VLOOKUP(H724,Instructions!D:E,2,0),"BA"))</f>
        <v>CM</v>
      </c>
      <c r="L724" s="78" t="s">
        <v>2522</v>
      </c>
      <c r="M724" s="151">
        <f>IF(SUM(V724:BC724)=0,"-",SUM(V724:BC724))</f>
        <v>2</v>
      </c>
      <c r="N724" s="419">
        <f>IF(SUMPRODUCT($V$3:$BC$3,V724:BC724)=0,"-",SUMPRODUCT($V$3:$BC$3,V724:BC724))</f>
        <v>155</v>
      </c>
      <c r="O724" s="5"/>
      <c r="P724" s="280" t="s">
        <v>481</v>
      </c>
      <c r="Q724" s="427" t="s">
        <v>2450</v>
      </c>
      <c r="R724" s="260" t="s">
        <v>237</v>
      </c>
      <c r="S724" s="211" t="s">
        <v>249</v>
      </c>
      <c r="T724" s="211" t="s">
        <v>2523</v>
      </c>
      <c r="U724" s="253" t="s">
        <v>2424</v>
      </c>
      <c r="V724" s="9">
        <v>1</v>
      </c>
      <c r="W724" s="5">
        <v>1</v>
      </c>
      <c r="X724" s="5"/>
      <c r="Y724" s="5"/>
      <c r="Z724" s="5"/>
      <c r="AA724" s="5"/>
      <c r="AB724" s="5"/>
      <c r="AC724" s="9"/>
      <c r="AD724" s="5"/>
      <c r="AE724" s="5"/>
      <c r="AF724" s="5"/>
      <c r="AG724" s="5"/>
      <c r="AH724" s="5"/>
      <c r="AI724" s="5"/>
      <c r="AJ724" s="5"/>
      <c r="AK724" s="5"/>
      <c r="AL724" s="9"/>
      <c r="AM724" s="9"/>
      <c r="AN724" s="5"/>
      <c r="AO724" s="5"/>
      <c r="AP724" s="5"/>
      <c r="AQ724" s="5"/>
      <c r="AR724" s="5"/>
      <c r="AS724" s="9"/>
      <c r="AT724" s="5"/>
      <c r="AU724" s="5"/>
      <c r="AV724" s="5"/>
      <c r="AW724" s="5"/>
      <c r="AX724" s="5"/>
      <c r="AY724" s="5"/>
      <c r="AZ724" s="9"/>
      <c r="BA724" s="5"/>
      <c r="BB724" s="9"/>
      <c r="BC724" s="5"/>
    </row>
    <row r="725" spans="1:56" hidden="1">
      <c r="A725" s="286" t="s">
        <v>244</v>
      </c>
      <c r="B725" s="286" t="s">
        <v>221</v>
      </c>
      <c r="C725" s="280" t="s">
        <v>2</v>
      </c>
      <c r="D725" s="281" t="str">
        <f t="shared" si="0"/>
        <v>Q1</v>
      </c>
      <c r="E725" s="282" t="str">
        <f t="shared" si="1"/>
        <v>02-MAY</v>
      </c>
      <c r="F725" s="242">
        <v>45803</v>
      </c>
      <c r="G725" s="231" t="s">
        <v>2524</v>
      </c>
      <c r="H725" s="459" t="s">
        <v>31</v>
      </c>
      <c r="I725" s="29" t="s">
        <v>223</v>
      </c>
      <c r="J725" s="8" t="s">
        <v>93</v>
      </c>
      <c r="K725" s="281" t="str">
        <f>IF(H725="","",IFERROR(VLOOKUP(H725,Instructions!D:E,2,0),"BA"))</f>
        <v>BA</v>
      </c>
      <c r="L725" s="30" t="s">
        <v>2525</v>
      </c>
      <c r="M725" s="151">
        <f>IF(SUM(V725:BC725)=0,"-",SUM(V725:BC725))</f>
        <v>2</v>
      </c>
      <c r="N725" s="65">
        <f>IF(SUMPRODUCT($V$3:$BC$3,V725:BC725)=0,"-",SUMPRODUCT($V$3:$BC$3,V725:BC725))</f>
        <v>160</v>
      </c>
      <c r="Q725" s="211">
        <v>4200683823</v>
      </c>
      <c r="R725" s="211"/>
      <c r="S725" s="211" t="s">
        <v>249</v>
      </c>
      <c r="T725" s="211" t="s">
        <v>2370</v>
      </c>
      <c r="U725" s="253" t="s">
        <v>2324</v>
      </c>
      <c r="AS725" s="7">
        <v>2</v>
      </c>
    </row>
    <row r="726" spans="1:56" hidden="1">
      <c r="A726" s="286" t="s">
        <v>244</v>
      </c>
      <c r="B726" s="286" t="s">
        <v>221</v>
      </c>
      <c r="C726" s="280" t="s">
        <v>2302</v>
      </c>
      <c r="D726" s="281" t="str">
        <f t="shared" si="0"/>
        <v>Q1</v>
      </c>
      <c r="E726" s="282" t="str">
        <f t="shared" si="1"/>
        <v>02-MAY</v>
      </c>
      <c r="F726" s="242">
        <v>45804</v>
      </c>
      <c r="G726" s="222" t="s">
        <v>2526</v>
      </c>
      <c r="H726" s="410" t="s">
        <v>2304</v>
      </c>
      <c r="I726" s="29" t="s">
        <v>223</v>
      </c>
      <c r="J726" s="8" t="s">
        <v>69</v>
      </c>
      <c r="K726" s="281" t="str">
        <f>IF(H726="","",IFERROR(VLOOKUP(H726,Instructions!D:E,2,0),"BA"))</f>
        <v>BA</v>
      </c>
      <c r="L726" s="30" t="s">
        <v>2527</v>
      </c>
      <c r="M726" s="151">
        <f>IF(SUM(V726:BC726)=0,"-",SUM(V726:BC726))</f>
        <v>9</v>
      </c>
      <c r="N726" s="65">
        <f>IF(SUMPRODUCT($V$3:$BC$3,V726:BC726)=0,"-",SUMPRODUCT($V$3:$BC$3,V726:BC726))</f>
        <v>340</v>
      </c>
      <c r="O726" s="30" t="s">
        <v>2519</v>
      </c>
      <c r="P726" s="280" t="s">
        <v>481</v>
      </c>
      <c r="Q726" s="211">
        <v>4200683913</v>
      </c>
      <c r="R726" s="211"/>
      <c r="S726" s="211" t="s">
        <v>249</v>
      </c>
      <c r="T726" s="211" t="s">
        <v>2528</v>
      </c>
      <c r="U726" s="388" t="s">
        <v>2324</v>
      </c>
      <c r="W726" s="8">
        <v>8</v>
      </c>
      <c r="Y726" s="8">
        <v>1</v>
      </c>
    </row>
    <row r="727" spans="1:56" hidden="1">
      <c r="A727" s="286" t="s">
        <v>220</v>
      </c>
      <c r="B727" s="286" t="s">
        <v>221</v>
      </c>
      <c r="C727" s="280" t="s">
        <v>2302</v>
      </c>
      <c r="D727" s="281" t="str">
        <f t="shared" si="0"/>
        <v>Q1</v>
      </c>
      <c r="E727" s="282" t="str">
        <f t="shared" si="1"/>
        <v>03-JUN</v>
      </c>
      <c r="F727" s="242">
        <v>45811</v>
      </c>
      <c r="G727" s="222" t="s">
        <v>2529</v>
      </c>
      <c r="H727" s="410" t="s">
        <v>2377</v>
      </c>
      <c r="I727" s="29" t="s">
        <v>223</v>
      </c>
      <c r="J727" s="8" t="s">
        <v>130</v>
      </c>
      <c r="K727" s="281" t="str">
        <f>IF(H727="","",IFERROR(VLOOKUP(H727,Instructions!D:E,2,0),"BA"))</f>
        <v>CM</v>
      </c>
      <c r="L727" s="30" t="s">
        <v>2530</v>
      </c>
      <c r="M727" s="151">
        <f>IF(SUM(V727:BC727)=0,"-",SUM(V727:BC727))</f>
        <v>2</v>
      </c>
      <c r="N727" s="65">
        <f>IF(SUMPRODUCT($V$3:$BC$3,V727:BC727)=0,"-",SUMPRODUCT($V$3:$BC$3,V727:BC727))</f>
        <v>175</v>
      </c>
      <c r="P727" s="280" t="s">
        <v>481</v>
      </c>
      <c r="Q727" s="211">
        <v>4200682184</v>
      </c>
      <c r="R727" s="211" t="s">
        <v>266</v>
      </c>
      <c r="S727" s="211" t="s">
        <v>249</v>
      </c>
      <c r="T727" s="211" t="s">
        <v>2531</v>
      </c>
      <c r="U727" s="253" t="s">
        <v>2424</v>
      </c>
      <c r="V727" s="8"/>
      <c r="AC727" s="8">
        <v>1</v>
      </c>
      <c r="AD727" s="8">
        <v>1</v>
      </c>
      <c r="AL727" s="8"/>
      <c r="AM727" s="8"/>
      <c r="AS727" s="8"/>
      <c r="AZ727" s="8"/>
      <c r="BB727" s="8"/>
      <c r="BD727" s="5"/>
    </row>
    <row r="728" spans="1:56" hidden="1">
      <c r="A728" s="286" t="s">
        <v>244</v>
      </c>
      <c r="B728" s="286" t="s">
        <v>221</v>
      </c>
      <c r="C728" s="280" t="s">
        <v>2302</v>
      </c>
      <c r="D728" s="281" t="str">
        <f t="shared" si="0"/>
        <v>Q1</v>
      </c>
      <c r="E728" s="282" t="str">
        <f t="shared" si="1"/>
        <v>03-JUN</v>
      </c>
      <c r="F728" s="242">
        <v>45811</v>
      </c>
      <c r="G728" s="222" t="s">
        <v>2532</v>
      </c>
      <c r="H728" s="460" t="s">
        <v>1304</v>
      </c>
      <c r="I728" s="29" t="s">
        <v>223</v>
      </c>
      <c r="J728" s="8" t="s">
        <v>130</v>
      </c>
      <c r="K728" s="281" t="str">
        <f>IF(H728="","",IFERROR(VLOOKUP(H728,Instructions!D:E,2,0),"BA"))</f>
        <v>BA</v>
      </c>
      <c r="L728" s="30" t="s">
        <v>2533</v>
      </c>
      <c r="M728" s="151">
        <f>IF(SUM(V728:BC728)=0,"-",SUM(V728:BC728))</f>
        <v>1</v>
      </c>
      <c r="N728" s="65">
        <f>IF(SUMPRODUCT($V$3:$BC$3,V728:BC728)=0,"-",SUMPRODUCT($V$3:$BC$3,V728:BC728))</f>
        <v>40</v>
      </c>
      <c r="O728" s="30" t="s">
        <v>2534</v>
      </c>
      <c r="P728" s="280" t="s">
        <v>481</v>
      </c>
      <c r="Q728" s="118">
        <v>4300133044</v>
      </c>
      <c r="R728" s="260" t="s">
        <v>481</v>
      </c>
      <c r="S728" s="260" t="s">
        <v>249</v>
      </c>
      <c r="T728" s="260" t="s">
        <v>2535</v>
      </c>
      <c r="U728" s="257" t="s">
        <v>2536</v>
      </c>
      <c r="AD728" s="8">
        <v>1</v>
      </c>
    </row>
    <row r="729" spans="1:56" hidden="1">
      <c r="A729" s="286" t="s">
        <v>244</v>
      </c>
      <c r="B729" s="286" t="s">
        <v>221</v>
      </c>
      <c r="C729" s="280" t="s">
        <v>2302</v>
      </c>
      <c r="D729" s="281" t="str">
        <f t="shared" si="0"/>
        <v>Q1</v>
      </c>
      <c r="E729" s="282" t="str">
        <f t="shared" si="1"/>
        <v>03-JUN</v>
      </c>
      <c r="F729" s="242">
        <v>45812</v>
      </c>
      <c r="G729" s="222" t="s">
        <v>2537</v>
      </c>
      <c r="H729" s="410" t="s">
        <v>446</v>
      </c>
      <c r="I729" s="29" t="s">
        <v>223</v>
      </c>
      <c r="J729" s="8" t="s">
        <v>95</v>
      </c>
      <c r="K729" s="281" t="str">
        <f>IF(H729="","",IFERROR(VLOOKUP(H729,Instructions!D:E,2,0),"BA"))</f>
        <v>BA</v>
      </c>
      <c r="L729" s="30" t="s">
        <v>2538</v>
      </c>
      <c r="M729" s="151">
        <f>IF(SUM(V729:BC729)=0,"-",SUM(V729:BC729))</f>
        <v>2</v>
      </c>
      <c r="N729" s="65">
        <f>IF(SUMPRODUCT($V$3:$BC$3,V729:BC729)=0,"-",SUMPRODUCT($V$3:$BC$3,V729:BC729))</f>
        <v>340</v>
      </c>
      <c r="O729" s="30" t="s">
        <v>2539</v>
      </c>
      <c r="P729" s="280" t="s">
        <v>481</v>
      </c>
      <c r="Q729" s="260">
        <v>4300142813</v>
      </c>
      <c r="R729" s="260"/>
      <c r="S729" s="260" t="s">
        <v>249</v>
      </c>
      <c r="T729" s="260" t="s">
        <v>2540</v>
      </c>
      <c r="U729" s="356" t="s">
        <v>2541</v>
      </c>
      <c r="AS729" s="7">
        <v>1</v>
      </c>
      <c r="AU729" s="8">
        <v>1</v>
      </c>
    </row>
    <row r="730" spans="1:56" hidden="1">
      <c r="A730" s="286" t="s">
        <v>244</v>
      </c>
      <c r="B730" s="286" t="s">
        <v>221</v>
      </c>
      <c r="C730" s="280" t="s">
        <v>2</v>
      </c>
      <c r="D730" s="281" t="str">
        <f t="shared" si="0"/>
        <v>Q4</v>
      </c>
      <c r="E730" s="282" t="str">
        <f t="shared" si="1"/>
        <v>12-MAR</v>
      </c>
      <c r="F730" s="242">
        <v>45736</v>
      </c>
      <c r="G730" s="222" t="s">
        <v>2542</v>
      </c>
      <c r="H730" s="460" t="s">
        <v>31</v>
      </c>
      <c r="I730" s="29" t="s">
        <v>223</v>
      </c>
      <c r="J730" s="8" t="s">
        <v>93</v>
      </c>
      <c r="K730" s="281" t="str">
        <f>IF(H730="","",IFERROR(VLOOKUP(H730,Instructions!D:E,2,0),"BA"))</f>
        <v>BA</v>
      </c>
      <c r="L730" s="30" t="s">
        <v>2543</v>
      </c>
      <c r="M730" s="151">
        <f>IF(SUM(V730:BC730)=0,"-",SUM(V730:BC730))</f>
        <v>1</v>
      </c>
      <c r="N730" s="65">
        <f>IF(SUMPRODUCT($V$3:$BC$3,V730:BC730)=0,"-",SUMPRODUCT($V$3:$BC$3,V730:BC730))</f>
        <v>135</v>
      </c>
      <c r="O730" s="30" t="s">
        <v>2544</v>
      </c>
      <c r="P730" s="280" t="s">
        <v>481</v>
      </c>
      <c r="Q730" s="211">
        <v>4200681020</v>
      </c>
      <c r="R730" s="211"/>
      <c r="S730" s="211" t="s">
        <v>249</v>
      </c>
      <c r="T730" s="211" t="s">
        <v>2334</v>
      </c>
      <c r="U730" s="253" t="s">
        <v>2335</v>
      </c>
      <c r="AC730" s="7">
        <v>1</v>
      </c>
    </row>
    <row r="731" spans="1:56" hidden="1">
      <c r="A731" s="286" t="s">
        <v>244</v>
      </c>
      <c r="B731" s="286" t="s">
        <v>221</v>
      </c>
      <c r="C731" s="280" t="s">
        <v>2302</v>
      </c>
      <c r="D731" s="281" t="str">
        <f t="shared" si="0"/>
        <v>Q4</v>
      </c>
      <c r="E731" s="282" t="str">
        <f t="shared" si="1"/>
        <v>12-MAR</v>
      </c>
      <c r="F731" s="453">
        <v>45736</v>
      </c>
      <c r="G731" s="463" t="s">
        <v>2545</v>
      </c>
      <c r="H731" s="410" t="s">
        <v>36</v>
      </c>
      <c r="I731" s="29" t="s">
        <v>223</v>
      </c>
      <c r="J731" s="105" t="s">
        <v>93</v>
      </c>
      <c r="K731" s="281" t="str">
        <f>IF(H731="","",IFERROR(VLOOKUP(H731,Instructions!D:E,2,0),"BA"))</f>
        <v>BA</v>
      </c>
      <c r="L731" s="457" t="s">
        <v>2546</v>
      </c>
      <c r="M731" s="105">
        <f>IF(SUM(V731:BC731)=0,"-",SUM(V731:BC731))</f>
        <v>1</v>
      </c>
      <c r="N731" s="458">
        <f>IF(SUMPRODUCT($V$3:$BC$3,V731:BC731)=0,"-",SUMPRODUCT($V$3:$BC$3,V731:BC731))</f>
        <v>40</v>
      </c>
      <c r="O731" s="457" t="s">
        <v>2547</v>
      </c>
      <c r="P731" s="280" t="s">
        <v>481</v>
      </c>
      <c r="Q731" s="456">
        <v>4200681020</v>
      </c>
      <c r="R731" s="422"/>
      <c r="S731" s="422" t="s">
        <v>249</v>
      </c>
      <c r="T731" s="421" t="s">
        <v>2548</v>
      </c>
      <c r="U731" s="422" t="s">
        <v>2549</v>
      </c>
      <c r="AD731" s="8">
        <v>1</v>
      </c>
    </row>
    <row r="732" spans="1:56" hidden="1">
      <c r="A732" s="286" t="s">
        <v>220</v>
      </c>
      <c r="B732" s="286" t="s">
        <v>221</v>
      </c>
      <c r="C732" s="280" t="s">
        <v>2302</v>
      </c>
      <c r="D732" s="281" t="str">
        <f t="shared" si="0"/>
        <v>Q1</v>
      </c>
      <c r="E732" s="282" t="str">
        <f t="shared" si="1"/>
        <v>03-JUN</v>
      </c>
      <c r="F732" s="242">
        <v>45821</v>
      </c>
      <c r="G732" s="222" t="s">
        <v>2550</v>
      </c>
      <c r="H732" s="410" t="s">
        <v>2377</v>
      </c>
      <c r="I732" s="29" t="s">
        <v>223</v>
      </c>
      <c r="J732" s="8" t="s">
        <v>130</v>
      </c>
      <c r="K732" s="281" t="str">
        <f>IF(H732="","",IFERROR(VLOOKUP(H732,Instructions!D:E,2,0),"BA"))</f>
        <v>CM</v>
      </c>
      <c r="L732" s="30" t="s">
        <v>2551</v>
      </c>
      <c r="M732" s="151">
        <f>IF(SUM(V732:BC732)=0,"-",SUM(V732:BC732))</f>
        <v>6</v>
      </c>
      <c r="N732" s="65">
        <f>IF(SUMPRODUCT($V$3:$BC$3,V732:BC732)=0,"-",SUMPRODUCT($V$3:$BC$3,V732:BC732))</f>
        <v>790</v>
      </c>
      <c r="P732" s="280" t="s">
        <v>481</v>
      </c>
      <c r="Q732" s="211">
        <v>4200682184</v>
      </c>
      <c r="R732" s="211" t="s">
        <v>266</v>
      </c>
      <c r="S732" s="211" t="s">
        <v>249</v>
      </c>
      <c r="T732" s="211" t="s">
        <v>2531</v>
      </c>
      <c r="U732" s="253" t="s">
        <v>2424</v>
      </c>
      <c r="V732" s="7">
        <v>3</v>
      </c>
      <c r="W732" s="8">
        <v>2</v>
      </c>
      <c r="AV732" s="8">
        <v>1</v>
      </c>
    </row>
    <row r="733" spans="1:56" hidden="1">
      <c r="A733" s="286" t="s">
        <v>244</v>
      </c>
      <c r="B733" s="286" t="s">
        <v>221</v>
      </c>
      <c r="C733" s="280" t="s">
        <v>2302</v>
      </c>
      <c r="D733" s="281" t="str">
        <f t="shared" si="0"/>
        <v>Q3</v>
      </c>
      <c r="E733" s="282" t="str">
        <f t="shared" si="1"/>
        <v>07-OCT</v>
      </c>
      <c r="F733" s="242">
        <v>45575</v>
      </c>
      <c r="G733" s="222" t="s">
        <v>2552</v>
      </c>
      <c r="H733" s="436" t="s">
        <v>38</v>
      </c>
      <c r="I733" s="29" t="s">
        <v>223</v>
      </c>
      <c r="J733" s="8" t="s">
        <v>130</v>
      </c>
      <c r="K733" s="281" t="str">
        <f>IF(H733="","",IFERROR(VLOOKUP(H733,Instructions!D:E,2,0),"BA"))</f>
        <v>BA</v>
      </c>
      <c r="L733" s="78" t="s">
        <v>2553</v>
      </c>
      <c r="M733" s="151">
        <f>IF(SUM(V733:BC733)=0,"-",SUM(V733:BC733))</f>
        <v>2</v>
      </c>
      <c r="N733" s="352">
        <f>IF(SUMPRODUCT($V$3:$BC$3,V733:BC733)=0,"-",SUMPRODUCT($V$3:$BC$3,V733:BC733))</f>
        <v>360</v>
      </c>
      <c r="O733" s="30" t="s">
        <v>2554</v>
      </c>
      <c r="P733" s="280" t="s">
        <v>481</v>
      </c>
      <c r="Q733" s="211">
        <v>4200685897</v>
      </c>
      <c r="R733" s="211"/>
      <c r="S733" s="211" t="s">
        <v>249</v>
      </c>
      <c r="T733" s="211" t="s">
        <v>2555</v>
      </c>
      <c r="U733" s="388" t="s">
        <v>2236</v>
      </c>
      <c r="AI733" s="8">
        <v>2</v>
      </c>
    </row>
    <row r="734" spans="1:56" hidden="1">
      <c r="A734" s="286" t="s">
        <v>244</v>
      </c>
      <c r="B734" s="286" t="s">
        <v>221</v>
      </c>
      <c r="C734" s="280" t="s">
        <v>2302</v>
      </c>
      <c r="D734" s="281" t="str">
        <f t="shared" si="0"/>
        <v>Q1</v>
      </c>
      <c r="E734" s="282" t="str">
        <f t="shared" si="1"/>
        <v>03-JUN</v>
      </c>
      <c r="F734" s="242">
        <v>45821</v>
      </c>
      <c r="G734" s="222" t="s">
        <v>2556</v>
      </c>
      <c r="H734" s="410" t="s">
        <v>2304</v>
      </c>
      <c r="I734" s="29" t="s">
        <v>223</v>
      </c>
      <c r="J734" s="8" t="s">
        <v>69</v>
      </c>
      <c r="K734" s="281" t="str">
        <f>IF(H734="","",IFERROR(VLOOKUP(H734,Instructions!D:E,2,0),"BA"))</f>
        <v>BA</v>
      </c>
      <c r="L734" s="78" t="s">
        <v>2557</v>
      </c>
      <c r="M734" s="151">
        <f>IF(SUM(V734:BC734)=0,"-",SUM(V734:BC734))</f>
        <v>19</v>
      </c>
      <c r="N734" s="65">
        <f>IF(SUMPRODUCT($V$3:$BC$3,V734:BC734)=0,"-",SUMPRODUCT($V$3:$BC$3,V734:BC734))</f>
        <v>685</v>
      </c>
      <c r="O734" s="30" t="s">
        <v>2558</v>
      </c>
      <c r="P734" s="280" t="s">
        <v>481</v>
      </c>
      <c r="Q734" s="211">
        <v>4200685215</v>
      </c>
      <c r="R734" s="211"/>
      <c r="S734" s="211" t="s">
        <v>249</v>
      </c>
      <c r="T734" s="211" t="s">
        <v>2559</v>
      </c>
      <c r="U734" s="253" t="s">
        <v>1802</v>
      </c>
      <c r="W734" s="8">
        <v>15</v>
      </c>
      <c r="AD734" s="8">
        <v>4</v>
      </c>
    </row>
    <row r="735" spans="1:56" hidden="1">
      <c r="A735" s="286" t="s">
        <v>244</v>
      </c>
      <c r="B735" s="286" t="s">
        <v>221</v>
      </c>
      <c r="C735" s="280" t="s">
        <v>2</v>
      </c>
      <c r="D735" s="281" t="str">
        <f t="shared" si="0"/>
        <v>Q1</v>
      </c>
      <c r="E735" s="282" t="str">
        <f t="shared" si="1"/>
        <v>03-JUN</v>
      </c>
      <c r="F735" s="242">
        <v>45821</v>
      </c>
      <c r="G735" s="222" t="s">
        <v>2560</v>
      </c>
      <c r="H735" s="410" t="s">
        <v>2304</v>
      </c>
      <c r="I735" s="29" t="s">
        <v>223</v>
      </c>
      <c r="J735" s="8" t="s">
        <v>69</v>
      </c>
      <c r="K735" s="281" t="str">
        <f>IF(H735="","",IFERROR(VLOOKUP(H735,Instructions!D:E,2,0),"BA"))</f>
        <v>BA</v>
      </c>
      <c r="L735" s="30" t="s">
        <v>2561</v>
      </c>
      <c r="M735" s="151">
        <f>IF(SUM(V735:BC735)=0,"-",SUM(V735:BC735))</f>
        <v>20</v>
      </c>
      <c r="N735" s="65">
        <f>IF(SUMPRODUCT($V$3:$BC$3,V735:BC735)=0,"-",SUMPRODUCT($V$3:$BC$3,V735:BC735))</f>
        <v>830</v>
      </c>
      <c r="O735" s="30" t="s">
        <v>2562</v>
      </c>
      <c r="P735" s="280" t="s">
        <v>481</v>
      </c>
      <c r="Q735" s="211">
        <v>4200685214</v>
      </c>
      <c r="R735" s="211"/>
      <c r="S735" s="211" t="s">
        <v>249</v>
      </c>
      <c r="T735" s="211" t="s">
        <v>2563</v>
      </c>
      <c r="U735" s="253" t="s">
        <v>2564</v>
      </c>
      <c r="V735" s="7">
        <v>1</v>
      </c>
      <c r="W735" s="8">
        <v>14</v>
      </c>
      <c r="Y735" s="8">
        <v>1</v>
      </c>
      <c r="AD735" s="8">
        <v>4</v>
      </c>
    </row>
    <row r="736" spans="1:56" hidden="1">
      <c r="A736" s="286" t="s">
        <v>244</v>
      </c>
      <c r="B736" s="286" t="s">
        <v>221</v>
      </c>
      <c r="C736" s="280" t="s">
        <v>2302</v>
      </c>
      <c r="D736" s="281" t="str">
        <f t="shared" si="0"/>
        <v>Q1</v>
      </c>
      <c r="E736" s="282" t="str">
        <f t="shared" si="1"/>
        <v>03-JUN</v>
      </c>
      <c r="F736" s="242">
        <v>45824</v>
      </c>
      <c r="G736" s="222" t="s">
        <v>2565</v>
      </c>
      <c r="H736" s="5" t="s">
        <v>2377</v>
      </c>
      <c r="I736" s="29" t="s">
        <v>223</v>
      </c>
      <c r="J736" s="8" t="s">
        <v>130</v>
      </c>
      <c r="K736" s="281" t="str">
        <f>IF(H736="","",IFERROR(VLOOKUP(H736,Instructions!D:E,2,0),"BA"))</f>
        <v>CM</v>
      </c>
      <c r="L736" s="30" t="s">
        <v>2566</v>
      </c>
      <c r="M736" s="151">
        <f>IF(SUM(V736:BC736)=0,"-",SUM(V736:BC736))</f>
        <v>4</v>
      </c>
      <c r="N736" s="65">
        <f>IF(SUMPRODUCT($V$3:$BC$3,V736:BC736)=0,"-",SUMPRODUCT($V$3:$BC$3,V736:BC736))</f>
        <v>310</v>
      </c>
      <c r="P736" s="280" t="s">
        <v>481</v>
      </c>
      <c r="Q736" s="211">
        <v>4200682184</v>
      </c>
      <c r="R736" s="211" t="s">
        <v>266</v>
      </c>
      <c r="S736" s="211" t="s">
        <v>249</v>
      </c>
      <c r="T736" s="211" t="s">
        <v>2531</v>
      </c>
      <c r="U736" s="253" t="s">
        <v>2424</v>
      </c>
      <c r="V736" s="7">
        <v>2</v>
      </c>
      <c r="W736" s="8">
        <v>2</v>
      </c>
    </row>
    <row r="737" spans="1:45" hidden="1">
      <c r="A737" s="286" t="s">
        <v>220</v>
      </c>
      <c r="B737" s="286" t="s">
        <v>221</v>
      </c>
      <c r="C737" s="280" t="s">
        <v>2302</v>
      </c>
      <c r="D737" s="281" t="str">
        <f t="shared" si="0"/>
        <v>Q1</v>
      </c>
      <c r="E737" s="282" t="str">
        <f t="shared" si="1"/>
        <v>03-JUN</v>
      </c>
      <c r="F737" s="242">
        <v>45831</v>
      </c>
      <c r="G737" s="231" t="s">
        <v>2567</v>
      </c>
      <c r="H737" s="436" t="s">
        <v>38</v>
      </c>
      <c r="I737" s="29" t="s">
        <v>223</v>
      </c>
      <c r="K737" s="281" t="str">
        <f>IF(H737="","",IFERROR(VLOOKUP(H737,Instructions!D:E,2,0),"BA"))</f>
        <v>BA</v>
      </c>
      <c r="L737" s="30" t="s">
        <v>2568</v>
      </c>
      <c r="M737" s="151">
        <f>IF(SUM(V737:BC737)=0,"-",SUM(V737:BC737))</f>
        <v>1</v>
      </c>
      <c r="N737" s="65">
        <f>IF(SUMPRODUCT($V$3:$BC$3,V737:BC737)=0,"-",SUMPRODUCT($V$3:$BC$3,V737:BC737))</f>
        <v>135</v>
      </c>
      <c r="O737" s="114" t="s">
        <v>2569</v>
      </c>
      <c r="P737" s="280" t="s">
        <v>481</v>
      </c>
      <c r="Q737" s="211">
        <v>4200685311</v>
      </c>
      <c r="R737" s="211"/>
      <c r="S737" s="211" t="s">
        <v>249</v>
      </c>
      <c r="T737" s="211" t="s">
        <v>2570</v>
      </c>
      <c r="U737" s="253" t="s">
        <v>2564</v>
      </c>
      <c r="AC737" s="7">
        <v>1</v>
      </c>
    </row>
    <row r="738" spans="1:45" hidden="1">
      <c r="A738" s="286" t="s">
        <v>244</v>
      </c>
      <c r="B738" s="286" t="s">
        <v>221</v>
      </c>
      <c r="C738" s="280" t="s">
        <v>2302</v>
      </c>
      <c r="D738" s="281" t="str">
        <f t="shared" si="0"/>
        <v>Q1</v>
      </c>
      <c r="E738" s="282" t="str">
        <f t="shared" si="1"/>
        <v>03-JUN</v>
      </c>
      <c r="F738" s="242">
        <v>45831</v>
      </c>
      <c r="G738" s="231" t="s">
        <v>2571</v>
      </c>
      <c r="H738" s="5" t="s">
        <v>2377</v>
      </c>
      <c r="I738" s="29" t="s">
        <v>223</v>
      </c>
      <c r="J738" s="8" t="s">
        <v>95</v>
      </c>
      <c r="K738" s="281" t="str">
        <f>IF(H738="","",IFERROR(VLOOKUP(H738,Instructions!D:E,2,0),"BA"))</f>
        <v>CM</v>
      </c>
      <c r="L738" s="78" t="s">
        <v>2572</v>
      </c>
      <c r="M738" s="151">
        <f>IF(SUM(V738:BC738)=0,"-",SUM(V738:BC738))</f>
        <v>6</v>
      </c>
      <c r="N738" s="65">
        <f>IF(SUMPRODUCT($V$3:$BC$3,V738:BC738)=0,"-",SUMPRODUCT($V$3:$BC$3,V738:BC738))</f>
        <v>480</v>
      </c>
      <c r="P738" s="280" t="s">
        <v>481</v>
      </c>
      <c r="Q738" s="260">
        <v>4200681305</v>
      </c>
      <c r="R738" s="260" t="s">
        <v>266</v>
      </c>
      <c r="S738" s="260" t="s">
        <v>249</v>
      </c>
      <c r="T738" s="260" t="s">
        <v>2573</v>
      </c>
      <c r="U738" s="257" t="s">
        <v>2536</v>
      </c>
      <c r="AS738" s="7">
        <v>6</v>
      </c>
    </row>
    <row r="739" spans="1:45" hidden="1">
      <c r="A739" s="286" t="s">
        <v>244</v>
      </c>
      <c r="B739" s="286" t="s">
        <v>221</v>
      </c>
      <c r="C739" s="280" t="s">
        <v>2302</v>
      </c>
      <c r="D739" s="281" t="str">
        <f t="shared" si="0"/>
        <v>Q1</v>
      </c>
      <c r="E739" s="282" t="str">
        <f t="shared" si="1"/>
        <v>03-JUN</v>
      </c>
      <c r="F739" s="242">
        <v>45832</v>
      </c>
      <c r="G739" s="231" t="s">
        <v>2574</v>
      </c>
      <c r="H739" s="460" t="s">
        <v>1304</v>
      </c>
      <c r="I739" s="29" t="s">
        <v>223</v>
      </c>
      <c r="J739" s="8" t="s">
        <v>130</v>
      </c>
      <c r="K739" s="281" t="str">
        <f>IF(H739="","",IFERROR(VLOOKUP(H739,Instructions!D:E,2,0),"BA"))</f>
        <v>BA</v>
      </c>
      <c r="L739" s="30" t="s">
        <v>2575</v>
      </c>
      <c r="M739" s="151">
        <f>IF(SUM(V739:BC739)=0,"-",SUM(V739:BC739))</f>
        <v>4</v>
      </c>
      <c r="N739" s="65">
        <f>IF(SUMPRODUCT($V$3:$BC$3,V739:BC739)=0,"-",SUMPRODUCT($V$3:$BC$3,V739:BC739))</f>
        <v>255</v>
      </c>
      <c r="O739" s="114" t="s">
        <v>2576</v>
      </c>
      <c r="P739" s="280" t="s">
        <v>481</v>
      </c>
      <c r="Q739" s="260">
        <v>4300133044</v>
      </c>
      <c r="R739" s="260" t="s">
        <v>481</v>
      </c>
      <c r="S739" s="260" t="s">
        <v>249</v>
      </c>
      <c r="T739" s="260" t="s">
        <v>2535</v>
      </c>
      <c r="U739" s="257" t="s">
        <v>2536</v>
      </c>
      <c r="AC739" s="7">
        <v>1</v>
      </c>
      <c r="AD739" s="8">
        <v>3</v>
      </c>
    </row>
    <row r="740" spans="1:45" hidden="1">
      <c r="A740" s="286" t="s">
        <v>244</v>
      </c>
      <c r="B740" s="286" t="s">
        <v>221</v>
      </c>
      <c r="C740" s="280" t="s">
        <v>2</v>
      </c>
      <c r="D740" s="281" t="str">
        <f t="shared" si="0"/>
        <v>Q1</v>
      </c>
      <c r="E740" s="282" t="str">
        <f t="shared" si="1"/>
        <v>03-JUN</v>
      </c>
      <c r="F740" s="242">
        <v>45813</v>
      </c>
      <c r="G740" s="231" t="s">
        <v>2577</v>
      </c>
      <c r="H740" s="464" t="s">
        <v>35</v>
      </c>
      <c r="I740" s="29" t="s">
        <v>223</v>
      </c>
      <c r="J740" s="8" t="s">
        <v>95</v>
      </c>
      <c r="K740" s="281" t="str">
        <f>IF(H740="","",IFERROR(VLOOKUP(H740,Instructions!D:E,2,0),"BA"))</f>
        <v>BA</v>
      </c>
      <c r="L740" s="30" t="s">
        <v>2578</v>
      </c>
      <c r="M740" s="151">
        <f>IF(SUM(V740:BC740)=0,"-",SUM(V740:BC740))</f>
        <v>9</v>
      </c>
      <c r="N740" s="65">
        <f>IF(SUMPRODUCT($V$3:$BC$3,V740:BC740)=0,"-",SUMPRODUCT($V$3:$BC$3,V740:BC740))</f>
        <v>360</v>
      </c>
      <c r="O740" s="30" t="s">
        <v>2579</v>
      </c>
      <c r="P740" s="280" t="s">
        <v>481</v>
      </c>
      <c r="Q740" s="211">
        <v>4300169505</v>
      </c>
      <c r="R740" s="260" t="s">
        <v>481</v>
      </c>
      <c r="S740" s="260" t="s">
        <v>249</v>
      </c>
      <c r="T740" s="260" t="s">
        <v>2580</v>
      </c>
      <c r="U740" s="253" t="s">
        <v>2581</v>
      </c>
      <c r="AD740" s="8">
        <v>9</v>
      </c>
    </row>
    <row r="741" spans="1:45" hidden="1">
      <c r="A741" s="286" t="s">
        <v>244</v>
      </c>
      <c r="B741" s="286" t="s">
        <v>221</v>
      </c>
      <c r="C741" s="280" t="s">
        <v>2302</v>
      </c>
      <c r="D741" s="281" t="str">
        <f t="shared" si="0"/>
        <v>Q1</v>
      </c>
      <c r="E741" s="282" t="str">
        <f t="shared" si="1"/>
        <v>03-JUN</v>
      </c>
      <c r="F741" s="242">
        <v>45832</v>
      </c>
      <c r="G741" s="231" t="s">
        <v>2582</v>
      </c>
      <c r="H741" s="410" t="s">
        <v>2381</v>
      </c>
      <c r="I741" s="29" t="s">
        <v>223</v>
      </c>
      <c r="J741" s="8" t="s">
        <v>95</v>
      </c>
      <c r="K741" s="281" t="str">
        <f>IF(H741="","",IFERROR(VLOOKUP(H741,Instructions!D:E,2,0),"BA"))</f>
        <v>BA</v>
      </c>
      <c r="L741" s="30" t="s">
        <v>2583</v>
      </c>
      <c r="M741" s="151">
        <f>IF(SUM(V741:BC741)=0,"-",SUM(V741:BC741))</f>
        <v>3</v>
      </c>
      <c r="N741" s="65">
        <f>IF(SUMPRODUCT($V$3:$BC$3,V741:BC741)=0,"-",SUMPRODUCT($V$3:$BC$3,V741:BC741))</f>
        <v>240</v>
      </c>
      <c r="O741" s="114" t="s">
        <v>2584</v>
      </c>
      <c r="P741" s="280" t="s">
        <v>481</v>
      </c>
      <c r="Q741" s="260">
        <v>4200681305</v>
      </c>
      <c r="R741" s="260" t="s">
        <v>305</v>
      </c>
      <c r="S741" s="260" t="s">
        <v>249</v>
      </c>
      <c r="T741" s="260" t="s">
        <v>2585</v>
      </c>
      <c r="U741" s="257" t="s">
        <v>2536</v>
      </c>
      <c r="AS741" s="7">
        <v>3</v>
      </c>
    </row>
    <row r="742" spans="1:45" hidden="1">
      <c r="A742" s="286" t="s">
        <v>220</v>
      </c>
      <c r="B742" s="286" t="s">
        <v>221</v>
      </c>
      <c r="C742" s="280" t="s">
        <v>2302</v>
      </c>
      <c r="D742" s="281" t="str">
        <f t="shared" si="0"/>
        <v>Q1</v>
      </c>
      <c r="E742" s="282" t="str">
        <f t="shared" si="1"/>
        <v>03-JUN</v>
      </c>
      <c r="F742" s="242">
        <v>45814</v>
      </c>
      <c r="G742" s="231" t="s">
        <v>2586</v>
      </c>
      <c r="H742" s="156" t="s">
        <v>35</v>
      </c>
      <c r="I742" s="29" t="s">
        <v>223</v>
      </c>
      <c r="J742" s="8" t="s">
        <v>95</v>
      </c>
      <c r="K742" s="281" t="str">
        <f>IF(H742="","",IFERROR(VLOOKUP(H742,Instructions!D:E,2,0),"BA"))</f>
        <v>BA</v>
      </c>
      <c r="L742" s="30" t="s">
        <v>2482</v>
      </c>
      <c r="M742" s="151">
        <f>IF(SUM(V742:BC742)=0,"-",SUM(V742:BC742))</f>
        <v>4</v>
      </c>
      <c r="N742" s="65">
        <f>IF(SUMPRODUCT($V$3:$BC$3,V742:BC742)=0,"-",SUMPRODUCT($V$3:$BC$3,V742:BC742))</f>
        <v>255</v>
      </c>
      <c r="O742" s="30" t="s">
        <v>2587</v>
      </c>
      <c r="P742" s="280" t="s">
        <v>481</v>
      </c>
      <c r="Q742" s="211">
        <v>4300169505</v>
      </c>
      <c r="R742" s="260" t="s">
        <v>481</v>
      </c>
      <c r="S742" s="260" t="s">
        <v>249</v>
      </c>
      <c r="T742" s="260" t="s">
        <v>2580</v>
      </c>
      <c r="U742" s="253" t="s">
        <v>2581</v>
      </c>
      <c r="AC742" s="7">
        <v>1</v>
      </c>
      <c r="AD742" s="8">
        <v>3</v>
      </c>
    </row>
    <row r="743" spans="1:45" hidden="1">
      <c r="A743" s="286" t="s">
        <v>244</v>
      </c>
      <c r="B743" s="286" t="s">
        <v>221</v>
      </c>
      <c r="C743" s="280" t="s">
        <v>2302</v>
      </c>
      <c r="D743" s="281" t="str">
        <f t="shared" si="0"/>
        <v>Q1</v>
      </c>
      <c r="E743" s="282" t="str">
        <f t="shared" si="1"/>
        <v>03-JUN</v>
      </c>
      <c r="F743" s="242">
        <v>45834</v>
      </c>
      <c r="G743" s="231" t="s">
        <v>2588</v>
      </c>
      <c r="H743" s="5" t="s">
        <v>2377</v>
      </c>
      <c r="I743" s="29" t="s">
        <v>223</v>
      </c>
      <c r="J743" s="8" t="s">
        <v>130</v>
      </c>
      <c r="K743" s="281" t="str">
        <f>IF(H743="","",IFERROR(VLOOKUP(H743,Instructions!D:E,2,0),"BA"))</f>
        <v>CM</v>
      </c>
      <c r="L743" s="30" t="s">
        <v>2589</v>
      </c>
      <c r="M743" s="151">
        <f>IF(SUM(V743:BC743)=0,"-",SUM(V743:BC743))</f>
        <v>15</v>
      </c>
      <c r="N743" s="65">
        <f>IF(SUMPRODUCT($V$3:$BC$3,V743:BC743)=0,"-",SUMPRODUCT($V$3:$BC$3,V743:BC743))</f>
        <v>525</v>
      </c>
      <c r="P743" s="280" t="s">
        <v>481</v>
      </c>
      <c r="Q743" s="260">
        <v>4200682184</v>
      </c>
      <c r="R743" s="260" t="s">
        <v>269</v>
      </c>
      <c r="S743" s="260" t="s">
        <v>249</v>
      </c>
      <c r="T743" s="260" t="s">
        <v>2590</v>
      </c>
      <c r="U743" s="257" t="s">
        <v>2536</v>
      </c>
      <c r="W743" s="8">
        <v>15</v>
      </c>
    </row>
    <row r="744" spans="1:45" hidden="1">
      <c r="A744" s="286" t="s">
        <v>244</v>
      </c>
      <c r="B744" s="286" t="s">
        <v>221</v>
      </c>
      <c r="C744" s="280" t="s">
        <v>2302</v>
      </c>
      <c r="D744" s="281" t="str">
        <f t="shared" si="0"/>
        <v>Q1</v>
      </c>
      <c r="E744" s="282" t="str">
        <f t="shared" si="1"/>
        <v>03-JUN</v>
      </c>
      <c r="F744" s="242">
        <v>45838</v>
      </c>
      <c r="G744" s="231" t="s">
        <v>2591</v>
      </c>
      <c r="H744" s="410" t="s">
        <v>2377</v>
      </c>
      <c r="I744" s="29" t="s">
        <v>223</v>
      </c>
      <c r="J744" s="8" t="s">
        <v>95</v>
      </c>
      <c r="K744" s="281" t="str">
        <f>IF(H744="","",IFERROR(VLOOKUP(H744,Instructions!D:E,2,0),"BA"))</f>
        <v>CM</v>
      </c>
      <c r="L744" s="30" t="s">
        <v>2592</v>
      </c>
      <c r="M744" s="151">
        <f>IF(SUM(V744:BC744)=0,"-",SUM(V744:BC744))</f>
        <v>3</v>
      </c>
      <c r="N744" s="65">
        <f>IF(SUMPRODUCT($V$3:$BC$3,V744:BC744)=0,"-",SUMPRODUCT($V$3:$BC$3,V744:BC744))</f>
        <v>190</v>
      </c>
      <c r="P744" s="280" t="s">
        <v>481</v>
      </c>
      <c r="Q744" s="260">
        <v>4200681305</v>
      </c>
      <c r="R744" s="260" t="s">
        <v>269</v>
      </c>
      <c r="S744" s="260" t="s">
        <v>249</v>
      </c>
      <c r="T744" s="260" t="s">
        <v>2573</v>
      </c>
      <c r="U744" s="257" t="s">
        <v>2536</v>
      </c>
      <c r="V744" s="7">
        <v>1</v>
      </c>
      <c r="W744" s="8">
        <v>2</v>
      </c>
    </row>
    <row r="745" spans="1:45" hidden="1">
      <c r="A745" s="286" t="s">
        <v>244</v>
      </c>
      <c r="B745" s="286" t="s">
        <v>221</v>
      </c>
      <c r="C745" s="280" t="s">
        <v>2</v>
      </c>
      <c r="D745" s="281" t="str">
        <f t="shared" si="0"/>
        <v>Q1</v>
      </c>
      <c r="E745" s="282" t="str">
        <f t="shared" si="1"/>
        <v>03-JUN</v>
      </c>
      <c r="F745" s="242">
        <v>45838</v>
      </c>
      <c r="G745" s="231" t="s">
        <v>2593</v>
      </c>
      <c r="H745" s="410" t="s">
        <v>2377</v>
      </c>
      <c r="I745" s="29" t="s">
        <v>223</v>
      </c>
      <c r="J745" s="8" t="s">
        <v>95</v>
      </c>
      <c r="K745" s="281" t="str">
        <f>IF(H745="","",IFERROR(VLOOKUP(H745,Instructions!D:E,2,0),"BA"))</f>
        <v>CM</v>
      </c>
      <c r="L745" s="30" t="s">
        <v>2566</v>
      </c>
      <c r="M745" s="151">
        <f>IF(SUM(V745:BC745)=0,"-",SUM(V745:BC745))</f>
        <v>2</v>
      </c>
      <c r="N745" s="65">
        <f>IF(SUMPRODUCT($V$3:$BC$3,V745:BC745)=0,"-",SUMPRODUCT($V$3:$BC$3,V745:BC745))</f>
        <v>70</v>
      </c>
      <c r="P745" s="280" t="s">
        <v>481</v>
      </c>
      <c r="Q745" s="260">
        <v>4200681305</v>
      </c>
      <c r="R745" s="260" t="s">
        <v>269</v>
      </c>
      <c r="S745" s="260" t="s">
        <v>249</v>
      </c>
      <c r="T745" s="260" t="s">
        <v>2573</v>
      </c>
      <c r="U745" s="257" t="s">
        <v>2536</v>
      </c>
      <c r="W745" s="8">
        <v>2</v>
      </c>
    </row>
    <row r="746" spans="1:45" hidden="1">
      <c r="A746" s="286" t="s">
        <v>244</v>
      </c>
      <c r="B746" s="286" t="s">
        <v>221</v>
      </c>
      <c r="C746" s="280" t="s">
        <v>2302</v>
      </c>
      <c r="D746" s="281" t="str">
        <f t="shared" si="0"/>
        <v>Q2</v>
      </c>
      <c r="E746" s="282" t="str">
        <f t="shared" si="1"/>
        <v>04-JUL</v>
      </c>
      <c r="F746" s="242">
        <v>45839</v>
      </c>
      <c r="G746" s="231" t="s">
        <v>2594</v>
      </c>
      <c r="H746" s="410" t="s">
        <v>2304</v>
      </c>
      <c r="I746" s="29" t="s">
        <v>223</v>
      </c>
      <c r="J746" s="8" t="s">
        <v>69</v>
      </c>
      <c r="K746" s="281" t="str">
        <f>IF(H746="","",IFERROR(VLOOKUP(H746,Instructions!D:E,2,0),"BA"))</f>
        <v>BA</v>
      </c>
      <c r="L746" s="30" t="s">
        <v>2595</v>
      </c>
      <c r="M746" s="151">
        <f>IF(SUM(V746:BC746)=0,"-",SUM(V746:BC746))</f>
        <v>8</v>
      </c>
      <c r="N746" s="65">
        <f>IF(SUMPRODUCT($V$3:$BC$3,V746:BC746)=0,"-",SUMPRODUCT($V$3:$BC$3,V746:BC746))</f>
        <v>535</v>
      </c>
      <c r="O746" s="30" t="s">
        <v>2596</v>
      </c>
      <c r="P746" s="280" t="s">
        <v>481</v>
      </c>
      <c r="Q746" s="211">
        <v>4200685535</v>
      </c>
      <c r="R746" s="211"/>
      <c r="S746" s="211" t="s">
        <v>249</v>
      </c>
      <c r="T746" s="211" t="s">
        <v>2597</v>
      </c>
      <c r="U746" s="388" t="s">
        <v>2236</v>
      </c>
      <c r="V746" s="7">
        <v>3</v>
      </c>
      <c r="W746" s="8">
        <v>5</v>
      </c>
    </row>
    <row r="747" spans="1:45" hidden="1" outlineLevel="1">
      <c r="A747" s="286" t="s">
        <v>220</v>
      </c>
      <c r="B747" s="286" t="s">
        <v>221</v>
      </c>
      <c r="C747" s="280" t="s">
        <v>2302</v>
      </c>
      <c r="D747" s="281" t="str">
        <f t="shared" si="0"/>
        <v>Q2</v>
      </c>
      <c r="E747" s="282" t="str">
        <f t="shared" si="1"/>
        <v>04-JUL</v>
      </c>
      <c r="F747" s="242">
        <v>45839</v>
      </c>
      <c r="G747" s="231" t="s">
        <v>2598</v>
      </c>
      <c r="H747" s="410" t="s">
        <v>2377</v>
      </c>
      <c r="I747" s="29" t="s">
        <v>223</v>
      </c>
      <c r="J747" s="8" t="s">
        <v>95</v>
      </c>
      <c r="K747" s="281" t="str">
        <f>IF(H747="","",IFERROR(VLOOKUP(H747,Instructions!D:E,2,0),"BA"))</f>
        <v>CM</v>
      </c>
      <c r="L747" s="30" t="s">
        <v>2599</v>
      </c>
      <c r="M747" s="151">
        <f>IF(SUM(V747:BC747)=0,"-",SUM(V747:BC747))</f>
        <v>5</v>
      </c>
      <c r="N747" s="65">
        <f>IF(SUMPRODUCT($V$3:$BC$3,V747:BC747)=0,"-",SUMPRODUCT($V$3:$BC$3,V747:BC747))</f>
        <v>430</v>
      </c>
      <c r="P747" s="280" t="s">
        <v>481</v>
      </c>
      <c r="Q747" s="260">
        <v>4200681305</v>
      </c>
      <c r="R747" s="260" t="s">
        <v>269</v>
      </c>
      <c r="S747" s="260" t="s">
        <v>249</v>
      </c>
      <c r="T747" s="260" t="s">
        <v>2573</v>
      </c>
      <c r="U747" s="257" t="s">
        <v>2536</v>
      </c>
      <c r="V747" s="7">
        <v>3</v>
      </c>
      <c r="W747" s="8">
        <v>2</v>
      </c>
    </row>
    <row r="748" spans="1:45" hidden="1" collapsed="1">
      <c r="A748" s="286" t="s">
        <v>244</v>
      </c>
      <c r="B748" s="286" t="s">
        <v>221</v>
      </c>
      <c r="C748" s="280" t="s">
        <v>2302</v>
      </c>
      <c r="D748" s="281" t="str">
        <f t="shared" si="0"/>
        <v>Q2</v>
      </c>
      <c r="E748" s="282" t="str">
        <f t="shared" si="1"/>
        <v>04-JUL</v>
      </c>
      <c r="F748" s="242">
        <v>45839</v>
      </c>
      <c r="G748" s="231" t="s">
        <v>2600</v>
      </c>
      <c r="H748" s="410" t="s">
        <v>2377</v>
      </c>
      <c r="I748" s="29" t="s">
        <v>223</v>
      </c>
      <c r="J748" s="8" t="s">
        <v>129</v>
      </c>
      <c r="K748" s="281" t="str">
        <f>IF(H748="","",IFERROR(VLOOKUP(H748,Instructions!D:E,2,0),"BA"))</f>
        <v>CM</v>
      </c>
      <c r="L748" s="30" t="s">
        <v>2416</v>
      </c>
      <c r="M748" s="151">
        <f>IF(SUM(V748:BC748)=0,"-",SUM(V748:BC748))</f>
        <v>2</v>
      </c>
      <c r="N748" s="65">
        <f>IF(SUMPRODUCT($V$3:$BC$3,V748:BC748)=0,"-",SUMPRODUCT($V$3:$BC$3,V748:BC748))</f>
        <v>70</v>
      </c>
      <c r="P748" s="280" t="s">
        <v>481</v>
      </c>
      <c r="Q748" s="139">
        <v>4200681237</v>
      </c>
      <c r="R748" s="260" t="s">
        <v>269</v>
      </c>
      <c r="S748" s="260" t="s">
        <v>249</v>
      </c>
      <c r="T748" s="260" t="s">
        <v>2601</v>
      </c>
      <c r="U748" s="257" t="s">
        <v>2536</v>
      </c>
      <c r="W748" s="8">
        <v>2</v>
      </c>
    </row>
    <row r="749" spans="1:45" hidden="1">
      <c r="A749" s="286" t="s">
        <v>244</v>
      </c>
      <c r="B749" s="286" t="s">
        <v>221</v>
      </c>
      <c r="C749" s="280" t="s">
        <v>2302</v>
      </c>
      <c r="D749" s="281" t="str">
        <f t="shared" si="0"/>
        <v>Q1</v>
      </c>
      <c r="E749" s="282" t="str">
        <f t="shared" si="1"/>
        <v>03-JUN</v>
      </c>
      <c r="F749" s="242">
        <v>45832</v>
      </c>
      <c r="G749" s="231" t="s">
        <v>2602</v>
      </c>
      <c r="H749" s="464" t="s">
        <v>35</v>
      </c>
      <c r="I749" s="29" t="s">
        <v>223</v>
      </c>
      <c r="J749" s="8" t="s">
        <v>95</v>
      </c>
      <c r="K749" s="281" t="str">
        <f>IF(H749="","",IFERROR(VLOOKUP(H749,Instructions!D:E,2,0),"BA"))</f>
        <v>BA</v>
      </c>
      <c r="L749" s="30" t="s">
        <v>2603</v>
      </c>
      <c r="M749" s="151">
        <f>IF(SUM(V749:BC749)=0,"-",SUM(V749:BC749))</f>
        <v>2</v>
      </c>
      <c r="N749" s="65">
        <f>IF(SUMPRODUCT($V$3:$BC$3,V749:BC749)=0,"-",SUMPRODUCT($V$3:$BC$3,V749:BC749))</f>
        <v>80</v>
      </c>
      <c r="O749" s="114" t="s">
        <v>2604</v>
      </c>
      <c r="P749" s="280" t="s">
        <v>481</v>
      </c>
      <c r="Q749" s="211">
        <v>4300169505</v>
      </c>
      <c r="R749" s="260" t="s">
        <v>481</v>
      </c>
      <c r="S749" s="260" t="s">
        <v>249</v>
      </c>
      <c r="T749" s="260" t="s">
        <v>2580</v>
      </c>
      <c r="U749" s="253" t="s">
        <v>2581</v>
      </c>
      <c r="AD749" s="8">
        <v>2</v>
      </c>
    </row>
    <row r="750" spans="1:45" hidden="1">
      <c r="A750" s="286" t="s">
        <v>244</v>
      </c>
      <c r="B750" s="286" t="s">
        <v>221</v>
      </c>
      <c r="C750" s="280" t="s">
        <v>2</v>
      </c>
      <c r="D750" s="281" t="str">
        <f t="shared" si="0"/>
        <v>Q2</v>
      </c>
      <c r="E750" s="282" t="str">
        <f t="shared" si="1"/>
        <v>04-JUL</v>
      </c>
      <c r="F750" s="242">
        <v>45842</v>
      </c>
      <c r="G750" s="231" t="s">
        <v>2605</v>
      </c>
      <c r="H750" s="410" t="s">
        <v>2304</v>
      </c>
      <c r="I750" s="29" t="s">
        <v>223</v>
      </c>
      <c r="J750" s="8" t="s">
        <v>69</v>
      </c>
      <c r="K750" s="281" t="str">
        <f>IF(H750="","",IFERROR(VLOOKUP(H750,Instructions!D:E,2,0),"BA"))</f>
        <v>BA</v>
      </c>
      <c r="L750" s="30" t="s">
        <v>2606</v>
      </c>
      <c r="M750" s="151">
        <f>IF(SUM(V750:BC750)=0,"-",SUM(V750:BC750))</f>
        <v>24</v>
      </c>
      <c r="N750" s="65">
        <f>IF(SUMPRODUCT($V$3:$BC$3,V750:BC750)=0,"-",SUMPRODUCT($V$3:$BC$3,V750:BC750))</f>
        <v>840</v>
      </c>
      <c r="O750" s="114" t="s">
        <v>2607</v>
      </c>
      <c r="P750" s="280" t="s">
        <v>481</v>
      </c>
      <c r="Q750" s="211">
        <v>4200685544</v>
      </c>
      <c r="R750" s="211"/>
      <c r="S750" s="211" t="s">
        <v>249</v>
      </c>
      <c r="T750" s="211" t="s">
        <v>2608</v>
      </c>
      <c r="U750" s="388" t="s">
        <v>2236</v>
      </c>
      <c r="W750" s="8">
        <v>24</v>
      </c>
    </row>
    <row r="751" spans="1:45" hidden="1">
      <c r="A751" s="286" t="s">
        <v>244</v>
      </c>
      <c r="B751" s="286" t="s">
        <v>221</v>
      </c>
      <c r="C751" s="280" t="s">
        <v>2302</v>
      </c>
      <c r="D751" s="281" t="str">
        <f t="shared" si="0"/>
        <v>Q2</v>
      </c>
      <c r="E751" s="282" t="str">
        <f t="shared" si="1"/>
        <v>04-JUL</v>
      </c>
      <c r="F751" s="242">
        <v>45845</v>
      </c>
      <c r="G751" s="231" t="s">
        <v>2609</v>
      </c>
      <c r="H751" s="5" t="s">
        <v>2304</v>
      </c>
      <c r="I751" s="29" t="s">
        <v>223</v>
      </c>
      <c r="J751" s="8" t="s">
        <v>69</v>
      </c>
      <c r="K751" s="281" t="str">
        <f>IF(H751="","",IFERROR(VLOOKUP(H751,Instructions!D:E,2,0),"BA"))</f>
        <v>BA</v>
      </c>
      <c r="L751" s="30" t="s">
        <v>2610</v>
      </c>
      <c r="M751" s="151">
        <f>IF(SUM(V751:BC751)=0,"-",SUM(V751:BC751))</f>
        <v>2</v>
      </c>
      <c r="N751" s="65">
        <f>IF(SUMPRODUCT($V$3:$BC$3,V751:BC751)=0,"-",SUMPRODUCT($V$3:$BC$3,V751:BC751))</f>
        <v>155</v>
      </c>
      <c r="O751" s="30" t="s">
        <v>2611</v>
      </c>
      <c r="P751" s="280" t="s">
        <v>481</v>
      </c>
      <c r="Q751" s="211">
        <v>4200685577</v>
      </c>
      <c r="R751" s="211"/>
      <c r="S751" s="211" t="s">
        <v>249</v>
      </c>
      <c r="T751" s="211" t="s">
        <v>2612</v>
      </c>
      <c r="U751" s="388" t="s">
        <v>2236</v>
      </c>
      <c r="V751" s="7">
        <v>1</v>
      </c>
      <c r="W751" s="8">
        <v>1</v>
      </c>
    </row>
    <row r="752" spans="1:45" hidden="1">
      <c r="A752" s="286" t="s">
        <v>220</v>
      </c>
      <c r="B752" s="286" t="s">
        <v>221</v>
      </c>
      <c r="C752" s="280" t="s">
        <v>2302</v>
      </c>
      <c r="D752" s="281" t="str">
        <f t="shared" si="0"/>
        <v>Q2</v>
      </c>
      <c r="E752" s="282" t="str">
        <f t="shared" si="1"/>
        <v>04-JUL</v>
      </c>
      <c r="F752" s="242">
        <v>45845</v>
      </c>
      <c r="G752" s="231" t="s">
        <v>2613</v>
      </c>
      <c r="H752" s="410" t="s">
        <v>2304</v>
      </c>
      <c r="I752" s="29" t="s">
        <v>223</v>
      </c>
      <c r="J752" s="8" t="s">
        <v>69</v>
      </c>
      <c r="K752" s="281" t="str">
        <f>IF(H752="","",IFERROR(VLOOKUP(H752,Instructions!D:E,2,0),"BA"))</f>
        <v>BA</v>
      </c>
      <c r="L752" s="78" t="s">
        <v>2614</v>
      </c>
      <c r="M752" s="151">
        <f>IF(SUM(V752:BC752)=0,"-",SUM(V752:BC752))</f>
        <v>1</v>
      </c>
      <c r="N752" s="65">
        <f>IF(SUMPRODUCT($V$3:$BC$3,V752:BC752)=0,"-",SUMPRODUCT($V$3:$BC$3,V752:BC752))</f>
        <v>40</v>
      </c>
      <c r="O752" s="30" t="s">
        <v>2615</v>
      </c>
      <c r="P752" s="280" t="s">
        <v>481</v>
      </c>
      <c r="Q752" s="211">
        <v>4270030057</v>
      </c>
      <c r="R752" s="211"/>
      <c r="S752" s="211" t="s">
        <v>249</v>
      </c>
      <c r="T752" s="211" t="s">
        <v>2616</v>
      </c>
      <c r="U752" s="388" t="s">
        <v>2236</v>
      </c>
      <c r="AD752" s="8">
        <v>1</v>
      </c>
    </row>
    <row r="753" spans="1:31" hidden="1">
      <c r="A753" s="286" t="s">
        <v>244</v>
      </c>
      <c r="B753" s="286" t="s">
        <v>221</v>
      </c>
      <c r="C753" s="280" t="s">
        <v>2302</v>
      </c>
      <c r="D753" s="281" t="str">
        <f t="shared" si="0"/>
        <v>Q2</v>
      </c>
      <c r="E753" s="282" t="str">
        <f t="shared" si="1"/>
        <v>04-JUL</v>
      </c>
      <c r="F753" s="242">
        <v>45846</v>
      </c>
      <c r="G753" s="231" t="s">
        <v>2617</v>
      </c>
      <c r="H753" s="5" t="s">
        <v>35</v>
      </c>
      <c r="I753" s="29" t="s">
        <v>223</v>
      </c>
      <c r="J753" s="8" t="s">
        <v>95</v>
      </c>
      <c r="K753" s="281" t="str">
        <f>IF(H753="","",IFERROR(VLOOKUP(H753,Instructions!D:E,2,0),"BA"))</f>
        <v>BA</v>
      </c>
      <c r="L753" s="30" t="s">
        <v>2618</v>
      </c>
      <c r="M753" s="151">
        <f>IF(SUM(V753:BC753)=0,"-",SUM(V753:BC753))</f>
        <v>1</v>
      </c>
      <c r="N753" s="65">
        <f>IF(SUMPRODUCT($V$3:$BC$3,V753:BC753)=0,"-",SUMPRODUCT($V$3:$BC$3,V753:BC753))</f>
        <v>40</v>
      </c>
      <c r="O753" s="30" t="s">
        <v>2619</v>
      </c>
      <c r="P753" s="280" t="s">
        <v>481</v>
      </c>
      <c r="Q753" s="139">
        <v>4300134241</v>
      </c>
      <c r="R753" s="260" t="s">
        <v>481</v>
      </c>
      <c r="S753" s="260" t="s">
        <v>249</v>
      </c>
      <c r="T753" s="260" t="s">
        <v>2620</v>
      </c>
      <c r="U753" s="257" t="s">
        <v>2536</v>
      </c>
      <c r="AD753" s="8">
        <v>1</v>
      </c>
    </row>
    <row r="754" spans="1:31" hidden="1">
      <c r="A754" s="286" t="s">
        <v>244</v>
      </c>
      <c r="B754" s="286" t="s">
        <v>221</v>
      </c>
      <c r="C754" s="280" t="s">
        <v>2302</v>
      </c>
      <c r="D754" s="281" t="str">
        <f t="shared" si="0"/>
        <v>Q2</v>
      </c>
      <c r="E754" s="282" t="str">
        <f t="shared" si="1"/>
        <v>04-JUL</v>
      </c>
      <c r="F754" s="242">
        <v>45846</v>
      </c>
      <c r="G754" s="231" t="s">
        <v>2621</v>
      </c>
      <c r="H754" s="5" t="s">
        <v>35</v>
      </c>
      <c r="I754" s="29" t="s">
        <v>223</v>
      </c>
      <c r="J754" s="8" t="s">
        <v>95</v>
      </c>
      <c r="K754" s="281" t="str">
        <f>IF(H754="","",IFERROR(VLOOKUP(H754,Instructions!D:E,2,0),"BA"))</f>
        <v>BA</v>
      </c>
      <c r="L754" s="30" t="s">
        <v>2622</v>
      </c>
      <c r="M754" s="151">
        <f>IF(SUM(V754:BC754)=0,"-",SUM(V754:BC754))</f>
        <v>9</v>
      </c>
      <c r="N754" s="65">
        <f>IF(SUMPRODUCT($V$3:$BC$3,V754:BC754)=0,"-",SUMPRODUCT($V$3:$BC$3,V754:BC754))</f>
        <v>425</v>
      </c>
      <c r="O754" s="30" t="s">
        <v>2623</v>
      </c>
      <c r="P754" s="280" t="s">
        <v>481</v>
      </c>
      <c r="Q754" s="139">
        <v>4300134241</v>
      </c>
      <c r="R754" s="260" t="s">
        <v>481</v>
      </c>
      <c r="S754" s="260" t="s">
        <v>249</v>
      </c>
      <c r="T754" s="260" t="s">
        <v>2620</v>
      </c>
      <c r="U754" s="257" t="s">
        <v>2536</v>
      </c>
      <c r="W754" s="8">
        <v>6</v>
      </c>
      <c r="AC754" s="7">
        <v>1</v>
      </c>
      <c r="AD754" s="8">
        <v>2</v>
      </c>
    </row>
    <row r="755" spans="1:31" hidden="1">
      <c r="A755" s="286" t="s">
        <v>244</v>
      </c>
      <c r="B755" s="286" t="s">
        <v>221</v>
      </c>
      <c r="C755" s="280" t="s">
        <v>2</v>
      </c>
      <c r="D755" s="281" t="str">
        <f t="shared" si="0"/>
        <v>Q2</v>
      </c>
      <c r="E755" s="282" t="str">
        <f t="shared" si="1"/>
        <v>04-JUL</v>
      </c>
      <c r="F755" s="242">
        <v>45847</v>
      </c>
      <c r="G755" s="231" t="s">
        <v>2624</v>
      </c>
      <c r="H755" s="5" t="s">
        <v>2304</v>
      </c>
      <c r="I755" s="29" t="s">
        <v>223</v>
      </c>
      <c r="J755" s="8" t="s">
        <v>69</v>
      </c>
      <c r="K755" s="281" t="str">
        <f>IF(H755="","",IFERROR(VLOOKUP(H755,Instructions!D:E,2,0),"BA"))</f>
        <v>BA</v>
      </c>
      <c r="L755" s="30" t="s">
        <v>2625</v>
      </c>
      <c r="M755" s="151">
        <f>IF(SUM(V755:BC755)=0,"-",SUM(V755:BC755))</f>
        <v>1</v>
      </c>
      <c r="N755" s="65">
        <f>IF(SUMPRODUCT($V$3:$BC$3,V755:BC755)=0,"-",SUMPRODUCT($V$3:$BC$3,V755:BC755))</f>
        <v>135</v>
      </c>
      <c r="O755" s="30" t="s">
        <v>2626</v>
      </c>
      <c r="P755" s="280" t="s">
        <v>481</v>
      </c>
      <c r="Q755" s="139">
        <v>4300134356</v>
      </c>
      <c r="R755" s="260" t="s">
        <v>481</v>
      </c>
      <c r="S755" s="260" t="s">
        <v>249</v>
      </c>
      <c r="T755" s="260" t="s">
        <v>2627</v>
      </c>
      <c r="U755" s="257" t="s">
        <v>2536</v>
      </c>
      <c r="AC755" s="7">
        <v>1</v>
      </c>
    </row>
    <row r="756" spans="1:31" hidden="1">
      <c r="A756" s="286" t="s">
        <v>244</v>
      </c>
      <c r="B756" s="286" t="s">
        <v>221</v>
      </c>
      <c r="C756" s="280" t="s">
        <v>2302</v>
      </c>
      <c r="D756" s="281" t="str">
        <f t="shared" si="0"/>
        <v>Q2</v>
      </c>
      <c r="E756" s="282" t="str">
        <f t="shared" si="1"/>
        <v>04-JUL</v>
      </c>
      <c r="F756" s="242">
        <v>45847</v>
      </c>
      <c r="G756" s="231" t="s">
        <v>2628</v>
      </c>
      <c r="H756" s="460" t="s">
        <v>1304</v>
      </c>
      <c r="I756" s="29" t="s">
        <v>223</v>
      </c>
      <c r="J756" s="8" t="s">
        <v>130</v>
      </c>
      <c r="K756" s="281" t="str">
        <f>IF(H756="","",IFERROR(VLOOKUP(H756,Instructions!D:E,2,0),"BA"))</f>
        <v>BA</v>
      </c>
      <c r="L756" s="30" t="s">
        <v>2629</v>
      </c>
      <c r="M756" s="151">
        <f>IF(SUM(V756:BC756)=0,"-",SUM(V756:BC756))</f>
        <v>1</v>
      </c>
      <c r="N756" s="65">
        <f>IF(SUMPRODUCT($V$3:$BC$3,V756:BC756)=0,"-",SUMPRODUCT($V$3:$BC$3,V756:BC756))</f>
        <v>135</v>
      </c>
      <c r="O756" s="30" t="s">
        <v>2630</v>
      </c>
      <c r="P756" s="280" t="s">
        <v>481</v>
      </c>
      <c r="Q756" s="139">
        <v>4300133044</v>
      </c>
      <c r="R756" s="260" t="s">
        <v>481</v>
      </c>
      <c r="S756" s="260" t="s">
        <v>249</v>
      </c>
      <c r="T756" s="260" t="s">
        <v>2535</v>
      </c>
      <c r="U756" s="257" t="s">
        <v>2536</v>
      </c>
      <c r="AC756" s="7">
        <v>1</v>
      </c>
    </row>
    <row r="757" spans="1:31" hidden="1">
      <c r="A757" s="286" t="s">
        <v>220</v>
      </c>
      <c r="B757" s="286" t="s">
        <v>221</v>
      </c>
      <c r="C757" s="280" t="s">
        <v>2302</v>
      </c>
      <c r="D757" s="281" t="str">
        <f t="shared" ref="D757:D820" si="2">IF(F757="","",CHOOSE(MONTH(F757),"Q4","Q4","Q4","Q1","Q1","Q1","Q2","Q2","Q2","Q3","Q3","Q3"))</f>
        <v>Q2</v>
      </c>
      <c r="E757" s="282" t="str">
        <f t="shared" ref="E757:E820" si="3">IF(F757="","",CHOOSE(MONTH(F757),"10-JAN","11-FEB","12-MAR","01-APR","02-MAY","03-JUN","04-JUL","05-AUG","06-SEP","07-OCT","08-NOV","09-DEC"))</f>
        <v>04-JUL</v>
      </c>
      <c r="F757" s="242">
        <v>45848</v>
      </c>
      <c r="G757" s="231" t="s">
        <v>2631</v>
      </c>
      <c r="H757" s="410" t="s">
        <v>35</v>
      </c>
      <c r="I757" s="29" t="s">
        <v>223</v>
      </c>
      <c r="J757" s="8" t="s">
        <v>95</v>
      </c>
      <c r="K757" s="281" t="str">
        <f>IF(H757="","",IFERROR(VLOOKUP(H757,Instructions!D:E,2,0),"BA"))</f>
        <v>BA</v>
      </c>
      <c r="L757" s="78" t="s">
        <v>2632</v>
      </c>
      <c r="M757" s="151">
        <f>IF(SUM(V757:BC757)=0,"-",SUM(V757:BC757))</f>
        <v>2</v>
      </c>
      <c r="N757" s="65">
        <f>IF(SUMPRODUCT($V$3:$BC$3,V757:BC757)=0,"-",SUMPRODUCT($V$3:$BC$3,V757:BC757))</f>
        <v>155</v>
      </c>
      <c r="O757" s="30" t="s">
        <v>2633</v>
      </c>
      <c r="P757" s="280" t="s">
        <v>481</v>
      </c>
      <c r="Q757" s="139">
        <v>4300134241</v>
      </c>
      <c r="R757" s="260" t="s">
        <v>481</v>
      </c>
      <c r="S757" s="260" t="s">
        <v>249</v>
      </c>
      <c r="T757" s="260" t="s">
        <v>2620</v>
      </c>
      <c r="U757" s="257" t="s">
        <v>2536</v>
      </c>
      <c r="V757" s="7">
        <v>1</v>
      </c>
      <c r="W757" s="8">
        <v>1</v>
      </c>
    </row>
    <row r="758" spans="1:31" hidden="1">
      <c r="A758" s="286" t="s">
        <v>244</v>
      </c>
      <c r="B758" s="286" t="s">
        <v>221</v>
      </c>
      <c r="C758" s="280" t="s">
        <v>2302</v>
      </c>
      <c r="D758" s="281" t="str">
        <f t="shared" si="2"/>
        <v>Q2</v>
      </c>
      <c r="E758" s="282" t="str">
        <f t="shared" si="3"/>
        <v>04-JUL</v>
      </c>
      <c r="F758" s="242">
        <v>45848</v>
      </c>
      <c r="G758" s="231" t="s">
        <v>2634</v>
      </c>
      <c r="H758" s="410" t="s">
        <v>2635</v>
      </c>
      <c r="I758" s="29" t="s">
        <v>223</v>
      </c>
      <c r="J758" s="8" t="s">
        <v>95</v>
      </c>
      <c r="K758" s="281" t="s">
        <v>30</v>
      </c>
      <c r="L758" s="30" t="s">
        <v>2636</v>
      </c>
      <c r="M758" s="151">
        <f>IF(SUM(V758:BC758)=0,"-",SUM(V758:BC758))</f>
        <v>2</v>
      </c>
      <c r="N758" s="65">
        <f>IF(SUMPRODUCT($V$3:$BC$3,V758:BC758)=0,"-",SUMPRODUCT($V$3:$BC$3,V758:BC758))</f>
        <v>155</v>
      </c>
      <c r="O758" s="30" t="s">
        <v>2637</v>
      </c>
      <c r="P758" s="280" t="s">
        <v>481</v>
      </c>
      <c r="Q758" s="139">
        <v>4200681305</v>
      </c>
      <c r="R758" s="260" t="s">
        <v>305</v>
      </c>
      <c r="S758" s="260" t="s">
        <v>249</v>
      </c>
      <c r="T758" s="260" t="s">
        <v>2585</v>
      </c>
      <c r="U758" s="257" t="s">
        <v>2536</v>
      </c>
      <c r="V758" s="7">
        <v>1</v>
      </c>
      <c r="W758" s="8">
        <v>1</v>
      </c>
    </row>
    <row r="759" spans="1:31" hidden="1">
      <c r="A759" s="286" t="s">
        <v>244</v>
      </c>
      <c r="B759" s="286" t="s">
        <v>221</v>
      </c>
      <c r="C759" s="280" t="s">
        <v>2302</v>
      </c>
      <c r="D759" s="281" t="str">
        <f t="shared" si="2"/>
        <v>Q2</v>
      </c>
      <c r="E759" s="282" t="str">
        <f t="shared" si="3"/>
        <v>04-JUL</v>
      </c>
      <c r="F759" s="242">
        <v>45853</v>
      </c>
      <c r="G759" s="231" t="s">
        <v>2638</v>
      </c>
      <c r="H759" s="459" t="s">
        <v>1304</v>
      </c>
      <c r="I759" s="29" t="s">
        <v>223</v>
      </c>
      <c r="J759" s="8" t="s">
        <v>130</v>
      </c>
      <c r="K759" s="281" t="str">
        <f>IF(H759="","",IFERROR(VLOOKUP(H759,Instructions!D:E,2,0),"BA"))</f>
        <v>BA</v>
      </c>
      <c r="L759" s="30" t="s">
        <v>2639</v>
      </c>
      <c r="M759" s="151">
        <f>IF(SUM(V759:BC759)=0,"-",SUM(V759:BC759))</f>
        <v>1</v>
      </c>
      <c r="N759" s="65">
        <f>IF(SUMPRODUCT($V$3:$BC$3,V759:BC759)=0,"-",SUMPRODUCT($V$3:$BC$3,V759:BC759))</f>
        <v>180</v>
      </c>
      <c r="O759" s="30" t="s">
        <v>2640</v>
      </c>
      <c r="P759" s="280" t="s">
        <v>481</v>
      </c>
      <c r="Q759" s="139">
        <v>4300133044</v>
      </c>
      <c r="R759" s="260" t="s">
        <v>481</v>
      </c>
      <c r="S759" s="260" t="s">
        <v>249</v>
      </c>
      <c r="T759" s="260" t="s">
        <v>2535</v>
      </c>
      <c r="U759" s="257" t="s">
        <v>2536</v>
      </c>
      <c r="AE759" s="8">
        <v>1</v>
      </c>
    </row>
    <row r="760" spans="1:31" hidden="1">
      <c r="A760" s="286" t="s">
        <v>244</v>
      </c>
      <c r="B760" s="286" t="s">
        <v>221</v>
      </c>
      <c r="C760" s="280" t="s">
        <v>2</v>
      </c>
      <c r="D760" s="281" t="str">
        <f t="shared" si="2"/>
        <v>Q1</v>
      </c>
      <c r="E760" s="282" t="str">
        <f t="shared" si="3"/>
        <v>03-JUN</v>
      </c>
      <c r="F760" s="242">
        <v>45833</v>
      </c>
      <c r="G760" s="231" t="s">
        <v>2641</v>
      </c>
      <c r="H760" s="464" t="s">
        <v>35</v>
      </c>
      <c r="I760" s="29" t="s">
        <v>223</v>
      </c>
      <c r="J760" s="8" t="s">
        <v>95</v>
      </c>
      <c r="K760" s="281" t="str">
        <f>IF(H760="","",IFERROR(VLOOKUP(H760,Instructions!D:E,2,0),"BA"))</f>
        <v>BA</v>
      </c>
      <c r="L760" s="30" t="s">
        <v>2641</v>
      </c>
      <c r="M760" s="151">
        <f>IF(SUM(V760:BC760)=0,"-",SUM(V760:BC760))</f>
        <v>2</v>
      </c>
      <c r="N760" s="65">
        <f>IF(SUMPRODUCT($V$3:$BC$3,V760:BC760)=0,"-",SUMPRODUCT($V$3:$BC$3,V760:BC760))</f>
        <v>70</v>
      </c>
      <c r="O760" s="114" t="s">
        <v>2642</v>
      </c>
      <c r="P760" s="280" t="s">
        <v>481</v>
      </c>
      <c r="Q760" s="211">
        <v>4300169505</v>
      </c>
      <c r="R760" s="260" t="s">
        <v>481</v>
      </c>
      <c r="S760" s="260" t="s">
        <v>249</v>
      </c>
      <c r="T760" s="260" t="s">
        <v>2580</v>
      </c>
      <c r="U760" s="253" t="s">
        <v>2581</v>
      </c>
      <c r="W760" s="8">
        <v>2</v>
      </c>
    </row>
    <row r="761" spans="1:31" hidden="1">
      <c r="A761" s="286" t="s">
        <v>244</v>
      </c>
      <c r="B761" s="286" t="s">
        <v>221</v>
      </c>
      <c r="C761" s="280" t="s">
        <v>2302</v>
      </c>
      <c r="D761" s="281" t="str">
        <f t="shared" si="2"/>
        <v>Q2</v>
      </c>
      <c r="E761" s="282" t="str">
        <f t="shared" si="3"/>
        <v>04-JUL</v>
      </c>
      <c r="F761" s="242">
        <v>45841</v>
      </c>
      <c r="G761" s="231" t="s">
        <v>2643</v>
      </c>
      <c r="H761" s="464" t="s">
        <v>35</v>
      </c>
      <c r="I761" s="29" t="s">
        <v>223</v>
      </c>
      <c r="J761" s="8" t="s">
        <v>95</v>
      </c>
      <c r="K761" s="281" t="str">
        <f>IF(H761="","",IFERROR(VLOOKUP(H761,Instructions!D:E,2,0),"BA"))</f>
        <v>BA</v>
      </c>
      <c r="L761" s="30" t="s">
        <v>2644</v>
      </c>
      <c r="M761" s="151">
        <f>IF(SUM(V761:BC761)=0,"-",SUM(V761:BC761))</f>
        <v>1</v>
      </c>
      <c r="N761" s="65">
        <f>IF(SUMPRODUCT($V$3:$BC$3,V761:BC761)=0,"-",SUMPRODUCT($V$3:$BC$3,V761:BC761))</f>
        <v>40</v>
      </c>
      <c r="O761" s="30" t="s">
        <v>2645</v>
      </c>
      <c r="P761" s="280" t="s">
        <v>481</v>
      </c>
      <c r="Q761" s="211">
        <v>4300169505</v>
      </c>
      <c r="R761" s="260" t="s">
        <v>481</v>
      </c>
      <c r="S761" s="260" t="s">
        <v>249</v>
      </c>
      <c r="T761" s="260" t="s">
        <v>2580</v>
      </c>
      <c r="U761" s="253" t="s">
        <v>2581</v>
      </c>
      <c r="AD761" s="8">
        <v>1</v>
      </c>
    </row>
    <row r="762" spans="1:31" hidden="1">
      <c r="A762" s="286" t="s">
        <v>220</v>
      </c>
      <c r="B762" s="286" t="s">
        <v>221</v>
      </c>
      <c r="C762" s="280" t="s">
        <v>2302</v>
      </c>
      <c r="D762" s="281" t="str">
        <f t="shared" si="2"/>
        <v>Q2</v>
      </c>
      <c r="E762" s="282" t="str">
        <f t="shared" si="3"/>
        <v>04-JUL</v>
      </c>
      <c r="F762" s="242">
        <v>45854</v>
      </c>
      <c r="G762" s="222" t="s">
        <v>2646</v>
      </c>
      <c r="H762" s="410" t="s">
        <v>2304</v>
      </c>
      <c r="I762" s="29" t="s">
        <v>223</v>
      </c>
      <c r="J762" s="8" t="s">
        <v>69</v>
      </c>
      <c r="K762" s="281" t="str">
        <f>IF(H762="","",IFERROR(VLOOKUP(H762,Instructions!D:E,2,0),"BA"))</f>
        <v>BA</v>
      </c>
      <c r="L762" s="78" t="s">
        <v>2647</v>
      </c>
      <c r="M762" s="151">
        <f>IF(SUM(V762:BC762)=0,"-",SUM(V762:BC762))</f>
        <v>9</v>
      </c>
      <c r="N762" s="65">
        <f>IF(SUMPRODUCT($V$3:$BC$3,V762:BC762)=0,"-",SUMPRODUCT($V$3:$BC$3,V762:BC762))</f>
        <v>400</v>
      </c>
      <c r="O762" s="30" t="s">
        <v>2648</v>
      </c>
      <c r="P762" s="280" t="s">
        <v>481</v>
      </c>
      <c r="Q762" s="139">
        <v>4300134358</v>
      </c>
      <c r="R762" s="260" t="s">
        <v>481</v>
      </c>
      <c r="S762" s="260" t="s">
        <v>249</v>
      </c>
      <c r="T762" s="260" t="s">
        <v>2649</v>
      </c>
      <c r="U762" s="257" t="s">
        <v>2536</v>
      </c>
      <c r="V762" s="7">
        <v>1</v>
      </c>
      <c r="W762" s="8">
        <v>8</v>
      </c>
    </row>
    <row r="763" spans="1:31" hidden="1">
      <c r="A763" s="286" t="s">
        <v>244</v>
      </c>
      <c r="B763" s="286" t="s">
        <v>221</v>
      </c>
      <c r="C763" s="280" t="s">
        <v>2302</v>
      </c>
      <c r="D763" s="281" t="str">
        <f t="shared" si="2"/>
        <v>Q2</v>
      </c>
      <c r="E763" s="282" t="str">
        <f t="shared" si="3"/>
        <v>04-JUL</v>
      </c>
      <c r="F763" s="242">
        <v>45854</v>
      </c>
      <c r="G763" s="231" t="s">
        <v>2650</v>
      </c>
      <c r="H763" s="5" t="s">
        <v>2304</v>
      </c>
      <c r="I763" s="29" t="s">
        <v>223</v>
      </c>
      <c r="J763" s="8" t="s">
        <v>69</v>
      </c>
      <c r="K763" s="281" t="str">
        <f>IF(H763="","",IFERROR(VLOOKUP(H763,Instructions!D:E,2,0),"BA"))</f>
        <v>BA</v>
      </c>
      <c r="L763" s="30" t="s">
        <v>2651</v>
      </c>
      <c r="M763" s="151">
        <f>IF(SUM(V763:BC763)=0,"-",SUM(V763:BC763))</f>
        <v>9</v>
      </c>
      <c r="N763" s="65">
        <f>IF(SUMPRODUCT($V$3:$BC$3,V763:BC763)=0,"-",SUMPRODUCT($V$3:$BC$3,V763:BC763))</f>
        <v>400</v>
      </c>
      <c r="O763" s="30" t="s">
        <v>2652</v>
      </c>
      <c r="P763" s="280" t="s">
        <v>481</v>
      </c>
      <c r="Q763" s="139">
        <v>4300134357</v>
      </c>
      <c r="R763" s="260" t="s">
        <v>481</v>
      </c>
      <c r="S763" s="260" t="s">
        <v>249</v>
      </c>
      <c r="T763" s="260" t="s">
        <v>2653</v>
      </c>
      <c r="U763" s="257" t="s">
        <v>2536</v>
      </c>
      <c r="V763" s="7">
        <v>1</v>
      </c>
      <c r="W763" s="8">
        <v>8</v>
      </c>
    </row>
    <row r="764" spans="1:31" hidden="1">
      <c r="A764" s="286" t="s">
        <v>244</v>
      </c>
      <c r="B764" s="286" t="s">
        <v>221</v>
      </c>
      <c r="C764" s="280" t="s">
        <v>2302</v>
      </c>
      <c r="D764" s="281" t="str">
        <f t="shared" si="2"/>
        <v>Q2</v>
      </c>
      <c r="E764" s="282" t="str">
        <f t="shared" si="3"/>
        <v>04-JUL</v>
      </c>
      <c r="F764" s="242">
        <v>45854</v>
      </c>
      <c r="G764" s="231" t="s">
        <v>2654</v>
      </c>
      <c r="H764" s="460" t="s">
        <v>1304</v>
      </c>
      <c r="I764" s="29" t="s">
        <v>223</v>
      </c>
      <c r="J764" s="8" t="s">
        <v>130</v>
      </c>
      <c r="K764" s="281" t="str">
        <f>IF(H764="","",IFERROR(VLOOKUP(H764,Instructions!D:E,2,0),"BA"))</f>
        <v>BA</v>
      </c>
      <c r="L764" s="78" t="s">
        <v>2655</v>
      </c>
      <c r="M764" s="151">
        <f>IF(SUM(V764:BC764)=0,"-",SUM(V764:BC764))</f>
        <v>1</v>
      </c>
      <c r="N764" s="65">
        <f>IF(SUMPRODUCT($V$3:$BC$3,V764:BC764)=0,"-",SUMPRODUCT($V$3:$BC$3,V764:BC764))</f>
        <v>35</v>
      </c>
      <c r="O764" s="30" t="s">
        <v>2656</v>
      </c>
      <c r="P764" s="280" t="s">
        <v>481</v>
      </c>
      <c r="Q764" s="139">
        <v>4300133044</v>
      </c>
      <c r="R764" s="260" t="s">
        <v>481</v>
      </c>
      <c r="S764" s="260" t="s">
        <v>249</v>
      </c>
      <c r="T764" s="260" t="s">
        <v>2535</v>
      </c>
      <c r="U764" s="257" t="s">
        <v>2536</v>
      </c>
      <c r="W764" s="8">
        <v>1</v>
      </c>
    </row>
    <row r="765" spans="1:31" hidden="1">
      <c r="A765" s="286" t="s">
        <v>244</v>
      </c>
      <c r="B765" s="286" t="s">
        <v>221</v>
      </c>
      <c r="C765" s="280" t="s">
        <v>2</v>
      </c>
      <c r="D765" s="281" t="str">
        <f t="shared" si="2"/>
        <v>Q2</v>
      </c>
      <c r="E765" s="282" t="str">
        <f t="shared" si="3"/>
        <v>04-JUL</v>
      </c>
      <c r="F765" s="242">
        <v>45853</v>
      </c>
      <c r="G765" s="231" t="s">
        <v>2657</v>
      </c>
      <c r="H765" s="464" t="s">
        <v>2658</v>
      </c>
      <c r="I765" s="29" t="s">
        <v>223</v>
      </c>
      <c r="J765" s="8" t="s">
        <v>69</v>
      </c>
      <c r="K765" s="281" t="str">
        <f>IF(H765="","",IFERROR(VLOOKUP(H765,Instructions!D:E,2,0),"BA"))</f>
        <v>BA</v>
      </c>
      <c r="L765" s="30" t="s">
        <v>2659</v>
      </c>
      <c r="M765" s="151">
        <f>IF(SUM(V765:BC765)=0,"-",SUM(V765:BC765))</f>
        <v>1</v>
      </c>
      <c r="N765" s="65">
        <f>IF(SUMPRODUCT($V$3:$BC$3,V765:BC765)=0,"-",SUMPRODUCT($V$3:$BC$3,V765:BC765))</f>
        <v>40</v>
      </c>
      <c r="O765" s="30" t="s">
        <v>2660</v>
      </c>
      <c r="P765" s="280" t="s">
        <v>481</v>
      </c>
      <c r="Q765" s="455">
        <v>4200678470</v>
      </c>
      <c r="R765" s="421" t="s">
        <v>481</v>
      </c>
      <c r="S765" s="421" t="s">
        <v>249</v>
      </c>
      <c r="T765" s="421" t="s">
        <v>2661</v>
      </c>
      <c r="U765" s="422" t="s">
        <v>2662</v>
      </c>
      <c r="AD765" s="8">
        <v>1</v>
      </c>
    </row>
    <row r="766" spans="1:31" hidden="1">
      <c r="A766" s="286" t="s">
        <v>244</v>
      </c>
      <c r="B766" s="286" t="s">
        <v>221</v>
      </c>
      <c r="C766" s="280" t="s">
        <v>2302</v>
      </c>
      <c r="D766" s="281" t="str">
        <f t="shared" si="2"/>
        <v>Q2</v>
      </c>
      <c r="E766" s="282" t="str">
        <f t="shared" si="3"/>
        <v>04-JUL</v>
      </c>
      <c r="F766" s="242">
        <v>45854</v>
      </c>
      <c r="G766" s="231" t="s">
        <v>2663</v>
      </c>
      <c r="H766" s="156" t="s">
        <v>2381</v>
      </c>
      <c r="I766" s="29" t="s">
        <v>223</v>
      </c>
      <c r="J766" s="8" t="s">
        <v>69</v>
      </c>
      <c r="K766" s="281" t="str">
        <f>IF(H766="","",IFERROR(VLOOKUP(H766,Instructions!D:E,2,0),"BA"))</f>
        <v>BA</v>
      </c>
      <c r="L766" s="30" t="s">
        <v>2664</v>
      </c>
      <c r="M766" s="151">
        <f>IF(SUM(V766:BC766)=0,"-",SUM(V766:BC766))</f>
        <v>3</v>
      </c>
      <c r="N766" s="65">
        <f>IF(SUMPRODUCT($V$3:$BC$3,V766:BC766)=0,"-",SUMPRODUCT($V$3:$BC$3,V766:BC766))</f>
        <v>195</v>
      </c>
      <c r="P766" s="280" t="s">
        <v>481</v>
      </c>
      <c r="Q766" s="455">
        <v>4200673779</v>
      </c>
      <c r="R766" s="421" t="s">
        <v>269</v>
      </c>
      <c r="S766" s="421" t="s">
        <v>249</v>
      </c>
      <c r="T766" s="421" t="s">
        <v>2665</v>
      </c>
      <c r="U766" s="422" t="s">
        <v>2666</v>
      </c>
      <c r="V766" s="7">
        <v>1</v>
      </c>
      <c r="W766" s="8">
        <v>1</v>
      </c>
      <c r="AD766" s="8">
        <v>1</v>
      </c>
    </row>
    <row r="767" spans="1:31" hidden="1">
      <c r="A767" s="286" t="s">
        <v>220</v>
      </c>
      <c r="B767" s="286" t="s">
        <v>221</v>
      </c>
      <c r="C767" s="280" t="s">
        <v>2302</v>
      </c>
      <c r="D767" s="281" t="str">
        <f t="shared" si="2"/>
        <v>Q2</v>
      </c>
      <c r="E767" s="282" t="str">
        <f t="shared" si="3"/>
        <v>04-JUL</v>
      </c>
      <c r="F767" s="242">
        <v>45859</v>
      </c>
      <c r="G767" s="231" t="s">
        <v>2667</v>
      </c>
      <c r="H767" s="410" t="s">
        <v>2377</v>
      </c>
      <c r="I767" s="29" t="s">
        <v>223</v>
      </c>
      <c r="J767" s="8" t="s">
        <v>130</v>
      </c>
      <c r="K767" s="281" t="str">
        <f>IF(H767="","",IFERROR(VLOOKUP(H767,Instructions!D:E,2,0),"BA"))</f>
        <v>CM</v>
      </c>
      <c r="L767" s="30" t="s">
        <v>2589</v>
      </c>
      <c r="M767" s="151">
        <f>IF(SUM(V767:BC767)=0,"-",SUM(V767:BC767))</f>
        <v>2</v>
      </c>
      <c r="N767" s="65">
        <f>IF(SUMPRODUCT($V$3:$BC$3,V767:BC767)=0,"-",SUMPRODUCT($V$3:$BC$3,V767:BC767))</f>
        <v>70</v>
      </c>
      <c r="P767" s="280" t="s">
        <v>481</v>
      </c>
      <c r="Q767" s="260">
        <v>4200682184</v>
      </c>
      <c r="R767" s="260" t="s">
        <v>269</v>
      </c>
      <c r="S767" s="260" t="s">
        <v>249</v>
      </c>
      <c r="T767" s="260" t="s">
        <v>2590</v>
      </c>
      <c r="U767" s="257" t="s">
        <v>2536</v>
      </c>
      <c r="W767" s="8">
        <v>2</v>
      </c>
    </row>
    <row r="768" spans="1:31" hidden="1">
      <c r="A768" s="286" t="s">
        <v>244</v>
      </c>
      <c r="B768" s="286" t="s">
        <v>221</v>
      </c>
      <c r="C768" s="280" t="s">
        <v>2302</v>
      </c>
      <c r="D768" s="281" t="str">
        <f t="shared" si="2"/>
        <v>Q2</v>
      </c>
      <c r="E768" s="282" t="str">
        <f t="shared" si="3"/>
        <v>04-JUL</v>
      </c>
      <c r="F768" s="242">
        <v>45859</v>
      </c>
      <c r="G768" s="231" t="s">
        <v>2668</v>
      </c>
      <c r="H768" s="460" t="s">
        <v>1304</v>
      </c>
      <c r="I768" s="29" t="s">
        <v>223</v>
      </c>
      <c r="J768" s="8" t="s">
        <v>130</v>
      </c>
      <c r="K768" s="281" t="str">
        <f>IF(H768="","",IFERROR(VLOOKUP(H768,Instructions!D:E,2,0),"BA"))</f>
        <v>BA</v>
      </c>
      <c r="L768" s="30" t="s">
        <v>2669</v>
      </c>
      <c r="M768" s="151">
        <f>IF(SUM(V768:BC768)=0,"-",SUM(V768:BC768))</f>
        <v>2</v>
      </c>
      <c r="N768" s="65">
        <f>IF(SUMPRODUCT($V$3:$BC$3,V768:BC768)=0,"-",SUMPRODUCT($V$3:$BC$3,V768:BC768))</f>
        <v>70</v>
      </c>
      <c r="O768" s="30" t="s">
        <v>2670</v>
      </c>
      <c r="P768" s="280" t="s">
        <v>481</v>
      </c>
      <c r="Q768" s="139">
        <v>4300133044</v>
      </c>
      <c r="R768" s="260" t="s">
        <v>481</v>
      </c>
      <c r="S768" s="260" t="s">
        <v>249</v>
      </c>
      <c r="T768" s="260" t="s">
        <v>2535</v>
      </c>
      <c r="U768" s="257" t="s">
        <v>2536</v>
      </c>
      <c r="W768" s="8">
        <v>2</v>
      </c>
    </row>
    <row r="769" spans="1:42" hidden="1">
      <c r="A769" s="286" t="s">
        <v>244</v>
      </c>
      <c r="B769" s="286" t="s">
        <v>221</v>
      </c>
      <c r="C769" s="280" t="s">
        <v>2302</v>
      </c>
      <c r="D769" s="281" t="str">
        <f t="shared" si="2"/>
        <v>Q2</v>
      </c>
      <c r="E769" s="282" t="str">
        <f t="shared" si="3"/>
        <v>04-JUL</v>
      </c>
      <c r="F769" s="242">
        <v>45859</v>
      </c>
      <c r="G769" s="231" t="s">
        <v>2671</v>
      </c>
      <c r="H769" s="460" t="s">
        <v>1304</v>
      </c>
      <c r="I769" s="29" t="s">
        <v>223</v>
      </c>
      <c r="J769" s="8" t="s">
        <v>130</v>
      </c>
      <c r="K769" s="281" t="str">
        <f>IF(H769="","",IFERROR(VLOOKUP(H769,Instructions!D:E,2,0),"BA"))</f>
        <v>BA</v>
      </c>
      <c r="L769" s="30" t="s">
        <v>2672</v>
      </c>
      <c r="M769" s="151">
        <f>IF(SUM(V769:BC769)=0,"-",SUM(V769:BC769))</f>
        <v>2</v>
      </c>
      <c r="N769" s="65">
        <f>IF(SUMPRODUCT($V$3:$BC$3,V769:BC769)=0,"-",SUMPRODUCT($V$3:$BC$3,V769:BC769))</f>
        <v>240</v>
      </c>
      <c r="O769" s="431" t="s">
        <v>2673</v>
      </c>
      <c r="P769" s="280" t="s">
        <v>481</v>
      </c>
      <c r="Q769" s="139">
        <v>4300133044</v>
      </c>
      <c r="R769" s="260" t="s">
        <v>481</v>
      </c>
      <c r="S769" s="260" t="s">
        <v>249</v>
      </c>
      <c r="T769" s="260" t="s">
        <v>2535</v>
      </c>
      <c r="U769" s="257" t="s">
        <v>2536</v>
      </c>
      <c r="V769" s="7">
        <v>2</v>
      </c>
    </row>
    <row r="770" spans="1:42" hidden="1">
      <c r="A770" s="286" t="s">
        <v>244</v>
      </c>
      <c r="B770" s="286" t="s">
        <v>221</v>
      </c>
      <c r="C770" s="280" t="s">
        <v>2</v>
      </c>
      <c r="D770" s="281" t="str">
        <f t="shared" si="2"/>
        <v>Q2</v>
      </c>
      <c r="E770" s="282" t="str">
        <f t="shared" si="3"/>
        <v>04-JUL</v>
      </c>
      <c r="F770" s="242">
        <v>45859</v>
      </c>
      <c r="G770" s="231" t="s">
        <v>2674</v>
      </c>
      <c r="H770" s="410" t="s">
        <v>2381</v>
      </c>
      <c r="I770" s="29" t="s">
        <v>223</v>
      </c>
      <c r="J770" s="8" t="s">
        <v>130</v>
      </c>
      <c r="K770" s="281" t="str">
        <f>IF(H770="","",IFERROR(VLOOKUP(H770,Instructions!D:E,2,0),"BA"))</f>
        <v>BA</v>
      </c>
      <c r="L770" s="78" t="s">
        <v>2675</v>
      </c>
      <c r="M770" s="151">
        <f>IF(SUM(V770:BC770)=0,"-",SUM(V770:BC770))</f>
        <v>1</v>
      </c>
      <c r="N770" s="65">
        <f>IF(SUMPRODUCT($V$3:$BC$3,V770:BC770)=0,"-",SUMPRODUCT($V$3:$BC$3,V770:BC770))</f>
        <v>1200</v>
      </c>
      <c r="O770" s="114" t="s">
        <v>2676</v>
      </c>
      <c r="P770" s="280" t="s">
        <v>481</v>
      </c>
      <c r="Q770" s="211">
        <v>4300142646</v>
      </c>
      <c r="R770" s="211" t="s">
        <v>340</v>
      </c>
      <c r="S770" s="211" t="s">
        <v>249</v>
      </c>
      <c r="T770" s="211" t="s">
        <v>2677</v>
      </c>
      <c r="U770" s="253" t="s">
        <v>2678</v>
      </c>
      <c r="AP770" s="8">
        <v>1</v>
      </c>
    </row>
    <row r="771" spans="1:42" hidden="1">
      <c r="A771" s="286" t="s">
        <v>244</v>
      </c>
      <c r="B771" s="286" t="s">
        <v>221</v>
      </c>
      <c r="C771" s="280" t="s">
        <v>2302</v>
      </c>
      <c r="D771" s="281" t="str">
        <f t="shared" si="2"/>
        <v>Q2</v>
      </c>
      <c r="E771" s="282" t="str">
        <f t="shared" si="3"/>
        <v>04-JUL</v>
      </c>
      <c r="F771" s="242">
        <v>45860</v>
      </c>
      <c r="G771" s="231" t="s">
        <v>2679</v>
      </c>
      <c r="H771" s="410" t="s">
        <v>2377</v>
      </c>
      <c r="I771" s="29" t="s">
        <v>223</v>
      </c>
      <c r="J771" s="8" t="s">
        <v>95</v>
      </c>
      <c r="K771" s="281" t="str">
        <f>IF(H771="","",IFERROR(VLOOKUP(H771,Instructions!D:E,2,0),"BA"))</f>
        <v>CM</v>
      </c>
      <c r="L771" s="78" t="s">
        <v>2680</v>
      </c>
      <c r="M771" s="151">
        <f>IF(SUM(V771:BC771)=0,"-",SUM(V771:BC771))</f>
        <v>1</v>
      </c>
      <c r="N771" s="65">
        <f>IF(SUMPRODUCT($V$3:$BC$3,V771:BC771)=0,"-",SUMPRODUCT($V$3:$BC$3,V771:BC771))</f>
        <v>40</v>
      </c>
      <c r="O771" s="114" t="s">
        <v>2681</v>
      </c>
      <c r="P771" s="280" t="s">
        <v>481</v>
      </c>
      <c r="Q771" s="260">
        <v>4200681305</v>
      </c>
      <c r="R771" s="260" t="s">
        <v>269</v>
      </c>
      <c r="S771" s="260" t="s">
        <v>249</v>
      </c>
      <c r="T771" s="260" t="s">
        <v>2573</v>
      </c>
      <c r="U771" s="257" t="s">
        <v>2536</v>
      </c>
      <c r="AD771" s="8">
        <v>1</v>
      </c>
    </row>
    <row r="772" spans="1:42" hidden="1">
      <c r="A772" s="286" t="s">
        <v>220</v>
      </c>
      <c r="B772" s="286" t="s">
        <v>221</v>
      </c>
      <c r="C772" s="280" t="s">
        <v>2302</v>
      </c>
      <c r="D772" s="281" t="str">
        <f t="shared" si="2"/>
        <v>Q2</v>
      </c>
      <c r="E772" s="282" t="str">
        <f t="shared" si="3"/>
        <v>04-JUL</v>
      </c>
      <c r="F772" s="242">
        <v>45860</v>
      </c>
      <c r="G772" s="231" t="s">
        <v>2682</v>
      </c>
      <c r="H772" s="410" t="s">
        <v>35</v>
      </c>
      <c r="I772" s="29" t="s">
        <v>223</v>
      </c>
      <c r="J772" s="8" t="s">
        <v>95</v>
      </c>
      <c r="K772" s="281" t="str">
        <f>IF(H772="","",IFERROR(VLOOKUP(H772,Instructions!D:E,2,0),"BA"))</f>
        <v>BA</v>
      </c>
      <c r="L772" s="78" t="s">
        <v>2683</v>
      </c>
      <c r="M772" s="151">
        <f>IF(SUM(V772:BC772)=0,"-",SUM(V772:BC772))</f>
        <v>2</v>
      </c>
      <c r="N772" s="65">
        <f>IF(SUMPRODUCT($V$3:$BC$3,V772:BC772)=0,"-",SUMPRODUCT($V$3:$BC$3,V772:BC772))</f>
        <v>175</v>
      </c>
      <c r="O772" s="30" t="s">
        <v>2684</v>
      </c>
      <c r="P772" s="280" t="s">
        <v>481</v>
      </c>
      <c r="Q772" s="139">
        <v>4300134241</v>
      </c>
      <c r="R772" s="260" t="s">
        <v>481</v>
      </c>
      <c r="S772" s="260" t="s">
        <v>249</v>
      </c>
      <c r="T772" s="260" t="s">
        <v>2620</v>
      </c>
      <c r="U772" s="257" t="s">
        <v>2536</v>
      </c>
      <c r="AC772" s="7">
        <v>1</v>
      </c>
      <c r="AD772" s="8">
        <v>1</v>
      </c>
    </row>
    <row r="773" spans="1:42" hidden="1">
      <c r="A773" s="286" t="s">
        <v>244</v>
      </c>
      <c r="B773" s="286" t="s">
        <v>221</v>
      </c>
      <c r="C773" s="280" t="s">
        <v>2302</v>
      </c>
      <c r="D773" s="281" t="str">
        <f t="shared" si="2"/>
        <v>Q2</v>
      </c>
      <c r="E773" s="282" t="str">
        <f t="shared" si="3"/>
        <v>04-JUL</v>
      </c>
      <c r="F773" s="242">
        <v>45866</v>
      </c>
      <c r="G773" s="231" t="s">
        <v>2685</v>
      </c>
      <c r="H773" s="460" t="s">
        <v>1304</v>
      </c>
      <c r="I773" s="29" t="s">
        <v>223</v>
      </c>
      <c r="J773" s="8" t="s">
        <v>130</v>
      </c>
      <c r="K773" s="281" t="str">
        <f>IF(H773="","",IFERROR(VLOOKUP(H773,Instructions!D:E,2,0),"BA"))</f>
        <v>BA</v>
      </c>
      <c r="L773" s="30" t="s">
        <v>2686</v>
      </c>
      <c r="M773" s="151">
        <f>IF(SUM(V773:BC773)=0,"-",SUM(V773:BC773))</f>
        <v>1</v>
      </c>
      <c r="N773" s="65">
        <f>IF(SUMPRODUCT($V$3:$BC$3,V773:BC773)=0,"-",SUMPRODUCT($V$3:$BC$3,V773:BC773))</f>
        <v>120</v>
      </c>
      <c r="O773" s="431" t="s">
        <v>2687</v>
      </c>
      <c r="P773" s="280" t="s">
        <v>481</v>
      </c>
      <c r="Q773" s="139">
        <v>4300133044</v>
      </c>
      <c r="R773" s="260" t="s">
        <v>481</v>
      </c>
      <c r="S773" s="260" t="s">
        <v>249</v>
      </c>
      <c r="T773" s="260" t="s">
        <v>2535</v>
      </c>
      <c r="U773" s="257" t="s">
        <v>2536</v>
      </c>
      <c r="V773" s="7">
        <v>1</v>
      </c>
    </row>
    <row r="774" spans="1:42" hidden="1">
      <c r="A774" s="286" t="s">
        <v>244</v>
      </c>
      <c r="B774" s="286" t="s">
        <v>221</v>
      </c>
      <c r="C774" s="280" t="s">
        <v>2302</v>
      </c>
      <c r="D774" s="281" t="str">
        <f t="shared" si="2"/>
        <v>Q2</v>
      </c>
      <c r="E774" s="282" t="str">
        <f t="shared" si="3"/>
        <v>04-JUL</v>
      </c>
      <c r="F774" s="242">
        <v>45866</v>
      </c>
      <c r="G774" s="231" t="s">
        <v>2688</v>
      </c>
      <c r="H774" s="410" t="s">
        <v>2018</v>
      </c>
      <c r="I774" s="29" t="s">
        <v>223</v>
      </c>
      <c r="J774" s="8" t="s">
        <v>69</v>
      </c>
      <c r="K774" s="281" t="str">
        <f>IF(H774="","",IFERROR(VLOOKUP(H774,Instructions!D:E,2,0),"BA"))</f>
        <v>BA</v>
      </c>
      <c r="L774" s="30" t="s">
        <v>2689</v>
      </c>
      <c r="M774" s="151">
        <f>IF(SUM(V774:BC774)=0,"-",SUM(V774:BC774))</f>
        <v>1</v>
      </c>
      <c r="N774" s="65">
        <f>IF(SUMPRODUCT($V$3:$BC$3,V774:BC774)=0,"-",SUMPRODUCT($V$3:$BC$3,V774:BC774))</f>
        <v>40</v>
      </c>
      <c r="O774" s="30" t="s">
        <v>2690</v>
      </c>
      <c r="P774" s="280" t="s">
        <v>481</v>
      </c>
      <c r="Q774" s="139">
        <v>4300136743</v>
      </c>
      <c r="R774" s="260"/>
      <c r="S774" s="260" t="s">
        <v>249</v>
      </c>
      <c r="T774" s="260" t="s">
        <v>2691</v>
      </c>
      <c r="U774" s="257" t="s">
        <v>2536</v>
      </c>
      <c r="AD774" s="8">
        <v>1</v>
      </c>
    </row>
    <row r="775" spans="1:42" hidden="1">
      <c r="A775" s="286" t="s">
        <v>244</v>
      </c>
      <c r="B775" s="286" t="s">
        <v>221</v>
      </c>
      <c r="C775" s="280" t="s">
        <v>2</v>
      </c>
      <c r="D775" s="281" t="str">
        <f t="shared" si="2"/>
        <v>Q2</v>
      </c>
      <c r="E775" s="282" t="str">
        <f t="shared" si="3"/>
        <v>04-JUL</v>
      </c>
      <c r="F775" s="242">
        <v>45854</v>
      </c>
      <c r="G775" s="231" t="s">
        <v>2692</v>
      </c>
      <c r="H775" s="464" t="s">
        <v>2693</v>
      </c>
      <c r="I775" s="29" t="s">
        <v>223</v>
      </c>
      <c r="J775" s="8" t="s">
        <v>95</v>
      </c>
      <c r="K775" s="281" t="str">
        <f>IF(H775="","",IFERROR(VLOOKUP(H775,Instructions!D:E,2,0),"BA"))</f>
        <v>BA</v>
      </c>
      <c r="L775" s="30" t="s">
        <v>2694</v>
      </c>
      <c r="M775" s="151">
        <f>IF(SUM(V775:BC775)=0,"-",SUM(V775:BC775))</f>
        <v>2</v>
      </c>
      <c r="N775" s="65">
        <f>IF(SUMPRODUCT($V$3:$BC$3,V775:BC775)=0,"-",SUMPRODUCT($V$3:$BC$3,V775:BC775))</f>
        <v>240</v>
      </c>
      <c r="O775" s="30" t="s">
        <v>2695</v>
      </c>
      <c r="P775" s="280" t="s">
        <v>481</v>
      </c>
      <c r="Q775" s="260">
        <v>4300176082</v>
      </c>
      <c r="R775" s="260" t="s">
        <v>481</v>
      </c>
      <c r="S775" s="260" t="s">
        <v>249</v>
      </c>
      <c r="T775" s="260" t="s">
        <v>2696</v>
      </c>
      <c r="U775" s="523" t="s">
        <v>2697</v>
      </c>
      <c r="V775" s="7">
        <v>2</v>
      </c>
    </row>
    <row r="776" spans="1:42">
      <c r="A776" s="286" t="s">
        <v>244</v>
      </c>
      <c r="B776" s="286" t="s">
        <v>221</v>
      </c>
      <c r="C776" s="280" t="s">
        <v>2302</v>
      </c>
      <c r="D776" s="281" t="str">
        <f t="shared" si="2"/>
        <v>Q2</v>
      </c>
      <c r="E776" s="282" t="str">
        <f t="shared" si="3"/>
        <v>05-AUG</v>
      </c>
      <c r="F776" s="242">
        <v>45882</v>
      </c>
      <c r="G776" s="222" t="s">
        <v>2698</v>
      </c>
      <c r="H776" s="410" t="s">
        <v>2304</v>
      </c>
      <c r="I776" s="29" t="s">
        <v>223</v>
      </c>
      <c r="J776" s="8" t="s">
        <v>69</v>
      </c>
      <c r="K776" s="281" t="str">
        <f>IF(H776="","",IFERROR(VLOOKUP(H776,Instructions!D:E,2,0),"BA"))</f>
        <v>BA</v>
      </c>
      <c r="L776" s="78" t="s">
        <v>2699</v>
      </c>
      <c r="M776" s="151">
        <f>IF(SUM(V776:BC776)=0,"-",SUM(V776:BC776))</f>
        <v>19</v>
      </c>
      <c r="N776" s="65">
        <f>IF(SUMPRODUCT($V$3:$BC$3,V776:BC776)=0,"-",SUMPRODUCT($V$3:$BC$3,V776:BC776))</f>
        <v>750</v>
      </c>
      <c r="O776" s="431" t="s">
        <v>2700</v>
      </c>
      <c r="P776" s="280" t="s">
        <v>481</v>
      </c>
      <c r="Q776" s="139">
        <v>4300136548</v>
      </c>
      <c r="R776" s="260" t="s">
        <v>481</v>
      </c>
      <c r="S776" s="260" t="s">
        <v>249</v>
      </c>
      <c r="T776" s="260" t="s">
        <v>2701</v>
      </c>
      <c r="U776" s="257" t="s">
        <v>2536</v>
      </c>
      <c r="V776" s="7">
        <v>1</v>
      </c>
      <c r="W776" s="8">
        <v>18</v>
      </c>
    </row>
    <row r="777" spans="1:42">
      <c r="A777" s="286" t="s">
        <v>220</v>
      </c>
      <c r="B777" s="286" t="s">
        <v>221</v>
      </c>
      <c r="C777" s="280" t="s">
        <v>2302</v>
      </c>
      <c r="D777" s="281" t="str">
        <f t="shared" si="2"/>
        <v>Q2</v>
      </c>
      <c r="E777" s="282" t="str">
        <f t="shared" si="3"/>
        <v>05-AUG</v>
      </c>
      <c r="F777" s="242">
        <v>45882</v>
      </c>
      <c r="G777" s="231" t="s">
        <v>2702</v>
      </c>
      <c r="H777" s="5" t="s">
        <v>2304</v>
      </c>
      <c r="I777" s="29" t="s">
        <v>223</v>
      </c>
      <c r="J777" s="8" t="s">
        <v>69</v>
      </c>
      <c r="K777" s="281" t="str">
        <f>IF(H777="","",IFERROR(VLOOKUP(H777,Instructions!D:E,2,0),"BA"))</f>
        <v>BA</v>
      </c>
      <c r="L777" s="30" t="s">
        <v>2703</v>
      </c>
      <c r="M777" s="151">
        <f>IF(SUM(V777:BC777)=0,"-",SUM(V777:BC777))</f>
        <v>2</v>
      </c>
      <c r="N777" s="65">
        <f>IF(SUMPRODUCT($V$3:$BC$3,V777:BC777)=0,"-",SUMPRODUCT($V$3:$BC$3,V777:BC777))</f>
        <v>240</v>
      </c>
      <c r="O777" s="431" t="s">
        <v>2704</v>
      </c>
      <c r="P777" s="280" t="s">
        <v>481</v>
      </c>
      <c r="Q777" s="139">
        <v>4300136562</v>
      </c>
      <c r="R777" s="260"/>
      <c r="S777" s="260" t="s">
        <v>249</v>
      </c>
      <c r="T777" s="260" t="s">
        <v>2705</v>
      </c>
      <c r="U777" s="257" t="s">
        <v>2536</v>
      </c>
      <c r="V777" s="7">
        <v>2</v>
      </c>
    </row>
    <row r="778" spans="1:42" hidden="1">
      <c r="A778" s="286" t="s">
        <v>244</v>
      </c>
      <c r="B778" s="286" t="s">
        <v>221</v>
      </c>
      <c r="C778" s="280" t="s">
        <v>2302</v>
      </c>
      <c r="D778" s="281" t="str">
        <f t="shared" si="2"/>
        <v>Q2</v>
      </c>
      <c r="E778" s="282" t="str">
        <f t="shared" si="3"/>
        <v>04-JUL</v>
      </c>
      <c r="F778" s="242">
        <v>45854</v>
      </c>
      <c r="G778" s="231" t="s">
        <v>2706</v>
      </c>
      <c r="H778" s="464" t="s">
        <v>2693</v>
      </c>
      <c r="I778" s="29" t="s">
        <v>223</v>
      </c>
      <c r="J778" s="8" t="s">
        <v>95</v>
      </c>
      <c r="K778" s="281" t="str">
        <f>IF(H778="","",IFERROR(VLOOKUP(H778,Instructions!D:E,2,0),"BA"))</f>
        <v>BA</v>
      </c>
      <c r="L778" s="30" t="s">
        <v>2707</v>
      </c>
      <c r="M778" s="151">
        <f>IF(SUM(V778:BC778)=0,"-",SUM(V778:BC778))</f>
        <v>2</v>
      </c>
      <c r="N778" s="65">
        <f>IF(SUMPRODUCT($V$3:$BC$3,V778:BC778)=0,"-",SUMPRODUCT($V$3:$BC$3,V778:BC778))</f>
        <v>80</v>
      </c>
      <c r="O778" s="30" t="s">
        <v>2708</v>
      </c>
      <c r="P778" s="280" t="s">
        <v>481</v>
      </c>
      <c r="Q778" s="260">
        <v>4300176082</v>
      </c>
      <c r="R778" s="260" t="s">
        <v>481</v>
      </c>
      <c r="S778" s="260" t="s">
        <v>249</v>
      </c>
      <c r="T778" s="260" t="s">
        <v>2696</v>
      </c>
      <c r="U778" s="523" t="s">
        <v>2697</v>
      </c>
      <c r="AD778" s="8">
        <v>2</v>
      </c>
    </row>
    <row r="779" spans="1:42">
      <c r="A779" s="286" t="s">
        <v>244</v>
      </c>
      <c r="B779" s="286" t="s">
        <v>221</v>
      </c>
      <c r="C779" s="280" t="s">
        <v>2302</v>
      </c>
      <c r="D779" s="281" t="str">
        <f t="shared" si="2"/>
        <v>Q2</v>
      </c>
      <c r="E779" s="282" t="str">
        <f t="shared" si="3"/>
        <v>05-AUG</v>
      </c>
      <c r="F779" s="242">
        <v>45883</v>
      </c>
      <c r="G779" s="236" t="s">
        <v>2709</v>
      </c>
      <c r="H779" s="410" t="s">
        <v>35</v>
      </c>
      <c r="I779" s="29" t="s">
        <v>223</v>
      </c>
      <c r="J779" s="8" t="s">
        <v>164</v>
      </c>
      <c r="K779" s="281" t="str">
        <f>IF(H779="","",IFERROR(VLOOKUP(H779,Instructions!D:E,2,0),"BA"))</f>
        <v>BA</v>
      </c>
      <c r="L779" s="78" t="s">
        <v>2710</v>
      </c>
      <c r="M779" s="151">
        <f>IF(SUM(V779:BC779)=0,"-",SUM(V779:BC779))</f>
        <v>2</v>
      </c>
      <c r="N779" s="439">
        <f>IF(SUMPRODUCT($V$3:$BC$3,V779:BC779)=0,"-",SUMPRODUCT($V$3:$BC$3,V779:BC779))</f>
        <v>500</v>
      </c>
      <c r="O779" s="431" t="s">
        <v>2711</v>
      </c>
      <c r="P779" s="280" t="s">
        <v>481</v>
      </c>
      <c r="Q779" s="211">
        <v>4300141991</v>
      </c>
      <c r="R779" s="211"/>
      <c r="S779" s="211" t="s">
        <v>249</v>
      </c>
      <c r="T779" s="211" t="s">
        <v>2712</v>
      </c>
      <c r="U779" s="253" t="s">
        <v>2713</v>
      </c>
      <c r="AF779" s="8">
        <v>2</v>
      </c>
    </row>
    <row r="780" spans="1:42">
      <c r="A780" s="286" t="s">
        <v>244</v>
      </c>
      <c r="B780" s="286" t="s">
        <v>221</v>
      </c>
      <c r="C780" s="280" t="s">
        <v>2</v>
      </c>
      <c r="D780" s="281" t="str">
        <f t="shared" si="2"/>
        <v>Q2</v>
      </c>
      <c r="E780" s="282" t="str">
        <f t="shared" si="3"/>
        <v>05-AUG</v>
      </c>
      <c r="F780" s="242">
        <v>45888</v>
      </c>
      <c r="G780" s="236" t="s">
        <v>2714</v>
      </c>
      <c r="H780" s="5" t="s">
        <v>35</v>
      </c>
      <c r="I780" s="29" t="s">
        <v>223</v>
      </c>
      <c r="J780" s="8" t="s">
        <v>164</v>
      </c>
      <c r="K780" s="281" t="str">
        <f>IF(H780="","",IFERROR(VLOOKUP(H780,Instructions!D:E,2,0),"BA"))</f>
        <v>BA</v>
      </c>
      <c r="L780" s="30" t="s">
        <v>2715</v>
      </c>
      <c r="M780" s="151">
        <f>IF(SUM(V780:BC780)=0,"-",SUM(V780:BC780))</f>
        <v>2</v>
      </c>
      <c r="N780" s="439">
        <f>IF(SUMPRODUCT($V$3:$BC$3,V780:BC780)=0,"-",SUMPRODUCT($V$3:$BC$3,V780:BC780))</f>
        <v>155</v>
      </c>
      <c r="O780" s="431" t="s">
        <v>2716</v>
      </c>
      <c r="P780" s="280" t="s">
        <v>481</v>
      </c>
      <c r="Q780" s="211">
        <v>4300141991</v>
      </c>
      <c r="R780" s="211"/>
      <c r="S780" s="211" t="s">
        <v>249</v>
      </c>
      <c r="T780" s="211" t="s">
        <v>2712</v>
      </c>
      <c r="U780" s="253" t="s">
        <v>2713</v>
      </c>
      <c r="V780" s="7">
        <v>1</v>
      </c>
      <c r="W780" s="8">
        <v>1</v>
      </c>
    </row>
    <row r="781" spans="1:42">
      <c r="A781" s="286" t="s">
        <v>244</v>
      </c>
      <c r="B781" s="286" t="s">
        <v>221</v>
      </c>
      <c r="C781" s="280" t="s">
        <v>2302</v>
      </c>
      <c r="D781" s="281" t="str">
        <f t="shared" si="2"/>
        <v>Q2</v>
      </c>
      <c r="E781" s="282" t="str">
        <f t="shared" si="3"/>
        <v>05-AUG</v>
      </c>
      <c r="F781" s="242">
        <v>45888</v>
      </c>
      <c r="G781" s="451" t="s">
        <v>2717</v>
      </c>
      <c r="H781" s="5" t="s">
        <v>2381</v>
      </c>
      <c r="I781" s="29" t="s">
        <v>223</v>
      </c>
      <c r="J781" s="8" t="s">
        <v>95</v>
      </c>
      <c r="K781" s="281" t="str">
        <f>IF(H781="","",IFERROR(VLOOKUP(H781,Instructions!D:E,2,0),"BA"))</f>
        <v>BA</v>
      </c>
      <c r="L781" s="30" t="s">
        <v>2718</v>
      </c>
      <c r="M781" s="151">
        <f>IF(SUM(V781:BC781)=0,"-",SUM(V781:BC781))</f>
        <v>3</v>
      </c>
      <c r="N781" s="65">
        <f>IF(SUMPRODUCT($V$3:$BC$3,V781:BC781)=0,"-",SUMPRODUCT($V$3:$BC$3,V781:BC781))</f>
        <v>190</v>
      </c>
      <c r="O781" s="114" t="s">
        <v>2719</v>
      </c>
      <c r="P781" s="280" t="s">
        <v>481</v>
      </c>
      <c r="Q781" s="260">
        <v>4300145266</v>
      </c>
      <c r="R781" s="260" t="s">
        <v>340</v>
      </c>
      <c r="S781" s="260" t="s">
        <v>249</v>
      </c>
      <c r="T781" s="260" t="s">
        <v>2720</v>
      </c>
      <c r="U781" s="356" t="s">
        <v>2721</v>
      </c>
      <c r="V781" s="7">
        <v>1</v>
      </c>
      <c r="W781" s="8">
        <v>2</v>
      </c>
    </row>
    <row r="782" spans="1:42" ht="13.5" customHeight="1">
      <c r="A782" s="286" t="s">
        <v>220</v>
      </c>
      <c r="B782" s="286" t="s">
        <v>221</v>
      </c>
      <c r="C782" s="280" t="s">
        <v>2302</v>
      </c>
      <c r="D782" s="281" t="str">
        <f t="shared" si="2"/>
        <v>Q2</v>
      </c>
      <c r="E782" s="282" t="str">
        <f t="shared" si="3"/>
        <v>05-AUG</v>
      </c>
      <c r="F782" s="242">
        <v>45891</v>
      </c>
      <c r="G782" s="231" t="s">
        <v>2722</v>
      </c>
      <c r="H782" s="5" t="s">
        <v>2723</v>
      </c>
      <c r="I782" s="29" t="s">
        <v>223</v>
      </c>
      <c r="J782" s="8" t="s">
        <v>69</v>
      </c>
      <c r="K782" s="281" t="str">
        <f>IF(H782="","",IFERROR(VLOOKUP(H782,Instructions!D:E,2,0),"BA"))</f>
        <v>BA</v>
      </c>
      <c r="L782" s="78" t="s">
        <v>2724</v>
      </c>
      <c r="M782" s="105">
        <v>1</v>
      </c>
      <c r="N782" s="65">
        <f>IF(SUMPRODUCT($V$3:$BC$3,V782:BC782)=0,"-",SUMPRODUCT($V$3:$BC$3,V782:BC782))</f>
        <v>135</v>
      </c>
      <c r="O782" s="431" t="s">
        <v>2725</v>
      </c>
      <c r="P782" s="280" t="s">
        <v>481</v>
      </c>
      <c r="Q782" s="260">
        <v>4300136553</v>
      </c>
      <c r="R782" s="260"/>
      <c r="S782" s="260" t="s">
        <v>249</v>
      </c>
      <c r="T782" s="260" t="s">
        <v>2726</v>
      </c>
      <c r="U782" s="257" t="s">
        <v>2536</v>
      </c>
      <c r="AC782" s="7">
        <v>1</v>
      </c>
    </row>
    <row r="783" spans="1:42">
      <c r="A783" s="286" t="s">
        <v>244</v>
      </c>
      <c r="B783" s="286" t="s">
        <v>221</v>
      </c>
      <c r="C783" s="280" t="s">
        <v>2302</v>
      </c>
      <c r="D783" s="281" t="str">
        <f>IF(F783="","",CHOOSE(MONTH(F783),"Q4","Q4","Q4","Q1","Q1","Q1","Q2","Q2","Q2","Q3","Q3","Q3"))</f>
        <v>Q2</v>
      </c>
      <c r="E783" s="282" t="str">
        <f>IF(F783="","",CHOOSE(MONTH(F783),"10-JAN","11-FEB","12-MAR","01-APR","02-MAY","03-JUN","04-JUL","05-AUG","06-SEP","07-OCT","08-NOV","09-DEC"))</f>
        <v>05-AUG</v>
      </c>
      <c r="F783" s="242">
        <v>45873</v>
      </c>
      <c r="G783" s="231" t="s">
        <v>2727</v>
      </c>
      <c r="H783" s="464" t="s">
        <v>2381</v>
      </c>
      <c r="I783" s="29" t="s">
        <v>223</v>
      </c>
      <c r="J783" s="8" t="s">
        <v>130</v>
      </c>
      <c r="K783" s="281" t="str">
        <f>IF(H783="","",IFERROR(VLOOKUP(H783,Instructions!D:E,2,0),"BA"))</f>
        <v>BA</v>
      </c>
      <c r="L783" s="30" t="s">
        <v>2728</v>
      </c>
      <c r="M783" s="151">
        <f>IF(SUM(V783:BC783)=0,"-",SUM(V783:BC783))</f>
        <v>20</v>
      </c>
      <c r="N783" s="65">
        <f>IF(SUMPRODUCT($V$3:$BC$3,V783:BC783)=0,"-",SUMPRODUCT($V$3:$BC$3,V783:BC783))</f>
        <v>1145</v>
      </c>
      <c r="O783" s="114" t="s">
        <v>2729</v>
      </c>
      <c r="P783" s="280" t="s">
        <v>481</v>
      </c>
      <c r="Q783" s="455">
        <v>4200682184</v>
      </c>
      <c r="R783" s="421" t="s">
        <v>305</v>
      </c>
      <c r="S783" s="421" t="s">
        <v>249</v>
      </c>
      <c r="T783" s="421" t="s">
        <v>2730</v>
      </c>
      <c r="U783" s="422" t="s">
        <v>2662</v>
      </c>
      <c r="V783" s="7">
        <v>4</v>
      </c>
      <c r="W783" s="8">
        <v>14</v>
      </c>
      <c r="AC783" s="7">
        <v>1</v>
      </c>
      <c r="AD783" s="8">
        <v>1</v>
      </c>
    </row>
    <row r="784" spans="1:42">
      <c r="A784" s="286" t="s">
        <v>244</v>
      </c>
      <c r="B784" s="286" t="s">
        <v>221</v>
      </c>
      <c r="C784" s="280" t="s">
        <v>2302</v>
      </c>
      <c r="D784" s="281" t="str">
        <f>IF(F784="","",CHOOSE(MONTH(F784),"Q4","Q4","Q4","Q1","Q1","Q1","Q2","Q2","Q2","Q3","Q3","Q3"))</f>
        <v>Q2</v>
      </c>
      <c r="E784" s="282" t="str">
        <f>IF(F784="","",CHOOSE(MONTH(F784),"10-JAN","11-FEB","12-MAR","01-APR","02-MAY","03-JUN","04-JUL","05-AUG","06-SEP","07-OCT","08-NOV","09-DEC"))</f>
        <v>05-AUG</v>
      </c>
      <c r="F784" s="242">
        <v>45897</v>
      </c>
      <c r="G784" s="231" t="s">
        <v>2731</v>
      </c>
      <c r="H784" s="5" t="s">
        <v>2018</v>
      </c>
      <c r="I784" s="29" t="s">
        <v>223</v>
      </c>
      <c r="J784" s="8" t="s">
        <v>95</v>
      </c>
      <c r="K784" s="281" t="str">
        <f>IF(H784="","",IFERROR(VLOOKUP(H784,Instructions!D:E,2,0),"BA"))</f>
        <v>BA</v>
      </c>
      <c r="L784" s="78" t="s">
        <v>2732</v>
      </c>
      <c r="M784" s="151">
        <f>IF(SUM(V784:BC784)=0,"-",SUM(V784:BC784))</f>
        <v>2</v>
      </c>
      <c r="N784" s="65">
        <f>IF(SUMPRODUCT($V$3:$BC$3,V784:BC784)=0,"-",SUMPRODUCT($V$3:$BC$3,V784:BC784))</f>
        <v>270</v>
      </c>
      <c r="O784" s="114" t="s">
        <v>2733</v>
      </c>
      <c r="P784" s="280" t="s">
        <v>481</v>
      </c>
      <c r="Q784" s="139">
        <v>4300136743</v>
      </c>
      <c r="R784" s="260"/>
      <c r="S784" s="260" t="s">
        <v>249</v>
      </c>
      <c r="T784" s="260" t="s">
        <v>2691</v>
      </c>
      <c r="U784" s="257" t="s">
        <v>2536</v>
      </c>
      <c r="AC784" s="7">
        <v>2</v>
      </c>
    </row>
    <row r="785" spans="1:48">
      <c r="A785" s="286" t="s">
        <v>244</v>
      </c>
      <c r="B785" s="286" t="s">
        <v>221</v>
      </c>
      <c r="C785" s="280" t="s">
        <v>2</v>
      </c>
      <c r="D785" s="281" t="str">
        <f>IF(F785="","",CHOOSE(MONTH(F785),"Q4","Q4","Q4","Q1","Q1","Q1","Q2","Q2","Q2","Q3","Q3","Q3"))</f>
        <v>Q2</v>
      </c>
      <c r="E785" s="282" t="str">
        <f>IF(F785="","",CHOOSE(MONTH(F785),"10-JAN","11-FEB","12-MAR","01-APR","02-MAY","03-JUN","04-JUL","05-AUG","06-SEP","07-OCT","08-NOV","09-DEC"))</f>
        <v>05-AUG</v>
      </c>
      <c r="F785" s="242">
        <v>45882</v>
      </c>
      <c r="G785" s="222" t="s">
        <v>2734</v>
      </c>
      <c r="H785" s="459" t="s">
        <v>31</v>
      </c>
      <c r="I785" s="29" t="s">
        <v>223</v>
      </c>
      <c r="J785" s="8" t="s">
        <v>95</v>
      </c>
      <c r="K785" s="281" t="str">
        <f>IF(H785="","",IFERROR(VLOOKUP(H785,Instructions!D:E,2,0),"BA"))</f>
        <v>BA</v>
      </c>
      <c r="L785" s="30" t="s">
        <v>2735</v>
      </c>
      <c r="M785" s="151">
        <f>IF(SUM(V785:BC785)=0,"-",SUM(V785:BC785))</f>
        <v>1</v>
      </c>
      <c r="N785" s="352">
        <f>IF(SUMPRODUCT($V$3:$BC$3,V785:BC785)=0,"-",SUMPRODUCT($V$3:$BC$3,V785:BC785))</f>
        <v>135</v>
      </c>
      <c r="O785" s="431" t="s">
        <v>2736</v>
      </c>
      <c r="P785" s="280" t="s">
        <v>481</v>
      </c>
      <c r="Q785" s="211">
        <v>4300162283</v>
      </c>
      <c r="R785" s="211"/>
      <c r="S785" s="211" t="s">
        <v>249</v>
      </c>
      <c r="T785" s="211" t="s">
        <v>2737</v>
      </c>
      <c r="U785" s="253" t="s">
        <v>2738</v>
      </c>
      <c r="AC785" s="7">
        <v>1</v>
      </c>
    </row>
    <row r="786" spans="1:48">
      <c r="A786" s="286" t="s">
        <v>244</v>
      </c>
      <c r="B786" s="286" t="s">
        <v>221</v>
      </c>
      <c r="C786" s="280" t="s">
        <v>2302</v>
      </c>
      <c r="D786" s="281" t="str">
        <f>IF(F786="","",CHOOSE(MONTH(F786),"Q4","Q4","Q4","Q1","Q1","Q1","Q2","Q2","Q2","Q3","Q3","Q3"))</f>
        <v>Q2</v>
      </c>
      <c r="E786" s="282" t="str">
        <f>IF(F786="","",CHOOSE(MONTH(F786),"10-JAN","11-FEB","12-MAR","01-APR","02-MAY","03-JUN","04-JUL","05-AUG","06-SEP","07-OCT","08-NOV","09-DEC"))</f>
        <v>06-SEP</v>
      </c>
      <c r="F786" s="242">
        <v>45902</v>
      </c>
      <c r="G786" s="231" t="s">
        <v>2739</v>
      </c>
      <c r="H786" s="5" t="s">
        <v>2304</v>
      </c>
      <c r="I786" s="29" t="s">
        <v>223</v>
      </c>
      <c r="K786" s="281" t="str">
        <f>IF(H786="","",IFERROR(VLOOKUP(H786,Instructions!D:E,2,0),"BA"))</f>
        <v>BA</v>
      </c>
      <c r="L786" s="78" t="s">
        <v>2740</v>
      </c>
      <c r="M786" s="151">
        <f>IF(SUM(V786:BC786)=0,"-",SUM(V786:BC786))</f>
        <v>22</v>
      </c>
      <c r="N786" s="65">
        <f>IF(SUMPRODUCT($V$3:$BC$3,V786:BC786)=0,"-",SUMPRODUCT($V$3:$BC$3,V786:BC786))</f>
        <v>1380</v>
      </c>
      <c r="O786" s="114" t="s">
        <v>2741</v>
      </c>
      <c r="P786" s="280" t="s">
        <v>481</v>
      </c>
      <c r="Q786" s="211">
        <v>4300142715</v>
      </c>
      <c r="R786" s="211"/>
      <c r="S786" s="211" t="s">
        <v>249</v>
      </c>
      <c r="T786" s="211" t="s">
        <v>2742</v>
      </c>
      <c r="U786" s="253" t="s">
        <v>2713</v>
      </c>
      <c r="V786" s="7">
        <v>5</v>
      </c>
      <c r="W786" s="8">
        <v>16</v>
      </c>
      <c r="X786" s="8">
        <v>1</v>
      </c>
    </row>
    <row r="787" spans="1:48">
      <c r="A787" s="286" t="s">
        <v>220</v>
      </c>
      <c r="B787" s="286" t="s">
        <v>221</v>
      </c>
      <c r="C787" s="280" t="s">
        <v>2302</v>
      </c>
      <c r="D787" s="281" t="str">
        <f>IF(F787="","",CHOOSE(MONTH(F787),"Q4","Q4","Q4","Q1","Q1","Q1","Q2","Q2","Q2","Q3","Q3","Q3"))</f>
        <v>Q2</v>
      </c>
      <c r="E787" s="282" t="str">
        <f>IF(F787="","",CHOOSE(MONTH(F787),"10-JAN","11-FEB","12-MAR","01-APR","02-MAY","03-JUN","04-JUL","05-AUG","06-SEP","07-OCT","08-NOV","09-DEC"))</f>
        <v>06-SEP</v>
      </c>
      <c r="F787" s="242">
        <v>45903</v>
      </c>
      <c r="G787" s="222" t="s">
        <v>2743</v>
      </c>
      <c r="H787" s="410" t="s">
        <v>2381</v>
      </c>
      <c r="I787" s="29" t="s">
        <v>223</v>
      </c>
      <c r="J787" s="8" t="s">
        <v>638</v>
      </c>
      <c r="K787" s="281" t="str">
        <f>IF(H787="","",IFERROR(VLOOKUP(H787,Instructions!D:E,2,0),"BA"))</f>
        <v>BA</v>
      </c>
      <c r="L787" s="78" t="s">
        <v>2744</v>
      </c>
      <c r="M787" s="151">
        <f>IF(SUM(V787:BC787)=0,"-",SUM(V787:BC787))</f>
        <v>1</v>
      </c>
      <c r="N787" s="65">
        <f>IF(SUMPRODUCT($V$3:$BC$3,V787:BC787)=0,"-",SUMPRODUCT($V$3:$BC$3,V787:BC787))</f>
        <v>500</v>
      </c>
      <c r="O787" s="114" t="s">
        <v>2745</v>
      </c>
      <c r="P787" s="280" t="s">
        <v>481</v>
      </c>
      <c r="Q787" s="211">
        <v>4300142648</v>
      </c>
      <c r="R787" s="211"/>
      <c r="S787" s="211" t="s">
        <v>249</v>
      </c>
      <c r="T787" s="211" t="s">
        <v>2746</v>
      </c>
      <c r="U787" s="253" t="s">
        <v>2678</v>
      </c>
      <c r="AM787" s="433">
        <v>1</v>
      </c>
    </row>
    <row r="788" spans="1:48">
      <c r="A788" s="286" t="s">
        <v>244</v>
      </c>
      <c r="B788" s="286" t="s">
        <v>221</v>
      </c>
      <c r="C788" s="280" t="s">
        <v>2302</v>
      </c>
      <c r="D788" s="281" t="str">
        <f>IF(F788="","",CHOOSE(MONTH(F788),"Q4","Q4","Q4","Q1","Q1","Q1","Q2","Q2","Q2","Q3","Q3","Q3"))</f>
        <v>Q2</v>
      </c>
      <c r="E788" s="282" t="str">
        <f>IF(F788="","",CHOOSE(MONTH(F788),"10-JAN","11-FEB","12-MAR","01-APR","02-MAY","03-JUN","04-JUL","05-AUG","06-SEP","07-OCT","08-NOV","09-DEC"))</f>
        <v>06-SEP</v>
      </c>
      <c r="F788" s="242">
        <v>45904</v>
      </c>
      <c r="G788" s="231" t="s">
        <v>2747</v>
      </c>
      <c r="H788" s="5" t="s">
        <v>2018</v>
      </c>
      <c r="I788" s="29" t="s">
        <v>223</v>
      </c>
      <c r="J788" s="8" t="s">
        <v>69</v>
      </c>
      <c r="K788" s="281" t="str">
        <f>IF(H788="","",IFERROR(VLOOKUP(H788,Instructions!D:E,2,0),"BA"))</f>
        <v>BA</v>
      </c>
      <c r="L788" s="30" t="s">
        <v>2748</v>
      </c>
      <c r="M788" s="151">
        <f>IF(SUM(V788:BC788)=0,"-",SUM(V788:BC788))</f>
        <v>2</v>
      </c>
      <c r="N788" s="65">
        <f>IF(SUMPRODUCT($V$3:$BC$3,V788:BC788)=0,"-",SUMPRODUCT($V$3:$BC$3,V788:BC788))</f>
        <v>270</v>
      </c>
      <c r="O788" s="114" t="s">
        <v>2749</v>
      </c>
      <c r="P788" s="280" t="s">
        <v>481</v>
      </c>
      <c r="Q788" s="139">
        <v>4300136743</v>
      </c>
      <c r="R788" s="260"/>
      <c r="S788" s="260" t="s">
        <v>249</v>
      </c>
      <c r="T788" s="260" t="s">
        <v>2691</v>
      </c>
      <c r="U788" s="257" t="s">
        <v>2536</v>
      </c>
      <c r="AC788" s="7">
        <v>2</v>
      </c>
    </row>
    <row r="789" spans="1:48">
      <c r="A789" s="286" t="s">
        <v>244</v>
      </c>
      <c r="B789" s="286" t="s">
        <v>221</v>
      </c>
      <c r="C789" s="280" t="s">
        <v>2302</v>
      </c>
      <c r="D789" s="281" t="str">
        <f>IF(F789="","",CHOOSE(MONTH(F789),"Q4","Q4","Q4","Q1","Q1","Q1","Q2","Q2","Q2","Q3","Q3","Q3"))</f>
        <v>Q2</v>
      </c>
      <c r="E789" s="282" t="str">
        <f>IF(F789="","",CHOOSE(MONTH(F789),"10-JAN","11-FEB","12-MAR","01-APR","02-MAY","03-JUN","04-JUL","05-AUG","06-SEP","07-OCT","08-NOV","09-DEC"))</f>
        <v>06-SEP</v>
      </c>
      <c r="F789" s="242">
        <v>45904</v>
      </c>
      <c r="G789" s="231" t="s">
        <v>2750</v>
      </c>
      <c r="H789" s="5" t="s">
        <v>2018</v>
      </c>
      <c r="I789" s="29" t="s">
        <v>223</v>
      </c>
      <c r="J789" s="8" t="s">
        <v>69</v>
      </c>
      <c r="K789" s="281" t="str">
        <f>IF(H789="","",IFERROR(VLOOKUP(H789,Instructions!D:E,2,0),"BA"))</f>
        <v>BA</v>
      </c>
      <c r="L789" s="30" t="s">
        <v>2751</v>
      </c>
      <c r="M789" s="151">
        <f>IF(SUM(V789:BC789)=0,"-",SUM(V789:BC789))</f>
        <v>5</v>
      </c>
      <c r="N789" s="65">
        <f>IF(SUMPRODUCT($V$3:$BC$3,V789:BC789)=0,"-",SUMPRODUCT($V$3:$BC$3,V789:BC789))</f>
        <v>280</v>
      </c>
      <c r="O789" s="114" t="s">
        <v>2752</v>
      </c>
      <c r="P789" s="280" t="s">
        <v>481</v>
      </c>
      <c r="Q789" s="139">
        <v>4300136743</v>
      </c>
      <c r="R789" s="260"/>
      <c r="S789" s="260" t="s">
        <v>249</v>
      </c>
      <c r="T789" s="260" t="s">
        <v>2691</v>
      </c>
      <c r="U789" s="257" t="s">
        <v>2536</v>
      </c>
      <c r="W789" s="8">
        <v>3</v>
      </c>
      <c r="AC789" s="7">
        <v>1</v>
      </c>
      <c r="AD789" s="8">
        <v>1</v>
      </c>
    </row>
    <row r="790" spans="1:48">
      <c r="A790" s="286" t="s">
        <v>244</v>
      </c>
      <c r="B790" s="286" t="s">
        <v>221</v>
      </c>
      <c r="C790" s="280" t="s">
        <v>2</v>
      </c>
      <c r="D790" s="281" t="str">
        <f>IF(F790="","",CHOOSE(MONTH(F790),"Q4","Q4","Q4","Q1","Q1","Q1","Q2","Q2","Q2","Q3","Q3","Q3"))</f>
        <v>Q2</v>
      </c>
      <c r="E790" s="282" t="str">
        <f>IF(F790="","",CHOOSE(MONTH(F790),"10-JAN","11-FEB","12-MAR","01-APR","02-MAY","03-JUN","04-JUL","05-AUG","06-SEP","07-OCT","08-NOV","09-DEC"))</f>
        <v>06-SEP</v>
      </c>
      <c r="F790" s="242">
        <v>45904</v>
      </c>
      <c r="G790" s="452" t="s">
        <v>2753</v>
      </c>
      <c r="H790" s="410" t="s">
        <v>2381</v>
      </c>
      <c r="I790" s="29" t="s">
        <v>223</v>
      </c>
      <c r="J790" s="8" t="s">
        <v>638</v>
      </c>
      <c r="K790" s="281" t="str">
        <f>IF(H790="","",IFERROR(VLOOKUP(H790,Instructions!D:E,2,0),"BA"))</f>
        <v>BA</v>
      </c>
      <c r="L790" s="78" t="s">
        <v>2754</v>
      </c>
      <c r="M790" s="151">
        <f>IF(SUM(V790:BC790)=0,"-",SUM(V790:BC790))</f>
        <v>7</v>
      </c>
      <c r="N790" s="65">
        <f>IF(SUMPRODUCT($V$3:$BC$3,V790:BC790)=0,"-",SUMPRODUCT($V$3:$BC$3,V790:BC790))</f>
        <v>1080</v>
      </c>
      <c r="O790" s="114" t="s">
        <v>2755</v>
      </c>
      <c r="P790" s="280" t="s">
        <v>481</v>
      </c>
      <c r="Q790" s="211">
        <v>4300145266</v>
      </c>
      <c r="R790" s="211"/>
      <c r="S790" s="211" t="s">
        <v>249</v>
      </c>
      <c r="T790" s="211" t="s">
        <v>2756</v>
      </c>
      <c r="U790" s="253" t="s">
        <v>2757</v>
      </c>
      <c r="V790" s="7">
        <v>6</v>
      </c>
      <c r="AV790" s="8">
        <v>1</v>
      </c>
    </row>
    <row r="791" spans="1:48">
      <c r="A791" s="286" t="s">
        <v>244</v>
      </c>
      <c r="B791" s="286" t="s">
        <v>221</v>
      </c>
      <c r="C791" s="280" t="s">
        <v>2302</v>
      </c>
      <c r="D791" s="281" t="str">
        <f>IF(F791="","",CHOOSE(MONTH(F791),"Q4","Q4","Q4","Q1","Q1","Q1","Q2","Q2","Q2","Q3","Q3","Q3"))</f>
        <v>Q2</v>
      </c>
      <c r="E791" s="282" t="str">
        <f>IF(F791="","",CHOOSE(MONTH(F791),"10-JAN","11-FEB","12-MAR","01-APR","02-MAY","03-JUN","04-JUL","05-AUG","06-SEP","07-OCT","08-NOV","09-DEC"))</f>
        <v>06-SEP</v>
      </c>
      <c r="F791" s="242">
        <v>45909</v>
      </c>
      <c r="G791" s="475" t="s">
        <v>2758</v>
      </c>
      <c r="H791" s="410" t="s">
        <v>2723</v>
      </c>
      <c r="I791" s="29" t="s">
        <v>223</v>
      </c>
      <c r="K791" s="281" t="str">
        <f>IF(H791="","",IFERROR(VLOOKUP(H791,Instructions!D:E,2,0),"BA"))</f>
        <v>BA</v>
      </c>
      <c r="L791" s="30" t="s">
        <v>2759</v>
      </c>
      <c r="M791" s="151">
        <f>IF(SUM(V791:BC791)=0,"-",SUM(V791:BC791))</f>
        <v>1</v>
      </c>
      <c r="N791" s="65">
        <f>IF(SUMPRODUCT($V$3:$BC$3,V791:BC791)=0,"-",SUMPRODUCT($V$3:$BC$3,V791:BC791))</f>
        <v>135</v>
      </c>
      <c r="O791" s="114" t="s">
        <v>2760</v>
      </c>
      <c r="P791" s="280" t="s">
        <v>481</v>
      </c>
      <c r="Q791" s="211">
        <v>4300142718</v>
      </c>
      <c r="R791" s="211"/>
      <c r="S791" s="211" t="s">
        <v>249</v>
      </c>
      <c r="T791" s="211" t="s">
        <v>2761</v>
      </c>
      <c r="U791" s="253" t="s">
        <v>2713</v>
      </c>
      <c r="AC791" s="7">
        <v>1</v>
      </c>
    </row>
    <row r="792" spans="1:48">
      <c r="A792" s="286" t="s">
        <v>220</v>
      </c>
      <c r="B792" s="286" t="s">
        <v>221</v>
      </c>
      <c r="C792" s="280" t="s">
        <v>2302</v>
      </c>
      <c r="D792" s="281" t="str">
        <f>IF(F792="","",CHOOSE(MONTH(F792),"Q4","Q4","Q4","Q1","Q1","Q1","Q2","Q2","Q2","Q3","Q3","Q3"))</f>
        <v>Q2</v>
      </c>
      <c r="E792" s="282" t="str">
        <f>IF(F792="","",CHOOSE(MONTH(F792),"10-JAN","11-FEB","12-MAR","01-APR","02-MAY","03-JUN","04-JUL","05-AUG","06-SEP","07-OCT","08-NOV","09-DEC"))</f>
        <v>06-SEP</v>
      </c>
      <c r="F792" s="242">
        <v>45909</v>
      </c>
      <c r="G792" s="222" t="s">
        <v>2762</v>
      </c>
      <c r="H792" s="410" t="s">
        <v>2723</v>
      </c>
      <c r="I792" s="29" t="s">
        <v>223</v>
      </c>
      <c r="K792" s="281" t="str">
        <f>IF(H792="","",IFERROR(VLOOKUP(H792,Instructions!D:E,2,0),"BA"))</f>
        <v>BA</v>
      </c>
      <c r="L792" s="30" t="s">
        <v>2763</v>
      </c>
      <c r="M792" s="151">
        <f>IF(SUM(V792:BC792)=0,"-",SUM(V792:BC792))</f>
        <v>1</v>
      </c>
      <c r="N792" s="65">
        <f>IF(SUMPRODUCT($V$3:$BC$3,V792:BC792)=0,"-",SUMPRODUCT($V$3:$BC$3,V792:BC792))</f>
        <v>40</v>
      </c>
      <c r="O792" s="114" t="s">
        <v>2764</v>
      </c>
      <c r="P792" s="280" t="s">
        <v>481</v>
      </c>
      <c r="Q792" s="211">
        <v>4300142717</v>
      </c>
      <c r="R792" s="211"/>
      <c r="S792" s="211" t="s">
        <v>249</v>
      </c>
      <c r="T792" s="211" t="s">
        <v>2765</v>
      </c>
      <c r="U792" s="253" t="s">
        <v>2713</v>
      </c>
      <c r="AD792" s="8">
        <v>1</v>
      </c>
    </row>
    <row r="793" spans="1:48">
      <c r="A793" s="286" t="s">
        <v>244</v>
      </c>
      <c r="B793" s="286" t="s">
        <v>221</v>
      </c>
      <c r="C793" s="280" t="s">
        <v>2302</v>
      </c>
      <c r="D793" s="281" t="str">
        <f>IF(F793="","",CHOOSE(MONTH(F793),"Q4","Q4","Q4","Q1","Q1","Q1","Q2","Q2","Q2","Q3","Q3","Q3"))</f>
        <v>Q2</v>
      </c>
      <c r="E793" s="282" t="str">
        <f>IF(F793="","",CHOOSE(MONTH(F793),"10-JAN","11-FEB","12-MAR","01-APR","02-MAY","03-JUN","04-JUL","05-AUG","06-SEP","07-OCT","08-NOV","09-DEC"))</f>
        <v>06-SEP</v>
      </c>
      <c r="F793" s="242">
        <v>45909</v>
      </c>
      <c r="G793" s="231" t="s">
        <v>2766</v>
      </c>
      <c r="H793" s="410" t="s">
        <v>2381</v>
      </c>
      <c r="I793" s="29" t="s">
        <v>223</v>
      </c>
      <c r="J793" s="8" t="s">
        <v>130</v>
      </c>
      <c r="K793" s="281" t="str">
        <f>IF(H793="","",IFERROR(VLOOKUP(H793,Instructions!D:E,2,0),"BA"))</f>
        <v>BA</v>
      </c>
      <c r="L793" s="30" t="s">
        <v>2767</v>
      </c>
      <c r="M793" s="151">
        <f>IF(SUM(V793:BC793)=0,"-",SUM(V793:BC793))</f>
        <v>3</v>
      </c>
      <c r="N793" s="65">
        <f>IF(SUMPRODUCT($V$3:$BC$3,V793:BC793)=0,"-",SUMPRODUCT($V$3:$BC$3,V793:BC793))</f>
        <v>275</v>
      </c>
      <c r="O793" s="114" t="s">
        <v>2768</v>
      </c>
      <c r="P793" s="280" t="s">
        <v>481</v>
      </c>
      <c r="Q793" s="211">
        <v>4300142646</v>
      </c>
      <c r="R793" s="211"/>
      <c r="S793" s="211" t="s">
        <v>249</v>
      </c>
      <c r="T793" s="211" t="s">
        <v>2677</v>
      </c>
      <c r="U793" s="253" t="s">
        <v>2678</v>
      </c>
      <c r="V793" s="7">
        <v>2</v>
      </c>
      <c r="W793" s="8">
        <v>1</v>
      </c>
    </row>
    <row r="794" spans="1:48">
      <c r="A794" s="286" t="s">
        <v>244</v>
      </c>
      <c r="B794" s="286" t="s">
        <v>221</v>
      </c>
      <c r="C794" s="280" t="s">
        <v>2302</v>
      </c>
      <c r="D794" s="281" t="str">
        <f>IF(F794="","",CHOOSE(MONTH(F794),"Q4","Q4","Q4","Q1","Q1","Q1","Q2","Q2","Q2","Q3","Q3","Q3"))</f>
        <v>Q2</v>
      </c>
      <c r="E794" s="282" t="str">
        <f>IF(F794="","",CHOOSE(MONTH(F794),"10-JAN","11-FEB","12-MAR","01-APR","02-MAY","03-JUN","04-JUL","05-AUG","06-SEP","07-OCT","08-NOV","09-DEC"))</f>
        <v>06-SEP</v>
      </c>
      <c r="F794" s="242">
        <v>45910</v>
      </c>
      <c r="G794" s="231" t="s">
        <v>2769</v>
      </c>
      <c r="H794" s="5" t="s">
        <v>2018</v>
      </c>
      <c r="I794" s="29" t="s">
        <v>223</v>
      </c>
      <c r="J794" s="8" t="s">
        <v>69</v>
      </c>
      <c r="K794" s="281" t="str">
        <f>IF(H794="","",IFERROR(VLOOKUP(H794,Instructions!D:E,2,0),"BA"))</f>
        <v>BA</v>
      </c>
      <c r="L794" s="78" t="s">
        <v>2770</v>
      </c>
      <c r="M794" s="151">
        <f>IF(SUM(V794:BC794)=0,"-",SUM(V794:BC794))</f>
        <v>1</v>
      </c>
      <c r="N794" s="65">
        <f>IF(SUMPRODUCT($V$3:$BC$3,V794:BC794)=0,"-",SUMPRODUCT($V$3:$BC$3,V794:BC794))</f>
        <v>40</v>
      </c>
      <c r="O794" s="114" t="s">
        <v>2771</v>
      </c>
      <c r="P794" s="280" t="s">
        <v>481</v>
      </c>
      <c r="Q794" s="260">
        <v>4300136743</v>
      </c>
      <c r="R794" s="260"/>
      <c r="S794" s="260" t="s">
        <v>249</v>
      </c>
      <c r="T794" s="260" t="s">
        <v>2772</v>
      </c>
      <c r="U794" s="257" t="s">
        <v>2773</v>
      </c>
      <c r="AD794" s="8">
        <v>1</v>
      </c>
    </row>
    <row r="795" spans="1:48">
      <c r="A795" s="286" t="s">
        <v>244</v>
      </c>
      <c r="B795" s="286" t="s">
        <v>221</v>
      </c>
      <c r="C795" s="280" t="s">
        <v>2</v>
      </c>
      <c r="D795" s="281" t="str">
        <f>IF(F795="","",CHOOSE(MONTH(F795),"Q4","Q4","Q4","Q1","Q1","Q1","Q2","Q2","Q2","Q3","Q3","Q3"))</f>
        <v>Q2</v>
      </c>
      <c r="E795" s="282" t="str">
        <f>IF(F795="","",CHOOSE(MONTH(F795),"10-JAN","11-FEB","12-MAR","01-APR","02-MAY","03-JUN","04-JUL","05-AUG","06-SEP","07-OCT","08-NOV","09-DEC"))</f>
        <v>06-SEP</v>
      </c>
      <c r="F795" s="242">
        <v>45911</v>
      </c>
      <c r="G795" s="231" t="s">
        <v>2774</v>
      </c>
      <c r="H795" s="5" t="s">
        <v>2723</v>
      </c>
      <c r="I795" s="29" t="s">
        <v>223</v>
      </c>
      <c r="K795" s="281" t="str">
        <f>IF(H795="","",IFERROR(VLOOKUP(H795,Instructions!D:E,2,0),"BA"))</f>
        <v>BA</v>
      </c>
      <c r="L795" s="30" t="s">
        <v>2775</v>
      </c>
      <c r="M795" s="151">
        <f>IF(SUM(V795:BC795)=0,"-",SUM(V795:BC795))</f>
        <v>1</v>
      </c>
      <c r="N795" s="65">
        <f>IF(SUMPRODUCT($V$3:$BC$3,V795:BC795)=0,"-",SUMPRODUCT($V$3:$BC$3,V795:BC795))</f>
        <v>180</v>
      </c>
      <c r="O795" s="114" t="s">
        <v>2776</v>
      </c>
      <c r="P795" s="280" t="s">
        <v>481</v>
      </c>
      <c r="Q795" s="211">
        <v>4300142719</v>
      </c>
      <c r="R795" s="211"/>
      <c r="S795" s="211" t="s">
        <v>249</v>
      </c>
      <c r="T795" s="211" t="s">
        <v>2777</v>
      </c>
      <c r="U795" s="253" t="s">
        <v>2713</v>
      </c>
      <c r="AE795" s="8">
        <v>1</v>
      </c>
    </row>
    <row r="796" spans="1:48">
      <c r="A796" s="286" t="s">
        <v>244</v>
      </c>
      <c r="B796" s="286" t="s">
        <v>221</v>
      </c>
      <c r="C796" s="280" t="s">
        <v>2302</v>
      </c>
      <c r="D796" s="281" t="str">
        <f>IF(F796="","",CHOOSE(MONTH(F796),"Q4","Q4","Q4","Q1","Q1","Q1","Q2","Q2","Q2","Q3","Q3","Q3"))</f>
        <v>Q2</v>
      </c>
      <c r="E796" s="282" t="str">
        <f>IF(F796="","",CHOOSE(MONTH(F796),"10-JAN","11-FEB","12-MAR","01-APR","02-MAY","03-JUN","04-JUL","05-AUG","06-SEP","07-OCT","08-NOV","09-DEC"))</f>
        <v>05-AUG</v>
      </c>
      <c r="F796" s="242">
        <v>45893</v>
      </c>
      <c r="G796" s="231" t="s">
        <v>2778</v>
      </c>
      <c r="H796" s="460" t="s">
        <v>33</v>
      </c>
      <c r="I796" s="29" t="s">
        <v>223</v>
      </c>
      <c r="J796" s="8" t="s">
        <v>95</v>
      </c>
      <c r="K796" s="281" t="str">
        <f>IF(H796="","",IFERROR(VLOOKUP(H796,Instructions!D:E,2,0),"BA"))</f>
        <v>BA</v>
      </c>
      <c r="L796" s="78" t="s">
        <v>2779</v>
      </c>
      <c r="M796" s="151">
        <f>IF(SUM(V796:BC796)=0,"-",SUM(V796:BC796))</f>
        <v>1</v>
      </c>
      <c r="N796" s="352">
        <f>IF(SUMPRODUCT($V$3:$BC$3,V796:BC796)=0,"-",SUMPRODUCT($V$3:$BC$3,V796:BC796))</f>
        <v>180</v>
      </c>
      <c r="O796" s="431" t="s">
        <v>2780</v>
      </c>
      <c r="P796" s="280" t="s">
        <v>481</v>
      </c>
      <c r="Q796" s="260">
        <v>4300162283</v>
      </c>
      <c r="R796" s="260"/>
      <c r="S796" s="260" t="s">
        <v>249</v>
      </c>
      <c r="T796" s="260" t="s">
        <v>2781</v>
      </c>
      <c r="U796" s="257" t="s">
        <v>2581</v>
      </c>
      <c r="AE796" s="8">
        <v>1</v>
      </c>
    </row>
    <row r="797" spans="1:48">
      <c r="A797" s="286" t="s">
        <v>220</v>
      </c>
      <c r="B797" s="286" t="s">
        <v>221</v>
      </c>
      <c r="C797" s="280" t="s">
        <v>2302</v>
      </c>
      <c r="D797" s="281" t="str">
        <f>IF(F797="","",CHOOSE(MONTH(F797),"Q4","Q4","Q4","Q1","Q1","Q1","Q2","Q2","Q2","Q3","Q3","Q3"))</f>
        <v>Q2</v>
      </c>
      <c r="E797" s="282" t="str">
        <f>IF(F797="","",CHOOSE(MONTH(F797),"10-JAN","11-FEB","12-MAR","01-APR","02-MAY","03-JUN","04-JUL","05-AUG","06-SEP","07-OCT","08-NOV","09-DEC"))</f>
        <v>06-SEP</v>
      </c>
      <c r="F797" s="242">
        <v>45916</v>
      </c>
      <c r="G797" s="222" t="s">
        <v>2782</v>
      </c>
      <c r="H797" s="410" t="s">
        <v>36</v>
      </c>
      <c r="I797" s="29" t="s">
        <v>223</v>
      </c>
      <c r="K797" s="281" t="str">
        <f>IF(H797="","",IFERROR(VLOOKUP(H797,Instructions!D:E,2,0),"BA"))</f>
        <v>BA</v>
      </c>
      <c r="L797" s="30" t="s">
        <v>2783</v>
      </c>
      <c r="M797" s="151">
        <f>IF(SUM(V797:BC797)=0,"-",SUM(V797:BC797))</f>
        <v>7</v>
      </c>
      <c r="N797" s="65">
        <f>IF(SUMPRODUCT($V$3:$BC$3,V797:BC797)=0,"-",SUMPRODUCT($V$3:$BC$3,V797:BC797))</f>
        <v>775</v>
      </c>
      <c r="O797" s="114" t="s">
        <v>2784</v>
      </c>
      <c r="P797" s="280" t="s">
        <v>481</v>
      </c>
      <c r="Q797" s="211">
        <v>4300142716</v>
      </c>
      <c r="R797" s="211"/>
      <c r="S797" s="211" t="s">
        <v>249</v>
      </c>
      <c r="T797" s="211" t="s">
        <v>2785</v>
      </c>
      <c r="U797" s="253" t="s">
        <v>2713</v>
      </c>
      <c r="AC797" s="7">
        <v>3</v>
      </c>
      <c r="AD797" s="8">
        <v>3</v>
      </c>
      <c r="AF797" s="8">
        <v>1</v>
      </c>
    </row>
    <row r="798" spans="1:48">
      <c r="A798" s="286" t="s">
        <v>244</v>
      </c>
      <c r="B798" s="286" t="s">
        <v>221</v>
      </c>
      <c r="C798" s="280" t="s">
        <v>2302</v>
      </c>
      <c r="D798" s="281" t="str">
        <f>IF(F798="","",CHOOSE(MONTH(F798),"Q4","Q4","Q4","Q1","Q1","Q1","Q2","Q2","Q2","Q3","Q3","Q3"))</f>
        <v>Q2</v>
      </c>
      <c r="E798" s="282" t="str">
        <f>IF(F798="","",CHOOSE(MONTH(F798),"10-JAN","11-FEB","12-MAR","01-APR","02-MAY","03-JUN","04-JUL","05-AUG","06-SEP","07-OCT","08-NOV","09-DEC"))</f>
        <v>06-SEP</v>
      </c>
      <c r="F798" s="242">
        <v>45917</v>
      </c>
      <c r="G798" s="231" t="s">
        <v>2786</v>
      </c>
      <c r="H798" s="5" t="s">
        <v>2018</v>
      </c>
      <c r="I798" s="29" t="s">
        <v>223</v>
      </c>
      <c r="J798" s="8" t="s">
        <v>69</v>
      </c>
      <c r="K798" s="281" t="str">
        <f>IF(H798="","",IFERROR(VLOOKUP(H798,Instructions!D:E,2,0),"BA"))</f>
        <v>BA</v>
      </c>
      <c r="L798" s="30" t="s">
        <v>2787</v>
      </c>
      <c r="M798" s="151">
        <f>IF(SUM(V798:BC798)=0,"-",SUM(V798:BC798))</f>
        <v>2</v>
      </c>
      <c r="N798" s="65">
        <f>IF(SUMPRODUCT($V$3:$BC$3,V798:BC798)=0,"-",SUMPRODUCT($V$3:$BC$3,V798:BC798))</f>
        <v>175</v>
      </c>
      <c r="O798" s="114" t="s">
        <v>2788</v>
      </c>
      <c r="P798" s="280" t="s">
        <v>481</v>
      </c>
      <c r="Q798" s="211">
        <v>4300142705</v>
      </c>
      <c r="R798" s="211"/>
      <c r="S798" s="211" t="s">
        <v>249</v>
      </c>
      <c r="T798" s="211" t="s">
        <v>2789</v>
      </c>
      <c r="U798" s="253" t="s">
        <v>2713</v>
      </c>
      <c r="AC798" s="7">
        <v>1</v>
      </c>
      <c r="AD798" s="8">
        <v>1</v>
      </c>
    </row>
    <row r="799" spans="1:48">
      <c r="A799" s="286" t="s">
        <v>244</v>
      </c>
      <c r="B799" s="286" t="s">
        <v>221</v>
      </c>
      <c r="C799" s="280" t="s">
        <v>2302</v>
      </c>
      <c r="D799" s="281" t="str">
        <f>IF(F799="","",CHOOSE(MONTH(F799),"Q4","Q4","Q4","Q1","Q1","Q1","Q2","Q2","Q2","Q3","Q3","Q3"))</f>
        <v>Q2</v>
      </c>
      <c r="E799" s="282" t="str">
        <f>IF(F799="","",CHOOSE(MONTH(F799),"10-JAN","11-FEB","12-MAR","01-APR","02-MAY","03-JUN","04-JUL","05-AUG","06-SEP","07-OCT","08-NOV","09-DEC"))</f>
        <v>06-SEP</v>
      </c>
      <c r="F799" s="242">
        <v>45917</v>
      </c>
      <c r="G799" s="236" t="s">
        <v>2790</v>
      </c>
      <c r="H799" s="5" t="s">
        <v>2018</v>
      </c>
      <c r="I799" s="29" t="s">
        <v>223</v>
      </c>
      <c r="J799" s="8" t="s">
        <v>69</v>
      </c>
      <c r="K799" s="281" t="str">
        <f>IF(H799="","",IFERROR(VLOOKUP(H799,Instructions!D:E,2,0),"BA"))</f>
        <v>BA</v>
      </c>
      <c r="L799" s="30" t="s">
        <v>2791</v>
      </c>
      <c r="M799" s="151">
        <f>IF(SUM(V799:BC799)=0,"-",SUM(V799:BC799))</f>
        <v>1</v>
      </c>
      <c r="N799" s="65">
        <f>IF(SUMPRODUCT($V$3:$BC$3,V799:BC799)=0,"-",SUMPRODUCT($V$3:$BC$3,V799:BC799))</f>
        <v>40</v>
      </c>
      <c r="O799" s="114" t="s">
        <v>2792</v>
      </c>
      <c r="P799" s="280" t="s">
        <v>481</v>
      </c>
      <c r="Q799" s="211">
        <v>4300136743</v>
      </c>
      <c r="R799" s="211"/>
      <c r="S799" s="211" t="s">
        <v>249</v>
      </c>
      <c r="T799" s="211" t="s">
        <v>2772</v>
      </c>
      <c r="U799" s="253" t="s">
        <v>2713</v>
      </c>
      <c r="AD799" s="8">
        <v>1</v>
      </c>
    </row>
    <row r="800" spans="1:48" hidden="1">
      <c r="A800" s="286" t="s">
        <v>244</v>
      </c>
      <c r="B800" s="286" t="s">
        <v>221</v>
      </c>
      <c r="C800" s="280" t="s">
        <v>2</v>
      </c>
      <c r="D800" s="281" t="str">
        <f>IF(F800="","",CHOOSE(MONTH(F800),"Q4","Q4","Q4","Q1","Q1","Q1","Q2","Q2","Q2","Q3","Q3","Q3"))</f>
        <v>Q2</v>
      </c>
      <c r="E800" s="282" t="str">
        <f>IF(F800="","",CHOOSE(MONTH(F800),"10-JAN","11-FEB","12-MAR","01-APR","02-MAY","03-JUN","04-JUL","05-AUG","06-SEP","07-OCT","08-NOV","09-DEC"))</f>
        <v>04-JUL</v>
      </c>
      <c r="F800" s="242">
        <v>45504</v>
      </c>
      <c r="G800" s="231" t="s">
        <v>2793</v>
      </c>
      <c r="H800" s="5" t="s">
        <v>36</v>
      </c>
      <c r="I800" s="29" t="s">
        <v>223</v>
      </c>
      <c r="J800" s="8" t="s">
        <v>69</v>
      </c>
      <c r="K800" s="281" t="s">
        <v>34</v>
      </c>
      <c r="L800" s="78" t="s">
        <v>2794</v>
      </c>
      <c r="M800" s="151">
        <f>IF(SUM(V800:BC800)=0,"-",SUM(V800:BC800))</f>
        <v>4</v>
      </c>
      <c r="N800" s="65">
        <f>IF(SUMPRODUCT($V$3:$BC$3,V800:BC800)=0,"-",SUMPRODUCT($V$3:$BC$3,V800:BC800))</f>
        <v>310</v>
      </c>
      <c r="O800" s="30" t="s">
        <v>2795</v>
      </c>
      <c r="P800" s="280" t="s">
        <v>481</v>
      </c>
      <c r="Q800" s="211">
        <v>4300143170</v>
      </c>
      <c r="R800" s="211"/>
      <c r="S800" s="211" t="s">
        <v>249</v>
      </c>
      <c r="T800" s="211" t="s">
        <v>2796</v>
      </c>
      <c r="U800" s="253" t="s">
        <v>2678</v>
      </c>
      <c r="V800" s="7">
        <v>2</v>
      </c>
      <c r="W800" s="8">
        <v>2</v>
      </c>
    </row>
    <row r="801" spans="1:45">
      <c r="A801" s="286" t="s">
        <v>244</v>
      </c>
      <c r="B801" s="286" t="s">
        <v>221</v>
      </c>
      <c r="C801" s="280" t="s">
        <v>2302</v>
      </c>
      <c r="D801" s="281" t="str">
        <f>IF(F801="","",CHOOSE(MONTH(F801),"Q4","Q4","Q4","Q1","Q1","Q1","Q2","Q2","Q2","Q3","Q3","Q3"))</f>
        <v>Q2</v>
      </c>
      <c r="E801" s="282" t="str">
        <f>IF(F801="","",CHOOSE(MONTH(F801),"10-JAN","11-FEB","12-MAR","01-APR","02-MAY","03-JUN","04-JUL","05-AUG","06-SEP","07-OCT","08-NOV","09-DEC"))</f>
        <v>06-SEP</v>
      </c>
      <c r="F801" s="242">
        <v>45917</v>
      </c>
      <c r="G801" s="452" t="s">
        <v>2797</v>
      </c>
      <c r="H801" s="473" t="s">
        <v>26</v>
      </c>
      <c r="I801" s="29" t="s">
        <v>223</v>
      </c>
      <c r="J801" s="8" t="s">
        <v>638</v>
      </c>
      <c r="K801" s="281" t="str">
        <f>IF(H801="","",IFERROR(VLOOKUP(H801,Instructions!D:E,2,0),"BA"))</f>
        <v>CM</v>
      </c>
      <c r="L801" s="30" t="s">
        <v>2798</v>
      </c>
      <c r="M801" s="151">
        <f>IF(SUM(V801:BC801)=0,"-",SUM(V801:BC801))</f>
        <v>24</v>
      </c>
      <c r="N801" s="65">
        <f>IF(SUMPRODUCT($V$3:$BC$3,V801:BC801)=0,"-",SUMPRODUCT($V$3:$BC$3,V801:BC801))</f>
        <v>1010</v>
      </c>
      <c r="O801" s="114" t="s">
        <v>2799</v>
      </c>
      <c r="P801" s="280" t="s">
        <v>481</v>
      </c>
      <c r="Q801" s="211">
        <v>4300145266</v>
      </c>
      <c r="R801" s="211"/>
      <c r="S801" s="211" t="s">
        <v>249</v>
      </c>
      <c r="T801" s="211" t="s">
        <v>2756</v>
      </c>
      <c r="U801" s="253" t="s">
        <v>2757</v>
      </c>
      <c r="V801" s="7">
        <v>2</v>
      </c>
      <c r="W801" s="166">
        <f>14+4+4</f>
        <v>22</v>
      </c>
    </row>
    <row r="802" spans="1:45">
      <c r="A802" s="286" t="s">
        <v>220</v>
      </c>
      <c r="B802" s="286" t="s">
        <v>221</v>
      </c>
      <c r="C802" s="280" t="s">
        <v>2302</v>
      </c>
      <c r="D802" s="281" t="str">
        <f>IF(F802="","",CHOOSE(MONTH(F802),"Q4","Q4","Q4","Q1","Q1","Q1","Q2","Q2","Q2","Q3","Q3","Q3"))</f>
        <v>Q2</v>
      </c>
      <c r="E802" s="282" t="str">
        <f>IF(F802="","",CHOOSE(MONTH(F802),"10-JAN","11-FEB","12-MAR","01-APR","02-MAY","03-JUN","04-JUL","05-AUG","06-SEP","07-OCT","08-NOV","09-DEC"))</f>
        <v>06-SEP</v>
      </c>
      <c r="F802" s="242">
        <v>45918</v>
      </c>
      <c r="G802" s="222" t="s">
        <v>2800</v>
      </c>
      <c r="H802" s="478" t="s">
        <v>2723</v>
      </c>
      <c r="I802" s="29" t="s">
        <v>223</v>
      </c>
      <c r="K802" s="281" t="str">
        <f>IF(H802="","",IFERROR(VLOOKUP(H802,Instructions!D:E,2,0),"BA"))</f>
        <v>BA</v>
      </c>
      <c r="L802" s="30" t="s">
        <v>2801</v>
      </c>
      <c r="M802" s="151">
        <f>IF(SUM(V802:BC802)=0,"-",SUM(V802:BC802))</f>
        <v>1</v>
      </c>
      <c r="N802" s="65">
        <f>IF(SUMPRODUCT($V$3:$BC$3,V802:BC802)=0,"-",SUMPRODUCT($V$3:$BC$3,V802:BC802))</f>
        <v>180</v>
      </c>
      <c r="O802" s="114" t="s">
        <v>2802</v>
      </c>
      <c r="P802" s="280" t="s">
        <v>481</v>
      </c>
      <c r="Q802" s="211">
        <v>4300142719</v>
      </c>
      <c r="R802" s="211"/>
      <c r="S802" s="211" t="s">
        <v>249</v>
      </c>
      <c r="T802" s="211" t="s">
        <v>2777</v>
      </c>
      <c r="U802" s="253" t="s">
        <v>2713</v>
      </c>
      <c r="AE802" s="8">
        <v>1</v>
      </c>
    </row>
    <row r="803" spans="1:45">
      <c r="A803" s="286" t="s">
        <v>244</v>
      </c>
      <c r="B803" s="286" t="s">
        <v>221</v>
      </c>
      <c r="C803" s="280" t="s">
        <v>2302</v>
      </c>
      <c r="D803" s="281" t="str">
        <f>IF(F803="","",CHOOSE(MONTH(F803),"Q4","Q4","Q4","Q1","Q1","Q1","Q2","Q2","Q2","Q3","Q3","Q3"))</f>
        <v>Q2</v>
      </c>
      <c r="E803" s="282" t="str">
        <f>IF(F803="","",CHOOSE(MONTH(F803),"10-JAN","11-FEB","12-MAR","01-APR","02-MAY","03-JUN","04-JUL","05-AUG","06-SEP","07-OCT","08-NOV","09-DEC"))</f>
        <v>06-SEP</v>
      </c>
      <c r="F803" s="242">
        <v>45918</v>
      </c>
      <c r="G803" s="222" t="s">
        <v>2803</v>
      </c>
      <c r="H803" s="410" t="s">
        <v>2381</v>
      </c>
      <c r="I803" s="29" t="s">
        <v>223</v>
      </c>
      <c r="J803" s="8" t="s">
        <v>93</v>
      </c>
      <c r="K803" s="281" t="str">
        <f>IF(H803="","",IFERROR(VLOOKUP(H803,Instructions!D:E,2,0),"BA"))</f>
        <v>BA</v>
      </c>
      <c r="L803" s="78" t="s">
        <v>2804</v>
      </c>
      <c r="M803" s="151">
        <f>IF(SUM(V803:BC803)=0,"-",SUM(V803:BC803))</f>
        <v>2</v>
      </c>
      <c r="N803" s="65">
        <f>IF(SUMPRODUCT($V$3:$BC$3,V803:BC803)=0,"-",SUMPRODUCT($V$3:$BC$3,V803:BC803))</f>
        <v>70</v>
      </c>
      <c r="O803" s="114" t="s">
        <v>2805</v>
      </c>
      <c r="P803" s="280" t="s">
        <v>481</v>
      </c>
      <c r="Q803" s="211">
        <v>4300142647</v>
      </c>
      <c r="R803" s="211"/>
      <c r="S803" s="211" t="s">
        <v>249</v>
      </c>
      <c r="T803" s="211" t="s">
        <v>2806</v>
      </c>
      <c r="U803" s="253" t="s">
        <v>2678</v>
      </c>
      <c r="W803" s="8">
        <v>2</v>
      </c>
    </row>
    <row r="804" spans="1:45">
      <c r="A804" s="286" t="s">
        <v>244</v>
      </c>
      <c r="B804" s="286" t="s">
        <v>221</v>
      </c>
      <c r="C804" s="280" t="s">
        <v>2302</v>
      </c>
      <c r="D804" s="281" t="str">
        <f>IF(F804="","",CHOOSE(MONTH(F804),"Q4","Q4","Q4","Q1","Q1","Q1","Q2","Q2","Q2","Q3","Q3","Q3"))</f>
        <v>Q2</v>
      </c>
      <c r="E804" s="282" t="str">
        <f>IF(F804="","",CHOOSE(MONTH(F804),"10-JAN","11-FEB","12-MAR","01-APR","02-MAY","03-JUN","04-JUL","05-AUG","06-SEP","07-OCT","08-NOV","09-DEC"))</f>
        <v>06-SEP</v>
      </c>
      <c r="F804" s="242">
        <v>45922</v>
      </c>
      <c r="G804" s="231" t="s">
        <v>2807</v>
      </c>
      <c r="H804" s="410" t="s">
        <v>35</v>
      </c>
      <c r="I804" s="29" t="s">
        <v>223</v>
      </c>
      <c r="J804" s="8" t="s">
        <v>130</v>
      </c>
      <c r="K804" s="281" t="str">
        <f>IF(H804="","",IFERROR(VLOOKUP(H804,Instructions!D:E,2,0),"BA"))</f>
        <v>BA</v>
      </c>
      <c r="L804" s="30" t="s">
        <v>2808</v>
      </c>
      <c r="M804" s="151">
        <f>IF(SUM(V804:BC804)=0,"-",SUM(V804:BC804))</f>
        <v>7</v>
      </c>
      <c r="N804" s="65">
        <f>IF(SUMPRODUCT($V$3:$BC$3,V804:BC804)=0,"-",SUMPRODUCT($V$3:$BC$3,V804:BC804))</f>
        <v>330</v>
      </c>
      <c r="O804" s="114" t="s">
        <v>2809</v>
      </c>
      <c r="P804" s="280" t="s">
        <v>481</v>
      </c>
      <c r="Q804" s="211">
        <v>4300142673</v>
      </c>
      <c r="R804" s="211"/>
      <c r="S804" s="211" t="s">
        <v>249</v>
      </c>
      <c r="T804" s="211" t="s">
        <v>2810</v>
      </c>
      <c r="U804" s="253" t="s">
        <v>2713</v>
      </c>
      <c r="V804" s="7">
        <v>1</v>
      </c>
      <c r="W804" s="8">
        <v>6</v>
      </c>
    </row>
    <row r="805" spans="1:45">
      <c r="A805" s="286" t="s">
        <v>244</v>
      </c>
      <c r="B805" s="286" t="s">
        <v>221</v>
      </c>
      <c r="C805" s="280" t="s">
        <v>2</v>
      </c>
      <c r="D805" s="281" t="str">
        <f>IF(F805="","",CHOOSE(MONTH(F805),"Q4","Q4","Q4","Q1","Q1","Q1","Q2","Q2","Q2","Q3","Q3","Q3"))</f>
        <v>Q2</v>
      </c>
      <c r="E805" s="282" t="str">
        <f>IF(F805="","",CHOOSE(MONTH(F805),"10-JAN","11-FEB","12-MAR","01-APR","02-MAY","03-JUN","04-JUL","05-AUG","06-SEP","07-OCT","08-NOV","09-DEC"))</f>
        <v>06-SEP</v>
      </c>
      <c r="F805" s="242">
        <v>45922</v>
      </c>
      <c r="G805" s="231" t="s">
        <v>2811</v>
      </c>
      <c r="H805" s="410" t="s">
        <v>36</v>
      </c>
      <c r="I805" s="29" t="s">
        <v>223</v>
      </c>
      <c r="K805" s="281" t="str">
        <f>IF(H805="","",IFERROR(VLOOKUP(H805,Instructions!D:E,2,0),"BA"))</f>
        <v>BA</v>
      </c>
      <c r="L805" s="78" t="s">
        <v>2812</v>
      </c>
      <c r="M805" s="151">
        <f>IF(SUM(V805:BC805)=0,"-",SUM(V805:BC805))</f>
        <v>3</v>
      </c>
      <c r="N805" s="65">
        <f>IF(SUMPRODUCT($V$3:$BC$3,V805:BC805)=0,"-",SUMPRODUCT($V$3:$BC$3,V805:BC805))</f>
        <v>215</v>
      </c>
      <c r="O805" s="114" t="s">
        <v>2813</v>
      </c>
      <c r="P805" s="280" t="s">
        <v>481</v>
      </c>
      <c r="Q805" s="211">
        <v>4300143172</v>
      </c>
      <c r="R805" s="211"/>
      <c r="S805" s="211" t="s">
        <v>249</v>
      </c>
      <c r="T805" s="211" t="s">
        <v>2814</v>
      </c>
      <c r="U805" s="253" t="s">
        <v>2678</v>
      </c>
      <c r="AC805" s="7">
        <v>1</v>
      </c>
      <c r="AD805" s="8">
        <v>2</v>
      </c>
    </row>
    <row r="806" spans="1:45">
      <c r="A806" s="286" t="s">
        <v>244</v>
      </c>
      <c r="B806" s="286" t="s">
        <v>221</v>
      </c>
      <c r="C806" s="280" t="s">
        <v>2302</v>
      </c>
      <c r="D806" s="281" t="str">
        <f>IF(F806="","",CHOOSE(MONTH(F806),"Q4","Q4","Q4","Q1","Q1","Q1","Q2","Q2","Q2","Q3","Q3","Q3"))</f>
        <v>Q2</v>
      </c>
      <c r="E806" s="282" t="str">
        <f>IF(F806="","",CHOOSE(MONTH(F806),"10-JAN","11-FEB","12-MAR","01-APR","02-MAY","03-JUN","04-JUL","05-AUG","06-SEP","07-OCT","08-NOV","09-DEC"))</f>
        <v>06-SEP</v>
      </c>
      <c r="F806" s="242">
        <v>45923</v>
      </c>
      <c r="G806" s="231" t="s">
        <v>2815</v>
      </c>
      <c r="H806" s="410" t="s">
        <v>2723</v>
      </c>
      <c r="I806" s="29" t="s">
        <v>223</v>
      </c>
      <c r="K806" s="281" t="str">
        <f>IF(H806="","",IFERROR(VLOOKUP(H806,Instructions!D:E,2,0),"BA"))</f>
        <v>BA</v>
      </c>
      <c r="L806" s="78" t="s">
        <v>2816</v>
      </c>
      <c r="M806" s="151">
        <f>IF(SUM(V806:BC806)=0,"-",SUM(V806:BC806))</f>
        <v>1</v>
      </c>
      <c r="N806" s="65">
        <f>IF(SUMPRODUCT($V$3:$BC$3,V806:BC806)=0,"-",SUMPRODUCT($V$3:$BC$3,V806:BC806))</f>
        <v>180</v>
      </c>
      <c r="O806" s="266" t="s">
        <v>2817</v>
      </c>
      <c r="P806" s="280" t="s">
        <v>481</v>
      </c>
      <c r="Q806" s="211">
        <v>4300142719</v>
      </c>
      <c r="R806" s="211"/>
      <c r="S806" s="211" t="s">
        <v>249</v>
      </c>
      <c r="T806" s="211" t="s">
        <v>2777</v>
      </c>
      <c r="U806" s="253" t="s">
        <v>2713</v>
      </c>
      <c r="AE806" s="8">
        <v>1</v>
      </c>
    </row>
    <row r="807" spans="1:45">
      <c r="A807" s="286" t="s">
        <v>220</v>
      </c>
      <c r="B807" s="286" t="s">
        <v>221</v>
      </c>
      <c r="C807" s="280" t="s">
        <v>2302</v>
      </c>
      <c r="D807" s="281" t="str">
        <f>IF(F807="","",CHOOSE(MONTH(F807),"Q4","Q4","Q4","Q1","Q1","Q1","Q2","Q2","Q2","Q3","Q3","Q3"))</f>
        <v>Q2</v>
      </c>
      <c r="E807" s="282" t="str">
        <f>IF(F807="","",CHOOSE(MONTH(F807),"10-JAN","11-FEB","12-MAR","01-APR","02-MAY","03-JUN","04-JUL","05-AUG","06-SEP","07-OCT","08-NOV","09-DEC"))</f>
        <v>06-SEP</v>
      </c>
      <c r="F807" s="242">
        <v>45923</v>
      </c>
      <c r="G807" s="231" t="s">
        <v>2818</v>
      </c>
      <c r="H807" s="5" t="s">
        <v>36</v>
      </c>
      <c r="I807" s="29" t="s">
        <v>223</v>
      </c>
      <c r="K807" s="281" t="str">
        <f>IF(H807="","",IFERROR(VLOOKUP(H807,Instructions!D:E,2,0),"BA"))</f>
        <v>BA</v>
      </c>
      <c r="L807" s="30" t="s">
        <v>2819</v>
      </c>
      <c r="M807" s="151">
        <f>IF(SUM(V807:BC807)=0,"-",SUM(V807:BC807))</f>
        <v>13</v>
      </c>
      <c r="N807" s="65">
        <f>IF(SUMPRODUCT($V$3:$BC$3,V807:BC807)=0,"-",SUMPRODUCT($V$3:$BC$3,V807:BC807))</f>
        <v>645</v>
      </c>
      <c r="O807" s="266" t="s">
        <v>2820</v>
      </c>
      <c r="P807" s="280" t="s">
        <v>481</v>
      </c>
      <c r="Q807" s="211">
        <v>4300143178</v>
      </c>
      <c r="R807" s="211"/>
      <c r="S807" s="211" t="s">
        <v>249</v>
      </c>
      <c r="T807" s="211" t="s">
        <v>2821</v>
      </c>
      <c r="U807" s="253" t="s">
        <v>2678</v>
      </c>
      <c r="V807" s="7">
        <v>1</v>
      </c>
      <c r="W807" s="8">
        <v>10</v>
      </c>
      <c r="AC807" s="7">
        <v>1</v>
      </c>
      <c r="AD807" s="8">
        <v>1</v>
      </c>
    </row>
    <row r="808" spans="1:45" outlineLevel="1">
      <c r="A808" s="286" t="s">
        <v>244</v>
      </c>
      <c r="B808" s="286" t="s">
        <v>221</v>
      </c>
      <c r="C808" s="280" t="s">
        <v>2302</v>
      </c>
      <c r="D808" s="281" t="str">
        <f>IF(F808="","",CHOOSE(MONTH(F808),"Q4","Q4","Q4","Q1","Q1","Q1","Q2","Q2","Q2","Q3","Q3","Q3"))</f>
        <v>Q2</v>
      </c>
      <c r="E808" s="282" t="str">
        <f>IF(F808="","",CHOOSE(MONTH(F808),"10-JAN","11-FEB","12-MAR","01-APR","02-MAY","03-JUN","04-JUL","05-AUG","06-SEP","07-OCT","08-NOV","09-DEC"))</f>
        <v>06-SEP</v>
      </c>
      <c r="F808" s="242">
        <v>45924</v>
      </c>
      <c r="G808" s="231" t="s">
        <v>2822</v>
      </c>
      <c r="H808" s="5" t="s">
        <v>2723</v>
      </c>
      <c r="I808" s="29" t="s">
        <v>223</v>
      </c>
      <c r="K808" s="281" t="str">
        <f>IF(H808="","",IFERROR(VLOOKUP(H808,Instructions!D:E,2,0),"BA"))</f>
        <v>BA</v>
      </c>
      <c r="L808" s="30" t="s">
        <v>2595</v>
      </c>
      <c r="M808" s="151">
        <f>IF(SUM(V808:BC808)=0,"-",SUM(V808:BC808))</f>
        <v>11</v>
      </c>
      <c r="N808" s="65">
        <f>IF(SUMPRODUCT($V$3:$BC$3,V808:BC808)=0,"-",SUMPRODUCT($V$3:$BC$3,V808:BC808))</f>
        <v>725</v>
      </c>
      <c r="O808" s="266" t="s">
        <v>2823</v>
      </c>
      <c r="P808" s="280" t="s">
        <v>481</v>
      </c>
      <c r="Q808" s="211">
        <v>4300142720</v>
      </c>
      <c r="R808" s="211"/>
      <c r="S808" s="211" t="s">
        <v>249</v>
      </c>
      <c r="T808" s="211" t="s">
        <v>2824</v>
      </c>
      <c r="U808" s="253" t="s">
        <v>2713</v>
      </c>
      <c r="AC808" s="7">
        <v>3</v>
      </c>
      <c r="AD808" s="8">
        <v>8</v>
      </c>
    </row>
    <row r="809" spans="1:45">
      <c r="A809" s="286" t="s">
        <v>244</v>
      </c>
      <c r="B809" s="286" t="s">
        <v>221</v>
      </c>
      <c r="C809" s="280" t="s">
        <v>2302</v>
      </c>
      <c r="D809" s="281" t="str">
        <f>IF(F809="","",CHOOSE(MONTH(F809),"Q4","Q4","Q4","Q1","Q1","Q1","Q2","Q2","Q2","Q3","Q3","Q3"))</f>
        <v>Q2</v>
      </c>
      <c r="E809" s="282" t="str">
        <f>IF(F809="","",CHOOSE(MONTH(F809),"10-JAN","11-FEB","12-MAR","01-APR","02-MAY","03-JUN","04-JUL","05-AUG","06-SEP","07-OCT","08-NOV","09-DEC"))</f>
        <v>06-SEP</v>
      </c>
      <c r="F809" s="242">
        <v>45924</v>
      </c>
      <c r="G809" s="231" t="s">
        <v>2825</v>
      </c>
      <c r="H809" s="5" t="s">
        <v>2381</v>
      </c>
      <c r="I809" s="29" t="s">
        <v>223</v>
      </c>
      <c r="J809" s="8" t="s">
        <v>69</v>
      </c>
      <c r="K809" s="281" t="str">
        <f>IF(H809="","",IFERROR(VLOOKUP(H809,Instructions!D:E,2,0),"BA"))</f>
        <v>BA</v>
      </c>
      <c r="L809" s="30" t="s">
        <v>2826</v>
      </c>
      <c r="M809" s="151">
        <f>IF(SUM(V809:BC809)=0,"-",SUM(V809:BC809))</f>
        <v>2</v>
      </c>
      <c r="N809" s="65">
        <f>IF(SUMPRODUCT($V$3:$BC$3,V809:BC809)=0,"-",SUMPRODUCT($V$3:$BC$3,V809:BC809))</f>
        <v>155</v>
      </c>
      <c r="O809" s="114" t="s">
        <v>2827</v>
      </c>
      <c r="P809" s="280" t="s">
        <v>481</v>
      </c>
      <c r="Q809" s="211">
        <v>4300142651</v>
      </c>
      <c r="R809" s="211"/>
      <c r="S809" s="211" t="s">
        <v>249</v>
      </c>
      <c r="T809" s="211" t="s">
        <v>2828</v>
      </c>
      <c r="U809" s="253" t="s">
        <v>2678</v>
      </c>
      <c r="V809" s="7">
        <v>1</v>
      </c>
      <c r="W809" s="8">
        <v>1</v>
      </c>
    </row>
    <row r="810" spans="1:45">
      <c r="A810" s="286" t="s">
        <v>244</v>
      </c>
      <c r="B810" s="286" t="s">
        <v>221</v>
      </c>
      <c r="C810" s="280" t="s">
        <v>2</v>
      </c>
      <c r="D810" s="281" t="str">
        <f>IF(F810="","",CHOOSE(MONTH(F810),"Q4","Q4","Q4","Q1","Q1","Q1","Q2","Q2","Q2","Q3","Q3","Q3"))</f>
        <v>Q2</v>
      </c>
      <c r="E810" s="282" t="str">
        <f>IF(F810="","",CHOOSE(MONTH(F810),"10-JAN","11-FEB","12-MAR","01-APR","02-MAY","03-JUN","04-JUL","05-AUG","06-SEP","07-OCT","08-NOV","09-DEC"))</f>
        <v>06-SEP</v>
      </c>
      <c r="F810" s="242">
        <v>45924</v>
      </c>
      <c r="G810" s="452" t="s">
        <v>2829</v>
      </c>
      <c r="H810" s="410" t="s">
        <v>2635</v>
      </c>
      <c r="I810" s="29" t="s">
        <v>223</v>
      </c>
      <c r="J810" s="8" t="s">
        <v>95</v>
      </c>
      <c r="K810" s="281" t="str">
        <f>IF(H810="","",IFERROR(VLOOKUP(H810,Instructions!D:E,2,0),"BA"))</f>
        <v>BA</v>
      </c>
      <c r="L810" s="78" t="s">
        <v>2830</v>
      </c>
      <c r="M810" s="151">
        <f>IF(SUM(V810:BC810)=0,"-",SUM(V810:BC810))</f>
        <v>2</v>
      </c>
      <c r="N810" s="65">
        <f>IF(SUMPRODUCT($V$3:$BC$3,V810:BC810)=0,"-",SUMPRODUCT($V$3:$BC$3,V810:BC810))</f>
        <v>155</v>
      </c>
      <c r="O810" s="114" t="s">
        <v>2831</v>
      </c>
      <c r="P810" s="280" t="s">
        <v>481</v>
      </c>
      <c r="Q810" s="211">
        <v>4300145266</v>
      </c>
      <c r="R810" s="211"/>
      <c r="S810" s="211" t="s">
        <v>249</v>
      </c>
      <c r="T810" s="211" t="s">
        <v>2756</v>
      </c>
      <c r="U810" s="253" t="s">
        <v>2757</v>
      </c>
      <c r="V810" s="7">
        <v>1</v>
      </c>
      <c r="W810" s="8">
        <v>1</v>
      </c>
    </row>
    <row r="811" spans="1:45">
      <c r="A811" s="286" t="s">
        <v>244</v>
      </c>
      <c r="B811" s="286" t="s">
        <v>221</v>
      </c>
      <c r="C811" s="280" t="s">
        <v>2302</v>
      </c>
      <c r="D811" s="281" t="str">
        <f>IF(F811="","",CHOOSE(MONTH(F811),"Q4","Q4","Q4","Q1","Q1","Q1","Q2","Q2","Q2","Q3","Q3","Q3"))</f>
        <v>Q2</v>
      </c>
      <c r="E811" s="282" t="str">
        <f>IF(F811="","",CHOOSE(MONTH(F811),"10-JAN","11-FEB","12-MAR","01-APR","02-MAY","03-JUN","04-JUL","05-AUG","06-SEP","07-OCT","08-NOV","09-DEC"))</f>
        <v>06-SEP</v>
      </c>
      <c r="F811" s="242">
        <v>45925</v>
      </c>
      <c r="G811" s="231" t="s">
        <v>2832</v>
      </c>
      <c r="I811" s="29" t="s">
        <v>223</v>
      </c>
      <c r="K811" s="281" t="str">
        <f>IF(H811="","",IFERROR(VLOOKUP(H811,Instructions!D:E,2,0),"BA"))</f>
        <v/>
      </c>
      <c r="M811" s="151" t="str">
        <f>IF(SUM(V811:BC811)=0,"-",SUM(V811:BC811))</f>
        <v>-</v>
      </c>
      <c r="N811" s="66">
        <v>105</v>
      </c>
      <c r="P811" s="280" t="s">
        <v>481</v>
      </c>
      <c r="Q811" s="211">
        <v>4200673568</v>
      </c>
      <c r="R811" s="211" t="s">
        <v>481</v>
      </c>
      <c r="S811" s="211" t="s">
        <v>249</v>
      </c>
      <c r="T811" s="211" t="s">
        <v>2833</v>
      </c>
      <c r="U811" s="253" t="s">
        <v>2176</v>
      </c>
    </row>
    <row r="812" spans="1:45">
      <c r="A812" s="286" t="s">
        <v>220</v>
      </c>
      <c r="B812" s="286" t="s">
        <v>221</v>
      </c>
      <c r="C812" s="280" t="s">
        <v>2302</v>
      </c>
      <c r="D812" s="281" t="str">
        <f>IF(F812="","",CHOOSE(MONTH(F812),"Q4","Q4","Q4","Q1","Q1","Q1","Q2","Q2","Q2","Q3","Q3","Q3"))</f>
        <v>Q2</v>
      </c>
      <c r="E812" s="282" t="str">
        <f>IF(F812="","",CHOOSE(MONTH(F812),"10-JAN","11-FEB","12-MAR","01-APR","02-MAY","03-JUN","04-JUL","05-AUG","06-SEP","07-OCT","08-NOV","09-DEC"))</f>
        <v>06-SEP</v>
      </c>
      <c r="F812" s="242">
        <v>45925</v>
      </c>
      <c r="G812" s="231" t="s">
        <v>2834</v>
      </c>
      <c r="H812" s="5" t="s">
        <v>36</v>
      </c>
      <c r="I812" s="29" t="s">
        <v>223</v>
      </c>
      <c r="K812" s="281" t="str">
        <f>IF(H812="","",IFERROR(VLOOKUP(H812,Instructions!D:E,2,0),"BA"))</f>
        <v>BA</v>
      </c>
      <c r="L812" s="30" t="s">
        <v>2835</v>
      </c>
      <c r="M812" s="151">
        <f>IF(SUM(V812:BC812)=0,"-",SUM(V812:BC812))</f>
        <v>1</v>
      </c>
      <c r="N812" s="65">
        <f>IF(SUMPRODUCT($V$3:$BC$3,V812:BC812)=0,"-",SUMPRODUCT($V$3:$BC$3,V812:BC812))</f>
        <v>135</v>
      </c>
      <c r="O812" s="266" t="s">
        <v>2836</v>
      </c>
      <c r="P812" s="280" t="s">
        <v>481</v>
      </c>
      <c r="Q812" s="211">
        <v>4300143172</v>
      </c>
      <c r="R812" s="211"/>
      <c r="S812" s="211" t="s">
        <v>249</v>
      </c>
      <c r="T812" s="211" t="s">
        <v>2814</v>
      </c>
      <c r="U812" s="253" t="s">
        <v>2678</v>
      </c>
      <c r="AC812" s="7">
        <v>1</v>
      </c>
    </row>
    <row r="813" spans="1:45">
      <c r="A813" s="286" t="s">
        <v>244</v>
      </c>
      <c r="B813" s="286" t="s">
        <v>221</v>
      </c>
      <c r="C813" s="280" t="s">
        <v>2302</v>
      </c>
      <c r="D813" s="281" t="str">
        <f>IF(F813="","",CHOOSE(MONTH(F813),"Q4","Q4","Q4","Q1","Q1","Q1","Q2","Q2","Q2","Q3","Q3","Q3"))</f>
        <v>Q2</v>
      </c>
      <c r="E813" s="282" t="str">
        <f>IF(F813="","",CHOOSE(MONTH(F813),"10-JAN","11-FEB","12-MAR","01-APR","02-MAY","03-JUN","04-JUL","05-AUG","06-SEP","07-OCT","08-NOV","09-DEC"))</f>
        <v>06-SEP</v>
      </c>
      <c r="F813" s="242">
        <v>45925</v>
      </c>
      <c r="G813" s="231" t="s">
        <v>2837</v>
      </c>
      <c r="H813" s="410" t="s">
        <v>36</v>
      </c>
      <c r="I813" s="29" t="s">
        <v>223</v>
      </c>
      <c r="K813" s="281" t="str">
        <f>IF(H813="","",IFERROR(VLOOKUP(H813,Instructions!D:E,2,0),"BA"))</f>
        <v>BA</v>
      </c>
      <c r="L813" s="78" t="s">
        <v>2838</v>
      </c>
      <c r="M813" s="151">
        <f>IF(SUM(V813:BC813)=0,"-",SUM(V813:BC813))</f>
        <v>2</v>
      </c>
      <c r="N813" s="65">
        <f>IF(SUMPRODUCT($V$3:$BC$3,V813:BC813)=0,"-",SUMPRODUCT($V$3:$BC$3,V813:BC813))</f>
        <v>160</v>
      </c>
      <c r="O813" s="266" t="s">
        <v>2839</v>
      </c>
      <c r="P813" s="280" t="s">
        <v>481</v>
      </c>
      <c r="Q813" s="211">
        <v>4300143172</v>
      </c>
      <c r="R813" s="211"/>
      <c r="S813" s="211" t="s">
        <v>249</v>
      </c>
      <c r="T813" s="211" t="s">
        <v>2814</v>
      </c>
      <c r="U813" s="253" t="s">
        <v>2678</v>
      </c>
      <c r="AS813" s="433">
        <v>2</v>
      </c>
    </row>
    <row r="814" spans="1:45">
      <c r="A814" s="286" t="s">
        <v>244</v>
      </c>
      <c r="B814" s="286" t="s">
        <v>221</v>
      </c>
      <c r="C814" s="280" t="s">
        <v>2302</v>
      </c>
      <c r="D814" s="281" t="str">
        <f>IF(F814="","",CHOOSE(MONTH(F814),"Q4","Q4","Q4","Q1","Q1","Q1","Q2","Q2","Q2","Q3","Q3","Q3"))</f>
        <v>Q2</v>
      </c>
      <c r="E814" s="282" t="str">
        <f>IF(F814="","",CHOOSE(MONTH(F814),"10-JAN","11-FEB","12-MAR","01-APR","02-MAY","03-JUN","04-JUL","05-AUG","06-SEP","07-OCT","08-NOV","09-DEC"))</f>
        <v>06-SEP</v>
      </c>
      <c r="F814" s="242">
        <v>45926</v>
      </c>
      <c r="G814" s="231" t="s">
        <v>2840</v>
      </c>
      <c r="H814" s="219" t="s">
        <v>26</v>
      </c>
      <c r="I814" s="29" t="s">
        <v>223</v>
      </c>
      <c r="J814" s="8" t="s">
        <v>638</v>
      </c>
      <c r="K814" s="281" t="str">
        <f>IF(H814="","",IFERROR(VLOOKUP(H814,Instructions!D:E,2,0),"BA"))</f>
        <v>CM</v>
      </c>
      <c r="M814" s="151">
        <f>IF(SUM(V814:BC814)=0,"-",SUM(V814:BC814))</f>
        <v>8</v>
      </c>
      <c r="N814" s="65">
        <f>IF(SUMPRODUCT($V$3:$BC$3,V814:BC814)=0,"-",SUMPRODUCT($V$3:$BC$3,V814:BC814))</f>
        <v>620</v>
      </c>
      <c r="O814" s="114" t="s">
        <v>2841</v>
      </c>
      <c r="P814" s="280" t="s">
        <v>481</v>
      </c>
      <c r="Q814" s="211">
        <v>4300142646</v>
      </c>
      <c r="R814" s="211"/>
      <c r="S814" s="211" t="s">
        <v>249</v>
      </c>
      <c r="T814" s="211" t="s">
        <v>2677</v>
      </c>
      <c r="U814" s="253" t="s">
        <v>2678</v>
      </c>
      <c r="V814" s="7">
        <v>4</v>
      </c>
      <c r="W814" s="8">
        <v>4</v>
      </c>
    </row>
    <row r="815" spans="1:45">
      <c r="A815" s="286" t="s">
        <v>244</v>
      </c>
      <c r="B815" s="286" t="s">
        <v>221</v>
      </c>
      <c r="C815" s="280" t="s">
        <v>2</v>
      </c>
      <c r="D815" s="281" t="str">
        <f>IF(F815="","",CHOOSE(MONTH(F815),"Q4","Q4","Q4","Q1","Q1","Q1","Q2","Q2","Q2","Q3","Q3","Q3"))</f>
        <v>Q2</v>
      </c>
      <c r="E815" s="282" t="str">
        <f>IF(F815="","",CHOOSE(MONTH(F815),"10-JAN","11-FEB","12-MAR","01-APR","02-MAY","03-JUN","04-JUL","05-AUG","06-SEP","07-OCT","08-NOV","09-DEC"))</f>
        <v>06-SEP</v>
      </c>
      <c r="F815" s="242">
        <v>45926</v>
      </c>
      <c r="G815" s="452" t="s">
        <v>2842</v>
      </c>
      <c r="H815" s="219" t="s">
        <v>26</v>
      </c>
      <c r="I815" s="29" t="s">
        <v>223</v>
      </c>
      <c r="J815" s="8" t="s">
        <v>638</v>
      </c>
      <c r="K815" s="281" t="str">
        <f>IF(H815="","",IFERROR(VLOOKUP(H815,Instructions!D:E,2,0),"BA"))</f>
        <v>CM</v>
      </c>
      <c r="L815" s="78" t="s">
        <v>2843</v>
      </c>
      <c r="M815" s="151">
        <f>IF(SUM(V815:BC815)=0,"-",SUM(V815:BC815))</f>
        <v>6</v>
      </c>
      <c r="N815" s="65">
        <f>IF(SUMPRODUCT($V$3:$BC$3,V815:BC815)=0,"-",SUMPRODUCT($V$3:$BC$3,V815:BC815))</f>
        <v>210</v>
      </c>
      <c r="O815" s="114" t="s">
        <v>2844</v>
      </c>
      <c r="P815" s="280" t="s">
        <v>481</v>
      </c>
      <c r="Q815" s="211">
        <v>4300145266</v>
      </c>
      <c r="R815" s="211"/>
      <c r="S815" s="211" t="s">
        <v>249</v>
      </c>
      <c r="T815" s="211" t="s">
        <v>2756</v>
      </c>
      <c r="U815" s="253" t="s">
        <v>2757</v>
      </c>
      <c r="W815" s="166">
        <v>6</v>
      </c>
    </row>
    <row r="816" spans="1:45">
      <c r="A816" s="286" t="s">
        <v>244</v>
      </c>
      <c r="B816" s="286" t="s">
        <v>221</v>
      </c>
      <c r="C816" s="280" t="s">
        <v>2302</v>
      </c>
      <c r="D816" s="281" t="str">
        <f>IF(F816="","",CHOOSE(MONTH(F816),"Q4","Q4","Q4","Q1","Q1","Q1","Q2","Q2","Q2","Q3","Q3","Q3"))</f>
        <v>Q2</v>
      </c>
      <c r="E816" s="282" t="str">
        <f>IF(F816="","",CHOOSE(MONTH(F816),"10-JAN","11-FEB","12-MAR","01-APR","02-MAY","03-JUN","04-JUL","05-AUG","06-SEP","07-OCT","08-NOV","09-DEC"))</f>
        <v>06-SEP</v>
      </c>
      <c r="F816" s="242">
        <v>45929</v>
      </c>
      <c r="G816" s="231" t="s">
        <v>2845</v>
      </c>
      <c r="H816" s="5" t="s">
        <v>36</v>
      </c>
      <c r="I816" s="29" t="s">
        <v>223</v>
      </c>
      <c r="K816" s="281" t="str">
        <f>IF(H816="","",IFERROR(VLOOKUP(H816,Instructions!D:E,2,0),"BA"))</f>
        <v>BA</v>
      </c>
      <c r="L816" s="30" t="s">
        <v>2846</v>
      </c>
      <c r="M816" s="151">
        <f>IF(SUM(V816:BC816)=0,"-",SUM(V816:BC816))</f>
        <v>14</v>
      </c>
      <c r="N816" s="65">
        <f>IF(SUMPRODUCT($V$3:$BC$3,V816:BC816)=0,"-",SUMPRODUCT($V$3:$BC$3,V816:BC816))</f>
        <v>660</v>
      </c>
      <c r="O816" s="266" t="s">
        <v>2847</v>
      </c>
      <c r="P816" s="280" t="s">
        <v>481</v>
      </c>
      <c r="Q816" s="211">
        <v>4300142721</v>
      </c>
      <c r="R816" s="211"/>
      <c r="S816" s="211" t="s">
        <v>249</v>
      </c>
      <c r="T816" s="211" t="s">
        <v>2848</v>
      </c>
      <c r="U816" s="253" t="s">
        <v>2713</v>
      </c>
      <c r="V816" s="7">
        <v>2</v>
      </c>
      <c r="W816" s="8">
        <v>12</v>
      </c>
    </row>
    <row r="817" spans="1:56">
      <c r="A817" s="286" t="s">
        <v>220</v>
      </c>
      <c r="B817" s="286" t="s">
        <v>221</v>
      </c>
      <c r="C817" s="280" t="s">
        <v>2302</v>
      </c>
      <c r="D817" s="281" t="str">
        <f>IF(F817="","",CHOOSE(MONTH(F817),"Q4","Q4","Q4","Q1","Q1","Q1","Q2","Q2","Q2","Q3","Q3","Q3"))</f>
        <v>Q2</v>
      </c>
      <c r="E817" s="282" t="str">
        <f>IF(F817="","",CHOOSE(MONTH(F817),"10-JAN","11-FEB","12-MAR","01-APR","02-MAY","03-JUN","04-JUL","05-AUG","06-SEP","07-OCT","08-NOV","09-DEC"))</f>
        <v>05-AUG</v>
      </c>
      <c r="F817" s="242">
        <v>45898</v>
      </c>
      <c r="G817" s="231" t="s">
        <v>2849</v>
      </c>
      <c r="H817" s="460" t="s">
        <v>33</v>
      </c>
      <c r="I817" s="29" t="s">
        <v>223</v>
      </c>
      <c r="J817" s="8" t="s">
        <v>95</v>
      </c>
      <c r="K817" s="281" t="str">
        <f>IF(H817="","",IFERROR(VLOOKUP(H817,Instructions!D:E,2,0),"BA"))</f>
        <v>BA</v>
      </c>
      <c r="L817" s="78" t="s">
        <v>2850</v>
      </c>
      <c r="M817" s="151">
        <f>IF(SUM(V817:BC817)=0,"-",SUM(V817:BC817))</f>
        <v>1</v>
      </c>
      <c r="N817" s="352">
        <f>IF(SUMPRODUCT($V$3:$BC$3,V817:BC817)=0,"-",SUMPRODUCT($V$3:$BC$3,V817:BC817))</f>
        <v>40</v>
      </c>
      <c r="O817" s="114" t="s">
        <v>2851</v>
      </c>
      <c r="P817" s="280" t="s">
        <v>481</v>
      </c>
      <c r="Q817" s="260">
        <v>4300162283</v>
      </c>
      <c r="R817" s="260"/>
      <c r="S817" s="260" t="s">
        <v>249</v>
      </c>
      <c r="T817" s="260" t="s">
        <v>2781</v>
      </c>
      <c r="U817" s="257" t="s">
        <v>2581</v>
      </c>
      <c r="AD817" s="8">
        <v>1</v>
      </c>
    </row>
    <row r="818" spans="1:56">
      <c r="A818" s="286" t="s">
        <v>244</v>
      </c>
      <c r="B818" s="286" t="s">
        <v>221</v>
      </c>
      <c r="C818" s="280" t="s">
        <v>2302</v>
      </c>
      <c r="D818" s="281" t="str">
        <f>IF(F818="","",CHOOSE(MONTH(F818),"Q4","Q4","Q4","Q1","Q1","Q1","Q2","Q2","Q2","Q3","Q3","Q3"))</f>
        <v>Q3</v>
      </c>
      <c r="E818" s="282" t="str">
        <f>IF(F818="","",CHOOSE(MONTH(F818),"10-JAN","11-FEB","12-MAR","01-APR","02-MAY","03-JUN","04-JUL","05-AUG","06-SEP","07-OCT","08-NOV","09-DEC"))</f>
        <v>07-OCT</v>
      </c>
      <c r="F818" s="242">
        <v>45933</v>
      </c>
      <c r="G818" s="231" t="s">
        <v>2852</v>
      </c>
      <c r="H818" s="410" t="s">
        <v>2018</v>
      </c>
      <c r="I818" s="29" t="s">
        <v>223</v>
      </c>
      <c r="J818" s="8" t="s">
        <v>2853</v>
      </c>
      <c r="K818" s="281" t="str">
        <f>IF(H818="","",IFERROR(VLOOKUP(H818,Instructions!D:E,2,0),"BA"))</f>
        <v>BA</v>
      </c>
      <c r="L818" s="78" t="s">
        <v>2854</v>
      </c>
      <c r="M818" s="151">
        <f>IF(SUM(V818:BC818)=0,"-",SUM(V818:BC818))</f>
        <v>4</v>
      </c>
      <c r="N818" s="65">
        <f>IF(SUMPRODUCT($V$3:$BC$3,V818:BC818)=0,"-",SUMPRODUCT($V$3:$BC$3,V818:BC818))</f>
        <v>225</v>
      </c>
      <c r="O818" s="114" t="s">
        <v>2855</v>
      </c>
      <c r="P818" s="280" t="s">
        <v>481</v>
      </c>
      <c r="Q818" s="211">
        <v>4300142813</v>
      </c>
      <c r="R818" s="211"/>
      <c r="S818" s="211" t="s">
        <v>249</v>
      </c>
      <c r="T818" s="211" t="s">
        <v>2856</v>
      </c>
      <c r="U818" s="253" t="s">
        <v>2678</v>
      </c>
      <c r="V818" s="7">
        <v>1</v>
      </c>
      <c r="W818" s="8">
        <v>3</v>
      </c>
    </row>
    <row r="819" spans="1:56">
      <c r="A819" s="286" t="s">
        <v>244</v>
      </c>
      <c r="B819" s="286" t="s">
        <v>221</v>
      </c>
      <c r="C819" s="280" t="s">
        <v>2302</v>
      </c>
      <c r="D819" s="281" t="str">
        <f>IF(F819="","",CHOOSE(MONTH(F819),"Q4","Q4","Q4","Q1","Q1","Q1","Q2","Q2","Q2","Q3","Q3","Q3"))</f>
        <v>Q2</v>
      </c>
      <c r="E819" s="282" t="str">
        <f>IF(F819="","",CHOOSE(MONTH(F819),"10-JAN","11-FEB","12-MAR","01-APR","02-MAY","03-JUN","04-JUL","05-AUG","06-SEP","07-OCT","08-NOV","09-DEC"))</f>
        <v>06-SEP</v>
      </c>
      <c r="F819" s="242">
        <v>45911</v>
      </c>
      <c r="G819" s="231" t="s">
        <v>2857</v>
      </c>
      <c r="H819" s="459" t="s">
        <v>33</v>
      </c>
      <c r="I819" s="29" t="s">
        <v>223</v>
      </c>
      <c r="J819" s="8" t="s">
        <v>95</v>
      </c>
      <c r="K819" s="281" t="str">
        <f>IF(H819="","",IFERROR(VLOOKUP(H819,Instructions!D:E,2,0),"BA"))</f>
        <v>BA</v>
      </c>
      <c r="L819" s="78" t="s">
        <v>2858</v>
      </c>
      <c r="M819" s="151">
        <f>IF(SUM(V819:BC819)=0,"-",SUM(V819:BC819))</f>
        <v>8</v>
      </c>
      <c r="N819" s="352">
        <f>IF(SUMPRODUCT($V$3:$BC$3,V819:BC819)=0,"-",SUMPRODUCT($V$3:$BC$3,V819:BC819))</f>
        <v>795</v>
      </c>
      <c r="O819" s="114" t="s">
        <v>2859</v>
      </c>
      <c r="P819" s="280" t="s">
        <v>481</v>
      </c>
      <c r="Q819" s="421">
        <v>4300151829</v>
      </c>
      <c r="R819" s="421"/>
      <c r="S819" s="421" t="s">
        <v>249</v>
      </c>
      <c r="T819" s="421" t="s">
        <v>2860</v>
      </c>
      <c r="U819" s="422" t="s">
        <v>2861</v>
      </c>
      <c r="AC819" s="7">
        <v>5</v>
      </c>
      <c r="AD819" s="8">
        <v>3</v>
      </c>
    </row>
    <row r="820" spans="1:56">
      <c r="A820" s="286" t="s">
        <v>244</v>
      </c>
      <c r="B820" s="286" t="s">
        <v>221</v>
      </c>
      <c r="C820" s="280" t="s">
        <v>2</v>
      </c>
      <c r="D820" s="281" t="str">
        <f>IF(F820="","",CHOOSE(MONTH(F820),"Q4","Q4","Q4","Q1","Q1","Q1","Q2","Q2","Q2","Q3","Q3","Q3"))</f>
        <v>Q3</v>
      </c>
      <c r="E820" s="282" t="str">
        <f>IF(F820="","",CHOOSE(MONTH(F820),"10-JAN","11-FEB","12-MAR","01-APR","02-MAY","03-JUN","04-JUL","05-AUG","06-SEP","07-OCT","08-NOV","09-DEC"))</f>
        <v>07-OCT</v>
      </c>
      <c r="F820" s="242">
        <v>45932</v>
      </c>
      <c r="G820" s="222" t="s">
        <v>2862</v>
      </c>
      <c r="H820" s="459" t="s">
        <v>33</v>
      </c>
      <c r="I820" s="29" t="s">
        <v>223</v>
      </c>
      <c r="J820" s="8" t="s">
        <v>95</v>
      </c>
      <c r="K820" s="281" t="str">
        <f>IF(H820="","",IFERROR(VLOOKUP(H820,Instructions!D:E,2,0),"BA"))</f>
        <v>BA</v>
      </c>
      <c r="L820" s="78" t="s">
        <v>2863</v>
      </c>
      <c r="M820" s="151">
        <f>IF(SUM(V820:BC820)=0,"-",SUM(V820:BC820))</f>
        <v>6</v>
      </c>
      <c r="N820" s="352">
        <f>IF(SUMPRODUCT($V$3:$BC$3,V820:BC820)=0,"-",SUMPRODUCT($V$3:$BC$3,V820:BC820))</f>
        <v>240</v>
      </c>
      <c r="O820" s="114" t="s">
        <v>2864</v>
      </c>
      <c r="P820" s="280" t="s">
        <v>481</v>
      </c>
      <c r="Q820" s="260">
        <v>4300162283</v>
      </c>
      <c r="R820" s="260"/>
      <c r="S820" s="260" t="s">
        <v>249</v>
      </c>
      <c r="T820" s="260" t="s">
        <v>2781</v>
      </c>
      <c r="U820" s="257" t="s">
        <v>2581</v>
      </c>
      <c r="AD820" s="8">
        <v>6</v>
      </c>
    </row>
    <row r="821" spans="1:56">
      <c r="A821" s="286" t="s">
        <v>244</v>
      </c>
      <c r="B821" s="286" t="s">
        <v>221</v>
      </c>
      <c r="C821" s="280" t="s">
        <v>2302</v>
      </c>
      <c r="D821" s="281" t="str">
        <f>IF(F821="","",CHOOSE(MONTH(F821),"Q4","Q4","Q4","Q1","Q1","Q1","Q2","Q2","Q2","Q3","Q3","Q3"))</f>
        <v>Q3</v>
      </c>
      <c r="E821" s="282" t="str">
        <f>IF(F821="","",CHOOSE(MONTH(F821),"10-JAN","11-FEB","12-MAR","01-APR","02-MAY","03-JUN","04-JUL","05-AUG","06-SEP","07-OCT","08-NOV","09-DEC"))</f>
        <v>07-OCT</v>
      </c>
      <c r="F821" s="242">
        <v>45933</v>
      </c>
      <c r="G821" s="231" t="s">
        <v>2865</v>
      </c>
      <c r="H821" s="460" t="s">
        <v>33</v>
      </c>
      <c r="I821" s="29" t="s">
        <v>223</v>
      </c>
      <c r="J821" s="8" t="s">
        <v>164</v>
      </c>
      <c r="K821" s="281" t="str">
        <f>IF(H821="","",IFERROR(VLOOKUP(H821,Instructions!D:E,2,0),"BA"))</f>
        <v>BA</v>
      </c>
      <c r="L821" s="78" t="s">
        <v>2866</v>
      </c>
      <c r="M821" s="151">
        <f>IF(SUM(V821:BC821)=0,"-",SUM(V821:BC821))</f>
        <v>1</v>
      </c>
      <c r="N821" s="352">
        <f>IF(SUMPRODUCT($V$3:$BC$3,V821:BC821)=0,"-",SUMPRODUCT($V$3:$BC$3,V821:BC821))</f>
        <v>120</v>
      </c>
      <c r="O821" s="114" t="s">
        <v>2867</v>
      </c>
      <c r="P821" s="280" t="s">
        <v>481</v>
      </c>
      <c r="Q821" s="211">
        <v>4300164169</v>
      </c>
      <c r="R821" s="211"/>
      <c r="S821" s="211" t="s">
        <v>249</v>
      </c>
      <c r="T821" s="211" t="s">
        <v>2868</v>
      </c>
      <c r="U821" s="253" t="s">
        <v>2738</v>
      </c>
      <c r="V821" s="7">
        <v>1</v>
      </c>
    </row>
    <row r="822" spans="1:56">
      <c r="A822" s="286" t="s">
        <v>220</v>
      </c>
      <c r="B822" s="286" t="s">
        <v>221</v>
      </c>
      <c r="C822" s="280" t="s">
        <v>2302</v>
      </c>
      <c r="D822" s="281" t="str">
        <f>IF(F822="","",CHOOSE(MONTH(F822),"Q4","Q4","Q4","Q1","Q1","Q1","Q2","Q2","Q2","Q3","Q3","Q3"))</f>
        <v>Q3</v>
      </c>
      <c r="E822" s="282" t="str">
        <f>IF(F822="","",CHOOSE(MONTH(F822),"10-JAN","11-FEB","12-MAR","01-APR","02-MAY","03-JUN","04-JUL","05-AUG","06-SEP","07-OCT","08-NOV","09-DEC"))</f>
        <v>07-OCT</v>
      </c>
      <c r="F822" s="242">
        <v>45936</v>
      </c>
      <c r="G822" s="231" t="s">
        <v>2869</v>
      </c>
      <c r="H822" s="464" t="s">
        <v>2693</v>
      </c>
      <c r="I822" s="29" t="s">
        <v>223</v>
      </c>
      <c r="J822" s="8" t="s">
        <v>95</v>
      </c>
      <c r="K822" s="281" t="str">
        <f>IF(H822="","",IFERROR(VLOOKUP(H822,Instructions!D:E,2,0),"BA"))</f>
        <v>BA</v>
      </c>
      <c r="L822" s="30" t="s">
        <v>2870</v>
      </c>
      <c r="M822" s="151">
        <f>IF(SUM(V822:BC822)=0,"-",SUM(V822:BC822))</f>
        <v>10</v>
      </c>
      <c r="N822" s="441">
        <f>IF(SUMPRODUCT($V$3:$BC$3,V822:BC822)=0,"-",SUMPRODUCT($V$3:$BC$3,V822:BC822))</f>
        <v>915</v>
      </c>
      <c r="O822" s="114" t="s">
        <v>2871</v>
      </c>
      <c r="P822" s="280" t="s">
        <v>481</v>
      </c>
      <c r="Q822" s="469">
        <v>4300151828</v>
      </c>
      <c r="R822" s="469" t="s">
        <v>2872</v>
      </c>
      <c r="S822" s="469" t="s">
        <v>249</v>
      </c>
      <c r="T822" s="469" t="s">
        <v>2873</v>
      </c>
      <c r="U822" s="470" t="s">
        <v>2874</v>
      </c>
      <c r="V822" s="7">
        <v>1</v>
      </c>
      <c r="W822" s="8">
        <v>1</v>
      </c>
      <c r="X822" s="8">
        <v>1</v>
      </c>
      <c r="Y822" s="8">
        <v>1</v>
      </c>
      <c r="AS822" s="7">
        <v>6</v>
      </c>
    </row>
    <row r="823" spans="1:56">
      <c r="A823" s="286" t="s">
        <v>244</v>
      </c>
      <c r="B823" s="286" t="s">
        <v>221</v>
      </c>
      <c r="C823" s="280" t="s">
        <v>2302</v>
      </c>
      <c r="D823" s="281" t="str">
        <f>IF(F823="","",CHOOSE(MONTH(F823),"Q4","Q4","Q4","Q1","Q1","Q1","Q2","Q2","Q2","Q3","Q3","Q3"))</f>
        <v>Q3</v>
      </c>
      <c r="E823" s="282" t="str">
        <f>IF(F823="","",CHOOSE(MONTH(F823),"10-JAN","11-FEB","12-MAR","01-APR","02-MAY","03-JUN","04-JUL","05-AUG","06-SEP","07-OCT","08-NOV","09-DEC"))</f>
        <v>07-OCT</v>
      </c>
      <c r="F823" s="242">
        <v>45943</v>
      </c>
      <c r="G823" s="231" t="s">
        <v>2875</v>
      </c>
      <c r="H823" s="410" t="s">
        <v>2018</v>
      </c>
      <c r="I823" s="29" t="s">
        <v>223</v>
      </c>
      <c r="K823" s="281" t="str">
        <f>IF(H823="","",IFERROR(VLOOKUP(H823,Instructions!D:E,2,0),"BA"))</f>
        <v>BA</v>
      </c>
      <c r="L823" s="30" t="s">
        <v>2876</v>
      </c>
      <c r="M823" s="151">
        <f>IF(SUM(V823:BC823)=0,"-",SUM(V823:BC823))</f>
        <v>1</v>
      </c>
      <c r="N823" s="65">
        <f>IF(SUMPRODUCT($V$3:$BC$3,V823:BC823)=0,"-",SUMPRODUCT($V$3:$BC$3,V823:BC823))</f>
        <v>40</v>
      </c>
      <c r="O823" s="114" t="s">
        <v>2877</v>
      </c>
      <c r="P823" s="280" t="s">
        <v>481</v>
      </c>
      <c r="Q823" s="211">
        <v>4300136743</v>
      </c>
      <c r="R823" s="211"/>
      <c r="S823" s="211" t="s">
        <v>249</v>
      </c>
      <c r="T823" s="211" t="s">
        <v>2878</v>
      </c>
      <c r="U823" s="253" t="s">
        <v>2879</v>
      </c>
      <c r="AD823" s="8">
        <v>1</v>
      </c>
    </row>
    <row r="824" spans="1:56">
      <c r="A824" s="286" t="s">
        <v>244</v>
      </c>
      <c r="B824" s="286" t="s">
        <v>221</v>
      </c>
      <c r="C824" s="280" t="s">
        <v>2302</v>
      </c>
      <c r="D824" s="281" t="str">
        <f>IF(F824="","",CHOOSE(MONTH(F824),"Q4","Q4","Q4","Q1","Q1","Q1","Q2","Q2","Q2","Q3","Q3","Q3"))</f>
        <v>Q3</v>
      </c>
      <c r="E824" s="282" t="str">
        <f>IF(F824="","",CHOOSE(MONTH(F824),"10-JAN","11-FEB","12-MAR","01-APR","02-MAY","03-JUN","04-JUL","05-AUG","06-SEP","07-OCT","08-NOV","09-DEC"))</f>
        <v>07-OCT</v>
      </c>
      <c r="F824" s="242">
        <v>45944</v>
      </c>
      <c r="G824" s="231" t="s">
        <v>2880</v>
      </c>
      <c r="H824" s="5" t="s">
        <v>36</v>
      </c>
      <c r="I824" s="29" t="s">
        <v>223</v>
      </c>
      <c r="K824" s="281" t="str">
        <f>IF(H824="","",IFERROR(VLOOKUP(H824,Instructions!D:E,2,0),"BA"))</f>
        <v>BA</v>
      </c>
      <c r="L824" s="78" t="s">
        <v>2881</v>
      </c>
      <c r="M824" s="151">
        <f>IF(SUM(V824:BC824)=0,"-",SUM(V824:BC824))</f>
        <v>4</v>
      </c>
      <c r="N824" s="65">
        <f>IF(SUMPRODUCT($V$3:$BC$3,V824:BC824)=0,"-",SUMPRODUCT($V$3:$BC$3,V824:BC824))</f>
        <v>690</v>
      </c>
      <c r="O824" s="114" t="s">
        <v>2882</v>
      </c>
      <c r="P824" s="280" t="s">
        <v>2883</v>
      </c>
      <c r="Q824" s="211">
        <v>4300152481</v>
      </c>
      <c r="R824" s="211"/>
      <c r="S824" s="211" t="s">
        <v>249</v>
      </c>
      <c r="T824" s="211" t="s">
        <v>2884</v>
      </c>
      <c r="U824" s="253" t="s">
        <v>2885</v>
      </c>
      <c r="V824" s="7">
        <v>1</v>
      </c>
      <c r="W824" s="8">
        <v>2</v>
      </c>
      <c r="AM824" s="7">
        <v>1</v>
      </c>
    </row>
    <row r="825" spans="1:56">
      <c r="A825" s="286" t="s">
        <v>244</v>
      </c>
      <c r="B825" s="286" t="s">
        <v>221</v>
      </c>
      <c r="C825" s="280" t="s">
        <v>2</v>
      </c>
      <c r="D825" s="281" t="str">
        <f>IF(F825="","",CHOOSE(MONTH(F825),"Q4","Q4","Q4","Q1","Q1","Q1","Q2","Q2","Q2","Q3","Q3","Q3"))</f>
        <v>Q3</v>
      </c>
      <c r="E825" s="282" t="str">
        <f>IF(F825="","",CHOOSE(MONTH(F825),"10-JAN","11-FEB","12-MAR","01-APR","02-MAY","03-JUN","04-JUL","05-AUG","06-SEP","07-OCT","08-NOV","09-DEC"))</f>
        <v>07-OCT</v>
      </c>
      <c r="F825" s="242">
        <v>45936</v>
      </c>
      <c r="G825" s="222" t="s">
        <v>2886</v>
      </c>
      <c r="H825" s="460" t="s">
        <v>33</v>
      </c>
      <c r="I825" s="29" t="s">
        <v>223</v>
      </c>
      <c r="J825" s="8" t="s">
        <v>164</v>
      </c>
      <c r="K825" s="281" t="str">
        <f>IF(H825="","",IFERROR(VLOOKUP(H825,Instructions!D:E,2,0),"BA"))</f>
        <v>BA</v>
      </c>
      <c r="L825" s="30" t="s">
        <v>2887</v>
      </c>
      <c r="M825" s="151">
        <f>IF(SUM(V825:BC825)=0,"-",SUM(V825:BC825))</f>
        <v>4</v>
      </c>
      <c r="N825" s="352">
        <f>IF(SUMPRODUCT($V$3:$BC$3,V825:BC825)=0,"-",SUMPRODUCT($V$3:$BC$3,V825:BC825))</f>
        <v>540</v>
      </c>
      <c r="O825" s="114" t="s">
        <v>2888</v>
      </c>
      <c r="P825" s="280" t="s">
        <v>481</v>
      </c>
      <c r="Q825" s="260">
        <v>4300160746</v>
      </c>
      <c r="R825" s="260"/>
      <c r="S825" s="260" t="s">
        <v>249</v>
      </c>
      <c r="T825" s="260" t="s">
        <v>2889</v>
      </c>
      <c r="U825" s="257" t="s">
        <v>2581</v>
      </c>
      <c r="AC825" s="7">
        <v>4</v>
      </c>
    </row>
    <row r="826" spans="1:56">
      <c r="A826" s="286" t="s">
        <v>244</v>
      </c>
      <c r="B826" s="286" t="s">
        <v>221</v>
      </c>
      <c r="C826" s="280" t="s">
        <v>2302</v>
      </c>
      <c r="D826" s="281" t="str">
        <f>IF(F826="","",CHOOSE(MONTH(F826),"Q4","Q4","Q4","Q1","Q1","Q1","Q2","Q2","Q2","Q3","Q3","Q3"))</f>
        <v>Q3</v>
      </c>
      <c r="E826" s="282" t="str">
        <f>IF(F826="","",CHOOSE(MONTH(F826),"10-JAN","11-FEB","12-MAR","01-APR","02-MAY","03-JUN","04-JUL","05-AUG","06-SEP","07-OCT","08-NOV","09-DEC"))</f>
        <v>07-OCT</v>
      </c>
      <c r="F826" s="242">
        <v>45940</v>
      </c>
      <c r="G826" s="231" t="s">
        <v>2890</v>
      </c>
      <c r="H826" s="410" t="s">
        <v>2304</v>
      </c>
      <c r="I826" s="29" t="s">
        <v>223</v>
      </c>
      <c r="K826" s="281" t="str">
        <f>IF(H826="","",IFERROR(VLOOKUP(H826,Instructions!D:E,2,0),"BA"))</f>
        <v>BA</v>
      </c>
      <c r="L826" s="78" t="s">
        <v>2740</v>
      </c>
      <c r="M826" s="151">
        <f>IF(SUM(V826:BC826)=0,"-",SUM(V826:BC826))</f>
        <v>2</v>
      </c>
      <c r="N826" s="352">
        <f>IF(SUMPRODUCT($V$3:$BC$3,V826:BC826)=0,"-",SUMPRODUCT($V$3:$BC$3,V826:BC826))</f>
        <v>70</v>
      </c>
      <c r="O826" s="98" t="s">
        <v>2891</v>
      </c>
      <c r="P826" s="280" t="s">
        <v>481</v>
      </c>
      <c r="Q826" s="359"/>
      <c r="R826" s="359"/>
      <c r="S826" s="359"/>
      <c r="T826" s="359"/>
      <c r="U826" s="360"/>
      <c r="W826" s="8">
        <v>2</v>
      </c>
    </row>
    <row r="827" spans="1:56">
      <c r="A827" s="286" t="s">
        <v>220</v>
      </c>
      <c r="B827" s="286" t="s">
        <v>221</v>
      </c>
      <c r="C827" s="280" t="s">
        <v>2302</v>
      </c>
      <c r="D827" s="281" t="str">
        <f>IF(F827="","",CHOOSE(MONTH(F827),"Q4","Q4","Q4","Q1","Q1","Q1","Q2","Q2","Q2","Q3","Q3","Q3"))</f>
        <v>Q3</v>
      </c>
      <c r="E827" s="282" t="str">
        <f>IF(F827="","",CHOOSE(MONTH(F827),"10-JAN","11-FEB","12-MAR","01-APR","02-MAY","03-JUN","04-JUL","05-AUG","06-SEP","07-OCT","08-NOV","09-DEC"))</f>
        <v>07-OCT</v>
      </c>
      <c r="F827" s="242">
        <v>45945</v>
      </c>
      <c r="G827" s="231" t="s">
        <v>2892</v>
      </c>
      <c r="H827" s="459" t="s">
        <v>33</v>
      </c>
      <c r="I827" s="29" t="s">
        <v>223</v>
      </c>
      <c r="J827" s="8" t="s">
        <v>164</v>
      </c>
      <c r="K827" s="281" t="str">
        <f>IF(H827="","",IFERROR(VLOOKUP(H827,Instructions!D:E,2,0),"BA"))</f>
        <v>BA</v>
      </c>
      <c r="L827" s="30" t="s">
        <v>2893</v>
      </c>
      <c r="M827" s="151">
        <f>IF(SUM(V827:BC827)=0,"-",SUM(V827:BC827))</f>
        <v>1</v>
      </c>
      <c r="N827" s="352">
        <f>IF(SUMPRODUCT($V$3:$BC$3,V827:BC827)=0,"-",SUMPRODUCT($V$3:$BC$3,V827:BC827))</f>
        <v>120</v>
      </c>
      <c r="O827" s="114" t="s">
        <v>2894</v>
      </c>
      <c r="P827" s="280" t="s">
        <v>481</v>
      </c>
      <c r="Q827" s="211">
        <v>4300164169</v>
      </c>
      <c r="R827" s="211"/>
      <c r="S827" s="211" t="s">
        <v>249</v>
      </c>
      <c r="T827" s="211" t="s">
        <v>2868</v>
      </c>
      <c r="U827" s="253" t="s">
        <v>2738</v>
      </c>
      <c r="V827" s="7">
        <v>1</v>
      </c>
    </row>
    <row r="828" spans="1:56">
      <c r="A828" s="286" t="s">
        <v>244</v>
      </c>
      <c r="B828" s="286" t="s">
        <v>221</v>
      </c>
      <c r="C828" s="280" t="s">
        <v>2302</v>
      </c>
      <c r="D828" s="281" t="str">
        <f>IF(F828="","",CHOOSE(MONTH(F828),"Q4","Q4","Q4","Q1","Q1","Q1","Q2","Q2","Q2","Q3","Q3","Q3"))</f>
        <v>Q3</v>
      </c>
      <c r="E828" s="282" t="str">
        <f>IF(F828="","",CHOOSE(MONTH(F828),"10-JAN","11-FEB","12-MAR","01-APR","02-MAY","03-JUN","04-JUL","05-AUG","06-SEP","07-OCT","08-NOV","09-DEC"))</f>
        <v>07-OCT</v>
      </c>
      <c r="F828" s="242">
        <v>45946</v>
      </c>
      <c r="G828" s="222" t="s">
        <v>2895</v>
      </c>
      <c r="H828" s="5" t="s">
        <v>2018</v>
      </c>
      <c r="I828" s="29" t="s">
        <v>223</v>
      </c>
      <c r="K828" s="281" t="str">
        <f>IF(H828="","",IFERROR(VLOOKUP(H828,Instructions!D:E,2,0),"BA"))</f>
        <v>BA</v>
      </c>
      <c r="L828" s="30" t="s">
        <v>2896</v>
      </c>
      <c r="M828" s="151">
        <f>IF(SUM(V828:BC828)=0,"-",SUM(V828:BC828))</f>
        <v>24</v>
      </c>
      <c r="N828" s="65">
        <v>1000</v>
      </c>
      <c r="O828" s="114" t="s">
        <v>2897</v>
      </c>
      <c r="P828" s="280" t="s">
        <v>481</v>
      </c>
      <c r="Q828" s="211">
        <v>4300147552</v>
      </c>
      <c r="R828" s="211"/>
      <c r="S828" s="211" t="s">
        <v>249</v>
      </c>
      <c r="T828" s="211" t="s">
        <v>2898</v>
      </c>
      <c r="U828" s="253" t="s">
        <v>2541</v>
      </c>
      <c r="V828" s="7">
        <v>1</v>
      </c>
      <c r="W828" s="8">
        <v>19</v>
      </c>
      <c r="Y828" s="8">
        <v>4</v>
      </c>
    </row>
    <row r="829" spans="1:56">
      <c r="A829" s="286" t="s">
        <v>244</v>
      </c>
      <c r="B829" s="286" t="s">
        <v>221</v>
      </c>
      <c r="C829" s="280" t="s">
        <v>2302</v>
      </c>
      <c r="D829" s="281" t="str">
        <f>IF(F829="","",CHOOSE(MONTH(F829),"Q4","Q4","Q4","Q1","Q1","Q1","Q2","Q2","Q2","Q3","Q3","Q3"))</f>
        <v>Q3</v>
      </c>
      <c r="E829" s="282" t="str">
        <f>IF(F829="","",CHOOSE(MONTH(F829),"10-JAN","11-FEB","12-MAR","01-APR","02-MAY","03-JUN","04-JUL","05-AUG","06-SEP","07-OCT","08-NOV","09-DEC"))</f>
        <v>07-OCT</v>
      </c>
      <c r="F829" s="242">
        <v>45946</v>
      </c>
      <c r="G829" s="231" t="s">
        <v>2899</v>
      </c>
      <c r="H829" s="477" t="s">
        <v>31</v>
      </c>
      <c r="I829" s="29" t="s">
        <v>223</v>
      </c>
      <c r="J829" s="8" t="s">
        <v>95</v>
      </c>
      <c r="K829" s="281" t="str">
        <f>IF(H829="","",IFERROR(VLOOKUP(H829,Instructions!D:E,2,0),"BA"))</f>
        <v>BA</v>
      </c>
      <c r="L829" s="30" t="s">
        <v>2900</v>
      </c>
      <c r="M829" s="151">
        <f>IF(SUM(V829:BC829)=0,"-",SUM(V829:BC829))</f>
        <v>1</v>
      </c>
      <c r="N829" s="65">
        <f>IF(SUMPRODUCT($V$3:$BC$3,V829:BC829)=0,"-",SUMPRODUCT($V$3:$BC$3,V829:BC829))</f>
        <v>120</v>
      </c>
      <c r="O829" s="78" t="s">
        <v>2901</v>
      </c>
      <c r="P829" s="280" t="s">
        <v>481</v>
      </c>
      <c r="Q829" s="81">
        <v>4300151822</v>
      </c>
      <c r="R829" s="449" t="s">
        <v>2872</v>
      </c>
      <c r="S829" s="211" t="s">
        <v>249</v>
      </c>
      <c r="T829" s="81" t="s">
        <v>2902</v>
      </c>
      <c r="U829" s="253" t="s">
        <v>2903</v>
      </c>
      <c r="V829" s="5">
        <v>1</v>
      </c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</row>
    <row r="830" spans="1:56">
      <c r="A830" s="286" t="s">
        <v>244</v>
      </c>
      <c r="B830" s="286" t="s">
        <v>221</v>
      </c>
      <c r="C830" s="280" t="s">
        <v>2</v>
      </c>
      <c r="D830" s="281" t="str">
        <f>IF(F830="","",CHOOSE(MONTH(F830),"Q4","Q4","Q4","Q1","Q1","Q1","Q2","Q2","Q2","Q3","Q3","Q3"))</f>
        <v>Q3</v>
      </c>
      <c r="E830" s="282" t="str">
        <f>IF(F830="","",CHOOSE(MONTH(F830),"10-JAN","11-FEB","12-MAR","01-APR","02-MAY","03-JUN","04-JUL","05-AUG","06-SEP","07-OCT","08-NOV","09-DEC"))</f>
        <v>07-OCT</v>
      </c>
      <c r="F830" s="242">
        <v>45947</v>
      </c>
      <c r="G830" s="231" t="s">
        <v>2904</v>
      </c>
      <c r="H830" s="156" t="s">
        <v>2693</v>
      </c>
      <c r="I830" s="29" t="s">
        <v>223</v>
      </c>
      <c r="J830" s="8" t="s">
        <v>163</v>
      </c>
      <c r="K830" s="281" t="str">
        <f>IF(H830="","",IFERROR(VLOOKUP(H830,Instructions!D:E,2,0),"BA"))</f>
        <v>BA</v>
      </c>
      <c r="L830" s="30" t="s">
        <v>2905</v>
      </c>
      <c r="M830" s="151">
        <f>IF(SUM(V830:BC830)=0,"-",SUM(V830:BC830))</f>
        <v>1</v>
      </c>
      <c r="N830" s="439">
        <f>IF(SUMPRODUCT($V$3:$BC$3,V830:BC830)=0,"-",SUMPRODUCT($V$3:$BC$3,V830:BC830))</f>
        <v>135</v>
      </c>
      <c r="O830" s="30" t="s">
        <v>2906</v>
      </c>
      <c r="P830" s="280" t="s">
        <v>481</v>
      </c>
      <c r="Q830" s="469">
        <v>4300148944</v>
      </c>
      <c r="R830" s="469"/>
      <c r="S830" s="469" t="s">
        <v>249</v>
      </c>
      <c r="T830" s="469" t="s">
        <v>2907</v>
      </c>
      <c r="U830" s="470" t="s">
        <v>2908</v>
      </c>
      <c r="AC830" s="7">
        <v>1</v>
      </c>
    </row>
    <row r="831" spans="1:56">
      <c r="A831" s="286" t="s">
        <v>244</v>
      </c>
      <c r="B831" s="286" t="s">
        <v>221</v>
      </c>
      <c r="C831" s="280" t="s">
        <v>2302</v>
      </c>
      <c r="D831" s="281" t="str">
        <f>IF(F831="","",CHOOSE(MONTH(F831),"Q4","Q4","Q4","Q1","Q1","Q1","Q2","Q2","Q2","Q3","Q3","Q3"))</f>
        <v>Q3</v>
      </c>
      <c r="E831" s="282" t="str">
        <f>IF(F831="","",CHOOSE(MONTH(F831),"10-JAN","11-FEB","12-MAR","01-APR","02-MAY","03-JUN","04-JUL","05-AUG","06-SEP","07-OCT","08-NOV","09-DEC"))</f>
        <v>07-OCT</v>
      </c>
      <c r="F831" s="242">
        <v>45947</v>
      </c>
      <c r="G831" s="222" t="s">
        <v>2682</v>
      </c>
      <c r="H831" s="460" t="s">
        <v>33</v>
      </c>
      <c r="I831" s="29" t="s">
        <v>223</v>
      </c>
      <c r="J831" s="8" t="s">
        <v>95</v>
      </c>
      <c r="K831" s="281" t="str">
        <f>IF(H831="","",IFERROR(VLOOKUP(H831,Instructions!D:E,2,0),"BA"))</f>
        <v>BA</v>
      </c>
      <c r="L831" s="78" t="s">
        <v>2683</v>
      </c>
      <c r="M831" s="151">
        <f>IF(SUM(V831:BC831)=0,"-",SUM(V831:BC831))</f>
        <v>1</v>
      </c>
      <c r="N831" s="352">
        <f>IF(SUMPRODUCT($V$3:$BC$3,V831:BC831)=0,"-",SUMPRODUCT($V$3:$BC$3,V831:BC831))</f>
        <v>120</v>
      </c>
      <c r="O831" s="114" t="s">
        <v>2909</v>
      </c>
      <c r="P831" s="280" t="s">
        <v>481</v>
      </c>
      <c r="Q831" s="260">
        <v>4300162283</v>
      </c>
      <c r="R831" s="260"/>
      <c r="S831" s="260" t="s">
        <v>249</v>
      </c>
      <c r="T831" s="260" t="s">
        <v>2781</v>
      </c>
      <c r="U831" s="257" t="s">
        <v>2581</v>
      </c>
      <c r="V831" s="7">
        <v>1</v>
      </c>
    </row>
    <row r="832" spans="1:56">
      <c r="A832" s="286" t="s">
        <v>220</v>
      </c>
      <c r="B832" s="286" t="s">
        <v>221</v>
      </c>
      <c r="C832" s="280" t="s">
        <v>2302</v>
      </c>
      <c r="D832" s="281" t="str">
        <f>IF(F832="","",CHOOSE(MONTH(F832),"Q4","Q4","Q4","Q1","Q1","Q1","Q2","Q2","Q2","Q3","Q3","Q3"))</f>
        <v>Q3</v>
      </c>
      <c r="E832" s="282" t="str">
        <f>IF(F832="","",CHOOSE(MONTH(F832),"10-JAN","11-FEB","12-MAR","01-APR","02-MAY","03-JUN","04-JUL","05-AUG","06-SEP","07-OCT","08-NOV","09-DEC"))</f>
        <v>07-OCT</v>
      </c>
      <c r="F832" s="242">
        <v>45950</v>
      </c>
      <c r="G832" s="222" t="s">
        <v>2910</v>
      </c>
      <c r="H832" s="410" t="s">
        <v>36</v>
      </c>
      <c r="I832" s="29" t="s">
        <v>223</v>
      </c>
      <c r="K832" s="281" t="str">
        <f>IF(H832="","",IFERROR(VLOOKUP(H832,Instructions!D:E,2,0),"BA"))</f>
        <v>BA</v>
      </c>
      <c r="L832" s="30" t="s">
        <v>2911</v>
      </c>
      <c r="M832" s="151">
        <f>IF(SUM(V832:BC832)=0,"-",SUM(V832:BC832))</f>
        <v>1</v>
      </c>
      <c r="N832" s="65">
        <f>IF(SUMPRODUCT($V$3:$BC$3,V832:BC832)=0,"-",SUMPRODUCT($V$3:$BC$3,V832:BC832))</f>
        <v>120</v>
      </c>
      <c r="O832" s="114" t="s">
        <v>2912</v>
      </c>
      <c r="P832" s="280" t="s">
        <v>1168</v>
      </c>
      <c r="Q832" s="211">
        <v>4300152482</v>
      </c>
      <c r="R832" s="211"/>
      <c r="S832" s="211" t="s">
        <v>249</v>
      </c>
      <c r="T832" s="211" t="s">
        <v>2913</v>
      </c>
      <c r="U832" s="253" t="s">
        <v>2885</v>
      </c>
      <c r="V832" s="7">
        <v>1</v>
      </c>
    </row>
    <row r="833" spans="1:48">
      <c r="A833" s="286" t="s">
        <v>244</v>
      </c>
      <c r="B833" s="286" t="s">
        <v>221</v>
      </c>
      <c r="C833" s="280" t="s">
        <v>2302</v>
      </c>
      <c r="D833" s="281" t="str">
        <f>IF(F833="","",CHOOSE(MONTH(F833),"Q4","Q4","Q4","Q1","Q1","Q1","Q2","Q2","Q2","Q3","Q3","Q3"))</f>
        <v>Q3</v>
      </c>
      <c r="E833" s="282" t="str">
        <f>IF(F833="","",CHOOSE(MONTH(F833),"10-JAN","11-FEB","12-MAR","01-APR","02-MAY","03-JUN","04-JUL","05-AUG","06-SEP","07-OCT","08-NOV","09-DEC"))</f>
        <v>07-OCT</v>
      </c>
      <c r="F833" s="242">
        <v>45950</v>
      </c>
      <c r="G833" s="222" t="s">
        <v>2914</v>
      </c>
      <c r="H833" s="459" t="s">
        <v>1304</v>
      </c>
      <c r="I833" s="29" t="s">
        <v>223</v>
      </c>
      <c r="J833" s="8" t="s">
        <v>93</v>
      </c>
      <c r="K833" s="281" t="str">
        <f>IF(H833="","",IFERROR(VLOOKUP(H833,Instructions!D:E,2,0),"BA"))</f>
        <v>BA</v>
      </c>
      <c r="L833" s="30" t="s">
        <v>2575</v>
      </c>
      <c r="M833" s="151">
        <f>IF(SUM(V833:BC833)=0,"-",SUM(V833:BC833))</f>
        <v>1</v>
      </c>
      <c r="N833" s="352">
        <f>IF(SUMPRODUCT($V$3:$BC$3,V833:BC833)=0,"-",SUMPRODUCT($V$3:$BC$3,V833:BC833))</f>
        <v>35</v>
      </c>
      <c r="O833" s="114" t="s">
        <v>2915</v>
      </c>
      <c r="P833" s="280" t="s">
        <v>481</v>
      </c>
      <c r="Q833" s="211">
        <v>4300164432</v>
      </c>
      <c r="R833" s="211" t="s">
        <v>481</v>
      </c>
      <c r="S833" s="211" t="s">
        <v>249</v>
      </c>
      <c r="T833" s="211" t="s">
        <v>2916</v>
      </c>
      <c r="U833" s="255" t="s">
        <v>2917</v>
      </c>
      <c r="W833" s="8">
        <v>1</v>
      </c>
    </row>
    <row r="834" spans="1:48">
      <c r="A834" s="286" t="s">
        <v>244</v>
      </c>
      <c r="B834" s="286" t="s">
        <v>221</v>
      </c>
      <c r="C834" s="280" t="s">
        <v>2302</v>
      </c>
      <c r="D834" s="281" t="str">
        <f>IF(F834="","",CHOOSE(MONTH(F834),"Q4","Q4","Q4","Q1","Q1","Q1","Q2","Q2","Q2","Q3","Q3","Q3"))</f>
        <v>Q3</v>
      </c>
      <c r="E834" s="282" t="str">
        <f>IF(F834="","",CHOOSE(MONTH(F834),"10-JAN","11-FEB","12-MAR","01-APR","02-MAY","03-JUN","04-JUL","05-AUG","06-SEP","07-OCT","08-NOV","09-DEC"))</f>
        <v>07-OCT</v>
      </c>
      <c r="F834" s="242">
        <v>45951</v>
      </c>
      <c r="G834" s="222" t="s">
        <v>2918</v>
      </c>
      <c r="H834" s="5" t="s">
        <v>36</v>
      </c>
      <c r="I834" s="29" t="s">
        <v>223</v>
      </c>
      <c r="K834" s="281" t="str">
        <f>IF(H834="","",IFERROR(VLOOKUP(H834,Instructions!D:E,2,0),"BA"))</f>
        <v>BA</v>
      </c>
      <c r="L834" s="78" t="s">
        <v>2919</v>
      </c>
      <c r="M834" s="151">
        <f>IF(SUM(V834:BC834)=0,"-",SUM(V834:BC834))</f>
        <v>17</v>
      </c>
      <c r="N834" s="437">
        <f>300+1065</f>
        <v>1365</v>
      </c>
      <c r="O834" s="114" t="s">
        <v>2920</v>
      </c>
      <c r="P834" s="280" t="s">
        <v>481</v>
      </c>
      <c r="Q834" s="211">
        <v>4300147173</v>
      </c>
      <c r="R834" s="211" t="s">
        <v>481</v>
      </c>
      <c r="S834" s="211" t="s">
        <v>249</v>
      </c>
      <c r="T834" s="211" t="s">
        <v>2921</v>
      </c>
      <c r="U834" s="253" t="s">
        <v>2885</v>
      </c>
      <c r="V834" s="7">
        <v>2</v>
      </c>
      <c r="W834" s="8">
        <v>10</v>
      </c>
      <c r="X834" s="8">
        <v>1</v>
      </c>
      <c r="AC834" s="7">
        <v>1</v>
      </c>
      <c r="AD834" s="8">
        <v>3</v>
      </c>
    </row>
    <row r="835" spans="1:48">
      <c r="A835" s="286" t="s">
        <v>244</v>
      </c>
      <c r="B835" s="286" t="s">
        <v>221</v>
      </c>
      <c r="C835" s="280" t="s">
        <v>2</v>
      </c>
      <c r="D835" s="281" t="str">
        <f>IF(F835="","",CHOOSE(MONTH(F835),"Q4","Q4","Q4","Q1","Q1","Q1","Q2","Q2","Q2","Q3","Q3","Q3"))</f>
        <v>Q3</v>
      </c>
      <c r="E835" s="282" t="str">
        <f>IF(F835="","",CHOOSE(MONTH(F835),"10-JAN","11-FEB","12-MAR","01-APR","02-MAY","03-JUN","04-JUL","05-AUG","06-SEP","07-OCT","08-NOV","09-DEC"))</f>
        <v>07-OCT</v>
      </c>
      <c r="F835" s="242">
        <v>45951</v>
      </c>
      <c r="G835" s="474" t="s">
        <v>2922</v>
      </c>
      <c r="H835" s="5" t="s">
        <v>2923</v>
      </c>
      <c r="I835" s="29" t="s">
        <v>223</v>
      </c>
      <c r="J835" s="8" t="s">
        <v>638</v>
      </c>
      <c r="K835" s="281" t="str">
        <f>IF(H835="","",IFERROR(VLOOKUP(H835,Instructions!D:E,2,0),"BA"))</f>
        <v>BA</v>
      </c>
      <c r="L835" s="78" t="s">
        <v>2924</v>
      </c>
      <c r="M835" s="151">
        <v>19</v>
      </c>
      <c r="N835" s="65">
        <v>1870</v>
      </c>
      <c r="O835" s="30" t="s">
        <v>2925</v>
      </c>
      <c r="P835" s="280" t="s">
        <v>481</v>
      </c>
      <c r="Q835" s="260" t="s">
        <v>2926</v>
      </c>
      <c r="R835" s="260"/>
      <c r="S835" s="260" t="s">
        <v>249</v>
      </c>
      <c r="T835" s="260" t="s">
        <v>2927</v>
      </c>
      <c r="U835" s="257" t="s">
        <v>2928</v>
      </c>
    </row>
    <row r="836" spans="1:48" ht="30.75">
      <c r="A836" s="286" t="s">
        <v>244</v>
      </c>
      <c r="B836" s="286" t="s">
        <v>221</v>
      </c>
      <c r="C836" s="280" t="s">
        <v>2302</v>
      </c>
      <c r="D836" s="281" t="str">
        <f>IF(F836="","",CHOOSE(MONTH(F836),"Q4","Q4","Q4","Q1","Q1","Q1","Q2","Q2","Q2","Q3","Q3","Q3"))</f>
        <v>Q3</v>
      </c>
      <c r="E836" s="282" t="str">
        <f>IF(F836="","",CHOOSE(MONTH(F836),"10-JAN","11-FEB","12-MAR","01-APR","02-MAY","03-JUN","04-JUL","05-AUG","06-SEP","07-OCT","08-NOV","09-DEC"))</f>
        <v>07-OCT</v>
      </c>
      <c r="F836" s="242">
        <v>45951</v>
      </c>
      <c r="G836" s="474" t="s">
        <v>2929</v>
      </c>
      <c r="H836" s="5" t="s">
        <v>2923</v>
      </c>
      <c r="I836" s="29" t="s">
        <v>223</v>
      </c>
      <c r="J836" s="8" t="s">
        <v>638</v>
      </c>
      <c r="K836" s="281" t="str">
        <f>IF(H836="","",IFERROR(VLOOKUP(H836,Instructions!D:E,2,0),"BA"))</f>
        <v>BA</v>
      </c>
      <c r="L836" s="78" t="s">
        <v>2924</v>
      </c>
      <c r="M836" s="151">
        <v>15</v>
      </c>
      <c r="N836" s="65">
        <v>1095</v>
      </c>
      <c r="O836" s="30" t="s">
        <v>2930</v>
      </c>
      <c r="P836" s="280" t="s">
        <v>481</v>
      </c>
      <c r="Q836" s="139" t="s">
        <v>2926</v>
      </c>
      <c r="R836" s="260"/>
      <c r="S836" s="260" t="s">
        <v>249</v>
      </c>
      <c r="T836" s="260" t="s">
        <v>2931</v>
      </c>
      <c r="U836" s="257" t="s">
        <v>2928</v>
      </c>
      <c r="V836" s="7">
        <v>16</v>
      </c>
      <c r="W836" s="8">
        <v>15</v>
      </c>
      <c r="AS836" s="7">
        <v>2</v>
      </c>
      <c r="AV836" s="8">
        <v>1</v>
      </c>
    </row>
    <row r="837" spans="1:48">
      <c r="A837" s="286" t="s">
        <v>220</v>
      </c>
      <c r="B837" s="286" t="s">
        <v>221</v>
      </c>
      <c r="C837" s="280" t="s">
        <v>2302</v>
      </c>
      <c r="D837" s="281" t="str">
        <f>IF(F837="","",CHOOSE(MONTH(F837),"Q4","Q4","Q4","Q1","Q1","Q1","Q2","Q2","Q2","Q3","Q3","Q3"))</f>
        <v>Q3</v>
      </c>
      <c r="E837" s="282" t="str">
        <f>IF(F837="","",CHOOSE(MONTH(F837),"10-JAN","11-FEB","12-MAR","01-APR","02-MAY","03-JUN","04-JUL","05-AUG","06-SEP","07-OCT","08-NOV","09-DEC"))</f>
        <v>07-OCT</v>
      </c>
      <c r="F837" s="242">
        <v>45951</v>
      </c>
      <c r="G837" s="222" t="s">
        <v>2932</v>
      </c>
      <c r="H837" s="477" t="s">
        <v>31</v>
      </c>
      <c r="I837" s="29" t="s">
        <v>223</v>
      </c>
      <c r="J837" s="8" t="s">
        <v>95</v>
      </c>
      <c r="K837" s="281" t="str">
        <f>IF(H837="","",IFERROR(VLOOKUP(H837,Instructions!D:E,2,0),"BA"))</f>
        <v>BA</v>
      </c>
      <c r="L837" s="30" t="s">
        <v>2933</v>
      </c>
      <c r="M837" s="151">
        <f>IF(SUM(V837:BC837)=0,"-",SUM(V837:BC837))</f>
        <v>3</v>
      </c>
      <c r="N837" s="65">
        <f>IF(SUMPRODUCT($V$3:$BC$3,V837:BC837)=0,"-",SUMPRODUCT($V$3:$BC$3,V837:BC837))</f>
        <v>215</v>
      </c>
      <c r="O837" s="114" t="s">
        <v>2934</v>
      </c>
      <c r="P837" s="280" t="s">
        <v>481</v>
      </c>
      <c r="Q837" s="211">
        <v>4300151822</v>
      </c>
      <c r="R837" s="449" t="s">
        <v>2872</v>
      </c>
      <c r="S837" s="211" t="s">
        <v>249</v>
      </c>
      <c r="T837" s="81" t="s">
        <v>2902</v>
      </c>
      <c r="U837" s="253" t="s">
        <v>2903</v>
      </c>
      <c r="AC837" s="7">
        <v>1</v>
      </c>
      <c r="AD837" s="8">
        <v>2</v>
      </c>
    </row>
    <row r="838" spans="1:48">
      <c r="A838" s="286" t="s">
        <v>244</v>
      </c>
      <c r="B838" s="286" t="s">
        <v>221</v>
      </c>
      <c r="C838" s="280" t="s">
        <v>2302</v>
      </c>
      <c r="D838" s="281" t="str">
        <f>IF(F838="","",CHOOSE(MONTH(F838),"Q4","Q4","Q4","Q1","Q1","Q1","Q2","Q2","Q2","Q3","Q3","Q3"))</f>
        <v>Q3</v>
      </c>
      <c r="E838" s="282" t="str">
        <f>IF(F838="","",CHOOSE(MONTH(F838),"10-JAN","11-FEB","12-MAR","01-APR","02-MAY","03-JUN","04-JUL","05-AUG","06-SEP","07-OCT","08-NOV","09-DEC"))</f>
        <v>07-OCT</v>
      </c>
      <c r="F838" s="242">
        <v>45951</v>
      </c>
      <c r="G838" s="222" t="s">
        <v>2935</v>
      </c>
      <c r="H838" s="477" t="s">
        <v>31</v>
      </c>
      <c r="I838" s="29" t="s">
        <v>223</v>
      </c>
      <c r="J838" s="8" t="s">
        <v>95</v>
      </c>
      <c r="K838" s="281" t="str">
        <f>IF(H838="","",IFERROR(VLOOKUP(H838,Instructions!D:E,2,0),"BA"))</f>
        <v>BA</v>
      </c>
      <c r="L838" s="30" t="s">
        <v>2936</v>
      </c>
      <c r="M838" s="151">
        <f>IF(SUM(V838:BC838)=0,"-",SUM(V838:BC838))</f>
        <v>6</v>
      </c>
      <c r="N838" s="65">
        <f>IF(SUMPRODUCT($V$3:$BC$3,V838:BC838)=0,"-",SUMPRODUCT($V$3:$BC$3,V838:BC838))</f>
        <v>335</v>
      </c>
      <c r="O838" s="114" t="s">
        <v>2937</v>
      </c>
      <c r="P838" s="280" t="s">
        <v>481</v>
      </c>
      <c r="Q838" s="211">
        <v>4300151822</v>
      </c>
      <c r="R838" s="449" t="s">
        <v>2872</v>
      </c>
      <c r="S838" s="211" t="s">
        <v>249</v>
      </c>
      <c r="T838" s="81" t="s">
        <v>2902</v>
      </c>
      <c r="U838" s="253" t="s">
        <v>2903</v>
      </c>
      <c r="AC838" s="7">
        <v>1</v>
      </c>
      <c r="AD838" s="8">
        <v>5</v>
      </c>
    </row>
    <row r="839" spans="1:48">
      <c r="A839" s="286" t="s">
        <v>244</v>
      </c>
      <c r="B839" s="286" t="s">
        <v>221</v>
      </c>
      <c r="C839" s="280" t="s">
        <v>2302</v>
      </c>
      <c r="D839" s="281" t="str">
        <f>IF(F839="","",CHOOSE(MONTH(F839),"Q4","Q4","Q4","Q1","Q1","Q1","Q2","Q2","Q2","Q3","Q3","Q3"))</f>
        <v>Q3</v>
      </c>
      <c r="E839" s="282" t="str">
        <f>IF(F839="","",CHOOSE(MONTH(F839),"10-JAN","11-FEB","12-MAR","01-APR","02-MAY","03-JUN","04-JUL","05-AUG","06-SEP","07-OCT","08-NOV","09-DEC"))</f>
        <v>07-OCT</v>
      </c>
      <c r="F839" s="242">
        <v>45951</v>
      </c>
      <c r="G839" s="222" t="s">
        <v>2938</v>
      </c>
      <c r="H839" s="461" t="s">
        <v>31</v>
      </c>
      <c r="I839" s="29" t="s">
        <v>223</v>
      </c>
      <c r="J839" s="8" t="s">
        <v>95</v>
      </c>
      <c r="K839" s="281" t="str">
        <f>IF(H839="","",IFERROR(VLOOKUP(H839,Instructions!D:E,2,0),"BA"))</f>
        <v>BA</v>
      </c>
      <c r="L839" s="30" t="s">
        <v>2939</v>
      </c>
      <c r="M839" s="151">
        <f>IF(SUM(V839:BC839)=0,"-",SUM(V839:BC839))</f>
        <v>4</v>
      </c>
      <c r="N839" s="440">
        <f>IF(SUMPRODUCT($V$3:$BC$3,V839:BC839)=0,"-",SUMPRODUCT($V$3:$BC$3,V839:BC839))</f>
        <v>540</v>
      </c>
      <c r="O839" s="114" t="s">
        <v>2940</v>
      </c>
      <c r="P839" s="280" t="s">
        <v>481</v>
      </c>
      <c r="Q839" s="211">
        <v>4300151829</v>
      </c>
      <c r="R839" s="211" t="s">
        <v>2872</v>
      </c>
      <c r="S839" s="211" t="s">
        <v>249</v>
      </c>
      <c r="T839" s="211" t="s">
        <v>2941</v>
      </c>
      <c r="U839" s="253" t="s">
        <v>2903</v>
      </c>
      <c r="AC839" s="7">
        <v>4</v>
      </c>
    </row>
    <row r="840" spans="1:48">
      <c r="A840" s="286" t="s">
        <v>244</v>
      </c>
      <c r="B840" s="286" t="s">
        <v>221</v>
      </c>
      <c r="C840" s="280" t="s">
        <v>2</v>
      </c>
      <c r="D840" s="281" t="str">
        <f>IF(F840="","",CHOOSE(MONTH(F840),"Q4","Q4","Q4","Q1","Q1","Q1","Q2","Q2","Q2","Q3","Q3","Q3"))</f>
        <v>Q3</v>
      </c>
      <c r="E840" s="282" t="str">
        <f>IF(F840="","",CHOOSE(MONTH(F840),"10-JAN","11-FEB","12-MAR","01-APR","02-MAY","03-JUN","04-JUL","05-AUG","06-SEP","07-OCT","08-NOV","09-DEC"))</f>
        <v>07-OCT</v>
      </c>
      <c r="F840" s="242">
        <v>45959</v>
      </c>
      <c r="G840" s="222" t="s">
        <v>2942</v>
      </c>
      <c r="H840" s="410" t="s">
        <v>2018</v>
      </c>
      <c r="I840" s="29" t="s">
        <v>223</v>
      </c>
      <c r="K840" s="281" t="str">
        <f>IF(H840="","",IFERROR(VLOOKUP(H840,Instructions!D:E,2,0),"BA"))</f>
        <v>BA</v>
      </c>
      <c r="L840" s="78" t="s">
        <v>2943</v>
      </c>
      <c r="M840" s="151">
        <f>IF(SUM(V840:BC840)=0,"-",SUM(V840:BC840))</f>
        <v>5</v>
      </c>
      <c r="N840" s="65">
        <f>IF(SUMPRODUCT($V$3:$BC$3,V840:BC840)=0,"-",SUMPRODUCT($V$3:$BC$3,V840:BC840))</f>
        <v>280</v>
      </c>
      <c r="O840" s="114" t="s">
        <v>2944</v>
      </c>
      <c r="P840" s="280" t="s">
        <v>481</v>
      </c>
      <c r="Q840" s="172">
        <v>4300142813</v>
      </c>
      <c r="R840" s="211"/>
      <c r="S840" s="211" t="s">
        <v>249</v>
      </c>
      <c r="T840" s="211" t="s">
        <v>2945</v>
      </c>
      <c r="U840" s="253" t="s">
        <v>2885</v>
      </c>
      <c r="W840" s="8">
        <v>3</v>
      </c>
      <c r="AC840" s="7">
        <v>1</v>
      </c>
      <c r="AD840" s="8">
        <v>1</v>
      </c>
    </row>
    <row r="841" spans="1:48">
      <c r="A841" s="286" t="s">
        <v>244</v>
      </c>
      <c r="B841" s="286" t="s">
        <v>221</v>
      </c>
      <c r="C841" s="280" t="s">
        <v>2302</v>
      </c>
      <c r="D841" s="281" t="str">
        <f>IF(F841="","",CHOOSE(MONTH(F841),"Q4","Q4","Q4","Q1","Q1","Q1","Q2","Q2","Q2","Q3","Q3","Q3"))</f>
        <v>Q3</v>
      </c>
      <c r="E841" s="282" t="str">
        <f>IF(F841="","",CHOOSE(MONTH(F841),"10-JAN","11-FEB","12-MAR","01-APR","02-MAY","03-JUN","04-JUL","05-AUG","06-SEP","07-OCT","08-NOV","09-DEC"))</f>
        <v>07-OCT</v>
      </c>
      <c r="F841" s="242">
        <v>45960</v>
      </c>
      <c r="G841" s="231" t="s">
        <v>2946</v>
      </c>
      <c r="H841" s="477" t="s">
        <v>31</v>
      </c>
      <c r="I841" s="29" t="s">
        <v>223</v>
      </c>
      <c r="J841" s="8" t="s">
        <v>95</v>
      </c>
      <c r="K841" s="281" t="str">
        <f>IF(H841="","",IFERROR(VLOOKUP(H841,Instructions!D:E,2,0),"BA"))</f>
        <v>BA</v>
      </c>
      <c r="L841" s="30" t="s">
        <v>2887</v>
      </c>
      <c r="M841" s="151">
        <f>IF(SUM(V841:BC841)=0,"-",SUM(V841:BC841))</f>
        <v>1</v>
      </c>
      <c r="N841" s="65">
        <f>IF(SUMPRODUCT($V$3:$BC$3,V841:BC841)=0,"-",SUMPRODUCT($V$3:$BC$3,V841:BC841))</f>
        <v>40</v>
      </c>
      <c r="O841" s="114" t="s">
        <v>2947</v>
      </c>
      <c r="P841" s="280" t="s">
        <v>481</v>
      </c>
      <c r="Q841" s="211">
        <v>4300151822</v>
      </c>
      <c r="R841" s="449" t="s">
        <v>2872</v>
      </c>
      <c r="S841" s="211" t="s">
        <v>249</v>
      </c>
      <c r="T841" s="81" t="s">
        <v>2902</v>
      </c>
      <c r="U841" s="253" t="s">
        <v>2903</v>
      </c>
      <c r="AD841" s="8">
        <v>1</v>
      </c>
    </row>
    <row r="842" spans="1:48">
      <c r="A842" s="286" t="s">
        <v>220</v>
      </c>
      <c r="B842" s="286" t="s">
        <v>221</v>
      </c>
      <c r="C842" s="280" t="s">
        <v>2302</v>
      </c>
      <c r="D842" s="281" t="str">
        <f>IF(F842="","",CHOOSE(MONTH(F842),"Q4","Q4","Q4","Q1","Q1","Q1","Q2","Q2","Q2","Q3","Q3","Q3"))</f>
        <v>Q3</v>
      </c>
      <c r="E842" s="282" t="str">
        <f>IF(F842="","",CHOOSE(MONTH(F842),"10-JAN","11-FEB","12-MAR","01-APR","02-MAY","03-JUN","04-JUL","05-AUG","06-SEP","07-OCT","08-NOV","09-DEC"))</f>
        <v>08-NOV</v>
      </c>
      <c r="F842" s="242">
        <v>45966</v>
      </c>
      <c r="G842" s="231" t="s">
        <v>2948</v>
      </c>
      <c r="H842" s="5" t="s">
        <v>36</v>
      </c>
      <c r="I842" s="29" t="s">
        <v>223</v>
      </c>
      <c r="K842" s="281" t="str">
        <f>IF(H842="","",IFERROR(VLOOKUP(H842,Instructions!D:E,2,0),"BA"))</f>
        <v>BA</v>
      </c>
      <c r="L842" s="30" t="s">
        <v>2949</v>
      </c>
      <c r="M842" s="151">
        <f>IF(SUM(V842:BC842)=0,"-",SUM(V842:BC842))</f>
        <v>15</v>
      </c>
      <c r="N842" s="65">
        <f>IF(SUMPRODUCT($V$3:$BC$3,V842:BC842)=0,"-",SUMPRODUCT($V$3:$BC$3,V842:BC842))</f>
        <v>705</v>
      </c>
      <c r="O842" s="114" t="s">
        <v>2950</v>
      </c>
      <c r="P842" s="280" t="s">
        <v>2883</v>
      </c>
      <c r="Q842" s="211">
        <v>4300152485</v>
      </c>
      <c r="R842" s="211"/>
      <c r="S842" s="211" t="s">
        <v>249</v>
      </c>
      <c r="T842" s="211" t="s">
        <v>2951</v>
      </c>
      <c r="U842" s="253" t="s">
        <v>2885</v>
      </c>
      <c r="V842" s="7">
        <v>2</v>
      </c>
      <c r="W842" s="8">
        <v>11</v>
      </c>
      <c r="AD842" s="8">
        <v>2</v>
      </c>
    </row>
    <row r="843" spans="1:48">
      <c r="A843" s="286" t="s">
        <v>244</v>
      </c>
      <c r="B843" s="286" t="s">
        <v>221</v>
      </c>
      <c r="C843" s="280" t="s">
        <v>2302</v>
      </c>
      <c r="D843" s="281" t="str">
        <f>IF(F843="","",CHOOSE(MONTH(F843),"Q4","Q4","Q4","Q1","Q1","Q1","Q2","Q2","Q2","Q3","Q3","Q3"))</f>
        <v>Q3</v>
      </c>
      <c r="E843" s="282" t="str">
        <f>IF(F843="","",CHOOSE(MONTH(F843),"10-JAN","11-FEB","12-MAR","01-APR","02-MAY","03-JUN","04-JUL","05-AUG","06-SEP","07-OCT","08-NOV","09-DEC"))</f>
        <v>08-NOV</v>
      </c>
      <c r="F843" s="242">
        <v>45966</v>
      </c>
      <c r="G843" s="231" t="s">
        <v>2952</v>
      </c>
      <c r="H843" s="5" t="s">
        <v>36</v>
      </c>
      <c r="I843" s="29" t="s">
        <v>223</v>
      </c>
      <c r="K843" s="281" t="str">
        <f>IF(H843="","",IFERROR(VLOOKUP(H843,Instructions!D:E,2,0),"BA"))</f>
        <v>BA</v>
      </c>
      <c r="L843" s="78" t="s">
        <v>2953</v>
      </c>
      <c r="M843" s="151">
        <f>IF(SUM(V843:BC843)=0,"-",SUM(V843:BC843))</f>
        <v>19</v>
      </c>
      <c r="N843" s="65">
        <f>IF(SUMPRODUCT($V$3:$BC$3,V843:BC843)=0,"-",SUMPRODUCT($V$3:$BC$3,V843:BC843))</f>
        <v>760</v>
      </c>
      <c r="O843" s="114" t="s">
        <v>2954</v>
      </c>
      <c r="P843" s="280" t="s">
        <v>481</v>
      </c>
      <c r="Q843" s="211">
        <v>4300151832</v>
      </c>
      <c r="R843" s="211"/>
      <c r="S843" s="211" t="s">
        <v>249</v>
      </c>
      <c r="T843" s="211" t="s">
        <v>2955</v>
      </c>
      <c r="U843" s="253" t="s">
        <v>2885</v>
      </c>
      <c r="AD843" s="8">
        <v>19</v>
      </c>
    </row>
    <row r="844" spans="1:48">
      <c r="A844" s="286" t="s">
        <v>244</v>
      </c>
      <c r="B844" s="286" t="s">
        <v>221</v>
      </c>
      <c r="C844" s="280" t="s">
        <v>2302</v>
      </c>
      <c r="D844" s="281" t="str">
        <f>IF(F844="","",CHOOSE(MONTH(F844),"Q4","Q4","Q4","Q1","Q1","Q1","Q2","Q2","Q2","Q3","Q3","Q3"))</f>
        <v>Q3</v>
      </c>
      <c r="E844" s="282" t="str">
        <f>IF(F844="","",CHOOSE(MONTH(F844),"10-JAN","11-FEB","12-MAR","01-APR","02-MAY","03-JUN","04-JUL","05-AUG","06-SEP","07-OCT","08-NOV","09-DEC"))</f>
        <v>08-NOV</v>
      </c>
      <c r="F844" s="242">
        <v>45966</v>
      </c>
      <c r="G844" s="222" t="s">
        <v>2956</v>
      </c>
      <c r="H844" s="410" t="s">
        <v>2018</v>
      </c>
      <c r="I844" s="29" t="s">
        <v>223</v>
      </c>
      <c r="K844" s="281" t="str">
        <f>IF(H844="","",IFERROR(VLOOKUP(H844,Instructions!D:E,2,0),"BA"))</f>
        <v>BA</v>
      </c>
      <c r="L844" s="78" t="s">
        <v>2957</v>
      </c>
      <c r="M844" s="151">
        <f>IF(SUM(V844:BC844)=0,"-",SUM(V844:BC844))</f>
        <v>17</v>
      </c>
      <c r="N844" s="65">
        <v>825</v>
      </c>
      <c r="O844" s="98" t="s">
        <v>2958</v>
      </c>
      <c r="P844" s="280" t="s">
        <v>481</v>
      </c>
      <c r="Q844" s="211">
        <v>4300142705</v>
      </c>
      <c r="R844" s="211"/>
      <c r="S844" s="211" t="s">
        <v>249</v>
      </c>
      <c r="T844" s="211" t="s">
        <v>2959</v>
      </c>
      <c r="U844" s="253" t="s">
        <v>2885</v>
      </c>
      <c r="X844" s="8">
        <v>1</v>
      </c>
      <c r="Y844" s="8">
        <v>16</v>
      </c>
    </row>
    <row r="845" spans="1:48">
      <c r="A845" s="286" t="s">
        <v>244</v>
      </c>
      <c r="B845" s="286" t="s">
        <v>221</v>
      </c>
      <c r="C845" s="280" t="s">
        <v>2</v>
      </c>
      <c r="D845" s="281" t="str">
        <f>IF(F845="","",CHOOSE(MONTH(F845),"Q4","Q4","Q4","Q1","Q1","Q1","Q2","Q2","Q2","Q3","Q3","Q3"))</f>
        <v>Q3</v>
      </c>
      <c r="E845" s="282" t="str">
        <f>IF(F845="","",CHOOSE(MONTH(F845),"10-JAN","11-FEB","12-MAR","01-APR","02-MAY","03-JUN","04-JUL","05-AUG","06-SEP","07-OCT","08-NOV","09-DEC"))</f>
        <v>08-NOV</v>
      </c>
      <c r="F845" s="242">
        <v>45966</v>
      </c>
      <c r="G845" s="222" t="s">
        <v>2960</v>
      </c>
      <c r="H845" s="464" t="s">
        <v>2693</v>
      </c>
      <c r="I845" s="29" t="s">
        <v>223</v>
      </c>
      <c r="J845" s="8" t="s">
        <v>130</v>
      </c>
      <c r="K845" s="281" t="str">
        <f>IF(H845="","",IFERROR(VLOOKUP(H845,Instructions!D:E,2,0),"BA"))</f>
        <v>BA</v>
      </c>
      <c r="L845" s="78" t="s">
        <v>2961</v>
      </c>
      <c r="M845" s="151">
        <f>IF(SUM(V845:BC845)=0,"-",SUM(V845:BC845))</f>
        <v>1</v>
      </c>
      <c r="N845" s="65">
        <f>IF(SUMPRODUCT($V$3:$BC$3,V845:BC845)=0,"-",SUMPRODUCT($V$3:$BC$3,V845:BC845))</f>
        <v>80</v>
      </c>
      <c r="O845" s="114" t="s">
        <v>2962</v>
      </c>
      <c r="P845" s="280" t="s">
        <v>481</v>
      </c>
      <c r="Q845" s="469" t="s">
        <v>2963</v>
      </c>
      <c r="R845" s="469"/>
      <c r="S845" s="469" t="s">
        <v>249</v>
      </c>
      <c r="T845" s="469" t="s">
        <v>2964</v>
      </c>
      <c r="U845" s="470" t="s">
        <v>2965</v>
      </c>
      <c r="AS845" s="7">
        <v>1</v>
      </c>
    </row>
    <row r="846" spans="1:48">
      <c r="A846" s="286" t="s">
        <v>244</v>
      </c>
      <c r="B846" s="286" t="s">
        <v>221</v>
      </c>
      <c r="C846" s="280" t="s">
        <v>2302</v>
      </c>
      <c r="D846" s="281" t="str">
        <f>IF(F846="","",CHOOSE(MONTH(F846),"Q4","Q4","Q4","Q1","Q1","Q1","Q2","Q2","Q2","Q3","Q3","Q3"))</f>
        <v>Q3</v>
      </c>
      <c r="E846" s="282" t="str">
        <f>IF(F846="","",CHOOSE(MONTH(F846),"10-JAN","11-FEB","12-MAR","01-APR","02-MAY","03-JUN","04-JUL","05-AUG","06-SEP","07-OCT","08-NOV","09-DEC"))</f>
        <v>08-NOV</v>
      </c>
      <c r="F846" s="242">
        <v>45966</v>
      </c>
      <c r="G846" s="231" t="s">
        <v>2966</v>
      </c>
      <c r="H846" s="464" t="s">
        <v>2693</v>
      </c>
      <c r="I846" s="29" t="s">
        <v>223</v>
      </c>
      <c r="J846" s="8" t="s">
        <v>95</v>
      </c>
      <c r="K846" s="281" t="str">
        <f>IF(H846="","",IFERROR(VLOOKUP(H846,Instructions!D:E,2,0),"BA"))</f>
        <v>BA</v>
      </c>
      <c r="L846" s="30" t="s">
        <v>2967</v>
      </c>
      <c r="M846" s="151">
        <f>IF(SUM(V846:BC846)=0,"-",SUM(V846:BC846))</f>
        <v>1</v>
      </c>
      <c r="N846" s="65">
        <f>IF(SUMPRODUCT($V$3:$BC$3,V846:BC846)=0,"-",SUMPRODUCT($V$3:$BC$3,V846:BC846))</f>
        <v>40</v>
      </c>
      <c r="O846" s="114" t="s">
        <v>2968</v>
      </c>
      <c r="P846" s="280" t="s">
        <v>481</v>
      </c>
      <c r="Q846" s="469" t="s">
        <v>2963</v>
      </c>
      <c r="R846" s="469"/>
      <c r="S846" s="469" t="s">
        <v>249</v>
      </c>
      <c r="T846" s="469" t="s">
        <v>2964</v>
      </c>
      <c r="U846" s="470" t="s">
        <v>2965</v>
      </c>
      <c r="AD846" s="8">
        <v>1</v>
      </c>
    </row>
    <row r="847" spans="1:48">
      <c r="A847" s="286" t="s">
        <v>220</v>
      </c>
      <c r="B847" s="286" t="s">
        <v>221</v>
      </c>
      <c r="C847" s="280" t="s">
        <v>2302</v>
      </c>
      <c r="D847" s="281" t="str">
        <f>IF(F847="","",CHOOSE(MONTH(F847),"Q4","Q4","Q4","Q1","Q1","Q1","Q2","Q2","Q2","Q3","Q3","Q3"))</f>
        <v>Q3</v>
      </c>
      <c r="E847" s="282" t="str">
        <f>IF(F847="","",CHOOSE(MONTH(F847),"10-JAN","11-FEB","12-MAR","01-APR","02-MAY","03-JUN","04-JUL","05-AUG","06-SEP","07-OCT","08-NOV","09-DEC"))</f>
        <v>08-NOV</v>
      </c>
      <c r="F847" s="242">
        <v>45966</v>
      </c>
      <c r="G847" s="231" t="s">
        <v>2969</v>
      </c>
      <c r="H847" s="5" t="s">
        <v>2018</v>
      </c>
      <c r="I847" s="29" t="s">
        <v>223</v>
      </c>
      <c r="K847" s="281" t="str">
        <f>IF(H847="","",IFERROR(VLOOKUP(H847,Instructions!D:E,2,0),"BA"))</f>
        <v>BA</v>
      </c>
      <c r="L847" s="78" t="s">
        <v>2957</v>
      </c>
      <c r="M847" s="151">
        <f>IF(SUM(V847:BC847)=0,"-",SUM(V847:BC847))</f>
        <v>17</v>
      </c>
      <c r="N847" s="65">
        <f>IF(SUMPRODUCT($V$3:$BC$3,V847:BC847)=0,"-",SUMPRODUCT($V$3:$BC$3,V847:BC847))-825</f>
        <v>355</v>
      </c>
      <c r="O847" s="98" t="s">
        <v>2958</v>
      </c>
      <c r="P847" s="280" t="s">
        <v>481</v>
      </c>
      <c r="Q847" s="260">
        <v>4300157360</v>
      </c>
      <c r="R847" s="260"/>
      <c r="S847" s="260" t="s">
        <v>249</v>
      </c>
      <c r="T847" s="260" t="s">
        <v>2970</v>
      </c>
      <c r="U847" s="257" t="s">
        <v>2581</v>
      </c>
      <c r="X847" s="8">
        <v>1</v>
      </c>
      <c r="Y847" s="8">
        <v>16</v>
      </c>
    </row>
    <row r="848" spans="1:48">
      <c r="A848" s="286" t="s">
        <v>244</v>
      </c>
      <c r="B848" s="286" t="s">
        <v>221</v>
      </c>
      <c r="C848" s="280" t="s">
        <v>2302</v>
      </c>
      <c r="D848" s="281" t="str">
        <f>IF(F848="","",CHOOSE(MONTH(F848),"Q4","Q4","Q4","Q1","Q1","Q1","Q2","Q2","Q2","Q3","Q3","Q3"))</f>
        <v>Q3</v>
      </c>
      <c r="E848" s="282" t="str">
        <f>IF(F848="","",CHOOSE(MONTH(F848),"10-JAN","11-FEB","12-MAR","01-APR","02-MAY","03-JUN","04-JUL","05-AUG","06-SEP","07-OCT","08-NOV","09-DEC"))</f>
        <v>08-NOV</v>
      </c>
      <c r="F848" s="242">
        <v>45973</v>
      </c>
      <c r="G848" s="231" t="s">
        <v>2971</v>
      </c>
      <c r="H848" s="5" t="s">
        <v>36</v>
      </c>
      <c r="I848" s="29" t="s">
        <v>223</v>
      </c>
      <c r="K848" s="281" t="str">
        <f>IF(H848="","",IFERROR(VLOOKUP(H848,Instructions!D:E,2,0),"BA"))</f>
        <v>BA</v>
      </c>
      <c r="L848" s="30" t="s">
        <v>2972</v>
      </c>
      <c r="M848" s="151">
        <f>IF(SUM(V848:BC848)=0,"-",SUM(V848:BC848))</f>
        <v>8</v>
      </c>
      <c r="N848" s="65">
        <f>IF(SUMPRODUCT($V$3:$BC$3,V848:BC848)=0,"-",SUMPRODUCT($V$3:$BC$3,V848:BC848))</f>
        <v>605</v>
      </c>
      <c r="O848" s="114" t="s">
        <v>2973</v>
      </c>
      <c r="P848" s="280" t="s">
        <v>481</v>
      </c>
      <c r="Q848" s="260">
        <v>4300156250</v>
      </c>
      <c r="R848" s="260"/>
      <c r="S848" s="260" t="s">
        <v>249</v>
      </c>
      <c r="T848" s="260" t="s">
        <v>2974</v>
      </c>
      <c r="U848" s="257" t="s">
        <v>2581</v>
      </c>
      <c r="V848" s="8"/>
      <c r="AC848" s="7">
        <v>3</v>
      </c>
      <c r="AD848" s="8">
        <v>5</v>
      </c>
    </row>
    <row r="849" spans="1:45">
      <c r="A849" s="286" t="s">
        <v>244</v>
      </c>
      <c r="B849" s="286" t="s">
        <v>221</v>
      </c>
      <c r="C849" s="280" t="s">
        <v>2302</v>
      </c>
      <c r="D849" s="281" t="str">
        <f>IF(F849="","",CHOOSE(MONTH(F849),"Q4","Q4","Q4","Q1","Q1","Q1","Q2","Q2","Q2","Q3","Q3","Q3"))</f>
        <v>Q3</v>
      </c>
      <c r="E849" s="282" t="str">
        <f>IF(F849="","",CHOOSE(MONTH(F849),"10-JAN","11-FEB","12-MAR","01-APR","02-MAY","03-JUN","04-JUL","05-AUG","06-SEP","07-OCT","08-NOV","09-DEC"))</f>
        <v>08-NOV</v>
      </c>
      <c r="F849" s="242">
        <v>45973</v>
      </c>
      <c r="G849" s="231" t="s">
        <v>2975</v>
      </c>
      <c r="H849" s="459" t="s">
        <v>31</v>
      </c>
      <c r="I849" s="29" t="s">
        <v>223</v>
      </c>
      <c r="J849" s="8" t="s">
        <v>95</v>
      </c>
      <c r="K849" s="281" t="str">
        <f>IF(H849="","",IFERROR(VLOOKUP(H849,Instructions!D:E,2,0),"BA"))</f>
        <v>BA</v>
      </c>
      <c r="L849" s="78" t="s">
        <v>2976</v>
      </c>
      <c r="M849" s="151">
        <f>IF(SUM(V849:BC849)=0,"-",SUM(V849:BC849))</f>
        <v>3</v>
      </c>
      <c r="N849" s="454">
        <f>IF(SUMPRODUCT($V$3:$BC$3,V849:BC849)=0,"-",SUMPRODUCT($V$3:$BC$3,V849:BC849))</f>
        <v>120</v>
      </c>
      <c r="O849" s="114" t="s">
        <v>2977</v>
      </c>
      <c r="P849" s="280" t="s">
        <v>481</v>
      </c>
      <c r="Q849" s="370">
        <v>4300162283</v>
      </c>
      <c r="R849" s="260"/>
      <c r="S849" s="260" t="s">
        <v>249</v>
      </c>
      <c r="T849" s="260" t="s">
        <v>2781</v>
      </c>
      <c r="U849" s="486" t="s">
        <v>2581</v>
      </c>
      <c r="V849" s="8"/>
      <c r="AD849" s="8">
        <v>3</v>
      </c>
    </row>
    <row r="850" spans="1:45">
      <c r="A850" s="286" t="s">
        <v>244</v>
      </c>
      <c r="B850" s="286" t="s">
        <v>221</v>
      </c>
      <c r="C850" s="280" t="s">
        <v>2</v>
      </c>
      <c r="D850" s="281" t="str">
        <f>IF(F850="","",CHOOSE(MONTH(F850),"Q4","Q4","Q4","Q1","Q1","Q1","Q2","Q2","Q2","Q3","Q3","Q3"))</f>
        <v>Q3</v>
      </c>
      <c r="E850" s="282" t="str">
        <f>IF(F850="","",CHOOSE(MONTH(F850),"10-JAN","11-FEB","12-MAR","01-APR","02-MAY","03-JUN","04-JUL","05-AUG","06-SEP","07-OCT","08-NOV","09-DEC"))</f>
        <v>08-NOV</v>
      </c>
      <c r="F850" s="242">
        <v>45968</v>
      </c>
      <c r="G850" s="231" t="s">
        <v>2978</v>
      </c>
      <c r="H850" s="5" t="s">
        <v>36</v>
      </c>
      <c r="I850" s="29" t="s">
        <v>223</v>
      </c>
      <c r="K850" s="281" t="str">
        <f>IF(H850="","",IFERROR(VLOOKUP(H850,Instructions!D:E,2,0),"BA"))</f>
        <v>BA</v>
      </c>
      <c r="L850" s="30" t="s">
        <v>2979</v>
      </c>
      <c r="M850" s="151">
        <f>IF(SUM(V850:BC850)=0,"-",SUM(V850:BC850))</f>
        <v>1</v>
      </c>
      <c r="N850" s="65">
        <f>IF(SUMPRODUCT($V$3:$BC$3,V850:BC850)=0,"-",SUMPRODUCT($V$3:$BC$3,V850:BC850))</f>
        <v>40</v>
      </c>
      <c r="O850" s="114" t="s">
        <v>2980</v>
      </c>
      <c r="P850" s="280" t="s">
        <v>481</v>
      </c>
      <c r="Q850" s="211">
        <v>4300151832</v>
      </c>
      <c r="R850" s="211"/>
      <c r="S850" s="211" t="s">
        <v>249</v>
      </c>
      <c r="T850" s="211" t="s">
        <v>2955</v>
      </c>
      <c r="U850" s="253" t="s">
        <v>2885</v>
      </c>
      <c r="AD850" s="8">
        <v>1</v>
      </c>
    </row>
    <row r="851" spans="1:45">
      <c r="A851" s="286" t="s">
        <v>244</v>
      </c>
      <c r="B851" s="286" t="s">
        <v>221</v>
      </c>
      <c r="C851" s="280" t="s">
        <v>2302</v>
      </c>
      <c r="D851" s="281" t="str">
        <f>IF(F851="","",CHOOSE(MONTH(F851),"Q4","Q4","Q4","Q1","Q1","Q1","Q2","Q2","Q2","Q3","Q3","Q3"))</f>
        <v>Q3</v>
      </c>
      <c r="E851" s="282" t="str">
        <f>IF(F851="","",CHOOSE(MONTH(F851),"10-JAN","11-FEB","12-MAR","01-APR","02-MAY","03-JUN","04-JUL","05-AUG","06-SEP","07-OCT","08-NOV","09-DEC"))</f>
        <v>08-NOV</v>
      </c>
      <c r="F851" s="242">
        <v>45971</v>
      </c>
      <c r="G851" s="231" t="s">
        <v>2981</v>
      </c>
      <c r="H851" s="5" t="s">
        <v>2381</v>
      </c>
      <c r="I851" s="29" t="s">
        <v>223</v>
      </c>
      <c r="J851" s="8" t="s">
        <v>95</v>
      </c>
      <c r="K851" s="281" t="str">
        <f>IF(H851="","",IFERROR(VLOOKUP(H851,Instructions!D:E,2,0),"BA"))</f>
        <v>BA</v>
      </c>
      <c r="L851" s="78" t="s">
        <v>2982</v>
      </c>
      <c r="M851" s="151">
        <f>IF(SUM(V851:BC851)=0,"-",SUM(V851:BC851))</f>
        <v>8</v>
      </c>
      <c r="N851" s="65">
        <f>IF(SUMPRODUCT($V$3:$BC$3,V851:BC851)=0,"-",SUMPRODUCT($V$3:$BC$3,V851:BC851))</f>
        <v>450</v>
      </c>
      <c r="O851" s="114" t="s">
        <v>2983</v>
      </c>
      <c r="P851" s="280" t="s">
        <v>481</v>
      </c>
      <c r="Q851" s="211" t="s">
        <v>2984</v>
      </c>
      <c r="R851" s="211"/>
      <c r="S851" s="211" t="s">
        <v>249</v>
      </c>
      <c r="T851" s="211" t="s">
        <v>2985</v>
      </c>
      <c r="U851" s="356" t="s">
        <v>2721</v>
      </c>
      <c r="V851" s="7">
        <v>2</v>
      </c>
      <c r="W851" s="8">
        <v>6</v>
      </c>
    </row>
    <row r="852" spans="1:45">
      <c r="A852" s="286" t="s">
        <v>220</v>
      </c>
      <c r="B852" s="286" t="s">
        <v>221</v>
      </c>
      <c r="C852" s="280" t="s">
        <v>2302</v>
      </c>
      <c r="D852" s="281" t="str">
        <f>IF(F852="","",CHOOSE(MONTH(F852),"Q4","Q4","Q4","Q1","Q1","Q1","Q2","Q2","Q2","Q3","Q3","Q3"))</f>
        <v>Q3</v>
      </c>
      <c r="E852" s="282" t="str">
        <f>IF(F852="","",CHOOSE(MONTH(F852),"10-JAN","11-FEB","12-MAR","01-APR","02-MAY","03-JUN","04-JUL","05-AUG","06-SEP","07-OCT","08-NOV","09-DEC"))</f>
        <v>08-NOV</v>
      </c>
      <c r="F852" s="242">
        <v>45975</v>
      </c>
      <c r="G852" s="231" t="s">
        <v>2986</v>
      </c>
      <c r="H852" s="459" t="s">
        <v>764</v>
      </c>
      <c r="I852" s="29" t="s">
        <v>223</v>
      </c>
      <c r="K852" s="281" t="str">
        <f>IF(H852="","",IFERROR(VLOOKUP(H852,Instructions!D:E,2,0),"BA"))</f>
        <v>BA</v>
      </c>
      <c r="L852" s="78" t="s">
        <v>2987</v>
      </c>
      <c r="M852" s="151">
        <f>IF(SUM(V852:BC852)=0,"-",SUM(V852:BC852))</f>
        <v>4</v>
      </c>
      <c r="N852" s="454">
        <f>IF(SUMPRODUCT($V$3:$BC$3,V852:BC852)=0,"-",SUMPRODUCT($V$3:$BC$3,V852:BC852))</f>
        <v>540</v>
      </c>
      <c r="O852" s="114" t="s">
        <v>2988</v>
      </c>
      <c r="P852" s="280" t="s">
        <v>481</v>
      </c>
      <c r="Q852" s="260">
        <v>4300160746</v>
      </c>
      <c r="R852" s="260"/>
      <c r="S852" s="260" t="s">
        <v>249</v>
      </c>
      <c r="T852" s="260" t="s">
        <v>2889</v>
      </c>
      <c r="U852" s="486" t="s">
        <v>2581</v>
      </c>
      <c r="V852" s="8"/>
      <c r="AC852" s="7">
        <v>4</v>
      </c>
    </row>
    <row r="853" spans="1:45">
      <c r="A853" s="286" t="s">
        <v>244</v>
      </c>
      <c r="B853" s="286" t="s">
        <v>221</v>
      </c>
      <c r="C853" s="280" t="s">
        <v>2302</v>
      </c>
      <c r="D853" s="281" t="str">
        <f>IF(F853="","",CHOOSE(MONTH(F853),"Q4","Q4","Q4","Q1","Q1","Q1","Q2","Q2","Q2","Q3","Q3","Q3"))</f>
        <v>Q3</v>
      </c>
      <c r="E853" s="282" t="str">
        <f>IF(F853="","",CHOOSE(MONTH(F853),"10-JAN","11-FEB","12-MAR","01-APR","02-MAY","03-JUN","04-JUL","05-AUG","06-SEP","07-OCT","08-NOV","09-DEC"))</f>
        <v>08-NOV</v>
      </c>
      <c r="F853" s="242">
        <v>45975</v>
      </c>
      <c r="G853" s="231" t="s">
        <v>2989</v>
      </c>
      <c r="H853" s="459" t="s">
        <v>1304</v>
      </c>
      <c r="I853" s="29" t="s">
        <v>223</v>
      </c>
      <c r="J853" s="8" t="s">
        <v>93</v>
      </c>
      <c r="K853" s="281" t="str">
        <f>IF(H853="","",IFERROR(VLOOKUP(H853,Instructions!D:E,2,0),"BA"))</f>
        <v>BA</v>
      </c>
      <c r="L853" s="78" t="s">
        <v>2990</v>
      </c>
      <c r="M853" s="151">
        <f>IF(SUM(V853:BC853)=0,"-",SUM(V853:BC853))</f>
        <v>2</v>
      </c>
      <c r="N853" s="454">
        <f>IF(SUMPRODUCT($V$3:$BC$3,V853:BC853)=0,"-",SUMPRODUCT($V$3:$BC$3,V853:BC853))</f>
        <v>70</v>
      </c>
      <c r="O853" s="114" t="s">
        <v>2991</v>
      </c>
      <c r="P853" s="280" t="s">
        <v>481</v>
      </c>
      <c r="Q853" s="211">
        <v>4300164432</v>
      </c>
      <c r="R853" s="211" t="s">
        <v>481</v>
      </c>
      <c r="S853" s="211" t="s">
        <v>249</v>
      </c>
      <c r="T853" s="211" t="s">
        <v>2916</v>
      </c>
      <c r="U853" s="524" t="s">
        <v>2917</v>
      </c>
      <c r="V853" s="8"/>
      <c r="W853" s="8">
        <v>2</v>
      </c>
    </row>
    <row r="854" spans="1:45">
      <c r="A854" s="286" t="s">
        <v>244</v>
      </c>
      <c r="B854" s="286" t="s">
        <v>221</v>
      </c>
      <c r="C854" s="280" t="s">
        <v>2302</v>
      </c>
      <c r="D854" s="281" t="str">
        <f>IF(F854="","",CHOOSE(MONTH(F854),"Q4","Q4","Q4","Q1","Q1","Q1","Q2","Q2","Q2","Q3","Q3","Q3"))</f>
        <v>Q3</v>
      </c>
      <c r="E854" s="282" t="str">
        <f>IF(F854="","",CHOOSE(MONTH(F854),"10-JAN","11-FEB","12-MAR","01-APR","02-MAY","03-JUN","04-JUL","05-AUG","06-SEP","07-OCT","08-NOV","09-DEC"))</f>
        <v>08-NOV</v>
      </c>
      <c r="F854" s="242">
        <v>45985</v>
      </c>
      <c r="G854" s="222" t="s">
        <v>2992</v>
      </c>
      <c r="H854" s="410" t="s">
        <v>2993</v>
      </c>
      <c r="I854" s="29" t="s">
        <v>223</v>
      </c>
      <c r="K854" s="281" t="str">
        <f>IF(H854="","",IFERROR(VLOOKUP(H854,Instructions!D:E,2,0),"BA"))</f>
        <v>BA</v>
      </c>
      <c r="L854" s="78" t="s">
        <v>2994</v>
      </c>
      <c r="M854" s="105">
        <v>10</v>
      </c>
      <c r="N854" s="352">
        <f>IF(SUMPRODUCT($V$3:$BC$3,V854:BC854)=0,"-",SUMPRODUCT($V$3:$BC$3,V854:BC854))</f>
        <v>350</v>
      </c>
      <c r="O854" s="114" t="s">
        <v>2995</v>
      </c>
      <c r="P854" s="280" t="s">
        <v>481</v>
      </c>
      <c r="Q854" s="260">
        <v>4300145266</v>
      </c>
      <c r="R854" s="260"/>
      <c r="S854" s="260" t="s">
        <v>249</v>
      </c>
      <c r="T854" s="260" t="s">
        <v>2996</v>
      </c>
      <c r="U854" s="486" t="s">
        <v>2581</v>
      </c>
      <c r="V854" s="8"/>
      <c r="W854" s="166">
        <v>10</v>
      </c>
    </row>
    <row r="855" spans="1:45">
      <c r="A855" s="286" t="s">
        <v>244</v>
      </c>
      <c r="B855" s="286" t="s">
        <v>221</v>
      </c>
      <c r="C855" s="280" t="s">
        <v>2</v>
      </c>
      <c r="D855" s="281" t="str">
        <f>IF(F855="","",CHOOSE(MONTH(F855),"Q4","Q4","Q4","Q1","Q1","Q1","Q2","Q2","Q2","Q3","Q3","Q3"))</f>
        <v>Q3</v>
      </c>
      <c r="E855" s="282" t="str">
        <f>IF(F855="","",CHOOSE(MONTH(F855),"10-JAN","11-FEB","12-MAR","01-APR","02-MAY","03-JUN","04-JUL","05-AUG","06-SEP","07-OCT","08-NOV","09-DEC"))</f>
        <v>08-NOV</v>
      </c>
      <c r="F855" s="242">
        <v>45986</v>
      </c>
      <c r="G855" s="231" t="s">
        <v>2997</v>
      </c>
      <c r="H855" s="5" t="s">
        <v>2993</v>
      </c>
      <c r="I855" s="29" t="s">
        <v>223</v>
      </c>
      <c r="J855" s="8" t="s">
        <v>638</v>
      </c>
      <c r="K855" s="281" t="str">
        <f>IF(H855="","",IFERROR(VLOOKUP(H855,Instructions!D:E,2,0),"BA"))</f>
        <v>BA</v>
      </c>
      <c r="L855" s="78" t="s">
        <v>2998</v>
      </c>
      <c r="M855" s="151">
        <f>IF(SUM(V855:BC855)=0,"-",SUM(V855:BC855))</f>
        <v>1</v>
      </c>
      <c r="N855" s="352">
        <f>IF(SUMPRODUCT($V$3:$BC$3,V855:BC855)=0,"-",SUMPRODUCT($V$3:$BC$3,V855:BC855))</f>
        <v>35</v>
      </c>
      <c r="O855" s="114" t="s">
        <v>2999</v>
      </c>
      <c r="P855" s="280" t="s">
        <v>481</v>
      </c>
      <c r="Q855" s="260">
        <v>4300145266</v>
      </c>
      <c r="R855" s="260"/>
      <c r="S855" s="260" t="s">
        <v>249</v>
      </c>
      <c r="T855" s="260" t="s">
        <v>2996</v>
      </c>
      <c r="U855" s="486" t="s">
        <v>2581</v>
      </c>
      <c r="V855" s="8"/>
      <c r="W855" s="8">
        <v>1</v>
      </c>
    </row>
    <row r="856" spans="1:45">
      <c r="A856" s="286" t="s">
        <v>244</v>
      </c>
      <c r="B856" s="286" t="s">
        <v>221</v>
      </c>
      <c r="C856" s="280" t="s">
        <v>2302</v>
      </c>
      <c r="D856" s="281" t="str">
        <f>IF(F856="","",CHOOSE(MONTH(F856),"Q4","Q4","Q4","Q1","Q1","Q1","Q2","Q2","Q2","Q3","Q3","Q3"))</f>
        <v>Q3</v>
      </c>
      <c r="E856" s="282" t="str">
        <f>IF(F856="","",CHOOSE(MONTH(F856),"10-JAN","11-FEB","12-MAR","01-APR","02-MAY","03-JUN","04-JUL","05-AUG","06-SEP","07-OCT","08-NOV","09-DEC"))</f>
        <v>08-NOV</v>
      </c>
      <c r="F856" s="242">
        <v>45978</v>
      </c>
      <c r="G856" s="231" t="s">
        <v>3000</v>
      </c>
      <c r="H856" s="5" t="s">
        <v>2018</v>
      </c>
      <c r="I856" s="29" t="s">
        <v>223</v>
      </c>
      <c r="K856" s="281" t="str">
        <f>IF(H856="","",IFERROR(VLOOKUP(H856,Instructions!D:E,2,0),"BA"))</f>
        <v>BA</v>
      </c>
      <c r="L856" s="30" t="s">
        <v>3001</v>
      </c>
      <c r="M856" s="151">
        <f>IF(SUM(V856:BC856)=0,"-",SUM(V856:BC856))</f>
        <v>1</v>
      </c>
      <c r="N856" s="65">
        <f>IF(SUMPRODUCT($V$3:$BC$3,V856:BC856)=0,"-",SUMPRODUCT($V$3:$BC$3,V856:BC856))</f>
        <v>40</v>
      </c>
      <c r="O856" s="114" t="s">
        <v>3002</v>
      </c>
      <c r="P856" s="280" t="s">
        <v>481</v>
      </c>
      <c r="Q856" s="211">
        <v>4300153673</v>
      </c>
      <c r="R856" s="211"/>
      <c r="S856" s="211" t="s">
        <v>249</v>
      </c>
      <c r="T856" s="211" t="s">
        <v>3003</v>
      </c>
      <c r="U856" s="253" t="s">
        <v>2903</v>
      </c>
      <c r="AD856" s="8">
        <v>1</v>
      </c>
    </row>
    <row r="857" spans="1:45">
      <c r="A857" s="286" t="s">
        <v>220</v>
      </c>
      <c r="B857" s="286" t="s">
        <v>221</v>
      </c>
      <c r="C857" s="280" t="s">
        <v>2302</v>
      </c>
      <c r="D857" s="281" t="str">
        <f>IF(F857="","",CHOOSE(MONTH(F857),"Q4","Q4","Q4","Q1","Q1","Q1","Q2","Q2","Q2","Q3","Q3","Q3"))</f>
        <v>Q3</v>
      </c>
      <c r="E857" s="282" t="str">
        <f>IF(F857="","",CHOOSE(MONTH(F857),"10-JAN","11-FEB","12-MAR","01-APR","02-MAY","03-JUN","04-JUL","05-AUG","06-SEP","07-OCT","08-NOV","09-DEC"))</f>
        <v>09-DEC</v>
      </c>
      <c r="F857" s="242">
        <v>45994</v>
      </c>
      <c r="G857" s="231" t="s">
        <v>3004</v>
      </c>
      <c r="H857" s="5" t="s">
        <v>2018</v>
      </c>
      <c r="I857" s="29" t="s">
        <v>223</v>
      </c>
      <c r="K857" s="281" t="str">
        <f>IF(H857="","",IFERROR(VLOOKUP(H857,Instructions!D:E,2,0),"BA"))</f>
        <v>BA</v>
      </c>
      <c r="L857" s="30" t="s">
        <v>3005</v>
      </c>
      <c r="M857" s="151">
        <f>IF(SUM(V857:BC857)=0,"-",SUM(V857:BC857))</f>
        <v>5</v>
      </c>
      <c r="N857" s="65">
        <f>IF(SUMPRODUCT($V$3:$BC$3,V857:BC857)=0,"-",SUMPRODUCT($V$3:$BC$3,V857:BC857))</f>
        <v>280</v>
      </c>
      <c r="O857" s="114" t="s">
        <v>3006</v>
      </c>
      <c r="P857" s="280" t="s">
        <v>481</v>
      </c>
      <c r="Q857" s="260">
        <v>4300153673</v>
      </c>
      <c r="R857" s="260"/>
      <c r="S857" s="260" t="s">
        <v>249</v>
      </c>
      <c r="T857" s="260" t="s">
        <v>3007</v>
      </c>
      <c r="U857" s="486" t="s">
        <v>2738</v>
      </c>
      <c r="V857" s="8"/>
      <c r="W857" s="8">
        <v>3</v>
      </c>
      <c r="AC857" s="7">
        <v>1</v>
      </c>
      <c r="AD857" s="8">
        <v>1</v>
      </c>
    </row>
    <row r="858" spans="1:45">
      <c r="A858" s="286" t="s">
        <v>244</v>
      </c>
      <c r="B858" s="286" t="s">
        <v>221</v>
      </c>
      <c r="C858" s="280" t="s">
        <v>2302</v>
      </c>
      <c r="D858" s="281" t="str">
        <f>IF(F858="","",CHOOSE(MONTH(F858),"Q4","Q4","Q4","Q1","Q1","Q1","Q2","Q2","Q2","Q3","Q3","Q3"))</f>
        <v>Q3</v>
      </c>
      <c r="E858" s="282" t="str">
        <f>IF(F858="","",CHOOSE(MONTH(F858),"10-JAN","11-FEB","12-MAR","01-APR","02-MAY","03-JUN","04-JUL","05-AUG","06-SEP","07-OCT","08-NOV","09-DEC"))</f>
        <v>09-DEC</v>
      </c>
      <c r="F858" s="242">
        <v>45995</v>
      </c>
      <c r="G858" s="222" t="s">
        <v>3008</v>
      </c>
      <c r="H858" s="410" t="s">
        <v>3009</v>
      </c>
      <c r="I858" s="29" t="s">
        <v>223</v>
      </c>
      <c r="J858" s="8" t="s">
        <v>130</v>
      </c>
      <c r="K858" s="281" t="str">
        <f>IF(H858="","",IFERROR(VLOOKUP(H858,Instructions!D:E,2,0),"BA"))</f>
        <v>BA</v>
      </c>
      <c r="L858" s="78" t="s">
        <v>3010</v>
      </c>
      <c r="M858" s="151">
        <f>IF(SUM(V858:BC858)=0,"-",SUM(V858:BC858))</f>
        <v>7</v>
      </c>
      <c r="N858" s="65">
        <f>IF(SUMPRODUCT($V$3:$BC$3,V858:BC858)=0,"-",SUMPRODUCT($V$3:$BC$3,V858:BC858))</f>
        <v>415</v>
      </c>
      <c r="O858" s="114" t="s">
        <v>3011</v>
      </c>
      <c r="P858" s="280" t="s">
        <v>481</v>
      </c>
      <c r="Q858" s="260">
        <v>4300142646</v>
      </c>
      <c r="R858" s="260"/>
      <c r="S858" s="260" t="s">
        <v>249</v>
      </c>
      <c r="T858" s="260" t="s">
        <v>3012</v>
      </c>
      <c r="U858" s="486" t="s">
        <v>2581</v>
      </c>
      <c r="V858" s="8">
        <v>2</v>
      </c>
      <c r="W858" s="8">
        <v>5</v>
      </c>
    </row>
    <row r="859" spans="1:45">
      <c r="A859" s="286" t="s">
        <v>244</v>
      </c>
      <c r="B859" s="286" t="s">
        <v>221</v>
      </c>
      <c r="C859" s="280" t="s">
        <v>2302</v>
      </c>
      <c r="D859" s="281" t="str">
        <f>IF(F859="","",CHOOSE(MONTH(F859),"Q4","Q4","Q4","Q1","Q1","Q1","Q2","Q2","Q2","Q3","Q3","Q3"))</f>
        <v>Q3</v>
      </c>
      <c r="E859" s="282" t="str">
        <f>IF(F859="","",CHOOSE(MONTH(F859),"10-JAN","11-FEB","12-MAR","01-APR","02-MAY","03-JUN","04-JUL","05-AUG","06-SEP","07-OCT","08-NOV","09-DEC"))</f>
        <v>08-NOV</v>
      </c>
      <c r="F859" s="242">
        <v>45988</v>
      </c>
      <c r="G859" s="231" t="s">
        <v>3013</v>
      </c>
      <c r="H859" s="5" t="s">
        <v>2993</v>
      </c>
      <c r="I859" s="29" t="s">
        <v>223</v>
      </c>
      <c r="K859" s="281" t="str">
        <f>IF(H859="","",IFERROR(VLOOKUP(H859,Instructions!D:E,2,0),"BA"))</f>
        <v>BA</v>
      </c>
      <c r="M859" s="151">
        <f>IF(SUM(V859:BC859)=0,"-",SUM(V859:BC859))</f>
        <v>1</v>
      </c>
      <c r="N859" s="65">
        <f>IF(SUMPRODUCT($V$3:$BC$3,V859:BC859)=0,"-",SUMPRODUCT($V$3:$BC$3,V859:BC859))</f>
        <v>120</v>
      </c>
      <c r="O859" s="114" t="s">
        <v>3014</v>
      </c>
      <c r="P859" s="280" t="s">
        <v>481</v>
      </c>
      <c r="Q859" s="211" t="s">
        <v>2963</v>
      </c>
      <c r="R859" s="211"/>
      <c r="S859" s="211" t="s">
        <v>249</v>
      </c>
      <c r="T859" s="211" t="s">
        <v>3015</v>
      </c>
      <c r="U859" s="356" t="s">
        <v>2721</v>
      </c>
      <c r="V859" s="7">
        <v>1</v>
      </c>
    </row>
    <row r="860" spans="1:45">
      <c r="A860" s="286" t="s">
        <v>244</v>
      </c>
      <c r="B860" s="286" t="s">
        <v>221</v>
      </c>
      <c r="C860" s="280" t="s">
        <v>2</v>
      </c>
      <c r="D860" s="281" t="str">
        <f>IF(F860="","",CHOOSE(MONTH(F860),"Q4","Q4","Q4","Q1","Q1","Q1","Q2","Q2","Q2","Q3","Q3","Q3"))</f>
        <v>Q3</v>
      </c>
      <c r="E860" s="282" t="str">
        <f>IF(F860="","",CHOOSE(MONTH(F860),"10-JAN","11-FEB","12-MAR","01-APR","02-MAY","03-JUN","04-JUL","05-AUG","06-SEP","07-OCT","08-NOV","09-DEC"))</f>
        <v>09-DEC</v>
      </c>
      <c r="F860" s="242">
        <v>45999</v>
      </c>
      <c r="G860" s="222" t="s">
        <v>3016</v>
      </c>
      <c r="H860" s="410" t="s">
        <v>2018</v>
      </c>
      <c r="I860" s="29" t="s">
        <v>223</v>
      </c>
      <c r="J860" s="8" t="s">
        <v>69</v>
      </c>
      <c r="K860" s="281" t="str">
        <f>IF(H860="","",IFERROR(VLOOKUP(H860,Instructions!D:E,2,0),"BA"))</f>
        <v>BA</v>
      </c>
      <c r="L860" s="78" t="s">
        <v>3017</v>
      </c>
      <c r="M860" s="151">
        <f>IF(SUM(V860:BC860)=0,"-",SUM(V860:BC860))</f>
        <v>1</v>
      </c>
      <c r="N860" s="65">
        <f>IF(SUMPRODUCT($V$3:$BC$3,V860:BC860)=0,"-",SUMPRODUCT($V$3:$BC$3,V860:BC860))</f>
        <v>40</v>
      </c>
      <c r="O860" s="114" t="s">
        <v>3018</v>
      </c>
      <c r="P860" s="280" t="s">
        <v>481</v>
      </c>
      <c r="Q860" s="260">
        <v>4300153673</v>
      </c>
      <c r="R860" s="260"/>
      <c r="S860" s="260" t="s">
        <v>249</v>
      </c>
      <c r="T860" s="260" t="s">
        <v>3007</v>
      </c>
      <c r="U860" s="486" t="s">
        <v>2738</v>
      </c>
      <c r="V860" s="8"/>
      <c r="AD860" s="8">
        <v>1</v>
      </c>
    </row>
    <row r="861" spans="1:45">
      <c r="A861" s="286" t="s">
        <v>244</v>
      </c>
      <c r="B861" s="286" t="s">
        <v>221</v>
      </c>
      <c r="C861" s="280" t="s">
        <v>2302</v>
      </c>
      <c r="D861" s="281" t="str">
        <f>IF(F861="","",CHOOSE(MONTH(F861),"Q4","Q4","Q4","Q1","Q1","Q1","Q2","Q2","Q2","Q3","Q3","Q3"))</f>
        <v>Q3</v>
      </c>
      <c r="E861" s="282" t="str">
        <f>IF(F861="","",CHOOSE(MONTH(F861),"10-JAN","11-FEB","12-MAR","01-APR","02-MAY","03-JUN","04-JUL","05-AUG","06-SEP","07-OCT","08-NOV","09-DEC"))</f>
        <v>09-DEC</v>
      </c>
      <c r="F861" s="242">
        <v>46000</v>
      </c>
      <c r="G861" s="231" t="s">
        <v>2869</v>
      </c>
      <c r="H861" s="459" t="s">
        <v>31</v>
      </c>
      <c r="I861" s="29" t="s">
        <v>223</v>
      </c>
      <c r="K861" s="281" t="str">
        <f>IF(H861="","",IFERROR(VLOOKUP(H861,Instructions!D:E,2,0),"BA"))</f>
        <v>BA</v>
      </c>
      <c r="L861" s="30" t="s">
        <v>2870</v>
      </c>
      <c r="M861" s="151">
        <f>IF(SUM(V861:BC861)=0,"-",SUM(V861:BC861))</f>
        <v>1</v>
      </c>
      <c r="N861" s="454">
        <f>IF(SUMPRODUCT($V$3:$BC$3,V861:BC861)=0,"-",SUMPRODUCT($V$3:$BC$3,V861:BC861))</f>
        <v>80</v>
      </c>
      <c r="O861" s="114" t="s">
        <v>3019</v>
      </c>
      <c r="P861" s="280" t="s">
        <v>481</v>
      </c>
      <c r="Q861" s="370">
        <v>4300162283</v>
      </c>
      <c r="R861" s="260"/>
      <c r="S861" s="260" t="s">
        <v>249</v>
      </c>
      <c r="T861" s="260" t="s">
        <v>2781</v>
      </c>
      <c r="U861" s="486" t="s">
        <v>2581</v>
      </c>
      <c r="V861" s="8"/>
      <c r="AS861" s="7">
        <v>1</v>
      </c>
    </row>
    <row r="862" spans="1:45">
      <c r="A862" s="286" t="s">
        <v>220</v>
      </c>
      <c r="B862" s="286" t="s">
        <v>221</v>
      </c>
      <c r="C862" s="280" t="s">
        <v>2302</v>
      </c>
      <c r="D862" s="281" t="str">
        <f>IF(F862="","",CHOOSE(MONTH(F862),"Q4","Q4","Q4","Q1","Q1","Q1","Q2","Q2","Q2","Q3","Q3","Q3"))</f>
        <v>Q3</v>
      </c>
      <c r="E862" s="282" t="str">
        <f>IF(F862="","",CHOOSE(MONTH(F862),"10-JAN","11-FEB","12-MAR","01-APR","02-MAY","03-JUN","04-JUL","05-AUG","06-SEP","07-OCT","08-NOV","09-DEC"))</f>
        <v>09-DEC</v>
      </c>
      <c r="F862" s="242">
        <v>46001</v>
      </c>
      <c r="G862" s="231" t="s">
        <v>3020</v>
      </c>
      <c r="H862" s="459" t="s">
        <v>31</v>
      </c>
      <c r="I862" s="29" t="s">
        <v>223</v>
      </c>
      <c r="J862" s="8" t="s">
        <v>95</v>
      </c>
      <c r="K862" s="281" t="str">
        <f>IF(H862="","",IFERROR(VLOOKUP(H862,Instructions!D:E,2,0),"BA"))</f>
        <v>BA</v>
      </c>
      <c r="L862" s="30" t="s">
        <v>2900</v>
      </c>
      <c r="M862" s="151">
        <f>IF(SUM(V862:BC862)=0,"-",SUM(V862:BC862))</f>
        <v>2</v>
      </c>
      <c r="N862" s="454">
        <f>IF(SUMPRODUCT($V$3:$BC$3,V862:BC862)=0,"-",SUMPRODUCT($V$3:$BC$3,V862:BC862))</f>
        <v>80</v>
      </c>
      <c r="O862" s="114" t="s">
        <v>3021</v>
      </c>
      <c r="P862" s="280" t="s">
        <v>481</v>
      </c>
      <c r="Q862" s="370">
        <v>4300162283</v>
      </c>
      <c r="R862" s="260"/>
      <c r="S862" s="260" t="s">
        <v>249</v>
      </c>
      <c r="T862" s="260" t="s">
        <v>2781</v>
      </c>
      <c r="U862" s="486" t="s">
        <v>2581</v>
      </c>
      <c r="V862" s="8"/>
      <c r="AD862" s="8">
        <v>2</v>
      </c>
    </row>
    <row r="863" spans="1:45">
      <c r="A863" s="286" t="s">
        <v>244</v>
      </c>
      <c r="B863" s="286" t="s">
        <v>221</v>
      </c>
      <c r="C863" s="280" t="s">
        <v>2302</v>
      </c>
      <c r="D863" s="281" t="str">
        <f>IF(F863="","",CHOOSE(MONTH(F863),"Q4","Q4","Q4","Q1","Q1","Q1","Q2","Q2","Q2","Q3","Q3","Q3"))</f>
        <v>Q3</v>
      </c>
      <c r="E863" s="282" t="str">
        <f>IF(F863="","",CHOOSE(MONTH(F863),"10-JAN","11-FEB","12-MAR","01-APR","02-MAY","03-JUN","04-JUL","05-AUG","06-SEP","07-OCT","08-NOV","09-DEC"))</f>
        <v>09-DEC</v>
      </c>
      <c r="F863" s="242">
        <v>46002</v>
      </c>
      <c r="G863" s="231" t="s">
        <v>3022</v>
      </c>
      <c r="H863" s="5" t="s">
        <v>3009</v>
      </c>
      <c r="I863" s="29" t="s">
        <v>223</v>
      </c>
      <c r="K863" s="281" t="str">
        <f>IF(H863="","",IFERROR(VLOOKUP(H863,Instructions!D:E,2,0),"BA"))</f>
        <v>BA</v>
      </c>
      <c r="L863" s="30" t="s">
        <v>3023</v>
      </c>
      <c r="M863" s="151">
        <f>IF(SUM(V863:BC863)=0,"-",SUM(V863:BC863))</f>
        <v>1</v>
      </c>
      <c r="N863" s="352">
        <f>IF(SUMPRODUCT($V$3:$BC$3,V863:BC863)=0,"-",SUMPRODUCT($V$3:$BC$3,V863:BC863))</f>
        <v>120</v>
      </c>
      <c r="O863" s="114" t="s">
        <v>3024</v>
      </c>
      <c r="P863" s="280" t="s">
        <v>481</v>
      </c>
      <c r="Q863" s="260">
        <v>4300142647</v>
      </c>
      <c r="R863" s="260"/>
      <c r="S863" s="260" t="s">
        <v>249</v>
      </c>
      <c r="T863" s="260" t="s">
        <v>3025</v>
      </c>
      <c r="U863" s="486" t="s">
        <v>2581</v>
      </c>
      <c r="V863" s="8">
        <v>1</v>
      </c>
    </row>
    <row r="864" spans="1:45">
      <c r="A864" s="286" t="s">
        <v>244</v>
      </c>
      <c r="B864" s="286" t="s">
        <v>221</v>
      </c>
      <c r="C864" s="280" t="s">
        <v>2302</v>
      </c>
      <c r="D864" s="281" t="str">
        <f>IF(F864="","",CHOOSE(MONTH(F864),"Q4","Q4","Q4","Q1","Q1","Q1","Q2","Q2","Q2","Q3","Q3","Q3"))</f>
        <v>Q3</v>
      </c>
      <c r="E864" s="282" t="str">
        <f>IF(F864="","",CHOOSE(MONTH(F864),"10-JAN","11-FEB","12-MAR","01-APR","02-MAY","03-JUN","04-JUL","05-AUG","06-SEP","07-OCT","08-NOV","09-DEC"))</f>
        <v>09-DEC</v>
      </c>
      <c r="F864" s="242">
        <v>46003</v>
      </c>
      <c r="G864" s="231" t="s">
        <v>3026</v>
      </c>
      <c r="H864" s="5" t="s">
        <v>36</v>
      </c>
      <c r="I864" s="29" t="s">
        <v>223</v>
      </c>
      <c r="K864" s="281" t="str">
        <f>IF(H864="","",IFERROR(VLOOKUP(H864,Instructions!D:E,2,0),"BA"))</f>
        <v>BA</v>
      </c>
      <c r="L864" s="30" t="s">
        <v>3027</v>
      </c>
      <c r="M864" s="151">
        <f>IF(SUM(V864:BC864)=0,"-",SUM(V864:BC864))</f>
        <v>1</v>
      </c>
      <c r="N864" s="65">
        <f>IF(SUMPRODUCT($V$3:$BC$3,V864:BC864)=0,"-",SUMPRODUCT($V$3:$BC$3,V864:BC864))</f>
        <v>600</v>
      </c>
      <c r="O864" s="114" t="s">
        <v>3028</v>
      </c>
      <c r="P864" s="280" t="s">
        <v>2883</v>
      </c>
      <c r="Q864" s="260">
        <v>4300158758</v>
      </c>
      <c r="R864" s="260"/>
      <c r="S864" s="260" t="s">
        <v>249</v>
      </c>
      <c r="T864" s="260" t="s">
        <v>3029</v>
      </c>
      <c r="U864" s="486" t="s">
        <v>2581</v>
      </c>
      <c r="V864" s="8"/>
      <c r="AN864" s="8">
        <v>1</v>
      </c>
    </row>
    <row r="865" spans="1:31">
      <c r="A865" s="286" t="s">
        <v>244</v>
      </c>
      <c r="B865" s="286" t="s">
        <v>221</v>
      </c>
      <c r="C865" s="280" t="s">
        <v>2</v>
      </c>
      <c r="D865" s="281" t="str">
        <f>IF(F865="","",CHOOSE(MONTH(F865),"Q4","Q4","Q4","Q1","Q1","Q1","Q2","Q2","Q2","Q3","Q3","Q3"))</f>
        <v>Q3</v>
      </c>
      <c r="E865" s="282" t="str">
        <f>IF(F865="","",CHOOSE(MONTH(F865),"10-JAN","11-FEB","12-MAR","01-APR","02-MAY","03-JUN","04-JUL","05-AUG","06-SEP","07-OCT","08-NOV","09-DEC"))</f>
        <v>09-DEC</v>
      </c>
      <c r="F865" s="242">
        <v>46007</v>
      </c>
      <c r="G865" s="231" t="s">
        <v>3030</v>
      </c>
      <c r="H865" s="410" t="s">
        <v>36</v>
      </c>
      <c r="I865" s="29" t="s">
        <v>223</v>
      </c>
      <c r="K865" s="281" t="str">
        <f>IF(H865="","",IFERROR(VLOOKUP(H865,Instructions!D:E,2,0),"BA"))</f>
        <v>BA</v>
      </c>
      <c r="L865" s="78" t="s">
        <v>3031</v>
      </c>
      <c r="M865" s="151">
        <f>IF(SUM(V865:BC865)=0,"-",SUM(V865:BC865))</f>
        <v>8</v>
      </c>
      <c r="N865" s="65">
        <f>IF(SUMPRODUCT($V$3:$BC$3,V865:BC865)=0,"-",SUMPRODUCT($V$3:$BC$3,V865:BC865))</f>
        <v>605</v>
      </c>
      <c r="O865" s="114" t="s">
        <v>3032</v>
      </c>
      <c r="P865" s="280" t="s">
        <v>2883</v>
      </c>
      <c r="Q865" s="260">
        <v>4300162265</v>
      </c>
      <c r="R865" s="260"/>
      <c r="S865" s="260" t="s">
        <v>249</v>
      </c>
      <c r="T865" s="260" t="s">
        <v>3033</v>
      </c>
      <c r="U865" s="486" t="s">
        <v>2738</v>
      </c>
      <c r="V865" s="8"/>
      <c r="AC865" s="7">
        <v>3</v>
      </c>
      <c r="AD865" s="8">
        <v>5</v>
      </c>
    </row>
    <row r="866" spans="1:31">
      <c r="A866" s="286" t="s">
        <v>244</v>
      </c>
      <c r="B866" s="286" t="s">
        <v>221</v>
      </c>
      <c r="C866" s="280" t="s">
        <v>2302</v>
      </c>
      <c r="D866" s="281" t="str">
        <f>IF(F866="","",CHOOSE(MONTH(F866),"Q4","Q4","Q4","Q1","Q1","Q1","Q2","Q2","Q2","Q3","Q3","Q3"))</f>
        <v>Q3</v>
      </c>
      <c r="E866" s="282" t="str">
        <f>IF(F866="","",CHOOSE(MONTH(F866),"10-JAN","11-FEB","12-MAR","01-APR","02-MAY","03-JUN","04-JUL","05-AUG","06-SEP","07-OCT","08-NOV","09-DEC"))</f>
        <v>09-DEC</v>
      </c>
      <c r="F866" s="242">
        <v>46009</v>
      </c>
      <c r="G866" s="463" t="s">
        <v>3034</v>
      </c>
      <c r="H866" s="410" t="s">
        <v>36</v>
      </c>
      <c r="I866" s="29" t="s">
        <v>223</v>
      </c>
      <c r="K866" s="281" t="str">
        <f>IF(H866="","",IFERROR(VLOOKUP(H866,Instructions!D:E,2,0),"BA"))</f>
        <v>BA</v>
      </c>
      <c r="L866" s="78" t="s">
        <v>3035</v>
      </c>
      <c r="M866" s="151">
        <v>10</v>
      </c>
      <c r="N866" s="65">
        <v>150</v>
      </c>
      <c r="P866" s="280" t="s">
        <v>2883</v>
      </c>
      <c r="Q866" s="260">
        <v>4300163329</v>
      </c>
      <c r="R866" s="260"/>
      <c r="S866" s="260" t="s">
        <v>249</v>
      </c>
      <c r="T866" s="260" t="s">
        <v>3036</v>
      </c>
      <c r="U866" s="257" t="s">
        <v>2738</v>
      </c>
    </row>
    <row r="867" spans="1:31">
      <c r="A867" s="286" t="s">
        <v>220</v>
      </c>
      <c r="B867" s="286" t="s">
        <v>221</v>
      </c>
      <c r="C867" s="280" t="s">
        <v>2302</v>
      </c>
      <c r="D867" s="281" t="str">
        <f>IF(F867="","",CHOOSE(MONTH(F867),"Q4","Q4","Q4","Q1","Q1","Q1","Q2","Q2","Q2","Q3","Q3","Q3"))</f>
        <v>Q3</v>
      </c>
      <c r="E867" s="282" t="str">
        <f>IF(F867="","",CHOOSE(MONTH(F867),"10-JAN","11-FEB","12-MAR","01-APR","02-MAY","03-JUN","04-JUL","05-AUG","06-SEP","07-OCT","08-NOV","09-DEC"))</f>
        <v>09-DEC</v>
      </c>
      <c r="F867" s="242">
        <v>46009</v>
      </c>
      <c r="G867" s="231" t="s">
        <v>3037</v>
      </c>
      <c r="H867" s="410" t="s">
        <v>2018</v>
      </c>
      <c r="I867" s="29" t="s">
        <v>223</v>
      </c>
      <c r="K867" s="281" t="str">
        <f>IF(H867="","",IFERROR(VLOOKUP(H867,Instructions!D:E,2,0),"BA"))</f>
        <v>BA</v>
      </c>
      <c r="L867" s="78" t="s">
        <v>3038</v>
      </c>
      <c r="M867" s="151">
        <f>IF(SUM(V867:BC867)=0,"-",SUM(V867:BC867))</f>
        <v>7</v>
      </c>
      <c r="N867" s="65">
        <f>IF(SUMPRODUCT($V$3:$BC$3,V867:BC867)=0,"-",SUMPRODUCT($V$3:$BC$3,V867:BC867))</f>
        <v>330</v>
      </c>
      <c r="O867" s="114" t="s">
        <v>3039</v>
      </c>
      <c r="P867" s="280" t="s">
        <v>481</v>
      </c>
      <c r="Q867" s="260">
        <v>4300153673</v>
      </c>
      <c r="R867" s="260"/>
      <c r="S867" s="260" t="s">
        <v>249</v>
      </c>
      <c r="T867" s="260" t="s">
        <v>3007</v>
      </c>
      <c r="U867" s="486" t="s">
        <v>2738</v>
      </c>
      <c r="V867" s="7">
        <v>1</v>
      </c>
      <c r="W867" s="8">
        <v>6</v>
      </c>
    </row>
    <row r="868" spans="1:31">
      <c r="A868" s="286" t="s">
        <v>244</v>
      </c>
      <c r="B868" s="286" t="s">
        <v>221</v>
      </c>
      <c r="C868" s="280" t="s">
        <v>2302</v>
      </c>
      <c r="D868" s="281" t="str">
        <f>IF(F868="","",CHOOSE(MONTH(F868),"Q4","Q4","Q4","Q1","Q1","Q1","Q2","Q2","Q2","Q3","Q3","Q3"))</f>
        <v>Q3</v>
      </c>
      <c r="E868" s="282" t="str">
        <f>IF(F868="","",CHOOSE(MONTH(F868),"10-JAN","11-FEB","12-MAR","01-APR","02-MAY","03-JUN","04-JUL","05-AUG","06-SEP","07-OCT","08-NOV","09-DEC"))</f>
        <v>09-DEC</v>
      </c>
      <c r="F868" s="242">
        <v>46010</v>
      </c>
      <c r="G868" s="231" t="s">
        <v>3040</v>
      </c>
      <c r="H868" s="460" t="s">
        <v>1304</v>
      </c>
      <c r="I868" s="29" t="s">
        <v>223</v>
      </c>
      <c r="J868" s="8" t="s">
        <v>93</v>
      </c>
      <c r="K868" s="281" t="str">
        <f>IF(H868="","",IFERROR(VLOOKUP(H868,Instructions!D:E,2,0),"BA"))</f>
        <v>BA</v>
      </c>
      <c r="L868" s="30" t="s">
        <v>3041</v>
      </c>
      <c r="M868" s="151">
        <f>IF(SUM(V868:BC868)=0,"-",SUM(V868:BC868))</f>
        <v>2</v>
      </c>
      <c r="N868" s="454">
        <f>IF(SUMPRODUCT($V$3:$BC$3,V868:BC868)=0,"-",SUMPRODUCT($V$3:$BC$3,V868:BC868))</f>
        <v>80</v>
      </c>
      <c r="O868" s="114" t="s">
        <v>3042</v>
      </c>
      <c r="P868" s="280" t="s">
        <v>481</v>
      </c>
      <c r="Q868" s="211">
        <v>4300164432</v>
      </c>
      <c r="R868" s="211" t="s">
        <v>481</v>
      </c>
      <c r="S868" s="211" t="s">
        <v>249</v>
      </c>
      <c r="T868" s="211" t="s">
        <v>2916</v>
      </c>
      <c r="U868" s="255" t="s">
        <v>2917</v>
      </c>
      <c r="AD868" s="8">
        <v>2</v>
      </c>
    </row>
    <row r="869" spans="1:31">
      <c r="A869" s="286" t="s">
        <v>244</v>
      </c>
      <c r="B869" s="286" t="s">
        <v>221</v>
      </c>
      <c r="C869" s="280" t="s">
        <v>2302</v>
      </c>
      <c r="D869" s="281" t="str">
        <f>IF(F869="","",CHOOSE(MONTH(F869),"Q4","Q4","Q4","Q1","Q1","Q1","Q2","Q2","Q2","Q3","Q3","Q3"))</f>
        <v>Q3</v>
      </c>
      <c r="E869" s="282" t="str">
        <f>IF(F869="","",CHOOSE(MONTH(F869),"10-JAN","11-FEB","12-MAR","01-APR","02-MAY","03-JUN","04-JUL","05-AUG","06-SEP","07-OCT","08-NOV","09-DEC"))</f>
        <v>09-DEC</v>
      </c>
      <c r="F869" s="242">
        <v>46013</v>
      </c>
      <c r="G869" s="463" t="s">
        <v>3043</v>
      </c>
      <c r="H869" s="410" t="s">
        <v>2018</v>
      </c>
      <c r="I869" s="29" t="s">
        <v>223</v>
      </c>
      <c r="K869" s="281" t="str">
        <f>IF(H869="","",IFERROR(VLOOKUP(H869,Instructions!D:E,2,0),"BA"))</f>
        <v>BA</v>
      </c>
      <c r="L869" s="30" t="s">
        <v>3044</v>
      </c>
      <c r="M869" s="151">
        <f>IF(SUM(V869:BC869)=0,"-",SUM(V869:BC869))</f>
        <v>2</v>
      </c>
      <c r="N869" s="65">
        <f>IF(SUMPRODUCT($V$3:$BC$3,V869:BC869)=0,"-",SUMPRODUCT($V$3:$BC$3,V869:BC869))</f>
        <v>80</v>
      </c>
      <c r="O869" s="114" t="s">
        <v>3045</v>
      </c>
      <c r="P869" s="280" t="s">
        <v>481</v>
      </c>
      <c r="Q869" s="211">
        <v>4300153673</v>
      </c>
      <c r="R869" s="211"/>
      <c r="S869" s="211" t="s">
        <v>249</v>
      </c>
      <c r="T869" s="211" t="s">
        <v>3046</v>
      </c>
      <c r="U869" s="253" t="s">
        <v>2738</v>
      </c>
      <c r="AD869" s="8">
        <v>2</v>
      </c>
    </row>
    <row r="870" spans="1:31">
      <c r="A870" s="286" t="s">
        <v>244</v>
      </c>
      <c r="B870" s="286" t="s">
        <v>221</v>
      </c>
      <c r="C870" s="280" t="s">
        <v>2</v>
      </c>
      <c r="D870" s="281" t="str">
        <f>IF(F870="","",CHOOSE(MONTH(F870),"Q4","Q4","Q4","Q1","Q1","Q1","Q2","Q2","Q2","Q3","Q3","Q3"))</f>
        <v>Q3</v>
      </c>
      <c r="E870" s="282" t="str">
        <f>IF(F870="","",CHOOSE(MONTH(F870),"10-JAN","11-FEB","12-MAR","01-APR","02-MAY","03-JUN","04-JUL","05-AUG","06-SEP","07-OCT","08-NOV","09-DEC"))</f>
        <v>09-DEC</v>
      </c>
      <c r="F870" s="242">
        <v>46014</v>
      </c>
      <c r="G870" s="2" t="s">
        <v>3047</v>
      </c>
      <c r="H870" s="410" t="s">
        <v>36</v>
      </c>
      <c r="I870" s="29" t="s">
        <v>223</v>
      </c>
      <c r="K870" s="280" t="s">
        <v>34</v>
      </c>
      <c r="L870" s="30" t="s">
        <v>3048</v>
      </c>
      <c r="M870" s="151">
        <f>IF(SUM(V870:BC870)=0,"-",SUM(V870:BC870))</f>
        <v>6</v>
      </c>
      <c r="N870" s="65">
        <f>IF(SUMPRODUCT($V$3:$BC$3,V870:BC870)=0,"-",SUMPRODUCT($V$3:$BC$3,V870:BC870))</f>
        <v>410</v>
      </c>
      <c r="O870" s="114" t="s">
        <v>3049</v>
      </c>
      <c r="P870" s="280" t="s">
        <v>2883</v>
      </c>
      <c r="Q870" s="260">
        <v>4300163328</v>
      </c>
      <c r="R870" s="260"/>
      <c r="S870" s="260" t="s">
        <v>249</v>
      </c>
      <c r="T870" s="260" t="s">
        <v>3050</v>
      </c>
      <c r="U870" s="257" t="s">
        <v>2738</v>
      </c>
      <c r="W870" s="8">
        <v>4</v>
      </c>
      <c r="AC870" s="7">
        <v>2</v>
      </c>
    </row>
    <row r="871" spans="1:31">
      <c r="A871" s="286" t="s">
        <v>244</v>
      </c>
      <c r="B871" s="286" t="s">
        <v>221</v>
      </c>
      <c r="C871" s="280" t="s">
        <v>2302</v>
      </c>
      <c r="D871" s="281" t="str">
        <f>IF(F871="","",CHOOSE(MONTH(F871),"Q4","Q4","Q4","Q1","Q1","Q1","Q2","Q2","Q2","Q3","Q3","Q3"))</f>
        <v>Q3</v>
      </c>
      <c r="E871" s="282" t="str">
        <f>IF(F871="","",CHOOSE(MONTH(F871),"10-JAN","11-FEB","12-MAR","01-APR","02-MAY","03-JUN","04-JUL","05-AUG","06-SEP","07-OCT","08-NOV","09-DEC"))</f>
        <v>09-DEC</v>
      </c>
      <c r="F871" s="242">
        <v>46014</v>
      </c>
      <c r="G871" s="235" t="s">
        <v>3051</v>
      </c>
      <c r="H871" s="5" t="s">
        <v>3009</v>
      </c>
      <c r="I871" s="29" t="s">
        <v>223</v>
      </c>
      <c r="K871" s="281" t="str">
        <f>IF(H871="","",IFERROR(VLOOKUP(H871,Instructions!D:E,2,0),"BA"))</f>
        <v>BA</v>
      </c>
      <c r="L871" s="30" t="s">
        <v>3052</v>
      </c>
      <c r="M871" s="151">
        <f>IF(SUM(V871:BC871)=0,"-",SUM(V871:BC871))</f>
        <v>3</v>
      </c>
      <c r="N871" s="65">
        <f>IF(SUMPRODUCT($V$3:$BC$3,V871:BC871)=0,"-",SUMPRODUCT($V$3:$BC$3,V871:BC871))</f>
        <v>190</v>
      </c>
      <c r="O871" s="114" t="s">
        <v>3053</v>
      </c>
      <c r="P871" s="280" t="s">
        <v>481</v>
      </c>
      <c r="Q871" s="260" t="s">
        <v>2963</v>
      </c>
      <c r="R871" s="260"/>
      <c r="S871" s="260" t="s">
        <v>249</v>
      </c>
      <c r="T871" s="260" t="s">
        <v>3054</v>
      </c>
      <c r="U871" s="257" t="s">
        <v>3055</v>
      </c>
      <c r="V871" s="7">
        <v>1</v>
      </c>
      <c r="W871" s="8">
        <v>2</v>
      </c>
    </row>
    <row r="872" spans="1:31">
      <c r="A872" s="286" t="s">
        <v>220</v>
      </c>
      <c r="B872" s="286" t="s">
        <v>221</v>
      </c>
      <c r="C872" s="280" t="s">
        <v>2302</v>
      </c>
      <c r="D872" s="281" t="str">
        <f>IF(F872="","",CHOOSE(MONTH(F872),"Q4","Q4","Q4","Q1","Q1","Q1","Q2","Q2","Q2","Q3","Q3","Q3"))</f>
        <v>Q3</v>
      </c>
      <c r="E872" s="282" t="str">
        <f>IF(F872="","",CHOOSE(MONTH(F872),"10-JAN","11-FEB","12-MAR","01-APR","02-MAY","03-JUN","04-JUL","05-AUG","06-SEP","07-OCT","08-NOV","09-DEC"))</f>
        <v>09-DEC</v>
      </c>
      <c r="F872" s="242">
        <v>46014</v>
      </c>
      <c r="G872" s="235" t="s">
        <v>3056</v>
      </c>
      <c r="H872" s="5" t="s">
        <v>2018</v>
      </c>
      <c r="I872" s="29" t="s">
        <v>223</v>
      </c>
      <c r="K872" s="281" t="str">
        <f>IF(H872="","",IFERROR(VLOOKUP(H872,Instructions!D:E,2,0),"BA"))</f>
        <v>BA</v>
      </c>
      <c r="L872" s="30" t="s">
        <v>3057</v>
      </c>
      <c r="M872" s="151">
        <f>IF(SUM(V872:BC872)=0,"-",SUM(V872:BC872))</f>
        <v>10</v>
      </c>
      <c r="N872" s="65">
        <f>IF(SUMPRODUCT($V$3:$BC$3,V872:BC872)=0,"-",SUMPRODUCT($V$3:$BC$3,V872:BC872))</f>
        <v>435</v>
      </c>
      <c r="O872" s="114" t="s">
        <v>3058</v>
      </c>
      <c r="P872" s="280" t="s">
        <v>481</v>
      </c>
      <c r="Q872" s="211">
        <v>4300165655</v>
      </c>
      <c r="R872" s="211" t="s">
        <v>481</v>
      </c>
      <c r="S872" s="211" t="s">
        <v>249</v>
      </c>
      <c r="T872" s="211" t="s">
        <v>3059</v>
      </c>
      <c r="U872" s="255" t="s">
        <v>3060</v>
      </c>
      <c r="V872" s="7">
        <v>1</v>
      </c>
      <c r="W872" s="8">
        <v>9</v>
      </c>
    </row>
    <row r="873" spans="1:31">
      <c r="A873" s="286" t="s">
        <v>244</v>
      </c>
      <c r="B873" s="286" t="s">
        <v>221</v>
      </c>
      <c r="C873" s="280" t="s">
        <v>2302</v>
      </c>
      <c r="D873" s="281" t="str">
        <f>IF(F873="","",CHOOSE(MONTH(F873),"Q4","Q4","Q4","Q1","Q1","Q1","Q2","Q2","Q2","Q3","Q3","Q3"))</f>
        <v>Q3</v>
      </c>
      <c r="E873" s="282" t="str">
        <f>IF(F873="","",CHOOSE(MONTH(F873),"10-JAN","11-FEB","12-MAR","01-APR","02-MAY","03-JUN","04-JUL","05-AUG","06-SEP","07-OCT","08-NOV","09-DEC"))</f>
        <v>09-DEC</v>
      </c>
      <c r="F873" s="242">
        <v>46015</v>
      </c>
      <c r="G873" s="230" t="s">
        <v>3061</v>
      </c>
      <c r="H873" s="5" t="s">
        <v>3009</v>
      </c>
      <c r="I873" s="29" t="s">
        <v>223</v>
      </c>
      <c r="K873" s="280" t="s">
        <v>34</v>
      </c>
      <c r="L873" s="30" t="s">
        <v>3062</v>
      </c>
      <c r="M873" s="151">
        <f>IF(SUM(V873:BC873)=0,"-",SUM(V873:BC873))</f>
        <v>6</v>
      </c>
      <c r="N873" s="65">
        <f>IF(SUMPRODUCT($V$3:$BC$3,V873:BC873)=0,"-",SUMPRODUCT($V$3:$BC$3,V873:BC873))-7</f>
        <v>288</v>
      </c>
      <c r="O873" s="114" t="s">
        <v>3063</v>
      </c>
      <c r="P873" s="280" t="s">
        <v>481</v>
      </c>
      <c r="Q873" s="260" t="s">
        <v>2963</v>
      </c>
      <c r="R873" s="260"/>
      <c r="S873" s="260" t="s">
        <v>249</v>
      </c>
      <c r="T873" s="260" t="s">
        <v>3054</v>
      </c>
      <c r="U873" s="257" t="s">
        <v>3055</v>
      </c>
      <c r="V873" s="7">
        <v>1</v>
      </c>
      <c r="W873" s="8">
        <v>5</v>
      </c>
    </row>
    <row r="874" spans="1:31">
      <c r="A874" s="286" t="s">
        <v>244</v>
      </c>
      <c r="B874" s="286" t="s">
        <v>221</v>
      </c>
      <c r="C874" s="280" t="s">
        <v>2302</v>
      </c>
      <c r="D874" s="281" t="str">
        <f>IF(F874="","",CHOOSE(MONTH(F874),"Q4","Q4","Q4","Q1","Q1","Q1","Q2","Q2","Q2","Q3","Q3","Q3"))</f>
        <v>Q3</v>
      </c>
      <c r="E874" s="282" t="str">
        <f>IF(F874="","",CHOOSE(MONTH(F874),"10-JAN","11-FEB","12-MAR","01-APR","02-MAY","03-JUN","04-JUL","05-AUG","06-SEP","07-OCT","08-NOV","09-DEC"))</f>
        <v>09-DEC</v>
      </c>
      <c r="F874" s="242">
        <v>46020</v>
      </c>
      <c r="G874" s="230" t="s">
        <v>3064</v>
      </c>
      <c r="H874" s="5" t="s">
        <v>3009</v>
      </c>
      <c r="I874" s="29" t="s">
        <v>223</v>
      </c>
      <c r="K874" s="280" t="s">
        <v>34</v>
      </c>
      <c r="L874" s="78" t="s">
        <v>3065</v>
      </c>
      <c r="M874" s="151">
        <f>IF(SUM(V874:BC874)=0,"-",SUM(V874:BC874))</f>
        <v>10</v>
      </c>
      <c r="N874" s="65">
        <f>IF(SUMPRODUCT($V$3:$BC$3,V874:BC874)=0,"-",SUMPRODUCT($V$3:$BC$3,V874:BC874))</f>
        <v>605</v>
      </c>
      <c r="O874" s="114" t="s">
        <v>3066</v>
      </c>
      <c r="P874" s="280" t="s">
        <v>481</v>
      </c>
      <c r="Q874" s="260" t="s">
        <v>3067</v>
      </c>
      <c r="R874" s="260"/>
      <c r="S874" s="260" t="s">
        <v>249</v>
      </c>
      <c r="T874" s="260" t="s">
        <v>3068</v>
      </c>
      <c r="U874" s="257" t="s">
        <v>2738</v>
      </c>
      <c r="V874" s="7">
        <v>3</v>
      </c>
      <c r="W874" s="8">
        <v>7</v>
      </c>
    </row>
    <row r="875" spans="1:31">
      <c r="A875" s="286" t="s">
        <v>244</v>
      </c>
      <c r="B875" s="286" t="s">
        <v>221</v>
      </c>
      <c r="C875" s="280" t="s">
        <v>2</v>
      </c>
      <c r="D875" s="281" t="str">
        <f>IF(F875="","",CHOOSE(MONTH(F875),"Q4","Q4","Q4","Q1","Q1","Q1","Q2","Q2","Q2","Q3","Q3","Q3"))</f>
        <v>Q4</v>
      </c>
      <c r="E875" s="282" t="str">
        <f>IF(F875="","",CHOOSE(MONTH(F875),"10-JAN","11-FEB","12-MAR","01-APR","02-MAY","03-JUN","04-JUL","05-AUG","06-SEP","07-OCT","08-NOV","09-DEC"))</f>
        <v>10-JAN</v>
      </c>
      <c r="F875" s="242">
        <v>46027</v>
      </c>
      <c r="G875" s="230" t="s">
        <v>3069</v>
      </c>
      <c r="H875" s="5" t="s">
        <v>3009</v>
      </c>
      <c r="I875" s="29" t="s">
        <v>223</v>
      </c>
      <c r="K875" s="280" t="s">
        <v>34</v>
      </c>
      <c r="L875" s="30" t="s">
        <v>3070</v>
      </c>
      <c r="M875" s="151">
        <f>IF(SUM(V875:BC875)=0,"-",SUM(V875:BC875))</f>
        <v>2</v>
      </c>
      <c r="N875" s="65">
        <f>IF(SUMPRODUCT($V$3:$BC$3,V875:BC875)=0,"-",SUMPRODUCT($V$3:$BC$3,V875:BC875))</f>
        <v>155</v>
      </c>
      <c r="O875" s="114" t="s">
        <v>3071</v>
      </c>
      <c r="P875" s="280" t="s">
        <v>481</v>
      </c>
      <c r="Q875" s="260" t="s">
        <v>3067</v>
      </c>
      <c r="R875" s="260"/>
      <c r="S875" s="260" t="s">
        <v>249</v>
      </c>
      <c r="T875" s="260" t="s">
        <v>3068</v>
      </c>
      <c r="U875" s="257" t="s">
        <v>2738</v>
      </c>
      <c r="V875" s="7">
        <v>1</v>
      </c>
      <c r="W875" s="8">
        <v>1</v>
      </c>
    </row>
    <row r="876" spans="1:31">
      <c r="A876" s="286" t="s">
        <v>244</v>
      </c>
      <c r="B876" s="286" t="s">
        <v>221</v>
      </c>
      <c r="C876" s="280" t="s">
        <v>2302</v>
      </c>
      <c r="D876" s="281" t="str">
        <f>IF(F876="","",CHOOSE(MONTH(F876),"Q4","Q4","Q4","Q1","Q1","Q1","Q2","Q2","Q2","Q3","Q3","Q3"))</f>
        <v>Q4</v>
      </c>
      <c r="E876" s="282" t="str">
        <f>IF(F876="","",CHOOSE(MONTH(F876),"10-JAN","11-FEB","12-MAR","01-APR","02-MAY","03-JUN","04-JUL","05-AUG","06-SEP","07-OCT","08-NOV","09-DEC"))</f>
        <v>10-JAN</v>
      </c>
      <c r="F876" s="242">
        <v>46028</v>
      </c>
      <c r="G876" s="2" t="s">
        <v>3072</v>
      </c>
      <c r="H876" s="460" t="s">
        <v>1304</v>
      </c>
      <c r="I876" s="29" t="s">
        <v>223</v>
      </c>
      <c r="J876" s="8" t="s">
        <v>93</v>
      </c>
      <c r="K876" s="280" t="s">
        <v>34</v>
      </c>
      <c r="L876" s="30" t="s">
        <v>3073</v>
      </c>
      <c r="M876" s="151">
        <f>IF(SUM(V876:BC876)=0,"-",SUM(V876:BC876))</f>
        <v>2</v>
      </c>
      <c r="N876" s="352">
        <v>105</v>
      </c>
      <c r="O876" s="114" t="s">
        <v>3074</v>
      </c>
      <c r="P876" s="280" t="s">
        <v>481</v>
      </c>
      <c r="Q876" s="260">
        <v>4300176082</v>
      </c>
      <c r="R876" s="260" t="s">
        <v>481</v>
      </c>
      <c r="S876" s="260" t="s">
        <v>249</v>
      </c>
      <c r="T876" s="260" t="s">
        <v>3075</v>
      </c>
      <c r="U876" s="525" t="s">
        <v>3076</v>
      </c>
      <c r="V876" s="8"/>
      <c r="AE876" s="8">
        <v>2</v>
      </c>
    </row>
    <row r="877" spans="1:31">
      <c r="A877" s="286" t="s">
        <v>244</v>
      </c>
      <c r="B877" s="286" t="s">
        <v>221</v>
      </c>
      <c r="C877" s="280" t="s">
        <v>2302</v>
      </c>
      <c r="D877" s="281" t="str">
        <f>IF(F877="","",CHOOSE(MONTH(F877),"Q4","Q4","Q4","Q1","Q1","Q1","Q2","Q2","Q2","Q3","Q3","Q3"))</f>
        <v>Q4</v>
      </c>
      <c r="E877" s="282" t="str">
        <f>IF(F877="","",CHOOSE(MONTH(F877),"10-JAN","11-FEB","12-MAR","01-APR","02-MAY","03-JUN","04-JUL","05-AUG","06-SEP","07-OCT","08-NOV","09-DEC"))</f>
        <v>10-JAN</v>
      </c>
      <c r="F877" s="242">
        <v>46028</v>
      </c>
      <c r="G877" s="2" t="s">
        <v>3077</v>
      </c>
      <c r="H877" s="460" t="s">
        <v>1304</v>
      </c>
      <c r="I877" s="29" t="s">
        <v>223</v>
      </c>
      <c r="J877" s="8" t="s">
        <v>93</v>
      </c>
      <c r="K877" s="280" t="s">
        <v>34</v>
      </c>
      <c r="L877" s="30" t="s">
        <v>3073</v>
      </c>
      <c r="M877" s="151">
        <f>IF(SUM(V877:BC877)=0,"-",SUM(V877:BC877))</f>
        <v>2</v>
      </c>
      <c r="N877" s="352">
        <v>255</v>
      </c>
      <c r="O877" s="114" t="s">
        <v>3074</v>
      </c>
      <c r="P877" s="280" t="s">
        <v>481</v>
      </c>
      <c r="Q877" s="211">
        <v>4300164432</v>
      </c>
      <c r="R877" s="211" t="s">
        <v>481</v>
      </c>
      <c r="S877" s="211" t="s">
        <v>249</v>
      </c>
      <c r="T877" s="211" t="s">
        <v>3078</v>
      </c>
      <c r="U877" s="255" t="s">
        <v>3079</v>
      </c>
      <c r="AE877" s="8">
        <v>2</v>
      </c>
    </row>
    <row r="878" spans="1:31">
      <c r="A878" s="286" t="s">
        <v>220</v>
      </c>
      <c r="B878" s="286" t="s">
        <v>221</v>
      </c>
      <c r="C878" s="280" t="s">
        <v>2302</v>
      </c>
      <c r="D878" s="281" t="str">
        <f>IF(F878="","",CHOOSE(MONTH(F878),"Q4","Q4","Q4","Q1","Q1","Q1","Q2","Q2","Q2","Q3","Q3","Q3"))</f>
        <v>Q4</v>
      </c>
      <c r="E878" s="282" t="str">
        <f>IF(F878="","",CHOOSE(MONTH(F878),"10-JAN","11-FEB","12-MAR","01-APR","02-MAY","03-JUN","04-JUL","05-AUG","06-SEP","07-OCT","08-NOV","09-DEC"))</f>
        <v>10-JAN</v>
      </c>
      <c r="F878" s="242">
        <v>46031</v>
      </c>
      <c r="G878" s="2" t="s">
        <v>3080</v>
      </c>
      <c r="H878" s="410" t="s">
        <v>36</v>
      </c>
      <c r="I878" s="29" t="s">
        <v>223</v>
      </c>
      <c r="K878" s="280" t="s">
        <v>34</v>
      </c>
      <c r="L878" s="30" t="s">
        <v>3081</v>
      </c>
      <c r="M878" s="151">
        <f>IF(SUM(V878:BC878)=0,"-",SUM(V878:BC878))</f>
        <v>1</v>
      </c>
      <c r="N878" s="352">
        <f>IF(SUMPRODUCT($V$3:$BC$3,V878:BC878)=0,"-",SUMPRODUCT($V$3:$BC$3,V878:BC878))</f>
        <v>35</v>
      </c>
      <c r="O878" s="114" t="s">
        <v>3082</v>
      </c>
      <c r="P878" s="280" t="s">
        <v>481</v>
      </c>
      <c r="Q878" s="359"/>
      <c r="R878" s="359"/>
      <c r="S878" s="359"/>
      <c r="T878" s="359"/>
      <c r="U878" s="360"/>
      <c r="W878" s="8">
        <v>1</v>
      </c>
    </row>
    <row r="879" spans="1:31">
      <c r="A879" s="286" t="s">
        <v>244</v>
      </c>
      <c r="B879" s="286" t="s">
        <v>221</v>
      </c>
      <c r="C879" s="280" t="s">
        <v>2302</v>
      </c>
      <c r="D879" s="281" t="str">
        <f>IF(F879="","",CHOOSE(MONTH(F879),"Q4","Q4","Q4","Q1","Q1","Q1","Q2","Q2","Q2","Q3","Q3","Q3"))</f>
        <v>Q3</v>
      </c>
      <c r="E879" s="282" t="str">
        <f>IF(F879="","",CHOOSE(MONTH(F879),"10-JAN","11-FEB","12-MAR","01-APR","02-MAY","03-JUN","04-JUL","05-AUG","06-SEP","07-OCT","08-NOV","09-DEC"))</f>
        <v>08-NOV</v>
      </c>
      <c r="F879" s="242">
        <v>45982</v>
      </c>
      <c r="G879" s="222" t="s">
        <v>3083</v>
      </c>
      <c r="H879" s="410" t="s">
        <v>2993</v>
      </c>
      <c r="I879" s="29" t="s">
        <v>223</v>
      </c>
      <c r="K879" s="281" t="str">
        <f>IF(H879="","",IFERROR(VLOOKUP(H879,Instructions!D:E,2,0),"BA"))</f>
        <v>BA</v>
      </c>
      <c r="L879" s="30" t="s">
        <v>3084</v>
      </c>
      <c r="M879" s="151">
        <f>IF(SUM(V879:BC879)=0,"-",SUM(V879:BC879))</f>
        <v>4</v>
      </c>
      <c r="N879" s="65">
        <f>IF(SUMPRODUCT($V$3:$BC$3,V879:BC879)=0,"-",SUMPRODUCT($V$3:$BC$3,V879:BC879))</f>
        <v>310</v>
      </c>
      <c r="O879" s="114" t="s">
        <v>3085</v>
      </c>
      <c r="P879" s="280" t="s">
        <v>481</v>
      </c>
      <c r="Q879" s="211">
        <v>4300142647</v>
      </c>
      <c r="R879" s="211"/>
      <c r="S879" s="211" t="s">
        <v>249</v>
      </c>
      <c r="T879" s="211" t="s">
        <v>3086</v>
      </c>
      <c r="U879" s="356" t="s">
        <v>2721</v>
      </c>
      <c r="V879" s="7">
        <v>2</v>
      </c>
      <c r="W879" s="8">
        <v>2</v>
      </c>
    </row>
    <row r="880" spans="1:31">
      <c r="A880" s="286" t="s">
        <v>244</v>
      </c>
      <c r="B880" s="286" t="s">
        <v>221</v>
      </c>
      <c r="C880" s="280" t="s">
        <v>2302</v>
      </c>
      <c r="D880" s="281" t="str">
        <f>IF(F880="","",CHOOSE(MONTH(F880),"Q4","Q4","Q4","Q1","Q1","Q1","Q2","Q2","Q2","Q3","Q3","Q3"))</f>
        <v>Q3</v>
      </c>
      <c r="E880" s="282" t="str">
        <f>IF(F880="","",CHOOSE(MONTH(F880),"10-JAN","11-FEB","12-MAR","01-APR","02-MAY","03-JUN","04-JUL","05-AUG","06-SEP","07-OCT","08-NOV","09-DEC"))</f>
        <v>08-NOV</v>
      </c>
      <c r="F880" s="242">
        <v>45982</v>
      </c>
      <c r="G880" s="222" t="s">
        <v>3087</v>
      </c>
      <c r="H880" s="410" t="s">
        <v>2993</v>
      </c>
      <c r="I880" s="29" t="s">
        <v>223</v>
      </c>
      <c r="K880" s="281" t="str">
        <f>IF(H880="","",IFERROR(VLOOKUP(H880,Instructions!D:E,2,0),"BA"))</f>
        <v>BA</v>
      </c>
      <c r="L880" s="30" t="s">
        <v>3088</v>
      </c>
      <c r="M880" s="151">
        <f>IF(SUM(V880:BC880)=0,"-",SUM(V880:BC880))</f>
        <v>6</v>
      </c>
      <c r="N880" s="65">
        <f>IF(SUMPRODUCT($V$3:$BC$3,V880:BC880)=0,"-",SUMPRODUCT($V$3:$BC$3,V880:BC880))</f>
        <v>465</v>
      </c>
      <c r="O880" s="114" t="s">
        <v>3089</v>
      </c>
      <c r="P880" s="280" t="s">
        <v>481</v>
      </c>
      <c r="Q880" s="211">
        <v>4300142651</v>
      </c>
      <c r="R880" s="211"/>
      <c r="S880" s="211" t="s">
        <v>249</v>
      </c>
      <c r="T880" s="211" t="s">
        <v>3090</v>
      </c>
      <c r="U880" s="356" t="s">
        <v>2721</v>
      </c>
      <c r="V880" s="7">
        <v>3</v>
      </c>
      <c r="W880" s="8">
        <v>3</v>
      </c>
    </row>
    <row r="881" spans="1:45">
      <c r="A881" s="286" t="s">
        <v>244</v>
      </c>
      <c r="B881" s="286" t="s">
        <v>221</v>
      </c>
      <c r="C881" s="280" t="s">
        <v>2</v>
      </c>
      <c r="D881" s="281" t="str">
        <f>IF(F881="","",CHOOSE(MONTH(F881),"Q4","Q4","Q4","Q1","Q1","Q1","Q2","Q2","Q2","Q3","Q3","Q3"))</f>
        <v>Q3</v>
      </c>
      <c r="E881" s="282" t="str">
        <f>IF(F881="","",CHOOSE(MONTH(F881),"10-JAN","11-FEB","12-MAR","01-APR","02-MAY","03-JUN","04-JUL","05-AUG","06-SEP","07-OCT","08-NOV","09-DEC"))</f>
        <v>08-NOV</v>
      </c>
      <c r="F881" s="242">
        <v>45982</v>
      </c>
      <c r="G881" s="222" t="s">
        <v>3091</v>
      </c>
      <c r="H881" s="410" t="s">
        <v>36</v>
      </c>
      <c r="I881" s="29" t="s">
        <v>223</v>
      </c>
      <c r="K881" s="281" t="str">
        <f>IF(H881="","",IFERROR(VLOOKUP(H881,Instructions!D:E,2,0),"BA"))</f>
        <v>BA</v>
      </c>
      <c r="L881" s="30" t="s">
        <v>3092</v>
      </c>
      <c r="M881" s="151">
        <f>IF(SUM(V881:BC881)=0,"-",SUM(V881:BC881))</f>
        <v>1</v>
      </c>
      <c r="N881" s="352">
        <f>IF(SUMPRODUCT($V$3:$BC$3,V881:BC881)=0,"-",SUMPRODUCT($V$3:$BC$3,V881:BC881))</f>
        <v>120</v>
      </c>
      <c r="O881" s="114" t="s">
        <v>3093</v>
      </c>
      <c r="P881" s="280" t="s">
        <v>481</v>
      </c>
      <c r="Q881" s="359"/>
      <c r="R881" s="359"/>
      <c r="S881" s="359"/>
      <c r="T881" s="359"/>
      <c r="U881" s="360"/>
      <c r="V881" s="7">
        <v>1</v>
      </c>
    </row>
    <row r="882" spans="1:45" ht="15.75" customHeight="1">
      <c r="A882" s="286" t="s">
        <v>244</v>
      </c>
      <c r="B882" s="286" t="s">
        <v>221</v>
      </c>
      <c r="C882" s="280" t="s">
        <v>2302</v>
      </c>
      <c r="D882" s="281" t="str">
        <f>IF(F882="","",CHOOSE(MONTH(F882),"Q4","Q4","Q4","Q1","Q1","Q1","Q2","Q2","Q2","Q3","Q3","Q3"))</f>
        <v>Q3</v>
      </c>
      <c r="E882" s="282" t="str">
        <f>IF(F882="","",CHOOSE(MONTH(F882),"10-JAN","11-FEB","12-MAR","01-APR","02-MAY","03-JUN","04-JUL","05-AUG","06-SEP","07-OCT","08-NOV","09-DEC"))</f>
        <v>08-NOV</v>
      </c>
      <c r="F882" s="242">
        <v>45982</v>
      </c>
      <c r="G882" s="222" t="s">
        <v>3094</v>
      </c>
      <c r="H882" s="410" t="s">
        <v>2993</v>
      </c>
      <c r="I882" s="29" t="s">
        <v>223</v>
      </c>
      <c r="K882" s="281" t="str">
        <f>IF(H882="","",IFERROR(VLOOKUP(H882,Instructions!D:E,2,0),"BA"))</f>
        <v>BA</v>
      </c>
      <c r="L882" s="30" t="s">
        <v>3095</v>
      </c>
      <c r="M882" s="151">
        <f>IF(SUM(V882:BC882)=0,"-",SUM(V882:BC882))</f>
        <v>1</v>
      </c>
      <c r="N882" s="65">
        <f>IF(SUMPRODUCT($V$3:$BC$3,V882:BC882)=0,"-",SUMPRODUCT($V$3:$BC$3,V882:BC882))</f>
        <v>35</v>
      </c>
      <c r="O882" s="114" t="s">
        <v>3096</v>
      </c>
      <c r="P882" s="280" t="s">
        <v>481</v>
      </c>
      <c r="Q882" s="211">
        <v>4300142651</v>
      </c>
      <c r="R882" s="211"/>
      <c r="S882" s="211" t="s">
        <v>249</v>
      </c>
      <c r="T882" s="211" t="s">
        <v>3090</v>
      </c>
      <c r="U882" s="356" t="s">
        <v>2721</v>
      </c>
      <c r="W882" s="8">
        <v>1</v>
      </c>
    </row>
    <row r="883" spans="1:45">
      <c r="A883" s="286" t="s">
        <v>220</v>
      </c>
      <c r="B883" s="286" t="s">
        <v>221</v>
      </c>
      <c r="C883" s="280" t="s">
        <v>2302</v>
      </c>
      <c r="D883" s="281" t="str">
        <f>IF(F883="","",CHOOSE(MONTH(F883),"Q4","Q4","Q4","Q1","Q1","Q1","Q2","Q2","Q2","Q3","Q3","Q3"))</f>
        <v>Q3</v>
      </c>
      <c r="E883" s="282" t="str">
        <f>IF(F883="","",CHOOSE(MONTH(F883),"10-JAN","11-FEB","12-MAR","01-APR","02-MAY","03-JUN","04-JUL","05-AUG","06-SEP","07-OCT","08-NOV","09-DEC"))</f>
        <v>08-NOV</v>
      </c>
      <c r="F883" s="242">
        <v>45982</v>
      </c>
      <c r="G883" s="2" t="s">
        <v>3097</v>
      </c>
      <c r="H883" s="410" t="s">
        <v>2381</v>
      </c>
      <c r="I883" s="29" t="s">
        <v>223</v>
      </c>
      <c r="K883" s="281" t="str">
        <f>IF(H883="","",IFERROR(VLOOKUP(H883,Instructions!D:E,2,0),"BA"))</f>
        <v>BA</v>
      </c>
      <c r="L883" s="30" t="s">
        <v>3098</v>
      </c>
      <c r="M883" s="151">
        <f>IF(SUM(V883:BC883)=0,"-",SUM(V883:BC883))</f>
        <v>4</v>
      </c>
      <c r="N883" s="65">
        <f>IF(SUMPRODUCT($V$3:$BC$3,V883:BC883)=0,"-",SUMPRODUCT($V$3:$BC$3,V883:BC883))</f>
        <v>230</v>
      </c>
      <c r="O883" s="114" t="s">
        <v>3099</v>
      </c>
      <c r="P883" s="280" t="s">
        <v>481</v>
      </c>
      <c r="Q883" s="211">
        <v>4300142651</v>
      </c>
      <c r="R883" s="211"/>
      <c r="S883" s="211" t="s">
        <v>249</v>
      </c>
      <c r="T883" s="211" t="s">
        <v>3090</v>
      </c>
      <c r="U883" s="356" t="s">
        <v>2721</v>
      </c>
      <c r="W883" s="8">
        <v>2</v>
      </c>
      <c r="AS883" s="7">
        <v>2</v>
      </c>
    </row>
    <row r="884" spans="1:45">
      <c r="A884" s="286" t="s">
        <v>244</v>
      </c>
      <c r="B884" s="286" t="s">
        <v>221</v>
      </c>
      <c r="C884" s="280" t="s">
        <v>2302</v>
      </c>
      <c r="D884" s="281" t="str">
        <f>IF(F884="","",CHOOSE(MONTH(F884),"Q4","Q4","Q4","Q1","Q1","Q1","Q2","Q2","Q2","Q3","Q3","Q3"))</f>
        <v>Q4</v>
      </c>
      <c r="E884" s="282" t="str">
        <f>IF(F884="","",CHOOSE(MONTH(F884),"10-JAN","11-FEB","12-MAR","01-APR","02-MAY","03-JUN","04-JUL","05-AUG","06-SEP","07-OCT","08-NOV","09-DEC"))</f>
        <v>11-FEB</v>
      </c>
      <c r="F884" s="242">
        <v>46065</v>
      </c>
      <c r="G884" s="222" t="s">
        <v>3100</v>
      </c>
      <c r="H884" s="410" t="s">
        <v>2993</v>
      </c>
      <c r="I884" s="29" t="s">
        <v>223</v>
      </c>
      <c r="J884" s="8" t="s">
        <v>638</v>
      </c>
      <c r="K884" s="281" t="str">
        <f>IF(H884="","",IFERROR(VLOOKUP(H884,Instructions!D:E,2,0),"BA"))</f>
        <v>BA</v>
      </c>
      <c r="L884" s="78" t="s">
        <v>3101</v>
      </c>
      <c r="M884" s="151">
        <f>IF(SUM(V884:BC884)=0,"-",SUM(V884:BC884))</f>
        <v>3</v>
      </c>
      <c r="N884" s="65">
        <f>IF(SUMPRODUCT($V$3:$BC$3,V884:BC884)=0,"-",SUMPRODUCT($V$3:$BC$3,V884:BC884))</f>
        <v>275</v>
      </c>
      <c r="O884" s="114" t="s">
        <v>3102</v>
      </c>
      <c r="P884" s="280" t="s">
        <v>481</v>
      </c>
      <c r="Q884" s="211" t="s">
        <v>2963</v>
      </c>
      <c r="R884" s="211"/>
      <c r="S884" s="211" t="s">
        <v>249</v>
      </c>
      <c r="T884" s="211" t="s">
        <v>3015</v>
      </c>
      <c r="U884" s="356" t="s">
        <v>2721</v>
      </c>
      <c r="V884" s="7">
        <v>2</v>
      </c>
      <c r="W884" s="8">
        <v>1</v>
      </c>
    </row>
    <row r="885" spans="1:45">
      <c r="A885" s="286" t="s">
        <v>244</v>
      </c>
      <c r="B885" s="286" t="s">
        <v>221</v>
      </c>
      <c r="C885" s="280" t="s">
        <v>2302</v>
      </c>
      <c r="D885" s="281" t="str">
        <f>IF(F885="","",CHOOSE(MONTH(F885),"Q4","Q4","Q4","Q1","Q1","Q1","Q2","Q2","Q2","Q3","Q3","Q3"))</f>
        <v>Q3</v>
      </c>
      <c r="E885" s="282" t="str">
        <f>IF(F885="","",CHOOSE(MONTH(F885),"10-JAN","11-FEB","12-MAR","01-APR","02-MAY","03-JUN","04-JUL","05-AUG","06-SEP","07-OCT","08-NOV","09-DEC"))</f>
        <v>08-NOV</v>
      </c>
      <c r="F885" s="242">
        <v>45982</v>
      </c>
      <c r="G885" s="463" t="s">
        <v>3103</v>
      </c>
      <c r="H885" s="464" t="s">
        <v>36</v>
      </c>
      <c r="I885" s="29" t="s">
        <v>223</v>
      </c>
      <c r="K885" s="281" t="str">
        <f>IF(H885="","",IFERROR(VLOOKUP(H885,Instructions!D:E,2,0),"BA"))</f>
        <v>BA</v>
      </c>
      <c r="L885" s="78" t="s">
        <v>3104</v>
      </c>
      <c r="M885" s="151">
        <f>IF(SUM(V885:BC885)=0,"-",SUM(V885:BC885))</f>
        <v>29</v>
      </c>
      <c r="N885" s="65">
        <f>IF(SUMPRODUCT($V$3:$BC$3,V885:BC885)=0,"-",SUMPRODUCT($V$3:$BC$3,V885:BC885))</f>
        <v>1400</v>
      </c>
      <c r="O885" s="114" t="s">
        <v>3105</v>
      </c>
      <c r="P885" s="280" t="s">
        <v>2883</v>
      </c>
      <c r="Q885" s="260">
        <v>4300162269</v>
      </c>
      <c r="R885" s="260"/>
      <c r="S885" s="260" t="s">
        <v>249</v>
      </c>
      <c r="T885" s="260" t="s">
        <v>3106</v>
      </c>
      <c r="U885" s="486" t="s">
        <v>2738</v>
      </c>
      <c r="V885" s="8">
        <v>3</v>
      </c>
      <c r="W885" s="8">
        <v>19</v>
      </c>
      <c r="AC885" s="7">
        <v>1</v>
      </c>
      <c r="AD885" s="8">
        <v>6</v>
      </c>
    </row>
    <row r="886" spans="1:45">
      <c r="A886" s="286" t="s">
        <v>244</v>
      </c>
      <c r="B886" s="286" t="s">
        <v>221</v>
      </c>
      <c r="C886" s="280" t="s">
        <v>2</v>
      </c>
      <c r="D886" s="281" t="str">
        <f>IF(F886="","",CHOOSE(MONTH(F886),"Q4","Q4","Q4","Q1","Q1","Q1","Q2","Q2","Q2","Q3","Q3","Q3"))</f>
        <v>Q4</v>
      </c>
      <c r="E886" s="282" t="str">
        <f>IF(F886="","",CHOOSE(MONTH(F886),"10-JAN","11-FEB","12-MAR","01-APR","02-MAY","03-JUN","04-JUL","05-AUG","06-SEP","07-OCT","08-NOV","09-DEC"))</f>
        <v>10-JAN</v>
      </c>
      <c r="F886" s="242">
        <v>46038</v>
      </c>
      <c r="G886" s="463" t="s">
        <v>3107</v>
      </c>
      <c r="H886" s="410" t="s">
        <v>3009</v>
      </c>
      <c r="I886" s="29" t="s">
        <v>223</v>
      </c>
      <c r="K886" s="281" t="str">
        <f>IF(H886="","",IFERROR(VLOOKUP(H886,Instructions!D:E,2,0),"BA"))</f>
        <v>BA</v>
      </c>
      <c r="L886" s="30" t="s">
        <v>3108</v>
      </c>
      <c r="M886" s="151">
        <f>IF(SUM(V886:BC886)=0,"-",SUM(V886:BC886))</f>
        <v>4</v>
      </c>
      <c r="N886" s="65">
        <f>IF(SUMPRODUCT($V$3:$BC$3,V886:BC886)=0,"-",SUMPRODUCT($V$3:$BC$3,V886:BC886))</f>
        <v>310</v>
      </c>
      <c r="O886" s="114" t="s">
        <v>3109</v>
      </c>
      <c r="P886" s="280" t="s">
        <v>481</v>
      </c>
      <c r="Q886" s="211" t="s">
        <v>3067</v>
      </c>
      <c r="R886" s="211" t="s">
        <v>481</v>
      </c>
      <c r="S886" s="211" t="s">
        <v>249</v>
      </c>
      <c r="T886" s="211" t="s">
        <v>3110</v>
      </c>
      <c r="U886" s="524" t="s">
        <v>3111</v>
      </c>
      <c r="V886" s="8">
        <v>2</v>
      </c>
      <c r="W886" s="8">
        <v>2</v>
      </c>
    </row>
    <row r="887" spans="1:45">
      <c r="A887" s="286" t="s">
        <v>244</v>
      </c>
      <c r="B887" s="286" t="s">
        <v>221</v>
      </c>
      <c r="C887" s="280" t="s">
        <v>2302</v>
      </c>
      <c r="D887" s="281" t="str">
        <f>IF(F887="","",CHOOSE(MONTH(F887),"Q4","Q4","Q4","Q1","Q1","Q1","Q2","Q2","Q2","Q3","Q3","Q3"))</f>
        <v>Q4</v>
      </c>
      <c r="E887" s="282" t="str">
        <f>IF(F887="","",CHOOSE(MONTH(F887),"10-JAN","11-FEB","12-MAR","01-APR","02-MAY","03-JUN","04-JUL","05-AUG","06-SEP","07-OCT","08-NOV","09-DEC"))</f>
        <v>10-JAN</v>
      </c>
      <c r="F887" s="242">
        <v>46049</v>
      </c>
      <c r="G887" s="463" t="s">
        <v>3112</v>
      </c>
      <c r="H887" s="410" t="s">
        <v>2693</v>
      </c>
      <c r="I887" s="29" t="s">
        <v>223</v>
      </c>
      <c r="K887" s="281" t="str">
        <f>IF(H887="","",IFERROR(VLOOKUP(H887,Instructions!D:E,2,0),"BA"))</f>
        <v>BA</v>
      </c>
      <c r="L887" s="30" t="s">
        <v>3113</v>
      </c>
      <c r="M887" s="151">
        <f>IF(SUM(V887:BC887)=0,"-",SUM(V887:BC887))</f>
        <v>1</v>
      </c>
      <c r="N887" s="65">
        <f>IF(SUMPRODUCT($V$3:$BC$3,V887:BC887)=0,"-",SUMPRODUCT($V$3:$BC$3,V887:BC887))</f>
        <v>40</v>
      </c>
      <c r="O887" s="114" t="s">
        <v>3114</v>
      </c>
      <c r="P887" s="280" t="s">
        <v>481</v>
      </c>
      <c r="Q887" s="211">
        <v>4300168311</v>
      </c>
      <c r="R887" s="211" t="s">
        <v>481</v>
      </c>
      <c r="S887" s="350" t="s">
        <v>249</v>
      </c>
      <c r="T887" s="211" t="s">
        <v>3115</v>
      </c>
      <c r="U887" s="524" t="s">
        <v>3116</v>
      </c>
      <c r="V887" s="8"/>
      <c r="AD887" s="8">
        <v>1</v>
      </c>
    </row>
    <row r="888" spans="1:45">
      <c r="A888" s="286" t="s">
        <v>220</v>
      </c>
      <c r="B888" s="286" t="s">
        <v>221</v>
      </c>
      <c r="C888" s="280" t="s">
        <v>2302</v>
      </c>
      <c r="D888" s="281" t="str">
        <f>IF(F888="","",CHOOSE(MONTH(F888),"Q4","Q4","Q4","Q1","Q1","Q1","Q2","Q2","Q2","Q3","Q3","Q3"))</f>
        <v>Q4</v>
      </c>
      <c r="E888" s="282" t="str">
        <f>IF(F888="","",CHOOSE(MONTH(F888),"10-JAN","11-FEB","12-MAR","01-APR","02-MAY","03-JUN","04-JUL","05-AUG","06-SEP","07-OCT","08-NOV","09-DEC"))</f>
        <v>10-JAN</v>
      </c>
      <c r="F888" s="242">
        <v>46049</v>
      </c>
      <c r="G888" s="463" t="s">
        <v>3117</v>
      </c>
      <c r="H888" s="410" t="s">
        <v>3009</v>
      </c>
      <c r="I888" s="29" t="s">
        <v>223</v>
      </c>
      <c r="K888" s="281" t="str">
        <f>IF(H888="","",IFERROR(VLOOKUP(H888,Instructions!D:E,2,0),"BA"))</f>
        <v>BA</v>
      </c>
      <c r="L888" s="30"/>
      <c r="M888" s="151">
        <f>IF(SUM(V888:BC888)=0,"-",SUM(V888:BC888))</f>
        <v>2</v>
      </c>
      <c r="N888" s="65">
        <f>IF(SUMPRODUCT($V$3:$BC$3,V888:BC888)=0,"-",SUMPRODUCT($V$3:$BC$3,V888:BC888))</f>
        <v>70</v>
      </c>
      <c r="O888" s="114" t="s">
        <v>3118</v>
      </c>
      <c r="P888" s="280" t="s">
        <v>481</v>
      </c>
      <c r="Q888" s="211" t="s">
        <v>3067</v>
      </c>
      <c r="R888" s="211" t="s">
        <v>481</v>
      </c>
      <c r="S888" s="211" t="s">
        <v>249</v>
      </c>
      <c r="T888" s="211" t="s">
        <v>3119</v>
      </c>
      <c r="U888" s="524" t="s">
        <v>2917</v>
      </c>
      <c r="V888" s="8"/>
      <c r="W888" s="8">
        <v>2</v>
      </c>
    </row>
    <row r="889" spans="1:45">
      <c r="A889" s="286" t="s">
        <v>244</v>
      </c>
      <c r="B889" s="286" t="s">
        <v>221</v>
      </c>
      <c r="C889" s="280" t="s">
        <v>2302</v>
      </c>
      <c r="D889" s="281" t="str">
        <f>IF(F889="","",CHOOSE(MONTH(F889),"Q4","Q4","Q4","Q1","Q1","Q1","Q2","Q2","Q2","Q3","Q3","Q3"))</f>
        <v>Q4</v>
      </c>
      <c r="E889" s="282" t="str">
        <f>IF(F889="","",CHOOSE(MONTH(F889),"10-JAN","11-FEB","12-MAR","01-APR","02-MAY","03-JUN","04-JUL","05-AUG","06-SEP","07-OCT","08-NOV","09-DEC"))</f>
        <v>10-JAN</v>
      </c>
      <c r="F889" s="242">
        <v>46050</v>
      </c>
      <c r="G889" s="463" t="s">
        <v>3120</v>
      </c>
      <c r="H889" s="410" t="s">
        <v>3009</v>
      </c>
      <c r="I889" s="29" t="s">
        <v>223</v>
      </c>
      <c r="K889" s="281" t="str">
        <f>IF(H889="","",IFERROR(VLOOKUP(H889,Instructions!D:E,2,0),"BA"))</f>
        <v>BA</v>
      </c>
      <c r="L889" s="30" t="s">
        <v>3121</v>
      </c>
      <c r="M889" s="151">
        <f>IF(SUM(V889:BC889)=0,"-",SUM(V889:BC889))</f>
        <v>4</v>
      </c>
      <c r="N889" s="65">
        <f>IF(SUMPRODUCT($V$3:$BC$3,V889:BC889)=0,"-",SUMPRODUCT($V$3:$BC$3,V889:BC889))</f>
        <v>310</v>
      </c>
      <c r="O889" s="114" t="s">
        <v>3122</v>
      </c>
      <c r="P889" s="280" t="s">
        <v>481</v>
      </c>
      <c r="Q889" s="211" t="s">
        <v>3067</v>
      </c>
      <c r="R889" s="211" t="s">
        <v>481</v>
      </c>
      <c r="S889" s="211" t="s">
        <v>249</v>
      </c>
      <c r="T889" s="211" t="s">
        <v>3119</v>
      </c>
      <c r="U889" s="524" t="s">
        <v>2917</v>
      </c>
      <c r="V889" s="8">
        <v>2</v>
      </c>
      <c r="W889" s="8">
        <v>2</v>
      </c>
    </row>
    <row r="890" spans="1:45">
      <c r="A890" s="286" t="s">
        <v>244</v>
      </c>
      <c r="B890" s="286" t="s">
        <v>221</v>
      </c>
      <c r="C890" s="280" t="s">
        <v>2302</v>
      </c>
      <c r="D890" s="281" t="str">
        <f>IF(F890="","",CHOOSE(MONTH(F890),"Q4","Q4","Q4","Q1","Q1","Q1","Q2","Q2","Q2","Q3","Q3","Q3"))</f>
        <v>Q4</v>
      </c>
      <c r="E890" s="282" t="str">
        <f>IF(F890="","",CHOOSE(MONTH(F890),"10-JAN","11-FEB","12-MAR","01-APR","02-MAY","03-JUN","04-JUL","05-AUG","06-SEP","07-OCT","08-NOV","09-DEC"))</f>
        <v>10-JAN</v>
      </c>
      <c r="F890" s="242">
        <v>46052</v>
      </c>
      <c r="G890" s="231" t="s">
        <v>3123</v>
      </c>
      <c r="H890" s="5" t="s">
        <v>36</v>
      </c>
      <c r="I890" s="29" t="s">
        <v>223</v>
      </c>
      <c r="K890" s="281" t="str">
        <f>IF(H890="","",IFERROR(VLOOKUP(H890,Instructions!D:E,2,0),"BA"))</f>
        <v>BA</v>
      </c>
      <c r="L890" s="78" t="s">
        <v>3124</v>
      </c>
      <c r="M890" s="151">
        <f>IF(SUM(V890:BC890)=0,"-",SUM(V890:BC890))</f>
        <v>2</v>
      </c>
      <c r="N890" s="65">
        <f>IF(SUMPRODUCT($V$3:$BC$3,V890:BC890)=0,"-",SUMPRODUCT($V$3:$BC$3,V890:BC890))</f>
        <v>155</v>
      </c>
      <c r="O890" s="114" t="s">
        <v>3125</v>
      </c>
      <c r="P890" s="280" t="s">
        <v>481</v>
      </c>
      <c r="Q890" s="211">
        <v>4300169503</v>
      </c>
      <c r="R890" s="211" t="s">
        <v>481</v>
      </c>
      <c r="S890" s="211" t="s">
        <v>249</v>
      </c>
      <c r="T890" s="211" t="s">
        <v>3126</v>
      </c>
      <c r="U890" s="524" t="s">
        <v>3116</v>
      </c>
      <c r="V890" s="8">
        <v>1</v>
      </c>
      <c r="W890" s="8">
        <v>1</v>
      </c>
    </row>
    <row r="891" spans="1:45">
      <c r="A891" s="286" t="s">
        <v>244</v>
      </c>
      <c r="B891" s="286" t="s">
        <v>221</v>
      </c>
      <c r="C891" s="280" t="s">
        <v>2</v>
      </c>
      <c r="D891" s="281" t="str">
        <f>IF(F891="","",CHOOSE(MONTH(F891),"Q4","Q4","Q4","Q1","Q1","Q1","Q2","Q2","Q2","Q3","Q3","Q3"))</f>
        <v>Q4</v>
      </c>
      <c r="E891" s="282" t="str">
        <f>IF(F891="","",CHOOSE(MONTH(F891),"10-JAN","11-FEB","12-MAR","01-APR","02-MAY","03-JUN","04-JUL","05-AUG","06-SEP","07-OCT","08-NOV","09-DEC"))</f>
        <v>11-FEB</v>
      </c>
      <c r="F891" s="242">
        <v>46055</v>
      </c>
      <c r="G891" s="231" t="s">
        <v>3127</v>
      </c>
      <c r="H891" s="5" t="s">
        <v>36</v>
      </c>
      <c r="I891" s="29" t="s">
        <v>223</v>
      </c>
      <c r="K891" s="281" t="str">
        <f>IF(H891="","",IFERROR(VLOOKUP(H891,Instructions!D:E,2,0),"BA"))</f>
        <v>BA</v>
      </c>
      <c r="L891" s="30" t="s">
        <v>2949</v>
      </c>
      <c r="M891" s="151">
        <f>IF(SUM(V891:BC891)=0,"-",SUM(V891:BC891))</f>
        <v>10</v>
      </c>
      <c r="N891" s="65">
        <f>IF(SUMPRODUCT($V$3:$BC$3,V891:BC891)=0,"-",SUMPRODUCT($V$3:$BC$3,V891:BC891))</f>
        <v>350</v>
      </c>
      <c r="O891" s="114" t="s">
        <v>3128</v>
      </c>
      <c r="P891" s="280" t="s">
        <v>481</v>
      </c>
      <c r="Q891" s="211">
        <v>4300169503</v>
      </c>
      <c r="R891" s="211" t="s">
        <v>481</v>
      </c>
      <c r="S891" s="211" t="s">
        <v>249</v>
      </c>
      <c r="T891" s="211" t="s">
        <v>3126</v>
      </c>
      <c r="U891" s="524" t="s">
        <v>3116</v>
      </c>
      <c r="V891" s="8"/>
      <c r="W891" s="8">
        <v>10</v>
      </c>
    </row>
    <row r="892" spans="1:45">
      <c r="A892" s="286" t="s">
        <v>244</v>
      </c>
      <c r="B892" s="286" t="s">
        <v>221</v>
      </c>
      <c r="C892" s="280" t="s">
        <v>2302</v>
      </c>
      <c r="D892" s="281" t="str">
        <f>IF(F892="","",CHOOSE(MONTH(F892),"Q4","Q4","Q4","Q1","Q1","Q1","Q2","Q2","Q2","Q3","Q3","Q3"))</f>
        <v>Q4</v>
      </c>
      <c r="E892" s="282" t="str">
        <f>IF(F892="","",CHOOSE(MONTH(F892),"10-JAN","11-FEB","12-MAR","01-APR","02-MAY","03-JUN","04-JUL","05-AUG","06-SEP","07-OCT","08-NOV","09-DEC"))</f>
        <v>11-FEB</v>
      </c>
      <c r="F892" s="242">
        <v>46055</v>
      </c>
      <c r="G892" s="231" t="s">
        <v>3129</v>
      </c>
      <c r="H892" s="5" t="s">
        <v>2658</v>
      </c>
      <c r="I892" s="29" t="s">
        <v>223</v>
      </c>
      <c r="K892" s="281" t="str">
        <f>IF(H892="","",IFERROR(VLOOKUP(H892,Instructions!D:E,2,0),"BA"))</f>
        <v>BA</v>
      </c>
      <c r="L892" s="30" t="s">
        <v>3044</v>
      </c>
      <c r="M892" s="151">
        <f>IF(SUM(V892:BC892)=0,"-",SUM(V892:BC892))</f>
        <v>1</v>
      </c>
      <c r="N892" s="65">
        <f>IF(SUMPRODUCT($V$3:$BC$3,V892:BC892)=0,"-",SUMPRODUCT($V$3:$BC$3,V892:BC892))</f>
        <v>40</v>
      </c>
      <c r="O892" s="114" t="s">
        <v>3130</v>
      </c>
      <c r="P892" s="280" t="s">
        <v>481</v>
      </c>
      <c r="Q892" s="211">
        <v>4300153673</v>
      </c>
      <c r="R892" s="211" t="s">
        <v>481</v>
      </c>
      <c r="S892" s="211" t="s">
        <v>249</v>
      </c>
      <c r="T892" s="211" t="s">
        <v>3131</v>
      </c>
      <c r="U892" s="524" t="s">
        <v>3132</v>
      </c>
      <c r="V892" s="8"/>
      <c r="AD892" s="8">
        <v>1</v>
      </c>
    </row>
    <row r="893" spans="1:45">
      <c r="A893" s="286" t="s">
        <v>220</v>
      </c>
      <c r="B893" s="286" t="s">
        <v>221</v>
      </c>
      <c r="C893" s="280" t="s">
        <v>2302</v>
      </c>
      <c r="D893" s="281" t="str">
        <f>IF(F893="","",CHOOSE(MONTH(F893),"Q4","Q4","Q4","Q1","Q1","Q1","Q2","Q2","Q2","Q3","Q3","Q3"))</f>
        <v>Q4</v>
      </c>
      <c r="E893" s="282" t="str">
        <f>IF(F893="","",CHOOSE(MONTH(F893),"10-JAN","11-FEB","12-MAR","01-APR","02-MAY","03-JUN","04-JUL","05-AUG","06-SEP","07-OCT","08-NOV","09-DEC"))</f>
        <v>11-FEB</v>
      </c>
      <c r="F893" s="242">
        <v>46057</v>
      </c>
      <c r="G893" s="231" t="s">
        <v>3133</v>
      </c>
      <c r="H893" s="410" t="s">
        <v>3009</v>
      </c>
      <c r="I893" s="29" t="s">
        <v>223</v>
      </c>
      <c r="K893" s="281" t="str">
        <f>IF(H893="","",IFERROR(VLOOKUP(H893,Instructions!D:E,2,0),"BA"))</f>
        <v>BA</v>
      </c>
      <c r="L893" s="78" t="s">
        <v>3134</v>
      </c>
      <c r="M893" s="151">
        <f>IF(SUM(V893:BC893)=0,"-",SUM(V893:BC893))</f>
        <v>2</v>
      </c>
      <c r="N893" s="65">
        <f>IF(SUMPRODUCT($V$3:$BC$3,V893:BC893)=0,"-",SUMPRODUCT($V$3:$BC$3,V893:BC893))</f>
        <v>155</v>
      </c>
      <c r="O893" s="114" t="s">
        <v>3135</v>
      </c>
      <c r="P893" s="280" t="s">
        <v>481</v>
      </c>
      <c r="Q893" s="211" t="s">
        <v>3067</v>
      </c>
      <c r="R893" s="211" t="s">
        <v>481</v>
      </c>
      <c r="S893" s="211" t="s">
        <v>249</v>
      </c>
      <c r="T893" s="211" t="s">
        <v>3119</v>
      </c>
      <c r="U893" s="524" t="s">
        <v>2917</v>
      </c>
      <c r="V893" s="8">
        <v>1</v>
      </c>
      <c r="W893" s="8">
        <v>1</v>
      </c>
    </row>
    <row r="894" spans="1:45">
      <c r="A894" s="286" t="s">
        <v>244</v>
      </c>
      <c r="B894" s="286" t="s">
        <v>221</v>
      </c>
      <c r="C894" s="280" t="s">
        <v>2302</v>
      </c>
      <c r="D894" s="281" t="str">
        <f>IF(F894="","",CHOOSE(MONTH(F894),"Q4","Q4","Q4","Q1","Q1","Q1","Q2","Q2","Q2","Q3","Q3","Q3"))</f>
        <v>Q4</v>
      </c>
      <c r="E894" s="282" t="str">
        <f>IF(F894="","",CHOOSE(MONTH(F894),"10-JAN","11-FEB","12-MAR","01-APR","02-MAY","03-JUN","04-JUL","05-AUG","06-SEP","07-OCT","08-NOV","09-DEC"))</f>
        <v>11-FEB</v>
      </c>
      <c r="F894" s="242">
        <v>46057</v>
      </c>
      <c r="G894" s="231" t="s">
        <v>3136</v>
      </c>
      <c r="H894" s="5" t="s">
        <v>36</v>
      </c>
      <c r="I894" s="29" t="s">
        <v>223</v>
      </c>
      <c r="K894" s="281" t="str">
        <f>IF(H894="","",IFERROR(VLOOKUP(H894,Instructions!D:E,2,0),"BA"))</f>
        <v>BA</v>
      </c>
      <c r="L894" s="30" t="s">
        <v>2819</v>
      </c>
      <c r="M894" s="151">
        <f>IF(SUM(V894:BC894)=0,"-",SUM(V894:BC894))</f>
        <v>12</v>
      </c>
      <c r="N894" s="65">
        <f>IF(SUMPRODUCT($V$3:$BC$3,V894:BC894)=0,"-",SUMPRODUCT($V$3:$BC$3,V894:BC894))</f>
        <v>420</v>
      </c>
      <c r="O894" s="114" t="s">
        <v>3137</v>
      </c>
      <c r="P894" s="280" t="s">
        <v>481</v>
      </c>
      <c r="Q894" s="211">
        <v>4300169503</v>
      </c>
      <c r="R894" s="211" t="s">
        <v>481</v>
      </c>
      <c r="S894" s="211" t="s">
        <v>249</v>
      </c>
      <c r="T894" s="211" t="s">
        <v>3126</v>
      </c>
      <c r="U894" s="524" t="s">
        <v>3116</v>
      </c>
      <c r="V894" s="8"/>
      <c r="W894" s="8">
        <v>12</v>
      </c>
    </row>
    <row r="895" spans="1:45">
      <c r="A895" s="286" t="s">
        <v>244</v>
      </c>
      <c r="B895" s="286" t="s">
        <v>221</v>
      </c>
      <c r="C895" s="280" t="s">
        <v>2302</v>
      </c>
      <c r="D895" s="281" t="str">
        <f>IF(F895="","",CHOOSE(MONTH(F895),"Q4","Q4","Q4","Q1","Q1","Q1","Q2","Q2","Q2","Q3","Q3","Q3"))</f>
        <v>Q4</v>
      </c>
      <c r="E895" s="282" t="str">
        <f>IF(F895="","",CHOOSE(MONTH(F895),"10-JAN","11-FEB","12-MAR","01-APR","02-MAY","03-JUN","04-JUL","05-AUG","06-SEP","07-OCT","08-NOV","09-DEC"))</f>
        <v>11-FEB</v>
      </c>
      <c r="F895" s="242">
        <v>46063</v>
      </c>
      <c r="G895" s="231" t="s">
        <v>3138</v>
      </c>
      <c r="H895" s="5" t="s">
        <v>3139</v>
      </c>
      <c r="I895" s="29" t="s">
        <v>223</v>
      </c>
      <c r="K895" s="281" t="str">
        <f>IF(H895="","",IFERROR(VLOOKUP(H895,Instructions!D:E,2,0),"BA"))</f>
        <v>BA</v>
      </c>
      <c r="L895" s="30" t="s">
        <v>3140</v>
      </c>
      <c r="M895" s="151">
        <f>IF(SUM(V895:BC895)=0,"-",SUM(V895:BC895))</f>
        <v>2</v>
      </c>
      <c r="N895" s="65">
        <f>IF(SUMPRODUCT($V$3:$BC$3,V895:BC895)=0,"-",SUMPRODUCT($V$3:$BC$3,V895:BC895))</f>
        <v>500</v>
      </c>
      <c r="O895" s="114" t="s">
        <v>3141</v>
      </c>
      <c r="P895" s="280" t="s">
        <v>481</v>
      </c>
      <c r="Q895" s="211">
        <v>4300168214</v>
      </c>
      <c r="R895" s="211" t="s">
        <v>481</v>
      </c>
      <c r="S895" s="211" t="s">
        <v>249</v>
      </c>
      <c r="T895" s="211" t="s">
        <v>3142</v>
      </c>
      <c r="U895" s="255" t="s">
        <v>3111</v>
      </c>
      <c r="AF895" s="8">
        <v>2</v>
      </c>
    </row>
    <row r="896" spans="1:45">
      <c r="A896" s="286" t="s">
        <v>244</v>
      </c>
      <c r="B896" s="286" t="s">
        <v>221</v>
      </c>
      <c r="C896" s="280" t="s">
        <v>2</v>
      </c>
      <c r="D896" s="281" t="str">
        <f>IF(F896="","",CHOOSE(MONTH(F896),"Q4","Q4","Q4","Q1","Q1","Q1","Q2","Q2","Q2","Q3","Q3","Q3"))</f>
        <v>Q4</v>
      </c>
      <c r="E896" s="282" t="str">
        <f>IF(F896="","",CHOOSE(MONTH(F896),"10-JAN","11-FEB","12-MAR","01-APR","02-MAY","03-JUN","04-JUL","05-AUG","06-SEP","07-OCT","08-NOV","09-DEC"))</f>
        <v>11-FEB</v>
      </c>
      <c r="F896" s="242">
        <v>46063</v>
      </c>
      <c r="G896" s="231" t="s">
        <v>3143</v>
      </c>
      <c r="H896" s="5" t="s">
        <v>764</v>
      </c>
      <c r="I896" s="29" t="s">
        <v>223</v>
      </c>
      <c r="K896" s="281" t="str">
        <f>IF(H896="","",IFERROR(VLOOKUP(H896,Instructions!D:E,2,0),"BA"))</f>
        <v>BA</v>
      </c>
      <c r="L896" s="30" t="s">
        <v>3144</v>
      </c>
      <c r="M896" s="151">
        <f>IF(SUM(V896:BC896)=0,"-",SUM(V896:BC896))</f>
        <v>2</v>
      </c>
      <c r="N896" s="65">
        <f>IF(SUMPRODUCT($V$3:$BC$3,V896:BC896)=0,"-",SUMPRODUCT($V$3:$BC$3,V896:BC896))</f>
        <v>500</v>
      </c>
      <c r="O896" s="114" t="s">
        <v>3145</v>
      </c>
      <c r="P896" s="280" t="s">
        <v>481</v>
      </c>
      <c r="Q896" s="211">
        <v>4300168216</v>
      </c>
      <c r="R896" s="211" t="s">
        <v>481</v>
      </c>
      <c r="S896" s="211" t="s">
        <v>249</v>
      </c>
      <c r="T896" s="211" t="s">
        <v>3146</v>
      </c>
      <c r="U896" s="255" t="s">
        <v>3111</v>
      </c>
      <c r="AF896" s="166">
        <v>2</v>
      </c>
    </row>
    <row r="897" spans="1:47">
      <c r="A897" s="286" t="s">
        <v>244</v>
      </c>
      <c r="B897" s="286" t="s">
        <v>221</v>
      </c>
      <c r="C897" s="280" t="s">
        <v>2302</v>
      </c>
      <c r="D897" s="281" t="str">
        <f>IF(F897="","",CHOOSE(MONTH(F897),"Q4","Q4","Q4","Q1","Q1","Q1","Q2","Q2","Q2","Q3","Q3","Q3"))</f>
        <v>Q4</v>
      </c>
      <c r="E897" s="282" t="str">
        <f>IF(F897="","",CHOOSE(MONTH(F897),"10-JAN","11-FEB","12-MAR","01-APR","02-MAY","03-JUN","04-JUL","05-AUG","06-SEP","07-OCT","08-NOV","09-DEC"))</f>
        <v>11-FEB</v>
      </c>
      <c r="F897" s="242">
        <v>46065</v>
      </c>
      <c r="G897" s="231" t="s">
        <v>3147</v>
      </c>
      <c r="H897" s="410" t="s">
        <v>3009</v>
      </c>
      <c r="I897" s="29" t="s">
        <v>223</v>
      </c>
      <c r="K897" s="280" t="s">
        <v>34</v>
      </c>
      <c r="L897" s="30" t="s">
        <v>3148</v>
      </c>
      <c r="M897" s="151">
        <f>IF(SUM(V897:BC897)=0,"-",SUM(V897:BC897))</f>
        <v>2</v>
      </c>
      <c r="N897" s="65">
        <f>IF(SUMPRODUCT($V$3:$BC$3,V897:BC897)=0,"-",SUMPRODUCT($V$3:$BC$3,V897:BC897))</f>
        <v>155</v>
      </c>
      <c r="O897" s="114" t="s">
        <v>3149</v>
      </c>
      <c r="P897" s="280" t="s">
        <v>481</v>
      </c>
      <c r="Q897" s="350">
        <v>4300142651</v>
      </c>
      <c r="R897" s="211" t="s">
        <v>481</v>
      </c>
      <c r="S897" s="211" t="s">
        <v>249</v>
      </c>
      <c r="T897" s="211" t="s">
        <v>3119</v>
      </c>
      <c r="U897" s="255" t="s">
        <v>2917</v>
      </c>
      <c r="V897" s="7">
        <v>1</v>
      </c>
      <c r="W897" s="8">
        <v>1</v>
      </c>
    </row>
    <row r="898" spans="1:47">
      <c r="A898" s="286" t="s">
        <v>220</v>
      </c>
      <c r="B898" s="286" t="s">
        <v>221</v>
      </c>
      <c r="C898" s="280" t="s">
        <v>2302</v>
      </c>
      <c r="D898" s="281" t="str">
        <f>IF(F898="","",CHOOSE(MONTH(F898),"Q4","Q4","Q4","Q1","Q1","Q1","Q2","Q2","Q2","Q3","Q3","Q3"))</f>
        <v>Q4</v>
      </c>
      <c r="E898" s="282" t="str">
        <f>IF(F898="","",CHOOSE(MONTH(F898),"10-JAN","11-FEB","12-MAR","01-APR","02-MAY","03-JUN","04-JUL","05-AUG","06-SEP","07-OCT","08-NOV","09-DEC"))</f>
        <v>11-FEB</v>
      </c>
      <c r="F898" s="242">
        <v>46065</v>
      </c>
      <c r="G898" s="231" t="s">
        <v>3150</v>
      </c>
      <c r="H898" s="5" t="s">
        <v>3139</v>
      </c>
      <c r="I898" s="29" t="s">
        <v>223</v>
      </c>
      <c r="K898" s="280" t="s">
        <v>34</v>
      </c>
      <c r="L898" s="30" t="s">
        <v>3151</v>
      </c>
      <c r="M898" s="151">
        <f>IF(SUM(V898:BC898)=0,"-",SUM(V898:BC898))</f>
        <v>2</v>
      </c>
      <c r="N898" s="65">
        <f>IF(SUMPRODUCT($V$3:$BC$3,V898:BC898)=0,"-",SUMPRODUCT($V$3:$BC$3,V898:BC898))</f>
        <v>155</v>
      </c>
      <c r="O898" s="114" t="s">
        <v>3152</v>
      </c>
      <c r="P898" s="280" t="s">
        <v>481</v>
      </c>
      <c r="Q898" s="211">
        <v>4300169743</v>
      </c>
      <c r="R898" s="211" t="s">
        <v>481</v>
      </c>
      <c r="S898" s="211" t="s">
        <v>249</v>
      </c>
      <c r="T898" s="211" t="s">
        <v>3153</v>
      </c>
      <c r="U898" s="255" t="s">
        <v>3116</v>
      </c>
      <c r="V898" s="7">
        <v>1</v>
      </c>
      <c r="W898" s="8">
        <v>1</v>
      </c>
    </row>
    <row r="899" spans="1:47">
      <c r="A899" s="286" t="s">
        <v>244</v>
      </c>
      <c r="B899" s="286" t="s">
        <v>221</v>
      </c>
      <c r="C899" s="280" t="s">
        <v>2302</v>
      </c>
      <c r="D899" s="281" t="str">
        <f>IF(F899="","",CHOOSE(MONTH(F899),"Q4","Q4","Q4","Q1","Q1","Q1","Q2","Q2","Q2","Q3","Q3","Q3"))</f>
        <v>Q4</v>
      </c>
      <c r="E899" s="282" t="str">
        <f>IF(F899="","",CHOOSE(MONTH(F899),"10-JAN","11-FEB","12-MAR","01-APR","02-MAY","03-JUN","04-JUL","05-AUG","06-SEP","07-OCT","08-NOV","09-DEC"))</f>
        <v>11-FEB</v>
      </c>
      <c r="F899" s="242">
        <v>46070</v>
      </c>
      <c r="G899" s="231" t="s">
        <v>3154</v>
      </c>
      <c r="H899" s="5" t="s">
        <v>2658</v>
      </c>
      <c r="I899" s="29" t="s">
        <v>223</v>
      </c>
      <c r="K899" s="280" t="s">
        <v>34</v>
      </c>
      <c r="L899" s="78" t="s">
        <v>3155</v>
      </c>
      <c r="M899" s="151">
        <f>IF(SUM(V899:BC899)=0,"-",SUM(V899:BC899))</f>
        <v>1</v>
      </c>
      <c r="N899" s="65">
        <f>IF(SUMPRODUCT($V$3:$BC$3,V899:BC899)=0,"-",SUMPRODUCT($V$3:$BC$3,V899:BC899))</f>
        <v>40</v>
      </c>
      <c r="O899" s="114" t="s">
        <v>3156</v>
      </c>
      <c r="P899" s="280" t="s">
        <v>481</v>
      </c>
      <c r="Q899" s="211">
        <v>4300153673</v>
      </c>
      <c r="R899" s="211" t="s">
        <v>481</v>
      </c>
      <c r="S899" s="211" t="s">
        <v>249</v>
      </c>
      <c r="T899" s="211" t="s">
        <v>3131</v>
      </c>
      <c r="U899" s="255" t="s">
        <v>3132</v>
      </c>
      <c r="AD899" s="8">
        <v>1</v>
      </c>
    </row>
    <row r="900" spans="1:47">
      <c r="A900" s="286" t="s">
        <v>244</v>
      </c>
      <c r="B900" s="286" t="s">
        <v>221</v>
      </c>
      <c r="C900" s="280" t="s">
        <v>2302</v>
      </c>
      <c r="D900" s="281" t="str">
        <f>IF(F900="","",CHOOSE(MONTH(F900),"Q4","Q4","Q4","Q1","Q1","Q1","Q2","Q2","Q2","Q3","Q3","Q3"))</f>
        <v>Q4</v>
      </c>
      <c r="E900" s="282" t="str">
        <f>IF(F900="","",CHOOSE(MONTH(F900),"10-JAN","11-FEB","12-MAR","01-APR","02-MAY","03-JUN","04-JUL","05-AUG","06-SEP","07-OCT","08-NOV","09-DEC"))</f>
        <v>11-FEB</v>
      </c>
      <c r="F900" s="242">
        <v>46070</v>
      </c>
      <c r="G900" s="231" t="s">
        <v>3157</v>
      </c>
      <c r="H900" s="5" t="s">
        <v>2658</v>
      </c>
      <c r="I900" s="29" t="s">
        <v>223</v>
      </c>
      <c r="K900" s="280" t="s">
        <v>34</v>
      </c>
      <c r="L900" s="30" t="s">
        <v>3158</v>
      </c>
      <c r="M900" s="151">
        <f>IF(SUM(V900:BC900)=0,"-",SUM(V900:BC900))</f>
        <v>7</v>
      </c>
      <c r="N900" s="65">
        <f>IF(SUMPRODUCT($V$3:$BC$3,V900:BC900)=0,"-",SUMPRODUCT($V$3:$BC$3,V900:BC900))</f>
        <v>330</v>
      </c>
      <c r="O900" s="114" t="s">
        <v>3159</v>
      </c>
      <c r="P900" s="280" t="s">
        <v>481</v>
      </c>
      <c r="Q900" s="211">
        <v>4300165655</v>
      </c>
      <c r="R900" s="211" t="s">
        <v>481</v>
      </c>
      <c r="S900" s="211" t="s">
        <v>249</v>
      </c>
      <c r="T900" s="211" t="s">
        <v>3160</v>
      </c>
      <c r="U900" s="255" t="s">
        <v>3132</v>
      </c>
      <c r="V900" s="7">
        <v>1</v>
      </c>
      <c r="W900" s="8">
        <v>6</v>
      </c>
    </row>
    <row r="901" spans="1:47">
      <c r="A901" s="286" t="s">
        <v>244</v>
      </c>
      <c r="B901" s="286" t="s">
        <v>221</v>
      </c>
      <c r="C901" s="280" t="s">
        <v>2</v>
      </c>
      <c r="D901" s="281" t="str">
        <f>IF(F901="","",CHOOSE(MONTH(F901),"Q4","Q4","Q4","Q1","Q1","Q1","Q2","Q2","Q2","Q3","Q3","Q3"))</f>
        <v>Q4</v>
      </c>
      <c r="E901" s="282" t="str">
        <f>IF(F901="","",CHOOSE(MONTH(F901),"10-JAN","11-FEB","12-MAR","01-APR","02-MAY","03-JUN","04-JUL","05-AUG","06-SEP","07-OCT","08-NOV","09-DEC"))</f>
        <v>11-FEB</v>
      </c>
      <c r="F901" s="242">
        <v>46070</v>
      </c>
      <c r="G901" s="231" t="s">
        <v>3161</v>
      </c>
      <c r="H901" s="5" t="s">
        <v>2658</v>
      </c>
      <c r="I901" s="29" t="s">
        <v>223</v>
      </c>
      <c r="K901" s="280" t="s">
        <v>34</v>
      </c>
      <c r="L901" s="78" t="s">
        <v>3162</v>
      </c>
      <c r="M901" s="151">
        <f>IF(SUM(V901:BC901)=0,"-",SUM(V901:BC901))</f>
        <v>1</v>
      </c>
      <c r="N901" s="65">
        <f>IF(SUMPRODUCT($V$3:$BC$3,V901:BC901)=0,"-",SUMPRODUCT($V$3:$BC$3,V901:BC901))</f>
        <v>260</v>
      </c>
      <c r="O901" s="114" t="s">
        <v>3163</v>
      </c>
      <c r="P901" s="280" t="s">
        <v>481</v>
      </c>
      <c r="Q901" s="211">
        <v>4300165655</v>
      </c>
      <c r="R901" s="211" t="s">
        <v>481</v>
      </c>
      <c r="S901" s="211" t="s">
        <v>249</v>
      </c>
      <c r="T901" s="211" t="s">
        <v>3160</v>
      </c>
      <c r="U901" s="255" t="s">
        <v>3132</v>
      </c>
      <c r="AU901" s="8">
        <v>1</v>
      </c>
    </row>
    <row r="902" spans="1:47">
      <c r="A902" s="286" t="s">
        <v>244</v>
      </c>
      <c r="B902" s="286" t="s">
        <v>221</v>
      </c>
      <c r="C902" s="280" t="s">
        <v>2302</v>
      </c>
      <c r="D902" s="281" t="str">
        <f>IF(F902="","",CHOOSE(MONTH(F902),"Q4","Q4","Q4","Q1","Q1","Q1","Q2","Q2","Q2","Q3","Q3","Q3"))</f>
        <v>Q4</v>
      </c>
      <c r="E902" s="282" t="str">
        <f>IF(F902="","",CHOOSE(MONTH(F902),"10-JAN","11-FEB","12-MAR","01-APR","02-MAY","03-JUN","04-JUL","05-AUG","06-SEP","07-OCT","08-NOV","09-DEC"))</f>
        <v>11-FEB</v>
      </c>
      <c r="F902" s="242">
        <v>46071</v>
      </c>
      <c r="G902" s="231" t="s">
        <v>3164</v>
      </c>
      <c r="H902" s="5" t="s">
        <v>36</v>
      </c>
      <c r="I902" s="29" t="s">
        <v>223</v>
      </c>
      <c r="K902" s="280" t="s">
        <v>34</v>
      </c>
      <c r="L902" s="78" t="s">
        <v>3165</v>
      </c>
      <c r="M902" s="151">
        <f>IF(SUM(V902:BC902)=0,"-",SUM(V902:BC902))</f>
        <v>1</v>
      </c>
      <c r="N902" s="352">
        <f>IF(SUMPRODUCT($V$3:$BC$3,V902:BC902)=0,"-",SUMPRODUCT($V$3:$BC$3,V902:BC902))</f>
        <v>40</v>
      </c>
      <c r="O902" s="114" t="s">
        <v>3166</v>
      </c>
      <c r="P902" s="280" t="s">
        <v>481</v>
      </c>
      <c r="Q902" s="211">
        <v>4300169500</v>
      </c>
      <c r="R902" s="211" t="s">
        <v>481</v>
      </c>
      <c r="S902" s="211" t="s">
        <v>249</v>
      </c>
      <c r="T902" s="211" t="s">
        <v>3167</v>
      </c>
      <c r="U902" s="255" t="s">
        <v>3132</v>
      </c>
      <c r="AD902" s="8">
        <v>1</v>
      </c>
    </row>
    <row r="903" spans="1:47">
      <c r="A903" s="286" t="s">
        <v>220</v>
      </c>
      <c r="B903" s="286" t="s">
        <v>221</v>
      </c>
      <c r="C903" s="280" t="s">
        <v>2302</v>
      </c>
      <c r="D903" s="281" t="str">
        <f>IF(F903="","",CHOOSE(MONTH(F903),"Q4","Q4","Q4","Q1","Q1","Q1","Q2","Q2","Q2","Q3","Q3","Q3"))</f>
        <v>Q4</v>
      </c>
      <c r="E903" s="282" t="str">
        <f>IF(F903="","",CHOOSE(MONTH(F903),"10-JAN","11-FEB","12-MAR","01-APR","02-MAY","03-JUN","04-JUL","05-AUG","06-SEP","07-OCT","08-NOV","09-DEC"))</f>
        <v>11-FEB</v>
      </c>
      <c r="F903" s="242">
        <v>46072</v>
      </c>
      <c r="G903" s="231" t="s">
        <v>3168</v>
      </c>
      <c r="H903" s="5" t="s">
        <v>36</v>
      </c>
      <c r="I903" s="29" t="s">
        <v>223</v>
      </c>
      <c r="K903" s="280" t="s">
        <v>34</v>
      </c>
      <c r="L903" s="30" t="s">
        <v>3169</v>
      </c>
      <c r="M903" s="151">
        <f>IF(SUM(V903:BC903)=0,"-",SUM(V903:BC903))</f>
        <v>3</v>
      </c>
      <c r="N903" s="352">
        <f>IF(SUMPRODUCT($V$3:$BC$3,V903:BC903)=0,"-",SUMPRODUCT($V$3:$BC$3,V903:BC903))</f>
        <v>215</v>
      </c>
      <c r="O903" s="114" t="s">
        <v>3170</v>
      </c>
      <c r="P903" s="280" t="s">
        <v>481</v>
      </c>
      <c r="Q903" s="211">
        <v>4300169500</v>
      </c>
      <c r="R903" s="211" t="s">
        <v>481</v>
      </c>
      <c r="S903" s="211" t="s">
        <v>249</v>
      </c>
      <c r="T903" s="211" t="s">
        <v>3167</v>
      </c>
      <c r="U903" s="255" t="s">
        <v>3132</v>
      </c>
      <c r="AC903" s="7">
        <v>1</v>
      </c>
      <c r="AD903" s="8">
        <v>2</v>
      </c>
    </row>
    <row r="904" spans="1:47">
      <c r="A904" s="286" t="s">
        <v>244</v>
      </c>
      <c r="B904" s="286" t="s">
        <v>221</v>
      </c>
      <c r="C904" s="280" t="s">
        <v>2302</v>
      </c>
      <c r="D904" s="281" t="str">
        <f>IF(F904="","",CHOOSE(MONTH(F904),"Q4","Q4","Q4","Q1","Q1","Q1","Q2","Q2","Q2","Q3","Q3","Q3"))</f>
        <v>Q4</v>
      </c>
      <c r="E904" s="282" t="str">
        <f>IF(F904="","",CHOOSE(MONTH(F904),"10-JAN","11-FEB","12-MAR","01-APR","02-MAY","03-JUN","04-JUL","05-AUG","06-SEP","07-OCT","08-NOV","09-DEC"))</f>
        <v>11-FEB</v>
      </c>
      <c r="F904" s="242">
        <v>46073</v>
      </c>
      <c r="G904" s="231" t="s">
        <v>3171</v>
      </c>
      <c r="H904" s="5" t="s">
        <v>36</v>
      </c>
      <c r="I904" s="29" t="s">
        <v>223</v>
      </c>
      <c r="K904" s="280" t="s">
        <v>34</v>
      </c>
      <c r="L904" s="30" t="s">
        <v>3172</v>
      </c>
      <c r="M904" s="151">
        <f>IF(SUM(V904:BC904)=0,"-",SUM(V904:BC904))</f>
        <v>12</v>
      </c>
      <c r="N904" s="352">
        <f>IF(SUMPRODUCT($V$3:$BC$3,V904:BC904)=0,"-",SUMPRODUCT($V$3:$BC$3,V904:BC904))</f>
        <v>480</v>
      </c>
      <c r="O904" s="114" t="s">
        <v>3173</v>
      </c>
      <c r="P904" s="280" t="s">
        <v>481</v>
      </c>
      <c r="Q904" s="211">
        <v>4300169500</v>
      </c>
      <c r="R904" s="211" t="s">
        <v>481</v>
      </c>
      <c r="S904" s="211" t="s">
        <v>249</v>
      </c>
      <c r="T904" s="211" t="s">
        <v>3167</v>
      </c>
      <c r="U904" s="255" t="s">
        <v>3132</v>
      </c>
      <c r="AD904" s="8">
        <v>12</v>
      </c>
    </row>
    <row r="905" spans="1:47">
      <c r="A905" s="286" t="s">
        <v>244</v>
      </c>
      <c r="B905" s="286" t="s">
        <v>221</v>
      </c>
      <c r="C905" s="280" t="s">
        <v>2302</v>
      </c>
      <c r="D905" s="281" t="str">
        <f>IF(F905="","",CHOOSE(MONTH(F905),"Q4","Q4","Q4","Q1","Q1","Q1","Q2","Q2","Q2","Q3","Q3","Q3"))</f>
        <v>Q4</v>
      </c>
      <c r="E905" s="282" t="str">
        <f>IF(F905="","",CHOOSE(MONTH(F905),"10-JAN","11-FEB","12-MAR","01-APR","02-MAY","03-JUN","04-JUL","05-AUG","06-SEP","07-OCT","08-NOV","09-DEC"))</f>
        <v>12-MAR</v>
      </c>
      <c r="F905" s="242">
        <v>46083</v>
      </c>
      <c r="G905" s="231" t="s">
        <v>3174</v>
      </c>
      <c r="H905" s="5" t="s">
        <v>36</v>
      </c>
      <c r="I905" s="29" t="s">
        <v>223</v>
      </c>
      <c r="K905" s="280" t="s">
        <v>34</v>
      </c>
      <c r="L905" s="30" t="s">
        <v>3175</v>
      </c>
      <c r="M905" s="151">
        <f>IF(SUM(V905:BC905)=0,"-",SUM(V905:BC905))</f>
        <v>21</v>
      </c>
      <c r="N905" s="352">
        <f>IF(SUMPRODUCT($V$3:$BC$3,V905:BC905)=0,"-",SUMPRODUCT($V$3:$BC$3,V905:BC905))</f>
        <v>915</v>
      </c>
      <c r="O905" s="114" t="s">
        <v>3176</v>
      </c>
      <c r="P905" s="280" t="s">
        <v>481</v>
      </c>
      <c r="Q905" s="359"/>
      <c r="R905" s="359"/>
      <c r="S905" s="359"/>
      <c r="T905" s="359"/>
      <c r="U905" s="360"/>
      <c r="W905" s="8">
        <v>13</v>
      </c>
      <c r="AD905" s="8">
        <v>7</v>
      </c>
      <c r="AE905" s="8">
        <v>1</v>
      </c>
    </row>
    <row r="906" spans="1:47">
      <c r="A906" s="286" t="s">
        <v>244</v>
      </c>
      <c r="B906" s="286" t="s">
        <v>221</v>
      </c>
      <c r="C906" s="280" t="s">
        <v>2</v>
      </c>
      <c r="D906" s="281" t="str">
        <f>IF(F906="","",CHOOSE(MONTH(F906),"Q4","Q4","Q4","Q1","Q1","Q1","Q2","Q2","Q2","Q3","Q3","Q3"))</f>
        <v>Q4</v>
      </c>
      <c r="E906" s="282" t="str">
        <f>IF(F906="","",CHOOSE(MONTH(F906),"10-JAN","11-FEB","12-MAR","01-APR","02-MAY","03-JUN","04-JUL","05-AUG","06-SEP","07-OCT","08-NOV","09-DEC"))</f>
        <v>11-FEB</v>
      </c>
      <c r="F906" s="242">
        <v>46079</v>
      </c>
      <c r="G906" s="231" t="s">
        <v>3177</v>
      </c>
      <c r="H906" s="5" t="s">
        <v>2658</v>
      </c>
      <c r="I906" s="29" t="s">
        <v>223</v>
      </c>
      <c r="K906" s="280" t="s">
        <v>34</v>
      </c>
      <c r="L906" s="78" t="s">
        <v>3178</v>
      </c>
      <c r="M906" s="151">
        <f>IF(SUM(V906:BC906)=0,"-",SUM(V906:BC906))</f>
        <v>1</v>
      </c>
      <c r="N906" s="352">
        <f>IF(SUMPRODUCT($V$3:$BC$3,V906:BC906)=0,"-",SUMPRODUCT($V$3:$BC$3,V906:BC906))</f>
        <v>40</v>
      </c>
      <c r="O906" s="114" t="s">
        <v>3179</v>
      </c>
      <c r="P906" s="280" t="s">
        <v>481</v>
      </c>
      <c r="Q906" s="211">
        <v>4300153673</v>
      </c>
      <c r="R906" s="211" t="s">
        <v>481</v>
      </c>
      <c r="S906" s="211" t="s">
        <v>249</v>
      </c>
      <c r="T906" s="211" t="s">
        <v>3131</v>
      </c>
      <c r="U906" s="255" t="s">
        <v>3132</v>
      </c>
      <c r="AD906" s="8">
        <v>1</v>
      </c>
    </row>
    <row r="907" spans="1:47">
      <c r="A907" s="286" t="s">
        <v>244</v>
      </c>
      <c r="B907" s="286" t="s">
        <v>221</v>
      </c>
      <c r="C907" s="280" t="s">
        <v>2302</v>
      </c>
      <c r="D907" s="281" t="str">
        <f>IF(F907="","",CHOOSE(MONTH(F907),"Q4","Q4","Q4","Q1","Q1","Q1","Q2","Q2","Q2","Q3","Q3","Q3"))</f>
        <v>Q4</v>
      </c>
      <c r="E907" s="282" t="str">
        <f>IF(F907="","",CHOOSE(MONTH(F907),"10-JAN","11-FEB","12-MAR","01-APR","02-MAY","03-JUN","04-JUL","05-AUG","06-SEP","07-OCT","08-NOV","09-DEC"))</f>
        <v>11-FEB</v>
      </c>
      <c r="F907" s="242">
        <v>46079</v>
      </c>
      <c r="G907" s="231" t="s">
        <v>3180</v>
      </c>
      <c r="H907" s="5" t="s">
        <v>2658</v>
      </c>
      <c r="I907" s="29" t="s">
        <v>223</v>
      </c>
      <c r="K907" s="280" t="s">
        <v>34</v>
      </c>
      <c r="L907" s="78" t="s">
        <v>3181</v>
      </c>
      <c r="M907" s="151">
        <f>IF(SUM(V907:BC907)=0,"-",SUM(V907:BC907))</f>
        <v>1</v>
      </c>
      <c r="N907" s="352">
        <f>IF(SUMPRODUCT($V$3:$BC$3,V907:BC907)=0,"-",SUMPRODUCT($V$3:$BC$3,V907:BC907))</f>
        <v>40</v>
      </c>
      <c r="O907" s="114" t="s">
        <v>3182</v>
      </c>
      <c r="P907" s="280" t="s">
        <v>481</v>
      </c>
      <c r="Q907" s="211">
        <v>4300153673</v>
      </c>
      <c r="R907" s="211" t="s">
        <v>481</v>
      </c>
      <c r="S907" s="211" t="s">
        <v>249</v>
      </c>
      <c r="T907" s="211" t="s">
        <v>3131</v>
      </c>
      <c r="U907" s="255" t="s">
        <v>3132</v>
      </c>
      <c r="AD907" s="8">
        <v>1</v>
      </c>
    </row>
    <row r="908" spans="1:47">
      <c r="A908" s="286" t="s">
        <v>220</v>
      </c>
      <c r="B908" s="286" t="s">
        <v>221</v>
      </c>
      <c r="C908" s="280" t="s">
        <v>2302</v>
      </c>
      <c r="D908" s="281" t="str">
        <f>IF(F908="","",CHOOSE(MONTH(F908),"Q4","Q4","Q4","Q1","Q1","Q1","Q2","Q2","Q2","Q3","Q3","Q3"))</f>
        <v>Q4</v>
      </c>
      <c r="E908" s="282" t="str">
        <f>IF(F908="","",CHOOSE(MONTH(F908),"10-JAN","11-FEB","12-MAR","01-APR","02-MAY","03-JUN","04-JUL","05-AUG","06-SEP","07-OCT","08-NOV","09-DEC"))</f>
        <v>12-MAR</v>
      </c>
      <c r="F908" s="242">
        <v>46083</v>
      </c>
      <c r="G908" s="231" t="s">
        <v>3183</v>
      </c>
      <c r="H908" s="5" t="s">
        <v>2381</v>
      </c>
      <c r="I908" s="29" t="s">
        <v>223</v>
      </c>
      <c r="K908" s="280" t="s">
        <v>34</v>
      </c>
      <c r="L908" s="78" t="s">
        <v>3184</v>
      </c>
      <c r="M908" s="151">
        <f>IF(SUM(V908:BC908)=0,"-",SUM(V908:BC908))</f>
        <v>9</v>
      </c>
      <c r="N908" s="352">
        <f>IF(SUMPRODUCT($V$3:$BC$3,V908:BC908)=0,"-",SUMPRODUCT($V$3:$BC$3,V908:BC908))</f>
        <v>455</v>
      </c>
      <c r="O908" s="30" t="s">
        <v>3185</v>
      </c>
      <c r="P908" s="280" t="s">
        <v>481</v>
      </c>
      <c r="Q908" s="359">
        <v>4300142651</v>
      </c>
      <c r="R908" s="359"/>
      <c r="S908" s="359"/>
      <c r="T908" s="359"/>
      <c r="U908" s="360"/>
      <c r="AC908" s="7">
        <v>1</v>
      </c>
      <c r="AD908" s="8">
        <v>8</v>
      </c>
    </row>
    <row r="909" spans="1:47">
      <c r="A909" s="286" t="s">
        <v>244</v>
      </c>
      <c r="B909" s="286" t="s">
        <v>221</v>
      </c>
      <c r="C909" s="280" t="s">
        <v>2302</v>
      </c>
      <c r="D909" s="281" t="str">
        <f>IF(F909="","",CHOOSE(MONTH(F909),"Q4","Q4","Q4","Q1","Q1","Q1","Q2","Q2","Q2","Q3","Q3","Q3"))</f>
        <v>Q4</v>
      </c>
      <c r="E909" s="282" t="str">
        <f>IF(F909="","",CHOOSE(MONTH(F909),"10-JAN","11-FEB","12-MAR","01-APR","02-MAY","03-JUN","04-JUL","05-AUG","06-SEP","07-OCT","08-NOV","09-DEC"))</f>
        <v>12-MAR</v>
      </c>
      <c r="F909" s="242">
        <v>46090</v>
      </c>
      <c r="G909" s="231" t="s">
        <v>3186</v>
      </c>
      <c r="H909" s="410" t="s">
        <v>2693</v>
      </c>
      <c r="I909" s="29" t="s">
        <v>223</v>
      </c>
      <c r="K909" s="280" t="s">
        <v>34</v>
      </c>
      <c r="L909" s="78" t="s">
        <v>3187</v>
      </c>
      <c r="M909" s="151">
        <f>IF(SUM(V909:BC909)=0,"-",SUM(V909:BC909))</f>
        <v>15</v>
      </c>
      <c r="N909" s="352">
        <f>IF(SUMPRODUCT($V$3:$BC$3,V909:BC909)=0,"-",SUMPRODUCT($V$3:$BC$3,V909:BC909))</f>
        <v>980</v>
      </c>
      <c r="Q909" s="359"/>
      <c r="R909" s="359" t="s">
        <v>225</v>
      </c>
      <c r="S909" s="359"/>
      <c r="T909" s="359"/>
      <c r="U909" s="360"/>
      <c r="AC909" s="7">
        <v>4</v>
      </c>
      <c r="AD909" s="8">
        <v>11</v>
      </c>
    </row>
    <row r="910" spans="1:47">
      <c r="A910" s="286" t="s">
        <v>244</v>
      </c>
      <c r="B910" s="286" t="s">
        <v>221</v>
      </c>
      <c r="C910" s="280" t="s">
        <v>2302</v>
      </c>
      <c r="D910" s="281" t="str">
        <f>IF(F910="","",CHOOSE(MONTH(F910),"Q4","Q4","Q4","Q1","Q1","Q1","Q2","Q2","Q2","Q3","Q3","Q3"))</f>
        <v>Q4</v>
      </c>
      <c r="E910" s="282" t="str">
        <f>IF(F910="","",CHOOSE(MONTH(F910),"10-JAN","11-FEB","12-MAR","01-APR","02-MAY","03-JUN","04-JUL","05-AUG","06-SEP","07-OCT","08-NOV","09-DEC"))</f>
        <v>12-MAR</v>
      </c>
      <c r="F910" s="242">
        <v>46091</v>
      </c>
      <c r="G910" s="231" t="s">
        <v>3188</v>
      </c>
      <c r="H910" s="410" t="s">
        <v>2693</v>
      </c>
      <c r="I910" s="29" t="s">
        <v>223</v>
      </c>
      <c r="K910" s="280" t="s">
        <v>34</v>
      </c>
      <c r="L910" s="30" t="s">
        <v>3189</v>
      </c>
      <c r="M910" s="151">
        <f>IF(SUM(V910:BC910)=0,"-",SUM(V910:BC910))</f>
        <v>6</v>
      </c>
      <c r="N910" s="352">
        <f>IF(SUMPRODUCT($V$3:$BC$3,V910:BC910)=0,"-",SUMPRODUCT($V$3:$BC$3,V910:BC910))</f>
        <v>335</v>
      </c>
      <c r="Q910" s="359"/>
      <c r="R910" s="359" t="s">
        <v>225</v>
      </c>
      <c r="S910" s="359"/>
      <c r="T910" s="359"/>
      <c r="U910" s="360"/>
      <c r="AC910" s="7">
        <v>1</v>
      </c>
      <c r="AD910" s="8">
        <v>5</v>
      </c>
    </row>
    <row r="911" spans="1:47">
      <c r="A911" s="286" t="s">
        <v>244</v>
      </c>
      <c r="B911" s="286" t="s">
        <v>221</v>
      </c>
      <c r="C911" s="280" t="s">
        <v>2</v>
      </c>
      <c r="D911" s="281" t="str">
        <f>IF(F911="","",CHOOSE(MONTH(F911),"Q4","Q4","Q4","Q1","Q1","Q1","Q2","Q2","Q2","Q3","Q3","Q3"))</f>
        <v>Q4</v>
      </c>
      <c r="E911" s="282" t="str">
        <f>IF(F911="","",CHOOSE(MONTH(F911),"10-JAN","11-FEB","12-MAR","01-APR","02-MAY","03-JUN","04-JUL","05-AUG","06-SEP","07-OCT","08-NOV","09-DEC"))</f>
        <v>12-MAR</v>
      </c>
      <c r="F911" s="242">
        <v>46097</v>
      </c>
      <c r="G911" s="231" t="s">
        <v>3190</v>
      </c>
      <c r="H911" s="5" t="s">
        <v>1304</v>
      </c>
      <c r="I911" s="29" t="s">
        <v>223</v>
      </c>
      <c r="K911" s="280" t="s">
        <v>34</v>
      </c>
      <c r="L911" s="78" t="s">
        <v>3191</v>
      </c>
      <c r="M911" s="151">
        <f>IF(SUM(V911:BC911)=0,"-",SUM(V911:BC911))</f>
        <v>14</v>
      </c>
      <c r="N911" s="352">
        <f>IF(SUMPRODUCT($V$3:$BC$3,V911:BC911)=0,"-",SUMPRODUCT($V$3:$BC$3,V911:BC911))</f>
        <v>770</v>
      </c>
      <c r="Q911" s="138">
        <v>4300176082</v>
      </c>
      <c r="AD911" s="8">
        <v>13</v>
      </c>
      <c r="AF911" s="8">
        <v>1</v>
      </c>
    </row>
    <row r="912" spans="1:47">
      <c r="A912" s="286" t="s">
        <v>244</v>
      </c>
      <c r="B912" s="286" t="s">
        <v>221</v>
      </c>
      <c r="C912" s="280" t="s">
        <v>2302</v>
      </c>
      <c r="D912" s="281" t="str">
        <f>IF(F912="","",CHOOSE(MONTH(F912),"Q4","Q4","Q4","Q1","Q1","Q1","Q2","Q2","Q2","Q3","Q3","Q3"))</f>
        <v>Q4</v>
      </c>
      <c r="E912" s="282" t="str">
        <f>IF(F912="","",CHOOSE(MONTH(F912),"10-JAN","11-FEB","12-MAR","01-APR","02-MAY","03-JUN","04-JUL","05-AUG","06-SEP","07-OCT","08-NOV","09-DEC"))</f>
        <v>12-MAR</v>
      </c>
      <c r="F912" s="242">
        <v>46097</v>
      </c>
      <c r="G912" s="231" t="s">
        <v>3192</v>
      </c>
      <c r="H912" s="5" t="s">
        <v>2658</v>
      </c>
      <c r="I912" s="29" t="s">
        <v>223</v>
      </c>
      <c r="K912" s="280" t="s">
        <v>34</v>
      </c>
      <c r="L912" s="78" t="s">
        <v>3193</v>
      </c>
      <c r="M912" s="151">
        <f>IF(SUM(V912:BC912)=0,"-",SUM(V912:BC912))</f>
        <v>1</v>
      </c>
      <c r="N912" s="352">
        <f>IF(SUMPRODUCT($V$3:$BC$3,V912:BC912)=0,"-",SUMPRODUCT($V$3:$BC$3,V912:BC912))</f>
        <v>80</v>
      </c>
      <c r="O912" s="114" t="s">
        <v>3194</v>
      </c>
      <c r="P912" s="280" t="s">
        <v>481</v>
      </c>
      <c r="Q912" s="359">
        <v>4300175563</v>
      </c>
      <c r="R912" s="359"/>
      <c r="S912" s="359"/>
      <c r="T912" s="359"/>
      <c r="U912" s="360"/>
      <c r="AS912" s="7">
        <v>1</v>
      </c>
    </row>
    <row r="913" spans="1:23">
      <c r="A913" s="286" t="s">
        <v>220</v>
      </c>
      <c r="B913" s="286" t="s">
        <v>221</v>
      </c>
      <c r="C913" s="280" t="s">
        <v>2302</v>
      </c>
      <c r="D913" s="281" t="str">
        <f>IF(F913="","",CHOOSE(MONTH(F913),"Q4","Q4","Q4","Q1","Q1","Q1","Q2","Q2","Q2","Q3","Q3","Q3"))</f>
        <v>Q4</v>
      </c>
      <c r="E913" s="282" t="str">
        <f>IF(F913="","",CHOOSE(MONTH(F913),"10-JAN","11-FEB","12-MAR","01-APR","02-MAY","03-JUN","04-JUL","05-AUG","06-SEP","07-OCT","08-NOV","09-DEC"))</f>
        <v>12-MAR</v>
      </c>
      <c r="F913" s="242">
        <v>46099</v>
      </c>
      <c r="G913" s="231" t="s">
        <v>3195</v>
      </c>
      <c r="H913" s="5" t="s">
        <v>2658</v>
      </c>
      <c r="I913" s="29" t="s">
        <v>223</v>
      </c>
      <c r="K913" s="280" t="s">
        <v>34</v>
      </c>
      <c r="L913" s="78" t="s">
        <v>3196</v>
      </c>
      <c r="M913" s="151">
        <f>IF(SUM(V913:BC913)=0,"-",SUM(V913:BC913))</f>
        <v>5</v>
      </c>
      <c r="N913" s="352">
        <f>IF(SUMPRODUCT($V$3:$BC$3,V913:BC913)=0,"-",SUMPRODUCT($V$3:$BC$3,V913:BC913))</f>
        <v>260</v>
      </c>
      <c r="O913" s="114" t="s">
        <v>3197</v>
      </c>
      <c r="P913" s="280" t="s">
        <v>481</v>
      </c>
      <c r="Q913" s="359">
        <v>4300175563</v>
      </c>
      <c r="R913" s="359"/>
      <c r="S913" s="359"/>
      <c r="T913" s="359"/>
      <c r="U913" s="360"/>
      <c r="V913" s="7">
        <v>1</v>
      </c>
      <c r="W913" s="8">
        <v>4</v>
      </c>
    </row>
    <row r="914" spans="1:23">
      <c r="A914" s="286" t="s">
        <v>244</v>
      </c>
      <c r="B914" s="286" t="s">
        <v>221</v>
      </c>
      <c r="C914" s="280" t="s">
        <v>2302</v>
      </c>
      <c r="D914" s="281" t="str">
        <f t="shared" ref="D886:D927" si="4">IF(F914="","",CHOOSE(MONTH(F914),"Q4","Q4","Q4","Q1","Q1","Q1","Q2","Q2","Q2","Q3","Q3","Q3"))</f>
        <v>Q4</v>
      </c>
      <c r="E914" s="282" t="str">
        <f t="shared" ref="E886:E927" si="5">IF(F914="","",CHOOSE(MONTH(F914),"10-JAN","11-FEB","12-MAR","01-APR","02-MAY","03-JUN","04-JUL","05-AUG","06-SEP","07-OCT","08-NOV","09-DEC"))</f>
        <v>12-MAR</v>
      </c>
      <c r="F914" s="242">
        <v>46106</v>
      </c>
      <c r="G914" s="231" t="s">
        <v>3198</v>
      </c>
      <c r="H914" s="5" t="s">
        <v>47</v>
      </c>
      <c r="I914" s="29" t="s">
        <v>223</v>
      </c>
      <c r="K914" s="280" t="s">
        <v>34</v>
      </c>
      <c r="L914" s="30" t="s">
        <v>3199</v>
      </c>
      <c r="M914" s="151">
        <f t="shared" ref="M914:M916" si="6">IF(SUM(V914:BC914)=0,"-",SUM(V914:BC914))</f>
        <v>3</v>
      </c>
      <c r="N914" s="352">
        <f t="shared" ref="N914:O916" si="7">IF(SUMPRODUCT($V$3:$BC$3,V914:BC914)=0,"-",SUMPRODUCT($V$3:$BC$3,V914:BC914))</f>
        <v>105</v>
      </c>
      <c r="Q914" s="359"/>
      <c r="R914" s="359"/>
      <c r="S914" s="359"/>
      <c r="T914" s="359"/>
      <c r="U914" s="360"/>
      <c r="W914" s="8">
        <v>3</v>
      </c>
    </row>
    <row r="915" spans="1:23">
      <c r="A915" s="286" t="s">
        <v>244</v>
      </c>
      <c r="B915" s="286" t="s">
        <v>221</v>
      </c>
      <c r="C915" s="280" t="s">
        <v>2302</v>
      </c>
      <c r="D915" s="281" t="str">
        <f t="shared" si="4"/>
        <v>Q4</v>
      </c>
      <c r="E915" s="282" t="str">
        <f t="shared" si="5"/>
        <v>12-MAR</v>
      </c>
      <c r="F915" s="242">
        <v>46106</v>
      </c>
      <c r="G915" s="231" t="s">
        <v>3200</v>
      </c>
      <c r="H915" s="410" t="s">
        <v>3009</v>
      </c>
      <c r="I915" s="8" t="s">
        <v>3201</v>
      </c>
      <c r="K915" s="280" t="s">
        <v>34</v>
      </c>
      <c r="L915" s="78" t="s">
        <v>3202</v>
      </c>
      <c r="M915" s="151">
        <f t="shared" si="6"/>
        <v>6</v>
      </c>
      <c r="N915" s="352">
        <f t="shared" si="7"/>
        <v>465</v>
      </c>
      <c r="V915" s="7">
        <v>3</v>
      </c>
      <c r="W915" s="8">
        <v>3</v>
      </c>
    </row>
    <row r="916" spans="1:23">
      <c r="A916" s="286" t="s">
        <v>244</v>
      </c>
      <c r="B916" s="286" t="s">
        <v>221</v>
      </c>
      <c r="C916" s="280" t="s">
        <v>2</v>
      </c>
      <c r="D916" s="281" t="str">
        <f t="shared" ref="D916" si="8">IF(F916="","",CHOOSE(MONTH(F916),"Q4","Q4","Q4","Q1","Q1","Q1","Q2","Q2","Q2","Q3","Q3","Q3"))</f>
        <v>Q4</v>
      </c>
      <c r="E916" s="282" t="str">
        <f t="shared" ref="E916" si="9">IF(F916="","",CHOOSE(MONTH(F916),"10-JAN","11-FEB","12-MAR","01-APR","02-MAY","03-JUN","04-JUL","05-AUG","06-SEP","07-OCT","08-NOV","09-DEC"))</f>
        <v>12-MAR</v>
      </c>
      <c r="F916" s="242">
        <v>46106</v>
      </c>
      <c r="G916" s="231" t="s">
        <v>3203</v>
      </c>
      <c r="H916" s="410" t="s">
        <v>3009</v>
      </c>
      <c r="I916" s="8" t="s">
        <v>3201</v>
      </c>
      <c r="K916" s="280" t="s">
        <v>34</v>
      </c>
      <c r="L916" s="78" t="s">
        <v>3204</v>
      </c>
      <c r="M916" s="151">
        <f t="shared" si="6"/>
        <v>4</v>
      </c>
      <c r="N916" s="352">
        <f t="shared" si="7"/>
        <v>310</v>
      </c>
      <c r="V916" s="7">
        <v>2</v>
      </c>
      <c r="W916" s="8">
        <v>2</v>
      </c>
    </row>
    <row r="917" spans="1:23">
      <c r="A917" s="286" t="s">
        <v>244</v>
      </c>
      <c r="B917" s="286" t="s">
        <v>221</v>
      </c>
      <c r="C917" s="280" t="s">
        <v>2302</v>
      </c>
      <c r="D917" s="281" t="str">
        <f t="shared" si="4"/>
        <v/>
      </c>
      <c r="E917" s="282" t="str">
        <f t="shared" si="5"/>
        <v/>
      </c>
    </row>
    <row r="918" spans="1:23">
      <c r="A918" s="286" t="s">
        <v>220</v>
      </c>
      <c r="B918" s="286" t="s">
        <v>221</v>
      </c>
      <c r="C918" s="280" t="s">
        <v>2302</v>
      </c>
      <c r="D918" s="281" t="str">
        <f t="shared" si="4"/>
        <v/>
      </c>
      <c r="E918" s="282" t="str">
        <f t="shared" si="5"/>
        <v/>
      </c>
    </row>
    <row r="919" spans="1:23">
      <c r="A919" s="286" t="s">
        <v>244</v>
      </c>
      <c r="B919" s="286" t="s">
        <v>221</v>
      </c>
      <c r="C919" s="280" t="s">
        <v>2302</v>
      </c>
      <c r="D919" s="281" t="str">
        <f t="shared" si="4"/>
        <v/>
      </c>
      <c r="E919" s="282" t="str">
        <f t="shared" si="5"/>
        <v/>
      </c>
    </row>
    <row r="920" spans="1:23">
      <c r="A920" s="286" t="s">
        <v>244</v>
      </c>
      <c r="B920" s="286" t="s">
        <v>221</v>
      </c>
      <c r="C920" s="280" t="s">
        <v>2302</v>
      </c>
      <c r="D920" s="281" t="str">
        <f t="shared" si="4"/>
        <v/>
      </c>
      <c r="E920" s="282" t="str">
        <f t="shared" si="5"/>
        <v/>
      </c>
    </row>
    <row r="921" spans="1:23">
      <c r="A921" s="286" t="s">
        <v>244</v>
      </c>
      <c r="B921" s="286" t="s">
        <v>221</v>
      </c>
      <c r="C921" s="280" t="s">
        <v>2</v>
      </c>
      <c r="D921" s="281" t="str">
        <f t="shared" si="4"/>
        <v/>
      </c>
      <c r="E921" s="282" t="str">
        <f t="shared" si="5"/>
        <v/>
      </c>
    </row>
    <row r="922" spans="1:23">
      <c r="A922" s="286" t="s">
        <v>244</v>
      </c>
      <c r="B922" s="286" t="s">
        <v>221</v>
      </c>
      <c r="C922" s="280" t="s">
        <v>2302</v>
      </c>
      <c r="D922" s="281" t="str">
        <f t="shared" si="4"/>
        <v/>
      </c>
      <c r="E922" s="282" t="str">
        <f t="shared" si="5"/>
        <v/>
      </c>
    </row>
    <row r="923" spans="1:23">
      <c r="A923" s="286" t="s">
        <v>220</v>
      </c>
      <c r="B923" s="286" t="s">
        <v>221</v>
      </c>
      <c r="C923" s="280" t="s">
        <v>2302</v>
      </c>
      <c r="D923" s="281" t="str">
        <f t="shared" si="4"/>
        <v/>
      </c>
      <c r="E923" s="282" t="str">
        <f t="shared" si="5"/>
        <v/>
      </c>
    </row>
    <row r="924" spans="1:23">
      <c r="A924" s="286" t="s">
        <v>244</v>
      </c>
      <c r="B924" s="286" t="s">
        <v>221</v>
      </c>
      <c r="C924" s="280" t="s">
        <v>2302</v>
      </c>
      <c r="D924" s="281" t="str">
        <f t="shared" si="4"/>
        <v/>
      </c>
      <c r="E924" s="282" t="str">
        <f t="shared" si="5"/>
        <v/>
      </c>
    </row>
    <row r="925" spans="1:23">
      <c r="A925" s="286" t="s">
        <v>244</v>
      </c>
      <c r="B925" s="286" t="s">
        <v>221</v>
      </c>
      <c r="C925" s="280" t="s">
        <v>2302</v>
      </c>
      <c r="D925" s="281" t="str">
        <f t="shared" si="4"/>
        <v/>
      </c>
      <c r="E925" s="282" t="str">
        <f t="shared" si="5"/>
        <v/>
      </c>
    </row>
    <row r="926" spans="1:23">
      <c r="A926" s="286" t="s">
        <v>244</v>
      </c>
      <c r="B926" s="286" t="s">
        <v>221</v>
      </c>
      <c r="C926" s="280" t="s">
        <v>2</v>
      </c>
      <c r="D926" s="281" t="str">
        <f t="shared" si="4"/>
        <v/>
      </c>
      <c r="E926" s="282" t="str">
        <f t="shared" si="5"/>
        <v/>
      </c>
    </row>
    <row r="927" spans="1:23">
      <c r="A927" s="286" t="s">
        <v>244</v>
      </c>
      <c r="B927" s="286" t="s">
        <v>221</v>
      </c>
      <c r="C927" s="280" t="s">
        <v>2302</v>
      </c>
      <c r="D927" s="281" t="str">
        <f t="shared" si="4"/>
        <v/>
      </c>
      <c r="E927" s="282" t="str">
        <f t="shared" si="5"/>
        <v/>
      </c>
    </row>
    <row r="928" spans="1:23">
      <c r="A928" s="286" t="s">
        <v>244</v>
      </c>
      <c r="B928" s="286" t="s">
        <v>221</v>
      </c>
      <c r="C928" s="280" t="s">
        <v>2302</v>
      </c>
      <c r="D928" s="281" t="str">
        <f>IF(F928="","",CHOOSE(MONTH(F928),"Q4","Q4","Q4","Q1","Q1","Q1","Q2","Q2","Q2","Q3","Q3","Q3"))</f>
        <v/>
      </c>
      <c r="E928" s="282" t="str">
        <f>IF(F928="","",CHOOSE(MONTH(F928),"10-JAN","11-FEB","12-MAR","01-APR","02-MAY","03-JUN","04-JUL","05-AUG","06-SEP","07-OCT","08-NOV","09-DEC"))</f>
        <v/>
      </c>
    </row>
    <row r="929" spans="1:5">
      <c r="A929" s="286" t="s">
        <v>244</v>
      </c>
      <c r="B929" s="286" t="s">
        <v>221</v>
      </c>
      <c r="C929" s="280" t="s">
        <v>2302</v>
      </c>
      <c r="D929" s="281" t="str">
        <f>IF(F929="","",CHOOSE(MONTH(F929),"Q4","Q4","Q4","Q1","Q1","Q1","Q2","Q2","Q2","Q3","Q3","Q3"))</f>
        <v/>
      </c>
      <c r="E929" s="282" t="str">
        <f>IF(F929="","",CHOOSE(MONTH(F929),"10-JAN","11-FEB","12-MAR","01-APR","02-MAY","03-JUN","04-JUL","05-AUG","06-SEP","07-OCT","08-NOV","09-DEC"))</f>
        <v/>
      </c>
    </row>
    <row r="930" spans="1:5">
      <c r="A930" s="286" t="s">
        <v>244</v>
      </c>
      <c r="B930" s="286" t="s">
        <v>221</v>
      </c>
      <c r="C930" s="280" t="s">
        <v>2</v>
      </c>
      <c r="D930" s="281" t="str">
        <f>IF(F930="","",CHOOSE(MONTH(F930),"Q4","Q4","Q4","Q1","Q1","Q1","Q2","Q2","Q2","Q3","Q3","Q3"))</f>
        <v/>
      </c>
      <c r="E930" s="282" t="str">
        <f>IF(F930="","",CHOOSE(MONTH(F930),"10-JAN","11-FEB","12-MAR","01-APR","02-MAY","03-JUN","04-JUL","05-AUG","06-SEP","07-OCT","08-NOV","09-DEC"))</f>
        <v/>
      </c>
    </row>
    <row r="931" spans="1:5">
      <c r="A931" s="286" t="s">
        <v>244</v>
      </c>
      <c r="B931" s="286" t="s">
        <v>221</v>
      </c>
      <c r="C931" s="280" t="s">
        <v>2302</v>
      </c>
      <c r="D931" s="281" t="str">
        <f>IF(F931="","",CHOOSE(MONTH(F931),"Q4","Q4","Q4","Q1","Q1","Q1","Q2","Q2","Q2","Q3","Q3","Q3"))</f>
        <v/>
      </c>
      <c r="E931" s="282" t="str">
        <f>IF(F931="","",CHOOSE(MONTH(F931),"10-JAN","11-FEB","12-MAR","01-APR","02-MAY","03-JUN","04-JUL","05-AUG","06-SEP","07-OCT","08-NOV","09-DEC"))</f>
        <v/>
      </c>
    </row>
    <row r="932" spans="1:5">
      <c r="A932" s="286" t="s">
        <v>220</v>
      </c>
      <c r="B932" s="286" t="s">
        <v>221</v>
      </c>
      <c r="C932" s="280" t="s">
        <v>2302</v>
      </c>
      <c r="D932" s="281" t="str">
        <f>IF(F932="","",CHOOSE(MONTH(F932),"Q4","Q4","Q4","Q1","Q1","Q1","Q2","Q2","Q2","Q3","Q3","Q3"))</f>
        <v/>
      </c>
      <c r="E932" s="282" t="str">
        <f>IF(F932="","",CHOOSE(MONTH(F932),"10-JAN","11-FEB","12-MAR","01-APR","02-MAY","03-JUN","04-JUL","05-AUG","06-SEP","07-OCT","08-NOV","09-DEC"))</f>
        <v/>
      </c>
    </row>
    <row r="933" spans="1:5">
      <c r="A933" s="286" t="s">
        <v>244</v>
      </c>
      <c r="B933" s="286" t="s">
        <v>221</v>
      </c>
      <c r="C933" s="280" t="s">
        <v>2302</v>
      </c>
      <c r="D933" s="281" t="str">
        <f t="shared" ref="D933:D996" si="10">IF(F933="","",CHOOSE(MONTH(F933),"Q4","Q4","Q4","Q1","Q1","Q1","Q2","Q2","Q2","Q3","Q3","Q3"))</f>
        <v/>
      </c>
      <c r="E933" s="282" t="str">
        <f t="shared" ref="E933:E996" si="11">IF(F933="","",CHOOSE(MONTH(F933),"10-JAN","11-FEB","12-MAR","01-APR","02-MAY","03-JUN","04-JUL","05-AUG","06-SEP","07-OCT","08-NOV","09-DEC"))</f>
        <v/>
      </c>
    </row>
    <row r="934" spans="1:5">
      <c r="A934" s="286" t="s">
        <v>244</v>
      </c>
      <c r="B934" s="286" t="s">
        <v>221</v>
      </c>
      <c r="C934" s="280" t="s">
        <v>2302</v>
      </c>
      <c r="D934" s="281" t="str">
        <f t="shared" si="10"/>
        <v/>
      </c>
      <c r="E934" s="282" t="str">
        <f t="shared" si="11"/>
        <v/>
      </c>
    </row>
    <row r="935" spans="1:5">
      <c r="A935" s="286" t="s">
        <v>244</v>
      </c>
      <c r="B935" s="286" t="s">
        <v>221</v>
      </c>
      <c r="C935" s="280" t="s">
        <v>2</v>
      </c>
      <c r="D935" s="281" t="str">
        <f t="shared" si="10"/>
        <v/>
      </c>
      <c r="E935" s="282" t="str">
        <f t="shared" si="11"/>
        <v/>
      </c>
    </row>
    <row r="936" spans="1:5">
      <c r="A936" s="286" t="s">
        <v>244</v>
      </c>
      <c r="B936" s="286" t="s">
        <v>221</v>
      </c>
      <c r="C936" s="280" t="s">
        <v>2302</v>
      </c>
      <c r="D936" s="281" t="str">
        <f t="shared" si="10"/>
        <v/>
      </c>
      <c r="E936" s="282" t="str">
        <f t="shared" si="11"/>
        <v/>
      </c>
    </row>
    <row r="937" spans="1:5">
      <c r="A937" s="286" t="s">
        <v>220</v>
      </c>
      <c r="B937" s="286" t="s">
        <v>221</v>
      </c>
      <c r="C937" s="280" t="s">
        <v>2302</v>
      </c>
      <c r="D937" s="281" t="str">
        <f t="shared" si="10"/>
        <v/>
      </c>
      <c r="E937" s="282" t="str">
        <f t="shared" si="11"/>
        <v/>
      </c>
    </row>
    <row r="938" spans="1:5">
      <c r="A938" s="286" t="s">
        <v>244</v>
      </c>
      <c r="B938" s="286" t="s">
        <v>221</v>
      </c>
      <c r="C938" s="280" t="s">
        <v>2302</v>
      </c>
      <c r="D938" s="281" t="str">
        <f t="shared" si="10"/>
        <v/>
      </c>
      <c r="E938" s="282" t="str">
        <f t="shared" si="11"/>
        <v/>
      </c>
    </row>
    <row r="939" spans="1:5">
      <c r="A939" s="286" t="s">
        <v>244</v>
      </c>
      <c r="B939" s="286" t="s">
        <v>221</v>
      </c>
      <c r="C939" s="280" t="s">
        <v>2302</v>
      </c>
      <c r="D939" s="281" t="str">
        <f t="shared" si="10"/>
        <v/>
      </c>
      <c r="E939" s="282" t="str">
        <f t="shared" si="11"/>
        <v/>
      </c>
    </row>
    <row r="940" spans="1:5">
      <c r="A940" s="286" t="s">
        <v>244</v>
      </c>
      <c r="B940" s="286" t="s">
        <v>221</v>
      </c>
      <c r="C940" s="280" t="s">
        <v>2</v>
      </c>
      <c r="D940" s="281" t="str">
        <f t="shared" si="10"/>
        <v/>
      </c>
      <c r="E940" s="282" t="str">
        <f t="shared" si="11"/>
        <v/>
      </c>
    </row>
    <row r="941" spans="1:5">
      <c r="A941" s="286" t="s">
        <v>244</v>
      </c>
      <c r="B941" s="286" t="s">
        <v>221</v>
      </c>
      <c r="C941" s="280" t="s">
        <v>2302</v>
      </c>
      <c r="D941" s="281" t="str">
        <f t="shared" si="10"/>
        <v/>
      </c>
      <c r="E941" s="282" t="str">
        <f t="shared" si="11"/>
        <v/>
      </c>
    </row>
    <row r="942" spans="1:5">
      <c r="A942" s="286" t="s">
        <v>220</v>
      </c>
      <c r="B942" s="286" t="s">
        <v>221</v>
      </c>
      <c r="C942" s="280" t="s">
        <v>2302</v>
      </c>
      <c r="D942" s="281" t="str">
        <f t="shared" si="10"/>
        <v/>
      </c>
      <c r="E942" s="282" t="str">
        <f t="shared" si="11"/>
        <v/>
      </c>
    </row>
    <row r="943" spans="1:5">
      <c r="A943" s="286" t="s">
        <v>244</v>
      </c>
      <c r="B943" s="286" t="s">
        <v>221</v>
      </c>
      <c r="C943" s="280" t="s">
        <v>2302</v>
      </c>
      <c r="D943" s="281" t="str">
        <f t="shared" si="10"/>
        <v/>
      </c>
      <c r="E943" s="282" t="str">
        <f t="shared" si="11"/>
        <v/>
      </c>
    </row>
    <row r="944" spans="1:5">
      <c r="A944" s="286" t="s">
        <v>244</v>
      </c>
      <c r="B944" s="286" t="s">
        <v>221</v>
      </c>
      <c r="C944" s="280" t="s">
        <v>2302</v>
      </c>
      <c r="D944" s="281" t="str">
        <f t="shared" si="10"/>
        <v/>
      </c>
      <c r="E944" s="282" t="str">
        <f t="shared" si="11"/>
        <v/>
      </c>
    </row>
    <row r="945" spans="1:5">
      <c r="A945" s="286" t="s">
        <v>244</v>
      </c>
      <c r="B945" s="286" t="s">
        <v>221</v>
      </c>
      <c r="C945" s="280" t="s">
        <v>2</v>
      </c>
      <c r="D945" s="281" t="str">
        <f t="shared" si="10"/>
        <v/>
      </c>
      <c r="E945" s="282" t="str">
        <f t="shared" si="11"/>
        <v/>
      </c>
    </row>
    <row r="946" spans="1:5">
      <c r="A946" s="286" t="s">
        <v>244</v>
      </c>
      <c r="B946" s="286" t="s">
        <v>221</v>
      </c>
      <c r="C946" s="280" t="s">
        <v>2302</v>
      </c>
      <c r="D946" s="281" t="str">
        <f t="shared" si="10"/>
        <v/>
      </c>
      <c r="E946" s="282" t="str">
        <f t="shared" si="11"/>
        <v/>
      </c>
    </row>
    <row r="947" spans="1:5">
      <c r="A947" s="286" t="s">
        <v>220</v>
      </c>
      <c r="B947" s="286" t="s">
        <v>221</v>
      </c>
      <c r="C947" s="280" t="s">
        <v>2302</v>
      </c>
      <c r="D947" s="281" t="str">
        <f t="shared" si="10"/>
        <v/>
      </c>
      <c r="E947" s="282" t="str">
        <f t="shared" si="11"/>
        <v/>
      </c>
    </row>
    <row r="948" spans="1:5">
      <c r="A948" s="286" t="s">
        <v>244</v>
      </c>
      <c r="B948" s="286" t="s">
        <v>221</v>
      </c>
      <c r="C948" s="280" t="s">
        <v>2302</v>
      </c>
      <c r="D948" s="281" t="str">
        <f t="shared" si="10"/>
        <v/>
      </c>
      <c r="E948" s="282" t="str">
        <f t="shared" si="11"/>
        <v/>
      </c>
    </row>
    <row r="949" spans="1:5">
      <c r="A949" s="286" t="s">
        <v>244</v>
      </c>
      <c r="B949" s="286" t="s">
        <v>221</v>
      </c>
      <c r="C949" s="280" t="s">
        <v>2302</v>
      </c>
      <c r="D949" s="281" t="str">
        <f t="shared" si="10"/>
        <v/>
      </c>
      <c r="E949" s="282" t="str">
        <f t="shared" si="11"/>
        <v/>
      </c>
    </row>
    <row r="950" spans="1:5">
      <c r="A950" s="286" t="s">
        <v>244</v>
      </c>
      <c r="B950" s="286" t="s">
        <v>221</v>
      </c>
      <c r="C950" s="280" t="s">
        <v>2</v>
      </c>
      <c r="D950" s="281" t="str">
        <f t="shared" si="10"/>
        <v/>
      </c>
      <c r="E950" s="282" t="str">
        <f t="shared" si="11"/>
        <v/>
      </c>
    </row>
    <row r="951" spans="1:5">
      <c r="A951" s="286" t="s">
        <v>244</v>
      </c>
      <c r="B951" s="286" t="s">
        <v>221</v>
      </c>
      <c r="C951" s="280" t="s">
        <v>2302</v>
      </c>
      <c r="D951" s="281" t="str">
        <f t="shared" si="10"/>
        <v/>
      </c>
      <c r="E951" s="282" t="str">
        <f t="shared" si="11"/>
        <v/>
      </c>
    </row>
    <row r="952" spans="1:5">
      <c r="A952" s="286" t="s">
        <v>220</v>
      </c>
      <c r="B952" s="286" t="s">
        <v>221</v>
      </c>
      <c r="C952" s="280" t="s">
        <v>2302</v>
      </c>
      <c r="D952" s="281" t="str">
        <f t="shared" si="10"/>
        <v/>
      </c>
      <c r="E952" s="282" t="str">
        <f t="shared" si="11"/>
        <v/>
      </c>
    </row>
    <row r="953" spans="1:5">
      <c r="A953" s="286" t="s">
        <v>244</v>
      </c>
      <c r="B953" s="286" t="s">
        <v>221</v>
      </c>
      <c r="C953" s="280" t="s">
        <v>2302</v>
      </c>
      <c r="D953" s="281" t="str">
        <f t="shared" si="10"/>
        <v/>
      </c>
      <c r="E953" s="282" t="str">
        <f t="shared" si="11"/>
        <v/>
      </c>
    </row>
    <row r="954" spans="1:5">
      <c r="A954" s="286" t="s">
        <v>244</v>
      </c>
      <c r="B954" s="286" t="s">
        <v>221</v>
      </c>
      <c r="C954" s="280" t="s">
        <v>2302</v>
      </c>
      <c r="D954" s="281" t="str">
        <f t="shared" si="10"/>
        <v/>
      </c>
      <c r="E954" s="282" t="str">
        <f t="shared" si="11"/>
        <v/>
      </c>
    </row>
    <row r="955" spans="1:5">
      <c r="A955" s="286" t="s">
        <v>244</v>
      </c>
      <c r="B955" s="286" t="s">
        <v>221</v>
      </c>
      <c r="C955" s="280" t="s">
        <v>2</v>
      </c>
      <c r="D955" s="281" t="str">
        <f t="shared" si="10"/>
        <v/>
      </c>
      <c r="E955" s="282" t="str">
        <f t="shared" si="11"/>
        <v/>
      </c>
    </row>
    <row r="956" spans="1:5">
      <c r="A956" s="286" t="s">
        <v>244</v>
      </c>
      <c r="B956" s="286" t="s">
        <v>221</v>
      </c>
      <c r="C956" s="280" t="s">
        <v>2302</v>
      </c>
      <c r="D956" s="281" t="str">
        <f t="shared" si="10"/>
        <v/>
      </c>
      <c r="E956" s="282" t="str">
        <f t="shared" si="11"/>
        <v/>
      </c>
    </row>
    <row r="957" spans="1:5">
      <c r="A957" s="286" t="s">
        <v>220</v>
      </c>
      <c r="B957" s="286" t="s">
        <v>221</v>
      </c>
      <c r="C957" s="280" t="s">
        <v>2302</v>
      </c>
      <c r="D957" s="281" t="str">
        <f t="shared" si="10"/>
        <v/>
      </c>
      <c r="E957" s="282" t="str">
        <f t="shared" si="11"/>
        <v/>
      </c>
    </row>
    <row r="958" spans="1:5">
      <c r="A958" s="286" t="s">
        <v>244</v>
      </c>
      <c r="B958" s="286" t="s">
        <v>221</v>
      </c>
      <c r="C958" s="280" t="s">
        <v>2302</v>
      </c>
      <c r="D958" s="281" t="str">
        <f t="shared" si="10"/>
        <v/>
      </c>
      <c r="E958" s="282" t="str">
        <f t="shared" si="11"/>
        <v/>
      </c>
    </row>
    <row r="959" spans="1:5">
      <c r="A959" s="286" t="s">
        <v>244</v>
      </c>
      <c r="B959" s="286" t="s">
        <v>221</v>
      </c>
      <c r="C959" s="280" t="s">
        <v>2302</v>
      </c>
      <c r="D959" s="281" t="str">
        <f t="shared" si="10"/>
        <v/>
      </c>
      <c r="E959" s="282" t="str">
        <f t="shared" si="11"/>
        <v/>
      </c>
    </row>
    <row r="960" spans="1:5">
      <c r="A960" s="286" t="s">
        <v>244</v>
      </c>
      <c r="B960" s="286" t="s">
        <v>221</v>
      </c>
      <c r="C960" s="280" t="s">
        <v>2</v>
      </c>
      <c r="D960" s="281" t="str">
        <f t="shared" si="10"/>
        <v/>
      </c>
      <c r="E960" s="282" t="str">
        <f t="shared" si="11"/>
        <v/>
      </c>
    </row>
    <row r="961" spans="1:5">
      <c r="A961" s="286" t="s">
        <v>244</v>
      </c>
      <c r="B961" s="286" t="s">
        <v>221</v>
      </c>
      <c r="C961" s="280" t="s">
        <v>2302</v>
      </c>
      <c r="D961" s="281" t="str">
        <f t="shared" si="10"/>
        <v/>
      </c>
      <c r="E961" s="282" t="str">
        <f t="shared" si="11"/>
        <v/>
      </c>
    </row>
    <row r="962" spans="1:5">
      <c r="A962" s="286" t="s">
        <v>220</v>
      </c>
      <c r="B962" s="286" t="s">
        <v>221</v>
      </c>
      <c r="C962" s="280" t="s">
        <v>2302</v>
      </c>
      <c r="D962" s="281" t="str">
        <f t="shared" si="10"/>
        <v/>
      </c>
      <c r="E962" s="282" t="str">
        <f t="shared" si="11"/>
        <v/>
      </c>
    </row>
    <row r="963" spans="1:5">
      <c r="A963" s="286" t="s">
        <v>244</v>
      </c>
      <c r="B963" s="286" t="s">
        <v>221</v>
      </c>
      <c r="C963" s="280" t="s">
        <v>2302</v>
      </c>
      <c r="D963" s="281" t="str">
        <f t="shared" si="10"/>
        <v/>
      </c>
      <c r="E963" s="282" t="str">
        <f t="shared" si="11"/>
        <v/>
      </c>
    </row>
    <row r="964" spans="1:5">
      <c r="A964" s="286" t="s">
        <v>244</v>
      </c>
      <c r="B964" s="286" t="s">
        <v>221</v>
      </c>
      <c r="C964" s="280" t="s">
        <v>2302</v>
      </c>
      <c r="D964" s="281" t="str">
        <f t="shared" si="10"/>
        <v/>
      </c>
      <c r="E964" s="282" t="str">
        <f t="shared" si="11"/>
        <v/>
      </c>
    </row>
    <row r="965" spans="1:5">
      <c r="A965" s="286" t="s">
        <v>244</v>
      </c>
      <c r="B965" s="286" t="s">
        <v>221</v>
      </c>
      <c r="C965" s="280" t="s">
        <v>2</v>
      </c>
      <c r="D965" s="281" t="str">
        <f t="shared" si="10"/>
        <v/>
      </c>
      <c r="E965" s="282" t="str">
        <f t="shared" si="11"/>
        <v/>
      </c>
    </row>
    <row r="966" spans="1:5">
      <c r="A966" s="286" t="s">
        <v>244</v>
      </c>
      <c r="B966" s="286" t="s">
        <v>221</v>
      </c>
      <c r="C966" s="280" t="s">
        <v>2302</v>
      </c>
      <c r="D966" s="281" t="str">
        <f t="shared" si="10"/>
        <v/>
      </c>
      <c r="E966" s="282" t="str">
        <f t="shared" si="11"/>
        <v/>
      </c>
    </row>
    <row r="967" spans="1:5">
      <c r="A967" s="286" t="s">
        <v>220</v>
      </c>
      <c r="B967" s="286" t="s">
        <v>221</v>
      </c>
      <c r="C967" s="280" t="s">
        <v>2302</v>
      </c>
      <c r="D967" s="281" t="str">
        <f t="shared" si="10"/>
        <v/>
      </c>
      <c r="E967" s="282" t="str">
        <f t="shared" si="11"/>
        <v/>
      </c>
    </row>
    <row r="968" spans="1:5">
      <c r="A968" s="286" t="s">
        <v>244</v>
      </c>
      <c r="B968" s="286" t="s">
        <v>221</v>
      </c>
      <c r="C968" s="280" t="s">
        <v>2302</v>
      </c>
      <c r="D968" s="281" t="str">
        <f t="shared" si="10"/>
        <v/>
      </c>
      <c r="E968" s="282" t="str">
        <f t="shared" si="11"/>
        <v/>
      </c>
    </row>
    <row r="969" spans="1:5">
      <c r="A969" s="286" t="s">
        <v>244</v>
      </c>
      <c r="B969" s="286" t="s">
        <v>221</v>
      </c>
      <c r="C969" s="280" t="s">
        <v>2302</v>
      </c>
      <c r="D969" s="281" t="str">
        <f t="shared" si="10"/>
        <v/>
      </c>
      <c r="E969" s="282" t="str">
        <f t="shared" si="11"/>
        <v/>
      </c>
    </row>
    <row r="970" spans="1:5">
      <c r="A970" s="286" t="s">
        <v>244</v>
      </c>
      <c r="B970" s="286" t="s">
        <v>221</v>
      </c>
      <c r="C970" s="280" t="s">
        <v>2</v>
      </c>
      <c r="D970" s="281" t="str">
        <f t="shared" si="10"/>
        <v/>
      </c>
      <c r="E970" s="282" t="str">
        <f t="shared" si="11"/>
        <v/>
      </c>
    </row>
    <row r="971" spans="1:5">
      <c r="A971" s="286" t="s">
        <v>244</v>
      </c>
      <c r="B971" s="286" t="s">
        <v>221</v>
      </c>
      <c r="C971" s="280" t="s">
        <v>2302</v>
      </c>
      <c r="D971" s="281" t="str">
        <f t="shared" si="10"/>
        <v/>
      </c>
      <c r="E971" s="282" t="str">
        <f t="shared" si="11"/>
        <v/>
      </c>
    </row>
    <row r="972" spans="1:5">
      <c r="A972" s="286" t="s">
        <v>220</v>
      </c>
      <c r="B972" s="286" t="s">
        <v>221</v>
      </c>
      <c r="C972" s="280" t="s">
        <v>2302</v>
      </c>
      <c r="D972" s="281" t="str">
        <f t="shared" si="10"/>
        <v/>
      </c>
      <c r="E972" s="282" t="str">
        <f t="shared" si="11"/>
        <v/>
      </c>
    </row>
    <row r="973" spans="1:5">
      <c r="A973" s="286" t="s">
        <v>244</v>
      </c>
      <c r="B973" s="286" t="s">
        <v>221</v>
      </c>
      <c r="C973" s="280" t="s">
        <v>2302</v>
      </c>
      <c r="D973" s="281" t="str">
        <f t="shared" si="10"/>
        <v/>
      </c>
      <c r="E973" s="282" t="str">
        <f t="shared" si="11"/>
        <v/>
      </c>
    </row>
    <row r="974" spans="1:5">
      <c r="A974" s="286" t="s">
        <v>244</v>
      </c>
      <c r="B974" s="286" t="s">
        <v>221</v>
      </c>
      <c r="C974" s="280" t="s">
        <v>2302</v>
      </c>
      <c r="D974" s="281" t="str">
        <f t="shared" si="10"/>
        <v/>
      </c>
      <c r="E974" s="282" t="str">
        <f t="shared" si="11"/>
        <v/>
      </c>
    </row>
    <row r="975" spans="1:5">
      <c r="A975" s="286" t="s">
        <v>244</v>
      </c>
      <c r="B975" s="286" t="s">
        <v>221</v>
      </c>
      <c r="C975" s="280" t="s">
        <v>2</v>
      </c>
      <c r="D975" s="281" t="str">
        <f t="shared" si="10"/>
        <v/>
      </c>
      <c r="E975" s="282" t="str">
        <f t="shared" si="11"/>
        <v/>
      </c>
    </row>
    <row r="976" spans="1:5">
      <c r="A976" s="286" t="s">
        <v>244</v>
      </c>
      <c r="B976" s="286" t="s">
        <v>221</v>
      </c>
      <c r="C976" s="280" t="s">
        <v>2302</v>
      </c>
      <c r="D976" s="281" t="str">
        <f t="shared" si="10"/>
        <v/>
      </c>
      <c r="E976" s="282" t="str">
        <f t="shared" si="11"/>
        <v/>
      </c>
    </row>
    <row r="977" spans="1:5">
      <c r="A977" s="286" t="s">
        <v>220</v>
      </c>
      <c r="B977" s="286" t="s">
        <v>221</v>
      </c>
      <c r="C977" s="280" t="s">
        <v>2302</v>
      </c>
      <c r="D977" s="281" t="str">
        <f t="shared" si="10"/>
        <v/>
      </c>
      <c r="E977" s="282" t="str">
        <f t="shared" si="11"/>
        <v/>
      </c>
    </row>
    <row r="978" spans="1:5">
      <c r="A978" s="286" t="s">
        <v>244</v>
      </c>
      <c r="B978" s="286" t="s">
        <v>221</v>
      </c>
      <c r="C978" s="280" t="s">
        <v>2302</v>
      </c>
      <c r="D978" s="281" t="str">
        <f t="shared" si="10"/>
        <v/>
      </c>
      <c r="E978" s="282" t="str">
        <f t="shared" si="11"/>
        <v/>
      </c>
    </row>
    <row r="979" spans="1:5">
      <c r="A979" s="286" t="s">
        <v>244</v>
      </c>
      <c r="B979" s="286" t="s">
        <v>221</v>
      </c>
      <c r="C979" s="280" t="s">
        <v>2302</v>
      </c>
      <c r="D979" s="281" t="str">
        <f t="shared" si="10"/>
        <v/>
      </c>
      <c r="E979" s="282" t="str">
        <f t="shared" si="11"/>
        <v/>
      </c>
    </row>
    <row r="980" spans="1:5">
      <c r="A980" s="286" t="s">
        <v>244</v>
      </c>
      <c r="B980" s="286" t="s">
        <v>221</v>
      </c>
      <c r="C980" s="280" t="s">
        <v>2</v>
      </c>
      <c r="D980" s="281" t="str">
        <f t="shared" si="10"/>
        <v/>
      </c>
      <c r="E980" s="282" t="str">
        <f t="shared" si="11"/>
        <v/>
      </c>
    </row>
    <row r="981" spans="1:5">
      <c r="A981" s="286" t="s">
        <v>244</v>
      </c>
      <c r="B981" s="286" t="s">
        <v>221</v>
      </c>
      <c r="C981" s="280" t="s">
        <v>2302</v>
      </c>
      <c r="D981" s="281" t="str">
        <f t="shared" si="10"/>
        <v/>
      </c>
      <c r="E981" s="282" t="str">
        <f t="shared" si="11"/>
        <v/>
      </c>
    </row>
    <row r="982" spans="1:5">
      <c r="A982" s="286" t="s">
        <v>220</v>
      </c>
      <c r="B982" s="286" t="s">
        <v>221</v>
      </c>
      <c r="C982" s="280" t="s">
        <v>2302</v>
      </c>
      <c r="D982" s="281" t="str">
        <f t="shared" si="10"/>
        <v/>
      </c>
      <c r="E982" s="282" t="str">
        <f t="shared" si="11"/>
        <v/>
      </c>
    </row>
    <row r="983" spans="1:5">
      <c r="A983" s="286" t="s">
        <v>244</v>
      </c>
      <c r="B983" s="286" t="s">
        <v>221</v>
      </c>
      <c r="C983" s="280" t="s">
        <v>2302</v>
      </c>
      <c r="D983" s="281" t="str">
        <f t="shared" si="10"/>
        <v/>
      </c>
      <c r="E983" s="282" t="str">
        <f t="shared" si="11"/>
        <v/>
      </c>
    </row>
    <row r="984" spans="1:5">
      <c r="A984" s="286" t="s">
        <v>244</v>
      </c>
      <c r="B984" s="286" t="s">
        <v>221</v>
      </c>
      <c r="C984" s="280" t="s">
        <v>2302</v>
      </c>
      <c r="D984" s="281" t="str">
        <f t="shared" si="10"/>
        <v/>
      </c>
      <c r="E984" s="282" t="str">
        <f t="shared" si="11"/>
        <v/>
      </c>
    </row>
    <row r="985" spans="1:5">
      <c r="A985" s="286" t="s">
        <v>244</v>
      </c>
      <c r="B985" s="286" t="s">
        <v>221</v>
      </c>
      <c r="C985" s="280" t="s">
        <v>2</v>
      </c>
      <c r="D985" s="281" t="str">
        <f t="shared" si="10"/>
        <v/>
      </c>
      <c r="E985" s="282" t="str">
        <f t="shared" si="11"/>
        <v/>
      </c>
    </row>
    <row r="986" spans="1:5">
      <c r="A986" s="286" t="s">
        <v>244</v>
      </c>
      <c r="B986" s="286" t="s">
        <v>221</v>
      </c>
      <c r="C986" s="280" t="s">
        <v>2302</v>
      </c>
      <c r="D986" s="281" t="str">
        <f t="shared" si="10"/>
        <v/>
      </c>
      <c r="E986" s="282" t="str">
        <f t="shared" si="11"/>
        <v/>
      </c>
    </row>
    <row r="987" spans="1:5">
      <c r="A987" s="286" t="s">
        <v>220</v>
      </c>
      <c r="B987" s="286" t="s">
        <v>221</v>
      </c>
      <c r="C987" s="280" t="s">
        <v>2302</v>
      </c>
      <c r="D987" s="281" t="str">
        <f t="shared" si="10"/>
        <v/>
      </c>
      <c r="E987" s="282" t="str">
        <f t="shared" si="11"/>
        <v/>
      </c>
    </row>
    <row r="988" spans="1:5">
      <c r="A988" s="286" t="s">
        <v>244</v>
      </c>
      <c r="B988" s="286" t="s">
        <v>221</v>
      </c>
      <c r="C988" s="280" t="s">
        <v>2302</v>
      </c>
      <c r="D988" s="281" t="str">
        <f t="shared" si="10"/>
        <v/>
      </c>
      <c r="E988" s="282" t="str">
        <f t="shared" si="11"/>
        <v/>
      </c>
    </row>
    <row r="989" spans="1:5">
      <c r="A989" s="286" t="s">
        <v>244</v>
      </c>
      <c r="B989" s="286" t="s">
        <v>221</v>
      </c>
      <c r="C989" s="280" t="s">
        <v>2302</v>
      </c>
      <c r="D989" s="281" t="str">
        <f t="shared" si="10"/>
        <v/>
      </c>
      <c r="E989" s="282" t="str">
        <f t="shared" si="11"/>
        <v/>
      </c>
    </row>
    <row r="990" spans="1:5">
      <c r="A990" s="286" t="s">
        <v>244</v>
      </c>
      <c r="B990" s="286" t="s">
        <v>221</v>
      </c>
      <c r="C990" s="280" t="s">
        <v>2</v>
      </c>
      <c r="D990" s="281" t="str">
        <f t="shared" si="10"/>
        <v/>
      </c>
      <c r="E990" s="282" t="str">
        <f t="shared" si="11"/>
        <v/>
      </c>
    </row>
    <row r="991" spans="1:5">
      <c r="A991" s="286" t="s">
        <v>244</v>
      </c>
      <c r="B991" s="286" t="s">
        <v>221</v>
      </c>
      <c r="C991" s="280" t="s">
        <v>2302</v>
      </c>
      <c r="D991" s="281" t="str">
        <f t="shared" si="10"/>
        <v/>
      </c>
      <c r="E991" s="282" t="str">
        <f t="shared" si="11"/>
        <v/>
      </c>
    </row>
    <row r="992" spans="1:5">
      <c r="A992" s="286" t="s">
        <v>220</v>
      </c>
      <c r="B992" s="286" t="s">
        <v>221</v>
      </c>
      <c r="C992" s="280" t="s">
        <v>2302</v>
      </c>
      <c r="D992" s="281" t="str">
        <f t="shared" si="10"/>
        <v/>
      </c>
      <c r="E992" s="282" t="str">
        <f t="shared" si="11"/>
        <v/>
      </c>
    </row>
    <row r="993" spans="1:5">
      <c r="A993" s="286" t="s">
        <v>244</v>
      </c>
      <c r="B993" s="286" t="s">
        <v>221</v>
      </c>
      <c r="C993" s="280" t="s">
        <v>2302</v>
      </c>
      <c r="D993" s="281" t="str">
        <f t="shared" si="10"/>
        <v/>
      </c>
      <c r="E993" s="282" t="str">
        <f t="shared" si="11"/>
        <v/>
      </c>
    </row>
    <row r="994" spans="1:5">
      <c r="A994" s="286" t="s">
        <v>244</v>
      </c>
      <c r="B994" s="286" t="s">
        <v>221</v>
      </c>
      <c r="C994" s="280" t="s">
        <v>2302</v>
      </c>
      <c r="D994" s="281" t="str">
        <f t="shared" si="10"/>
        <v/>
      </c>
      <c r="E994" s="282" t="str">
        <f t="shared" si="11"/>
        <v/>
      </c>
    </row>
    <row r="995" spans="1:5">
      <c r="A995" s="286" t="s">
        <v>244</v>
      </c>
      <c r="B995" s="286" t="s">
        <v>221</v>
      </c>
      <c r="C995" s="280" t="s">
        <v>2</v>
      </c>
      <c r="D995" s="281" t="str">
        <f t="shared" si="10"/>
        <v/>
      </c>
      <c r="E995" s="282" t="str">
        <f t="shared" si="11"/>
        <v/>
      </c>
    </row>
    <row r="996" spans="1:5">
      <c r="A996" s="286" t="s">
        <v>244</v>
      </c>
      <c r="B996" s="286" t="s">
        <v>221</v>
      </c>
      <c r="C996" s="280" t="s">
        <v>2302</v>
      </c>
      <c r="D996" s="281" t="str">
        <f t="shared" si="10"/>
        <v/>
      </c>
      <c r="E996" s="282" t="str">
        <f t="shared" si="11"/>
        <v/>
      </c>
    </row>
    <row r="997" spans="1:5">
      <c r="A997" s="286" t="s">
        <v>220</v>
      </c>
      <c r="B997" s="286" t="s">
        <v>221</v>
      </c>
      <c r="C997" s="280" t="s">
        <v>2302</v>
      </c>
      <c r="D997" s="281" t="str">
        <f t="shared" ref="D997:D1023" si="12">IF(F997="","",CHOOSE(MONTH(F997),"Q4","Q4","Q4","Q1","Q1","Q1","Q2","Q2","Q2","Q3","Q3","Q3"))</f>
        <v/>
      </c>
      <c r="E997" s="282" t="str">
        <f t="shared" ref="E997:E1023" si="13">IF(F997="","",CHOOSE(MONTH(F997),"10-JAN","11-FEB","12-MAR","01-APR","02-MAY","03-JUN","04-JUL","05-AUG","06-SEP","07-OCT","08-NOV","09-DEC"))</f>
        <v/>
      </c>
    </row>
    <row r="998" spans="1:5">
      <c r="A998" s="286" t="s">
        <v>244</v>
      </c>
      <c r="B998" s="286" t="s">
        <v>221</v>
      </c>
      <c r="C998" s="280" t="s">
        <v>2302</v>
      </c>
      <c r="D998" s="281" t="str">
        <f t="shared" si="12"/>
        <v/>
      </c>
      <c r="E998" s="282" t="str">
        <f t="shared" si="13"/>
        <v/>
      </c>
    </row>
    <row r="999" spans="1:5">
      <c r="A999" s="286" t="s">
        <v>244</v>
      </c>
      <c r="B999" s="286" t="s">
        <v>221</v>
      </c>
      <c r="C999" s="280" t="s">
        <v>2302</v>
      </c>
      <c r="D999" s="281" t="str">
        <f t="shared" si="12"/>
        <v/>
      </c>
      <c r="E999" s="282" t="str">
        <f t="shared" si="13"/>
        <v/>
      </c>
    </row>
    <row r="1000" spans="1:5">
      <c r="A1000" s="286" t="s">
        <v>244</v>
      </c>
      <c r="B1000" s="286" t="s">
        <v>221</v>
      </c>
      <c r="C1000" s="280" t="s">
        <v>2</v>
      </c>
      <c r="D1000" s="281" t="str">
        <f t="shared" si="12"/>
        <v/>
      </c>
      <c r="E1000" s="282" t="str">
        <f t="shared" si="13"/>
        <v/>
      </c>
    </row>
    <row r="1001" spans="1:5">
      <c r="A1001" s="286" t="s">
        <v>244</v>
      </c>
      <c r="B1001" s="286" t="s">
        <v>221</v>
      </c>
      <c r="C1001" s="280" t="s">
        <v>2302</v>
      </c>
      <c r="D1001" s="281" t="str">
        <f t="shared" si="12"/>
        <v/>
      </c>
      <c r="E1001" s="282" t="str">
        <f t="shared" si="13"/>
        <v/>
      </c>
    </row>
    <row r="1002" spans="1:5">
      <c r="A1002" s="286" t="s">
        <v>220</v>
      </c>
      <c r="B1002" s="286" t="s">
        <v>221</v>
      </c>
      <c r="C1002" s="280" t="s">
        <v>2302</v>
      </c>
      <c r="D1002" s="281" t="str">
        <f t="shared" si="12"/>
        <v/>
      </c>
      <c r="E1002" s="282" t="str">
        <f t="shared" si="13"/>
        <v/>
      </c>
    </row>
    <row r="1003" spans="1:5">
      <c r="A1003" s="286" t="s">
        <v>244</v>
      </c>
      <c r="B1003" s="286" t="s">
        <v>221</v>
      </c>
      <c r="C1003" s="280" t="s">
        <v>2302</v>
      </c>
      <c r="D1003" s="281" t="str">
        <f t="shared" si="12"/>
        <v/>
      </c>
      <c r="E1003" s="282" t="str">
        <f t="shared" si="13"/>
        <v/>
      </c>
    </row>
    <row r="1004" spans="1:5">
      <c r="A1004" s="286" t="s">
        <v>244</v>
      </c>
      <c r="B1004" s="286" t="s">
        <v>221</v>
      </c>
      <c r="C1004" s="280" t="s">
        <v>2302</v>
      </c>
      <c r="D1004" s="281" t="str">
        <f t="shared" si="12"/>
        <v/>
      </c>
      <c r="E1004" s="282" t="str">
        <f t="shared" si="13"/>
        <v/>
      </c>
    </row>
    <row r="1005" spans="1:5">
      <c r="A1005" s="286" t="s">
        <v>244</v>
      </c>
      <c r="B1005" s="286" t="s">
        <v>221</v>
      </c>
      <c r="C1005" s="280" t="s">
        <v>2</v>
      </c>
      <c r="D1005" s="281" t="str">
        <f t="shared" si="12"/>
        <v/>
      </c>
      <c r="E1005" s="282" t="str">
        <f t="shared" si="13"/>
        <v/>
      </c>
    </row>
    <row r="1006" spans="1:5">
      <c r="A1006" s="286" t="s">
        <v>244</v>
      </c>
      <c r="B1006" s="286" t="s">
        <v>221</v>
      </c>
      <c r="C1006" s="280" t="s">
        <v>2302</v>
      </c>
      <c r="D1006" s="281" t="str">
        <f t="shared" si="12"/>
        <v/>
      </c>
      <c r="E1006" s="282" t="str">
        <f t="shared" si="13"/>
        <v/>
      </c>
    </row>
    <row r="1007" spans="1:5">
      <c r="A1007" s="286" t="s">
        <v>220</v>
      </c>
      <c r="B1007" s="286" t="s">
        <v>221</v>
      </c>
      <c r="C1007" s="280" t="s">
        <v>2302</v>
      </c>
      <c r="D1007" s="281" t="str">
        <f t="shared" si="12"/>
        <v/>
      </c>
      <c r="E1007" s="282" t="str">
        <f t="shared" si="13"/>
        <v/>
      </c>
    </row>
    <row r="1008" spans="1:5">
      <c r="A1008" s="286" t="s">
        <v>244</v>
      </c>
      <c r="B1008" s="286" t="s">
        <v>221</v>
      </c>
      <c r="C1008" s="280" t="s">
        <v>2302</v>
      </c>
      <c r="D1008" s="281" t="str">
        <f t="shared" si="12"/>
        <v/>
      </c>
      <c r="E1008" s="282" t="str">
        <f t="shared" si="13"/>
        <v/>
      </c>
    </row>
    <row r="1009" spans="1:5">
      <c r="A1009" s="286" t="s">
        <v>244</v>
      </c>
      <c r="B1009" s="286" t="s">
        <v>221</v>
      </c>
      <c r="C1009" s="280" t="s">
        <v>2302</v>
      </c>
      <c r="D1009" s="281" t="str">
        <f t="shared" si="12"/>
        <v/>
      </c>
      <c r="E1009" s="282" t="str">
        <f t="shared" si="13"/>
        <v/>
      </c>
    </row>
    <row r="1010" spans="1:5">
      <c r="A1010" s="286" t="s">
        <v>244</v>
      </c>
      <c r="B1010" s="286" t="s">
        <v>221</v>
      </c>
      <c r="C1010" s="280" t="s">
        <v>2</v>
      </c>
      <c r="D1010" s="281" t="str">
        <f t="shared" si="12"/>
        <v/>
      </c>
      <c r="E1010" s="282" t="str">
        <f t="shared" si="13"/>
        <v/>
      </c>
    </row>
    <row r="1011" spans="1:5">
      <c r="A1011" s="286" t="s">
        <v>244</v>
      </c>
      <c r="B1011" s="286" t="s">
        <v>221</v>
      </c>
      <c r="C1011" s="280" t="s">
        <v>2302</v>
      </c>
      <c r="D1011" s="281" t="str">
        <f t="shared" si="12"/>
        <v/>
      </c>
      <c r="E1011" s="282" t="str">
        <f t="shared" si="13"/>
        <v/>
      </c>
    </row>
    <row r="1012" spans="1:5">
      <c r="A1012" s="286" t="s">
        <v>220</v>
      </c>
      <c r="B1012" s="286" t="s">
        <v>221</v>
      </c>
      <c r="C1012" s="280" t="s">
        <v>2302</v>
      </c>
      <c r="D1012" s="281" t="str">
        <f t="shared" si="12"/>
        <v/>
      </c>
      <c r="E1012" s="282" t="str">
        <f t="shared" si="13"/>
        <v/>
      </c>
    </row>
    <row r="1013" spans="1:5">
      <c r="A1013" s="286" t="s">
        <v>244</v>
      </c>
      <c r="B1013" s="286" t="s">
        <v>221</v>
      </c>
      <c r="C1013" s="280" t="s">
        <v>2302</v>
      </c>
      <c r="D1013" s="281" t="str">
        <f t="shared" si="12"/>
        <v/>
      </c>
      <c r="E1013" s="282" t="str">
        <f t="shared" si="13"/>
        <v/>
      </c>
    </row>
    <row r="1014" spans="1:5">
      <c r="A1014" s="286" t="s">
        <v>244</v>
      </c>
      <c r="B1014" s="286" t="s">
        <v>221</v>
      </c>
      <c r="C1014" s="280" t="s">
        <v>2302</v>
      </c>
      <c r="D1014" s="281" t="str">
        <f t="shared" si="12"/>
        <v/>
      </c>
      <c r="E1014" s="282" t="str">
        <f t="shared" si="13"/>
        <v/>
      </c>
    </row>
    <row r="1015" spans="1:5">
      <c r="A1015" s="286" t="s">
        <v>244</v>
      </c>
      <c r="B1015" s="286" t="s">
        <v>221</v>
      </c>
      <c r="C1015" s="280" t="s">
        <v>2</v>
      </c>
      <c r="D1015" s="281" t="str">
        <f t="shared" si="12"/>
        <v/>
      </c>
      <c r="E1015" s="282" t="str">
        <f t="shared" si="13"/>
        <v/>
      </c>
    </row>
    <row r="1016" spans="1:5">
      <c r="A1016" s="286" t="s">
        <v>244</v>
      </c>
      <c r="B1016" s="286" t="s">
        <v>221</v>
      </c>
      <c r="C1016" s="280" t="s">
        <v>2302</v>
      </c>
      <c r="D1016" s="281" t="str">
        <f t="shared" si="12"/>
        <v/>
      </c>
      <c r="E1016" s="282" t="str">
        <f t="shared" si="13"/>
        <v/>
      </c>
    </row>
    <row r="1017" spans="1:5">
      <c r="A1017" s="286" t="s">
        <v>220</v>
      </c>
      <c r="B1017" s="286" t="s">
        <v>221</v>
      </c>
      <c r="C1017" s="280" t="s">
        <v>2302</v>
      </c>
      <c r="D1017" s="281" t="str">
        <f t="shared" si="12"/>
        <v/>
      </c>
      <c r="E1017" s="282" t="str">
        <f t="shared" si="13"/>
        <v/>
      </c>
    </row>
    <row r="1018" spans="1:5">
      <c r="A1018" s="286" t="s">
        <v>244</v>
      </c>
      <c r="B1018" s="286" t="s">
        <v>221</v>
      </c>
      <c r="C1018" s="280" t="s">
        <v>2302</v>
      </c>
      <c r="D1018" s="281" t="str">
        <f t="shared" si="12"/>
        <v/>
      </c>
      <c r="E1018" s="282" t="str">
        <f t="shared" si="13"/>
        <v/>
      </c>
    </row>
    <row r="1019" spans="1:5">
      <c r="A1019" s="286" t="s">
        <v>244</v>
      </c>
      <c r="B1019" s="286" t="s">
        <v>221</v>
      </c>
      <c r="C1019" s="280" t="s">
        <v>2302</v>
      </c>
      <c r="D1019" s="281" t="str">
        <f t="shared" si="12"/>
        <v/>
      </c>
      <c r="E1019" s="282" t="str">
        <f t="shared" si="13"/>
        <v/>
      </c>
    </row>
    <row r="1020" spans="1:5">
      <c r="A1020" s="286" t="s">
        <v>244</v>
      </c>
      <c r="B1020" s="286" t="s">
        <v>221</v>
      </c>
      <c r="C1020" s="280" t="s">
        <v>2</v>
      </c>
      <c r="D1020" s="281" t="str">
        <f t="shared" si="12"/>
        <v/>
      </c>
      <c r="E1020" s="282" t="str">
        <f t="shared" si="13"/>
        <v/>
      </c>
    </row>
    <row r="1021" spans="1:5">
      <c r="A1021" s="286" t="s">
        <v>244</v>
      </c>
      <c r="B1021" s="286" t="s">
        <v>221</v>
      </c>
      <c r="C1021" s="280" t="s">
        <v>2302</v>
      </c>
      <c r="D1021" s="281" t="str">
        <f t="shared" si="12"/>
        <v/>
      </c>
      <c r="E1021" s="282" t="str">
        <f t="shared" si="13"/>
        <v/>
      </c>
    </row>
    <row r="1022" spans="1:5">
      <c r="A1022" s="286" t="s">
        <v>220</v>
      </c>
      <c r="B1022" s="286" t="s">
        <v>221</v>
      </c>
      <c r="C1022" s="280" t="s">
        <v>2302</v>
      </c>
      <c r="D1022" s="281" t="str">
        <f t="shared" si="12"/>
        <v/>
      </c>
      <c r="E1022" s="282" t="str">
        <f t="shared" si="13"/>
        <v/>
      </c>
    </row>
    <row r="1023" spans="1:5">
      <c r="A1023" s="286" t="s">
        <v>244</v>
      </c>
      <c r="B1023" s="286" t="s">
        <v>221</v>
      </c>
      <c r="C1023" s="280" t="s">
        <v>2302</v>
      </c>
      <c r="D1023" s="281" t="str">
        <f t="shared" si="12"/>
        <v/>
      </c>
      <c r="E1023" s="282" t="str">
        <f t="shared" si="13"/>
        <v/>
      </c>
    </row>
  </sheetData>
  <autoFilter ref="A3:XFD1023" xr:uid="{E5BDAF91-7F01-45A0-BFC9-D1719D9D0BD1}">
    <filterColumn colId="5">
      <filters blank="1">
        <dateGroupItem year="2026" dateTimeGrouping="year"/>
        <dateGroupItem year="2025" month="8" dateTimeGrouping="month"/>
        <dateGroupItem year="2025" month="9" dateTimeGrouping="month"/>
        <dateGroupItem year="2025" month="10" dateTimeGrouping="month"/>
        <dateGroupItem year="2025" month="11" dateTimeGrouping="month"/>
        <dateGroupItem year="2025" month="12" dateTimeGrouping="month"/>
      </filters>
    </filterColumn>
    <sortState xmlns:xlrd2="http://schemas.microsoft.com/office/spreadsheetml/2017/richdata2" ref="A4:XFD885">
      <sortCondition ref="F3:F885"/>
    </sortState>
  </autoFilter>
  <mergeCells count="9">
    <mergeCell ref="AS1:AY1"/>
    <mergeCell ref="AZ1:BA1"/>
    <mergeCell ref="BB1:BC1"/>
    <mergeCell ref="A2:G2"/>
    <mergeCell ref="S2:U2"/>
    <mergeCell ref="V1:AB1"/>
    <mergeCell ref="AC1:AK1"/>
    <mergeCell ref="AM1:AR1"/>
    <mergeCell ref="Q2:R2"/>
  </mergeCells>
  <hyperlinks>
    <hyperlink ref="L4" r:id="rId1" xr:uid="{76602136-BD33-4BD6-8651-B3A700C2C127}"/>
    <hyperlink ref="L8" r:id="rId2" xr:uid="{BC5E940C-3A3A-46FF-99FF-8ED74D8D3B06}"/>
    <hyperlink ref="L9" r:id="rId3" xr:uid="{41045F23-5E65-468C-9E99-5E1D050E3651}"/>
    <hyperlink ref="L5" r:id="rId4" xr:uid="{2845EB64-5E02-4870-BE1A-CC52A37F2F71}"/>
    <hyperlink ref="L7" r:id="rId5" xr:uid="{5DBB4B12-0B5D-4B14-B7E0-1C3F5EBF4628}"/>
    <hyperlink ref="L6" r:id="rId6" xr:uid="{6B667DFC-A1D3-4255-86EA-5A7612CC644D}"/>
    <hyperlink ref="L11" r:id="rId7" xr:uid="{3349A894-6D9D-4107-AB5E-503BDFBD2AD4}"/>
    <hyperlink ref="L12" r:id="rId8" xr:uid="{34C9B19D-EC05-4CBF-9B7D-328C58587D9B}"/>
    <hyperlink ref="L10" r:id="rId9" xr:uid="{04D19354-99F7-4AFD-851B-6D337D4E328C}"/>
    <hyperlink ref="L14" r:id="rId10" xr:uid="{36FA17E2-42CC-4CDC-84FB-6A7096685402}"/>
    <hyperlink ref="L15" r:id="rId11" xr:uid="{94AE713F-E733-43E8-8984-1FB4C1C088B6}"/>
    <hyperlink ref="L13" r:id="rId12" xr:uid="{C15AF0DB-1348-48CC-85A7-DBD4ED1C82C5}"/>
    <hyperlink ref="L66" r:id="rId13" xr:uid="{4AD1101C-DF3A-472F-B88D-81FA4CF56F80}"/>
    <hyperlink ref="L17" r:id="rId14" xr:uid="{7C4421E0-8B55-403D-8CE4-A44B7AA5798E}"/>
    <hyperlink ref="L18" r:id="rId15" xr:uid="{C69A4A29-117B-4674-83CE-0800E13FE099}"/>
    <hyperlink ref="L19" r:id="rId16" xr:uid="{7DA82EA0-32DF-4D7F-9DE4-01523D9118CF}"/>
    <hyperlink ref="L20" r:id="rId17" xr:uid="{9F608A13-19B1-4777-B235-F66F5D8B2502}"/>
    <hyperlink ref="L21" r:id="rId18" xr:uid="{E8CCA909-C088-4862-B796-6B42D6FF2297}"/>
    <hyperlink ref="L22" r:id="rId19" xr:uid="{4CB0AA2A-BF79-4D53-B967-347C53FAC8B7}"/>
    <hyperlink ref="L25" r:id="rId20" xr:uid="{5CE98E5C-3639-4321-9641-1CF910AD8EFC}"/>
    <hyperlink ref="L23" r:id="rId21" xr:uid="{C10D3DDC-88E2-4A01-BDD9-6AC5F4186ACB}"/>
    <hyperlink ref="L24" r:id="rId22" xr:uid="{312B5B41-2D7B-434D-AD68-14017A00F044}"/>
    <hyperlink ref="L26" r:id="rId23" xr:uid="{59DF8E8B-4223-4973-9377-B7D7F98A850E}"/>
    <hyperlink ref="L27" r:id="rId24" xr:uid="{BBAF6877-5EEA-47FA-8444-FA944924AC20}"/>
    <hyperlink ref="L28" r:id="rId25" xr:uid="{4688B5A5-6DB6-4ABE-B542-6C43CFDEF146}"/>
    <hyperlink ref="L29" r:id="rId26" xr:uid="{7F47E908-91A3-4BA5-923C-ED77147A9D36}"/>
    <hyperlink ref="L30" r:id="rId27" xr:uid="{EDBD85F9-06D2-4097-9ABE-1EBA7C5E4251}"/>
    <hyperlink ref="L31" r:id="rId28" xr:uid="{E477AE5F-0284-4B81-93E2-8EB7066BFD27}"/>
    <hyperlink ref="L34" r:id="rId29" xr:uid="{79686A5B-C675-4F79-834D-898307E94AE5}"/>
    <hyperlink ref="L35" r:id="rId30" xr:uid="{65FAEF7F-0238-4EA2-8C43-AA2CE1E48356}"/>
    <hyperlink ref="L37" r:id="rId31" xr:uid="{30FAFA72-E318-4E47-82FB-65D9D969AE87}"/>
    <hyperlink ref="L67" r:id="rId32" xr:uid="{0E14FFD7-5C70-4A4E-B6CD-584D583E5841}"/>
    <hyperlink ref="L38" r:id="rId33" xr:uid="{B11D6A45-D3AF-4BD1-A4D1-EEB02EFBD1A4}"/>
    <hyperlink ref="L68" r:id="rId34" xr:uid="{8E3D32BF-B4C0-4296-A132-BF1EB52893A1}"/>
    <hyperlink ref="L59" r:id="rId35" xr:uid="{7FFFCB0D-1ACB-429B-BEF4-F100CC342A46}"/>
    <hyperlink ref="L39" r:id="rId36" xr:uid="{B26137DA-C27C-4136-A03E-73FCDCE4C225}"/>
    <hyperlink ref="L36" r:id="rId37" xr:uid="{C4FF17E1-D5CB-44ED-9C9D-17E8EB51440B}"/>
    <hyperlink ref="L40" r:id="rId38" xr:uid="{51F949E1-417B-4F05-9444-D1BAAD6FC119}"/>
    <hyperlink ref="L41" r:id="rId39" xr:uid="{E021BC61-D466-4152-A3B2-2ABCF6FA5E4D}"/>
    <hyperlink ref="L42" r:id="rId40" xr:uid="{BA9F6684-E19D-4119-AF3D-7145319861F8}"/>
    <hyperlink ref="L43" r:id="rId41" xr:uid="{4CC4EF1C-D8F3-48EE-B5F8-28E45CD50E64}"/>
    <hyperlink ref="L44" r:id="rId42" xr:uid="{1035213E-DBB5-4BAC-BCD4-32ED54EEB4B7}"/>
    <hyperlink ref="L45" r:id="rId43" xr:uid="{391B04D3-CF21-4CB1-8558-91A13250D170}"/>
    <hyperlink ref="L47" r:id="rId44" xr:uid="{0C7F36A7-A7C8-47C2-829B-5FE5383B36F7}"/>
    <hyperlink ref="L49" r:id="rId45" xr:uid="{43DBC4FA-3582-4DF6-87AE-CBC474823E03}"/>
    <hyperlink ref="L48" r:id="rId46" xr:uid="{FEEBDB0E-48A9-4769-AAC1-5107DFC4C1F2}"/>
    <hyperlink ref="L50" r:id="rId47" xr:uid="{F31EBC9C-151E-4977-84B9-0B83F1E395CD}"/>
    <hyperlink ref="L52" r:id="rId48" xr:uid="{7437B5AA-4159-4450-BD71-8D78A99A35A6}"/>
    <hyperlink ref="L51" r:id="rId49" xr:uid="{CD6CF209-5C2A-4657-A3CF-7937FA1283A2}"/>
    <hyperlink ref="L53" r:id="rId50" xr:uid="{F3D70122-3165-4911-A652-F742DF351116}"/>
    <hyperlink ref="L56" r:id="rId51" xr:uid="{EC702D63-ACB6-4CF1-A127-73C13CD8D147}"/>
    <hyperlink ref="L54" r:id="rId52" xr:uid="{D1C68425-4E2B-4709-9784-C9458E6369D4}"/>
    <hyperlink ref="L61" r:id="rId53" xr:uid="{D50E2CBF-3129-4900-8F93-8878C4933CEF}"/>
    <hyperlink ref="L60" r:id="rId54" xr:uid="{8E16612B-71FF-45FF-A42D-18929BD02FD1}"/>
    <hyperlink ref="L63" r:id="rId55" xr:uid="{EA2183CF-32F6-4D0B-89AB-C0B4E9DAF740}"/>
    <hyperlink ref="L72" r:id="rId56" xr:uid="{EC9E4838-ACE2-4D0A-8185-D66A0E9C6653}"/>
    <hyperlink ref="L75" r:id="rId57" xr:uid="{E7F58E01-CE7A-44B5-B046-F2D5F04DD35D}"/>
    <hyperlink ref="L62" r:id="rId58" xr:uid="{5A2F368E-CBBC-4670-A999-99D545AC5946}"/>
    <hyperlink ref="L76" r:id="rId59" xr:uid="{D1C02D79-2DEE-406C-B038-8363340366D6}"/>
    <hyperlink ref="L80" r:id="rId60" xr:uid="{A2D9084E-8A25-4DFF-A709-A0C54FB301C8}"/>
    <hyperlink ref="L64" r:id="rId61" xr:uid="{DA93D398-A2EC-4946-BF25-C774D79EF7AA}"/>
    <hyperlink ref="L78" r:id="rId62" xr:uid="{6116DD5A-4C8F-450D-AF3F-FA5E703A9029}"/>
    <hyperlink ref="L83" r:id="rId63" xr:uid="{DEF3096F-6D2A-4382-B928-31219919A18B}"/>
    <hyperlink ref="L86" r:id="rId64" xr:uid="{1EC5211B-B5A9-47A0-A658-7D6D18315699}"/>
    <hyperlink ref="L89" r:id="rId65" xr:uid="{C9537FEE-3807-4C2B-9B5E-B4943037AF41}"/>
    <hyperlink ref="L91" r:id="rId66" xr:uid="{BF3F5630-B756-4168-BD87-BBA681470DF8}"/>
    <hyperlink ref="L93" r:id="rId67" xr:uid="{181BED08-429C-4667-BEB0-892E1FF7DDA0}"/>
    <hyperlink ref="L94" r:id="rId68" xr:uid="{53038E48-01A6-4817-B1C7-D594B97E5011}"/>
    <hyperlink ref="L97" r:id="rId69" xr:uid="{72CAB803-5BC0-4144-A5D4-45A948243BC0}"/>
    <hyperlink ref="L98" r:id="rId70" xr:uid="{BC1CC12E-B331-4B60-A926-BA84042AAEE8}"/>
    <hyperlink ref="L99" r:id="rId71" xr:uid="{E0CD8AD3-987B-4BF2-98C2-AE54D196D03A}"/>
    <hyperlink ref="L100" r:id="rId72" xr:uid="{E26D6647-8E68-4AB1-B699-7E780F3940F3}"/>
    <hyperlink ref="L102" r:id="rId73" xr:uid="{4BA65F47-F947-485C-9299-4FF4D4137C4E}"/>
    <hyperlink ref="L105" r:id="rId74" xr:uid="{81173B04-98E6-4F80-A153-A580585B01FF}"/>
    <hyperlink ref="L108" r:id="rId75" xr:uid="{545E80C4-B972-46F3-BC00-2926699BEDA5}"/>
    <hyperlink ref="L106" r:id="rId76" xr:uid="{7A723336-FB3C-4744-8A7E-8F31646ACC64}"/>
    <hyperlink ref="L107" r:id="rId77" xr:uid="{7F8E9EAD-3FA6-4CFE-8E08-E9A3678414B0}"/>
    <hyperlink ref="L109" r:id="rId78" xr:uid="{5E45D1D6-A282-465F-B2D3-BAA07B8A5935}"/>
    <hyperlink ref="L112" r:id="rId79" xr:uid="{934820CE-D708-44E5-BBBB-BF56433EEFF5}"/>
    <hyperlink ref="L113" r:id="rId80" xr:uid="{0791B0C2-2D6E-4A65-A8B6-C61E5E26BC4F}"/>
    <hyperlink ref="L114" r:id="rId81" xr:uid="{D7F38ECD-141C-4341-9D92-F5C2C9E9A63D}"/>
    <hyperlink ref="L116" r:id="rId82" xr:uid="{50681F0F-33F8-4AA3-9F3D-01ECAB7A99C4}"/>
    <hyperlink ref="L117" r:id="rId83" xr:uid="{0B422550-5EAD-4B42-B0EF-46F5CBFD0517}"/>
    <hyperlink ref="L120" r:id="rId84" xr:uid="{86D4F073-5B78-4B97-A365-9B7D2421167A}"/>
    <hyperlink ref="L121" r:id="rId85" xr:uid="{014EED3E-1F6C-4B75-BF25-71D1BCEE2CC0}"/>
    <hyperlink ref="L122" r:id="rId86" xr:uid="{A3FB7D6B-20D7-4912-BC2B-4A30F25CFBD8}"/>
    <hyperlink ref="L119" r:id="rId87" xr:uid="{29C02B0A-436F-4564-86B9-EE069DE801AC}"/>
    <hyperlink ref="L125" r:id="rId88" xr:uid="{C5812E55-32D0-4CC5-B2C1-0BF3EA9A7791}"/>
    <hyperlink ref="L126" r:id="rId89" xr:uid="{FA2FAE35-49CE-453B-8AA6-56B8CA74579B}"/>
    <hyperlink ref="L128" r:id="rId90" xr:uid="{EE9925B5-AFF8-4870-90CE-C0E819DA3C96}"/>
    <hyperlink ref="L130" r:id="rId91" xr:uid="{55308837-7B81-421B-9AC3-08F21A8D5A27}"/>
    <hyperlink ref="L133" r:id="rId92" xr:uid="{22DE997C-7205-447F-AA4B-7F33D54E7946}"/>
    <hyperlink ref="L134" r:id="rId93" xr:uid="{997832FA-F58F-4658-A1D3-2FA6FE598BB6}"/>
    <hyperlink ref="L140" r:id="rId94" xr:uid="{EA277832-8CE4-49ED-9DCA-924790AAEFD9}"/>
    <hyperlink ref="L142" r:id="rId95" xr:uid="{3B294686-4A89-412A-B9A9-62EED0F5BADC}"/>
    <hyperlink ref="L147" r:id="rId96" xr:uid="{DCE99AB0-45BB-465E-A93D-1F48F1052150}"/>
    <hyperlink ref="L148" r:id="rId97" xr:uid="{7C5EDDDC-A2CC-4F63-A3E1-CE4E980AE0B3}"/>
    <hyperlink ref="L145" r:id="rId98" xr:uid="{4DD543D0-FF05-4B98-8736-BF96DAF602C1}"/>
    <hyperlink ref="L144" r:id="rId99" xr:uid="{FE308B45-C69C-4044-8611-2CC1352999E5}"/>
    <hyperlink ref="L150" r:id="rId100" xr:uid="{932BE431-B337-4254-B51C-0E28B7EE259B}"/>
    <hyperlink ref="L143" r:id="rId101" xr:uid="{B47CC0C0-6B7A-4054-ACC7-74E21A2E2BE1}"/>
    <hyperlink ref="L159" r:id="rId102" xr:uid="{49676471-D2CC-48FE-BD3D-500E9C1C6037}"/>
    <hyperlink ref="L154" r:id="rId103" xr:uid="{6556A335-1B63-4823-AB67-9AF6D50D3CEE}"/>
    <hyperlink ref="L157" r:id="rId104" xr:uid="{5129850F-4722-4ECC-ACCF-C26E65B6ECD4}"/>
    <hyperlink ref="L156" r:id="rId105" xr:uid="{133207BB-1603-4761-9908-DB5CB8CE2B7F}"/>
    <hyperlink ref="L155" r:id="rId106" xr:uid="{087FEE3F-D4BB-4CA0-A3EC-F45C435EE5D4}"/>
    <hyperlink ref="O156" r:id="rId107" xr:uid="{DCFF4C0D-CFD2-4DE1-8BDF-AE52F98A4CDB}"/>
    <hyperlink ref="O157" r:id="rId108" xr:uid="{48778872-F6A4-45E9-AB0D-5A750A38C895}"/>
    <hyperlink ref="O144" r:id="rId109" xr:uid="{6812CCCE-198D-49D2-9BE1-BA1E64D99FA7}"/>
    <hyperlink ref="O145" r:id="rId110" xr:uid="{4FC39236-2917-4058-9DD2-72BFBB94747B}"/>
    <hyperlink ref="O159" r:id="rId111" xr:uid="{2E31F548-39DA-46A5-BFC4-968CF0D77680}"/>
    <hyperlink ref="O146" r:id="rId112" xr:uid="{D49965CF-5B70-4CBD-9039-7779297EB6D7}"/>
    <hyperlink ref="O142" r:id="rId113" xr:uid="{198D1D65-AE2C-4E07-B6AC-C68A35BF2C66}"/>
    <hyperlink ref="O148" r:id="rId114" xr:uid="{816F2B64-6826-4DA2-8D8C-A78D2529E13B}"/>
    <hyperlink ref="O147" r:id="rId115" xr:uid="{4076B137-4A58-45FC-B32A-C4E8947907FC}"/>
    <hyperlink ref="O154" r:id="rId116" xr:uid="{6BC0435F-81E3-485D-83B4-D466C5A740B7}"/>
    <hyperlink ref="O155" r:id="rId117" xr:uid="{786EE700-2158-4001-9E94-3D4F5B0E0246}"/>
    <hyperlink ref="O128" r:id="rId118" xr:uid="{E359D0FA-5733-41D7-BF4C-2E6ABF16BFE3}"/>
    <hyperlink ref="O100" r:id="rId119" xr:uid="{E7EFCBA1-FC02-4F42-B01B-BC6A36560AF7}"/>
    <hyperlink ref="O105" r:id="rId120" xr:uid="{6EB8B499-7208-4DB2-B2C4-350EBF8230B4}"/>
    <hyperlink ref="O106" r:id="rId121" xr:uid="{443725F3-7943-4FA0-9E90-405CEA611CAF}"/>
    <hyperlink ref="O158" r:id="rId122" xr:uid="{34D29122-EDB2-4CC3-8F2F-0C3870AC4DF8}"/>
    <hyperlink ref="O126" r:id="rId123" xr:uid="{05C31728-82F6-4CAD-95DA-2A3391A73314}"/>
    <hyperlink ref="O119" r:id="rId124" xr:uid="{E754DA8D-F451-48E3-B445-E2961836320D}"/>
    <hyperlink ref="O108" r:id="rId125" xr:uid="{A9FB3056-8620-4F1E-AE50-E9C6BA2FA442}"/>
    <hyperlink ref="O89" r:id="rId126" xr:uid="{FBFC377E-BD2B-4C51-8C98-7E45465F6CDE}"/>
    <hyperlink ref="O117" r:id="rId127" xr:uid="{28651597-0262-42D4-8DC5-8738DD74C684}"/>
    <hyperlink ref="O116" r:id="rId128" xr:uid="{5C1B53D1-952F-411A-88D7-1BA7A18CD3D4}"/>
    <hyperlink ref="L164" r:id="rId129" xr:uid="{59EAF6AA-F847-48CE-8079-BCD8E5C4D082}"/>
    <hyperlink ref="L165" r:id="rId130" xr:uid="{E69BFFE2-CFF6-4EA8-BEEE-3833B103BD7E}"/>
    <hyperlink ref="O164" r:id="rId131" xr:uid="{0E60A5DD-7A66-41AD-9A27-CB4B8FB5307B}"/>
    <hyperlink ref="L169" r:id="rId132" xr:uid="{E11C0B24-AB3C-47EA-8763-1F82AEB36833}"/>
    <hyperlink ref="L170" r:id="rId133" xr:uid="{096BE793-6A71-41EF-A9A8-D8AC0C9FC7B4}"/>
    <hyperlink ref="O169" r:id="rId134" xr:uid="{DA539ECC-F8C6-410A-BE5C-EB8AE1491B2D}"/>
    <hyperlink ref="L172" r:id="rId135" xr:uid="{E488EEA6-596B-44EC-99B6-9F5155F0C397}"/>
    <hyperlink ref="L171" r:id="rId136" xr:uid="{E38C9AD5-7968-4128-A559-ED9BC189F59A}"/>
    <hyperlink ref="L173" r:id="rId137" xr:uid="{810F9A1B-964C-4D4E-9C0D-6C5D38ACA69F}"/>
    <hyperlink ref="L174" r:id="rId138" xr:uid="{85434289-CBB4-4CE3-AF66-5513126E9341}"/>
    <hyperlink ref="L175" r:id="rId139" xr:uid="{4BD68E35-AE51-4064-8749-C9D0C60E9ECC}"/>
    <hyperlink ref="O143" r:id="rId140" xr:uid="{461C713B-CA72-422A-BFC7-D9E7A5B0DEB0}"/>
    <hyperlink ref="O165" r:id="rId141" xr:uid="{4F22B64D-234D-424F-80D2-3812A69F2E20}"/>
    <hyperlink ref="O170" r:id="rId142" xr:uid="{681A4D72-CE58-44B0-BD6F-03AC9033E2B8}"/>
    <hyperlink ref="O171" r:id="rId143" xr:uid="{BB48CD6B-A4B3-45D7-A14E-4B939A05577B}"/>
    <hyperlink ref="O174" r:id="rId144" xr:uid="{06ECB360-6276-43D6-8001-4E3FAF241FE4}"/>
    <hyperlink ref="O173" r:id="rId145" xr:uid="{49CB0C51-D6DB-41D4-A90D-842E05D845BC}"/>
    <hyperlink ref="O175" r:id="rId146" xr:uid="{8517EF62-2566-4606-A399-4CE11FACC3E7}"/>
    <hyperlink ref="O172" r:id="rId147" xr:uid="{AA344B89-F657-494B-BF5D-F8412D85BFE7}"/>
    <hyperlink ref="L179" r:id="rId148" xr:uid="{12971B4D-C8A5-4144-A745-50F3868B7267}"/>
    <hyperlink ref="L181" r:id="rId149" xr:uid="{B6D0BC3C-041F-40F3-AFF6-78AA919DA887}"/>
    <hyperlink ref="L180" r:id="rId150" xr:uid="{73BD19FE-0163-4C82-B9F4-B5C2CDE72EA6}"/>
    <hyperlink ref="L183" r:id="rId151" xr:uid="{C181CFC9-D9E1-49B9-A2E5-3149C6B8A04B}"/>
    <hyperlink ref="L185" r:id="rId152" xr:uid="{46CD6431-967E-49A0-B6AC-6AEAB52570CB}"/>
    <hyperlink ref="L186" r:id="rId153" xr:uid="{AEC72070-BFCE-4426-8462-B2B0B8597889}"/>
    <hyperlink ref="O181" r:id="rId154" xr:uid="{9116530F-9DFB-445A-8AEE-2A5CF0335AFA}"/>
    <hyperlink ref="O186" r:id="rId155" xr:uid="{A6E931F3-65FE-4998-8355-ACCB775BCCD7}"/>
    <hyperlink ref="O185" r:id="rId156" xr:uid="{0E58DD5C-4A0B-423C-B140-8C87798E8CFD}"/>
    <hyperlink ref="O180" r:id="rId157" xr:uid="{94B5C8B0-B5D7-4EB5-B2DC-80850867FBAC}"/>
    <hyperlink ref="O179" r:id="rId158" xr:uid="{FF70ED39-F163-46E9-BF56-FD8E960ADB9A}"/>
    <hyperlink ref="O178" r:id="rId159" xr:uid="{51C69462-5E85-47F7-B0F8-77C2BC2C8DEC}"/>
    <hyperlink ref="O150" r:id="rId160" xr:uid="{08C4EB8E-5665-48B9-97D7-BC92AFB60C1F}"/>
    <hyperlink ref="L193" r:id="rId161" xr:uid="{DFC94ADA-6E34-471F-8DC9-9611FDA87CC8}"/>
    <hyperlink ref="L192" r:id="rId162" xr:uid="{D7E0CACF-1E5E-4F4F-90D6-D8D0DC28079B}"/>
    <hyperlink ref="L189" r:id="rId163" xr:uid="{42D6AA03-BC99-489F-93DD-4976F3F3905D}"/>
    <hyperlink ref="L191" r:id="rId164" xr:uid="{B7122EDD-837F-4306-B187-809802D86507}"/>
    <hyperlink ref="L190" r:id="rId165" xr:uid="{C190512E-826A-43F9-8A07-A094C128470A}"/>
    <hyperlink ref="L194" r:id="rId166" xr:uid="{C2A42180-795F-46FB-A27A-1045E2F06313}"/>
    <hyperlink ref="L195" r:id="rId167" xr:uid="{6C30C0DF-93A9-4C3D-8501-FF46683DDCD2}"/>
    <hyperlink ref="L198" r:id="rId168" xr:uid="{0A00591D-0071-4238-8434-C4989DA268B4}"/>
    <hyperlink ref="O189" r:id="rId169" xr:uid="{AC21B4BD-E948-45D0-98EB-BC6033B64FAE}"/>
    <hyperlink ref="O194" r:id="rId170" xr:uid="{4F69463B-53D7-4CF1-80AC-EF3A16FE05F1}"/>
    <hyperlink ref="O198" r:id="rId171" xr:uid="{5104A0CD-7B61-451E-BEDE-AA793DDBD674}"/>
    <hyperlink ref="O192" r:id="rId172" xr:uid="{457F8EE9-8C79-49B6-9B28-424ED118A3AF}"/>
    <hyperlink ref="O191" r:id="rId173" xr:uid="{65DFB771-759F-4C46-B393-57176C0BC9A3}"/>
    <hyperlink ref="O195" r:id="rId174" xr:uid="{5ABFBCC0-4DA1-4E31-966A-EBFD6CDB87CB}"/>
    <hyperlink ref="O193" r:id="rId175" xr:uid="{7AC0194B-6358-4B1F-B019-2FC1D32B1940}"/>
    <hyperlink ref="O67" r:id="rId176" xr:uid="{3C7EA40C-7CD0-4BAE-8EBC-933976316205}"/>
    <hyperlink ref="O68" r:id="rId177" xr:uid="{5A2E944A-377D-4D93-8E7C-3ECFC1BE0D25}"/>
    <hyperlink ref="L201" r:id="rId178" xr:uid="{921CF485-1FC6-4446-BF6F-934B6F6F5EE3}"/>
    <hyperlink ref="L196" r:id="rId179" xr:uid="{DFF9518F-DD9E-4673-A8D4-F41347ABD142}"/>
    <hyperlink ref="L200" r:id="rId180" xr:uid="{8FCB818F-8F1B-4E40-9420-DD9438E70247}"/>
    <hyperlink ref="L202" r:id="rId181" xr:uid="{840BAD06-32F4-4D8A-8AB3-37C311E7BE3A}"/>
    <hyperlink ref="L204" r:id="rId182" xr:uid="{F6BA71B2-D133-485D-A78D-F3EECBD44AC0}"/>
    <hyperlink ref="L203" r:id="rId183" xr:uid="{7F2DEEBE-6E81-460D-ADBF-F6248289DEB7}"/>
    <hyperlink ref="O200" r:id="rId184" xr:uid="{1447290E-4E57-427E-ABFD-CE1975C09486}"/>
    <hyperlink ref="O202" r:id="rId185" xr:uid="{A851F72C-EB5B-4CBF-9FD3-5F9B70172EF1}"/>
    <hyperlink ref="O203" r:id="rId186" xr:uid="{AAE47B45-2FBC-4E46-8ABC-221F63DB5373}"/>
    <hyperlink ref="O196" r:id="rId187" xr:uid="{62CC1D6A-AAC8-4E9A-B8AA-526456CFF572}"/>
    <hyperlink ref="O205" r:id="rId188" xr:uid="{89DD0D9C-C226-432B-838F-85CF969BE88B}"/>
    <hyperlink ref="O204" r:id="rId189" xr:uid="{CA90F574-C319-4B3D-AB9C-CFF665BCAA7D}"/>
    <hyperlink ref="O201" r:id="rId190" xr:uid="{39A735A4-AFAD-49AF-92F7-0FFA4108E0C1}"/>
    <hyperlink ref="L199" r:id="rId191" xr:uid="{A5B44804-3B2B-466A-BFD9-9545C0862572}"/>
    <hyperlink ref="L206" r:id="rId192" xr:uid="{9E553D42-28B5-4A5C-B567-FF60C812E3CA}"/>
    <hyperlink ref="O199" r:id="rId193" xr:uid="{9F88122C-A89D-4366-B82F-6D2DF119BF06}"/>
    <hyperlink ref="O183" r:id="rId194" xr:uid="{A24AAF41-E72D-49E0-917F-A9CFC72CCAEE}"/>
    <hyperlink ref="O190" r:id="rId195" xr:uid="{8110A31A-27B8-48F6-96CD-0CD37AF7B8F9}"/>
    <hyperlink ref="L209" r:id="rId196" xr:uid="{F3557C4F-7100-490D-BF25-92161F409071}"/>
    <hyperlink ref="L207" r:id="rId197" xr:uid="{F89422AE-336E-408B-8579-CFA123BD6D22}"/>
    <hyperlink ref="L214" r:id="rId198" xr:uid="{01B6760A-41B5-4973-A1C0-55A5F09D4750}"/>
    <hyperlink ref="L215" r:id="rId199" xr:uid="{6B750FCC-D213-435C-BF54-A6F202FC100E}"/>
    <hyperlink ref="L218" r:id="rId200" xr:uid="{26A5228F-E792-4F2F-8627-5A48E82C7185}"/>
    <hyperlink ref="O209" r:id="rId201" xr:uid="{ECEBC87F-28DD-4281-80E4-753A6E2B28E8}"/>
    <hyperlink ref="O207" r:id="rId202" xr:uid="{1C4248F1-E33C-4745-8BEB-71B49CC4B5C4}"/>
    <hyperlink ref="O208" r:id="rId203" xr:uid="{753451D7-A1F5-46F1-99BA-D0705FF73CBB}"/>
    <hyperlink ref="O206" r:id="rId204" xr:uid="{579E8A59-F05E-42EB-976C-F37C2F12881F}"/>
    <hyperlink ref="O211" r:id="rId205" xr:uid="{08B00EBF-10BA-4D34-866C-55FCAE9147D6}"/>
    <hyperlink ref="O210" r:id="rId206" xr:uid="{9EA45BE4-2FE6-4E23-949C-6591313CDEE9}"/>
    <hyperlink ref="O213" r:id="rId207" xr:uid="{047F52C9-BF18-4072-A913-EDDE4A388882}"/>
    <hyperlink ref="O214" r:id="rId208" xr:uid="{F6A6F525-342F-4534-8052-A1A705F9C603}"/>
    <hyperlink ref="O215" r:id="rId209" xr:uid="{8CCECE80-9DB4-45C7-9B54-7BA457194C8B}"/>
    <hyperlink ref="L221" r:id="rId210" xr:uid="{101C64C4-5C8F-4F43-A966-24CFA3E99B24}"/>
    <hyperlink ref="L222" r:id="rId211" xr:uid="{E7E206EA-6445-47AF-8089-637220DDB51C}"/>
    <hyperlink ref="L219" r:id="rId212" xr:uid="{7A441350-AD04-43A9-8939-C165FC583CCA}"/>
    <hyperlink ref="O218" r:id="rId213" xr:uid="{6DEC11D1-AE41-465F-973B-39BFCE3FD817}"/>
    <hyperlink ref="O221" r:id="rId214" xr:uid="{B464624D-71CB-419B-9B78-66804BF2CF4A}"/>
    <hyperlink ref="L208" r:id="rId215" xr:uid="{CE4C6E04-799C-41A8-9354-F8DF1529129A}"/>
    <hyperlink ref="L210" r:id="rId216" xr:uid="{C2366CB8-F36E-4E33-9DED-7DE65E804A78}"/>
    <hyperlink ref="L212" r:id="rId217" xr:uid="{DCC56173-01E0-439A-A673-34090E9156AE}"/>
    <hyperlink ref="L213" r:id="rId218" xr:uid="{E5057626-4763-4C98-A2E8-403DE14CE7B9}"/>
    <hyperlink ref="L205" r:id="rId219" xr:uid="{C19D25AF-8FD2-49D3-9894-D949185E4FA4}"/>
    <hyperlink ref="O212" r:id="rId220" xr:uid="{F42FD179-AEFB-43F0-B23C-A20970289A76}"/>
    <hyperlink ref="O222" r:id="rId221" xr:uid="{CDE752F1-BDD7-4BC8-B1E4-864E96DC68A4}"/>
    <hyperlink ref="L231" r:id="rId222" xr:uid="{0D6B10DB-9630-4CD7-BD08-133E5B3FD3E1}"/>
    <hyperlink ref="L233" r:id="rId223" xr:uid="{1BD848F2-6203-4F23-B2B2-906B416DD86F}"/>
    <hyperlink ref="L235" r:id="rId224" xr:uid="{CB691412-DF94-4D15-B01B-84BC2E8C37B1}"/>
    <hyperlink ref="L234" r:id="rId225" xr:uid="{3A3C452D-0C2F-4AE6-AAA3-4E3AF7049DB5}"/>
    <hyperlink ref="L226" r:id="rId226" xr:uid="{E9830752-0C54-486F-A3F7-713A54AAC792}"/>
    <hyperlink ref="L224" r:id="rId227" xr:uid="{CD606B0E-4466-40BF-AECA-4A7DF77A86D3}"/>
    <hyperlink ref="L225" r:id="rId228" xr:uid="{004FA913-E1D4-4234-BF07-87CFC9A5CFE8}"/>
    <hyperlink ref="L230" r:id="rId229" xr:uid="{96429E6D-30A9-47F0-8A78-1EB89504EBC6}"/>
    <hyperlink ref="L229" r:id="rId230" xr:uid="{2EBE7177-6AA8-436B-8235-330B3340CFEA}"/>
    <hyperlink ref="L228" r:id="rId231" xr:uid="{E4C6B285-329B-4121-A262-7905F93A0FD8}"/>
    <hyperlink ref="L227" r:id="rId232" xr:uid="{554289A2-854E-4EDC-9F41-DEEA1FDDE42E}"/>
    <hyperlink ref="L239" r:id="rId233" xr:uid="{A48ED825-6500-4E5B-B3C7-7C2494490A2A}"/>
    <hyperlink ref="L232" r:id="rId234" xr:uid="{2F413584-B4F3-4589-A475-E1553F20EE7D}"/>
    <hyperlink ref="L236" r:id="rId235" xr:uid="{429E5F5C-C5C9-4CDF-A503-F207211E3C48}"/>
    <hyperlink ref="O224" r:id="rId236" xr:uid="{8404278D-6B0F-4985-AD9F-2EE6EA6FAC4E}"/>
    <hyperlink ref="O226" r:id="rId237" xr:uid="{6941EBC5-B3AD-456C-BE24-8E78BA3169D4}"/>
    <hyperlink ref="O225" r:id="rId238" xr:uid="{FB72FD83-FE1B-4FFB-8E41-072982E7C240}"/>
    <hyperlink ref="O228" r:id="rId239" xr:uid="{F868D99C-46B8-4322-BC2D-DCE23F6E8A54}"/>
    <hyperlink ref="O229" r:id="rId240" xr:uid="{65170C9C-86B8-408B-B123-B007A8F22005}"/>
    <hyperlink ref="O231" r:id="rId241" xr:uid="{A498C072-F7E5-4525-AE6D-BB7826664A14}"/>
    <hyperlink ref="O227" r:id="rId242" xr:uid="{42AB6E35-97B1-46B1-8ACF-7F7D55870456}"/>
    <hyperlink ref="O233" r:id="rId243" xr:uid="{A580057E-C638-4DAC-96F0-45D92F0B0E24}"/>
    <hyperlink ref="O219" r:id="rId244" xr:uid="{EA85F9EC-0F45-49DE-90EB-6611487D94CA}"/>
    <hyperlink ref="L245" r:id="rId245" xr:uid="{7057D577-5396-4A8E-A922-B57FC635417F}"/>
    <hyperlink ref="L247" r:id="rId246" xr:uid="{38B15455-F6DF-4202-95DA-25E161ACD9DE}"/>
    <hyperlink ref="L248" r:id="rId247" xr:uid="{A5F30C4B-768A-4A81-B8F1-3E1597E6759F}"/>
    <hyperlink ref="O243" r:id="rId248" xr:uid="{0E72FFB2-FDDE-40ED-BD89-BC1B2A9D0E1F}"/>
    <hyperlink ref="O247" r:id="rId249" xr:uid="{6E3264B2-068C-4786-93BB-741F958CA460}"/>
    <hyperlink ref="O234" r:id="rId250" xr:uid="{4D093346-328B-42B8-84CA-79F856CE9092}"/>
    <hyperlink ref="O239" r:id="rId251" xr:uid="{EC87D6BA-1C22-44A1-8C9E-B7ACE766611F}"/>
    <hyperlink ref="O236" r:id="rId252" xr:uid="{2E19AC99-B58F-410D-9075-B2682C24816F}"/>
    <hyperlink ref="O232" r:id="rId253" xr:uid="{EA9BEE65-AE6C-4897-A642-0CBCE389E934}"/>
    <hyperlink ref="O248" r:id="rId254" xr:uid="{65D0CAAD-1A6E-406F-9F74-7E12C2AC51D3}"/>
    <hyperlink ref="L244" r:id="rId255" xr:uid="{C60FE21D-B119-4C31-A019-926181BB2ACE}"/>
    <hyperlink ref="L243" r:id="rId256" xr:uid="{018FB395-AE31-4CC5-9733-BC756A1D53F1}"/>
    <hyperlink ref="L252" r:id="rId257" xr:uid="{E27AACFE-9FC9-49A4-9242-5047AEBD2056}"/>
    <hyperlink ref="L256" r:id="rId258" xr:uid="{DFFF72C8-B1B5-4662-928A-0F806981F63B}"/>
    <hyperlink ref="L257" r:id="rId259" xr:uid="{AC17D65E-96D6-465E-8AA6-B09B9B5EEBC4}"/>
    <hyperlink ref="L250" r:id="rId260" xr:uid="{258D424F-1A68-4A45-9ADD-9629CF47D0FC}"/>
    <hyperlink ref="L251" r:id="rId261" xr:uid="{B35205DD-55FF-4398-A492-BD03FD6E7546}"/>
    <hyperlink ref="L261" r:id="rId262" xr:uid="{A53FB66E-24B0-44DF-AF31-917972FDBFD6}"/>
    <hyperlink ref="O230" r:id="rId263" xr:uid="{A4DC5A64-A61B-4A12-B419-C73C185AFCBA}"/>
    <hyperlink ref="L260" r:id="rId264" xr:uid="{EE05BAF6-2F08-458C-B9A5-9EB4C6FD36C3}"/>
    <hyperlink ref="L263" r:id="rId265" xr:uid="{F695E5D6-5DE8-428B-8966-E1C34FBD95ED}"/>
    <hyperlink ref="L264" r:id="rId266" xr:uid="{AC6AE3FB-482E-4509-86B0-DA7C5F0E598D}"/>
    <hyperlink ref="O245" r:id="rId267" xr:uid="{6B7F0449-3555-4EED-86E2-12E359E48D7D}"/>
    <hyperlink ref="O251" r:id="rId268" xr:uid="{28A0A2A9-E89A-464F-9D7D-E1E99AF6E2DB}"/>
    <hyperlink ref="O257" r:id="rId269" xr:uid="{8473D16A-8FC2-4328-A0BF-5E43CC4E0981}"/>
    <hyperlink ref="O262" r:id="rId270" xr:uid="{7F5420E6-875C-48B1-A693-4ECEDDCCC37A}"/>
    <hyperlink ref="L267" r:id="rId271" xr:uid="{ED797142-AF7A-4E42-9182-BA2CECF559F9}"/>
    <hyperlink ref="O263" r:id="rId272" xr:uid="{B9DC44AB-5ADF-4C1A-917A-7E817DF13B52}"/>
    <hyperlink ref="O264" r:id="rId273" xr:uid="{781C166D-3010-4866-BB19-5141358451C2}"/>
    <hyperlink ref="L266" r:id="rId274" xr:uid="{25C23FD0-E1F4-4F4C-830A-108EFE1EDEF2}"/>
    <hyperlink ref="L270" r:id="rId275" xr:uid="{9D512C77-4662-4218-A4DE-580F53B7DA9C}"/>
    <hyperlink ref="L259" r:id="rId276" xr:uid="{6E1CF32A-0497-414F-9D67-B3CF668A4F52}"/>
    <hyperlink ref="O260" r:id="rId277" xr:uid="{82CDAFC9-0A5C-4601-A227-2E196C173461}"/>
    <hyperlink ref="O261" r:id="rId278" xr:uid="{ACF7BE81-3C2C-40F8-8D13-0B4348D37D4D}"/>
    <hyperlink ref="O258" r:id="rId279" xr:uid="{2E7E421E-6AF3-4C06-9C18-0DC0D588B4BF}"/>
    <hyperlink ref="O266" r:id="rId280" xr:uid="{23DC9F7D-ACCC-43DE-8FC5-5203B857A7FF}"/>
    <hyperlink ref="O252" r:id="rId281" xr:uid="{4E328359-9E0A-499F-A6DE-73F6C8E0ED92}"/>
    <hyperlink ref="O267" r:id="rId282" xr:uid="{0263AB25-789D-4B0C-98C6-F7372A7E23DF}"/>
    <hyperlink ref="L273" r:id="rId283" xr:uid="{7CBE7381-10EB-4DE5-AA58-7F654E41D434}"/>
    <hyperlink ref="L274" r:id="rId284" xr:uid="{4D1BA514-FEDF-4461-BAC0-CB16EEB29A81}"/>
    <hyperlink ref="L275" r:id="rId285" xr:uid="{BE8E1148-8075-41E5-AEC6-D7604F478BB7}"/>
    <hyperlink ref="O270" r:id="rId286" xr:uid="{57BC4AE3-15FD-422E-9FB0-1CF6FD49509B}"/>
    <hyperlink ref="O274" r:id="rId287" xr:uid="{FA30A7BC-3828-4141-A1C7-E6A3B220223F}"/>
    <hyperlink ref="L276" r:id="rId288" xr:uid="{B7B7D8A9-4110-440D-9C48-D878D4E410F4}"/>
    <hyperlink ref="L277" r:id="rId289" xr:uid="{46B911B7-8A90-4B33-8AB2-936F6959D7E4}"/>
    <hyperlink ref="O273" r:id="rId290" xr:uid="{924BC5E7-B6B6-46D4-8A77-480677F3C4DB}"/>
    <hyperlink ref="O275" r:id="rId291" xr:uid="{08EB346D-B971-4139-972A-93F12842B197}"/>
    <hyperlink ref="O277" r:id="rId292" xr:uid="{EEBD235B-C3D7-4EBC-ABDD-80EDEB8A36D8}"/>
    <hyperlink ref="O276" r:id="rId293" xr:uid="{A64BDB33-B6D5-4814-9C04-943CBBC48CB4}"/>
    <hyperlink ref="L279" r:id="rId294" xr:uid="{C41AAA3A-FD34-4429-80D6-1BF51A25B6D2}"/>
    <hyperlink ref="O278" r:id="rId295" xr:uid="{3F450F8D-7F7C-4014-8ABD-95C4690F9714}"/>
    <hyperlink ref="L278" r:id="rId296" xr:uid="{90F9271B-2A69-4270-9D0F-AB3FCAC7ED39}"/>
    <hyperlink ref="L281" r:id="rId297" xr:uid="{6A6E1C34-D5BB-4048-9178-EDD7F276EBE2}"/>
    <hyperlink ref="L282" r:id="rId298" xr:uid="{D16BC591-14AD-4018-8F31-E941AF5E684E}"/>
    <hyperlink ref="L283" r:id="rId299" xr:uid="{99ACAA5A-1252-4B7E-B9A8-1244E4BB8895}"/>
    <hyperlink ref="L284" r:id="rId300" xr:uid="{220BB768-CE30-4CDC-BBFC-8D9717F4204E}"/>
    <hyperlink ref="L285" r:id="rId301" xr:uid="{E6C9919A-268B-4C95-BC69-FC08E6A5EC8A}"/>
    <hyperlink ref="O279" r:id="rId302" xr:uid="{166F6761-632A-490A-A94E-8BF5DE873ACA}"/>
    <hyperlink ref="O282" r:id="rId303" xr:uid="{61B69F84-3846-459F-9069-4CFFEEE20BF9}"/>
    <hyperlink ref="O283" r:id="rId304" xr:uid="{A5711811-5CAA-4D3A-B27F-8FB9A76143D4}"/>
    <hyperlink ref="O284" r:id="rId305" xr:uid="{29029E3A-AF63-464E-80A5-530B7126D22A}"/>
    <hyperlink ref="O281" r:id="rId306" xr:uid="{E8C1C567-7856-49FA-9870-092514D895B2}"/>
    <hyperlink ref="L286" r:id="rId307" xr:uid="{1BC6C2E9-C3A6-4736-93F5-F9FE105F37D6}"/>
    <hyperlink ref="L287" r:id="rId308" xr:uid="{4A61F997-1875-4827-B71E-39294DFDB3AD}"/>
    <hyperlink ref="L288" r:id="rId309" xr:uid="{759C14F7-33FF-4380-976D-BBB5D33C2492}"/>
    <hyperlink ref="L292" r:id="rId310" xr:uid="{8360725A-316D-4BDC-9B53-357A305F2462}"/>
    <hyperlink ref="O286" r:id="rId311" xr:uid="{371F54EB-33AE-4013-AC5B-D8D9C21C6388}"/>
    <hyperlink ref="L293" r:id="rId312" xr:uid="{BECFDD1D-39F9-4223-AA16-50787B4340C1}"/>
    <hyperlink ref="L291" r:id="rId313" xr:uid="{B7BE6E3A-B964-4DBB-B23C-601A0702AA7D}"/>
    <hyperlink ref="L295" r:id="rId314" xr:uid="{4C13CD47-B533-4CE5-89A8-91E9E3CA70EC}"/>
    <hyperlink ref="L296" r:id="rId315" xr:uid="{AEC50C4B-40B2-409D-BCDD-CF62A106D180}"/>
    <hyperlink ref="L294" r:id="rId316" xr:uid="{8509C55D-C584-4A67-B392-69595BBE9AD4}"/>
    <hyperlink ref="L298" r:id="rId317" xr:uid="{B8AA77E0-FC47-4D1E-91C4-AE0564D5C54B}"/>
    <hyperlink ref="L301" r:id="rId318" xr:uid="{02B1C3CC-EBDB-49B2-A812-DDDAAB792854}"/>
    <hyperlink ref="L300" r:id="rId319" xr:uid="{7C297A4A-9AD8-4840-AF49-85C501A0E466}"/>
    <hyperlink ref="L302" r:id="rId320" xr:uid="{29172E13-27E8-4215-8ED9-9B40A4B3FB9F}"/>
    <hyperlink ref="L303" r:id="rId321" xr:uid="{54E22F2B-6C1C-4486-8C87-457ADFCC9C61}"/>
    <hyperlink ref="O285" r:id="rId322" xr:uid="{D3939AC2-3373-4F84-ADF6-EAAE8CED15CF}"/>
    <hyperlink ref="O294" r:id="rId323" xr:uid="{3F4B9614-7A2C-49F7-8DC2-A382875C0808}"/>
    <hyperlink ref="O298" r:id="rId324" xr:uid="{713499FE-62B6-4A58-96FD-6CAD2A5D54D7}"/>
    <hyperlink ref="O301" r:id="rId325" xr:uid="{83E78D18-66CF-4795-BD20-897F7A305D3A}"/>
    <hyperlink ref="O302" r:id="rId326" xr:uid="{38B9CAB3-E8F5-45B0-9C7E-21C8D26B705E}"/>
    <hyperlink ref="O292" r:id="rId327" xr:uid="{AB8A4963-E176-4984-A801-D6F8D128901D}"/>
    <hyperlink ref="O293" r:id="rId328" xr:uid="{A1BAA4A1-C7C6-4E8D-BAEA-1ADC97A77336}"/>
    <hyperlink ref="O291" r:id="rId329" xr:uid="{BD75256A-BFEF-4F0A-9F2E-0B4E2AB929B0}"/>
    <hyperlink ref="O295" r:id="rId330" xr:uid="{6139B766-2296-479D-9469-731F19D05A88}"/>
    <hyperlink ref="O296" r:id="rId331" xr:uid="{A7E1C8FB-0130-4C18-89F4-E7A94696BDFF}"/>
    <hyperlink ref="O300" r:id="rId332" xr:uid="{FC580D0F-AE11-4F6E-B321-70608B908631}"/>
    <hyperlink ref="O287" r:id="rId333" xr:uid="{0CD6B28C-A622-4448-AEE4-65F58679829B}"/>
    <hyperlink ref="O125" r:id="rId334" xr:uid="{3001856B-E0D2-48BB-BCB8-F4005CD30718}"/>
    <hyperlink ref="L308" r:id="rId335" xr:uid="{46CFE7C4-B98F-459A-9915-FA74129FBAE3}"/>
    <hyperlink ref="L311" r:id="rId336" xr:uid="{DFA6F29B-FA6A-4781-970E-0BF064AFBF5F}"/>
    <hyperlink ref="L310" r:id="rId337" xr:uid="{15D97ECC-B7C8-496B-B5E4-E9FDA01FCF2C}"/>
    <hyperlink ref="L313" r:id="rId338" xr:uid="{50E66F1E-07B8-4415-823F-F8A8E5FA02BC}"/>
    <hyperlink ref="L314" r:id="rId339" xr:uid="{458ACCE8-A323-47C0-8351-7D04B6246D65}"/>
    <hyperlink ref="L315" r:id="rId340" xr:uid="{E9870F3E-69A9-49B4-8FCA-8BEB58769EEF}"/>
    <hyperlink ref="L317" r:id="rId341" xr:uid="{22F74673-C71A-4870-B1D0-503CDD816F86}"/>
    <hyperlink ref="L316" r:id="rId342" xr:uid="{AD6D33A6-D808-4D43-8290-0CACDF314047}"/>
    <hyperlink ref="L318" r:id="rId343" xr:uid="{190B5E8E-C9CB-47FC-9F43-32390376FF6C}"/>
    <hyperlink ref="O308" r:id="rId344" xr:uid="{1CB01B90-E82E-4FBE-8D67-8079D90647C5}"/>
    <hyperlink ref="O303" r:id="rId345" xr:uid="{F68C7725-2C44-419A-957F-14B9E51A3059}"/>
    <hyperlink ref="O311" r:id="rId346" xr:uid="{858C243C-EC14-4716-87A2-D10C206DFCFC}"/>
    <hyperlink ref="O314" r:id="rId347" xr:uid="{604EC3DA-2821-4DD1-8FE9-9D885FB57CF0}"/>
    <hyperlink ref="O313" r:id="rId348" xr:uid="{69EBD456-1FB9-470B-9EEC-E38C0CF772E5}"/>
    <hyperlink ref="O315" r:id="rId349" xr:uid="{8DB99131-2040-4D19-85F5-A157F883EDEE}"/>
    <hyperlink ref="O317" r:id="rId350" xr:uid="{FAB99A73-4947-4434-AF17-6C6E63F33D62}"/>
    <hyperlink ref="O304" r:id="rId351" xr:uid="{89F46B7D-C945-42B9-ADEB-DD0839BA6FAB}"/>
    <hyperlink ref="O310" r:id="rId352" xr:uid="{CA3048C6-3295-4FF7-AC7E-FA5B0BB430FA}"/>
    <hyperlink ref="O316" r:id="rId353" xr:uid="{65AE85B8-0B86-4624-A927-9817D02032D6}"/>
    <hyperlink ref="L321" r:id="rId354" xr:uid="{182A67E6-4D6F-4226-B381-DF9621F51D29}"/>
    <hyperlink ref="O320" r:id="rId355" xr:uid="{36A73837-8AD1-45AC-89B9-4CCE2449BB6B}"/>
    <hyperlink ref="L84" r:id="rId356" xr:uid="{D0DEF13A-18C9-4942-814D-71CF2965CFEF}"/>
    <hyperlink ref="L82" r:id="rId357" xr:uid="{97DDF7C3-1AD6-4540-8B3D-A46E997C9D92}"/>
    <hyperlink ref="L90" r:id="rId358" xr:uid="{CFB4D7CB-AA76-487D-B414-AA702EF3AAE2}"/>
    <hyperlink ref="L92" r:id="rId359" xr:uid="{F203FA4A-A586-409D-9D94-147C0BCE9AF4}"/>
    <hyperlink ref="L95" r:id="rId360" xr:uid="{0E7E071F-F2D2-4760-BB14-E2861CC2008B}"/>
    <hyperlink ref="L96" r:id="rId361" xr:uid="{9ADE18DA-0747-4C6B-AF97-14EC05165C5B}"/>
    <hyperlink ref="L101" r:id="rId362" xr:uid="{EF75944A-0DE0-45CC-9302-DD1D2873CD0C}"/>
    <hyperlink ref="L104" r:id="rId363" xr:uid="{33C6ECA4-FBA1-4A70-BB3B-9FB9337D742E}"/>
    <hyperlink ref="L73" r:id="rId364" xr:uid="{EE7DD80F-E3F8-4EBA-B3A3-55CFA625C2C2}"/>
    <hyperlink ref="L74" r:id="rId365" xr:uid="{1F2A2CE8-5E92-40C9-8548-3BC70E018D8F}"/>
    <hyperlink ref="L79" r:id="rId366" xr:uid="{B8562F27-AAD7-485E-8B50-58C6471EFE96}"/>
    <hyperlink ref="L77" r:id="rId367" xr:uid="{8F8FEE04-6BCD-49A5-9989-96182DA7D7FC}"/>
    <hyperlink ref="L81" r:id="rId368" xr:uid="{20716DB9-DD6B-4D42-BB8E-39BE52043AE4}"/>
    <hyperlink ref="L85" r:id="rId369" xr:uid="{AC187EE8-4E98-4422-92FA-B2C30DB62A1A}"/>
    <hyperlink ref="L87" r:id="rId370" xr:uid="{767E31C6-FCBF-4A16-B10A-8F373C1DF2EE}"/>
    <hyperlink ref="L110" r:id="rId371" xr:uid="{07F285EE-C30E-4C27-9043-FA79EFCCD33E}"/>
    <hyperlink ref="L111" r:id="rId372" xr:uid="{9A959A62-BFB6-478A-85E6-52DBAF6DF648}"/>
    <hyperlink ref="L65" r:id="rId373" xr:uid="{F3B3DE64-481B-49FD-8BBD-C32F82ABF851}"/>
    <hyperlink ref="L70" r:id="rId374" xr:uid="{D15CC013-6033-4661-818E-A58E0739BB55}"/>
    <hyperlink ref="L71" r:id="rId375" xr:uid="{F750C5AF-FF50-4342-9351-7BD899BDD2EB}"/>
    <hyperlink ref="L88" r:id="rId376" xr:uid="{EFB5C973-241A-466E-9D4B-67712423B736}"/>
    <hyperlink ref="L118" r:id="rId377" xr:uid="{8CEB27CD-950B-4C41-862E-813B1763DC22}"/>
    <hyperlink ref="L115" r:id="rId378" xr:uid="{81237A96-B211-460C-82CB-402FF7AC0EF5}"/>
    <hyperlink ref="L123" r:id="rId379" xr:uid="{C57EAA15-0609-42FA-94BF-6301A884444D}"/>
    <hyperlink ref="L124" r:id="rId380" xr:uid="{42A12B90-D5FD-41FD-B853-F94BBCF436D9}"/>
    <hyperlink ref="L129" r:id="rId381" xr:uid="{CE184EFC-8A2A-4B4A-831A-77F1D356BCB8}"/>
    <hyperlink ref="L127" r:id="rId382" xr:uid="{ED2C43AC-22B9-40F0-83A3-B83A0DDCA6DF}"/>
    <hyperlink ref="L132" r:id="rId383" xr:uid="{97F8DDC4-7563-4657-B34C-FAE1B3B7B082}"/>
    <hyperlink ref="L131" r:id="rId384" xr:uid="{800D67DB-D826-4570-9522-1F483D3F29C9}"/>
    <hyperlink ref="L135" r:id="rId385" xr:uid="{4BCC1769-0F58-4036-BC40-0093D7F03FCF}"/>
    <hyperlink ref="L136" r:id="rId386" xr:uid="{8EF7367D-09F0-437A-8FA3-455EBF22F67C}"/>
    <hyperlink ref="L138" r:id="rId387" xr:uid="{15144158-6FC3-4975-AECF-636181B7EABC}"/>
    <hyperlink ref="L139" r:id="rId388" xr:uid="{47AE8E1A-DE98-47FC-8A14-7C124F76C0EA}"/>
    <hyperlink ref="L151" r:id="rId389" xr:uid="{6B29DD04-FD84-463E-A9B8-D76D950F45E1}"/>
    <hyperlink ref="L149" r:id="rId390" xr:uid="{BF9D8FEE-A4F3-45AC-8133-85AA5BA24CC2}"/>
    <hyperlink ref="L152" r:id="rId391" xr:uid="{E2F3676E-E6FC-45A9-9828-325B46D6F82A}"/>
    <hyperlink ref="L153" r:id="rId392" xr:uid="{ED4492E3-42AC-4154-8BE3-4CEF1252DBD4}"/>
    <hyperlink ref="L161" r:id="rId393" xr:uid="{EF3FE01F-1ECB-431C-AB7C-4D8CEDFDD566}"/>
    <hyperlink ref="L162" r:id="rId394" xr:uid="{ED95EB25-78D7-4BC4-937D-C96A16FC9632}"/>
    <hyperlink ref="L163" r:id="rId395" xr:uid="{93D3E8EB-5CEF-4100-8B4D-66FC00218019}"/>
    <hyperlink ref="L167" r:id="rId396" xr:uid="{ACC142FF-E5E1-4AED-9CD8-776C3F9B41A6}"/>
    <hyperlink ref="L168" r:id="rId397" xr:uid="{81F32B1F-6630-4BAD-8659-9D4F0BEB8DA2}"/>
    <hyperlink ref="L166" r:id="rId398" xr:uid="{FFF2DB3E-EB39-4AE3-A42E-93940CFEBEA1}"/>
    <hyperlink ref="L176" r:id="rId399" xr:uid="{2C9FA88F-0C6C-43F2-9060-2043A8FCF98A}"/>
    <hyperlink ref="L182" r:id="rId400" xr:uid="{8B00D41F-70E9-45F7-B6EF-276B891A36BA}"/>
    <hyperlink ref="L184" r:id="rId401" xr:uid="{FDBA2C8A-F38F-4911-B2E8-3F08C6D33150}"/>
    <hyperlink ref="L187" r:id="rId402" xr:uid="{D2C035FB-F5D6-49E3-A8BB-51AA47E5BD4B}"/>
    <hyperlink ref="L188" r:id="rId403" xr:uid="{D6FDD523-B5A8-472A-BDF9-E0904C92B4E3}"/>
    <hyperlink ref="L177" r:id="rId404" xr:uid="{871CC9D8-282A-4C42-B7B9-50A0F1DA92A8}"/>
    <hyperlink ref="L197" r:id="rId405" xr:uid="{11FF48D3-83C9-4656-9CC5-8BFD1BEE5B6F}"/>
    <hyperlink ref="L216" r:id="rId406" xr:uid="{19C4F6C0-AF8D-4604-9C03-CE3F8D392EA4}"/>
    <hyperlink ref="L217" r:id="rId407" xr:uid="{E3EBE1A9-09B9-449A-A36A-45D6CD157586}"/>
    <hyperlink ref="L223" r:id="rId408" xr:uid="{0CEFD57B-D808-4535-B77F-69861948BBD9}"/>
    <hyperlink ref="L220" r:id="rId409" xr:uid="{02ED8CE1-5CC9-4174-AA5B-6E9F0C1B5680}"/>
    <hyperlink ref="L242" r:id="rId410" xr:uid="{68379858-9CC3-4847-B0AA-BAC356ED4654}"/>
    <hyperlink ref="L240" r:id="rId411" xr:uid="{609FE79A-C548-4C1E-9A0D-B0A4763C4886}"/>
    <hyperlink ref="L241" r:id="rId412" xr:uid="{04D74C6B-6B95-4D6D-897B-39C84BBB55F9}"/>
    <hyperlink ref="L237" r:id="rId413" xr:uid="{87C4D06D-2CC8-423D-B025-21F19C9451AD}"/>
    <hyperlink ref="L238" r:id="rId414" xr:uid="{5067BC97-1D42-4A52-A6E6-3059641F2722}"/>
    <hyperlink ref="L246" r:id="rId415" xr:uid="{75575DFA-254E-4834-8274-A3F7CFF1DF94}"/>
    <hyperlink ref="L249" r:id="rId416" xr:uid="{578A20C8-4F00-4677-A666-0EC522916DE4}"/>
    <hyperlink ref="L255" r:id="rId417" xr:uid="{17719E9C-231D-419D-AA77-85ED43030921}"/>
    <hyperlink ref="L254" r:id="rId418" xr:uid="{60BB3CB1-FE02-4757-A74F-BABFC699A15B}"/>
    <hyperlink ref="L268" r:id="rId419" xr:uid="{FF4EE7BF-E23E-48AF-8D51-88381D4526C0}"/>
    <hyperlink ref="L269" r:id="rId420" xr:uid="{9DDA5DE8-5C26-4215-8C7D-93661629BFE4}"/>
    <hyperlink ref="L265" r:id="rId421" xr:uid="{B4C76552-6208-45B2-8C1E-1C1CAB593F2D}"/>
    <hyperlink ref="L160" r:id="rId422" xr:uid="{5B2CEDAF-D2F6-4415-A6E3-DBE0E8BACA26}"/>
    <hyperlink ref="L253" r:id="rId423" xr:uid="{4B9C2E1D-7D80-4C5D-BA4F-926D253D0A95}"/>
    <hyperlink ref="L280" r:id="rId424" xr:uid="{D7E873AF-C6AD-4256-B1D4-ECAFDB275F05}"/>
    <hyperlink ref="L271" r:id="rId425" xr:uid="{FFAAB2A1-EDE2-4C39-A45D-CC3FA5B12125}"/>
    <hyperlink ref="L290" r:id="rId426" xr:uid="{4B916E58-A887-4966-A236-DF603518D20F}"/>
    <hyperlink ref="L299" r:id="rId427" xr:uid="{C292CC80-2DE2-4783-B2A1-850F8A782D3A}"/>
    <hyperlink ref="L305" r:id="rId428" xr:uid="{BFB3061D-7C8C-4482-8917-0D26C63ABB6B}"/>
    <hyperlink ref="L307" r:id="rId429" xr:uid="{DEC925C7-E78A-4F49-8287-211A4B28DC42}"/>
    <hyperlink ref="L306" r:id="rId430" xr:uid="{5FD09F69-D48D-4C39-A13A-85F8090BB021}"/>
    <hyperlink ref="L312" r:id="rId431" xr:uid="{696C0357-47E2-465C-85EF-63D2F8271B13}"/>
    <hyperlink ref="L289" r:id="rId432" xr:uid="{763BAC1C-5DBE-44CF-B41A-BD008816AC77}"/>
    <hyperlink ref="L322" r:id="rId433" xr:uid="{D012B531-FAE2-4A82-BE6F-1D1DAE6390DD}"/>
    <hyperlink ref="L323" r:id="rId434" xr:uid="{C3B4BF22-DC80-483B-B1D8-1A1F153509B4}"/>
    <hyperlink ref="L58" r:id="rId435" xr:uid="{F9B116FE-6755-4054-82FB-2FD9CD71DF12}"/>
    <hyperlink ref="L325" r:id="rId436" xr:uid="{D6694A74-475B-4F3C-BA96-F6823FB31BD0}"/>
    <hyperlink ref="L327" r:id="rId437" xr:uid="{1E607176-FB44-4118-A5AA-011201629E42}"/>
    <hyperlink ref="L326" r:id="rId438" xr:uid="{B2EB1D5C-71E8-4658-8D8E-C845BB5E774D}"/>
    <hyperlink ref="O321" r:id="rId439" xr:uid="{D2046D45-B5FD-49C7-B566-7585DA53ABCA}"/>
    <hyperlink ref="O318" r:id="rId440" xr:uid="{A7E4099A-BE38-4226-AF65-DCCBA54530F6}"/>
    <hyperlink ref="L328" r:id="rId441" xr:uid="{BF539DF1-3860-42A8-A722-07EC2E728ACF}"/>
    <hyperlink ref="L329" r:id="rId442" xr:uid="{055E2B34-12D0-4432-8C6F-CE71DDAAD0A8}"/>
    <hyperlink ref="L330" r:id="rId443" xr:uid="{07F0BAC3-3D0D-4193-B280-CED418D399F2}"/>
    <hyperlink ref="L331" r:id="rId444" xr:uid="{3A7AF064-6BCD-42C3-AEE5-1E88E350655B}"/>
    <hyperlink ref="O324" r:id="rId445" xr:uid="{122C742B-0531-41B1-8436-9EC1AC7F78DF}"/>
    <hyperlink ref="O325" r:id="rId446" xr:uid="{BC5F56D2-DFDB-4C72-8880-836FA958E3E3}"/>
    <hyperlink ref="O328" r:id="rId447" xr:uid="{21794701-2D29-4248-8926-353F0689493B}"/>
    <hyperlink ref="O329" r:id="rId448" xr:uid="{25142316-7AA4-4F49-9222-A34721421E24}"/>
    <hyperlink ref="O327" r:id="rId449" xr:uid="{7C26C099-82DC-4C4E-9C63-FEDF30C01FEF}"/>
    <hyperlink ref="L332" r:id="rId450" xr:uid="{FD35F4D8-EBF9-43ED-B597-7376A56181EF}"/>
    <hyperlink ref="L333" r:id="rId451" xr:uid="{3AD9721B-4E74-4481-B7DC-067EEC886879}"/>
    <hyperlink ref="O337" r:id="rId452" xr:uid="{07767B70-1093-4300-823D-8B84525BC2BE}"/>
    <hyperlink ref="L336" r:id="rId453" xr:uid="{57C445E1-4F37-4E4F-B201-DF74353D8B42}"/>
    <hyperlink ref="L337" r:id="rId454" xr:uid="{4BAB6B57-D6D9-4142-8BD4-7FD91DF138F8}"/>
    <hyperlink ref="L339" r:id="rId455" xr:uid="{D150362A-CB51-44B5-B151-FF0162E8276F}"/>
    <hyperlink ref="L334" r:id="rId456" xr:uid="{22D9C433-ECA7-4AF3-9642-9DF5A77B0F06}"/>
    <hyperlink ref="L335" r:id="rId457" xr:uid="{AD509459-3E74-455E-B532-1E6685CAFC95}"/>
    <hyperlink ref="L340" r:id="rId458" xr:uid="{B3461526-2576-4772-AC45-4AAAA1B1A2DD}"/>
    <hyperlink ref="L341" r:id="rId459" xr:uid="{C7DC5B41-77CF-4AE9-9191-BBC8F63C1A3E}"/>
    <hyperlink ref="O334" r:id="rId460" xr:uid="{9CF861CC-C8B8-409A-9557-13DAA9AC730B}"/>
    <hyperlink ref="O335" r:id="rId461" xr:uid="{BBD1D6E9-1249-4032-AD2A-4C3B401CD20F}"/>
    <hyperlink ref="L342" r:id="rId462" xr:uid="{AADD5F4F-3EFF-43BA-BC7B-0A13D1DA7785}"/>
    <hyperlink ref="O331" r:id="rId463" xr:uid="{122739E4-BC13-42C7-86C0-11BA7BC2B338}"/>
    <hyperlink ref="O336" r:id="rId464" xr:uid="{11B7AAAE-F172-4EE3-B55B-D449530598F1}"/>
    <hyperlink ref="O340" r:id="rId465" xr:uid="{155826F3-B827-451F-A6EE-BC460CEE62C5}"/>
    <hyperlink ref="O333" r:id="rId466" xr:uid="{4FB1189D-9ABB-4800-BEDE-27FB0A528085}"/>
    <hyperlink ref="O160" r:id="rId467" xr:uid="{43765365-BBCA-4CA3-91C8-B01CEEAA2380}"/>
    <hyperlink ref="L343" r:id="rId468" xr:uid="{88ACB719-2E16-419B-AA4C-2F7CBDD13723}"/>
    <hyperlink ref="L351" r:id="rId469" xr:uid="{808AFDA8-346F-45E7-B268-49C582069AA9}"/>
    <hyperlink ref="L348" r:id="rId470" xr:uid="{88A4FCDD-6C93-46FE-A708-FEB7DA338D0A}"/>
    <hyperlink ref="L349" r:id="rId471" xr:uid="{E9D3CAF1-F9BB-42C5-A9F2-899FCAA6A950}"/>
    <hyperlink ref="L352" r:id="rId472" xr:uid="{8019BE65-34CB-4D0D-8BF9-896F27875E43}"/>
    <hyperlink ref="L354" r:id="rId473" xr:uid="{57E4E58B-8191-4C7C-8ADB-3F908916AF7A}"/>
    <hyperlink ref="L353" r:id="rId474" xr:uid="{70707C01-D587-49F3-855B-E5D1787F6636}"/>
    <hyperlink ref="L359" r:id="rId475" xr:uid="{0C2B16C3-5E09-40EB-9CE6-F8B1350D7E7B}"/>
    <hyperlink ref="L356" r:id="rId476" xr:uid="{FAF3166D-8BA1-4AFC-A4F9-2F853EAC1C4B}"/>
    <hyperlink ref="L358" r:id="rId477" xr:uid="{E9790E6E-99CC-4F0E-8596-10A474D1E749}"/>
    <hyperlink ref="L357" r:id="rId478" xr:uid="{35816677-C915-4263-93DE-4177E1816666}"/>
    <hyperlink ref="O306" r:id="rId479" xr:uid="{F7290075-3F63-4EC4-A75D-001CD4DA5A92}"/>
    <hyperlink ref="O354" r:id="rId480" xr:uid="{AA071489-8DC6-4E47-827F-93C1A9778BAF}"/>
    <hyperlink ref="O356" r:id="rId481" xr:uid="{DEA66DBA-935E-4D3B-A7FA-E5841EAA1CB3}"/>
    <hyperlink ref="L362" r:id="rId482" xr:uid="{612BFCB0-3FD2-4526-A4A2-CC5408587072}"/>
    <hyperlink ref="O351" r:id="rId483" xr:uid="{09B22B78-076C-481A-9176-CA7260E9433F}"/>
    <hyperlink ref="O348" r:id="rId484" xr:uid="{2CF61551-9EC6-4DFE-83A1-13EDB4209985}"/>
    <hyperlink ref="O349" r:id="rId485" xr:uid="{F1311174-57DF-4359-AF97-51A84A75570D}"/>
    <hyperlink ref="L364" r:id="rId486" xr:uid="{25DFB522-DB14-45B1-8057-1388BE4C45C6}"/>
    <hyperlink ref="L363" r:id="rId487" xr:uid="{ED73FAD9-4E61-49E6-AE51-9E0045006EFB}"/>
    <hyperlink ref="L365" r:id="rId488" xr:uid="{A4248098-C1DB-4F0C-8D77-82286C8FC4DE}"/>
    <hyperlink ref="L367" r:id="rId489" xr:uid="{BD86A1D6-B556-401D-9D20-716211B57049}"/>
    <hyperlink ref="L369" r:id="rId490" xr:uid="{1CACBD1C-AD97-4F5B-A29F-94F75EABF9F8}"/>
    <hyperlink ref="L368" r:id="rId491" xr:uid="{737D9E6D-8667-4E85-BF62-D3D535D8ACA0}"/>
    <hyperlink ref="L370" r:id="rId492" xr:uid="{08EA4D4D-22F8-4914-A800-62872F37B327}"/>
    <hyperlink ref="L350" r:id="rId493" xr:uid="{B62F431B-70B6-4A1B-99ED-FBFD78C1C045}"/>
    <hyperlink ref="L355" r:id="rId494" xr:uid="{DB79630B-C1B2-4AA5-B271-96E151874DF4}"/>
    <hyperlink ref="L360" r:id="rId495" xr:uid="{1AD40C1B-45CF-40B0-9968-F14B1B523E75}"/>
    <hyperlink ref="L361" r:id="rId496" xr:uid="{8750AE19-1881-48F1-A525-57032B56ABA5}"/>
    <hyperlink ref="L366" r:id="rId497" xr:uid="{689DE10E-C6D9-4F92-B413-7EC52C55FD40}"/>
    <hyperlink ref="L372" r:id="rId498" xr:uid="{FD321927-4A63-4881-AFEF-41953D97E531}"/>
    <hyperlink ref="L373" r:id="rId499" xr:uid="{BBC11A82-C209-4ACB-971F-B1FF67AAF149}"/>
    <hyperlink ref="L371" r:id="rId500" xr:uid="{2CAD4732-004E-4011-9064-A361B25FFCA6}"/>
    <hyperlink ref="L375" r:id="rId501" xr:uid="{A046F9FA-1FA2-4062-A522-FEA501145F86}"/>
    <hyperlink ref="L374" r:id="rId502" xr:uid="{78D83273-053A-4089-91CD-C8D4A66B9DA3}"/>
    <hyperlink ref="O342" r:id="rId503" xr:uid="{3C32C23C-DED5-4551-AAD3-1755CFD18FCD}"/>
    <hyperlink ref="O359" r:id="rId504" xr:uid="{98CAB15F-8D28-4531-82A9-58C09B6C364E}"/>
    <hyperlink ref="O358" r:id="rId505" xr:uid="{6194EB83-9F8A-46FE-A72A-8FC2D90C28A9}"/>
    <hyperlink ref="O362" r:id="rId506" xr:uid="{63BAE112-320F-4934-B8F2-84547C883DD8}"/>
    <hyperlink ref="O364" r:id="rId507" xr:uid="{FF30BDB3-A187-4705-BECF-8AD46A591683}"/>
    <hyperlink ref="O369" r:id="rId508" xr:uid="{CBD16C56-F1E5-44A4-AD95-3316F269F3E1}"/>
    <hyperlink ref="O375" r:id="rId509" xr:uid="{174BBE77-8251-4FE6-A671-582E8C22285A}"/>
    <hyperlink ref="O350" r:id="rId510" xr:uid="{C1FA1DBF-CCFF-4498-A39D-382912E44B22}"/>
    <hyperlink ref="O355" r:id="rId511" xr:uid="{1B3E4915-2387-4870-A877-AC449A17F560}"/>
    <hyperlink ref="L376" r:id="rId512" xr:uid="{DA6EAA78-83E0-4856-B356-1C5E4F1CC8F3}"/>
    <hyperlink ref="O367" r:id="rId513" xr:uid="{31351652-0A3F-4941-9826-D459DDCAEC1F}"/>
    <hyperlink ref="O370" r:id="rId514" xr:uid="{3B1DA032-056E-4FE6-A381-945B7D639280}"/>
    <hyperlink ref="O368" r:id="rId515" xr:uid="{D0EEBD6D-427E-4E14-931D-2F9B06F0A6D9}"/>
    <hyperlink ref="O373" r:id="rId516" xr:uid="{8AD195FD-AD48-4943-9C80-C29125E07235}"/>
    <hyperlink ref="O352" r:id="rId517" xr:uid="{69C62227-CD3B-43EA-927B-1607F8D89600}"/>
    <hyperlink ref="O374" r:id="rId518" xr:uid="{75F8E279-38DF-4D54-84A9-2E073F6FEB31}"/>
    <hyperlink ref="O365" r:id="rId519" xr:uid="{2D199775-F383-4239-B3E7-6A69566C50C9}"/>
    <hyperlink ref="L379" r:id="rId520" xr:uid="{FEE573C0-0628-4601-A6C2-CEA331C070E8}"/>
    <hyperlink ref="O372" r:id="rId521" xr:uid="{82303558-9E6A-4E5F-8398-57F2D169525D}"/>
    <hyperlink ref="L381" r:id="rId522" xr:uid="{48AE543E-7662-436C-9445-58B46005D3DD}"/>
    <hyperlink ref="L380" r:id="rId523" xr:uid="{CD6719A3-18D4-4CC4-998A-825092973E3E}"/>
    <hyperlink ref="L382" r:id="rId524" xr:uid="{DF70A3A9-4651-4452-BE6F-BED5BDB1E7C8}"/>
    <hyperlink ref="L383" r:id="rId525" xr:uid="{BACD33E3-F536-426A-9B3F-EC72A3013B89}"/>
    <hyperlink ref="L384" r:id="rId526" xr:uid="{03AB4C1B-42DE-4217-B000-FD15DC45A592}"/>
    <hyperlink ref="L385" r:id="rId527" xr:uid="{31AB12C8-0CAD-4B2F-B28D-C7550C84E1B2}"/>
    <hyperlink ref="L386" r:id="rId528" xr:uid="{F13CE694-3F15-4390-97F5-BACD1DC2DEA7}"/>
    <hyperlink ref="L387" r:id="rId529" xr:uid="{FCF048AB-92C1-40ED-A984-63DFD58463C4}"/>
    <hyperlink ref="L388" r:id="rId530" xr:uid="{337DAC18-0C52-4E32-B918-CC405D737E2A}"/>
    <hyperlink ref="L389" r:id="rId531" xr:uid="{4471D9FE-FDE8-4B39-A028-7CBB33F3D14F}"/>
    <hyperlink ref="L392" r:id="rId532" xr:uid="{6FC890B3-70F0-4F65-B433-8EC299E3D543}"/>
    <hyperlink ref="L393" r:id="rId533" xr:uid="{7F512188-D748-497A-929B-CD68D4690230}"/>
    <hyperlink ref="L394" r:id="rId534" xr:uid="{36C432FC-A681-4C5C-8087-834246CF6BCA}"/>
    <hyperlink ref="L395" r:id="rId535" xr:uid="{DCEC6D66-34F7-4386-9BD1-68ECEB983F74}"/>
    <hyperlink ref="L397" r:id="rId536" xr:uid="{3CC069C1-BFA0-4E85-AD21-8DE1AD9E2A27}"/>
    <hyperlink ref="L396" r:id="rId537" xr:uid="{4D53C44E-F0FC-4D29-81B4-5B2BBEA305E9}"/>
    <hyperlink ref="L398" r:id="rId538" xr:uid="{E15974FA-97D2-40E1-B27F-F964C65F9C7F}"/>
    <hyperlink ref="L399" r:id="rId539" xr:uid="{327D858B-5D6F-46D4-AF20-60E77A38D7C9}"/>
    <hyperlink ref="O381" r:id="rId540" xr:uid="{77A47530-D301-4037-8E16-4E72D374B00B}"/>
    <hyperlink ref="O383" r:id="rId541" xr:uid="{6AA059CE-AC74-4213-A0B4-16C2884025A2}"/>
    <hyperlink ref="O385" r:id="rId542" xr:uid="{31CE77A0-4843-49C9-A2C2-2E61B743ADD5}"/>
    <hyperlink ref="O386" r:id="rId543" xr:uid="{D54C0B96-82DF-4C50-BD5D-F92B6EE3F83C}"/>
    <hyperlink ref="L401" r:id="rId544" xr:uid="{7B3690C8-9EF3-44BC-AE18-417252D0E89D}"/>
    <hyperlink ref="L403" r:id="rId545" xr:uid="{F2CC3264-EA30-4F07-A6A4-AC8029859831}"/>
    <hyperlink ref="L404" r:id="rId546" xr:uid="{1132CD37-A81B-473E-BD36-9058F690BF2A}"/>
    <hyperlink ref="L406" r:id="rId547" xr:uid="{3A2D1D5B-9147-4DE6-BA26-30A1530FECFF}"/>
    <hyperlink ref="L405" r:id="rId548" xr:uid="{11301FEC-C9BE-433B-BCE6-5F7CB18A0BCB}"/>
    <hyperlink ref="L407" r:id="rId549" xr:uid="{15C02E0B-89E6-4384-93A7-8463F4D20292}"/>
    <hyperlink ref="L408" r:id="rId550" xr:uid="{D16F54BD-654D-4F4F-B6EA-B375D81856A2}"/>
    <hyperlink ref="L409" r:id="rId551" xr:uid="{9D1016DF-0BAC-46D2-A0A1-AB145022D39D}"/>
    <hyperlink ref="L410" r:id="rId552" xr:uid="{A9AD3004-39F3-4E18-AFF3-A8CF18FE551C}"/>
    <hyperlink ref="L412" r:id="rId553" xr:uid="{A14CED68-47C6-4C34-93F9-FD67ABD8C1B2}"/>
    <hyperlink ref="L411" r:id="rId554" xr:uid="{4B38AD6C-9535-4481-9DA3-97C0D819168F}"/>
    <hyperlink ref="L413" r:id="rId555" xr:uid="{03DCA946-72B8-4927-A55F-42A49A9E2956}"/>
    <hyperlink ref="L416" r:id="rId556" xr:uid="{0DF5E0A9-94CB-4249-A36D-443F8C737230}"/>
    <hyperlink ref="L414" r:id="rId557" xr:uid="{5213CE85-AF1B-41BA-826C-4B721896FCD3}"/>
    <hyperlink ref="L415" r:id="rId558" xr:uid="{633133CD-7BE5-45D0-BBD4-63AB81F0FF87}"/>
    <hyperlink ref="L418" r:id="rId559" xr:uid="{65EE929B-8C34-4FEE-AC08-45AF43C60346}"/>
    <hyperlink ref="L417" r:id="rId560" xr:uid="{5E59EC59-775F-443D-8E3E-D71A6D0D0382}"/>
    <hyperlink ref="L402" r:id="rId561" xr:uid="{D7CCF102-2528-4587-9128-17E35340AC78}"/>
    <hyperlink ref="L420" r:id="rId562" xr:uid="{AABD44E9-42E4-4880-8B0A-6D947121A5AA}"/>
    <hyperlink ref="L419" r:id="rId563" xr:uid="{57D79672-7288-426D-B3C2-B7F9FE966860}"/>
    <hyperlink ref="L421" r:id="rId564" xr:uid="{82E602EF-8741-4D34-BBFA-59128C11F0A5}"/>
    <hyperlink ref="L423" r:id="rId565" xr:uid="{E288BBD5-AABC-4F4E-B32C-0F78615C17CF}"/>
    <hyperlink ref="L422" r:id="rId566" xr:uid="{15512905-3A4B-4E86-B5CB-FB41968AE9A7}"/>
    <hyperlink ref="L425" r:id="rId567" xr:uid="{437E8DB8-ABAC-420E-88FB-F7E5A0A58E37}"/>
    <hyperlink ref="L426" r:id="rId568" xr:uid="{826D8167-E251-4FD6-8936-5055E6D093EB}"/>
    <hyperlink ref="L427" r:id="rId569" xr:uid="{9C4DEF78-EE67-4C74-83F4-5E197FD6EF15}"/>
    <hyperlink ref="L428" r:id="rId570" xr:uid="{B1DD36C3-F700-4E82-BBC4-FA7EBB835736}"/>
    <hyperlink ref="L429" r:id="rId571" xr:uid="{3D01CB18-3C69-4170-8320-FDC2A7B1FB83}"/>
    <hyperlink ref="L430" r:id="rId572" xr:uid="{438BB10D-8B48-4512-AD3D-8E361E28C667}"/>
    <hyperlink ref="L431" r:id="rId573" xr:uid="{C822E843-AB10-48DE-848A-423AF35FEBC9}"/>
    <hyperlink ref="L434" r:id="rId574" xr:uid="{04811E61-352D-4311-9A3E-07FA495B97F1}"/>
    <hyperlink ref="L432" r:id="rId575" xr:uid="{D98CC23D-DB68-42D3-A19C-32055590E20B}"/>
    <hyperlink ref="L433" r:id="rId576" xr:uid="{6A7E5E0F-C32B-47BF-A579-D0CFC0E2301C}"/>
    <hyperlink ref="L435" r:id="rId577" xr:uid="{E7AF36A9-7CCF-45D9-B6AD-B75ADA831372}"/>
    <hyperlink ref="L438" r:id="rId578" xr:uid="{64D51325-85DB-4C3A-9B1D-AEDE8F78F47A}"/>
    <hyperlink ref="L439" r:id="rId579" xr:uid="{9B875523-9BDC-4E1B-8FD3-531AE2248DA9}"/>
    <hyperlink ref="L443" r:id="rId580" xr:uid="{105C27A0-8F32-46B9-A050-18AC3310B23F}"/>
    <hyperlink ref="L440" r:id="rId581" xr:uid="{3F24FD47-3CF0-4621-8858-4F1B21C222B6}"/>
    <hyperlink ref="L441" r:id="rId582" xr:uid="{CF727769-3A5E-4A05-8AD8-B4FEE5C6A96E}"/>
    <hyperlink ref="L442" r:id="rId583" xr:uid="{E4245E38-8F46-4853-87A3-A3EE147A4598}"/>
    <hyperlink ref="L444" r:id="rId584" xr:uid="{8F0EE91F-5B41-496F-88CC-1567FC650C30}"/>
    <hyperlink ref="L446" r:id="rId585" xr:uid="{DA2FF784-C0E7-4305-95FB-08F1AE4AD7E1}"/>
    <hyperlink ref="L447" r:id="rId586" xr:uid="{D42BD20D-F62B-47AE-B2BB-F688981BA7A3}"/>
    <hyperlink ref="L449" r:id="rId587" xr:uid="{9A904338-E525-4009-BE86-78ED8456E06D}"/>
    <hyperlink ref="L450" r:id="rId588" xr:uid="{480363C6-4182-4DFD-B00F-BA15FE8670FE}"/>
    <hyperlink ref="L448" r:id="rId589" xr:uid="{0D92EE62-17EF-4615-88C4-324CF9E2B4B7}"/>
    <hyperlink ref="L436" r:id="rId590" xr:uid="{B4420144-9427-4C1D-8306-D84F2D4736F5}"/>
    <hyperlink ref="L437" r:id="rId591" xr:uid="{8D158BD4-595E-4829-9E67-551A56DA06E5}"/>
    <hyperlink ref="L452" r:id="rId592" xr:uid="{198DFB58-389A-4A80-9818-43F6C20C1A24}"/>
    <hyperlink ref="L451" r:id="rId593" xr:uid="{09539C1F-4044-4525-B623-68605216AD96}"/>
    <hyperlink ref="L454" r:id="rId594" xr:uid="{C3E5E6DA-8D7D-4164-88E2-4EB75AD38C24}"/>
    <hyperlink ref="L453" r:id="rId595" xr:uid="{E1F75DC4-77B3-4AF1-92F5-5B75434832B2}"/>
    <hyperlink ref="L456" r:id="rId596" xr:uid="{50F915FB-12AD-4075-BACF-0F9118C46D4D}"/>
    <hyperlink ref="L457" r:id="rId597" xr:uid="{7E15F267-2CC0-4D13-92B4-8E5C31F66CBB}"/>
    <hyperlink ref="L459" r:id="rId598" xr:uid="{81906841-B7BD-4D0C-A178-71B46012D93A}"/>
    <hyperlink ref="L458" r:id="rId599" xr:uid="{6C55C713-10F0-432E-A562-BA70D0246734}"/>
    <hyperlink ref="L460" r:id="rId600" xr:uid="{2AF24E4D-6CA6-4D0F-8E7A-B14738832803}"/>
    <hyperlink ref="L461" r:id="rId601" xr:uid="{07542D8B-0A00-41F5-B211-EC4C083198E5}"/>
    <hyperlink ref="O458" r:id="rId602" xr:uid="{42417D19-790A-4F51-88AC-6DC84DE646D6}"/>
    <hyperlink ref="O457" r:id="rId603" xr:uid="{102C1810-6F3D-4807-865B-751EF478C8EE}"/>
    <hyperlink ref="O452" r:id="rId604" xr:uid="{44159DCE-A8A3-4911-80B9-763F797478D2}"/>
    <hyperlink ref="O451" r:id="rId605" xr:uid="{F3241AAB-C84A-43C4-ADCE-FCB1EDCD5C39}"/>
    <hyperlink ref="O443" r:id="rId606" xr:uid="{48C1595F-B2BA-4FD2-A02C-B925679DB764}"/>
    <hyperlink ref="O439" r:id="rId607" xr:uid="{4D5595CC-8DAF-43AC-AAFF-6E530DB3C737}"/>
    <hyperlink ref="O444" r:id="rId608" xr:uid="{1A0B4CC6-9FB0-43F1-8907-36DB4D5A168C}"/>
    <hyperlink ref="O446" r:id="rId609" xr:uid="{AD596BC8-5AD8-4AF1-A574-B9C22F6B93C4}"/>
    <hyperlink ref="O447" r:id="rId610" xr:uid="{7A0A7170-AB0D-4737-88AA-CC88966471E5}"/>
    <hyperlink ref="O449" r:id="rId611" xr:uid="{5A60886E-EC75-415E-8464-67C192FEF104}"/>
    <hyperlink ref="O450" r:id="rId612" xr:uid="{A0711BE1-4D0F-4C58-B12C-294E9FB17226}"/>
    <hyperlink ref="O448" r:id="rId613" xr:uid="{7E516417-9866-4C1F-A18B-7D310DDF75AE}"/>
    <hyperlink ref="O454" r:id="rId614" xr:uid="{574DC9D8-E52E-473D-9EB0-B2D398C0AA51}"/>
    <hyperlink ref="O398" r:id="rId615" xr:uid="{1119DB79-3E3C-4FF9-948C-7E83C62DA74C}"/>
    <hyperlink ref="O408" r:id="rId616" xr:uid="{A4A65A78-395C-443E-9D80-B702638F4523}"/>
    <hyperlink ref="O413" r:id="rId617" xr:uid="{434583FC-9FD4-4607-99B0-2CAF71F165C4}"/>
    <hyperlink ref="O425" r:id="rId618" xr:uid="{CA2DE02F-811D-45FA-B11A-9BAFD1C3021D}"/>
    <hyperlink ref="O434" r:id="rId619" xr:uid="{85198E84-502B-4EAA-94BB-0892614B1DDB}"/>
    <hyperlink ref="O433" r:id="rId620" xr:uid="{0C1DEDAB-581C-4FD6-8BAE-ADCEFF758D2C}"/>
    <hyperlink ref="O420" r:id="rId621" xr:uid="{CC04B47D-1658-4666-B5EC-CECE903CC92A}"/>
    <hyperlink ref="L462" r:id="rId622" xr:uid="{1EEF9158-A382-4B2C-929B-2D1F352ACAAC}"/>
    <hyperlink ref="L463" r:id="rId623" xr:uid="{5C1E8D02-1C29-4E7F-A160-5F4C0776A76A}"/>
    <hyperlink ref="L445" r:id="rId624" xr:uid="{E47876A3-B39C-4C3E-B49F-7D83934DDE11}"/>
    <hyperlink ref="L464" r:id="rId625" xr:uid="{23350646-B850-48FA-85B4-34221E6505F1}"/>
    <hyperlink ref="L466" r:id="rId626" xr:uid="{D5834A6B-2BED-41B7-AE09-625302AAF3CB}"/>
    <hyperlink ref="L465" r:id="rId627" xr:uid="{7FC60C11-D313-429C-B24F-1D7E9D8D84A4}"/>
    <hyperlink ref="L467" r:id="rId628" xr:uid="{CF677743-1C1C-4852-B403-85EA176DEA10}"/>
    <hyperlink ref="L468" r:id="rId629" xr:uid="{02917B74-8EDC-45C8-A807-2A1634965D3F}"/>
    <hyperlink ref="L469" r:id="rId630" xr:uid="{6C30B336-B29B-4084-8DE8-BDC236A6BFCA}"/>
    <hyperlink ref="L800" r:id="rId631" xr:uid="{58D1B7AF-2144-40CD-BA5E-59C820257166}"/>
    <hyperlink ref="L470" r:id="rId632" xr:uid="{9923736A-A268-4C9F-838F-26EFE25CCA53}"/>
    <hyperlink ref="L471" r:id="rId633" xr:uid="{448F9E78-5192-479A-A798-64F85601F1CB}"/>
    <hyperlink ref="L472" r:id="rId634" xr:uid="{62A38D7A-6B69-4241-A9F6-7B3D9DD92B9B}"/>
    <hyperlink ref="L473" r:id="rId635" xr:uid="{D175AC09-34DE-4948-97E4-08AFB50036E5}"/>
    <hyperlink ref="O463" r:id="rId636" xr:uid="{D116EE21-51BF-462E-BBBA-001B91E6DEB4}"/>
    <hyperlink ref="O464" r:id="rId637" xr:uid="{355D48E8-AB60-4E57-B9C9-36B291679BC9}"/>
    <hyperlink ref="O466" r:id="rId638" xr:uid="{30968DC4-1849-40AD-A53C-BE72AB387DD3}"/>
    <hyperlink ref="L475" r:id="rId639" xr:uid="{32522394-1473-45D5-A97C-D044EE060453}"/>
    <hyperlink ref="L474" r:id="rId640" xr:uid="{B6A93BFC-37AF-4F0F-959F-F257674D9A7B}"/>
    <hyperlink ref="L476" r:id="rId641" xr:uid="{17BE3C3D-5E07-40B6-8317-345CEC554F97}"/>
    <hyperlink ref="L477" r:id="rId642" xr:uid="{E910B792-E9C9-414D-84FF-4419DCD728EB}"/>
    <hyperlink ref="L480" r:id="rId643" xr:uid="{38A57541-9945-4859-9F12-DAC480143580}"/>
    <hyperlink ref="L479" r:id="rId644" xr:uid="{E7C2D488-4AEC-49CE-ABED-0E1774FD2D70}"/>
    <hyperlink ref="L478" r:id="rId645" xr:uid="{579E8B39-906D-4EA3-BC8C-BB326F212EC3}"/>
    <hyperlink ref="L481" r:id="rId646" xr:uid="{77BD5FB0-B330-4CB8-A2CD-5FF4CF3ED989}"/>
    <hyperlink ref="L482" r:id="rId647" xr:uid="{264817E9-B98A-4B55-B7AA-0589B87C983D}"/>
    <hyperlink ref="L483" r:id="rId648" xr:uid="{609094FC-445F-4ACD-A704-9A5F9D1F961A}"/>
    <hyperlink ref="L484" r:id="rId649" xr:uid="{06C4EF63-41FA-4268-ABD3-52926BEA3A1F}"/>
    <hyperlink ref="L485" r:id="rId650" xr:uid="{032E501B-7498-4AF3-9E4A-E4A272711A61}"/>
    <hyperlink ref="L486" r:id="rId651" xr:uid="{7CAEF197-029B-43ED-9A71-699B9A5933A3}"/>
    <hyperlink ref="L487" r:id="rId652" xr:uid="{07AD92DB-FE05-4700-9FC5-BB7550C2D73F}"/>
    <hyperlink ref="L490" r:id="rId653" xr:uid="{ADA20152-C478-4413-9E53-1A6E4DB776F7}"/>
    <hyperlink ref="L489" r:id="rId654" xr:uid="{9D231D75-4CCF-4A84-B776-F1DD999BD30B}"/>
    <hyperlink ref="L488" r:id="rId655" xr:uid="{52427348-6A44-4929-8540-1F3F62E84247}"/>
    <hyperlink ref="L491" r:id="rId656" xr:uid="{85A780CB-5EEC-4BEE-BADA-073D2DCAF169}"/>
    <hyperlink ref="L492" r:id="rId657" xr:uid="{C046EB39-FC7D-42CA-9DDF-4B943E640E82}"/>
    <hyperlink ref="L493" r:id="rId658" xr:uid="{B911CA20-E6CD-42FC-A8B4-B37699E62621}"/>
    <hyperlink ref="L494" r:id="rId659" xr:uid="{7198DC98-D685-47F4-8082-BAA56A9CF232}"/>
    <hyperlink ref="L495" r:id="rId660" xr:uid="{91E53FEC-E44C-4A26-AE03-E9BFFECD643E}"/>
    <hyperlink ref="O483" r:id="rId661" xr:uid="{69C2F0BB-49A5-4409-94E5-9593F099F15C}"/>
    <hyperlink ref="O489" r:id="rId662" xr:uid="{8D11208B-5C07-4E3A-951A-2A6515162E55}"/>
    <hyperlink ref="O485" r:id="rId663" xr:uid="{45668018-DCA3-43D6-9C2D-DC0CE6D79015}"/>
    <hyperlink ref="O486" r:id="rId664" xr:uid="{F2008330-EFE9-43F9-9B24-227408815C7A}"/>
    <hyperlink ref="O487" r:id="rId665" xr:uid="{7B44BDA0-79F9-42EB-A233-0EF2E912D3D8}"/>
    <hyperlink ref="O494" r:id="rId666" xr:uid="{685D7C82-CB19-4611-9B42-ACD8577A3BA8}"/>
    <hyperlink ref="O491" r:id="rId667" xr:uid="{38C8141D-5319-4D01-9F7E-8F53B2B27313}"/>
    <hyperlink ref="O488" r:id="rId668" xr:uid="{185EB842-0939-4414-B30E-AFF09F34702F}"/>
    <hyperlink ref="O492" r:id="rId669" xr:uid="{99E8B627-4C36-48F2-82B5-A60FEEA95EC3}"/>
    <hyperlink ref="O493" r:id="rId670" xr:uid="{2B64F8BA-E9DF-4FB5-B5A2-93F1742DC092}"/>
    <hyperlink ref="O495" r:id="rId671" xr:uid="{113CF5F0-5DAF-451D-B35F-D0B010D1CBE7}"/>
    <hyperlink ref="L498" r:id="rId672" xr:uid="{619EC65C-8819-40A5-B495-90C898ADCF1A}"/>
    <hyperlink ref="L499" r:id="rId673" xr:uid="{A9AC0652-D024-46AF-832D-5AF619FACC44}"/>
    <hyperlink ref="L496" r:id="rId674" xr:uid="{BF86ECC6-7FF0-4E7B-95B6-3D9DE3C3E8C7}"/>
    <hyperlink ref="L500" r:id="rId675" xr:uid="{48DE1D79-28CD-48A7-BC47-E4DDE68FA7A5}"/>
    <hyperlink ref="L501" r:id="rId676" xr:uid="{94B39D6E-84C6-4D0A-8F7C-2C746E932E2F}"/>
    <hyperlink ref="L502" r:id="rId677" xr:uid="{57ABA947-E4FD-4E82-999E-D6FE65D6B293}"/>
    <hyperlink ref="L504" r:id="rId678" xr:uid="{0DEE5DA5-280E-4B5D-B7C4-2AC482263AA3}"/>
    <hyperlink ref="L505" r:id="rId679" xr:uid="{FA12DC90-45E8-4E97-8D7C-FDB34E70B228}"/>
    <hyperlink ref="L506" r:id="rId680" xr:uid="{F3D77E91-49B8-41EA-A47F-E5074D9BC113}"/>
    <hyperlink ref="L507" r:id="rId681" xr:uid="{D7F2C870-1D2E-4848-B156-797518968121}"/>
    <hyperlink ref="O800" r:id="rId682" xr:uid="{E87F1996-2771-4ABB-9B73-88FCF207A4D1}"/>
    <hyperlink ref="O468" r:id="rId683" xr:uid="{8941BB8E-4D84-49C1-BAB5-864E3C7572A2}"/>
    <hyperlink ref="O475" r:id="rId684" xr:uid="{473761D6-6736-4685-9798-EC2C550B660E}"/>
    <hyperlink ref="O474" r:id="rId685" xr:uid="{40C2A9FB-1489-4F0F-8689-AA579F9F1C9F}"/>
    <hyperlink ref="O476" r:id="rId686" xr:uid="{801B38DC-5698-433C-981C-05CA1D0C047F}"/>
    <hyperlink ref="O477" r:id="rId687" xr:uid="{CDC04CF1-A8BC-459B-B3A9-EE5A906F75EA}"/>
    <hyperlink ref="O480" r:id="rId688" xr:uid="{B40E7A61-A7CF-44BA-BCAF-05EDD669CFEB}"/>
    <hyperlink ref="O479" r:id="rId689" xr:uid="{D3CFAD24-819A-4531-82C8-3E3EB38A937A}"/>
    <hyperlink ref="L509" r:id="rId690" xr:uid="{E8BB7CFB-A2DB-4242-B89D-7AC5932028B0}"/>
    <hyperlink ref="O478" r:id="rId691" xr:uid="{2FECA023-1F03-4011-9BA7-C527EA77E25C}"/>
    <hyperlink ref="O482" r:id="rId692" xr:uid="{D6771A80-0CAD-4941-A8D3-7DC6D2AE0B55}"/>
    <hyperlink ref="L508" r:id="rId693" xr:uid="{34CC94C9-EFAA-44E2-8FEB-D05E0F97CA71}"/>
    <hyperlink ref="L512" r:id="rId694" xr:uid="{FFEC2ED5-1060-4F9C-8EC8-5004EEB032A1}"/>
    <hyperlink ref="L510" r:id="rId695" xr:uid="{A6B29302-45A4-4645-A930-2F7D2692FD1C}"/>
    <hyperlink ref="L511" r:id="rId696" xr:uid="{8D06F9EE-384F-403C-8212-02C772FEECF3}"/>
    <hyperlink ref="L513" r:id="rId697" xr:uid="{D9EA1E88-EF0D-479B-9359-D66D199AB6DF}"/>
    <hyperlink ref="L514" r:id="rId698" xr:uid="{AE5A42B3-9FDB-47DC-971C-4D6248AD7F61}"/>
    <hyperlink ref="L516" r:id="rId699" xr:uid="{ADA9444A-ED94-4C8D-823E-067EF4BBB053}"/>
    <hyperlink ref="O498" r:id="rId700" xr:uid="{FCE882C5-3415-4847-B7A6-B643AEF3263A}"/>
    <hyperlink ref="L517" r:id="rId701" xr:uid="{496B8B5F-0450-4D0A-BA37-2A79F3C48485}"/>
    <hyperlink ref="O499" r:id="rId702" xr:uid="{4787A94F-F9DC-4637-8BBE-F6D34FE1D233}"/>
    <hyperlink ref="O496" r:id="rId703" xr:uid="{02CBCB42-5A57-41FA-932C-0A2FEFA388C8}"/>
    <hyperlink ref="O500" r:id="rId704" xr:uid="{1E926DFB-D146-4F5C-8558-046CA00F1C44}"/>
    <hyperlink ref="O501" r:id="rId705" xr:uid="{5026F630-3453-4A18-A3FB-7EA40FA6E8BA}"/>
    <hyperlink ref="O505" r:id="rId706" xr:uid="{03848A00-949B-4841-BD00-BE4F8A347F75}"/>
    <hyperlink ref="L515" r:id="rId707" xr:uid="{FA08F56F-9ABB-4AA6-BD3F-7187E2BBE12A}"/>
    <hyperlink ref="L519" r:id="rId708" xr:uid="{A1278D26-A9DA-4FE8-B056-9A969222EA02}"/>
    <hyperlink ref="L518" r:id="rId709" xr:uid="{F945CCC2-B7F8-4EAF-BC04-2F72E0B5890A}"/>
    <hyperlink ref="L497" r:id="rId710" xr:uid="{D2CA0D68-366D-4D5E-BFF9-C40EF9B71A11}"/>
    <hyperlink ref="O497" r:id="rId711" xr:uid="{98BBAA99-D4EF-470D-94C5-2A9AF36117A4}"/>
    <hyperlink ref="L520" r:id="rId712" xr:uid="{25C06551-7B73-4FE4-A59D-1EBF7C593B36}"/>
    <hyperlink ref="L522" r:id="rId713" xr:uid="{ACCD83CF-9009-469C-A8B8-C59A311A6DDB}"/>
    <hyperlink ref="L523" r:id="rId714" xr:uid="{738DEF9B-B885-474A-9FD7-9EDB7C49054E}"/>
    <hyperlink ref="L521" r:id="rId715" xr:uid="{06427F6E-CA4A-4E78-BEDF-CAD0D2D97723}"/>
    <hyperlink ref="L524" r:id="rId716" xr:uid="{9CD9574B-1FB2-43A9-BB50-438F49833303}"/>
    <hyperlink ref="L525" r:id="rId717" xr:uid="{E65677B6-0054-43AB-8A4B-158348E3AA08}"/>
    <hyperlink ref="L527" r:id="rId718" xr:uid="{281F4E24-8BE1-4730-BDBE-54D28A9F78EA}"/>
    <hyperlink ref="L528" r:id="rId719" xr:uid="{11F130F0-7F9B-4E5A-95A5-DAF4774F0F4F}"/>
    <hyperlink ref="L529" r:id="rId720" xr:uid="{752D0599-7465-435D-8BF8-36C0A7B9C897}"/>
    <hyperlink ref="L531" r:id="rId721" xr:uid="{F3E53000-3E9C-49D3-90E9-ECF98158DCEF}"/>
    <hyperlink ref="L530" r:id="rId722" xr:uid="{1CCF766B-9FFE-4BD8-A501-38B54CBD2236}"/>
    <hyperlink ref="L532" r:id="rId723" xr:uid="{6877CD39-A2D5-4F26-843F-C2767300C9BB}"/>
    <hyperlink ref="L533" r:id="rId724" xr:uid="{009B3561-B262-4943-88C2-8334FEE5D6D4}"/>
    <hyperlink ref="L534" r:id="rId725" xr:uid="{CD89E314-3456-4761-A079-E50A938C775E}"/>
    <hyperlink ref="L535" r:id="rId726" xr:uid="{2A8F13BA-B971-4145-A975-004EFA251432}"/>
    <hyperlink ref="L536" r:id="rId727" xr:uid="{1BDDBB68-AF28-476D-8996-441AD30F4ED5}"/>
    <hyperlink ref="L538" r:id="rId728" xr:uid="{147F4BDD-BBCD-4FC0-86B4-3D845EE0B240}"/>
    <hyperlink ref="L539" r:id="rId729" xr:uid="{C81A3977-EF97-4A70-99BE-65C9A8B68B92}"/>
    <hyperlink ref="L540" r:id="rId730" xr:uid="{D59C773E-CE02-45DD-9796-8BC1E629649F}"/>
    <hyperlink ref="O506" r:id="rId731" xr:uid="{CBD6F681-828A-4604-87CC-09803F07E379}"/>
    <hyperlink ref="O507" r:id="rId732" xr:uid="{4F5A07CB-D73A-4F11-ABDA-EEC7324A0877}"/>
    <hyperlink ref="O509" r:id="rId733" xr:uid="{ED9FC8AF-0E83-48E4-ACA0-B55C77015914}"/>
    <hyperlink ref="O510" r:id="rId734" xr:uid="{7EB6C074-ED22-4E44-92AC-EC1C41EC4727}"/>
    <hyperlink ref="O513" r:id="rId735" xr:uid="{4D2858BF-5436-451A-84E1-604635AF891F}"/>
    <hyperlink ref="O515" r:id="rId736" xr:uid="{0B869D5D-AB2C-46E9-AB7D-34634BB2ABC7}"/>
    <hyperlink ref="O517" r:id="rId737" xr:uid="{09061CFA-7CAB-4A40-9CD4-654D757ECD29}"/>
    <hyperlink ref="O518" r:id="rId738" xr:uid="{AC437000-BEA8-4B18-8E1E-707A8C9B717C}"/>
    <hyperlink ref="O520" r:id="rId739" xr:uid="{FDDA810B-DF1F-4A1A-BDF7-25C668FFADD3}"/>
    <hyperlink ref="O521" r:id="rId740" xr:uid="{A4314134-523D-4952-A82C-BABB13B397C8}"/>
    <hyperlink ref="O525" r:id="rId741" xr:uid="{EC8F3BB6-0F7E-4C76-AAED-7685D095F122}"/>
    <hyperlink ref="O526" r:id="rId742" xr:uid="{77F046F9-2D07-4D73-9C62-F807AE0E15D2}"/>
    <hyperlink ref="O527" r:id="rId743" xr:uid="{8F39DF41-F606-44B9-A341-BC28C38EEEA1}"/>
    <hyperlink ref="O528" r:id="rId744" xr:uid="{6E915354-8AD3-4FF1-B6ED-E77D06E92D0C}"/>
    <hyperlink ref="O529" r:id="rId745" xr:uid="{54AD082B-0740-4568-B64D-399AAC2A53DE}"/>
    <hyperlink ref="O532" r:id="rId746" xr:uid="{063F68D6-51C3-4665-823C-98D253EAF7FE}"/>
    <hyperlink ref="O533" r:id="rId747" xr:uid="{4D906DAA-EBBB-45A1-ACBF-55781B7FFC01}"/>
    <hyperlink ref="O537" r:id="rId748" xr:uid="{47943FAC-C5B4-482F-AEF6-10FD51304A2E}"/>
    <hyperlink ref="L733" r:id="rId749" xr:uid="{F6746624-74E6-4EE7-96A4-E95C09F4A3C1}"/>
    <hyperlink ref="O511" r:id="rId750" xr:uid="{FFA90D68-E67C-46A3-B9F2-76DB771CE7D0}"/>
    <hyperlink ref="L541" r:id="rId751" xr:uid="{68D8CED3-E2DB-434D-A199-543278027507}"/>
    <hyperlink ref="L545" r:id="rId752" xr:uid="{6252052B-BF6E-4FD8-8EB1-E3239D73E034}"/>
    <hyperlink ref="L542" r:id="rId753" xr:uid="{48892DEC-BB07-4A75-B565-22872B116525}"/>
    <hyperlink ref="L544" r:id="rId754" xr:uid="{497AE2FE-429F-4996-A884-A241B7A627E7}"/>
    <hyperlink ref="L546" r:id="rId755" xr:uid="{13EBFA33-3828-47EC-BEED-6CFC74EAAC01}"/>
    <hyperlink ref="L543" r:id="rId756" xr:uid="{0D287EF4-2540-40F8-BAB5-14A35D769A01}"/>
    <hyperlink ref="L549" r:id="rId757" xr:uid="{F84FE2C4-A88F-4DDF-AC82-0A9870F2E297}"/>
    <hyperlink ref="L547" r:id="rId758" xr:uid="{3BF7BCBE-97A1-45DB-BBE5-4D8E0D4A0242}"/>
    <hyperlink ref="L548" r:id="rId759" xr:uid="{536E7D29-30B8-43DB-B1B6-D4CE5C3838D0}"/>
    <hyperlink ref="L550" r:id="rId760" xr:uid="{73A4FECA-7CE8-4155-AD62-1F08625EE856}"/>
    <hyperlink ref="L552" r:id="rId761" xr:uid="{13DAD257-B3A6-442D-9A2D-D76F73801450}"/>
    <hyperlink ref="L551" r:id="rId762" xr:uid="{5FF0D798-A172-4923-9ED6-7B664159ADEC}"/>
    <hyperlink ref="L537" r:id="rId763" xr:uid="{830B5012-0BD6-431E-8F42-C0EC115F1C72}"/>
    <hyperlink ref="L553" r:id="rId764" xr:uid="{CD02B144-A6ED-43C9-A76C-F3688AC81082}"/>
    <hyperlink ref="L554" r:id="rId765" xr:uid="{4D05C54A-4A86-401C-BEF8-BA456E464514}"/>
    <hyperlink ref="O552" r:id="rId766" xr:uid="{BF3969BC-0B9B-47A6-A411-B721A582D40E}"/>
    <hyperlink ref="O536" r:id="rId767" xr:uid="{9E1F5195-802E-4872-AB84-8E34D2B4B557}"/>
    <hyperlink ref="O524" r:id="rId768" xr:uid="{7FD64E45-B965-42F1-A461-34BABFABCD6B}"/>
    <hyperlink ref="O512" r:id="rId769" xr:uid="{722287C6-B950-454F-BD2F-69D45C5D1A61}"/>
    <hyperlink ref="O534" r:id="rId770" xr:uid="{BD42780A-2ABD-4560-BB1A-B51A344A6E5C}"/>
    <hyperlink ref="O539" r:id="rId771" xr:uid="{0B510C1D-0074-46FF-BF68-EE0FB64E0354}"/>
    <hyperlink ref="L555" r:id="rId772" xr:uid="{10923278-F16F-49B9-B618-59A1932E5B89}"/>
    <hyperlink ref="L556" r:id="rId773" xr:uid="{7BB8EA59-72CA-4F9C-A480-1ADA2C85124D}"/>
    <hyperlink ref="O547" r:id="rId774" xr:uid="{CB9F5F34-3145-4143-B60A-3F98150F46AD}"/>
    <hyperlink ref="L211" r:id="rId775" xr:uid="{1CD4DCF5-3623-4920-B972-425C51B7E950}"/>
    <hyperlink ref="O535" r:id="rId776" xr:uid="{106AB2C5-0DD2-497E-BF61-1F759B40328B}"/>
    <hyperlink ref="L559" r:id="rId777" xr:uid="{3F854139-C7A2-4890-A01D-D34433F45BB9}"/>
    <hyperlink ref="L557" r:id="rId778" xr:uid="{6CCE7A5F-52F1-4C13-972A-85298ED3C9DE}"/>
    <hyperlink ref="L558" r:id="rId779" xr:uid="{82B09B4F-CE8C-4C91-8E26-E6022965197F}"/>
    <hyperlink ref="L560" r:id="rId780" xr:uid="{8562B5F4-F067-4ED4-B419-1EC80D83241B}"/>
    <hyperlink ref="L561" r:id="rId781" xr:uid="{9B13376A-9E52-404A-BDE7-96C1FCCF574F}"/>
    <hyperlink ref="O541" r:id="rId782" xr:uid="{E67771E3-B97C-4B40-AC6C-90A180113124}"/>
    <hyperlink ref="O545" r:id="rId783" xr:uid="{CFB26522-6618-4F41-AB4F-07C84B8EDF32}"/>
    <hyperlink ref="L563" r:id="rId784" xr:uid="{D1F4899C-CF1B-466E-88F4-46E8BEDF2D78}"/>
    <hyperlink ref="L564" r:id="rId785" xr:uid="{CC9F7648-6DAE-4A6A-8C66-475EFA5E3445}"/>
    <hyperlink ref="L565" r:id="rId786" xr:uid="{5676F9F6-0899-4130-901D-E1FF39A1970B}"/>
    <hyperlink ref="O544" r:id="rId787" xr:uid="{CE08DAFA-213D-4AF9-A250-1DC2EC4EECBC}"/>
    <hyperlink ref="O550" r:id="rId788" xr:uid="{7EB889B6-47F0-4F71-A424-FCC683E04517}"/>
    <hyperlink ref="O559" r:id="rId789" xr:uid="{76A8DB5C-6A74-4784-9905-600E75E87BCC}"/>
    <hyperlink ref="O557" r:id="rId790" xr:uid="{09557288-C37B-432D-AF49-D4B517916AD6}"/>
    <hyperlink ref="O540" r:id="rId791" xr:uid="{F3F29869-FADC-4E3D-8B33-90595DB26BC3}"/>
    <hyperlink ref="O558" r:id="rId792" xr:uid="{21E2CCF1-4A17-4CB2-9B8B-5BA48812D51B}"/>
    <hyperlink ref="O564" r:id="rId793" xr:uid="{663B8E88-077E-4F5D-A8F3-2D877BEA62CC}"/>
    <hyperlink ref="L567" r:id="rId794" xr:uid="{ADD6DAB4-28B6-40AA-8E0E-C573A4270E43}"/>
    <hyperlink ref="L568" r:id="rId795" xr:uid="{97D2EA40-57E7-43E9-A9C3-04B7E75A89F3}"/>
    <hyperlink ref="L596" r:id="rId796" xr:uid="{2EA669E2-5DCC-42A2-A71B-D60EA4238B26}"/>
    <hyperlink ref="L569" r:id="rId797" xr:uid="{EFEC047F-745C-41AB-9711-57AEDF47ED2D}"/>
    <hyperlink ref="L570" r:id="rId798" xr:uid="{7927D540-3624-4746-A6FA-98BA40A04C68}"/>
    <hyperlink ref="L572" r:id="rId799" xr:uid="{A6577A14-7E69-4A8C-8E3C-4052225A20B9}"/>
    <hyperlink ref="L571" r:id="rId800" xr:uid="{1D3EE8D7-20A1-43F5-BBE3-9B7CB0DB1536}"/>
    <hyperlink ref="O555" r:id="rId801" xr:uid="{3983FCC7-1F97-434D-8AA6-7F051B3DACF4}"/>
    <hyperlink ref="O563" r:id="rId802" xr:uid="{6BEA3A80-3C0D-432D-87C8-A198F36E76EC}"/>
    <hyperlink ref="O554" r:id="rId803" xr:uid="{A1E29852-8120-4467-B06D-115578237616}"/>
    <hyperlink ref="L573" r:id="rId804" xr:uid="{1C70ED48-3A53-429A-AD9B-BC99DC359009}"/>
    <hyperlink ref="L574" r:id="rId805" xr:uid="{A69C88C4-AE21-4877-87E2-F08DA1F58C91}"/>
    <hyperlink ref="L575" r:id="rId806" xr:uid="{47B68CA2-7752-44DA-B8B4-2A954762D0DE}"/>
    <hyperlink ref="L566" r:id="rId807" xr:uid="{D6F6EE22-8B8D-4FCA-BB1B-B7D2AF0F5167}"/>
    <hyperlink ref="L576" r:id="rId808" xr:uid="{90AB342F-6581-4078-9E0E-E4CB7C0BED99}"/>
    <hyperlink ref="L578" r:id="rId809" xr:uid="{F94C0E2B-46CB-4462-80A0-019ADCF1EB9B}"/>
    <hyperlink ref="L577" r:id="rId810" xr:uid="{913E9D3F-6DFC-4589-9D2E-0C773E987605}"/>
    <hyperlink ref="L579" r:id="rId811" xr:uid="{9A507D00-29BC-4F0D-9AD7-C2226F8DFB1A}"/>
    <hyperlink ref="O568" r:id="rId812" xr:uid="{FDF4E14C-3C42-4FE0-8306-0E4D298D7843}"/>
    <hyperlink ref="O572" r:id="rId813" xr:uid="{BD014391-4E3E-44ED-90E5-C817D93DC6BE}"/>
    <hyperlink ref="O566" r:id="rId814" xr:uid="{E9B5982A-DB7A-4405-968B-A807A235E6DF}"/>
    <hyperlink ref="L582" r:id="rId815" xr:uid="{DF64660B-106E-4776-9CC2-7E336EAC4099}"/>
    <hyperlink ref="O571" r:id="rId816" xr:uid="{0A0EE9B9-B670-41C9-9F3A-BE381EFE2E1D}"/>
    <hyperlink ref="O577" r:id="rId817" xr:uid="{DA750465-4CA5-4E6E-BC58-A3EED09FF729}"/>
    <hyperlink ref="O578" r:id="rId818" xr:uid="{DC5F3FF6-7A8A-403D-AFBC-9B95C9202D8D}"/>
    <hyperlink ref="O576" r:id="rId819" xr:uid="{5F06AB89-7A49-4FE2-AF63-B47FDFD91089}"/>
    <hyperlink ref="O579" r:id="rId820" xr:uid="{BA96B5F8-82EA-4258-BBE5-07DC2A162409}"/>
    <hyperlink ref="O580" r:id="rId821" xr:uid="{3E7DF10B-5AB7-4E3D-8D4D-61CF61357209}"/>
    <hyperlink ref="L584" r:id="rId822" xr:uid="{DAD4339D-B060-41A3-B9AB-84F293131DF7}"/>
    <hyperlink ref="L583" r:id="rId823" xr:uid="{231BC77D-68A1-4DEC-BDF5-160E5021B341}"/>
    <hyperlink ref="L586" r:id="rId824" xr:uid="{798FD4E1-C358-47F1-A797-A983E6EF6A68}"/>
    <hyperlink ref="L587" r:id="rId825" xr:uid="{20699E2D-81FA-4221-95FA-F1C69625CEC4}"/>
    <hyperlink ref="L590" r:id="rId826" xr:uid="{ACA5A8C5-DF18-4E49-9C92-AED3996EB6D7}"/>
    <hyperlink ref="L588" r:id="rId827" xr:uid="{4CD213D4-38ED-4D42-9E95-CD19A5BB8715}"/>
    <hyperlink ref="O587" r:id="rId828" xr:uid="{A7140007-1A7C-42C0-9C03-1909F09F5574}"/>
    <hyperlink ref="L592" r:id="rId829" xr:uid="{51C1D4D8-107A-4DF1-8E1B-D30F2E55D53A}"/>
    <hyperlink ref="L591" r:id="rId830" xr:uid="{807CD4FB-22E5-48BA-B69C-6E424FF455EE}"/>
    <hyperlink ref="O588" r:id="rId831" xr:uid="{8B8D198C-BAA4-451A-B7BD-42ACDF643391}"/>
    <hyperlink ref="O570" r:id="rId832" xr:uid="{55CE7535-5321-477E-80DA-ACD143EAA143}"/>
    <hyperlink ref="O573" r:id="rId833" xr:uid="{182164A2-3612-4FA6-B8DD-80D55C72D2C0}"/>
    <hyperlink ref="O583" r:id="rId834" xr:uid="{FB7A7075-DD99-4774-A0A7-3E00F5C9BF01}"/>
    <hyperlink ref="O575" r:id="rId835" xr:uid="{E94D5671-8E31-4973-94BA-B4D8CEA73F2C}"/>
    <hyperlink ref="L593" r:id="rId836" xr:uid="{8B1DA228-0A9D-4BFC-A92B-62C5CB2F7759}"/>
    <hyperlink ref="L589" r:id="rId837" xr:uid="{86BF1D7E-F6AA-4759-9B64-977832E9EB39}"/>
    <hyperlink ref="L594" r:id="rId838" xr:uid="{1D271ABA-BAE6-4201-A17D-D3AE8C199330}"/>
    <hyperlink ref="O593" r:id="rId839" xr:uid="{89E5F546-4E65-4636-B3F0-A7E1BD0927B3}"/>
    <hyperlink ref="L597" r:id="rId840" xr:uid="{908B23BC-052E-46B7-8F95-CC1659A50AEA}"/>
    <hyperlink ref="O538" r:id="rId841" xr:uid="{7BD47222-BEDE-43CE-958E-3A8A542ABB27}"/>
    <hyperlink ref="O546" r:id="rId842" xr:uid="{357A9975-F166-497B-836A-DE788C066911}"/>
    <hyperlink ref="O549" r:id="rId843" xr:uid="{BD4D91ED-D818-4EC4-B234-C5BF63B045C1}"/>
    <hyperlink ref="O569" r:id="rId844" xr:uid="{A37B279B-D7AA-4BC4-AABF-DDEF47C017E6}"/>
    <hyperlink ref="O581" r:id="rId845" xr:uid="{DEB418BA-3864-425A-AB03-F126CB933152}"/>
    <hyperlink ref="O585" r:id="rId846" xr:uid="{2B631D64-05CE-47D8-BCA5-0CCD8DE648F6}"/>
    <hyperlink ref="L598" r:id="rId847" xr:uid="{2C9846A2-F886-4421-B866-8BD7C2115087}"/>
    <hyperlink ref="L599" r:id="rId848" xr:uid="{39CA58B3-3669-47E2-BA9A-4A2D8B42A0CE}"/>
    <hyperlink ref="L600" r:id="rId849" xr:uid="{9754835D-A441-4234-A521-3A29F8F20F32}"/>
    <hyperlink ref="L601" r:id="rId850" xr:uid="{4D224BE3-F5FB-451D-99EE-447F1C90AD1B}"/>
    <hyperlink ref="O598" r:id="rId851" xr:uid="{9ED57626-3B49-4A7F-8A0B-6FE3E70F3232}"/>
    <hyperlink ref="O594" r:id="rId852" xr:uid="{50B2549A-CB76-4A6A-943F-79133563124D}"/>
    <hyperlink ref="O595" r:id="rId853" xr:uid="{7084E4A9-D6CB-41D2-A085-35271C101291}"/>
    <hyperlink ref="O597" r:id="rId854" xr:uid="{64CD719C-73BB-41C5-A071-AB2963C2695B}"/>
    <hyperlink ref="L603" r:id="rId855" xr:uid="{7A576D11-D5E0-4BB1-9411-C4271621B35E}"/>
    <hyperlink ref="L604" r:id="rId856" xr:uid="{AF472D28-E6CC-4B88-961B-6F5BF76FB990}"/>
    <hyperlink ref="L602" r:id="rId857" xr:uid="{250F2DA1-984B-4691-B6B7-EBB38F677755}"/>
    <hyperlink ref="O600" r:id="rId858" xr:uid="{F168DFDE-216E-4DC4-932C-F18D6230A07B}"/>
    <hyperlink ref="O601" r:id="rId859" xr:uid="{7A7F354A-3B64-40F5-94A8-BBDCA87A3FE2}"/>
    <hyperlink ref="O604" r:id="rId860" xr:uid="{AFCFE447-A21E-4E9B-A8B2-1BBC99EA3A3E}"/>
    <hyperlink ref="L605" r:id="rId861" xr:uid="{AC08AEB4-8D13-49B1-B42E-543B26C65B5C}"/>
    <hyperlink ref="L606" r:id="rId862" xr:uid="{AE804125-4670-41FD-904A-A18BED5830F9}"/>
    <hyperlink ref="L608" r:id="rId863" xr:uid="{BCC2903B-CB39-4E5A-AD0B-16464F10CA75}"/>
    <hyperlink ref="L609" r:id="rId864" xr:uid="{E01AB280-FFD0-46AE-8AD4-5C0F9ED1EB20}"/>
    <hyperlink ref="L562" r:id="rId865" xr:uid="{EA683A75-77C3-490C-9EA4-F6CD60ECBC59}"/>
    <hyperlink ref="L610" r:id="rId866" xr:uid="{8A9287D2-97BB-47FA-BC0F-4CAD16F5CA60}"/>
    <hyperlink ref="L611" r:id="rId867" xr:uid="{7FFE3B5C-5C52-47BA-9FF3-2938BC470F4B}"/>
    <hyperlink ref="O603" r:id="rId868" xr:uid="{8D708B35-FC4C-424D-8486-2005195D4FC4}"/>
    <hyperlink ref="O602" r:id="rId869" xr:uid="{758D2466-5C08-483D-A449-848C856B67EE}"/>
    <hyperlink ref="L607" r:id="rId870" xr:uid="{53F6F1E3-DA62-49A4-98FF-5473E210357B}"/>
    <hyperlink ref="O608" r:id="rId871" xr:uid="{E0ECDC7B-56B6-4590-98F2-91E075D193B7}"/>
    <hyperlink ref="O607" r:id="rId872" xr:uid="{F3D1BF1A-CE59-46DA-AE74-BF81DD3171FD}"/>
    <hyperlink ref="L612" r:id="rId873" xr:uid="{F46969A9-5FD2-4638-B938-08A83277B9BD}"/>
    <hyperlink ref="L613" r:id="rId874" xr:uid="{3F163DD7-0334-474F-9E7F-FC3ED028CAEF}"/>
    <hyperlink ref="L614" r:id="rId875" xr:uid="{33C406FD-F6CF-4898-B06E-3A64D0F1C70D}"/>
    <hyperlink ref="O610" r:id="rId876" xr:uid="{209770CF-ED11-426E-A7D5-8CDE27739D35}"/>
    <hyperlink ref="O611" r:id="rId877" xr:uid="{87E04F2A-19AD-44F8-9BFB-D87EB3DFAC7F}"/>
    <hyperlink ref="O612" r:id="rId878" xr:uid="{A31304CE-8ABF-4A93-BF83-384E93206532}"/>
    <hyperlink ref="O614" r:id="rId879" xr:uid="{2FF861F5-9E11-4086-B07B-770DF3F162F8}"/>
    <hyperlink ref="O609" r:id="rId880" xr:uid="{30EB8583-FF80-4887-8D55-FBD9DFE9503F}"/>
    <hyperlink ref="L615" r:id="rId881" xr:uid="{1D5FE503-C5AA-4815-B2BD-6B8E27448FCE}"/>
    <hyperlink ref="L616" r:id="rId882" xr:uid="{596701ED-9D62-499C-AD64-276890313B67}"/>
    <hyperlink ref="O615" r:id="rId883" xr:uid="{2B8D45AF-E282-4076-A254-54351FF2C2E8}"/>
    <hyperlink ref="L618" r:id="rId884" xr:uid="{A947308A-5B78-47BE-B8ED-C5EDCDBD21B4}"/>
    <hyperlink ref="L619" r:id="rId885" xr:uid="{03C1B57E-D1DA-4B64-92F2-B7FD843A79B6}"/>
    <hyperlink ref="L617" r:id="rId886" xr:uid="{38E88871-9A45-44C7-85F9-03F9C10A78F5}"/>
    <hyperlink ref="L620" r:id="rId887" xr:uid="{56C454E2-A808-4624-B3F5-3B285A282F6E}"/>
    <hyperlink ref="L622" r:id="rId888" xr:uid="{0746C4CE-B49D-44FE-A3D1-B932A0AB9106}"/>
    <hyperlink ref="L621" r:id="rId889" xr:uid="{A50BEF6C-4ED8-4098-A57B-2DE0380A037D}"/>
    <hyperlink ref="L623" r:id="rId890" xr:uid="{BBDE0BD1-C27A-4DF3-B68B-34EE514FCEB4}"/>
    <hyperlink ref="L626" r:id="rId891" xr:uid="{11214BCD-BB10-47CE-83AA-B7B4EEF97202}"/>
    <hyperlink ref="L625" r:id="rId892" xr:uid="{DA03AE51-5B77-43B3-B9EE-5D4CDC7E1875}"/>
    <hyperlink ref="L624" r:id="rId893" xr:uid="{9AD9D452-AE6F-4815-82C9-91FABE84CB75}"/>
    <hyperlink ref="L627" r:id="rId894" xr:uid="{1784FEE3-4858-43C3-B4ED-304AAF0FF763}"/>
    <hyperlink ref="L628" r:id="rId895" xr:uid="{D167B6EC-CC44-4980-9493-502D23E6D3EB}"/>
    <hyperlink ref="O616" r:id="rId896" xr:uid="{5DD25BF2-BEAE-4A92-9DE0-7059AD9A2A76}"/>
    <hyperlink ref="O618" r:id="rId897" xr:uid="{84BA1297-AA55-4D07-9F4B-E531CCDAE26D}"/>
    <hyperlink ref="O624" r:id="rId898" xr:uid="{3370BF97-27B9-4FF5-984D-B5360D4EB43D}"/>
    <hyperlink ref="L629" r:id="rId899" xr:uid="{1B0F9D07-0DD0-480A-9ADB-94E7A9EE7A62}"/>
    <hyperlink ref="L630" r:id="rId900" xr:uid="{E8D40CC0-6D18-4462-A962-9B1F906A532F}"/>
    <hyperlink ref="O617" r:id="rId901" xr:uid="{8D66A3D1-7C73-4AB5-8849-5751D0A1E636}"/>
    <hyperlink ref="O619" r:id="rId902" xr:uid="{F294EF69-C2A8-40EB-8E59-7393240713CF}"/>
    <hyperlink ref="O620" r:id="rId903" xr:uid="{31641ECC-E5A3-4983-8694-A71406ECA735}"/>
    <hyperlink ref="O623" r:id="rId904" xr:uid="{27C9A1A9-BBD8-4A2E-A42D-D3F21BBE1D86}"/>
    <hyperlink ref="L631" r:id="rId905" xr:uid="{29FEA5E3-5462-4DA1-A6EF-3F3253692581}"/>
    <hyperlink ref="O626" r:id="rId906" xr:uid="{CE831598-52B8-48FF-B9C0-29FB2E028058}"/>
    <hyperlink ref="O625" r:id="rId907" xr:uid="{19555672-8190-4095-8255-C6F1C3782ACA}"/>
    <hyperlink ref="L632" r:id="rId908" xr:uid="{AFBA1734-28AD-41B8-A5FB-427329442763}"/>
    <hyperlink ref="L633" r:id="rId909" xr:uid="{6DB8614A-770E-493E-A2B4-CE98A81F6322}"/>
    <hyperlink ref="L634" r:id="rId910" xr:uid="{99F5C08A-00D8-4595-BF45-B38F37BB2A8C}"/>
    <hyperlink ref="L635" r:id="rId911" xr:uid="{D34D31BF-2623-4CB2-9B08-A90FFDBDBF49}"/>
    <hyperlink ref="O632" r:id="rId912" xr:uid="{1041B961-D1F3-496A-92C8-A17144488AEE}"/>
    <hyperlink ref="O629" r:id="rId913" xr:uid="{0625B319-4793-4A01-8455-498467C53E8B}"/>
    <hyperlink ref="O630" r:id="rId914" xr:uid="{DA53415A-A668-438D-827D-CB267AAF33E9}"/>
    <hyperlink ref="O631" r:id="rId915" xr:uid="{A02DD329-7FA8-4BF8-A716-53C2DD36ED6F}"/>
    <hyperlink ref="L636" r:id="rId916" xr:uid="{17D26FE2-A1A5-4800-8B06-1AAFFB9A2A6A}"/>
    <hyperlink ref="L637" r:id="rId917" xr:uid="{31C3298D-A993-40AD-A22B-35875B1CB59D}"/>
    <hyperlink ref="L639" r:id="rId918" xr:uid="{4612678C-C9AB-4E84-8E23-0C5A857382C1}"/>
    <hyperlink ref="L638" r:id="rId919" xr:uid="{E84424FE-FA72-4A2C-8FBE-3CF643038337}"/>
    <hyperlink ref="L641" r:id="rId920" xr:uid="{3E7337D8-43D3-4C8B-86FE-89A45C3BDA97}"/>
    <hyperlink ref="L640" r:id="rId921" xr:uid="{69E2289B-3CF9-4E0B-83C5-EF05AA6058DB}"/>
    <hyperlink ref="L643" r:id="rId922" xr:uid="{5CC0EC12-70F1-4B18-8468-CCB6A660E6C3}"/>
    <hyperlink ref="L644" r:id="rId923" xr:uid="{087FA340-983F-4816-B8DC-34D8F9A63A24}"/>
    <hyperlink ref="L645" r:id="rId924" xr:uid="{8E02B9F9-B807-42F2-B889-58293D20E703}"/>
    <hyperlink ref="L646" r:id="rId925" xr:uid="{44A2E2D0-7B5C-4851-955F-BBCE941A6FCA}"/>
    <hyperlink ref="L648" r:id="rId926" xr:uid="{D52AA97A-2158-4B9D-9336-5AF7F7C6CA30}"/>
    <hyperlink ref="L647" r:id="rId927" xr:uid="{4A6500B4-B1B7-45AC-9D55-A789C7DC41BA}"/>
    <hyperlink ref="L649" r:id="rId928" xr:uid="{0CCC1BDB-7592-41A3-BC19-C109A2FBB8A6}"/>
    <hyperlink ref="O638" r:id="rId929" xr:uid="{FF00898A-DBFC-42F7-8C98-8D6C140AB445}"/>
    <hyperlink ref="O643" r:id="rId930" xr:uid="{ECEAF731-812B-4B41-ACA9-5A64ECA9FE9C}"/>
    <hyperlink ref="O645" r:id="rId931" xr:uid="{0B5370CB-9A2C-4FFC-BB58-BEF7B9847CC2}"/>
    <hyperlink ref="O640" r:id="rId932" xr:uid="{27759AC6-ED15-4D00-BECB-3D86BA4C48DA}"/>
    <hyperlink ref="O641" r:id="rId933" xr:uid="{E85A45EA-730F-4478-9D0B-28C916637921}"/>
    <hyperlink ref="L650" r:id="rId934" xr:uid="{9FF6E10B-56D8-4DBC-B40A-3E24F79C1BC0}"/>
    <hyperlink ref="L503" r:id="rId935" xr:uid="{5408F9C8-5A4A-49E9-9567-144D712D6200}"/>
    <hyperlink ref="L651" r:id="rId936" xr:uid="{0AF7D1F9-289C-4420-A342-DB289A68A8B1}"/>
    <hyperlink ref="L652" r:id="rId937" xr:uid="{4CDF39B9-35A0-4263-9438-7CA25AE1BDC0}"/>
    <hyperlink ref="L653" r:id="rId938" xr:uid="{1F6860F8-D048-4018-96D6-BE19FDF48937}"/>
    <hyperlink ref="L655" r:id="rId939" xr:uid="{FBC43B1C-9676-47BA-BA61-A5D150A895CB}"/>
    <hyperlink ref="L656" r:id="rId940" xr:uid="{C65EBEEF-28A9-4A65-83EF-EA881C0DE84B}"/>
    <hyperlink ref="O646" r:id="rId941" xr:uid="{1C8191B7-BBB7-4CDF-9FFC-05E6A91A5928}"/>
    <hyperlink ref="O648" r:id="rId942" xr:uid="{F0D09B3F-0B59-46C3-AF97-C991F6AB267B}"/>
    <hyperlink ref="L657" r:id="rId943" xr:uid="{5A05FEB1-E1F8-49B9-B3DF-F16F5A769ED7}"/>
    <hyperlink ref="L659" r:id="rId944" xr:uid="{FB64B94A-7102-47E6-A4F5-E2EF36747CFB}"/>
    <hyperlink ref="O651" r:id="rId945" xr:uid="{365D17F5-670C-4E12-BA89-51CB1F6B4985}"/>
    <hyperlink ref="O653" r:id="rId946" xr:uid="{E8A98EAA-D962-4E46-8315-10534607A2D4}"/>
    <hyperlink ref="O652" r:id="rId947" xr:uid="{B78E14E6-B9E1-4DA5-8EFD-FCCE6AA4D443}"/>
    <hyperlink ref="O656" r:id="rId948" xr:uid="{7571EAD8-0D39-4B73-AD71-4229C26B5536}"/>
    <hyperlink ref="O657" r:id="rId949" xr:uid="{AAB8364E-0D92-4CCF-81D1-2F7496BBFC3B}"/>
    <hyperlink ref="O658" r:id="rId950" xr:uid="{E15E849E-F52A-45AE-B9CB-EF08C016540D}"/>
    <hyperlink ref="L665" r:id="rId951" xr:uid="{B950AA54-EC0A-4B44-98E8-2B394D197233}"/>
    <hyperlink ref="O665" r:id="rId952" xr:uid="{A0A34288-C271-4677-B0F6-1B1C4B157CD8}"/>
    <hyperlink ref="O649" r:id="rId953" xr:uid="{003C3287-C836-4BD3-A640-C9015E7D0A44}"/>
    <hyperlink ref="L663" r:id="rId954" xr:uid="{BB290209-A3E1-4868-AF97-DB9DB4769E41}"/>
    <hyperlink ref="L664" r:id="rId955" xr:uid="{553B006E-9C58-406C-93A7-6510CBA62C52}"/>
    <hyperlink ref="L730" r:id="rId956" xr:uid="{9F72E2AD-1F64-4918-B23A-D96CF0C4FEF4}"/>
    <hyperlink ref="L731" r:id="rId957" xr:uid="{6A4F2FFD-2050-4BF2-9FB5-D4F14BA1BD13}"/>
    <hyperlink ref="L660" r:id="rId958" xr:uid="{00D45F31-671E-41A4-A0F0-A214E2526292}"/>
    <hyperlink ref="L661" r:id="rId959" xr:uid="{B757E4FD-A901-4545-BAD2-40D258A09F84}"/>
    <hyperlink ref="L666" r:id="rId960" xr:uid="{7B3DAAE7-2615-490C-B04F-E77D5BF75BF7}"/>
    <hyperlink ref="L662" r:id="rId961" xr:uid="{33BF8B1B-3C54-40E1-9518-CB7B26ACE54E}"/>
    <hyperlink ref="L669" r:id="rId962" xr:uid="{0308EAB4-AC1E-42B3-85D7-325B4D098073}"/>
    <hyperlink ref="L668" r:id="rId963" xr:uid="{4457906E-1438-46A4-9D87-A01D2FF15CE2}"/>
    <hyperlink ref="L667" r:id="rId964" xr:uid="{248CA30F-BF52-411F-ABB4-0983B38CA1B9}"/>
    <hyperlink ref="L672" r:id="rId965" xr:uid="{769DF4A8-DF0B-43F5-ADF5-F930E0C6A4A2}"/>
    <hyperlink ref="L670" r:id="rId966" xr:uid="{471EE247-30F3-42EB-9758-E00911373C21}"/>
    <hyperlink ref="O731" r:id="rId967" xr:uid="{A0C7EDA9-009F-4486-A8DF-852E081D7143}"/>
    <hyperlink ref="L671" r:id="rId968" xr:uid="{90FC4AA2-21C4-4C01-997A-D7A67752CB14}"/>
    <hyperlink ref="L674" r:id="rId969" xr:uid="{1A4C0384-570B-4EEB-9BCA-D3608CD059BE}"/>
    <hyperlink ref="O663" r:id="rId970" xr:uid="{AB3AC0C4-758D-400F-8125-D4877863219F}"/>
    <hyperlink ref="O666" r:id="rId971" xr:uid="{8963D08D-12F6-4635-A236-6CC1F0E69A10}"/>
    <hyperlink ref="O664" r:id="rId972" xr:uid="{4D8B00C6-C880-42FC-8350-9E2CA85D5052}"/>
    <hyperlink ref="O730" r:id="rId973" xr:uid="{34923C9D-4B00-421E-8943-68A4E96C80DF}"/>
    <hyperlink ref="O668" r:id="rId974" xr:uid="{42192331-705A-40B5-8DAE-32AC33BD639E}"/>
    <hyperlink ref="O660" r:id="rId975" xr:uid="{E3D2038F-8E08-4865-98F4-30F73CA78540}"/>
    <hyperlink ref="O662" r:id="rId976" xr:uid="{996E2CDE-4A9A-4774-9D49-48E2E568516E}"/>
    <hyperlink ref="O667" r:id="rId977" xr:uid="{93554FE3-1AE7-44D0-8B54-C950F13AB8ED}"/>
    <hyperlink ref="L642" r:id="rId978" xr:uid="{72AEC4D7-83B9-4AE9-96D0-1105F0DB5EF2}"/>
    <hyperlink ref="L673" r:id="rId979" xr:uid="{B99CB9AC-31BC-4FEE-A383-7D535F6400E3}"/>
    <hyperlink ref="O673" r:id="rId980" xr:uid="{7DA907BA-6F3A-4079-959E-4F3F91C7D975}"/>
    <hyperlink ref="L675" r:id="rId981" xr:uid="{5E3BF53C-CCBA-44DE-B097-999AD95A5CD1}"/>
    <hyperlink ref="L677" r:id="rId982" xr:uid="{1E3F3855-910A-4124-B25B-AEF6E7632F02}"/>
    <hyperlink ref="L676" r:id="rId983" xr:uid="{CD17972E-3F78-468D-8764-B973E3E1E4CB}"/>
    <hyperlink ref="L678" r:id="rId984" xr:uid="{8E2C7C47-3221-4ACE-A070-345BB0091B9F}"/>
    <hyperlink ref="L679" r:id="rId985" xr:uid="{3FF7BFF8-5DBF-481E-868F-75256F2F7F86}"/>
    <hyperlink ref="L681" r:id="rId986" xr:uid="{2EF3506F-4108-4F52-872B-D0FE2DEBC2FE}"/>
    <hyperlink ref="L680" r:id="rId987" xr:uid="{0012B1DC-2315-41B6-AEDA-50B46B0A23F6}"/>
    <hyperlink ref="L682" r:id="rId988" xr:uid="{86D20AD5-C4FF-4455-98FB-C5BED9B8B968}"/>
    <hyperlink ref="L684" r:id="rId989" xr:uid="{3F79B01B-756E-43E4-A7E5-DCB6320DCBF3}"/>
    <hyperlink ref="L683" r:id="rId990" xr:uid="{6D55D09A-0555-46DC-AE5B-3DCC778E5859}"/>
    <hyperlink ref="L687" r:id="rId991" xr:uid="{B2709326-FB4B-45BD-83EB-39B754B18D4C}"/>
    <hyperlink ref="O670" r:id="rId992" xr:uid="{A598BB8B-BA5F-4C42-A85B-EA4DACAA843A}"/>
    <hyperlink ref="O674" r:id="rId993" xr:uid="{C934066B-DB45-469F-B5B1-AC0D801724FF}"/>
    <hyperlink ref="O676" r:id="rId994" xr:uid="{25DDDFE5-60AA-4227-9B84-94D9FC3BC56D}"/>
    <hyperlink ref="O678" r:id="rId995" xr:uid="{FFC33DBA-2964-4308-9BE9-9B2BE038B02A}"/>
    <hyperlink ref="O684" r:id="rId996" xr:uid="{D0E4A63F-C16F-440F-A530-2C2670B7732B}"/>
    <hyperlink ref="L686" r:id="rId997" xr:uid="{B9C4B7BD-3933-4AB2-A1F4-369610BD291F}"/>
    <hyperlink ref="L689" r:id="rId998" xr:uid="{28444165-572F-434A-A118-BCEBB17BCDC2}"/>
    <hyperlink ref="L688" r:id="rId999" xr:uid="{46A52828-0E16-47C6-A14A-029A90760848}"/>
    <hyperlink ref="O672" r:id="rId1000" xr:uid="{FE27023E-4606-4A81-AE78-33AC65E29A28}"/>
    <hyperlink ref="O686" r:id="rId1001" xr:uid="{EC720D9E-7E67-4C2E-A7B8-85E12F16E65F}"/>
    <hyperlink ref="O688" r:id="rId1002" xr:uid="{C04E99F2-BFDE-4096-931F-E26F7F3D2E38}"/>
    <hyperlink ref="L691" r:id="rId1003" xr:uid="{8B6D4128-8424-45D0-BE8B-08996BEAF16F}"/>
    <hyperlink ref="L692" r:id="rId1004" xr:uid="{394F3987-09EC-4C81-9388-2D20649ACA07}"/>
    <hyperlink ref="L693" r:id="rId1005" xr:uid="{9658E081-2DDB-4996-BC10-B0227B5ADE15}"/>
    <hyperlink ref="L694" r:id="rId1006" xr:uid="{EBFECA3E-BBFF-4A7B-80BC-2914BB174F8D}"/>
    <hyperlink ref="L695" r:id="rId1007" xr:uid="{2D2BE160-3716-4BFE-A997-4E37F58C86B2}"/>
    <hyperlink ref="O683" r:id="rId1008" xr:uid="{B4F3DE7B-6298-45B2-95E6-40BFAA37A527}"/>
    <hyperlink ref="O691" r:id="rId1009" xr:uid="{50C4E763-B3D0-40D5-BD41-3647B66BCFE4}"/>
    <hyperlink ref="O692" r:id="rId1010" xr:uid="{E55D9EAF-1F2F-4CFB-BAC4-475A1F246767}"/>
    <hyperlink ref="O682" r:id="rId1011" xr:uid="{8F035DCF-0831-4DF3-8362-84A7CE8845B8}"/>
    <hyperlink ref="O693" r:id="rId1012" xr:uid="{CA894E6C-A23C-4BDD-8606-A8548D1312BB}"/>
    <hyperlink ref="O695" r:id="rId1013" xr:uid="{CCB89B29-3BC0-4260-84C1-1091FCB5FE52}"/>
    <hyperlink ref="L696" r:id="rId1014" xr:uid="{AA5EDE5C-53EF-4B8C-8166-BE7D677DFAC3}"/>
    <hyperlink ref="L697" r:id="rId1015" xr:uid="{C5E9269F-1198-47A3-BAA0-E7C6F34B54B8}"/>
    <hyperlink ref="L698" r:id="rId1016" xr:uid="{2D33F5D8-1CF2-482C-89B9-EBCA1D29F149}"/>
    <hyperlink ref="L699" r:id="rId1017" xr:uid="{CFCF2A41-484B-4107-B2F8-E6730BC1E105}"/>
    <hyperlink ref="O697" r:id="rId1018" xr:uid="{AFF55731-CEC6-4189-80F3-C4010EC1A4A3}"/>
    <hyperlink ref="L700" r:id="rId1019" xr:uid="{93179ECC-D2BE-4581-86B5-B1E8CFBC3404}"/>
    <hyperlink ref="L701" r:id="rId1020" xr:uid="{F21F2C91-E477-417C-8CFE-431F7467546B}"/>
    <hyperlink ref="L702" r:id="rId1021" xr:uid="{7629B1E8-ABBF-4001-AB12-C94296EF2692}"/>
    <hyperlink ref="L703" r:id="rId1022" xr:uid="{14C89AD2-5B4D-4823-B87F-EF3852145F2E}"/>
    <hyperlink ref="O687" r:id="rId1023" xr:uid="{CBB90C02-2DC4-4800-976E-72CB885774E1}"/>
    <hyperlink ref="O696" r:id="rId1024" xr:uid="{4757B952-1724-4A9A-894C-FE491479599D}"/>
    <hyperlink ref="O659" r:id="rId1025" xr:uid="{99D0D45F-F2E7-4D5D-A10F-6C54DDA9CA6B}"/>
    <hyperlink ref="O689" r:id="rId1026" xr:uid="{CC1E80A1-A6C5-4EFE-8231-F224F9FE7265}"/>
    <hyperlink ref="O702" r:id="rId1027" xr:uid="{135B0A9A-466C-4711-8096-C2B50B206D94}"/>
    <hyperlink ref="L704" r:id="rId1028" xr:uid="{A68601B4-0CB2-4BBA-B32B-EB418E40040D}"/>
    <hyperlink ref="L705" r:id="rId1029" xr:uid="{833AF05B-4E48-487D-B40E-9351D2B59008}"/>
    <hyperlink ref="L707" r:id="rId1030" xr:uid="{94369DD6-6460-45FF-B573-1CCE7D2CBD45}"/>
    <hyperlink ref="L706" r:id="rId1031" xr:uid="{1E4127C7-2098-4868-B34E-4A90B5600592}"/>
    <hyperlink ref="O706" r:id="rId1032" xr:uid="{6146C4DC-DA9A-4515-B394-16F548EC0CC7}"/>
    <hyperlink ref="L708" r:id="rId1033" xr:uid="{A796E8C0-1F88-49CA-9AC7-8BB6578D6167}"/>
    <hyperlink ref="L710" r:id="rId1034" xr:uid="{342FE68A-A4F2-4D7A-B739-55770CCF5D1F}"/>
    <hyperlink ref="L709" r:id="rId1035" xr:uid="{766A80EC-7492-4795-8E79-8A5DDAE5D633}"/>
    <hyperlink ref="L711" r:id="rId1036" xr:uid="{71BA7A36-6C8E-4431-8674-61EC0FE9828C}"/>
    <hyperlink ref="L712" r:id="rId1037" xr:uid="{C045AE13-9407-48EC-B375-8CA672480CDB}"/>
    <hyperlink ref="O707" r:id="rId1038" xr:uid="{1A9637BF-6D4B-4117-AD80-AA4D4B83BDA9}"/>
    <hyperlink ref="O704" r:id="rId1039" xr:uid="{6F12B7B8-94F1-4CC6-A134-843A840D7AC0}"/>
    <hyperlink ref="L714" r:id="rId1040" xr:uid="{A301FE5E-25CF-4EEE-AE97-F72D9090288A}"/>
    <hyperlink ref="L715" r:id="rId1041" xr:uid="{88B3D6B0-3BA5-4FEA-A0E0-DAEE2B4F690D}"/>
    <hyperlink ref="L713" r:id="rId1042" xr:uid="{7B36FCC6-E28A-4352-8834-4A3B19511980}"/>
    <hyperlink ref="L717" r:id="rId1043" xr:uid="{A752EEB9-3934-4674-8B13-55F292779280}"/>
    <hyperlink ref="L719" r:id="rId1044" xr:uid="{434F33BD-7873-46D2-9713-20B04382E27A}"/>
    <hyperlink ref="L718" r:id="rId1045" xr:uid="{1145B0AB-0060-4BF1-A1B0-066B2A915BBC}"/>
    <hyperlink ref="L716" r:id="rId1046" xr:uid="{9E72636B-3B51-4AC3-995F-D7555AE8BFAB}"/>
    <hyperlink ref="O716" r:id="rId1047" xr:uid="{C13C47F2-F296-4928-9DA7-BBA04EA4DD4A}"/>
    <hyperlink ref="L720" r:id="rId1048" xr:uid="{E86C2542-DF04-4227-B4DC-A63829FDAF90}"/>
    <hyperlink ref="L722" r:id="rId1049" xr:uid="{6F5A1F8A-F740-4866-8651-6B1656CFAD6D}"/>
    <hyperlink ref="L723" r:id="rId1050" xr:uid="{D0CA7830-7C61-4A73-AE3F-54E3F96E9E45}"/>
    <hyperlink ref="L724" r:id="rId1051" xr:uid="{0B425C77-8D72-45BC-995E-058F45B181A9}"/>
    <hyperlink ref="L721" r:id="rId1052" xr:uid="{16538A40-636B-4E2F-B122-0C5F8AEE00C8}"/>
    <hyperlink ref="L725" r:id="rId1053" xr:uid="{44B2202A-D8AB-4295-8577-94FEFA401018}"/>
    <hyperlink ref="L726" r:id="rId1054" xr:uid="{66098329-B536-4DA2-82D2-97DD6E3DD735}"/>
    <hyperlink ref="O708" r:id="rId1055" xr:uid="{0E0C55C1-D468-4458-AF49-C48C8C0CB91B}"/>
    <hyperlink ref="O711" r:id="rId1056" xr:uid="{0F7FCED2-533A-4C53-B627-0FA3438189DD}"/>
    <hyperlink ref="O712" r:id="rId1057" xr:uid="{4E016764-9C54-44BF-A815-6BFA0E174166}"/>
    <hyperlink ref="O714" r:id="rId1058" xr:uid="{E5FC7FD4-AFF0-48EA-A580-DAC10AA6CD78}"/>
    <hyperlink ref="O715" r:id="rId1059" xr:uid="{0E770DDB-8119-4F02-8EA8-E165C94A415D}"/>
    <hyperlink ref="O718" r:id="rId1060" xr:uid="{C4BA15CE-3BCB-4ACA-BAA5-071DDEFF2A3E}"/>
    <hyperlink ref="O713" r:id="rId1061" xr:uid="{ADC01E24-0FF1-4432-ABF3-5AF075E2CC5B}"/>
    <hyperlink ref="O717" r:id="rId1062" xr:uid="{BE8D337D-C2EB-43C6-B0D3-501E248FA96B}"/>
    <hyperlink ref="O719" r:id="rId1063" xr:uid="{C86E4E0C-984D-4F1B-B6E6-C1948109E737}"/>
    <hyperlink ref="O720" r:id="rId1064" xr:uid="{55D605D0-5245-4C25-BAB2-C8EED6CDB444}"/>
    <hyperlink ref="O723" r:id="rId1065" xr:uid="{28D8AF3F-5A37-4E2A-B3DD-77756A2C2CA6}"/>
    <hyperlink ref="O726" r:id="rId1066" xr:uid="{B129DE45-D645-4247-8892-9B0613FEBC27}"/>
    <hyperlink ref="L727" r:id="rId1067" xr:uid="{58D0AA5C-B2B6-4E04-8DBB-41CCB2DB97A2}"/>
    <hyperlink ref="O721" r:id="rId1068" xr:uid="{01E413C2-E72C-4A40-82CF-0090AC081CE2}"/>
    <hyperlink ref="L729" r:id="rId1069" xr:uid="{374BDEC9-752C-44BD-A0B4-EF0585EB29F5}"/>
    <hyperlink ref="L728" r:id="rId1070" xr:uid="{6E680A8F-A277-459E-80D9-9D73B02283E6}"/>
    <hyperlink ref="L740" r:id="rId1071" xr:uid="{F83B09AE-200C-4ACD-84A6-E73EF1A0C9A0}"/>
    <hyperlink ref="O729" r:id="rId1072" xr:uid="{E288E29B-A236-450F-96EA-49F03F15407F}"/>
    <hyperlink ref="L742" r:id="rId1073" xr:uid="{9B01F313-00E7-49A7-9301-5E1277013A9C}"/>
    <hyperlink ref="O742" r:id="rId1074" xr:uid="{4F7AFCBD-5FBB-4903-99F5-630C5D0C9525}"/>
    <hyperlink ref="O740" r:id="rId1075" xr:uid="{06CE62BD-FBD6-4104-8589-0384DFFE6825}"/>
    <hyperlink ref="L735" r:id="rId1076" xr:uid="{21CDA7FB-7A6D-4A3D-A4F0-4792E7C1E836}"/>
    <hyperlink ref="L732" r:id="rId1077" xr:uid="{9599F6E6-2A86-4D44-B49B-D6208A88912F}"/>
    <hyperlink ref="L734" r:id="rId1078" xr:uid="{84D4777B-0E5B-4A68-AEFE-C9A75C2AB551}"/>
    <hyperlink ref="L736" r:id="rId1079" xr:uid="{CEC298ED-0AED-44FE-807E-9F41F17035F9}"/>
    <hyperlink ref="O734" r:id="rId1080" xr:uid="{25834713-8A1F-488A-9B65-6B7821A5A042}"/>
    <hyperlink ref="L738" r:id="rId1081" xr:uid="{8DA3E00F-7769-4F4F-A3A6-20F8D8C25179}"/>
    <hyperlink ref="L739" r:id="rId1082" xr:uid="{C3671053-E845-45E3-A127-FA66401DB705}"/>
    <hyperlink ref="L741" r:id="rId1083" xr:uid="{32F8A330-C711-45DD-BAF6-90FCE2C8939A}"/>
    <hyperlink ref="L737" r:id="rId1084" xr:uid="{B60B01E9-87F3-45ED-8B08-D39F790BC988}"/>
    <hyperlink ref="L749" r:id="rId1085" xr:uid="{AF3179C0-BE0C-4980-9710-1D87AD31C70A}"/>
    <hyperlink ref="L760" r:id="rId1086" xr:uid="{4CA1E92B-BC36-493C-AC20-3DA27C0FB776}"/>
    <hyperlink ref="L743" r:id="rId1087" xr:uid="{7BCEA003-5684-41DA-8416-A356A8C7F6FB}"/>
    <hyperlink ref="O760" r:id="rId1088" xr:uid="{CDF3240E-3D3E-47E3-B263-38E52448990F}"/>
    <hyperlink ref="O737" r:id="rId1089" xr:uid="{861B99F0-2954-4797-990A-A1765950D0FC}"/>
    <hyperlink ref="O741" r:id="rId1090" xr:uid="{C7A5D103-0D77-404C-916F-21C283096DD4}"/>
    <hyperlink ref="O749" r:id="rId1091" xr:uid="{472C2EB6-D144-457E-9985-C8F3B34311D9}"/>
    <hyperlink ref="O739" r:id="rId1092" xr:uid="{EA981464-289D-4A2B-84C2-E7CE1E71D1D8}"/>
    <hyperlink ref="L745" r:id="rId1093" xr:uid="{B1CB010C-AB26-4782-84B0-288B7F52CCE8}"/>
    <hyperlink ref="L744" r:id="rId1094" xr:uid="{F6FB36B9-3505-4C76-9220-C58C7FD26234}"/>
    <hyperlink ref="L747" r:id="rId1095" xr:uid="{1F7234B5-A4A1-4C39-9072-3CF85458EE12}"/>
    <hyperlink ref="L748" r:id="rId1096" xr:uid="{FAB77622-817F-4240-8C5E-97A6B936DFB6}"/>
    <hyperlink ref="L746" r:id="rId1097" xr:uid="{805D6650-3828-4F4D-A12C-1D5F62C87850}"/>
    <hyperlink ref="L761" r:id="rId1098" xr:uid="{4FD34271-4DF0-45CD-9396-83C48431305E}"/>
    <hyperlink ref="O735" r:id="rId1099" xr:uid="{F9BE57BE-B07C-4592-BAD9-2E76A55AB337}"/>
    <hyperlink ref="L750" r:id="rId1100" xr:uid="{C4273996-DDB5-4C19-9C61-C8CDBD9CFC91}"/>
    <hyperlink ref="O761" r:id="rId1101" xr:uid="{E133DE17-7BFB-4A2F-A154-2887108DC542}"/>
    <hyperlink ref="L751" r:id="rId1102" xr:uid="{5A5D01FF-E3E9-4319-AA3E-60D739CF981F}"/>
    <hyperlink ref="L752" r:id="rId1103" xr:uid="{3981D30A-5269-4876-AA82-4577FEA55864}"/>
    <hyperlink ref="O733" r:id="rId1104" xr:uid="{317F0415-8A19-42DE-80F4-B87CD9EC9876}"/>
    <hyperlink ref="L753" r:id="rId1105" xr:uid="{C43CD48B-265B-4428-A0A3-DE44CFF732E7}"/>
    <hyperlink ref="L754" r:id="rId1106" xr:uid="{96304DC6-DEFB-4429-9DBD-34596E720A7C}"/>
    <hyperlink ref="L756" r:id="rId1107" xr:uid="{2FDBB625-7CE8-4A8C-9176-390150F71B3B}"/>
    <hyperlink ref="O751" r:id="rId1108" xr:uid="{9428D9A8-39DD-4402-BEE1-A0F10E431CB4}"/>
    <hyperlink ref="O753" r:id="rId1109" xr:uid="{40AA9771-0A48-4847-8279-1DEF24354D6A}"/>
    <hyperlink ref="L755" r:id="rId1110" xr:uid="{97B59F3A-9982-41B8-9FF1-C891883C072A}"/>
    <hyperlink ref="L758" r:id="rId1111" xr:uid="{E9BF9526-A83F-43A3-A6E6-E33F18F4663B}"/>
    <hyperlink ref="O746" r:id="rId1112" xr:uid="{7169E050-6CDB-46BF-AA26-6530A0C5A70F}"/>
    <hyperlink ref="L757" r:id="rId1113" xr:uid="{8F507BC3-B9A5-48A6-BB93-BA73DCA6D23B}"/>
    <hyperlink ref="O750" r:id="rId1114" xr:uid="{0B784470-D906-4758-9018-8046B4B03B9C}"/>
    <hyperlink ref="L765" r:id="rId1115" xr:uid="{3FB81F8F-911E-401A-B684-276932A50D04}"/>
    <hyperlink ref="L759" r:id="rId1116" xr:uid="{2DCFC209-4E55-437E-8ED6-61CA2BE8A3DB}"/>
    <hyperlink ref="L775" r:id="rId1117" xr:uid="{D54C7694-6F3B-4205-A923-7BF2865B0453}"/>
    <hyperlink ref="L766" r:id="rId1118" xr:uid="{D5EBE919-7A14-4DF4-B27F-9B2D56464428}"/>
    <hyperlink ref="L763" r:id="rId1119" xr:uid="{18042778-3C43-43DD-BA64-EC8F62918310}"/>
    <hyperlink ref="L778" r:id="rId1120" xr:uid="{EC00487E-C980-4714-9E9A-C4F2A796829E}"/>
    <hyperlink ref="L764" r:id="rId1121" xr:uid="{0B5DC64D-85BE-4FAE-9F5E-C554C19E4B4A}"/>
    <hyperlink ref="O758" r:id="rId1122" xr:uid="{0F0091F4-8FC1-4E1B-8D69-F28AA6306306}"/>
    <hyperlink ref="O757" r:id="rId1123" xr:uid="{BF49BEAA-D370-4930-97A7-F88EC33534B2}"/>
    <hyperlink ref="O765" r:id="rId1124" xr:uid="{794A51AA-7982-4111-93A9-0B052B401563}"/>
    <hyperlink ref="O752" r:id="rId1125" xr:uid="{EA7BD1BA-0D29-4C75-AB23-21E2BBD040F4}"/>
    <hyperlink ref="O755" r:id="rId1126" xr:uid="{28783DED-9913-4645-9CF2-32CAFD9C64A0}"/>
    <hyperlink ref="O756" r:id="rId1127" xr:uid="{41C7EE22-AE59-4935-AE69-7D11F2DC10B9}"/>
    <hyperlink ref="O764" r:id="rId1128" xr:uid="{36445B3B-79C2-466C-9160-523E9C9DB3E4}"/>
    <hyperlink ref="L762" r:id="rId1129" xr:uid="{D24FB051-A828-412C-B631-D6BD365791AE}"/>
    <hyperlink ref="L768" r:id="rId1130" xr:uid="{FC4AB712-CACB-48EB-9F99-71B33CAE781D}"/>
    <hyperlink ref="L767" r:id="rId1131" xr:uid="{5452234F-8590-48AB-A3FF-4DCA520692D4}"/>
    <hyperlink ref="L769" r:id="rId1132" xr:uid="{09B68940-E1E3-4644-9FFF-BFDAAED09479}"/>
    <hyperlink ref="L772" r:id="rId1133" xr:uid="{C5F09D25-F524-4CD9-BABC-59F19624DB50}"/>
    <hyperlink ref="L771" r:id="rId1134" xr:uid="{9A2E3824-D7F8-464E-99E1-C43AAA40F80C}"/>
    <hyperlink ref="O754" r:id="rId1135" xr:uid="{5889B5A2-D69A-48A8-9914-EBEA980A80D0}"/>
    <hyperlink ref="O775" r:id="rId1136" xr:uid="{E896A23E-BFB4-4320-9194-6EC8E7BECB16}"/>
    <hyperlink ref="O763" r:id="rId1137" xr:uid="{29FFBCB0-FBA8-47FF-85D7-C11C9F91AA39}"/>
    <hyperlink ref="O778" r:id="rId1138" xr:uid="{6F7639FD-8D4E-4E17-9560-707E0E5B8124}"/>
    <hyperlink ref="O759" r:id="rId1139" xr:uid="{5AC72856-139C-4E0A-97DB-BAB2DBE09A1D}"/>
    <hyperlink ref="O762" r:id="rId1140" xr:uid="{4CE067ED-6627-4A30-80AA-9DCDC400FD76}"/>
    <hyperlink ref="O768" r:id="rId1141" xr:uid="{CCFFD8C7-3D8B-4FA7-954B-3E95C112E608}"/>
    <hyperlink ref="L773" r:id="rId1142" xr:uid="{9107281B-A2CF-484B-B284-E8D62BF11D89}"/>
    <hyperlink ref="L774" r:id="rId1143" xr:uid="{96B842FE-F21A-4B17-AA28-D456C1131084}"/>
    <hyperlink ref="O774" r:id="rId1144" xr:uid="{68250049-3747-4F9B-BADA-3F119B3956DC}"/>
    <hyperlink ref="O772" r:id="rId1145" xr:uid="{AA4A2BE1-695F-4A92-9AEC-AD67F6EC6A0A}"/>
    <hyperlink ref="L783" r:id="rId1146" xr:uid="{868DED92-474A-440E-BBAB-83E25B5CE6A9}"/>
    <hyperlink ref="L777" r:id="rId1147" xr:uid="{16336054-919A-4980-B57A-149F800BC2B6}"/>
    <hyperlink ref="L785" r:id="rId1148" xr:uid="{836AB906-530D-46FA-8F95-C12821E52750}"/>
    <hyperlink ref="L776" r:id="rId1149" xr:uid="{B2A2AF98-991C-4C16-8A5A-B104C25D9263}"/>
    <hyperlink ref="L779" r:id="rId1150" xr:uid="{51DC08A1-CC7E-44E7-AEF6-DC9B0B345A3F}"/>
    <hyperlink ref="L781" r:id="rId1151" xr:uid="{9E480F9F-3493-4371-B3E2-679ECA112355}"/>
    <hyperlink ref="L780" r:id="rId1152" xr:uid="{FFD8E9ED-4658-4FE2-875E-60E6AA8EC714}"/>
    <hyperlink ref="O728" r:id="rId1153" xr:uid="{10BC9002-1088-4314-B543-58215E809647}"/>
    <hyperlink ref="L782" r:id="rId1154" xr:uid="{15E14249-05C2-48B5-B68E-41424B7190CE}"/>
    <hyperlink ref="L796" r:id="rId1155" xr:uid="{4CD88B95-2B80-4BCD-ABFA-5B46852C1246}"/>
    <hyperlink ref="L770" r:id="rId1156" xr:uid="{648ADB6F-81D5-425B-AF7A-E9EEBC006F12}"/>
    <hyperlink ref="O773" r:id="rId1157" xr:uid="{D7C7DA40-CBAB-4C17-A3A5-67AC693E077C}"/>
    <hyperlink ref="O769" r:id="rId1158" xr:uid="{92CBADD7-0894-44D8-AED0-B48D940DAB13}"/>
    <hyperlink ref="O785" r:id="rId1159" xr:uid="{9B7D494E-744C-4177-9770-D6B795C08E8D}"/>
    <hyperlink ref="O777" r:id="rId1160" xr:uid="{771F0489-2998-4EBD-9F00-B698755035FC}"/>
    <hyperlink ref="O780" r:id="rId1161" xr:uid="{93935346-A77D-4040-8399-08C6662B3C12}"/>
    <hyperlink ref="O779" r:id="rId1162" xr:uid="{177BF919-0DF7-467A-B889-9DF2B2FC7357}"/>
    <hyperlink ref="O781" r:id="rId1163" xr:uid="{74E7882B-89BE-4041-B122-8969F8AA247D}"/>
    <hyperlink ref="L784" r:id="rId1164" xr:uid="{6841CB56-CAC9-489D-A017-6DEE1812417F}"/>
    <hyperlink ref="L817" r:id="rId1165" xr:uid="{404004C1-F1DA-4977-A7A9-DCEDC5DD40D7}"/>
    <hyperlink ref="O817" r:id="rId1166" xr:uid="{1429A655-2F8F-4351-8747-A08403FEE5CA}"/>
    <hyperlink ref="O784" r:id="rId1167" xr:uid="{D3CD886E-B647-46BD-A458-18315FF9762F}"/>
    <hyperlink ref="O776" r:id="rId1168" xr:uid="{EAC0E224-1680-41FA-9BDC-095386790050}"/>
    <hyperlink ref="L786" r:id="rId1169" xr:uid="{8A3D7961-D41D-48FB-9AF3-B70843A2B158}"/>
    <hyperlink ref="L787" r:id="rId1170" xr:uid="{667A401F-DB02-457F-9D55-50CA275240BB}"/>
    <hyperlink ref="L788" r:id="rId1171" xr:uid="{1CACF83F-FF50-4636-8A53-7FEC5C5922C9}"/>
    <hyperlink ref="L789" r:id="rId1172" xr:uid="{57034174-29D4-41B8-93C8-FA1F09D25EC3}"/>
    <hyperlink ref="L790" r:id="rId1173" xr:uid="{004BB89A-826A-400E-AB33-B469A8718E90}"/>
    <hyperlink ref="O770" r:id="rId1174" xr:uid="{A0739CF6-7319-4E9E-A509-8C89F31C1510}"/>
    <hyperlink ref="O796" r:id="rId1175" xr:uid="{7660B6AF-B43C-4011-97E5-15C1501D5EF5}"/>
    <hyperlink ref="O782" r:id="rId1176" xr:uid="{58C6A1C5-DB07-4A79-A1ED-F5EB0BDD876C}"/>
    <hyperlink ref="L792" r:id="rId1177" xr:uid="{1F0281C9-61B7-40A8-8E65-92C4381EC116}"/>
    <hyperlink ref="L791" r:id="rId1178" xr:uid="{EB74087A-6942-4061-B04F-DEF7CF79E238}"/>
    <hyperlink ref="L793" r:id="rId1179" xr:uid="{3E585EEB-F25E-47D1-B451-3DC2A808E0B4}"/>
    <hyperlink ref="L794" r:id="rId1180" xr:uid="{A42DA85A-428C-4818-90FD-3B8EC6CE2DA6}"/>
    <hyperlink ref="L795" r:id="rId1181" xr:uid="{2FFDC7F3-E89E-4185-B532-85DE26B2E394}"/>
    <hyperlink ref="L819" r:id="rId1182" xr:uid="{1DF235F9-C886-41A9-A3BD-C9E58466A28E}"/>
    <hyperlink ref="O792" r:id="rId1183" xr:uid="{B95D1DBA-53C5-419F-953D-EF233693410A}"/>
    <hyperlink ref="O791" r:id="rId1184" xr:uid="{47BA8FAD-11ED-415E-A6AF-968B751B9854}"/>
    <hyperlink ref="O794" r:id="rId1185" xr:uid="{51F2702D-B39E-4499-9E2A-87A637CC9165}"/>
    <hyperlink ref="O787" r:id="rId1186" xr:uid="{AA06EDD3-8E68-4DC2-B4CC-D5B64C7CD916}"/>
    <hyperlink ref="O789" r:id="rId1187" xr:uid="{F78F4C6C-7E3A-4023-A9C5-8062152F6B51}"/>
    <hyperlink ref="O788" r:id="rId1188" xr:uid="{BCA9A609-144E-4C22-A6FC-D5FAB2A95438}"/>
    <hyperlink ref="L797" r:id="rId1189" xr:uid="{044432FD-870A-4895-B84E-8D5EC38978AE}"/>
    <hyperlink ref="L798" r:id="rId1190" xr:uid="{3A6DA5BD-F318-4729-8E30-2A2098859A55}"/>
    <hyperlink ref="L801" r:id="rId1191" xr:uid="{08EE2B72-CD4B-4BDD-8BFF-9B2A815AB3D9}"/>
    <hyperlink ref="O790" r:id="rId1192" xr:uid="{5D7C9264-5C1B-42F3-9C32-255564E087AF}"/>
    <hyperlink ref="L799" r:id="rId1193" xr:uid="{BB9F82D0-3BD8-4D61-85E4-149E279BABE8}"/>
    <hyperlink ref="O771" r:id="rId1194" xr:uid="{57E5BBA3-2BA8-46B2-A1F9-8E774FF5C34D}"/>
    <hyperlink ref="O783" r:id="rId1195" xr:uid="{F1138BCB-21D9-4468-A605-425216074CE5}"/>
    <hyperlink ref="L802" r:id="rId1196" xr:uid="{523A6AC3-FC44-470D-911B-88EBA563B3F8}"/>
    <hyperlink ref="L803" r:id="rId1197" xr:uid="{B37F5A0A-DC95-4A1D-81DB-C7345248D199}"/>
    <hyperlink ref="O799" r:id="rId1198" xr:uid="{A5A0CACB-55B7-4663-8B56-25A446ACED81}"/>
    <hyperlink ref="O798" r:id="rId1199" xr:uid="{93A16CFA-2B9E-4F67-81DC-C80FEFF3C236}"/>
    <hyperlink ref="O797" r:id="rId1200" xr:uid="{4FA30E13-8388-4C1A-8F0E-C54FE0DF9BDE}"/>
    <hyperlink ref="O793" r:id="rId1201" xr:uid="{B5BB21D4-839B-4814-B156-8109C98B317A}"/>
    <hyperlink ref="L804" r:id="rId1202" xr:uid="{BDCB0239-33B7-42F2-B8CB-81E8975763D2}"/>
    <hyperlink ref="L805" r:id="rId1203" xr:uid="{17F44CA8-01C3-4088-A97C-C1FE717BB22F}"/>
    <hyperlink ref="L807" r:id="rId1204" xr:uid="{951BB7D7-D77B-449C-8080-553E24EFC8BB}"/>
    <hyperlink ref="L806" r:id="rId1205" xr:uid="{D8109684-E662-4E2D-8806-8C609FECBFF7}"/>
    <hyperlink ref="L808" r:id="rId1206" xr:uid="{7652885D-2964-4749-B66F-1C0AB80562FD}"/>
    <hyperlink ref="L810" r:id="rId1207" xr:uid="{F8704267-6A08-4BFF-A809-B6829C53A5E1}"/>
    <hyperlink ref="O801" r:id="rId1208" xr:uid="{7250C8C0-71AB-407F-818B-D9244E10DD1C}"/>
    <hyperlink ref="O804" r:id="rId1209" xr:uid="{7662ED00-2671-433E-A320-60A54975AA90}"/>
    <hyperlink ref="O805" r:id="rId1210" xr:uid="{3B67509E-E14E-43AC-AB96-478A6130F77D}"/>
    <hyperlink ref="O803" r:id="rId1211" xr:uid="{A580E2A3-B79E-4EA9-8A02-4B6A3B4383C2}"/>
    <hyperlink ref="L812" r:id="rId1212" xr:uid="{AE150CC0-2F33-4A8A-8A7E-10209125DC82}"/>
    <hyperlink ref="L809" r:id="rId1213" xr:uid="{3F7720FB-4EF3-4590-949A-272C93BF233F}"/>
    <hyperlink ref="L813" r:id="rId1214" xr:uid="{BDA66755-08FD-46E1-9C9A-390E25B0E9FE}"/>
    <hyperlink ref="O795" r:id="rId1215" xr:uid="{E39FBBF8-4DB0-464B-9964-B40A5656CE28}"/>
    <hyperlink ref="O808" r:id="rId1216" xr:uid="{9FF62A28-65E3-483D-BD3C-FFA077FDC331}"/>
    <hyperlink ref="L815" r:id="rId1217" xr:uid="{820B16F1-BBFA-40E5-BE3F-79A491A8CD67}"/>
    <hyperlink ref="L816" r:id="rId1218" xr:uid="{01FA31CB-F2E7-4A2A-8FAC-7D1CE2ABC7B7}"/>
    <hyperlink ref="O812" r:id="rId1219" xr:uid="{04235B05-5D40-4770-8023-4F8D96CFA7EE}"/>
    <hyperlink ref="O813" r:id="rId1220" xr:uid="{FC42F6B5-F31B-439D-9274-A4895F1DEBB9}"/>
    <hyperlink ref="O786" r:id="rId1221" xr:uid="{334DE4F5-87DD-425C-A751-2363A329F0CB}"/>
    <hyperlink ref="L820" r:id="rId1222" xr:uid="{52EEB5EF-11F4-4B58-BDC3-6ECFD4ACCEE6}"/>
    <hyperlink ref="O806" r:id="rId1223" xr:uid="{D654B3EA-A270-433D-90F8-60476A08730D}"/>
    <hyperlink ref="O809" r:id="rId1224" xr:uid="{12AEEF4B-BC15-4163-BFC3-CF0244061F15}"/>
    <hyperlink ref="O819" r:id="rId1225" xr:uid="{EB678575-E429-43CD-8559-0E8C8B2ACE70}"/>
    <hyperlink ref="O815" r:id="rId1226" xr:uid="{D08EA763-46FB-4AE7-AB26-6CA6F6891451}"/>
    <hyperlink ref="O810" r:id="rId1227" xr:uid="{FCBD5051-25E7-47BF-80A1-82498EFEB2F9}"/>
    <hyperlink ref="O814" r:id="rId1228" xr:uid="{5A05C821-0759-4596-9235-D1A090926857}"/>
    <hyperlink ref="O816" r:id="rId1229" xr:uid="{4D958108-842F-479A-90A8-CB83A8F79F18}"/>
    <hyperlink ref="O807" r:id="rId1230" xr:uid="{7A3A3344-B2F7-42F6-A622-43448F8152EA}"/>
    <hyperlink ref="L818" r:id="rId1231" xr:uid="{D2285EAC-B3C2-4745-8837-411A3017352B}"/>
    <hyperlink ref="L821" r:id="rId1232" xr:uid="{6E51FC72-ED4F-4415-9958-B2F6E957BF51}"/>
    <hyperlink ref="L654" r:id="rId1233" xr:uid="{94E43455-DC4C-4909-93D1-87FAEC0B94AF}"/>
    <hyperlink ref="L825" r:id="rId1234" xr:uid="{AC649C1D-F79D-4A29-8A99-A44E9B14A008}"/>
    <hyperlink ref="L822" r:id="rId1235" xr:uid="{E1EF742E-0978-4978-B64E-078465FC1963}"/>
    <hyperlink ref="O818" r:id="rId1236" xr:uid="{FA302510-368D-4641-93F5-00F9CA6F84A5}"/>
    <hyperlink ref="O654" r:id="rId1237" xr:uid="{3B02C071-D209-4B93-8033-1FDB4AD880B4}"/>
    <hyperlink ref="O802" r:id="rId1238" xr:uid="{F2F121F9-CCE5-4D7A-8377-E1CA9607157E}"/>
    <hyperlink ref="L826" r:id="rId1239" xr:uid="{610F4177-C49A-4A34-9719-C2042426D0AD}"/>
    <hyperlink ref="L823" r:id="rId1240" xr:uid="{5E5E404F-78C7-4A90-86BC-6B0F3CFBBB3A}"/>
    <hyperlink ref="L824" r:id="rId1241" xr:uid="{86569CBA-20B3-4128-8D77-E468C802285F}"/>
    <hyperlink ref="L827" r:id="rId1242" xr:uid="{D90A5C5B-58B5-4C48-A025-B6382D0957E6}"/>
    <hyperlink ref="L829" r:id="rId1243" xr:uid="{A1F5B91B-D642-4DD3-8B96-EE4DFC8B824D}"/>
    <hyperlink ref="L828" r:id="rId1244" xr:uid="{6D8D6D52-BC76-40ED-A0B7-A621216C3170}"/>
    <hyperlink ref="O821" r:id="rId1245" xr:uid="{61211C74-6028-4B3E-83CF-9529FDDBD757}"/>
    <hyperlink ref="O827" r:id="rId1246" xr:uid="{C60A75F4-EEF8-45C7-8805-89A105B58440}"/>
    <hyperlink ref="O822" r:id="rId1247" xr:uid="{DE9B81D0-5E20-43A1-9689-6F04DF48AF0A}"/>
    <hyperlink ref="O820" r:id="rId1248" xr:uid="{4D463618-63D2-4877-824D-D8B936A4BB6E}"/>
    <hyperlink ref="O823" r:id="rId1249" xr:uid="{0293339A-54C2-4EEC-8599-D0199552DE22}"/>
    <hyperlink ref="O826" r:id="rId1250" xr:uid="{16F3D4E8-644D-41A4-9911-296222F1C3E3}"/>
    <hyperlink ref="O825" r:id="rId1251" xr:uid="{E92EF00C-EEA3-46A7-9A54-A914B3F07EF1}"/>
    <hyperlink ref="L830" r:id="rId1252" xr:uid="{2560B7C4-DD3F-43D9-A739-CC6B189D9A70}"/>
    <hyperlink ref="L831" r:id="rId1253" xr:uid="{1CDDCB64-6E5B-4731-9715-E943D702C39A}"/>
    <hyperlink ref="L832" r:id="rId1254" xr:uid="{A2F58BEF-B644-431C-9A25-0C9461B3E95D}"/>
    <hyperlink ref="L833" r:id="rId1255" xr:uid="{0DFE4529-2316-4275-9644-E638F1824C40}"/>
    <hyperlink ref="O831" r:id="rId1256" xr:uid="{B4F2B1E5-6A9D-452E-AEE0-906E264F3EC1}"/>
    <hyperlink ref="L836" r:id="rId1257" xr:uid="{D7B80B90-150B-4F55-A254-1EFDECC5A2BC}"/>
    <hyperlink ref="L837" r:id="rId1258" xr:uid="{8657ED76-54F5-401F-842A-8FFC0EBCEF6F}"/>
    <hyperlink ref="L838" r:id="rId1259" xr:uid="{68F2CCE6-0501-4626-8D24-D7171CD90E5B}"/>
    <hyperlink ref="L839" r:id="rId1260" xr:uid="{B4CF95E1-528C-453D-9D57-BFBBF5F08EA4}"/>
    <hyperlink ref="L834" r:id="rId1261" xr:uid="{D07D6F35-DAC1-41E7-AA1F-9E2E09E9E4D2}"/>
    <hyperlink ref="O833" r:id="rId1262" xr:uid="{29A14AB4-FF39-465F-85F0-2775441FF7E4}"/>
    <hyperlink ref="L840" r:id="rId1263" xr:uid="{34A82E47-148D-4648-8BF6-4AEEE116C23C}"/>
    <hyperlink ref="O830" r:id="rId1264" xr:uid="{AE146BA0-3F0F-4756-84C8-C2F63B969578}"/>
    <hyperlink ref="O824" r:id="rId1265" xr:uid="{476E7897-3FC8-44D9-AC00-E8F6F3E2EB43}"/>
    <hyperlink ref="L841" r:id="rId1266" xr:uid="{662A3D28-6E7B-4D91-836E-B22339EA091E}"/>
    <hyperlink ref="O828" r:id="rId1267" xr:uid="{CB8FBFE1-86D0-4EA2-95AA-B9394B3C4CF6}"/>
    <hyperlink ref="O832" r:id="rId1268" xr:uid="{E1C5E7B9-4DCC-4A5A-A775-E77D0F307652}"/>
    <hyperlink ref="O834" r:id="rId1269" xr:uid="{76A6D7B3-7F45-475D-A422-BAEA0BB9BA1D}"/>
    <hyperlink ref="L845" r:id="rId1270" xr:uid="{3E79BC26-4148-4707-B827-1E7617DBDC0C}"/>
    <hyperlink ref="L846" r:id="rId1271" xr:uid="{21208EB0-859F-480D-BC5F-02186C82D318}"/>
    <hyperlink ref="L842" r:id="rId1272" xr:uid="{E3E2ED0C-D6E8-452F-9171-750056A43319}"/>
    <hyperlink ref="O844" r:id="rId1273" xr:uid="{24061530-3C2C-48A3-8AE5-356684C345CF}"/>
    <hyperlink ref="L843" r:id="rId1274" xr:uid="{256F8F4B-F11B-4625-98F2-E2D8091EBC88}"/>
    <hyperlink ref="O840" r:id="rId1275" xr:uid="{2602A356-5439-47B2-910C-78874ABACDBA}"/>
    <hyperlink ref="O829" r:id="rId1276" xr:uid="{F71C7432-C1C8-4828-B8CA-33A10551A310}"/>
    <hyperlink ref="O841" r:id="rId1277" xr:uid="{F146BF87-EDFA-4010-A262-802DAF239DC6}"/>
    <hyperlink ref="O846" r:id="rId1278" xr:uid="{B95AFAE5-1908-4A2B-90DB-6B99905DA899}"/>
    <hyperlink ref="L850" r:id="rId1279" xr:uid="{035436AA-112A-4AF2-8E22-5B23C4ED9B0C}"/>
    <hyperlink ref="L844" r:id="rId1280" xr:uid="{708A5B7A-B2AD-42B9-A880-A20DEBA9E325}"/>
    <hyperlink ref="L851" r:id="rId1281" xr:uid="{90AAFF65-734C-400F-9E6D-CE6FA3DCDBF8}"/>
    <hyperlink ref="O850" r:id="rId1282" xr:uid="{DB975B29-316B-4CE4-8D61-C5E85853F998}"/>
    <hyperlink ref="O842" r:id="rId1283" xr:uid="{DD049C68-3F95-4022-9C1F-902A11AB32A2}"/>
    <hyperlink ref="O843" r:id="rId1284" xr:uid="{6BDB3BC0-FA3A-42DB-8F13-D6DB3833A7C2}"/>
    <hyperlink ref="O845" r:id="rId1285" xr:uid="{F53380AA-DB59-4C12-8D5C-407FEE8D01E9}"/>
    <hyperlink ref="L849" r:id="rId1286" xr:uid="{BECBBE89-4E53-4E15-AFE6-09FD90C800C1}"/>
    <hyperlink ref="L848" r:id="rId1287" xr:uid="{86E7F207-EE09-4086-A55A-6E3D176565A1}"/>
    <hyperlink ref="L853" r:id="rId1288" xr:uid="{E6F224F1-3FE5-4D05-8D09-FA790E75DED9}"/>
    <hyperlink ref="L852" r:id="rId1289" xr:uid="{A01C43D7-8EE5-445E-B7E4-CCE7ABFB3EBE}"/>
    <hyperlink ref="O838" r:id="rId1290" xr:uid="{205A38E8-5BD0-4700-8B97-77C4E01B408D}"/>
    <hyperlink ref="O837" r:id="rId1291" xr:uid="{78591A6A-1F58-4912-B5EA-4D34EE16DAE9}"/>
    <hyperlink ref="O839" r:id="rId1292" xr:uid="{C6CF774D-5E5F-47D9-9569-2A2B9B6C9D06}"/>
    <hyperlink ref="L856" r:id="rId1293" xr:uid="{DCA6CD17-93D4-401E-AADF-1FB1136454F4}"/>
    <hyperlink ref="L835" r:id="rId1294" xr:uid="{BC9A0B72-F871-421A-99BC-03FC642B5109}"/>
    <hyperlink ref="O836" r:id="rId1295" xr:uid="{FECCBEB2-BD8C-4A63-BFB3-44877BA66C0F}"/>
    <hyperlink ref="O835" r:id="rId1296" xr:uid="{7AAF2476-F779-4020-B4F5-3E38D70D95CC}"/>
    <hyperlink ref="O847" r:id="rId1297" xr:uid="{2E8ECB75-06E7-4E4D-8B16-2D2A1A71716F}"/>
    <hyperlink ref="L847" r:id="rId1298" xr:uid="{D2B1F548-49BD-478C-A774-FB648BFD0822}"/>
    <hyperlink ref="L879" r:id="rId1299" xr:uid="{5FD66594-4855-465E-BB7F-50B8360A834C}"/>
    <hyperlink ref="O852" r:id="rId1300" xr:uid="{F2BD085E-2084-413D-AAB3-C51572670CA1}"/>
    <hyperlink ref="O851" r:id="rId1301" xr:uid="{63DB0A24-7A20-4B80-97B9-B06ABE9A9DA3}"/>
    <hyperlink ref="O848" r:id="rId1302" xr:uid="{7BE80321-3633-4CB2-9DF2-D045BB9DBC64}"/>
    <hyperlink ref="O849" r:id="rId1303" xr:uid="{A159EFAA-07EE-412F-9293-3E003526AE5C}"/>
    <hyperlink ref="L880" r:id="rId1304" xr:uid="{9CDE10CD-ABF5-4168-9DF3-A13878F8D39C}"/>
    <hyperlink ref="L854" r:id="rId1305" xr:uid="{68621C23-7CB1-49BA-B146-CD9610CC97D3}"/>
    <hyperlink ref="L881" r:id="rId1306" xr:uid="{121BE954-30DD-489E-AA9D-9218BA038344}"/>
    <hyperlink ref="L855" r:id="rId1307" xr:uid="{B6AF9E21-FCE6-4B7E-80FA-6DD0B12CAEE2}"/>
    <hyperlink ref="L882" r:id="rId1308" xr:uid="{69161894-00DB-4261-9CF2-3E630ECE4AD3}"/>
    <hyperlink ref="L883" r:id="rId1309" xr:uid="{E32778F4-12E1-4CBF-9C70-AE6B39B65654}"/>
    <hyperlink ref="L885" r:id="rId1310" xr:uid="{EA245C0C-60EF-4413-9B0D-5AC0C73418FB}"/>
    <hyperlink ref="O856" r:id="rId1311" xr:uid="{19306A3F-1CC4-4976-8B80-BC9AF435F9D3}"/>
    <hyperlink ref="O881" r:id="rId1312" xr:uid="{56C339E1-5707-409D-9F21-C662950FA698}"/>
    <hyperlink ref="O853" r:id="rId1313" xr:uid="{755F3B0A-0FB3-4B4F-B3EF-C98E6D4FF050}"/>
    <hyperlink ref="O882" r:id="rId1314" xr:uid="{A4EECA4E-C1E4-4512-AE06-96855026F50A}"/>
    <hyperlink ref="O855" r:id="rId1315" xr:uid="{699C8754-E341-4A08-ABD9-89D0F8810E02}"/>
    <hyperlink ref="O854" r:id="rId1316" xr:uid="{D4680CC9-DC15-4FC5-B59B-9858F45FA26C}"/>
    <hyperlink ref="L884" r:id="rId1317" xr:uid="{F50E6E75-710D-4C79-ACB9-78751D6A10E3}"/>
    <hyperlink ref="L857" r:id="rId1318" xr:uid="{F2739CA6-CA3D-4382-82DA-497A5E0041EB}"/>
    <hyperlink ref="L858" r:id="rId1319" xr:uid="{6E33EA46-AC3C-4F4B-BA9C-B2F079F7FDA0}"/>
    <hyperlink ref="O880" r:id="rId1320" xr:uid="{045E5F41-897A-4E84-8B40-9457990A944B}"/>
    <hyperlink ref="O879" r:id="rId1321" xr:uid="{AB965D71-5154-4329-8BD1-FCECEA66C05C}"/>
    <hyperlink ref="O857" r:id="rId1322" xr:uid="{FC509E28-5DF2-46CA-BE93-E091A53B6F23}"/>
    <hyperlink ref="O883" r:id="rId1323" xr:uid="{8C81387B-7726-4E09-84EB-8B07EA6653D0}"/>
    <hyperlink ref="O859" r:id="rId1324" xr:uid="{0EDC2333-EBBB-476B-8CDF-6E137FBB8326}"/>
    <hyperlink ref="L860" r:id="rId1325" xr:uid="{6A229506-F91F-4389-81A9-B2519CBDF257}"/>
    <hyperlink ref="L861" r:id="rId1326" xr:uid="{F9F5173C-5F85-488A-82C4-7682BE2225EF}"/>
    <hyperlink ref="O861" r:id="rId1327" xr:uid="{195E01C7-F799-4D89-BCDE-21E029180DC4}"/>
    <hyperlink ref="O885" r:id="rId1328" xr:uid="{89DBDFF2-E45A-4710-9F35-906EF799DE71}"/>
    <hyperlink ref="O860" r:id="rId1329" xr:uid="{427168E2-6801-41A7-8A77-B52AE9B4C1BB}"/>
    <hyperlink ref="O884" r:id="rId1330" xr:uid="{4946F263-FFBB-42A0-B228-6562E077006E}"/>
    <hyperlink ref="L862" r:id="rId1331" xr:uid="{5E0BBBDD-5DF7-402E-A6A7-743A818619A8}"/>
    <hyperlink ref="L863" r:id="rId1332" xr:uid="{E6641F25-3840-4EDA-A931-24D60553FB29}"/>
    <hyperlink ref="L864" r:id="rId1333" xr:uid="{DBAE34C9-0E83-4342-9E5D-C60F4A586782}"/>
    <hyperlink ref="O858" r:id="rId1334" xr:uid="{5671380A-73AC-46A9-9047-211070833980}"/>
    <hyperlink ref="O862" r:id="rId1335" xr:uid="{50505C0B-F748-427D-AC14-6660FF1C869A}"/>
    <hyperlink ref="L865" r:id="rId1336" xr:uid="{E180FDD5-C846-40A4-9A53-2138CCD2DE99}"/>
    <hyperlink ref="O863" r:id="rId1337" xr:uid="{69C27712-A42B-4ECD-AA36-8E28861BA5CE}"/>
    <hyperlink ref="L867" r:id="rId1338" xr:uid="{AE9698EC-35F2-4EBC-9761-0C184ADE94BB}"/>
    <hyperlink ref="L868" r:id="rId1339" xr:uid="{580A8678-9399-4297-A12B-C8C2668E211C}"/>
    <hyperlink ref="L866" r:id="rId1340" display="https://saranistudio.sharepoint.com/sites/SaraniAssets/Shared%20Documents/Forms/AllItems.aspx?id=%2Fsites%2FSaraniAssets%2FShared%20Documents%2F03%2E%20Customers%2F02%2E%20Sony%2F03%2E%20Sony%20France%2F04%2E%20DI%2F20251128%5FLancement%20CX76800&amp;p=true&amp;ga=1" xr:uid="{0C915E10-20AD-44AE-9B73-C8150C112B50}"/>
    <hyperlink ref="L869" r:id="rId1341" xr:uid="{E2FCAF7C-2AEB-4775-B00F-073714DE60F8}"/>
    <hyperlink ref="O865" r:id="rId1342" xr:uid="{E66F0DA5-2C19-4C88-BEAC-1888BD73FBE0}"/>
    <hyperlink ref="L872" r:id="rId1343" xr:uid="{8E279A37-76CE-44E1-A30A-080BE9AE07F0}"/>
    <hyperlink ref="L871" r:id="rId1344" xr:uid="{2B954EC6-B301-44BA-9B45-7C259CF599E1}"/>
    <hyperlink ref="L870" r:id="rId1345" xr:uid="{CEA62D74-4BFC-4714-AF40-27735548A86D}"/>
    <hyperlink ref="L873" r:id="rId1346" xr:uid="{9628B401-8BB8-4D8A-84BD-078A57BEFF3C}"/>
    <hyperlink ref="L874" r:id="rId1347" xr:uid="{442B8DCD-E1E4-469A-8A8B-C6B86A99D6BB}"/>
    <hyperlink ref="O868" r:id="rId1348" xr:uid="{5C674EC3-48F5-4C47-A9D9-66AE7F8CE314}"/>
    <hyperlink ref="O873" r:id="rId1349" xr:uid="{6CB9D2E6-3921-4831-9F30-788E59BCE75F}"/>
    <hyperlink ref="O871" r:id="rId1350" xr:uid="{D15C8E28-1AB9-4729-88EA-A75F2F9AC9B6}"/>
    <hyperlink ref="O869" r:id="rId1351" xr:uid="{A51E33E4-8AF7-4095-9394-E5720C0CE5A0}"/>
    <hyperlink ref="O870" r:id="rId1352" xr:uid="{E3C2BDD6-DD66-484A-A013-ACD18EEEF461}"/>
    <hyperlink ref="O864" r:id="rId1353" xr:uid="{82201660-0D4D-4CA9-9A14-D3B0CCA32699}"/>
    <hyperlink ref="O867" r:id="rId1354" xr:uid="{5B7F4D0C-629F-40FC-A91F-06587065853B}"/>
    <hyperlink ref="L875" r:id="rId1355" xr:uid="{0317BB70-4735-4F6E-865D-E28E2EC418D6}"/>
    <hyperlink ref="L877" r:id="rId1356" xr:uid="{ACB0C14D-4281-4DE6-90FB-207EFF203295}"/>
    <hyperlink ref="L878" r:id="rId1357" xr:uid="{A9B827E6-9231-40B6-9E46-5629BB9907FA}"/>
    <hyperlink ref="O874" r:id="rId1358" xr:uid="{643086AE-045E-4E4A-A429-67E1A1BB6890}"/>
    <hyperlink ref="O875" r:id="rId1359" xr:uid="{F73FD99C-B477-4445-9D4E-6C7D9D4934C6}"/>
    <hyperlink ref="O872" r:id="rId1360" xr:uid="{E194F306-4334-463E-B411-BF57FAF162C2}"/>
    <hyperlink ref="L886" r:id="rId1361" xr:uid="{B92404AF-8034-4166-9CF8-6850F0E5BBD0}"/>
    <hyperlink ref="O878" r:id="rId1362" xr:uid="{1D991D51-E877-4DD9-BC2B-8E2443D3B30C}"/>
    <hyperlink ref="O877" r:id="rId1363" xr:uid="{BEC789E0-4276-460C-972A-2C9C1DC9BD8D}"/>
    <hyperlink ref="O886" r:id="rId1364" xr:uid="{B845EDD5-F666-42AE-B442-0E2F3D275011}"/>
    <hyperlink ref="L887" r:id="rId1365" xr:uid="{F04D6548-136F-45C1-8A89-34C339B92A4B}"/>
    <hyperlink ref="L889" r:id="rId1366" xr:uid="{F586A42E-4F42-4890-8F4D-96106C7C1C11}"/>
    <hyperlink ref="L890" r:id="rId1367" xr:uid="{09A9BCCD-60D8-4E44-A094-5E4DD4CF1827}"/>
    <hyperlink ref="O888" r:id="rId1368" xr:uid="{D9EB91A5-2A6A-48FA-B5FB-32923727AB77}"/>
    <hyperlink ref="O887" r:id="rId1369" xr:uid="{A490A699-2C14-4E77-A05E-0AD1AFF90CAB}"/>
    <hyperlink ref="L891" r:id="rId1370" xr:uid="{AD58C039-1E97-4158-BD14-15F44C820651}"/>
    <hyperlink ref="L892" r:id="rId1371" xr:uid="{26618D7E-8D8A-4918-A628-851FFAD03737}"/>
    <hyperlink ref="L893" r:id="rId1372" xr:uid="{CDD65F65-521F-4CA3-A04A-637EFCB97163}"/>
    <hyperlink ref="L894" r:id="rId1373" xr:uid="{3AE8F72D-E6C6-4E9F-8CDF-4773A17F208E}"/>
    <hyperlink ref="O889" r:id="rId1374" xr:uid="{DAA1FFB2-DC69-4F25-8065-84C2F5AFABA3}"/>
    <hyperlink ref="O890" r:id="rId1375" xr:uid="{24795433-321D-413F-99DB-88C8CD543A0F}"/>
    <hyperlink ref="O891" r:id="rId1376" xr:uid="{67BCFEA7-65EC-4BAF-9024-016E1EA114C8}"/>
    <hyperlink ref="O892" r:id="rId1377" xr:uid="{C75F426B-6B87-4E56-8508-2BD56D0B0856}"/>
    <hyperlink ref="O894" r:id="rId1378" xr:uid="{799D6D27-6094-4417-8174-F6A018B0817A}"/>
    <hyperlink ref="L895" r:id="rId1379" xr:uid="{18EFAA35-27CE-4B43-915B-5C5959ED02B5}"/>
    <hyperlink ref="L896" r:id="rId1380" xr:uid="{DD98DB34-2547-4575-A867-78583C60468B}"/>
    <hyperlink ref="L897" r:id="rId1381" xr:uid="{6EC01488-9F3C-4230-8E6A-77420C1204E6}"/>
    <hyperlink ref="L898" r:id="rId1382" xr:uid="{1512D4E2-6CE6-4E6F-A561-1E2A34DBD10D}"/>
    <hyperlink ref="O893" r:id="rId1383" xr:uid="{BDF38952-E199-4AF9-B1F3-DEB57B7D754A}"/>
    <hyperlink ref="L899" r:id="rId1384" xr:uid="{7E7C0BBF-1E15-43E1-A8F8-AACCB6936854}"/>
    <hyperlink ref="L900" r:id="rId1385" xr:uid="{5E175E52-7768-4EA2-A4C9-D01E03C71C75}"/>
    <hyperlink ref="L901" r:id="rId1386" xr:uid="{A32E0BC2-B894-42C8-8DA7-1CA8A6262802}"/>
    <hyperlink ref="L902" r:id="rId1387" xr:uid="{3DB21E59-BE5A-4740-B4B8-21E770F0D291}"/>
    <hyperlink ref="L903" r:id="rId1388" xr:uid="{B23BC567-C36D-4561-A7F7-55005DBCAA71}"/>
    <hyperlink ref="O897" r:id="rId1389" xr:uid="{446BFA54-4A70-4085-9D14-808E47E04B4E}"/>
    <hyperlink ref="O898" r:id="rId1390" xr:uid="{9D463EF7-DCF0-4C02-A33D-F5BE71D36251}"/>
    <hyperlink ref="O900" r:id="rId1391" xr:uid="{6389E394-0509-4451-85F1-A7428E5935B3}"/>
    <hyperlink ref="O899" r:id="rId1392" xr:uid="{A440F791-6A4F-40EF-91D1-8FA8E97FF885}"/>
    <hyperlink ref="O895" r:id="rId1393" xr:uid="{3A226237-2D0D-4D81-803E-217766887F83}"/>
    <hyperlink ref="O896" r:id="rId1394" xr:uid="{BC8A8509-012B-417C-B6A0-8125A25C50A4}"/>
    <hyperlink ref="L904" r:id="rId1395" xr:uid="{6165221C-BB9E-4F0F-96E8-3F80D2513C30}"/>
    <hyperlink ref="O901" r:id="rId1396" xr:uid="{5DDECEF6-AEAC-4566-9EFE-8FDBCB39C362}"/>
    <hyperlink ref="O902" r:id="rId1397" xr:uid="{9E6D2A99-7B35-41BF-B75D-B7AC0BFAA116}"/>
    <hyperlink ref="L905" r:id="rId1398" xr:uid="{1CB8137E-E674-4CA5-A20B-A9362CA523CA}"/>
    <hyperlink ref="L907" r:id="rId1399" xr:uid="{E307F6EC-B410-4500-9237-0E0E4323213C}"/>
    <hyperlink ref="L906" r:id="rId1400" xr:uid="{311FA6EB-6C8E-4A62-A025-6916922D037C}"/>
    <hyperlink ref="L908" r:id="rId1401" xr:uid="{1A8290CC-515D-4C08-8E08-632A9A57A266}"/>
    <hyperlink ref="O908" r:id="rId1402" xr:uid="{9BDBABFC-B101-464A-B5D7-80930B2D1FC1}"/>
    <hyperlink ref="O903" r:id="rId1403" xr:uid="{6D55A841-0F6D-4633-8446-A3E947E3BE5D}"/>
    <hyperlink ref="L909" r:id="rId1404" xr:uid="{07262EFE-4CE9-4E88-82B8-23CCD42F61C9}"/>
    <hyperlink ref="O904" r:id="rId1405" xr:uid="{8B5C7C26-CDCF-4643-BDFE-1855D760C8EE}"/>
    <hyperlink ref="O906" r:id="rId1406" xr:uid="{28967421-DE4C-42EB-B740-00FE2C61675A}"/>
    <hyperlink ref="O907" r:id="rId1407" xr:uid="{A185B9C3-855D-48F4-894A-4116A75DD79F}"/>
    <hyperlink ref="L910" r:id="rId1408" xr:uid="{A9080215-90D6-4885-AFF1-2AEFA176DE5D}"/>
    <hyperlink ref="L911" r:id="rId1409" xr:uid="{F7FF3B7C-2AB4-476B-A666-8441B2444D5F}"/>
    <hyperlink ref="L912" r:id="rId1410" xr:uid="{533A6558-7AC7-40BC-8D5D-8CAFF3B94252}"/>
    <hyperlink ref="L913" r:id="rId1411" xr:uid="{70969528-296A-45DC-9850-8DC25A2471BA}"/>
    <hyperlink ref="O912" r:id="rId1412" xr:uid="{E9E4246A-1575-4155-89A7-2F53AD9431BC}"/>
    <hyperlink ref="O905" r:id="rId1413" xr:uid="{44E7072C-F267-43F0-BF5E-744808AFFBE0}"/>
    <hyperlink ref="O913" r:id="rId1414" xr:uid="{09723851-274F-41E6-9CDB-9DB2B6DBF564}"/>
    <hyperlink ref="L876" r:id="rId1415" xr:uid="{CA5C4A84-9D6E-4989-9CC2-955868AB437F}"/>
    <hyperlink ref="O876" r:id="rId1416" xr:uid="{67373D49-BB9A-49FF-BD78-B356B2FA5D74}"/>
    <hyperlink ref="L914" r:id="rId1417" xr:uid="{F75E760C-C8C8-4AFF-A502-05BCB42A992A}"/>
    <hyperlink ref="L915" r:id="rId1418" xr:uid="{BFAC6F6D-1F1C-4DB9-A983-05DCC9310EEB}"/>
    <hyperlink ref="L916" r:id="rId1419" xr:uid="{FD0F343B-9E1E-4534-AC5F-065859EFBCAA}"/>
  </hyperlinks>
  <pageMargins left="0.7" right="0.7" top="0.75" bottom="0.75" header="0.3" footer="0.3"/>
  <pageSetup paperSize="9" orientation="portrait"/>
  <legacyDrawing r:id="rId142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25216-1111-46D3-A420-DC4164209772}">
  <dimension ref="A1:BH148"/>
  <sheetViews>
    <sheetView workbookViewId="0">
      <pane xSplit="4" ySplit="5" topLeftCell="E124" activePane="bottomRight" state="frozen"/>
      <selection pane="bottomRight" activeCell="H119" sqref="H119"/>
      <selection pane="bottomLeft" activeCell="A4" sqref="A4"/>
      <selection pane="topRight" activeCell="E1" sqref="E1"/>
    </sheetView>
  </sheetViews>
  <sheetFormatPr defaultColWidth="11.5703125" defaultRowHeight="15"/>
  <cols>
    <col min="1" max="1" width="9" style="5" customWidth="1"/>
    <col min="2" max="2" width="8" style="5" customWidth="1"/>
    <col min="3" max="3" width="11.42578125" style="5" bestFit="1" customWidth="1"/>
    <col min="4" max="4" width="36.85546875" style="6" customWidth="1"/>
    <col min="5" max="5" width="20" style="5" customWidth="1"/>
    <col min="6" max="6" width="10.42578125" style="8" customWidth="1"/>
    <col min="7" max="7" width="10.28515625" style="8" customWidth="1"/>
    <col min="8" max="8" width="16.28515625" style="5" customWidth="1"/>
    <col min="9" max="9" width="9.140625" style="8"/>
    <col min="10" max="10" width="10.42578125" style="34" customWidth="1"/>
    <col min="11" max="11" width="11.85546875" style="8" customWidth="1"/>
    <col min="12" max="12" width="13.140625" style="339" bestFit="1" customWidth="1"/>
    <col min="13" max="13" width="12.28515625" style="8" customWidth="1"/>
    <col min="14" max="15" width="11.28515625" style="8" customWidth="1"/>
    <col min="16" max="16" width="30.42578125" style="8" bestFit="1" customWidth="1"/>
    <col min="17" max="17" width="15.5703125" style="7" customWidth="1"/>
    <col min="18" max="18" width="16.5703125" style="8" customWidth="1"/>
    <col min="19" max="19" width="15.5703125" style="8" customWidth="1"/>
    <col min="20" max="20" width="18.7109375" style="8" customWidth="1"/>
    <col min="21" max="23" width="15.5703125" style="8" customWidth="1"/>
    <col min="24" max="24" width="15.5703125" style="7" customWidth="1"/>
    <col min="25" max="32" width="15.5703125" style="8" customWidth="1"/>
    <col min="33" max="34" width="15.5703125" style="7" customWidth="1"/>
    <col min="35" max="39" width="15.5703125" style="8" customWidth="1"/>
    <col min="40" max="40" width="15.5703125" style="7" customWidth="1"/>
    <col min="41" max="46" width="15.5703125" style="8" customWidth="1"/>
    <col min="47" max="47" width="15.5703125" style="7" customWidth="1"/>
    <col min="48" max="48" width="15.5703125" style="8" customWidth="1"/>
    <col min="49" max="49" width="15.5703125" style="403" customWidth="1"/>
    <col min="50" max="50" width="15.5703125" style="8" customWidth="1"/>
    <col min="51" max="51" width="15.5703125" style="403" customWidth="1"/>
    <col min="52" max="52" width="15.5703125" style="8" customWidth="1"/>
    <col min="53" max="53" width="15.5703125" style="399" customWidth="1"/>
    <col min="54" max="55" width="16.42578125" style="5" customWidth="1"/>
    <col min="56" max="16384" width="11.5703125" style="5"/>
  </cols>
  <sheetData>
    <row r="1" spans="1:60">
      <c r="D1" s="5"/>
      <c r="I1" s="384"/>
      <c r="J1" s="384">
        <f t="shared" ref="J1" si="0">SUBTOTAL(2,J6:J20000)</f>
        <v>139</v>
      </c>
      <c r="Q1" s="384">
        <f>SUBTOTAL(2,Q6:Q20000)</f>
        <v>62</v>
      </c>
      <c r="R1" s="384">
        <f t="shared" ref="R1:BA1" si="1">SUBTOTAL(2,R6:R20000)</f>
        <v>81</v>
      </c>
      <c r="S1" s="384">
        <f t="shared" si="1"/>
        <v>22</v>
      </c>
      <c r="T1" s="384">
        <f t="shared" si="1"/>
        <v>11</v>
      </c>
      <c r="U1" s="384">
        <f t="shared" si="1"/>
        <v>1</v>
      </c>
      <c r="V1" s="384">
        <f t="shared" si="1"/>
        <v>1</v>
      </c>
      <c r="W1" s="384">
        <f t="shared" si="1"/>
        <v>0</v>
      </c>
      <c r="X1" s="384">
        <f t="shared" si="1"/>
        <v>3</v>
      </c>
      <c r="Y1" s="384">
        <f t="shared" si="1"/>
        <v>5</v>
      </c>
      <c r="Z1" s="384">
        <f t="shared" si="1"/>
        <v>4</v>
      </c>
      <c r="AA1" s="384">
        <f t="shared" si="1"/>
        <v>3</v>
      </c>
      <c r="AB1" s="384">
        <f t="shared" si="1"/>
        <v>0</v>
      </c>
      <c r="AC1" s="384">
        <f t="shared" si="1"/>
        <v>0</v>
      </c>
      <c r="AD1" s="384">
        <f t="shared" si="1"/>
        <v>0</v>
      </c>
      <c r="AE1" s="384">
        <f t="shared" si="1"/>
        <v>2</v>
      </c>
      <c r="AF1" s="384">
        <f t="shared" si="1"/>
        <v>2</v>
      </c>
      <c r="AG1" s="384">
        <f t="shared" si="1"/>
        <v>5</v>
      </c>
      <c r="AH1" s="384">
        <f t="shared" si="1"/>
        <v>0</v>
      </c>
      <c r="AI1" s="384">
        <f t="shared" si="1"/>
        <v>0</v>
      </c>
      <c r="AJ1" s="384">
        <f t="shared" si="1"/>
        <v>0</v>
      </c>
      <c r="AK1" s="384">
        <f t="shared" si="1"/>
        <v>0</v>
      </c>
      <c r="AL1" s="384">
        <f t="shared" si="1"/>
        <v>0</v>
      </c>
      <c r="AM1" s="384">
        <f t="shared" si="1"/>
        <v>0</v>
      </c>
      <c r="AN1" s="384">
        <f t="shared" si="1"/>
        <v>2</v>
      </c>
      <c r="AO1" s="384">
        <f t="shared" si="1"/>
        <v>4</v>
      </c>
      <c r="AP1" s="384">
        <f t="shared" si="1"/>
        <v>1</v>
      </c>
      <c r="AQ1" s="384">
        <f t="shared" si="1"/>
        <v>1</v>
      </c>
      <c r="AR1" s="384">
        <f t="shared" si="1"/>
        <v>0</v>
      </c>
      <c r="AS1" s="384">
        <f t="shared" si="1"/>
        <v>0</v>
      </c>
      <c r="AT1" s="384">
        <f t="shared" si="1"/>
        <v>0</v>
      </c>
      <c r="AU1" s="384">
        <f t="shared" si="1"/>
        <v>0</v>
      </c>
      <c r="AV1" s="384">
        <f t="shared" si="1"/>
        <v>0</v>
      </c>
      <c r="AW1" s="384">
        <f t="shared" ref="AW1:AY1" si="2">SUBTOTAL(2,AW6:AW20000)</f>
        <v>2</v>
      </c>
      <c r="AX1" s="384">
        <f t="shared" si="2"/>
        <v>0</v>
      </c>
      <c r="AY1" s="384">
        <f t="shared" si="2"/>
        <v>2</v>
      </c>
      <c r="AZ1" s="384">
        <f t="shared" si="1"/>
        <v>6</v>
      </c>
      <c r="BA1" s="384">
        <f t="shared" si="1"/>
        <v>1</v>
      </c>
    </row>
    <row r="2" spans="1:60">
      <c r="D2" s="5"/>
      <c r="F2" s="5"/>
      <c r="G2" s="5"/>
      <c r="I2" s="384">
        <f>SUBTOTAL(9,I6:I20001)</f>
        <v>8377.2000000000007</v>
      </c>
      <c r="J2" s="384">
        <f>SUBTOTAL(9,J6:J20001)</f>
        <v>128692.25</v>
      </c>
      <c r="K2" s="5"/>
      <c r="L2" s="5"/>
      <c r="M2" s="5"/>
      <c r="N2" s="5"/>
      <c r="O2" s="5"/>
      <c r="P2" s="5"/>
      <c r="Q2" s="384">
        <f>SUBTOTAL(9,Q6:Q20001)*Q5</f>
        <v>23040</v>
      </c>
      <c r="R2" s="384">
        <f>SUBTOTAL(9,R6:R20001)*R5</f>
        <v>52850</v>
      </c>
      <c r="S2" s="384">
        <f>SUBTOTAL(9,S6:S20001)*S5</f>
        <v>6820</v>
      </c>
      <c r="T2" s="384">
        <f>SUBTOTAL(9,T6:T20001)*T5</f>
        <v>1800</v>
      </c>
      <c r="U2" s="384">
        <f>SUBTOTAL(9,U6:U20001)*U5</f>
        <v>250</v>
      </c>
      <c r="V2" s="384">
        <f>SUBTOTAL(9,V6:V20001)*V5</f>
        <v>600</v>
      </c>
      <c r="W2" s="384">
        <f>SUBTOTAL(9,W6:W20001)*W5</f>
        <v>0</v>
      </c>
      <c r="X2" s="384">
        <f>SUBTOTAL(9,X6:X20001)*X5</f>
        <v>1890</v>
      </c>
      <c r="Y2" s="384">
        <f>SUBTOTAL(9,Y6:Y20001)*Y5</f>
        <v>720</v>
      </c>
      <c r="Z2" s="384">
        <f>SUBTOTAL(9,Z6:Z20001)*Z5</f>
        <v>900</v>
      </c>
      <c r="AA2" s="384">
        <f>SUBTOTAL(9,AA6:AA20001)*AA5</f>
        <v>6250</v>
      </c>
      <c r="AB2" s="384">
        <f>SUBTOTAL(9,AB6:AB20001)*AB5</f>
        <v>0</v>
      </c>
      <c r="AC2" s="384">
        <f>SUBTOTAL(9,AC6:AC20001)*AC5</f>
        <v>0</v>
      </c>
      <c r="AD2" s="384">
        <f>SUBTOTAL(9,AD6:AD20001)*AD5</f>
        <v>0</v>
      </c>
      <c r="AE2" s="384">
        <f>SUBTOTAL(9,AE6:AE20001)*AE5</f>
        <v>1200</v>
      </c>
      <c r="AF2" s="384">
        <f>SUBTOTAL(9,AF6:AF20001)*AF5</f>
        <v>1465</v>
      </c>
      <c r="AG2" s="384">
        <f>SUBTOTAL(9,AG6:AG20001)*AG5</f>
        <v>17255</v>
      </c>
      <c r="AH2" s="384">
        <f>SUBTOTAL(9,AH6:AH20001)*AH5</f>
        <v>0</v>
      </c>
      <c r="AI2" s="384">
        <f>SUBTOTAL(9,AI6:AI20001)*AI5</f>
        <v>0</v>
      </c>
      <c r="AJ2" s="384">
        <f>SUBTOTAL(9,AJ6:AJ20001)*AJ5</f>
        <v>0</v>
      </c>
      <c r="AK2" s="384">
        <f>SUBTOTAL(9,AK6:AK20001)*AK5</f>
        <v>0</v>
      </c>
      <c r="AL2" s="384">
        <f>SUBTOTAL(9,AL6:AL20001)*AL5</f>
        <v>0</v>
      </c>
      <c r="AM2" s="384">
        <f>SUBTOTAL(9,AM6:AM20001)*AM5</f>
        <v>0</v>
      </c>
      <c r="AN2" s="384">
        <f>SUBTOTAL(9,AN6:AN20001)*AN5</f>
        <v>960</v>
      </c>
      <c r="AO2" s="384">
        <f>SUBTOTAL(9,AO6:AO20001)*AO5</f>
        <v>5550</v>
      </c>
      <c r="AP2" s="384">
        <f>SUBTOTAL(9,AP6:AP20001)*AP5</f>
        <v>260</v>
      </c>
      <c r="AQ2" s="384">
        <f>SUBTOTAL(9,AQ6:AQ20001)*AQ5</f>
        <v>360</v>
      </c>
      <c r="AR2" s="384">
        <f>SUBTOTAL(9,AR6:AR20001)*AR5</f>
        <v>0</v>
      </c>
      <c r="AS2" s="384">
        <f>SUBTOTAL(9,AS6:AS20001)*AS5</f>
        <v>0</v>
      </c>
      <c r="AT2" s="384">
        <f>SUBTOTAL(9,AT6:AT20001)*AT5</f>
        <v>0</v>
      </c>
      <c r="AU2" s="384">
        <f>SUBTOTAL(9,AU6:AU20001)*AU5</f>
        <v>0</v>
      </c>
      <c r="AV2" s="384">
        <f>SUBTOTAL(9,AV6:AV20001)*AV5</f>
        <v>0</v>
      </c>
      <c r="AW2" s="384">
        <f>SUBTOTAL(9,AW6:AW20001)*AW5</f>
        <v>480</v>
      </c>
      <c r="AX2" s="384">
        <f>SUBTOTAL(9,AX6:AX20001)*AX5</f>
        <v>0</v>
      </c>
      <c r="AY2" s="384">
        <f>SUBTOTAL(9,AY6:AY20001)*AY5</f>
        <v>238</v>
      </c>
      <c r="AZ2" s="384">
        <f>SUBTOTAL(9,AZ6:AZ20001)*AZ5</f>
        <v>4349.25</v>
      </c>
      <c r="BA2" s="384">
        <f>SUBTOTAL(9,BA6:BA20001)*BA5</f>
        <v>0</v>
      </c>
    </row>
    <row r="3" spans="1:60" s="2" customFormat="1">
      <c r="A3" s="10" t="s">
        <v>165</v>
      </c>
      <c r="B3" s="10"/>
      <c r="C3" s="10"/>
      <c r="D3" s="11"/>
      <c r="E3" s="10"/>
      <c r="F3" s="1"/>
      <c r="G3" s="1"/>
      <c r="H3" s="10"/>
      <c r="I3" s="1"/>
      <c r="J3" s="31"/>
      <c r="K3" s="1"/>
      <c r="L3" s="334"/>
      <c r="M3" s="1"/>
      <c r="N3" s="1"/>
      <c r="O3" s="1"/>
      <c r="P3" s="1"/>
      <c r="Q3" s="526" t="s">
        <v>166</v>
      </c>
      <c r="R3" s="526"/>
      <c r="S3" s="526"/>
      <c r="T3" s="526"/>
      <c r="U3" s="526"/>
      <c r="V3" s="526"/>
      <c r="W3" s="526"/>
      <c r="X3" s="526" t="s">
        <v>167</v>
      </c>
      <c r="Y3" s="526"/>
      <c r="Z3" s="526"/>
      <c r="AA3" s="526"/>
      <c r="AB3" s="526"/>
      <c r="AC3" s="526"/>
      <c r="AD3" s="526"/>
      <c r="AE3" s="526"/>
      <c r="AF3" s="526"/>
      <c r="AG3" s="12" t="s">
        <v>168</v>
      </c>
      <c r="AH3" s="526" t="s">
        <v>169</v>
      </c>
      <c r="AI3" s="526"/>
      <c r="AJ3" s="526"/>
      <c r="AK3" s="526"/>
      <c r="AL3" s="526"/>
      <c r="AM3" s="526"/>
      <c r="AN3" s="526" t="s">
        <v>170</v>
      </c>
      <c r="AO3" s="526"/>
      <c r="AP3" s="526"/>
      <c r="AQ3" s="526"/>
      <c r="AR3" s="526"/>
      <c r="AS3" s="526"/>
      <c r="AT3" s="526"/>
      <c r="AU3" s="526" t="s">
        <v>171</v>
      </c>
      <c r="AV3" s="526"/>
      <c r="AW3" s="526" t="s">
        <v>3205</v>
      </c>
      <c r="AX3" s="526"/>
      <c r="AY3" s="526" t="s">
        <v>172</v>
      </c>
      <c r="AZ3" s="526"/>
      <c r="BA3" s="531"/>
      <c r="BB3" s="3"/>
    </row>
    <row r="4" spans="1:60" s="28" customFormat="1" ht="45.75">
      <c r="A4" s="527" t="s">
        <v>11</v>
      </c>
      <c r="B4" s="527"/>
      <c r="C4" s="527"/>
      <c r="D4" s="527"/>
      <c r="E4" s="527" t="s">
        <v>173</v>
      </c>
      <c r="F4" s="527"/>
      <c r="G4" s="527"/>
      <c r="H4" s="527"/>
      <c r="I4" s="527"/>
      <c r="J4" s="527"/>
      <c r="K4" s="527"/>
      <c r="L4" s="527"/>
      <c r="M4" s="527"/>
      <c r="N4" s="535"/>
      <c r="O4" s="25"/>
      <c r="P4" s="25"/>
      <c r="Q4" s="24" t="s">
        <v>174</v>
      </c>
      <c r="R4" s="25" t="s">
        <v>175</v>
      </c>
      <c r="S4" s="25" t="s">
        <v>176</v>
      </c>
      <c r="T4" s="25" t="s">
        <v>177</v>
      </c>
      <c r="U4" s="25" t="s">
        <v>178</v>
      </c>
      <c r="V4" s="25" t="s">
        <v>179</v>
      </c>
      <c r="W4" s="25" t="s">
        <v>180</v>
      </c>
      <c r="X4" s="24" t="s">
        <v>181</v>
      </c>
      <c r="Y4" s="24" t="s">
        <v>182</v>
      </c>
      <c r="Z4" s="25" t="s">
        <v>183</v>
      </c>
      <c r="AA4" s="25" t="s">
        <v>184</v>
      </c>
      <c r="AB4" s="41" t="s">
        <v>185</v>
      </c>
      <c r="AC4" s="41" t="s">
        <v>186</v>
      </c>
      <c r="AD4" s="25" t="s">
        <v>187</v>
      </c>
      <c r="AE4" s="25" t="s">
        <v>188</v>
      </c>
      <c r="AF4" s="25" t="s">
        <v>189</v>
      </c>
      <c r="AG4" s="24" t="s">
        <v>190</v>
      </c>
      <c r="AH4" s="40" t="s">
        <v>191</v>
      </c>
      <c r="AI4" s="41" t="s">
        <v>192</v>
      </c>
      <c r="AJ4" s="25" t="s">
        <v>193</v>
      </c>
      <c r="AK4" s="25" t="s">
        <v>194</v>
      </c>
      <c r="AL4" s="25" t="s">
        <v>195</v>
      </c>
      <c r="AM4" s="25" t="s">
        <v>196</v>
      </c>
      <c r="AN4" s="24" t="s">
        <v>197</v>
      </c>
      <c r="AO4" s="25" t="s">
        <v>1194</v>
      </c>
      <c r="AP4" s="41" t="s">
        <v>199</v>
      </c>
      <c r="AQ4" s="41" t="s">
        <v>200</v>
      </c>
      <c r="AR4" s="25" t="s">
        <v>201</v>
      </c>
      <c r="AS4" s="25" t="s">
        <v>202</v>
      </c>
      <c r="AT4" s="25" t="s">
        <v>203</v>
      </c>
      <c r="AU4" s="24" t="s">
        <v>204</v>
      </c>
      <c r="AV4" s="25" t="s">
        <v>205</v>
      </c>
      <c r="AW4" s="406" t="s">
        <v>3206</v>
      </c>
      <c r="AX4" s="25" t="s">
        <v>3207</v>
      </c>
      <c r="AY4" s="400" t="s">
        <v>3208</v>
      </c>
      <c r="AZ4" s="25" t="s">
        <v>206</v>
      </c>
      <c r="BA4" s="397" t="s">
        <v>207</v>
      </c>
      <c r="BB4" s="27"/>
      <c r="BC4" s="27"/>
      <c r="BD4" s="27"/>
      <c r="BE4" s="27"/>
      <c r="BF4" s="27"/>
      <c r="BG4" s="27"/>
      <c r="BH4" s="27"/>
    </row>
    <row r="5" spans="1:60" customFormat="1">
      <c r="A5" s="13" t="s">
        <v>208</v>
      </c>
      <c r="B5" s="13" t="s">
        <v>209</v>
      </c>
      <c r="C5" s="13" t="s">
        <v>210</v>
      </c>
      <c r="D5" s="14" t="s">
        <v>11</v>
      </c>
      <c r="E5" s="13" t="s">
        <v>10</v>
      </c>
      <c r="F5" s="13" t="s">
        <v>211</v>
      </c>
      <c r="G5" s="13" t="s">
        <v>24</v>
      </c>
      <c r="H5" s="13" t="s">
        <v>212</v>
      </c>
      <c r="I5" s="45" t="s">
        <v>213</v>
      </c>
      <c r="J5" s="32" t="s">
        <v>214</v>
      </c>
      <c r="K5" s="13" t="s">
        <v>215</v>
      </c>
      <c r="L5" s="335" t="s">
        <v>3209</v>
      </c>
      <c r="M5" s="13" t="s">
        <v>66</v>
      </c>
      <c r="N5" s="13" t="s">
        <v>217</v>
      </c>
      <c r="O5" s="13" t="s">
        <v>3210</v>
      </c>
      <c r="P5" s="13" t="s">
        <v>211</v>
      </c>
      <c r="Q5" s="15">
        <v>120</v>
      </c>
      <c r="R5" s="16">
        <v>35</v>
      </c>
      <c r="S5" s="16">
        <v>220</v>
      </c>
      <c r="T5" s="16">
        <v>60</v>
      </c>
      <c r="U5" s="16">
        <v>250</v>
      </c>
      <c r="V5" s="16">
        <v>500</v>
      </c>
      <c r="W5" s="16">
        <v>100</v>
      </c>
      <c r="X5" s="15">
        <v>135</v>
      </c>
      <c r="Y5" s="17">
        <v>40</v>
      </c>
      <c r="Z5" s="17">
        <v>180</v>
      </c>
      <c r="AA5" s="16">
        <v>250</v>
      </c>
      <c r="AB5" s="16">
        <v>200</v>
      </c>
      <c r="AC5" s="16">
        <v>250</v>
      </c>
      <c r="AD5" s="16">
        <v>180</v>
      </c>
      <c r="AE5" s="16">
        <v>400</v>
      </c>
      <c r="AF5" s="16">
        <v>2200</v>
      </c>
      <c r="AG5" s="15">
        <v>35</v>
      </c>
      <c r="AH5" s="15">
        <v>500</v>
      </c>
      <c r="AI5" s="15">
        <v>600</v>
      </c>
      <c r="AJ5" s="15">
        <v>500</v>
      </c>
      <c r="AK5" s="16">
        <v>1200</v>
      </c>
      <c r="AL5" s="16">
        <v>5000</v>
      </c>
      <c r="AM5" s="16">
        <v>7000</v>
      </c>
      <c r="AN5" s="15">
        <v>80</v>
      </c>
      <c r="AO5" s="17">
        <v>150</v>
      </c>
      <c r="AP5" s="17">
        <v>260</v>
      </c>
      <c r="AQ5" s="17">
        <v>360</v>
      </c>
      <c r="AR5" s="16">
        <v>5000</v>
      </c>
      <c r="AS5" s="16">
        <v>6500</v>
      </c>
      <c r="AT5" s="16">
        <v>10000</v>
      </c>
      <c r="AU5" s="15">
        <v>2500</v>
      </c>
      <c r="AV5" s="17">
        <v>10000</v>
      </c>
      <c r="AW5" s="401">
        <v>120</v>
      </c>
      <c r="AX5" s="17">
        <v>30</v>
      </c>
      <c r="AY5" s="405">
        <v>0.04</v>
      </c>
      <c r="AZ5" s="396">
        <v>0.15</v>
      </c>
      <c r="BA5" s="404">
        <v>0.25</v>
      </c>
    </row>
    <row r="6" spans="1:60">
      <c r="A6" t="s">
        <v>220</v>
      </c>
      <c r="B6" t="s">
        <v>3211</v>
      </c>
      <c r="C6" s="42">
        <v>44881</v>
      </c>
      <c r="D6" s="54" t="s">
        <v>3212</v>
      </c>
      <c r="E6" t="s">
        <v>3213</v>
      </c>
      <c r="F6" s="29" t="s">
        <v>223</v>
      </c>
      <c r="G6" s="21" t="s">
        <v>130</v>
      </c>
      <c r="H6" s="30" t="s">
        <v>3214</v>
      </c>
      <c r="I6" s="43">
        <f>IF(SUM(Q6:BA6)=0,"-",SUM(Q6:BA6))</f>
        <v>2</v>
      </c>
      <c r="J6" s="33">
        <f>IF(SUMPRODUCT($Q$5:$BA$5,Q6:BA6)=0,"-",SUMPRODUCT($Q$5:$BA$5,Q6:BA6))</f>
        <v>800</v>
      </c>
      <c r="K6" s="35" t="s">
        <v>481</v>
      </c>
      <c r="L6" s="336" t="s">
        <v>481</v>
      </c>
      <c r="M6" s="37" t="s">
        <v>481</v>
      </c>
      <c r="N6" s="38" t="s">
        <v>481</v>
      </c>
      <c r="O6" s="38" t="s">
        <v>481</v>
      </c>
      <c r="P6" s="38" t="s">
        <v>481</v>
      </c>
      <c r="Q6" s="20"/>
      <c r="R6" s="43"/>
      <c r="S6" s="21"/>
      <c r="T6" s="21"/>
      <c r="U6" s="21"/>
      <c r="V6" s="21"/>
      <c r="W6" s="21"/>
      <c r="X6" s="20"/>
      <c r="Y6" s="21"/>
      <c r="Z6" s="21"/>
      <c r="AA6" s="21"/>
      <c r="AB6" s="21"/>
      <c r="AC6" s="21"/>
      <c r="AD6" s="21"/>
      <c r="AE6" s="43">
        <v>2</v>
      </c>
      <c r="AF6" s="43"/>
      <c r="AG6" s="20"/>
      <c r="AH6" s="20"/>
      <c r="AI6" s="21"/>
      <c r="AJ6" s="21"/>
      <c r="AK6" s="21"/>
      <c r="AL6" s="21"/>
      <c r="AM6" s="21"/>
      <c r="AN6" s="20"/>
      <c r="AO6" s="21"/>
      <c r="AP6" s="21"/>
      <c r="AQ6" s="21"/>
      <c r="AR6" s="21"/>
      <c r="AS6" s="21"/>
      <c r="AT6" s="21"/>
      <c r="AU6" s="20"/>
      <c r="AV6" s="21"/>
      <c r="AW6" s="402"/>
      <c r="AX6" s="21"/>
      <c r="AY6" s="402"/>
      <c r="AZ6" s="21"/>
      <c r="BA6" s="398"/>
    </row>
    <row r="7" spans="1:60">
      <c r="A7" t="s">
        <v>220</v>
      </c>
      <c r="B7" t="s">
        <v>3211</v>
      </c>
      <c r="C7" s="42">
        <v>44896</v>
      </c>
      <c r="D7" s="54" t="s">
        <v>3215</v>
      </c>
      <c r="E7" t="s">
        <v>3213</v>
      </c>
      <c r="F7" s="29" t="s">
        <v>223</v>
      </c>
      <c r="G7" s="21" t="s">
        <v>69</v>
      </c>
      <c r="H7" s="30" t="s">
        <v>3216</v>
      </c>
      <c r="I7" s="43">
        <f>IF(SUM(Q7:BA7)=0,"-",SUM(Q7:BA7))</f>
        <v>7</v>
      </c>
      <c r="J7" s="33">
        <f>IF(SUMPRODUCT($Q$5:$BA$5,Q7:BA7)=0,"-",SUMPRODUCT($Q$5:$BA$5,Q7:BA7))</f>
        <v>280</v>
      </c>
      <c r="K7" s="35" t="s">
        <v>481</v>
      </c>
      <c r="L7" s="336" t="s">
        <v>481</v>
      </c>
      <c r="M7" s="37" t="s">
        <v>481</v>
      </c>
      <c r="N7" s="38" t="s">
        <v>481</v>
      </c>
      <c r="O7" s="38" t="s">
        <v>481</v>
      </c>
      <c r="P7" s="38" t="s">
        <v>481</v>
      </c>
      <c r="Q7" s="20"/>
      <c r="R7" s="43"/>
      <c r="S7" s="21"/>
      <c r="T7" s="21"/>
      <c r="U7" s="21"/>
      <c r="V7" s="21"/>
      <c r="W7" s="21"/>
      <c r="X7" s="20"/>
      <c r="Y7" s="21">
        <v>7</v>
      </c>
      <c r="Z7" s="21"/>
      <c r="AA7" s="21"/>
      <c r="AB7" s="21"/>
      <c r="AC7" s="21"/>
      <c r="AD7" s="21"/>
      <c r="AE7" s="43"/>
      <c r="AF7" s="43"/>
      <c r="AG7" s="20"/>
      <c r="AH7" s="20"/>
      <c r="AI7" s="21"/>
      <c r="AJ7" s="21"/>
      <c r="AK7" s="21"/>
      <c r="AL7" s="21"/>
      <c r="AM7" s="21"/>
      <c r="AN7" s="20"/>
      <c r="AO7" s="21"/>
      <c r="AP7" s="21"/>
      <c r="AQ7" s="21"/>
      <c r="AR7" s="21"/>
      <c r="AS7" s="21"/>
      <c r="AT7" s="21"/>
      <c r="AU7" s="20"/>
      <c r="AV7" s="21"/>
      <c r="AW7" s="402"/>
      <c r="AX7" s="21"/>
      <c r="AY7" s="402"/>
      <c r="AZ7" s="21"/>
      <c r="BA7" s="398"/>
    </row>
    <row r="8" spans="1:60">
      <c r="A8" t="s">
        <v>220</v>
      </c>
      <c r="B8" t="s">
        <v>3211</v>
      </c>
      <c r="C8" s="42">
        <v>44896</v>
      </c>
      <c r="D8" s="54" t="s">
        <v>3217</v>
      </c>
      <c r="E8" t="s">
        <v>3213</v>
      </c>
      <c r="F8" s="29" t="s">
        <v>223</v>
      </c>
      <c r="G8" s="21" t="s">
        <v>69</v>
      </c>
      <c r="H8" s="30" t="s">
        <v>3218</v>
      </c>
      <c r="I8" s="43">
        <v>1</v>
      </c>
      <c r="J8" s="33">
        <f>IF(SUMPRODUCT($Q$5:$BA$5,Q8:BA8)=0,"-",SUMPRODUCT($Q$5:$BA$5,Q8:BA8))</f>
        <v>915</v>
      </c>
      <c r="K8" s="35">
        <v>44914</v>
      </c>
      <c r="L8" s="336">
        <v>915</v>
      </c>
      <c r="M8" s="38">
        <v>4200631765</v>
      </c>
      <c r="N8" s="38" t="s">
        <v>249</v>
      </c>
      <c r="O8" s="38" t="s">
        <v>481</v>
      </c>
      <c r="P8" s="38" t="s">
        <v>481</v>
      </c>
      <c r="Q8" s="20"/>
      <c r="R8" s="43"/>
      <c r="S8" s="21"/>
      <c r="T8" s="21"/>
      <c r="U8" s="21"/>
      <c r="V8" s="21"/>
      <c r="W8" s="21"/>
      <c r="X8" s="20"/>
      <c r="Y8" s="21"/>
      <c r="Z8" s="21"/>
      <c r="AA8" s="21"/>
      <c r="AB8" s="21"/>
      <c r="AC8" s="21"/>
      <c r="AD8" s="21"/>
      <c r="AE8" s="43"/>
      <c r="AF8" s="46">
        <f>915/$AF$5</f>
        <v>0.41590909090909089</v>
      </c>
      <c r="AG8" s="20"/>
      <c r="AH8" s="20"/>
      <c r="AI8" s="21"/>
      <c r="AJ8" s="21"/>
      <c r="AK8" s="21"/>
      <c r="AL8" s="21"/>
      <c r="AM8" s="21"/>
      <c r="AN8" s="20"/>
      <c r="AO8" s="21"/>
      <c r="AP8" s="21"/>
      <c r="AQ8" s="21"/>
      <c r="AR8" s="21"/>
      <c r="AS8" s="21"/>
      <c r="AT8" s="21"/>
      <c r="AU8" s="20"/>
      <c r="AV8" s="21"/>
      <c r="AW8" s="402"/>
      <c r="AX8" s="21"/>
      <c r="AY8" s="402"/>
      <c r="AZ8" s="21"/>
      <c r="BA8" s="398"/>
    </row>
    <row r="9" spans="1:60">
      <c r="A9" t="s">
        <v>220</v>
      </c>
      <c r="B9" t="s">
        <v>3211</v>
      </c>
      <c r="C9" s="42">
        <v>44935</v>
      </c>
      <c r="D9" s="55" t="s">
        <v>3219</v>
      </c>
      <c r="E9" t="s">
        <v>3213</v>
      </c>
      <c r="F9" s="29" t="s">
        <v>223</v>
      </c>
      <c r="G9" s="8" t="s">
        <v>69</v>
      </c>
      <c r="H9" s="78" t="s">
        <v>3220</v>
      </c>
      <c r="I9" s="43">
        <f>IF(SUM(Q9:BA9)=0,"-",SUM(Q9:BA9))</f>
        <v>36</v>
      </c>
      <c r="J9" s="33">
        <f>IF(SUMPRODUCT($Q$5:$BA$5,Q9:BA9)=0,"-",SUMPRODUCT($Q$5:$BA$5,Q9:BA9))</f>
        <v>1430</v>
      </c>
      <c r="K9" s="48"/>
      <c r="L9" s="336">
        <v>1500</v>
      </c>
      <c r="M9" s="48">
        <v>4200635766</v>
      </c>
      <c r="N9" s="38" t="s">
        <v>249</v>
      </c>
      <c r="O9" s="38" t="s">
        <v>481</v>
      </c>
      <c r="P9" s="38" t="s">
        <v>481</v>
      </c>
      <c r="Q9" s="7">
        <v>2</v>
      </c>
      <c r="R9" s="8">
        <v>34</v>
      </c>
      <c r="AE9" s="44"/>
      <c r="AF9" s="44"/>
    </row>
    <row r="10" spans="1:60">
      <c r="A10" t="s">
        <v>220</v>
      </c>
      <c r="B10" t="s">
        <v>3211</v>
      </c>
      <c r="C10" s="42">
        <v>44941</v>
      </c>
      <c r="D10" s="55" t="s">
        <v>3221</v>
      </c>
      <c r="E10" t="s">
        <v>3213</v>
      </c>
      <c r="F10" s="29" t="s">
        <v>223</v>
      </c>
      <c r="G10" s="8" t="s">
        <v>67</v>
      </c>
      <c r="H10" s="53" t="s">
        <v>3222</v>
      </c>
      <c r="I10" s="43">
        <f>IF(SUM(Q10:BA10)=0,"-",SUM(Q10:BA10))</f>
        <v>127</v>
      </c>
      <c r="J10" s="33">
        <f>IF(SUMPRODUCT($Q$5:$BA$5,Q10:BA10)=0,"-",SUMPRODUCT($Q$5:$BA$5,Q10:BA10))</f>
        <v>4445</v>
      </c>
      <c r="K10" s="51">
        <v>44996</v>
      </c>
      <c r="L10" s="336">
        <v>4445</v>
      </c>
      <c r="M10" s="48">
        <v>4200637735</v>
      </c>
      <c r="N10" s="38" t="s">
        <v>249</v>
      </c>
      <c r="O10" s="38" t="s">
        <v>481</v>
      </c>
      <c r="P10" s="38" t="s">
        <v>481</v>
      </c>
      <c r="AE10" s="44"/>
      <c r="AF10" s="44"/>
      <c r="AG10" s="7">
        <v>127</v>
      </c>
    </row>
    <row r="11" spans="1:60">
      <c r="A11" t="s">
        <v>220</v>
      </c>
      <c r="B11" t="s">
        <v>3211</v>
      </c>
      <c r="C11" s="42">
        <v>44941</v>
      </c>
      <c r="D11" s="55" t="s">
        <v>3223</v>
      </c>
      <c r="E11" t="s">
        <v>3213</v>
      </c>
      <c r="F11" s="29" t="s">
        <v>223</v>
      </c>
      <c r="G11" s="21" t="s">
        <v>130</v>
      </c>
      <c r="H11" s="78" t="s">
        <v>3224</v>
      </c>
      <c r="I11" s="43">
        <f>IF(SUM(Q11:BA11)=0,"-",SUM(Q11:BA11))</f>
        <v>29</v>
      </c>
      <c r="J11" s="33">
        <f>IF(SUMPRODUCT($Q$5:$BA$5,Q11:BA11)=0,"-",SUMPRODUCT($Q$5:$BA$5,Q11:BA11))</f>
        <v>2300</v>
      </c>
      <c r="K11" s="51">
        <v>44991</v>
      </c>
      <c r="L11" s="337">
        <v>17575</v>
      </c>
      <c r="M11" s="48" t="s">
        <v>481</v>
      </c>
      <c r="N11" s="48" t="s">
        <v>481</v>
      </c>
      <c r="O11" s="48" t="s">
        <v>481</v>
      </c>
      <c r="P11" s="48" t="s">
        <v>481</v>
      </c>
      <c r="Q11" s="7">
        <v>1</v>
      </c>
      <c r="R11" s="8">
        <v>16</v>
      </c>
      <c r="X11" s="7">
        <v>12</v>
      </c>
      <c r="AE11" s="44"/>
      <c r="AF11" s="44"/>
    </row>
    <row r="12" spans="1:60">
      <c r="A12" t="s">
        <v>220</v>
      </c>
      <c r="B12" t="s">
        <v>3211</v>
      </c>
      <c r="C12" s="42">
        <v>44941</v>
      </c>
      <c r="D12" s="55" t="s">
        <v>3225</v>
      </c>
      <c r="E12" t="s">
        <v>3213</v>
      </c>
      <c r="F12" s="29" t="s">
        <v>223</v>
      </c>
      <c r="G12" s="21" t="s">
        <v>130</v>
      </c>
      <c r="H12" s="78" t="s">
        <v>3226</v>
      </c>
      <c r="I12" s="43">
        <f>IF(SUM(Q12:BA12)=0,"-",SUM(Q12:BA12))</f>
        <v>78</v>
      </c>
      <c r="J12" s="33">
        <f>IF(SUMPRODUCT($Q$5:$BA$5,Q12:BA12)=0,"-",SUMPRODUCT($Q$5:$BA$5,Q12:BA12))</f>
        <v>5705</v>
      </c>
      <c r="K12" s="51">
        <v>44991</v>
      </c>
      <c r="L12" s="336" t="s">
        <v>481</v>
      </c>
      <c r="M12" s="48" t="s">
        <v>481</v>
      </c>
      <c r="N12" s="48" t="s">
        <v>481</v>
      </c>
      <c r="O12" s="48" t="s">
        <v>481</v>
      </c>
      <c r="P12" s="48" t="s">
        <v>481</v>
      </c>
      <c r="Q12" s="7">
        <v>35</v>
      </c>
      <c r="R12" s="8">
        <v>43</v>
      </c>
      <c r="AE12" s="44"/>
      <c r="AF12" s="44"/>
      <c r="AZ12" s="8">
        <v>0</v>
      </c>
      <c r="BA12" s="399">
        <v>0</v>
      </c>
    </row>
    <row r="13" spans="1:60">
      <c r="A13" t="s">
        <v>220</v>
      </c>
      <c r="B13" t="s">
        <v>3211</v>
      </c>
      <c r="C13" s="42">
        <v>44941</v>
      </c>
      <c r="D13" s="55" t="s">
        <v>3227</v>
      </c>
      <c r="E13" t="s">
        <v>3213</v>
      </c>
      <c r="F13" s="29" t="s">
        <v>223</v>
      </c>
      <c r="G13" s="21" t="s">
        <v>130</v>
      </c>
      <c r="H13" s="78" t="s">
        <v>3228</v>
      </c>
      <c r="I13" s="43">
        <f>IF(SUM(Q13:BA13)=0,"-",SUM(Q13:BA13))</f>
        <v>135</v>
      </c>
      <c r="J13" s="33">
        <f>IF(SUMPRODUCT($Q$5:$BA$5,Q13:BA13)=0,"-",SUMPRODUCT($Q$5:$BA$5,Q13:BA13))</f>
        <v>4725</v>
      </c>
      <c r="K13" s="48" t="s">
        <v>481</v>
      </c>
      <c r="L13" s="336" t="s">
        <v>481</v>
      </c>
      <c r="M13" s="48" t="s">
        <v>481</v>
      </c>
      <c r="N13" s="48" t="s">
        <v>481</v>
      </c>
      <c r="O13" s="48" t="s">
        <v>481</v>
      </c>
      <c r="P13" s="48" t="s">
        <v>481</v>
      </c>
      <c r="AE13" s="44"/>
      <c r="AF13" s="44"/>
      <c r="AG13" s="7">
        <f>81+54</f>
        <v>135</v>
      </c>
    </row>
    <row r="14" spans="1:60">
      <c r="A14" t="s">
        <v>220</v>
      </c>
      <c r="B14" t="s">
        <v>3211</v>
      </c>
      <c r="C14" s="42">
        <v>44964</v>
      </c>
      <c r="D14" s="55" t="s">
        <v>3229</v>
      </c>
      <c r="E14" t="s">
        <v>3213</v>
      </c>
      <c r="F14" s="29" t="s">
        <v>223</v>
      </c>
      <c r="G14" s="8" t="s">
        <v>69</v>
      </c>
      <c r="H14" s="78" t="s">
        <v>3230</v>
      </c>
      <c r="I14" s="43">
        <f>IF(SUM(Q14:BA14)=0,"-",SUM(Q14:BA14))</f>
        <v>20</v>
      </c>
      <c r="J14" s="52">
        <f>IF(SUMPRODUCT($Q$5:$BA$5,Q14:BA14)=0,"-",SUMPRODUCT($Q$5:$BA$5,Q14:BA14))</f>
        <v>785</v>
      </c>
      <c r="K14" s="51">
        <v>44973</v>
      </c>
      <c r="L14" s="336" t="s">
        <v>481</v>
      </c>
      <c r="M14" s="48" t="s">
        <v>481</v>
      </c>
      <c r="N14" s="48" t="s">
        <v>481</v>
      </c>
      <c r="O14" s="48" t="s">
        <v>481</v>
      </c>
      <c r="P14" s="48" t="s">
        <v>481</v>
      </c>
      <c r="Q14" s="7">
        <v>1</v>
      </c>
      <c r="R14" s="8">
        <v>19</v>
      </c>
      <c r="AE14" s="44"/>
      <c r="AF14" s="44"/>
    </row>
    <row r="15" spans="1:60">
      <c r="A15" t="s">
        <v>220</v>
      </c>
      <c r="B15" t="s">
        <v>3211</v>
      </c>
      <c r="C15" s="42">
        <v>44965</v>
      </c>
      <c r="D15" s="55" t="s">
        <v>3231</v>
      </c>
      <c r="E15" s="5" t="s">
        <v>3213</v>
      </c>
      <c r="F15" s="29" t="s">
        <v>223</v>
      </c>
      <c r="G15" s="8" t="s">
        <v>69</v>
      </c>
      <c r="H15" s="78" t="s">
        <v>3232</v>
      </c>
      <c r="I15" s="43">
        <f>IF(SUM(Q15:BA15)=0,"-",SUM(Q15:BA15))</f>
        <v>23</v>
      </c>
      <c r="J15" s="52">
        <f>IF(SUMPRODUCT($Q$5:$BA$5,Q15:BA15)=0,"-",SUMPRODUCT($Q$5:$BA$5,Q15:BA15))</f>
        <v>890</v>
      </c>
      <c r="K15" s="48" t="s">
        <v>481</v>
      </c>
      <c r="L15" s="336">
        <v>2000</v>
      </c>
      <c r="M15" s="48">
        <v>4200637681</v>
      </c>
      <c r="N15" s="38" t="s">
        <v>249</v>
      </c>
      <c r="O15" s="38" t="s">
        <v>481</v>
      </c>
      <c r="P15" s="38" t="s">
        <v>481</v>
      </c>
      <c r="Q15" s="7">
        <v>1</v>
      </c>
      <c r="R15" s="8">
        <f>17+5</f>
        <v>22</v>
      </c>
      <c r="AE15" s="44"/>
      <c r="AF15" s="44"/>
    </row>
    <row r="16" spans="1:60">
      <c r="A16" t="s">
        <v>220</v>
      </c>
      <c r="B16" t="s">
        <v>3211</v>
      </c>
      <c r="C16" s="42">
        <v>44967</v>
      </c>
      <c r="D16" s="55" t="s">
        <v>3233</v>
      </c>
      <c r="E16" s="5" t="s">
        <v>3213</v>
      </c>
      <c r="F16" s="29" t="s">
        <v>223</v>
      </c>
      <c r="G16" s="8" t="s">
        <v>93</v>
      </c>
      <c r="H16" s="78" t="s">
        <v>3234</v>
      </c>
      <c r="I16" s="43">
        <f>IF(SUM(Q16:BA16)=0,"-",SUM(Q16:BA16))</f>
        <v>1</v>
      </c>
      <c r="J16" s="52">
        <f>IF(SUMPRODUCT($Q$5:$BA$5,Q16:BA16)=0,"-",SUMPRODUCT($Q$5:$BA$5,Q16:BA16))</f>
        <v>135</v>
      </c>
      <c r="K16" s="48" t="s">
        <v>481</v>
      </c>
      <c r="L16" s="336" t="s">
        <v>481</v>
      </c>
      <c r="M16" s="48" t="s">
        <v>481</v>
      </c>
      <c r="N16" s="48" t="s">
        <v>481</v>
      </c>
      <c r="O16" s="48" t="s">
        <v>481</v>
      </c>
      <c r="P16" s="48" t="s">
        <v>481</v>
      </c>
      <c r="X16" s="7">
        <v>1</v>
      </c>
      <c r="AE16" s="44"/>
      <c r="AF16" s="44"/>
    </row>
    <row r="17" spans="1:26">
      <c r="A17" t="s">
        <v>220</v>
      </c>
      <c r="B17" t="s">
        <v>3211</v>
      </c>
      <c r="C17" s="42">
        <v>44972</v>
      </c>
      <c r="D17" s="56" t="s">
        <v>3235</v>
      </c>
      <c r="E17" s="5" t="s">
        <v>3213</v>
      </c>
      <c r="F17" s="29" t="s">
        <v>223</v>
      </c>
      <c r="G17" s="8" t="s">
        <v>69</v>
      </c>
      <c r="H17" s="78" t="s">
        <v>3236</v>
      </c>
      <c r="I17" s="43">
        <f>IF(SUM(Q17:BA17)=0,"-",SUM(Q17:BA17))</f>
        <v>1</v>
      </c>
      <c r="J17" s="52">
        <f>IF(SUMPRODUCT($Q$5:$BA$5,Q17:BA17)=0,"-",SUMPRODUCT($Q$5:$BA$5,Q17:BA17))</f>
        <v>180</v>
      </c>
      <c r="K17" s="48" t="s">
        <v>481</v>
      </c>
      <c r="L17" s="336">
        <v>500</v>
      </c>
      <c r="M17" s="48">
        <v>4200637460</v>
      </c>
      <c r="N17" s="38" t="s">
        <v>249</v>
      </c>
      <c r="O17" s="38" t="s">
        <v>481</v>
      </c>
      <c r="P17" s="38" t="s">
        <v>481</v>
      </c>
      <c r="Z17" s="8">
        <v>1</v>
      </c>
    </row>
    <row r="18" spans="1:26">
      <c r="A18" t="s">
        <v>220</v>
      </c>
      <c r="B18" t="s">
        <v>3211</v>
      </c>
      <c r="C18" s="42">
        <v>44979</v>
      </c>
      <c r="D18" s="55" t="s">
        <v>3237</v>
      </c>
      <c r="E18" s="5" t="s">
        <v>3213</v>
      </c>
      <c r="F18" s="29" t="s">
        <v>223</v>
      </c>
      <c r="G18" s="8" t="s">
        <v>93</v>
      </c>
      <c r="H18" s="78" t="s">
        <v>3238</v>
      </c>
      <c r="I18" s="43">
        <f>IF(SUM(Q18:BA18)=0,"-",SUM(Q18:BA18))</f>
        <v>12</v>
      </c>
      <c r="J18" s="52">
        <f>IF(SUMPRODUCT($Q$5:$BA$5,Q18:BA18)=0,"-",SUMPRODUCT($Q$5:$BA$5,Q18:BA18))</f>
        <v>675</v>
      </c>
      <c r="K18" s="48" t="s">
        <v>481</v>
      </c>
      <c r="L18" s="336" t="s">
        <v>481</v>
      </c>
      <c r="M18" s="48" t="s">
        <v>481</v>
      </c>
      <c r="N18" s="48" t="s">
        <v>481</v>
      </c>
      <c r="O18" s="48" t="s">
        <v>481</v>
      </c>
      <c r="P18" s="48" t="s">
        <v>481</v>
      </c>
      <c r="Q18" s="7">
        <v>3</v>
      </c>
      <c r="R18" s="8">
        <f>3+6</f>
        <v>9</v>
      </c>
    </row>
    <row r="19" spans="1:26">
      <c r="A19" t="s">
        <v>220</v>
      </c>
      <c r="B19" t="s">
        <v>3211</v>
      </c>
      <c r="C19" s="42">
        <v>44988</v>
      </c>
      <c r="D19" s="55" t="s">
        <v>3239</v>
      </c>
      <c r="E19" s="5" t="s">
        <v>3213</v>
      </c>
      <c r="F19" s="29" t="s">
        <v>223</v>
      </c>
      <c r="G19" s="8" t="s">
        <v>69</v>
      </c>
      <c r="H19" s="78" t="s">
        <v>3240</v>
      </c>
      <c r="I19" s="43">
        <f>IF(SUM(Q19:BA19)=0,"-",SUM(Q19:BA19))</f>
        <v>2</v>
      </c>
      <c r="J19" s="52">
        <f>IF(SUMPRODUCT($Q$5:$BA$5,Q19:BA19)=0,"-",SUMPRODUCT($Q$5:$BA$5,Q19:BA19))</f>
        <v>440</v>
      </c>
      <c r="K19" s="48" t="s">
        <v>481</v>
      </c>
      <c r="L19" s="336" t="s">
        <v>481</v>
      </c>
      <c r="M19" s="48" t="s">
        <v>481</v>
      </c>
      <c r="N19" s="48" t="s">
        <v>481</v>
      </c>
      <c r="O19" s="48" t="s">
        <v>481</v>
      </c>
      <c r="P19" s="48" t="s">
        <v>481</v>
      </c>
      <c r="S19" s="8">
        <v>2</v>
      </c>
    </row>
    <row r="20" spans="1:26">
      <c r="A20" s="5" t="s">
        <v>244</v>
      </c>
      <c r="B20" s="5" t="s">
        <v>3211</v>
      </c>
      <c r="C20" s="103">
        <v>44996</v>
      </c>
      <c r="D20" s="55" t="s">
        <v>3241</v>
      </c>
      <c r="E20" s="5" t="s">
        <v>3213</v>
      </c>
      <c r="F20" s="29" t="s">
        <v>223</v>
      </c>
      <c r="G20" s="8" t="s">
        <v>93</v>
      </c>
      <c r="H20" s="78" t="s">
        <v>3242</v>
      </c>
      <c r="I20" s="43">
        <f>IF(SUM(Q20:BA20)=0,"-",SUM(Q20:BA20))</f>
        <v>1</v>
      </c>
      <c r="J20" s="52">
        <f>IF(SUMPRODUCT($Q$5:$BA$5,Q20:BA20)=0,"-",SUMPRODUCT($Q$5:$BA$5,Q20:BA20))</f>
        <v>120</v>
      </c>
      <c r="K20" s="48" t="s">
        <v>481</v>
      </c>
      <c r="L20" s="336" t="s">
        <v>481</v>
      </c>
      <c r="M20" s="48" t="s">
        <v>481</v>
      </c>
      <c r="N20" s="48" t="s">
        <v>481</v>
      </c>
      <c r="O20" s="48" t="s">
        <v>481</v>
      </c>
      <c r="P20" s="48" t="s">
        <v>481</v>
      </c>
      <c r="Q20" s="7">
        <v>1</v>
      </c>
    </row>
    <row r="21" spans="1:26">
      <c r="A21" s="5" t="s">
        <v>244</v>
      </c>
      <c r="B21" s="5" t="s">
        <v>3211</v>
      </c>
      <c r="C21" s="103">
        <v>44996</v>
      </c>
      <c r="D21" s="55" t="s">
        <v>3243</v>
      </c>
      <c r="E21" s="5" t="s">
        <v>3213</v>
      </c>
      <c r="F21" s="29" t="s">
        <v>223</v>
      </c>
      <c r="G21" s="8" t="s">
        <v>69</v>
      </c>
      <c r="H21" s="78" t="s">
        <v>3244</v>
      </c>
      <c r="I21" s="43">
        <f>IF(SUM(Q21:BA21)=0,"-",SUM(Q21:BA21))</f>
        <v>21</v>
      </c>
      <c r="J21" s="52">
        <f>IF(SUMPRODUCT($Q$5:$BA$5,Q21:BA21)=0,"-",SUMPRODUCT($Q$5:$BA$5,Q21:BA21))</f>
        <v>820</v>
      </c>
      <c r="K21" s="48" t="s">
        <v>481</v>
      </c>
      <c r="L21" s="336" t="s">
        <v>481</v>
      </c>
      <c r="M21" s="48" t="s">
        <v>481</v>
      </c>
      <c r="N21" s="48" t="s">
        <v>481</v>
      </c>
      <c r="O21" s="48" t="s">
        <v>481</v>
      </c>
      <c r="P21" s="48" t="s">
        <v>481</v>
      </c>
      <c r="Q21" s="7">
        <v>1</v>
      </c>
      <c r="R21" s="8">
        <v>20</v>
      </c>
    </row>
    <row r="22" spans="1:26">
      <c r="A22" t="s">
        <v>220</v>
      </c>
      <c r="B22" t="s">
        <v>3211</v>
      </c>
      <c r="C22" s="42">
        <v>45000</v>
      </c>
      <c r="D22" s="55" t="s">
        <v>3245</v>
      </c>
      <c r="E22" s="5" t="s">
        <v>3213</v>
      </c>
      <c r="F22" s="29" t="s">
        <v>223</v>
      </c>
      <c r="G22" s="8" t="s">
        <v>130</v>
      </c>
      <c r="H22" s="78" t="s">
        <v>3246</v>
      </c>
      <c r="I22" s="43" t="str">
        <f>IF(SUM(Q22:BA22)=0,"-",SUM(Q22:BA22))</f>
        <v>-</v>
      </c>
      <c r="J22" s="52" t="str">
        <f>IF(SUMPRODUCT($Q$5:$BA$5,Q22:BA22)=0,"-",SUMPRODUCT($Q$5:$BA$5,Q22:BA22))</f>
        <v>-</v>
      </c>
      <c r="K22" s="48" t="s">
        <v>481</v>
      </c>
      <c r="L22" s="336" t="s">
        <v>481</v>
      </c>
      <c r="M22" s="48" t="s">
        <v>481</v>
      </c>
      <c r="N22" s="48" t="s">
        <v>481</v>
      </c>
      <c r="O22" s="48" t="s">
        <v>481</v>
      </c>
      <c r="P22" s="48" t="s">
        <v>481</v>
      </c>
    </row>
    <row r="23" spans="1:26">
      <c r="A23" t="s">
        <v>220</v>
      </c>
      <c r="B23" t="s">
        <v>3211</v>
      </c>
      <c r="C23" s="42">
        <v>45001</v>
      </c>
      <c r="D23" s="55" t="s">
        <v>3247</v>
      </c>
      <c r="E23" s="5" t="s">
        <v>3213</v>
      </c>
      <c r="F23" s="29" t="s">
        <v>223</v>
      </c>
      <c r="G23" s="8" t="s">
        <v>69</v>
      </c>
      <c r="H23" s="78" t="s">
        <v>3248</v>
      </c>
      <c r="I23" s="43">
        <f>IF(SUM(Q23:BA23)=0,"-",SUM(Q23:BA23))</f>
        <v>6</v>
      </c>
      <c r="J23" s="52">
        <f>IF(SUMPRODUCT($Q$5:$BA$5,Q23:BA23)=0,"-",SUMPRODUCT($Q$5:$BA$5,Q23:BA23))</f>
        <v>580</v>
      </c>
      <c r="K23" s="48" t="s">
        <v>481</v>
      </c>
      <c r="L23" s="336" t="s">
        <v>481</v>
      </c>
      <c r="M23" s="48" t="s">
        <v>481</v>
      </c>
      <c r="N23" s="48" t="s">
        <v>481</v>
      </c>
      <c r="O23" s="48" t="s">
        <v>481</v>
      </c>
      <c r="P23" s="48" t="s">
        <v>481</v>
      </c>
      <c r="R23" s="8">
        <v>4</v>
      </c>
      <c r="S23" s="8">
        <v>2</v>
      </c>
    </row>
    <row r="24" spans="1:26">
      <c r="A24" t="s">
        <v>220</v>
      </c>
      <c r="B24" t="s">
        <v>3211</v>
      </c>
      <c r="C24" s="42">
        <v>45005</v>
      </c>
      <c r="D24" s="55" t="s">
        <v>3249</v>
      </c>
      <c r="E24" s="5" t="s">
        <v>3213</v>
      </c>
      <c r="F24" s="29" t="s">
        <v>223</v>
      </c>
      <c r="G24" s="8" t="s">
        <v>69</v>
      </c>
      <c r="H24" s="78" t="s">
        <v>3250</v>
      </c>
      <c r="I24" s="43">
        <f>IF(SUM(Q24:BA24)=0,"-",SUM(Q24:BA24))</f>
        <v>3</v>
      </c>
      <c r="J24" s="52">
        <f>IF(SUMPRODUCT($Q$5:$BA$5,Q24:BA24)=0,"-",SUMPRODUCT($Q$5:$BA$5,Q24:BA24))</f>
        <v>190</v>
      </c>
      <c r="K24" s="48" t="s">
        <v>481</v>
      </c>
      <c r="L24" s="343">
        <v>2800</v>
      </c>
      <c r="M24" s="81">
        <v>4200663987</v>
      </c>
      <c r="N24" s="81" t="s">
        <v>249</v>
      </c>
      <c r="O24" s="81" t="s">
        <v>3251</v>
      </c>
      <c r="P24" s="361" t="s">
        <v>1492</v>
      </c>
      <c r="Q24" s="7">
        <v>1</v>
      </c>
      <c r="R24" s="8">
        <v>2</v>
      </c>
    </row>
    <row r="25" spans="1:26">
      <c r="A25" s="5" t="s">
        <v>220</v>
      </c>
      <c r="B25" s="5" t="s">
        <v>3211</v>
      </c>
      <c r="C25" s="42">
        <v>45009</v>
      </c>
      <c r="D25" s="55" t="s">
        <v>3252</v>
      </c>
      <c r="E25" s="5" t="s">
        <v>3213</v>
      </c>
      <c r="F25" s="29" t="s">
        <v>223</v>
      </c>
      <c r="G25" s="8" t="s">
        <v>93</v>
      </c>
      <c r="H25" s="78" t="s">
        <v>3253</v>
      </c>
      <c r="I25" s="43">
        <f>IF(SUM(Q25:BA25)=0,"-",SUM(Q25:BA25))</f>
        <v>35</v>
      </c>
      <c r="J25" s="52">
        <f>IF(SUMPRODUCT($Q$5:$BA$5,Q25:BA25)=0,"-",SUMPRODUCT($Q$5:$BA$5,Q25:BA25))</f>
        <v>2605</v>
      </c>
      <c r="K25" s="48" t="s">
        <v>481</v>
      </c>
      <c r="L25" s="336" t="s">
        <v>481</v>
      </c>
      <c r="M25" s="48" t="s">
        <v>481</v>
      </c>
      <c r="N25" s="48" t="s">
        <v>481</v>
      </c>
      <c r="O25" s="48" t="s">
        <v>481</v>
      </c>
      <c r="P25" s="48" t="s">
        <v>481</v>
      </c>
      <c r="Q25" s="7">
        <f>16</f>
        <v>16</v>
      </c>
      <c r="R25" s="8">
        <f>31-Q25</f>
        <v>15</v>
      </c>
      <c r="Y25" s="8">
        <v>4</v>
      </c>
    </row>
    <row r="26" spans="1:26">
      <c r="A26" s="5" t="s">
        <v>220</v>
      </c>
      <c r="B26" s="5" t="s">
        <v>3211</v>
      </c>
      <c r="C26" s="42">
        <v>45014</v>
      </c>
      <c r="D26" s="55" t="s">
        <v>3254</v>
      </c>
      <c r="E26" s="5" t="s">
        <v>3213</v>
      </c>
      <c r="F26" s="29" t="s">
        <v>223</v>
      </c>
      <c r="G26" s="8" t="s">
        <v>130</v>
      </c>
      <c r="H26" s="78" t="s">
        <v>3255</v>
      </c>
      <c r="I26" s="43">
        <f>IF(SUM(Q26:BA26)=0,"-",SUM(Q26:BA26))</f>
        <v>450</v>
      </c>
      <c r="J26" s="84">
        <v>15000</v>
      </c>
      <c r="K26" s="82">
        <v>45106</v>
      </c>
      <c r="L26" s="338">
        <v>15000</v>
      </c>
      <c r="M26" s="81">
        <v>4200647349</v>
      </c>
      <c r="N26" s="38" t="s">
        <v>249</v>
      </c>
      <c r="O26" s="38" t="s">
        <v>481</v>
      </c>
      <c r="P26" s="38" t="s">
        <v>481</v>
      </c>
      <c r="R26" s="8">
        <f>5*15*6</f>
        <v>450</v>
      </c>
    </row>
    <row r="27" spans="1:26">
      <c r="A27" s="5" t="s">
        <v>220</v>
      </c>
      <c r="B27" s="5" t="s">
        <v>3211</v>
      </c>
      <c r="C27" s="42">
        <v>45018</v>
      </c>
      <c r="D27" s="55" t="s">
        <v>3256</v>
      </c>
      <c r="E27" s="5" t="s">
        <v>3213</v>
      </c>
      <c r="F27" s="29" t="s">
        <v>223</v>
      </c>
      <c r="G27" s="8" t="s">
        <v>93</v>
      </c>
      <c r="H27" s="78" t="s">
        <v>3257</v>
      </c>
      <c r="I27" s="43">
        <f>IF(SUM(Q27:BA27)=0,"-",SUM(Q27:BA27))</f>
        <v>6</v>
      </c>
      <c r="J27" s="52">
        <f>IF(SUMPRODUCT($Q$5:$BA$5,Q27:BA27)=0,"-",SUMPRODUCT($Q$5:$BA$5,Q27:BA27))</f>
        <v>295</v>
      </c>
      <c r="K27" s="48" t="s">
        <v>481</v>
      </c>
      <c r="L27" s="336" t="s">
        <v>481</v>
      </c>
      <c r="M27" s="48" t="s">
        <v>481</v>
      </c>
      <c r="N27" s="48" t="s">
        <v>481</v>
      </c>
      <c r="O27" s="48" t="s">
        <v>481</v>
      </c>
      <c r="P27" s="48" t="s">
        <v>481</v>
      </c>
      <c r="Q27" s="7">
        <v>1</v>
      </c>
      <c r="R27" s="8">
        <v>5</v>
      </c>
    </row>
    <row r="28" spans="1:26">
      <c r="A28" s="5" t="s">
        <v>220</v>
      </c>
      <c r="B28" s="5" t="s">
        <v>3211</v>
      </c>
      <c r="C28" s="42">
        <v>45018</v>
      </c>
      <c r="D28" s="56" t="s">
        <v>3258</v>
      </c>
      <c r="E28" s="5" t="s">
        <v>3213</v>
      </c>
      <c r="F28" s="29" t="s">
        <v>223</v>
      </c>
      <c r="G28" s="8" t="s">
        <v>69</v>
      </c>
      <c r="H28" s="78" t="s">
        <v>3259</v>
      </c>
      <c r="I28" s="43">
        <f>IF(SUM(Q28:BA28)=0,"-",SUM(Q28:BA28))</f>
        <v>3</v>
      </c>
      <c r="J28" s="52">
        <f>IF(SUMPRODUCT($Q$5:$BA$5,Q28:BA28)=0,"-",SUMPRODUCT($Q$5:$BA$5,Q28:BA28))</f>
        <v>360</v>
      </c>
      <c r="K28" s="48" t="s">
        <v>481</v>
      </c>
      <c r="L28" s="336">
        <v>460</v>
      </c>
      <c r="M28" s="48">
        <v>4200643961</v>
      </c>
      <c r="N28" s="48" t="s">
        <v>228</v>
      </c>
      <c r="O28" s="48" t="s">
        <v>481</v>
      </c>
      <c r="P28" s="48" t="s">
        <v>481</v>
      </c>
      <c r="Q28" s="7">
        <v>3</v>
      </c>
    </row>
    <row r="29" spans="1:26">
      <c r="A29" s="5" t="s">
        <v>220</v>
      </c>
      <c r="B29" s="5" t="s">
        <v>3211</v>
      </c>
      <c r="C29" s="42">
        <v>45018</v>
      </c>
      <c r="D29" s="56" t="s">
        <v>3260</v>
      </c>
      <c r="E29" s="5" t="s">
        <v>3213</v>
      </c>
      <c r="F29" s="29" t="s">
        <v>223</v>
      </c>
      <c r="G29" s="8" t="s">
        <v>130</v>
      </c>
      <c r="H29" s="78" t="s">
        <v>3261</v>
      </c>
      <c r="I29" s="43">
        <f>IF(SUM(Q29:BA29)=0,"-",SUM(Q29:BA29))</f>
        <v>1</v>
      </c>
      <c r="J29" s="52">
        <f>IF(SUMPRODUCT($Q$5:$BA$5,Q29:BA29)=0,"-",SUMPRODUCT($Q$5:$BA$5,Q29:BA29))</f>
        <v>120</v>
      </c>
      <c r="K29" s="48" t="s">
        <v>481</v>
      </c>
      <c r="L29" s="336">
        <v>500</v>
      </c>
      <c r="M29" s="48">
        <v>4200644504</v>
      </c>
      <c r="N29" s="48" t="s">
        <v>481</v>
      </c>
      <c r="O29" s="48" t="s">
        <v>481</v>
      </c>
      <c r="P29" s="48" t="s">
        <v>481</v>
      </c>
      <c r="Q29" s="7">
        <v>1</v>
      </c>
    </row>
    <row r="30" spans="1:26">
      <c r="A30" s="5" t="s">
        <v>220</v>
      </c>
      <c r="B30" s="5" t="s">
        <v>3211</v>
      </c>
      <c r="C30" s="42">
        <v>45019</v>
      </c>
      <c r="D30" s="55" t="s">
        <v>3262</v>
      </c>
      <c r="E30" s="5" t="s">
        <v>3213</v>
      </c>
      <c r="F30" s="29" t="s">
        <v>223</v>
      </c>
      <c r="G30" s="8" t="s">
        <v>69</v>
      </c>
      <c r="H30" s="78" t="s">
        <v>3263</v>
      </c>
      <c r="I30" s="43">
        <f>IF(SUM(Q30:BA30)=0,"-",SUM(Q30:BA30))</f>
        <v>15</v>
      </c>
      <c r="J30" s="52">
        <f>IF(SUMPRODUCT($Q$5:$BA$5,Q30:BA30)=0,"-",SUMPRODUCT($Q$5:$BA$5,Q30:BA30))</f>
        <v>610</v>
      </c>
      <c r="K30" s="48" t="s">
        <v>481</v>
      </c>
      <c r="L30" s="336" t="s">
        <v>481</v>
      </c>
      <c r="M30" s="48" t="s">
        <v>481</v>
      </c>
      <c r="N30" s="48" t="s">
        <v>481</v>
      </c>
      <c r="O30" s="48" t="s">
        <v>481</v>
      </c>
      <c r="P30" s="48" t="s">
        <v>481</v>
      </c>
      <c r="Q30" s="7">
        <v>1</v>
      </c>
      <c r="R30" s="8">
        <v>14</v>
      </c>
    </row>
    <row r="31" spans="1:26">
      <c r="A31" s="5" t="s">
        <v>220</v>
      </c>
      <c r="B31" s="5" t="s">
        <v>3211</v>
      </c>
      <c r="C31" s="42">
        <v>45022</v>
      </c>
      <c r="D31" s="55" t="s">
        <v>3264</v>
      </c>
      <c r="E31" s="5" t="s">
        <v>3213</v>
      </c>
      <c r="F31" s="29" t="s">
        <v>223</v>
      </c>
      <c r="G31" s="8" t="s">
        <v>130</v>
      </c>
      <c r="H31" s="78" t="s">
        <v>3265</v>
      </c>
      <c r="I31" s="43">
        <f>IF(SUM(Q31:BA31)=0,"-",SUM(Q31:BA31))</f>
        <v>1.2</v>
      </c>
      <c r="J31" s="52">
        <f>IF(SUMPRODUCT($Q$5:$BA$5,Q31:BA31)=0,"-",SUMPRODUCT($Q$5:$BA$5,Q31:BA31))</f>
        <v>600</v>
      </c>
      <c r="K31" s="48" t="s">
        <v>481</v>
      </c>
      <c r="L31" s="336" t="s">
        <v>481</v>
      </c>
      <c r="M31" s="48" t="s">
        <v>481</v>
      </c>
      <c r="N31" s="48" t="s">
        <v>481</v>
      </c>
      <c r="O31" s="48" t="s">
        <v>481</v>
      </c>
      <c r="P31" s="48" t="s">
        <v>481</v>
      </c>
      <c r="V31" s="8">
        <v>1.2</v>
      </c>
    </row>
    <row r="32" spans="1:26">
      <c r="A32" s="5" t="s">
        <v>220</v>
      </c>
      <c r="B32" s="5" t="s">
        <v>3211</v>
      </c>
      <c r="C32" s="42">
        <v>45022</v>
      </c>
      <c r="D32" s="55" t="s">
        <v>3266</v>
      </c>
      <c r="E32" s="5" t="s">
        <v>3213</v>
      </c>
      <c r="F32" s="29" t="s">
        <v>223</v>
      </c>
      <c r="G32" s="8" t="s">
        <v>69</v>
      </c>
      <c r="H32" s="78" t="s">
        <v>3265</v>
      </c>
      <c r="I32" s="43">
        <f>IF(SUM(Q32:BA32)=0,"-",SUM(Q32:BA32))</f>
        <v>16</v>
      </c>
      <c r="J32" s="52">
        <f>IF(SUMPRODUCT($Q$5:$BA$5,Q32:BA32)=0,"-",SUMPRODUCT($Q$5:$BA$5,Q32:BA32))</f>
        <v>730</v>
      </c>
      <c r="K32" s="82">
        <v>45037</v>
      </c>
      <c r="L32" s="336">
        <v>800</v>
      </c>
      <c r="M32" s="48">
        <v>4200641586</v>
      </c>
      <c r="N32" s="48" t="s">
        <v>228</v>
      </c>
      <c r="O32" s="48" t="s">
        <v>481</v>
      </c>
      <c r="P32" s="48" t="s">
        <v>481</v>
      </c>
      <c r="Q32" s="7">
        <v>2</v>
      </c>
      <c r="R32" s="8">
        <v>14</v>
      </c>
    </row>
    <row r="33" spans="1:33">
      <c r="A33" s="5" t="s">
        <v>220</v>
      </c>
      <c r="B33" s="5" t="s">
        <v>3211</v>
      </c>
      <c r="C33" s="42">
        <v>45035</v>
      </c>
      <c r="D33" s="56" t="s">
        <v>3267</v>
      </c>
      <c r="E33" s="5" t="s">
        <v>3213</v>
      </c>
      <c r="F33" s="29" t="s">
        <v>223</v>
      </c>
      <c r="G33" s="8" t="s">
        <v>130</v>
      </c>
      <c r="H33" s="78" t="s">
        <v>3268</v>
      </c>
      <c r="I33" s="43">
        <f>IF(SUM(Q33:BA33)=0,"-",SUM(Q33:BA33))</f>
        <v>1</v>
      </c>
      <c r="J33" s="52">
        <f>IF(SUMPRODUCT($Q$5:$BA$5,Q33:BA33)=0,"-",SUMPRODUCT($Q$5:$BA$5,Q33:BA33))</f>
        <v>250</v>
      </c>
      <c r="K33" s="48" t="s">
        <v>481</v>
      </c>
      <c r="L33" s="336" t="s">
        <v>481</v>
      </c>
      <c r="M33" s="48" t="s">
        <v>481</v>
      </c>
      <c r="N33" s="48" t="s">
        <v>481</v>
      </c>
      <c r="O33" s="48" t="s">
        <v>481</v>
      </c>
      <c r="P33" s="48" t="s">
        <v>481</v>
      </c>
      <c r="U33" s="8">
        <v>1</v>
      </c>
    </row>
    <row r="34" spans="1:33">
      <c r="A34" s="5" t="s">
        <v>220</v>
      </c>
      <c r="B34" s="5" t="s">
        <v>3211</v>
      </c>
      <c r="C34" s="76">
        <v>45042</v>
      </c>
      <c r="D34" s="77" t="s">
        <v>3269</v>
      </c>
      <c r="E34" s="5" t="s">
        <v>3213</v>
      </c>
      <c r="F34" s="29" t="s">
        <v>223</v>
      </c>
      <c r="G34" s="8" t="s">
        <v>93</v>
      </c>
      <c r="H34" s="78" t="s">
        <v>3270</v>
      </c>
      <c r="I34" s="43">
        <f>IF(SUM(Q34:BA34)=0,"-",SUM(Q34:BA34))</f>
        <v>1</v>
      </c>
      <c r="J34" s="52">
        <f>IF(SUMPRODUCT($Q$5:$BA$5,Q34:BA34)=0,"-",SUMPRODUCT($Q$5:$BA$5,Q34:BA34))</f>
        <v>35</v>
      </c>
      <c r="K34" s="48" t="s">
        <v>481</v>
      </c>
      <c r="L34" s="336" t="s">
        <v>481</v>
      </c>
      <c r="M34" s="48" t="s">
        <v>481</v>
      </c>
      <c r="N34" s="48" t="s">
        <v>481</v>
      </c>
      <c r="O34" s="48" t="s">
        <v>481</v>
      </c>
      <c r="P34" s="48" t="s">
        <v>481</v>
      </c>
      <c r="R34" s="8">
        <v>1</v>
      </c>
    </row>
    <row r="35" spans="1:33">
      <c r="A35" s="5" t="s">
        <v>220</v>
      </c>
      <c r="B35" s="5" t="s">
        <v>3211</v>
      </c>
      <c r="C35" s="42">
        <v>45056</v>
      </c>
      <c r="D35" s="77" t="s">
        <v>3271</v>
      </c>
      <c r="E35" s="5" t="s">
        <v>3213</v>
      </c>
      <c r="F35" s="29" t="s">
        <v>223</v>
      </c>
      <c r="G35" s="8" t="s">
        <v>69</v>
      </c>
      <c r="H35" s="78" t="s">
        <v>3272</v>
      </c>
      <c r="I35" s="43">
        <f>IF(SUM(Q35:BA35)=0,"-",SUM(Q35:BA35))</f>
        <v>1</v>
      </c>
      <c r="J35" s="52">
        <f>IF(SUMPRODUCT($Q$5:$BA$5,Q35:BA35)=0,"-",SUMPRODUCT($Q$5:$BA$5,Q35:BA35))</f>
        <v>220</v>
      </c>
      <c r="K35" s="48" t="s">
        <v>481</v>
      </c>
      <c r="L35" s="336" t="s">
        <v>481</v>
      </c>
      <c r="M35" s="48" t="s">
        <v>481</v>
      </c>
      <c r="N35" s="48" t="s">
        <v>481</v>
      </c>
      <c r="O35" s="48" t="s">
        <v>481</v>
      </c>
      <c r="P35" s="48" t="s">
        <v>481</v>
      </c>
      <c r="S35" s="8">
        <v>1</v>
      </c>
    </row>
    <row r="36" spans="1:33">
      <c r="A36" s="5" t="s">
        <v>220</v>
      </c>
      <c r="B36" s="5" t="s">
        <v>3211</v>
      </c>
      <c r="C36" s="42">
        <v>45058</v>
      </c>
      <c r="D36" s="55" t="s">
        <v>3273</v>
      </c>
      <c r="E36" s="5" t="s">
        <v>3213</v>
      </c>
      <c r="F36" s="29" t="s">
        <v>223</v>
      </c>
      <c r="G36" s="8" t="s">
        <v>130</v>
      </c>
      <c r="H36" s="78" t="s">
        <v>3274</v>
      </c>
      <c r="I36" s="43">
        <f>IF(SUM(Q36:BA36)=0,"-",SUM(Q36:BA36))</f>
        <v>11</v>
      </c>
      <c r="J36" s="52">
        <f>IF(SUMPRODUCT($Q$5:$BA$5,Q36:BA36)=0,"-",SUMPRODUCT($Q$5:$BA$5,Q36:BA36))</f>
        <v>470</v>
      </c>
      <c r="K36" s="48" t="s">
        <v>481</v>
      </c>
      <c r="L36" s="336" t="s">
        <v>481</v>
      </c>
      <c r="M36" s="48" t="s">
        <v>481</v>
      </c>
      <c r="N36" s="48" t="s">
        <v>481</v>
      </c>
      <c r="O36" s="48" t="s">
        <v>481</v>
      </c>
      <c r="P36" s="48" t="s">
        <v>481</v>
      </c>
      <c r="Q36" s="7">
        <v>1</v>
      </c>
      <c r="R36" s="8">
        <f>10</f>
        <v>10</v>
      </c>
    </row>
    <row r="37" spans="1:33">
      <c r="A37" s="5" t="s">
        <v>244</v>
      </c>
      <c r="B37" s="5" t="s">
        <v>3211</v>
      </c>
      <c r="C37" s="42">
        <v>45058</v>
      </c>
      <c r="D37" s="55" t="s">
        <v>3275</v>
      </c>
      <c r="E37" s="5" t="s">
        <v>3213</v>
      </c>
      <c r="F37" s="29" t="s">
        <v>223</v>
      </c>
      <c r="G37" s="8" t="s">
        <v>130</v>
      </c>
      <c r="H37" s="78" t="s">
        <v>3276</v>
      </c>
      <c r="I37" s="43">
        <f>IF(SUM(Q37:BA37)=0,"-",SUM(Q37:BA37))</f>
        <v>3</v>
      </c>
      <c r="J37" s="52">
        <f>IF(SUMPRODUCT($Q$5:$BA$5,Q37:BA37)=0,"-",SUMPRODUCT($Q$5:$BA$5,Q37:BA37))</f>
        <v>105</v>
      </c>
      <c r="K37" s="48" t="s">
        <v>481</v>
      </c>
      <c r="L37" s="336" t="s">
        <v>481</v>
      </c>
      <c r="M37" s="48" t="s">
        <v>481</v>
      </c>
      <c r="N37" s="48" t="s">
        <v>481</v>
      </c>
      <c r="O37" s="48" t="s">
        <v>481</v>
      </c>
      <c r="P37" s="48" t="s">
        <v>481</v>
      </c>
      <c r="R37" s="8">
        <v>3</v>
      </c>
    </row>
    <row r="38" spans="1:33">
      <c r="A38" s="5" t="s">
        <v>244</v>
      </c>
      <c r="B38" s="5" t="s">
        <v>3211</v>
      </c>
      <c r="C38" s="76">
        <v>45064</v>
      </c>
      <c r="D38" s="55" t="s">
        <v>3277</v>
      </c>
      <c r="E38" s="5" t="s">
        <v>3213</v>
      </c>
      <c r="F38" s="29" t="s">
        <v>223</v>
      </c>
      <c r="G38" s="8" t="s">
        <v>93</v>
      </c>
      <c r="H38" s="78" t="s">
        <v>3278</v>
      </c>
      <c r="I38" s="43">
        <f>IF(SUM(Q38:BA38)=0,"-",SUM(Q38:BA38))</f>
        <v>9</v>
      </c>
      <c r="J38" s="52">
        <f>IF(SUMPRODUCT($Q$5:$BA$5,Q38:BA38)=0,"-",SUMPRODUCT($Q$5:$BA$5,Q38:BA38))</f>
        <v>910</v>
      </c>
      <c r="K38" s="48" t="s">
        <v>481</v>
      </c>
      <c r="L38" s="336" t="s">
        <v>481</v>
      </c>
      <c r="M38" s="48" t="s">
        <v>481</v>
      </c>
      <c r="N38" s="48" t="s">
        <v>481</v>
      </c>
      <c r="O38" s="48" t="s">
        <v>481</v>
      </c>
      <c r="P38" s="48" t="s">
        <v>481</v>
      </c>
      <c r="Q38" s="7">
        <v>7</v>
      </c>
      <c r="R38" s="8">
        <v>2</v>
      </c>
    </row>
    <row r="39" spans="1:33">
      <c r="A39" s="5" t="s">
        <v>244</v>
      </c>
      <c r="B39" s="5" t="s">
        <v>3211</v>
      </c>
      <c r="C39" s="42">
        <v>45069</v>
      </c>
      <c r="D39" s="55" t="s">
        <v>3279</v>
      </c>
      <c r="E39" s="5" t="s">
        <v>3213</v>
      </c>
      <c r="F39" s="29" t="s">
        <v>223</v>
      </c>
      <c r="G39" s="8" t="s">
        <v>93</v>
      </c>
      <c r="H39" s="78" t="s">
        <v>3280</v>
      </c>
      <c r="I39" s="43">
        <f>IF(SUM(Q39:BA39)=0,"-",SUM(Q39:BA39))</f>
        <v>10</v>
      </c>
      <c r="J39" s="52">
        <f>IF(SUMPRODUCT($Q$5:$BA$5,Q39:BA39)=0,"-",SUMPRODUCT($Q$5:$BA$5,Q39:BA39))</f>
        <v>435</v>
      </c>
      <c r="K39" s="48" t="s">
        <v>481</v>
      </c>
      <c r="L39" s="336" t="s">
        <v>481</v>
      </c>
      <c r="M39" s="48" t="s">
        <v>481</v>
      </c>
      <c r="N39" s="48" t="s">
        <v>481</v>
      </c>
      <c r="O39" s="48" t="s">
        <v>481</v>
      </c>
      <c r="P39" s="48" t="s">
        <v>481</v>
      </c>
      <c r="Q39" s="7">
        <v>1</v>
      </c>
      <c r="R39" s="8">
        <v>9</v>
      </c>
    </row>
    <row r="40" spans="1:33">
      <c r="A40" s="5" t="s">
        <v>244</v>
      </c>
      <c r="B40" s="5" t="s">
        <v>3211</v>
      </c>
      <c r="C40" s="76">
        <v>45077</v>
      </c>
      <c r="D40" s="55" t="s">
        <v>3281</v>
      </c>
      <c r="E40" s="5" t="s">
        <v>3213</v>
      </c>
      <c r="F40" s="29" t="s">
        <v>223</v>
      </c>
      <c r="G40" s="8" t="s">
        <v>93</v>
      </c>
      <c r="H40" s="78" t="s">
        <v>3282</v>
      </c>
      <c r="I40" s="43">
        <f>IF(SUM(Q40:BA40)=0,"-",SUM(Q40:BA40))</f>
        <v>5</v>
      </c>
      <c r="J40" s="52">
        <f>IF(SUMPRODUCT($Q$5:$BA$5,Q40:BA40)=0,"-",SUMPRODUCT($Q$5:$BA$5,Q40:BA40))</f>
        <v>175</v>
      </c>
      <c r="K40" s="48" t="s">
        <v>481</v>
      </c>
      <c r="L40" s="336" t="s">
        <v>481</v>
      </c>
      <c r="M40" s="48" t="s">
        <v>481</v>
      </c>
      <c r="N40" s="48" t="s">
        <v>481</v>
      </c>
      <c r="O40" s="48" t="s">
        <v>481</v>
      </c>
      <c r="P40" s="48" t="s">
        <v>481</v>
      </c>
      <c r="R40" s="8">
        <v>5</v>
      </c>
    </row>
    <row r="41" spans="1:33">
      <c r="A41" s="5" t="s">
        <v>244</v>
      </c>
      <c r="B41" s="5" t="s">
        <v>3211</v>
      </c>
      <c r="C41" s="76">
        <v>45079</v>
      </c>
      <c r="D41" s="55" t="s">
        <v>3283</v>
      </c>
      <c r="E41" s="5" t="s">
        <v>3213</v>
      </c>
      <c r="F41" s="29" t="s">
        <v>223</v>
      </c>
      <c r="G41" s="8" t="s">
        <v>130</v>
      </c>
      <c r="H41" s="78" t="s">
        <v>3284</v>
      </c>
      <c r="I41" s="43">
        <f>IF(SUM(Q41:BA41)=0,"-",SUM(Q41:BA41))</f>
        <v>1</v>
      </c>
      <c r="J41" s="52">
        <f>IF(SUMPRODUCT($Q$5:$BA$5,Q41:BA41)=0,"-",SUMPRODUCT($Q$5:$BA$5,Q41:BA41))</f>
        <v>35</v>
      </c>
      <c r="K41" s="48" t="s">
        <v>481</v>
      </c>
      <c r="L41" s="336" t="s">
        <v>481</v>
      </c>
      <c r="M41" s="48" t="s">
        <v>481</v>
      </c>
      <c r="N41" s="48" t="s">
        <v>481</v>
      </c>
      <c r="O41" s="48" t="s">
        <v>481</v>
      </c>
      <c r="P41" s="48" t="s">
        <v>481</v>
      </c>
      <c r="R41" s="8">
        <v>1</v>
      </c>
    </row>
    <row r="42" spans="1:33">
      <c r="A42" s="5" t="s">
        <v>244</v>
      </c>
      <c r="B42" s="5" t="s">
        <v>3211</v>
      </c>
      <c r="C42" s="76">
        <v>45084</v>
      </c>
      <c r="D42" s="55" t="s">
        <v>3285</v>
      </c>
      <c r="E42" s="5" t="s">
        <v>3213</v>
      </c>
      <c r="F42" s="29" t="s">
        <v>223</v>
      </c>
      <c r="G42" s="8" t="s">
        <v>130</v>
      </c>
      <c r="H42" s="78" t="s">
        <v>3286</v>
      </c>
      <c r="I42" s="43">
        <f>IF(SUM(Q42:BA42)=0,"-",SUM(Q42:BA42))</f>
        <v>6</v>
      </c>
      <c r="J42" s="52">
        <f>IF(SUMPRODUCT($Q$5:$BA$5,Q42:BA42)=0,"-",SUMPRODUCT($Q$5:$BA$5,Q42:BA42))</f>
        <v>210</v>
      </c>
      <c r="K42" s="48" t="s">
        <v>481</v>
      </c>
      <c r="L42" s="336" t="s">
        <v>481</v>
      </c>
      <c r="M42" s="48" t="s">
        <v>481</v>
      </c>
      <c r="N42" s="48" t="s">
        <v>481</v>
      </c>
      <c r="O42" s="48" t="s">
        <v>481</v>
      </c>
      <c r="P42" s="48" t="s">
        <v>481</v>
      </c>
      <c r="AG42" s="7">
        <v>6</v>
      </c>
    </row>
    <row r="43" spans="1:33">
      <c r="A43" s="5" t="s">
        <v>244</v>
      </c>
      <c r="B43" s="5" t="s">
        <v>3211</v>
      </c>
      <c r="C43" s="76">
        <v>45084</v>
      </c>
      <c r="D43" s="55" t="s">
        <v>3287</v>
      </c>
      <c r="E43" s="5" t="s">
        <v>3213</v>
      </c>
      <c r="F43" s="29" t="s">
        <v>223</v>
      </c>
      <c r="G43" s="8" t="s">
        <v>130</v>
      </c>
      <c r="H43" s="78" t="s">
        <v>3288</v>
      </c>
      <c r="I43" s="43">
        <f>IF(SUM(Q43:BA43)=0,"-",SUM(Q43:BA43))</f>
        <v>1</v>
      </c>
      <c r="J43" s="52">
        <f>IF(SUMPRODUCT($Q$5:$BA$5,Q43:BA43)=0,"-",SUMPRODUCT($Q$5:$BA$5,Q43:BA43))</f>
        <v>35</v>
      </c>
      <c r="K43" s="48" t="s">
        <v>481</v>
      </c>
      <c r="L43" s="336" t="s">
        <v>481</v>
      </c>
      <c r="M43" s="48" t="s">
        <v>481</v>
      </c>
      <c r="N43" s="48" t="s">
        <v>481</v>
      </c>
      <c r="O43" s="48" t="s">
        <v>481</v>
      </c>
      <c r="P43" s="48" t="s">
        <v>481</v>
      </c>
      <c r="R43" s="8">
        <v>1</v>
      </c>
    </row>
    <row r="44" spans="1:33">
      <c r="A44" s="5" t="s">
        <v>244</v>
      </c>
      <c r="B44" s="5" t="s">
        <v>3211</v>
      </c>
      <c r="C44" s="76">
        <v>45085</v>
      </c>
      <c r="D44" s="55" t="s">
        <v>3289</v>
      </c>
      <c r="E44" s="5" t="s">
        <v>3213</v>
      </c>
      <c r="F44" s="29" t="s">
        <v>223</v>
      </c>
      <c r="G44" s="8" t="s">
        <v>130</v>
      </c>
      <c r="H44" s="78" t="s">
        <v>3290</v>
      </c>
      <c r="I44" s="43">
        <f>IF(SUM(Q44:BA44)=0,"-",SUM(Q44:BA44))</f>
        <v>2</v>
      </c>
      <c r="J44" s="52">
        <f>IF(SUMPRODUCT($Q$5:$BA$5,Q44:BA44)=0,"-",SUMPRODUCT($Q$5:$BA$5,Q44:BA44))</f>
        <v>70</v>
      </c>
      <c r="K44" s="48" t="s">
        <v>481</v>
      </c>
      <c r="L44" s="336" t="s">
        <v>481</v>
      </c>
      <c r="M44" s="48" t="s">
        <v>481</v>
      </c>
      <c r="N44" s="48" t="s">
        <v>481</v>
      </c>
      <c r="O44" s="48" t="s">
        <v>481</v>
      </c>
      <c r="P44" s="48" t="s">
        <v>481</v>
      </c>
      <c r="R44" s="8">
        <v>2</v>
      </c>
    </row>
    <row r="45" spans="1:33">
      <c r="A45" s="5" t="s">
        <v>244</v>
      </c>
      <c r="B45" s="5" t="s">
        <v>3211</v>
      </c>
      <c r="C45" s="76">
        <v>45085</v>
      </c>
      <c r="D45" s="55" t="s">
        <v>3291</v>
      </c>
      <c r="E45" s="5" t="s">
        <v>3213</v>
      </c>
      <c r="F45" s="29" t="s">
        <v>223</v>
      </c>
      <c r="G45" s="8" t="s">
        <v>130</v>
      </c>
      <c r="H45" s="78" t="s">
        <v>3292</v>
      </c>
      <c r="I45" s="43">
        <f>IF(SUM(Q45:BA45)=0,"-",SUM(Q45:BA45))</f>
        <v>2</v>
      </c>
      <c r="J45" s="52">
        <f>IF(SUMPRODUCT($Q$5:$BA$5,Q45:BA45)=0,"-",SUMPRODUCT($Q$5:$BA$5,Q45:BA45))</f>
        <v>175</v>
      </c>
      <c r="K45" s="48" t="s">
        <v>481</v>
      </c>
      <c r="L45" s="336" t="s">
        <v>481</v>
      </c>
      <c r="M45" s="48" t="s">
        <v>481</v>
      </c>
      <c r="N45" s="48" t="s">
        <v>481</v>
      </c>
      <c r="O45" s="48" t="s">
        <v>481</v>
      </c>
      <c r="P45" s="48" t="s">
        <v>481</v>
      </c>
      <c r="X45" s="7">
        <v>1</v>
      </c>
      <c r="Y45" s="8">
        <v>1</v>
      </c>
    </row>
    <row r="46" spans="1:33">
      <c r="A46" s="5" t="s">
        <v>244</v>
      </c>
      <c r="B46" s="5" t="s">
        <v>3211</v>
      </c>
      <c r="C46" s="76">
        <v>45091</v>
      </c>
      <c r="D46" s="55" t="s">
        <v>3293</v>
      </c>
      <c r="E46" s="5" t="s">
        <v>3213</v>
      </c>
      <c r="F46" s="29" t="s">
        <v>223</v>
      </c>
      <c r="G46" s="8" t="s">
        <v>69</v>
      </c>
      <c r="H46" s="78" t="s">
        <v>3294</v>
      </c>
      <c r="I46" s="43">
        <v>9</v>
      </c>
      <c r="J46" s="52">
        <v>315</v>
      </c>
      <c r="K46" s="48" t="s">
        <v>481</v>
      </c>
      <c r="L46" s="336" t="s">
        <v>481</v>
      </c>
      <c r="M46" s="48" t="s">
        <v>481</v>
      </c>
      <c r="N46" s="48" t="s">
        <v>481</v>
      </c>
      <c r="O46" s="48" t="s">
        <v>481</v>
      </c>
      <c r="P46" s="48" t="s">
        <v>481</v>
      </c>
      <c r="R46" s="8">
        <v>9</v>
      </c>
    </row>
    <row r="47" spans="1:33">
      <c r="A47" s="5" t="s">
        <v>244</v>
      </c>
      <c r="B47" s="5" t="s">
        <v>3211</v>
      </c>
      <c r="C47" s="76">
        <v>45103</v>
      </c>
      <c r="D47" s="55" t="s">
        <v>3295</v>
      </c>
      <c r="E47" s="5" t="s">
        <v>3213</v>
      </c>
      <c r="F47" s="29" t="s">
        <v>223</v>
      </c>
      <c r="G47" s="8" t="s">
        <v>69</v>
      </c>
      <c r="H47" s="78" t="s">
        <v>3296</v>
      </c>
      <c r="I47" s="43">
        <f>IF(SUM(Q47:BA47)=0,"-",SUM(Q47:BA47))</f>
        <v>4</v>
      </c>
      <c r="J47" s="52">
        <f>IF(SUMPRODUCT($Q$5:$BA$5,Q47:BA47)=0,"-",SUMPRODUCT($Q$5:$BA$5,Q47:BA47))</f>
        <v>160</v>
      </c>
      <c r="K47" s="48" t="s">
        <v>481</v>
      </c>
      <c r="L47" s="336" t="s">
        <v>481</v>
      </c>
      <c r="M47" s="48" t="s">
        <v>481</v>
      </c>
      <c r="N47" s="48" t="s">
        <v>481</v>
      </c>
      <c r="O47" s="48" t="s">
        <v>481</v>
      </c>
      <c r="P47" s="48" t="s">
        <v>481</v>
      </c>
      <c r="Y47" s="8">
        <v>4</v>
      </c>
    </row>
    <row r="48" spans="1:33">
      <c r="A48" s="5" t="s">
        <v>244</v>
      </c>
      <c r="B48" s="5" t="s">
        <v>3211</v>
      </c>
      <c r="C48" s="76">
        <v>45115</v>
      </c>
      <c r="D48" s="55" t="s">
        <v>3297</v>
      </c>
      <c r="E48" s="5" t="s">
        <v>3213</v>
      </c>
      <c r="F48" s="29" t="s">
        <v>223</v>
      </c>
      <c r="G48" s="8" t="s">
        <v>69</v>
      </c>
      <c r="H48" s="78" t="s">
        <v>3298</v>
      </c>
      <c r="I48" s="43">
        <f>IF(SUM(Q48:BA48)=0,"-",SUM(Q48:BA48))</f>
        <v>4</v>
      </c>
      <c r="J48" s="52">
        <f>IF(SUMPRODUCT($Q$5:$BA$5,Q48:BA48)=0,"-",SUMPRODUCT($Q$5:$BA$5,Q48:BA48))</f>
        <v>880</v>
      </c>
      <c r="K48" s="48" t="s">
        <v>481</v>
      </c>
      <c r="L48" s="308">
        <v>1970</v>
      </c>
      <c r="M48" s="81">
        <v>4200649989</v>
      </c>
      <c r="N48" s="81" t="s">
        <v>228</v>
      </c>
      <c r="O48" s="81" t="s">
        <v>481</v>
      </c>
      <c r="P48" s="81" t="s">
        <v>481</v>
      </c>
      <c r="S48" s="8">
        <v>4</v>
      </c>
    </row>
    <row r="49" spans="1:33">
      <c r="A49" s="5" t="s">
        <v>244</v>
      </c>
      <c r="B49" s="5" t="s">
        <v>3211</v>
      </c>
      <c r="C49" s="76">
        <v>45118</v>
      </c>
      <c r="D49" s="55" t="s">
        <v>3299</v>
      </c>
      <c r="E49" s="5" t="s">
        <v>3213</v>
      </c>
      <c r="F49" s="29" t="s">
        <v>223</v>
      </c>
      <c r="G49" s="8" t="s">
        <v>69</v>
      </c>
      <c r="H49" s="78" t="s">
        <v>3300</v>
      </c>
      <c r="I49" s="43">
        <f>IF(SUM(Q49:BA49)=0,"-",SUM(Q49:BA49))</f>
        <v>3</v>
      </c>
      <c r="J49" s="52">
        <f>IF(SUMPRODUCT($Q$5:$BA$5,Q49:BA49)=0,"-",SUMPRODUCT($Q$5:$BA$5,Q49:BA49))</f>
        <v>105</v>
      </c>
      <c r="K49" s="48" t="s">
        <v>481</v>
      </c>
      <c r="L49" s="336" t="s">
        <v>481</v>
      </c>
      <c r="M49" s="48" t="s">
        <v>481</v>
      </c>
      <c r="N49" s="48" t="s">
        <v>481</v>
      </c>
      <c r="O49" s="48" t="s">
        <v>481</v>
      </c>
      <c r="P49" s="48" t="s">
        <v>481</v>
      </c>
      <c r="R49" s="8">
        <v>3</v>
      </c>
    </row>
    <row r="50" spans="1:33">
      <c r="A50" s="5" t="s">
        <v>244</v>
      </c>
      <c r="B50" s="5" t="s">
        <v>3211</v>
      </c>
      <c r="C50" s="76">
        <v>45118</v>
      </c>
      <c r="D50" s="55" t="s">
        <v>3301</v>
      </c>
      <c r="E50" s="5" t="s">
        <v>3213</v>
      </c>
      <c r="F50" s="29" t="s">
        <v>223</v>
      </c>
      <c r="G50" s="8" t="s">
        <v>69</v>
      </c>
      <c r="H50" s="78" t="s">
        <v>3302</v>
      </c>
      <c r="I50" s="43">
        <f>IF(SUM(Q50:BA50)=0,"-",SUM(Q50:BA50))</f>
        <v>6</v>
      </c>
      <c r="J50" s="52">
        <f>IF(SUMPRODUCT($Q$5:$BA$5,Q50:BA50)=0,"-",SUMPRODUCT($Q$5:$BA$5,Q50:BA50))</f>
        <v>295</v>
      </c>
      <c r="K50" s="48" t="s">
        <v>481</v>
      </c>
      <c r="L50" s="336" t="s">
        <v>481</v>
      </c>
      <c r="M50" s="48" t="s">
        <v>481</v>
      </c>
      <c r="N50" s="48" t="s">
        <v>481</v>
      </c>
      <c r="O50" s="48" t="s">
        <v>481</v>
      </c>
      <c r="P50" s="48" t="s">
        <v>481</v>
      </c>
      <c r="Q50" s="7">
        <v>1</v>
      </c>
      <c r="R50" s="8">
        <v>5</v>
      </c>
    </row>
    <row r="51" spans="1:33">
      <c r="A51" s="5" t="s">
        <v>244</v>
      </c>
      <c r="B51" s="5" t="s">
        <v>3211</v>
      </c>
      <c r="C51" s="76">
        <v>45133</v>
      </c>
      <c r="D51" s="55" t="s">
        <v>3303</v>
      </c>
      <c r="E51" s="5" t="s">
        <v>3213</v>
      </c>
      <c r="F51" s="29" t="s">
        <v>223</v>
      </c>
      <c r="G51" s="8" t="s">
        <v>130</v>
      </c>
      <c r="H51" s="78" t="s">
        <v>3304</v>
      </c>
      <c r="I51" s="43">
        <f>IF(SUM(Q51:BA51)=0,"-",SUM(Q51:BA51))</f>
        <v>24</v>
      </c>
      <c r="J51" s="52">
        <f>IF(SUMPRODUCT($Q$5:$BA$5,Q51:BA51)=0,"-",SUMPRODUCT($Q$5:$BA$5,Q51:BA51))</f>
        <v>925</v>
      </c>
      <c r="K51" s="48" t="s">
        <v>481</v>
      </c>
      <c r="L51" s="336" t="s">
        <v>481</v>
      </c>
      <c r="M51" s="48" t="s">
        <v>481</v>
      </c>
      <c r="N51" s="48" t="s">
        <v>481</v>
      </c>
      <c r="O51" s="48" t="s">
        <v>481</v>
      </c>
      <c r="P51" s="48" t="s">
        <v>481</v>
      </c>
      <c r="Q51" s="7">
        <v>1</v>
      </c>
      <c r="R51" s="8">
        <v>23</v>
      </c>
    </row>
    <row r="52" spans="1:33">
      <c r="A52" s="5" t="s">
        <v>244</v>
      </c>
      <c r="B52" s="5" t="s">
        <v>3211</v>
      </c>
      <c r="C52" s="76">
        <v>45139</v>
      </c>
      <c r="D52" s="55" t="s">
        <v>3305</v>
      </c>
      <c r="E52" s="5" t="s">
        <v>3213</v>
      </c>
      <c r="F52" s="29" t="s">
        <v>223</v>
      </c>
      <c r="G52" s="8" t="s">
        <v>69</v>
      </c>
      <c r="H52" s="78" t="s">
        <v>3306</v>
      </c>
      <c r="I52" s="43">
        <f>IF(SUM(Q52:BA52)=0,"-",SUM(Q52:BA52))</f>
        <v>8</v>
      </c>
      <c r="J52" s="52">
        <f>IF(SUMPRODUCT($Q$5:$BA$5,Q52:BA52)=0,"-",SUMPRODUCT($Q$5:$BA$5,Q52:BA52))</f>
        <v>450</v>
      </c>
      <c r="K52" s="48" t="s">
        <v>481</v>
      </c>
      <c r="L52" s="336" t="s">
        <v>481</v>
      </c>
      <c r="M52" s="48" t="s">
        <v>481</v>
      </c>
      <c r="N52" s="48" t="s">
        <v>481</v>
      </c>
      <c r="O52" s="48" t="s">
        <v>481</v>
      </c>
      <c r="P52" s="48" t="s">
        <v>481</v>
      </c>
      <c r="Q52" s="7">
        <v>2</v>
      </c>
      <c r="R52" s="8">
        <v>6</v>
      </c>
    </row>
    <row r="53" spans="1:33">
      <c r="A53" s="5" t="s">
        <v>244</v>
      </c>
      <c r="B53" s="5" t="s">
        <v>3211</v>
      </c>
      <c r="C53" s="76">
        <v>45139</v>
      </c>
      <c r="D53" s="55" t="s">
        <v>3307</v>
      </c>
      <c r="E53" s="5" t="s">
        <v>3213</v>
      </c>
      <c r="F53" s="29" t="s">
        <v>223</v>
      </c>
      <c r="G53" s="8" t="s">
        <v>69</v>
      </c>
      <c r="H53" s="78" t="s">
        <v>3308</v>
      </c>
      <c r="I53" s="43">
        <f>IF(SUM(Q53:BA53)=0,"-",SUM(Q53:BA53))</f>
        <v>2</v>
      </c>
      <c r="J53" s="52">
        <f>IF(SUMPRODUCT($Q$5:$BA$5,Q53:BA53)=0,"-",SUMPRODUCT($Q$5:$BA$5,Q53:BA53))</f>
        <v>500</v>
      </c>
      <c r="K53" s="48" t="s">
        <v>481</v>
      </c>
      <c r="L53" s="336" t="s">
        <v>481</v>
      </c>
      <c r="M53" s="48" t="s">
        <v>481</v>
      </c>
      <c r="N53" s="48" t="s">
        <v>481</v>
      </c>
      <c r="O53" s="48" t="s">
        <v>481</v>
      </c>
      <c r="P53" s="48" t="s">
        <v>481</v>
      </c>
      <c r="AA53" s="8">
        <v>2</v>
      </c>
    </row>
    <row r="54" spans="1:33">
      <c r="A54" s="5" t="s">
        <v>244</v>
      </c>
      <c r="B54" s="5" t="s">
        <v>3211</v>
      </c>
      <c r="C54" s="76">
        <v>45140</v>
      </c>
      <c r="D54" s="55" t="s">
        <v>3309</v>
      </c>
      <c r="E54" s="5" t="s">
        <v>3213</v>
      </c>
      <c r="F54" s="29" t="s">
        <v>223</v>
      </c>
      <c r="G54" s="8" t="s">
        <v>130</v>
      </c>
      <c r="H54" s="78" t="s">
        <v>3310</v>
      </c>
      <c r="I54" s="43">
        <f>IF(SUM(Q54:BA54)=0,"-",SUM(Q54:BA54))</f>
        <v>5</v>
      </c>
      <c r="J54" s="52">
        <f>IF(SUMPRODUCT($Q$5:$BA$5,Q54:BA54)=0,"-",SUMPRODUCT($Q$5:$BA$5,Q54:BA54))</f>
        <v>175</v>
      </c>
      <c r="K54" s="48" t="s">
        <v>481</v>
      </c>
      <c r="L54" s="336" t="s">
        <v>481</v>
      </c>
      <c r="M54" s="48" t="s">
        <v>481</v>
      </c>
      <c r="N54" s="48" t="s">
        <v>481</v>
      </c>
      <c r="O54" s="48" t="s">
        <v>481</v>
      </c>
      <c r="P54" s="48" t="s">
        <v>481</v>
      </c>
      <c r="R54" s="8">
        <v>5</v>
      </c>
    </row>
    <row r="55" spans="1:33">
      <c r="A55" s="5" t="s">
        <v>244</v>
      </c>
      <c r="B55" s="5" t="s">
        <v>3211</v>
      </c>
      <c r="C55" s="76">
        <v>45146</v>
      </c>
      <c r="D55" s="55" t="s">
        <v>3311</v>
      </c>
      <c r="E55" s="5" t="s">
        <v>3213</v>
      </c>
      <c r="F55" s="29" t="s">
        <v>223</v>
      </c>
      <c r="G55" s="8" t="s">
        <v>67</v>
      </c>
      <c r="H55" s="78" t="s">
        <v>3312</v>
      </c>
      <c r="I55" s="43">
        <f>IF(SUM(Q55:BA55)=0,"-",SUM(Q55:BA55))</f>
        <v>188</v>
      </c>
      <c r="J55" s="52">
        <f>IF(SUMPRODUCT($Q$5:$BA$5,Q55:BA55)=0,"-",SUMPRODUCT($Q$5:$BA$5,Q55:BA55))</f>
        <v>6580</v>
      </c>
      <c r="K55" s="48" t="s">
        <v>481</v>
      </c>
      <c r="L55" s="308">
        <v>10500</v>
      </c>
      <c r="M55" s="81">
        <v>4200650014</v>
      </c>
      <c r="N55" s="81" t="s">
        <v>228</v>
      </c>
      <c r="O55" s="81" t="s">
        <v>481</v>
      </c>
      <c r="P55" s="81" t="s">
        <v>481</v>
      </c>
      <c r="AG55" s="7">
        <v>188</v>
      </c>
    </row>
    <row r="56" spans="1:33">
      <c r="A56" s="5" t="s">
        <v>244</v>
      </c>
      <c r="B56" s="5" t="s">
        <v>3211</v>
      </c>
      <c r="C56" s="76">
        <v>45147</v>
      </c>
      <c r="D56" s="55" t="s">
        <v>3313</v>
      </c>
      <c r="E56" s="5" t="s">
        <v>3213</v>
      </c>
      <c r="F56" s="29" t="s">
        <v>223</v>
      </c>
      <c r="G56" s="8" t="s">
        <v>69</v>
      </c>
      <c r="H56" s="78" t="s">
        <v>3314</v>
      </c>
      <c r="I56" s="43">
        <f>IF(SUM(Q56:BA56)=0,"-",SUM(Q56:BA56))</f>
        <v>10</v>
      </c>
      <c r="J56" s="52">
        <f>IF(SUMPRODUCT($Q$5:$BA$5,Q56:BA56)=0,"-",SUMPRODUCT($Q$5:$BA$5,Q56:BA56))</f>
        <v>350</v>
      </c>
      <c r="K56" s="48" t="s">
        <v>481</v>
      </c>
      <c r="L56" s="308">
        <v>2700</v>
      </c>
      <c r="M56" s="81">
        <v>4200652254</v>
      </c>
      <c r="N56" s="81" t="s">
        <v>249</v>
      </c>
      <c r="O56" s="81" t="s">
        <v>3315</v>
      </c>
      <c r="P56" s="131" t="s">
        <v>652</v>
      </c>
      <c r="R56" s="8">
        <v>10</v>
      </c>
    </row>
    <row r="57" spans="1:33">
      <c r="A57" s="5" t="s">
        <v>244</v>
      </c>
      <c r="B57" s="5" t="s">
        <v>3211</v>
      </c>
      <c r="C57" s="103">
        <v>45149</v>
      </c>
      <c r="D57" s="55" t="s">
        <v>3316</v>
      </c>
      <c r="E57" s="5" t="s">
        <v>3213</v>
      </c>
      <c r="F57" s="29" t="s">
        <v>223</v>
      </c>
      <c r="G57" s="8" t="s">
        <v>69</v>
      </c>
      <c r="H57" s="78" t="s">
        <v>3317</v>
      </c>
      <c r="I57" s="43">
        <f>IF(SUM(Q57:BA57)=0,"-",SUM(Q57:BA57))</f>
        <v>5</v>
      </c>
      <c r="J57" s="52">
        <f>IF(SUMPRODUCT($Q$5:$BA$5,Q57:BA57)=0,"-",SUMPRODUCT($Q$5:$BA$5,Q57:BA57))</f>
        <v>260</v>
      </c>
      <c r="K57" s="48" t="s">
        <v>481</v>
      </c>
      <c r="L57" s="336" t="s">
        <v>481</v>
      </c>
      <c r="M57" s="48" t="s">
        <v>481</v>
      </c>
      <c r="N57" s="48" t="s">
        <v>481</v>
      </c>
      <c r="O57" s="48" t="s">
        <v>481</v>
      </c>
      <c r="P57" s="48" t="s">
        <v>481</v>
      </c>
      <c r="Q57" s="7">
        <v>1</v>
      </c>
      <c r="R57" s="8">
        <v>4</v>
      </c>
    </row>
    <row r="58" spans="1:33">
      <c r="A58" s="5" t="s">
        <v>244</v>
      </c>
      <c r="B58" s="5" t="s">
        <v>3211</v>
      </c>
      <c r="C58" s="76">
        <v>45155</v>
      </c>
      <c r="D58" s="55" t="s">
        <v>3318</v>
      </c>
      <c r="E58" s="5" t="s">
        <v>3213</v>
      </c>
      <c r="F58" s="29" t="s">
        <v>223</v>
      </c>
      <c r="G58" s="8" t="s">
        <v>130</v>
      </c>
      <c r="H58" s="78" t="s">
        <v>3319</v>
      </c>
      <c r="I58" s="43">
        <f>IF(SUM(Q58:BA58)=0,"-",SUM(Q58:BA58))</f>
        <v>1</v>
      </c>
      <c r="J58" s="52">
        <f>IF(SUMPRODUCT($Q$5:$BA$5,Q58:BA58)=0,"-",SUMPRODUCT($Q$5:$BA$5,Q58:BA58))</f>
        <v>120</v>
      </c>
      <c r="K58" s="48" t="s">
        <v>481</v>
      </c>
      <c r="L58" s="336" t="s">
        <v>481</v>
      </c>
      <c r="M58" s="48" t="s">
        <v>481</v>
      </c>
      <c r="N58" s="48" t="s">
        <v>481</v>
      </c>
      <c r="O58" s="48" t="s">
        <v>481</v>
      </c>
      <c r="P58" s="48" t="s">
        <v>481</v>
      </c>
      <c r="Q58" s="7">
        <v>1</v>
      </c>
    </row>
    <row r="59" spans="1:33">
      <c r="A59" s="5" t="s">
        <v>244</v>
      </c>
      <c r="B59" s="5" t="s">
        <v>3211</v>
      </c>
      <c r="C59" s="76">
        <v>45155</v>
      </c>
      <c r="D59" s="106" t="s">
        <v>3320</v>
      </c>
      <c r="E59" s="5" t="s">
        <v>3213</v>
      </c>
      <c r="F59" s="29" t="s">
        <v>223</v>
      </c>
      <c r="G59" s="8" t="s">
        <v>69</v>
      </c>
      <c r="H59" s="78" t="s">
        <v>3321</v>
      </c>
      <c r="I59" s="43">
        <f>IF(SUM(Q59:BA59)=0,"-",SUM(Q59:BA59))</f>
        <v>50</v>
      </c>
      <c r="J59" s="52">
        <f>IF(SUMPRODUCT($Q$5:$BA$5,Q59:BA59)=0,"-",SUMPRODUCT($Q$5:$BA$5,Q59:BA59))</f>
        <v>2290</v>
      </c>
      <c r="K59" s="48" t="s">
        <v>481</v>
      </c>
      <c r="L59" s="336" t="s">
        <v>481</v>
      </c>
      <c r="M59" s="48" t="s">
        <v>481</v>
      </c>
      <c r="N59" s="48" t="s">
        <v>481</v>
      </c>
      <c r="O59" s="48" t="s">
        <v>481</v>
      </c>
      <c r="P59" s="48" t="s">
        <v>481</v>
      </c>
      <c r="Q59" s="7">
        <v>2</v>
      </c>
      <c r="R59" s="8">
        <f>8+19*2</f>
        <v>46</v>
      </c>
      <c r="S59" s="8">
        <v>2</v>
      </c>
    </row>
    <row r="60" spans="1:33">
      <c r="A60" s="5" t="s">
        <v>244</v>
      </c>
      <c r="B60" s="5" t="s">
        <v>3211</v>
      </c>
      <c r="C60" s="76">
        <v>45156</v>
      </c>
      <c r="D60" s="55" t="s">
        <v>3322</v>
      </c>
      <c r="E60" s="5" t="s">
        <v>3213</v>
      </c>
      <c r="F60" s="29" t="s">
        <v>223</v>
      </c>
      <c r="G60" s="8" t="s">
        <v>69</v>
      </c>
      <c r="H60" s="78" t="s">
        <v>3323</v>
      </c>
      <c r="I60" s="43">
        <f>IF(SUM(Q60:BA60)=0,"-",SUM(Q60:BA60))</f>
        <v>109</v>
      </c>
      <c r="J60" s="52">
        <f>IF(SUMPRODUCT($Q$5:$BA$5,Q60:BA60)=0,"-",SUMPRODUCT($Q$5:$BA$5,Q60:BA60))</f>
        <v>4050</v>
      </c>
      <c r="K60" s="98" t="s">
        <v>3324</v>
      </c>
      <c r="L60" s="340">
        <v>4000</v>
      </c>
      <c r="M60" s="81">
        <v>4200656691</v>
      </c>
      <c r="N60" s="81" t="s">
        <v>249</v>
      </c>
      <c r="O60" s="81" t="s">
        <v>3325</v>
      </c>
      <c r="P60" s="131" t="s">
        <v>3326</v>
      </c>
      <c r="R60" s="8">
        <v>106</v>
      </c>
      <c r="S60" s="8">
        <v>1</v>
      </c>
      <c r="T60" s="8">
        <v>2</v>
      </c>
    </row>
    <row r="61" spans="1:33">
      <c r="A61" s="5" t="s">
        <v>244</v>
      </c>
      <c r="B61" s="5" t="s">
        <v>3211</v>
      </c>
      <c r="C61" s="76">
        <v>45160</v>
      </c>
      <c r="D61" s="55" t="s">
        <v>3327</v>
      </c>
      <c r="E61" s="5" t="s">
        <v>3213</v>
      </c>
      <c r="F61" s="29" t="s">
        <v>223</v>
      </c>
      <c r="G61" s="8" t="s">
        <v>69</v>
      </c>
      <c r="H61" s="78" t="s">
        <v>3328</v>
      </c>
      <c r="I61" s="43">
        <f>IF(SUM(Q61:BA61)=0,"-",SUM(Q61:BA61))</f>
        <v>4</v>
      </c>
      <c r="J61" s="52">
        <f>IF(SUMPRODUCT($Q$5:$BA$5,Q61:BA61)=0,"-",SUMPRODUCT($Q$5:$BA$5,Q61:BA61))</f>
        <v>140</v>
      </c>
      <c r="K61" s="48" t="s">
        <v>481</v>
      </c>
      <c r="L61" s="336" t="s">
        <v>481</v>
      </c>
      <c r="M61" s="48" t="s">
        <v>481</v>
      </c>
      <c r="N61" s="48" t="s">
        <v>481</v>
      </c>
      <c r="O61" s="48" t="s">
        <v>481</v>
      </c>
      <c r="P61" s="48" t="s">
        <v>481</v>
      </c>
      <c r="R61" s="8">
        <v>4</v>
      </c>
    </row>
    <row r="62" spans="1:33">
      <c r="A62" s="5" t="s">
        <v>244</v>
      </c>
      <c r="B62" s="5" t="s">
        <v>3211</v>
      </c>
      <c r="C62" s="76">
        <v>45160</v>
      </c>
      <c r="D62" s="55" t="s">
        <v>3329</v>
      </c>
      <c r="E62" s="5" t="s">
        <v>3213</v>
      </c>
      <c r="F62" s="29" t="s">
        <v>223</v>
      </c>
      <c r="G62" s="8" t="s">
        <v>130</v>
      </c>
      <c r="H62" s="78" t="s">
        <v>3330</v>
      </c>
      <c r="I62" s="43">
        <f>IF(SUM(Q62:BA62)=0,"-",SUM(Q62:BA62))</f>
        <v>3</v>
      </c>
      <c r="J62" s="52">
        <f>IF(SUMPRODUCT($Q$5:$BA$5,Q62:BA62)=0,"-",SUMPRODUCT($Q$5:$BA$5,Q62:BA62))</f>
        <v>190</v>
      </c>
      <c r="K62" s="48" t="s">
        <v>481</v>
      </c>
      <c r="L62" s="336" t="s">
        <v>481</v>
      </c>
      <c r="M62" s="48" t="s">
        <v>481</v>
      </c>
      <c r="N62" s="48" t="s">
        <v>481</v>
      </c>
      <c r="O62" s="48" t="s">
        <v>481</v>
      </c>
      <c r="P62" s="48" t="s">
        <v>481</v>
      </c>
      <c r="Q62" s="7">
        <v>1</v>
      </c>
      <c r="R62" s="8">
        <v>2</v>
      </c>
    </row>
    <row r="63" spans="1:33">
      <c r="A63" s="5" t="s">
        <v>244</v>
      </c>
      <c r="B63" s="5" t="s">
        <v>3211</v>
      </c>
      <c r="C63" s="76">
        <v>45170</v>
      </c>
      <c r="D63" s="55" t="s">
        <v>3331</v>
      </c>
      <c r="E63" s="5" t="s">
        <v>3213</v>
      </c>
      <c r="F63" s="29" t="s">
        <v>223</v>
      </c>
      <c r="G63" s="8" t="s">
        <v>69</v>
      </c>
      <c r="H63" s="78" t="s">
        <v>3332</v>
      </c>
      <c r="I63" s="43">
        <v>1</v>
      </c>
      <c r="J63" s="52">
        <f>IF(SUMPRODUCT($Q$5:$BA$5,Q63:BA63)=0,"-",SUMPRODUCT($Q$5:$BA$5,Q63:BA63))</f>
        <v>550</v>
      </c>
      <c r="K63" s="48" t="s">
        <v>481</v>
      </c>
      <c r="L63" s="308">
        <v>2250</v>
      </c>
      <c r="M63" s="81">
        <v>4200652040</v>
      </c>
      <c r="N63" s="81" t="s">
        <v>228</v>
      </c>
      <c r="O63" s="81" t="s">
        <v>3333</v>
      </c>
      <c r="P63" s="131" t="s">
        <v>3334</v>
      </c>
      <c r="AF63" s="108">
        <v>0.25</v>
      </c>
    </row>
    <row r="64" spans="1:33">
      <c r="A64" s="5" t="s">
        <v>244</v>
      </c>
      <c r="B64" s="5" t="s">
        <v>3211</v>
      </c>
      <c r="C64" s="76">
        <v>45173</v>
      </c>
      <c r="D64" s="55" t="s">
        <v>3335</v>
      </c>
      <c r="E64" s="5" t="s">
        <v>3213</v>
      </c>
      <c r="F64" s="29" t="s">
        <v>223</v>
      </c>
      <c r="G64" s="8" t="s">
        <v>69</v>
      </c>
      <c r="H64" s="78" t="s">
        <v>3336</v>
      </c>
      <c r="I64" s="43">
        <f>IF(SUM(Q64:BA64)=0,"-",SUM(Q64:BA64))</f>
        <v>7</v>
      </c>
      <c r="J64" s="52">
        <f>IF(SUMPRODUCT($Q$5:$BA$5,Q64:BA64)=0,"-",SUMPRODUCT($Q$5:$BA$5,Q64:BA64))</f>
        <v>430</v>
      </c>
      <c r="K64" s="48" t="s">
        <v>481</v>
      </c>
      <c r="L64" s="336" t="s">
        <v>481</v>
      </c>
      <c r="M64" s="48" t="s">
        <v>481</v>
      </c>
      <c r="N64" s="48" t="s">
        <v>481</v>
      </c>
      <c r="O64" s="48" t="s">
        <v>481</v>
      </c>
      <c r="P64" s="48" t="s">
        <v>481</v>
      </c>
      <c r="R64" s="8">
        <v>6</v>
      </c>
      <c r="S64" s="8">
        <v>1</v>
      </c>
    </row>
    <row r="65" spans="1:31">
      <c r="A65" s="5" t="s">
        <v>244</v>
      </c>
      <c r="B65" s="5" t="s">
        <v>3211</v>
      </c>
      <c r="C65" s="76">
        <v>45176</v>
      </c>
      <c r="D65" s="55" t="s">
        <v>3337</v>
      </c>
      <c r="E65" s="5" t="s">
        <v>3213</v>
      </c>
      <c r="F65" s="29" t="s">
        <v>223</v>
      </c>
      <c r="G65" s="8" t="s">
        <v>69</v>
      </c>
      <c r="H65" s="78" t="s">
        <v>3338</v>
      </c>
      <c r="I65" s="43">
        <f>IF(SUM(Q65:BA65)=0,"-",SUM(Q65:BA65))</f>
        <v>8</v>
      </c>
      <c r="J65" s="52">
        <f>IF(SUMPRODUCT($Q$5:$BA$5,Q65:BA65)=0,"-",SUMPRODUCT($Q$5:$BA$5,Q65:BA65))</f>
        <v>450</v>
      </c>
      <c r="K65" s="48" t="s">
        <v>481</v>
      </c>
      <c r="L65" s="336" t="s">
        <v>481</v>
      </c>
      <c r="M65" s="48" t="s">
        <v>481</v>
      </c>
      <c r="N65" s="48" t="s">
        <v>481</v>
      </c>
      <c r="O65" s="48" t="s">
        <v>481</v>
      </c>
      <c r="P65" s="48" t="s">
        <v>481</v>
      </c>
      <c r="Q65" s="7">
        <v>2</v>
      </c>
      <c r="R65" s="8">
        <v>6</v>
      </c>
    </row>
    <row r="66" spans="1:31">
      <c r="A66" s="5" t="s">
        <v>244</v>
      </c>
      <c r="B66" s="5" t="s">
        <v>3211</v>
      </c>
      <c r="C66" s="76">
        <v>45180</v>
      </c>
      <c r="D66" s="55" t="s">
        <v>3339</v>
      </c>
      <c r="E66" s="5" t="s">
        <v>3213</v>
      </c>
      <c r="F66" s="29" t="s">
        <v>223</v>
      </c>
      <c r="G66" s="8" t="s">
        <v>69</v>
      </c>
      <c r="H66" s="78" t="s">
        <v>3340</v>
      </c>
      <c r="I66" s="43">
        <f>IF(SUM(Q66:BA66)=0,"-",SUM(Q66:BA66))</f>
        <v>17</v>
      </c>
      <c r="J66" s="52">
        <f>IF(SUMPRODUCT($Q$5:$BA$5,Q66:BA66)=0,"-",SUMPRODUCT($Q$5:$BA$5,Q66:BA66))</f>
        <v>680</v>
      </c>
      <c r="K66" s="48" t="s">
        <v>481</v>
      </c>
      <c r="L66" s="336" t="s">
        <v>481</v>
      </c>
      <c r="M66" s="48" t="s">
        <v>481</v>
      </c>
      <c r="N66" s="48" t="s">
        <v>481</v>
      </c>
      <c r="O66" s="48" t="s">
        <v>481</v>
      </c>
      <c r="P66" s="48" t="s">
        <v>481</v>
      </c>
      <c r="Q66" s="7">
        <v>1</v>
      </c>
      <c r="R66" s="8">
        <f>12+4</f>
        <v>16</v>
      </c>
    </row>
    <row r="67" spans="1:31">
      <c r="A67" s="5" t="s">
        <v>244</v>
      </c>
      <c r="B67" s="5" t="s">
        <v>3211</v>
      </c>
      <c r="C67" s="76">
        <v>45180</v>
      </c>
      <c r="D67" s="106" t="s">
        <v>3341</v>
      </c>
      <c r="E67" s="5" t="s">
        <v>3213</v>
      </c>
      <c r="F67" s="29" t="s">
        <v>223</v>
      </c>
      <c r="G67" s="8" t="s">
        <v>130</v>
      </c>
      <c r="I67" s="43">
        <f>IF(SUM(Q67:BA67)=0,"-",SUM(Q67:BA67))</f>
        <v>2</v>
      </c>
      <c r="J67" s="52">
        <f>IF(SUMPRODUCT($Q$5:$BA$5,Q67:BA67)=0,"-",SUMPRODUCT($Q$5:$BA$5,Q67:BA67))</f>
        <v>70</v>
      </c>
      <c r="K67" s="48" t="s">
        <v>481</v>
      </c>
      <c r="L67" s="336" t="s">
        <v>481</v>
      </c>
      <c r="M67" s="48" t="s">
        <v>481</v>
      </c>
      <c r="N67" s="48" t="s">
        <v>481</v>
      </c>
      <c r="O67" s="48" t="s">
        <v>481</v>
      </c>
      <c r="P67" s="48" t="s">
        <v>481</v>
      </c>
      <c r="R67" s="8">
        <v>2</v>
      </c>
    </row>
    <row r="68" spans="1:31">
      <c r="A68" s="5" t="s">
        <v>244</v>
      </c>
      <c r="B68" s="5" t="s">
        <v>3211</v>
      </c>
      <c r="C68" s="76">
        <v>45180</v>
      </c>
      <c r="D68" s="222" t="s">
        <v>3342</v>
      </c>
      <c r="E68" s="5" t="s">
        <v>3213</v>
      </c>
      <c r="F68" s="29" t="s">
        <v>223</v>
      </c>
      <c r="G68" s="8" t="s">
        <v>69</v>
      </c>
      <c r="H68" s="78" t="s">
        <v>3343</v>
      </c>
      <c r="I68" s="43">
        <f>IF(SUM(Q68:BA68)=0,"-",SUM(Q68:BA68))</f>
        <v>1</v>
      </c>
      <c r="J68" s="52">
        <f>IF(SUMPRODUCT($Q$5:$BA$5,Q68:BA68)=0,"-",SUMPRODUCT($Q$5:$BA$5,Q68:BA68))</f>
        <v>35</v>
      </c>
      <c r="K68" s="48" t="s">
        <v>481</v>
      </c>
      <c r="L68" s="336" t="s">
        <v>481</v>
      </c>
      <c r="M68" s="48" t="s">
        <v>481</v>
      </c>
      <c r="N68" s="48" t="s">
        <v>481</v>
      </c>
      <c r="O68" s="48" t="s">
        <v>481</v>
      </c>
      <c r="P68" s="48" t="s">
        <v>481</v>
      </c>
      <c r="R68" s="8">
        <v>1</v>
      </c>
    </row>
    <row r="69" spans="1:31">
      <c r="A69" s="5" t="s">
        <v>244</v>
      </c>
      <c r="B69" s="5" t="s">
        <v>3211</v>
      </c>
      <c r="C69" s="103">
        <v>45180</v>
      </c>
      <c r="D69" s="222" t="s">
        <v>3344</v>
      </c>
      <c r="E69" s="5" t="s">
        <v>3213</v>
      </c>
      <c r="F69" s="29" t="s">
        <v>223</v>
      </c>
      <c r="G69" s="8" t="s">
        <v>69</v>
      </c>
      <c r="H69" s="78" t="s">
        <v>3345</v>
      </c>
      <c r="I69" s="43">
        <f>IF(SUM(Q69:BA69)=0,"-",SUM(Q69:BA69))</f>
        <v>3</v>
      </c>
      <c r="J69" s="52">
        <f>IF(SUMPRODUCT($Q$5:$BA$5,Q69:BA69)=0,"-",SUMPRODUCT($Q$5:$BA$5,Q69:BA69))</f>
        <v>190</v>
      </c>
      <c r="K69" s="48" t="s">
        <v>481</v>
      </c>
      <c r="L69" s="336" t="s">
        <v>481</v>
      </c>
      <c r="M69" s="48" t="s">
        <v>481</v>
      </c>
      <c r="N69" s="48" t="s">
        <v>481</v>
      </c>
      <c r="O69" s="48" t="s">
        <v>481</v>
      </c>
      <c r="P69" s="48" t="s">
        <v>481</v>
      </c>
      <c r="Q69" s="7">
        <v>1</v>
      </c>
      <c r="R69" s="8">
        <v>2</v>
      </c>
    </row>
    <row r="70" spans="1:31">
      <c r="A70" s="5" t="s">
        <v>244</v>
      </c>
      <c r="B70" s="5" t="s">
        <v>3211</v>
      </c>
      <c r="C70" s="103">
        <v>45180</v>
      </c>
      <c r="D70" s="54" t="s">
        <v>3346</v>
      </c>
      <c r="E70" s="5" t="s">
        <v>3213</v>
      </c>
      <c r="F70" s="29" t="s">
        <v>223</v>
      </c>
      <c r="G70" s="8" t="s">
        <v>69</v>
      </c>
      <c r="H70" s="78" t="s">
        <v>3347</v>
      </c>
      <c r="I70" s="43">
        <f>IF(SUM(Q70:BA70)=0,"-",SUM(Q70:BA70))</f>
        <v>4</v>
      </c>
      <c r="J70" s="52">
        <f>IF(SUMPRODUCT($Q$5:$BA$5,Q70:BA70)=0,"-",SUMPRODUCT($Q$5:$BA$5,Q70:BA70))</f>
        <v>140</v>
      </c>
      <c r="K70" s="48" t="s">
        <v>481</v>
      </c>
      <c r="L70" s="336" t="s">
        <v>481</v>
      </c>
      <c r="M70" s="48" t="s">
        <v>481</v>
      </c>
      <c r="N70" s="48" t="s">
        <v>481</v>
      </c>
      <c r="O70" s="48" t="s">
        <v>481</v>
      </c>
      <c r="P70" s="48" t="s">
        <v>481</v>
      </c>
      <c r="R70" s="8">
        <v>4</v>
      </c>
    </row>
    <row r="71" spans="1:31">
      <c r="A71" s="5" t="s">
        <v>244</v>
      </c>
      <c r="B71" s="5" t="s">
        <v>3211</v>
      </c>
      <c r="C71" s="103">
        <v>45181</v>
      </c>
      <c r="D71" s="55" t="s">
        <v>3348</v>
      </c>
      <c r="E71" s="5" t="s">
        <v>3213</v>
      </c>
      <c r="F71" s="29" t="s">
        <v>223</v>
      </c>
      <c r="G71" s="8" t="s">
        <v>130</v>
      </c>
      <c r="H71" s="78" t="s">
        <v>3349</v>
      </c>
      <c r="I71" s="43">
        <f>IF(SUM(Q71:BA71)=0,"-",SUM(Q71:BA71))</f>
        <v>2</v>
      </c>
      <c r="J71" s="52">
        <f>IF(SUMPRODUCT($Q$5:$BA$5,Q71:BA71)=0,"-",SUMPRODUCT($Q$5:$BA$5,Q71:BA71))</f>
        <v>70</v>
      </c>
      <c r="K71" s="48" t="s">
        <v>481</v>
      </c>
      <c r="L71" s="336" t="s">
        <v>481</v>
      </c>
      <c r="M71" s="48" t="s">
        <v>481</v>
      </c>
      <c r="N71" s="48" t="s">
        <v>481</v>
      </c>
      <c r="O71" s="48" t="s">
        <v>481</v>
      </c>
      <c r="P71" s="48" t="s">
        <v>481</v>
      </c>
      <c r="R71" s="8">
        <v>2</v>
      </c>
    </row>
    <row r="72" spans="1:31">
      <c r="A72" s="5" t="s">
        <v>244</v>
      </c>
      <c r="B72" s="5" t="s">
        <v>3211</v>
      </c>
      <c r="C72" s="103">
        <v>45184</v>
      </c>
      <c r="D72" s="55" t="s">
        <v>3350</v>
      </c>
      <c r="E72" s="5" t="s">
        <v>3213</v>
      </c>
      <c r="F72" s="29" t="s">
        <v>223</v>
      </c>
      <c r="G72" s="8" t="s">
        <v>69</v>
      </c>
      <c r="H72" s="78" t="s">
        <v>3351</v>
      </c>
      <c r="I72" s="43">
        <f>IF(SUM(Q72:BA72)=0,"-",SUM(Q72:BA72))</f>
        <v>6</v>
      </c>
      <c r="J72" s="52">
        <f>IF(SUMPRODUCT($Q$5:$BA$5,Q72:BA72)=0,"-",SUMPRODUCT($Q$5:$BA$5,Q72:BA72))</f>
        <v>380</v>
      </c>
      <c r="K72" s="48" t="s">
        <v>481</v>
      </c>
      <c r="L72" s="336" t="s">
        <v>481</v>
      </c>
      <c r="M72" s="48" t="s">
        <v>481</v>
      </c>
      <c r="N72" s="48" t="s">
        <v>481</v>
      </c>
      <c r="O72" s="48" t="s">
        <v>481</v>
      </c>
      <c r="P72" s="48" t="s">
        <v>481</v>
      </c>
      <c r="Q72" s="7">
        <v>2</v>
      </c>
      <c r="R72" s="8">
        <v>4</v>
      </c>
    </row>
    <row r="73" spans="1:31">
      <c r="A73" s="5" t="s">
        <v>244</v>
      </c>
      <c r="B73" s="5" t="s">
        <v>3211</v>
      </c>
      <c r="C73" s="103">
        <v>45196</v>
      </c>
      <c r="D73" s="344" t="s">
        <v>3352</v>
      </c>
      <c r="E73" s="5" t="s">
        <v>3213</v>
      </c>
      <c r="F73" s="29" t="s">
        <v>223</v>
      </c>
      <c r="G73" s="8" t="s">
        <v>69</v>
      </c>
      <c r="H73" s="78" t="s">
        <v>3353</v>
      </c>
      <c r="I73" s="43">
        <f>IF(SUM(Q73:BA73)=0,"-",SUM(Q73:BA73))</f>
        <v>9</v>
      </c>
      <c r="J73" s="52">
        <f>IF(SUMPRODUCT($Q$5:$BA$5,Q73:BA73)=0,"-",SUMPRODUCT($Q$5:$BA$5,Q73:BA73))</f>
        <v>315</v>
      </c>
      <c r="K73" s="48" t="s">
        <v>481</v>
      </c>
      <c r="L73" s="308">
        <v>775</v>
      </c>
      <c r="M73" s="81">
        <v>4200652533</v>
      </c>
      <c r="N73" s="81" t="s">
        <v>249</v>
      </c>
      <c r="O73" s="81" t="s">
        <v>3354</v>
      </c>
      <c r="P73" s="131" t="s">
        <v>3355</v>
      </c>
      <c r="R73" s="8">
        <v>9</v>
      </c>
    </row>
    <row r="74" spans="1:31">
      <c r="A74" s="5" t="s">
        <v>244</v>
      </c>
      <c r="B74" s="5" t="s">
        <v>3211</v>
      </c>
      <c r="C74" s="103">
        <v>45201</v>
      </c>
      <c r="D74" s="220" t="s">
        <v>3356</v>
      </c>
      <c r="E74" s="5" t="s">
        <v>3213</v>
      </c>
      <c r="F74" s="29" t="s">
        <v>223</v>
      </c>
      <c r="G74" s="8" t="s">
        <v>130</v>
      </c>
      <c r="H74" s="78" t="s">
        <v>3357</v>
      </c>
      <c r="I74" s="43">
        <f>IF(SUM(Q74:BA74)=0,"-",SUM(Q74:BA74))</f>
        <v>1</v>
      </c>
      <c r="J74" s="52">
        <f>IF(SUMPRODUCT($Q$5:$BA$5,Q74:BA74)=0,"-",SUMPRODUCT($Q$5:$BA$5,Q74:BA74))</f>
        <v>400</v>
      </c>
      <c r="K74" s="48" t="s">
        <v>481</v>
      </c>
      <c r="L74" s="336" t="s">
        <v>481</v>
      </c>
      <c r="M74" s="48" t="s">
        <v>481</v>
      </c>
      <c r="N74" s="48" t="s">
        <v>481</v>
      </c>
      <c r="O74" s="48" t="s">
        <v>481</v>
      </c>
      <c r="P74" s="48" t="s">
        <v>481</v>
      </c>
      <c r="AE74" s="8">
        <v>1</v>
      </c>
    </row>
    <row r="75" spans="1:31">
      <c r="A75" s="5" t="s">
        <v>244</v>
      </c>
      <c r="B75" s="5" t="s">
        <v>3211</v>
      </c>
      <c r="C75" s="103">
        <v>45201</v>
      </c>
      <c r="D75" s="55" t="s">
        <v>3358</v>
      </c>
      <c r="E75" s="5" t="s">
        <v>3213</v>
      </c>
      <c r="F75" s="29" t="s">
        <v>223</v>
      </c>
      <c r="G75" s="8" t="s">
        <v>130</v>
      </c>
      <c r="H75" s="78" t="s">
        <v>3359</v>
      </c>
      <c r="I75" s="43">
        <f>IF(SUM(Q75:BA75)=0,"-",SUM(Q75:BA75))</f>
        <v>2</v>
      </c>
      <c r="J75" s="52">
        <f>IF(SUMPRODUCT($Q$5:$BA$5,Q75:BA75)=0,"-",SUMPRODUCT($Q$5:$BA$5,Q75:BA75))</f>
        <v>70</v>
      </c>
      <c r="K75" s="48" t="s">
        <v>481</v>
      </c>
      <c r="L75" s="336" t="s">
        <v>481</v>
      </c>
      <c r="M75" s="48" t="s">
        <v>481</v>
      </c>
      <c r="N75" s="48" t="s">
        <v>481</v>
      </c>
      <c r="O75" s="48" t="s">
        <v>481</v>
      </c>
      <c r="P75" s="48" t="s">
        <v>481</v>
      </c>
      <c r="R75" s="8">
        <v>2</v>
      </c>
    </row>
    <row r="76" spans="1:31">
      <c r="A76" s="5" t="s">
        <v>244</v>
      </c>
      <c r="B76" s="5" t="s">
        <v>3211</v>
      </c>
      <c r="C76" s="103">
        <v>45202</v>
      </c>
      <c r="D76" s="222" t="s">
        <v>3360</v>
      </c>
      <c r="E76" s="5" t="s">
        <v>3213</v>
      </c>
      <c r="F76" s="29" t="s">
        <v>223</v>
      </c>
      <c r="G76" s="8" t="s">
        <v>69</v>
      </c>
      <c r="H76" s="78" t="s">
        <v>3361</v>
      </c>
      <c r="I76" s="43">
        <f>IF(SUM(Q76:BA76)=0,"-",SUM(Q76:BA76))</f>
        <v>1</v>
      </c>
      <c r="J76" s="52">
        <f>IF(SUMPRODUCT($Q$5:$BA$5,Q76:BA76)=0,"-",SUMPRODUCT($Q$5:$BA$5,Q76:BA76))</f>
        <v>120</v>
      </c>
      <c r="K76" s="48" t="s">
        <v>481</v>
      </c>
      <c r="L76" s="336" t="s">
        <v>481</v>
      </c>
      <c r="M76" s="48" t="s">
        <v>481</v>
      </c>
      <c r="N76" s="48" t="s">
        <v>481</v>
      </c>
      <c r="O76" s="48" t="s">
        <v>481</v>
      </c>
      <c r="P76" s="48" t="s">
        <v>481</v>
      </c>
      <c r="Q76" s="7">
        <v>1</v>
      </c>
    </row>
    <row r="77" spans="1:31">
      <c r="A77" s="5" t="s">
        <v>244</v>
      </c>
      <c r="B77" s="5" t="s">
        <v>3211</v>
      </c>
      <c r="C77" s="103">
        <v>45204</v>
      </c>
      <c r="D77" s="222" t="s">
        <v>3362</v>
      </c>
      <c r="E77" s="5" t="s">
        <v>3213</v>
      </c>
      <c r="F77" s="29" t="s">
        <v>223</v>
      </c>
      <c r="G77" s="8" t="s">
        <v>69</v>
      </c>
      <c r="H77" s="78" t="s">
        <v>3363</v>
      </c>
      <c r="I77" s="43">
        <f>IF(SUM(Q77:BA77)=0,"-",SUM(Q77:BA77))</f>
        <v>7</v>
      </c>
      <c r="J77" s="52">
        <f>IF(SUMPRODUCT($Q$5:$BA$5,Q77:BA77)=0,"-",SUMPRODUCT($Q$5:$BA$5,Q77:BA77))</f>
        <v>565</v>
      </c>
      <c r="K77" s="48" t="s">
        <v>481</v>
      </c>
      <c r="L77" s="336" t="s">
        <v>481</v>
      </c>
      <c r="M77" s="48" t="s">
        <v>481</v>
      </c>
      <c r="N77" s="48" t="s">
        <v>481</v>
      </c>
      <c r="O77" s="48" t="s">
        <v>481</v>
      </c>
      <c r="P77" s="48" t="s">
        <v>481</v>
      </c>
      <c r="Q77" s="7">
        <v>1</v>
      </c>
      <c r="R77" s="8">
        <v>3</v>
      </c>
      <c r="S77" s="8">
        <v>1</v>
      </c>
      <c r="T77" s="8">
        <v>2</v>
      </c>
    </row>
    <row r="78" spans="1:31">
      <c r="A78" s="5" t="s">
        <v>244</v>
      </c>
      <c r="B78" s="5" t="s">
        <v>3211</v>
      </c>
      <c r="C78" s="103">
        <v>45205</v>
      </c>
      <c r="D78" s="55" t="s">
        <v>3364</v>
      </c>
      <c r="E78" s="5" t="s">
        <v>3213</v>
      </c>
      <c r="F78" s="29" t="s">
        <v>223</v>
      </c>
      <c r="G78" s="8" t="s">
        <v>67</v>
      </c>
      <c r="H78" s="78" t="s">
        <v>3365</v>
      </c>
      <c r="I78" s="43">
        <f>IF(SUM(Q78:BA78)=0,"-",SUM(Q78:BA78))</f>
        <v>12</v>
      </c>
      <c r="J78" s="52">
        <f>IF(SUMPRODUCT($Q$5:$BA$5,Q78:BA78)=0,"-",SUMPRODUCT($Q$5:$BA$5,Q78:BA78))</f>
        <v>590</v>
      </c>
      <c r="K78" s="48" t="s">
        <v>481</v>
      </c>
      <c r="L78" s="336" t="s">
        <v>481</v>
      </c>
      <c r="M78" s="48" t="s">
        <v>481</v>
      </c>
      <c r="N78" s="48" t="s">
        <v>481</v>
      </c>
      <c r="O78" s="48" t="s">
        <v>481</v>
      </c>
      <c r="P78" s="48" t="s">
        <v>481</v>
      </c>
      <c r="Q78" s="7">
        <v>2</v>
      </c>
      <c r="R78" s="8">
        <v>10</v>
      </c>
    </row>
    <row r="79" spans="1:31">
      <c r="A79" s="5" t="s">
        <v>244</v>
      </c>
      <c r="B79" s="5" t="s">
        <v>3211</v>
      </c>
      <c r="C79" s="103">
        <v>45210</v>
      </c>
      <c r="D79" s="55" t="s">
        <v>3366</v>
      </c>
      <c r="E79" s="5" t="s">
        <v>3213</v>
      </c>
      <c r="F79" s="29" t="s">
        <v>223</v>
      </c>
      <c r="G79" s="8" t="s">
        <v>130</v>
      </c>
      <c r="H79" s="78" t="s">
        <v>3367</v>
      </c>
      <c r="I79" s="43">
        <f>IF(SUM(Q79:BA79)=0,"-",SUM(Q79:BA79))</f>
        <v>1</v>
      </c>
      <c r="J79" s="52">
        <f>IF(SUMPRODUCT($Q$5:$BA$5,Q79:BA79)=0,"-",SUMPRODUCT($Q$5:$BA$5,Q79:BA79))</f>
        <v>180</v>
      </c>
      <c r="K79" s="48" t="s">
        <v>481</v>
      </c>
      <c r="L79" s="336" t="s">
        <v>481</v>
      </c>
      <c r="M79" s="48" t="s">
        <v>481</v>
      </c>
      <c r="N79" s="48" t="s">
        <v>481</v>
      </c>
      <c r="O79" s="48" t="s">
        <v>481</v>
      </c>
      <c r="P79" s="48" t="s">
        <v>481</v>
      </c>
      <c r="Z79" s="8">
        <v>1</v>
      </c>
    </row>
    <row r="80" spans="1:31">
      <c r="A80" s="5" t="s">
        <v>244</v>
      </c>
      <c r="B80" s="5" t="s">
        <v>3211</v>
      </c>
      <c r="C80" s="103">
        <v>45217</v>
      </c>
      <c r="D80" s="55" t="s">
        <v>3368</v>
      </c>
      <c r="E80" s="5" t="s">
        <v>3213</v>
      </c>
      <c r="F80" s="29" t="s">
        <v>223</v>
      </c>
      <c r="G80" s="8" t="s">
        <v>130</v>
      </c>
      <c r="H80" s="78" t="s">
        <v>3369</v>
      </c>
      <c r="I80" s="43">
        <f>IF(SUM(Q80:BA80)=0,"-",SUM(Q80:BA80))</f>
        <v>5</v>
      </c>
      <c r="J80" s="52">
        <f>IF(SUMPRODUCT($Q$5:$BA$5,Q80:BA80)=0,"-",SUMPRODUCT($Q$5:$BA$5,Q80:BA80))</f>
        <v>600</v>
      </c>
      <c r="K80" s="98" t="s">
        <v>3370</v>
      </c>
      <c r="L80" s="340">
        <v>4200</v>
      </c>
      <c r="M80" s="81">
        <v>4200656704</v>
      </c>
      <c r="N80" s="81" t="s">
        <v>249</v>
      </c>
      <c r="O80" s="81" t="s">
        <v>3371</v>
      </c>
      <c r="P80" s="131" t="s">
        <v>3326</v>
      </c>
      <c r="Q80" s="7">
        <v>5</v>
      </c>
    </row>
    <row r="81" spans="1:26">
      <c r="A81" s="5" t="s">
        <v>244</v>
      </c>
      <c r="B81" s="5" t="s">
        <v>3211</v>
      </c>
      <c r="C81" s="103">
        <v>45224</v>
      </c>
      <c r="D81" s="345" t="s">
        <v>3372</v>
      </c>
      <c r="E81" s="5" t="s">
        <v>3213</v>
      </c>
      <c r="F81" s="29" t="s">
        <v>223</v>
      </c>
      <c r="G81" s="8" t="s">
        <v>130</v>
      </c>
      <c r="H81" s="78" t="s">
        <v>3373</v>
      </c>
      <c r="I81" s="43">
        <f>IF(SUM(Q81:BA81)=0,"-",SUM(Q81:BA81))</f>
        <v>2</v>
      </c>
      <c r="J81" s="52">
        <f>IF(SUMPRODUCT($Q$5:$BA$5,Q81:BA81)=0,"-",SUMPRODUCT($Q$5:$BA$5,Q81:BA81))</f>
        <v>80</v>
      </c>
      <c r="K81" s="48" t="s">
        <v>481</v>
      </c>
      <c r="L81" s="336" t="s">
        <v>481</v>
      </c>
      <c r="M81" s="48" t="s">
        <v>481</v>
      </c>
      <c r="N81" s="48" t="s">
        <v>481</v>
      </c>
      <c r="O81" s="48" t="s">
        <v>481</v>
      </c>
      <c r="P81" s="48" t="s">
        <v>481</v>
      </c>
      <c r="Y81" s="8">
        <v>2</v>
      </c>
    </row>
    <row r="82" spans="1:26">
      <c r="A82" s="5" t="s">
        <v>244</v>
      </c>
      <c r="B82" s="5" t="s">
        <v>3211</v>
      </c>
      <c r="C82" s="103">
        <v>45230</v>
      </c>
      <c r="D82" s="55" t="s">
        <v>3374</v>
      </c>
      <c r="E82" s="5" t="s">
        <v>3213</v>
      </c>
      <c r="F82" s="29" t="s">
        <v>223</v>
      </c>
      <c r="G82" s="8" t="s">
        <v>69</v>
      </c>
      <c r="H82" s="78" t="s">
        <v>3375</v>
      </c>
      <c r="I82" s="43">
        <f>IF(SUM(Q82:BA82)=0,"-",SUM(Q82:BA82))</f>
        <v>25</v>
      </c>
      <c r="J82" s="52">
        <f>IF(SUMPRODUCT($Q$5:$BA$5,Q82:BA82)=0,"-",SUMPRODUCT($Q$5:$BA$5,Q82:BA82))</f>
        <v>960</v>
      </c>
      <c r="K82" s="98" t="s">
        <v>3376</v>
      </c>
      <c r="L82" s="340">
        <v>2525</v>
      </c>
      <c r="M82" s="81">
        <v>4200656683</v>
      </c>
      <c r="N82" s="81" t="s">
        <v>249</v>
      </c>
      <c r="O82" s="81" t="s">
        <v>3377</v>
      </c>
      <c r="P82" s="131" t="s">
        <v>3326</v>
      </c>
      <c r="Q82" s="7">
        <v>1</v>
      </c>
      <c r="R82" s="8">
        <v>24</v>
      </c>
    </row>
    <row r="83" spans="1:26">
      <c r="A83" s="5" t="s">
        <v>244</v>
      </c>
      <c r="B83" s="5" t="s">
        <v>3211</v>
      </c>
      <c r="C83" s="103">
        <v>45230</v>
      </c>
      <c r="D83" s="2" t="s">
        <v>3378</v>
      </c>
      <c r="E83" s="5" t="s">
        <v>3213</v>
      </c>
      <c r="F83" s="29" t="s">
        <v>223</v>
      </c>
      <c r="G83" s="8" t="s">
        <v>69</v>
      </c>
      <c r="H83" s="78" t="s">
        <v>3317</v>
      </c>
      <c r="I83" s="43">
        <f>IF(SUM(Q83:BA83)=0,"-",SUM(Q83:BA83))</f>
        <v>50</v>
      </c>
      <c r="J83" s="52">
        <f>IF(SUMPRODUCT($Q$5:$BA$5,Q83:BA83)=0,"-",SUMPRODUCT($Q$5:$BA$5,Q83:BA83))</f>
        <v>2290</v>
      </c>
      <c r="K83" s="98" t="s">
        <v>3379</v>
      </c>
      <c r="L83" s="340">
        <v>2750</v>
      </c>
      <c r="M83" s="81">
        <v>4200656651</v>
      </c>
      <c r="N83" s="81" t="s">
        <v>249</v>
      </c>
      <c r="O83" s="81" t="s">
        <v>3380</v>
      </c>
      <c r="P83" s="131" t="s">
        <v>1283</v>
      </c>
      <c r="Q83" s="7">
        <v>2</v>
      </c>
      <c r="R83" s="8">
        <f>46</f>
        <v>46</v>
      </c>
      <c r="S83" s="8">
        <v>2</v>
      </c>
    </row>
    <row r="84" spans="1:26">
      <c r="A84" s="5" t="s">
        <v>244</v>
      </c>
      <c r="B84" s="5" t="s">
        <v>3211</v>
      </c>
      <c r="C84" s="103">
        <v>45242</v>
      </c>
      <c r="D84" s="112" t="s">
        <v>3381</v>
      </c>
      <c r="E84" s="127" t="s">
        <v>3382</v>
      </c>
      <c r="F84" s="29" t="s">
        <v>223</v>
      </c>
      <c r="G84" s="8" t="s">
        <v>130</v>
      </c>
      <c r="H84" s="78" t="s">
        <v>3383</v>
      </c>
      <c r="I84" s="43">
        <f>IF(SUM(Q84:BA84)=0,"-",SUM(Q84:BA84))</f>
        <v>28</v>
      </c>
      <c r="J84" s="52">
        <f>IF(SUMPRODUCT($Q$5:$BA$5,Q84:BA84)=0,"-",SUMPRODUCT($Q$5:$BA$5,Q84:BA84))</f>
        <v>3480</v>
      </c>
      <c r="K84" s="48" t="s">
        <v>481</v>
      </c>
      <c r="L84" s="336" t="s">
        <v>481</v>
      </c>
      <c r="M84" s="48" t="s">
        <v>481</v>
      </c>
      <c r="N84" s="48" t="s">
        <v>481</v>
      </c>
      <c r="O84" s="48" t="s">
        <v>481</v>
      </c>
      <c r="P84" s="48" t="s">
        <v>481</v>
      </c>
      <c r="Q84" s="7">
        <v>26</v>
      </c>
      <c r="Z84" s="8">
        <v>2</v>
      </c>
    </row>
    <row r="85" spans="1:26">
      <c r="A85" s="5" t="s">
        <v>244</v>
      </c>
      <c r="B85" s="5" t="s">
        <v>3211</v>
      </c>
      <c r="C85" s="103">
        <v>45251</v>
      </c>
      <c r="D85" s="112" t="s">
        <v>3384</v>
      </c>
      <c r="E85" s="5" t="s">
        <v>3213</v>
      </c>
      <c r="F85" s="29" t="s">
        <v>223</v>
      </c>
      <c r="G85" s="8" t="s">
        <v>69</v>
      </c>
      <c r="H85" s="78" t="s">
        <v>3385</v>
      </c>
      <c r="I85" s="43">
        <f>IF(SUM(Q85:BA85)=0,"-",SUM(Q85:BA85))</f>
        <v>24</v>
      </c>
      <c r="J85" s="52">
        <f>IF(SUMPRODUCT($Q$5:$BA$5,Q85:BA85)=0,"-",SUMPRODUCT($Q$5:$BA$5,Q85:BA85))</f>
        <v>925</v>
      </c>
      <c r="K85" s="48" t="s">
        <v>481</v>
      </c>
      <c r="L85" s="336" t="s">
        <v>481</v>
      </c>
      <c r="M85" s="48" t="s">
        <v>481</v>
      </c>
      <c r="N85" s="48" t="s">
        <v>481</v>
      </c>
      <c r="O85" s="48" t="s">
        <v>481</v>
      </c>
      <c r="P85" s="48" t="s">
        <v>481</v>
      </c>
      <c r="Q85" s="7">
        <v>1</v>
      </c>
      <c r="R85" s="8">
        <v>23</v>
      </c>
    </row>
    <row r="86" spans="1:26">
      <c r="A86" s="5" t="s">
        <v>244</v>
      </c>
      <c r="B86" s="5" t="s">
        <v>3211</v>
      </c>
      <c r="C86" s="103">
        <v>45258</v>
      </c>
      <c r="D86" s="112" t="s">
        <v>3386</v>
      </c>
      <c r="E86" s="127" t="s">
        <v>3382</v>
      </c>
      <c r="F86" s="29" t="s">
        <v>223</v>
      </c>
      <c r="G86" s="8" t="s">
        <v>130</v>
      </c>
      <c r="H86" s="78" t="s">
        <v>3387</v>
      </c>
      <c r="I86" s="43">
        <f>IF(SUM(Q86:BA86)=0,"-",SUM(Q86:BA86))</f>
        <v>1</v>
      </c>
      <c r="J86" s="52">
        <f>IF(SUMPRODUCT($Q$5:$BA$5,Q86:BA86)=0,"-",SUMPRODUCT($Q$5:$BA$5,Q86:BA86))</f>
        <v>180</v>
      </c>
      <c r="K86" s="98" t="s">
        <v>3388</v>
      </c>
      <c r="L86" s="340">
        <v>180</v>
      </c>
      <c r="M86" s="81">
        <v>4200656698</v>
      </c>
      <c r="N86" s="81" t="s">
        <v>249</v>
      </c>
      <c r="O86" s="81" t="s">
        <v>3389</v>
      </c>
      <c r="P86" s="131" t="s">
        <v>3326</v>
      </c>
      <c r="Z86" s="8">
        <v>1</v>
      </c>
    </row>
    <row r="87" spans="1:26">
      <c r="A87" s="5" t="s">
        <v>244</v>
      </c>
      <c r="B87" s="5" t="s">
        <v>3211</v>
      </c>
      <c r="C87" s="103">
        <v>45299</v>
      </c>
      <c r="D87" s="55" t="s">
        <v>3390</v>
      </c>
      <c r="E87" s="127" t="s">
        <v>3382</v>
      </c>
      <c r="F87" s="29" t="s">
        <v>223</v>
      </c>
      <c r="G87" s="8" t="s">
        <v>69</v>
      </c>
      <c r="H87" s="78" t="s">
        <v>3391</v>
      </c>
      <c r="I87" s="43">
        <f>IF(SUM(Q87:BA87)=0,"-",SUM(Q87:BA87))</f>
        <v>39</v>
      </c>
      <c r="J87" s="52">
        <f>IF(SUMPRODUCT($Q$5:$BA$5,Q87:BA87)=0,"-",SUMPRODUCT($Q$5:$BA$5,Q87:BA87))</f>
        <v>1450</v>
      </c>
      <c r="K87" s="48" t="s">
        <v>481</v>
      </c>
      <c r="L87" s="336" t="s">
        <v>481</v>
      </c>
      <c r="M87" s="48" t="s">
        <v>481</v>
      </c>
      <c r="N87" s="48" t="s">
        <v>481</v>
      </c>
      <c r="O87" s="48" t="s">
        <v>481</v>
      </c>
      <c r="P87" s="48" t="s">
        <v>481</v>
      </c>
      <c r="Q87" s="7">
        <v>1</v>
      </c>
      <c r="R87" s="8">
        <f>38</f>
        <v>38</v>
      </c>
    </row>
    <row r="88" spans="1:26">
      <c r="A88" s="5" t="s">
        <v>244</v>
      </c>
      <c r="B88" s="5" t="s">
        <v>3211</v>
      </c>
      <c r="C88" s="103">
        <v>45308</v>
      </c>
      <c r="D88" s="55" t="s">
        <v>3392</v>
      </c>
      <c r="E88" s="127" t="s">
        <v>3382</v>
      </c>
      <c r="F88" s="29" t="s">
        <v>223</v>
      </c>
      <c r="G88" s="8" t="s">
        <v>69</v>
      </c>
      <c r="H88" s="78" t="s">
        <v>3393</v>
      </c>
      <c r="I88" s="43">
        <f>IF(SUM(Q88:BA88)=0,"-",SUM(Q88:BA88))</f>
        <v>20</v>
      </c>
      <c r="J88" s="52">
        <f>IF(SUMPRODUCT($Q$5:$BA$5,Q88:BA88)=0,"-",SUMPRODUCT($Q$5:$BA$5,Q88:BA88))</f>
        <v>785</v>
      </c>
      <c r="K88" s="48" t="s">
        <v>481</v>
      </c>
      <c r="L88" s="336" t="s">
        <v>481</v>
      </c>
      <c r="M88" s="48" t="s">
        <v>481</v>
      </c>
      <c r="N88" s="48" t="s">
        <v>481</v>
      </c>
      <c r="O88" s="48" t="s">
        <v>481</v>
      </c>
      <c r="P88" s="48" t="s">
        <v>481</v>
      </c>
      <c r="Q88" s="7">
        <v>1</v>
      </c>
      <c r="R88" s="8">
        <v>19</v>
      </c>
    </row>
    <row r="89" spans="1:26">
      <c r="A89" s="5" t="s">
        <v>220</v>
      </c>
      <c r="B89" s="5" t="s">
        <v>3211</v>
      </c>
      <c r="C89" s="103">
        <v>45309</v>
      </c>
      <c r="D89" s="55" t="s">
        <v>3394</v>
      </c>
      <c r="E89" s="127" t="s">
        <v>3382</v>
      </c>
      <c r="F89" s="29" t="s">
        <v>223</v>
      </c>
      <c r="G89" s="8" t="s">
        <v>130</v>
      </c>
      <c r="H89" s="78" t="s">
        <v>3395</v>
      </c>
      <c r="I89" s="43">
        <f>IF(SUM(Q89:BA89)=0,"-",SUM(Q89:BA89))</f>
        <v>1</v>
      </c>
      <c r="J89" s="52">
        <f>IF(SUMPRODUCT($Q$5:$BA$5,Q89:BA89)=0,"-",SUMPRODUCT($Q$5:$BA$5,Q89:BA89))</f>
        <v>35</v>
      </c>
      <c r="K89" s="48" t="s">
        <v>481</v>
      </c>
      <c r="L89" s="336" t="s">
        <v>481</v>
      </c>
      <c r="M89" s="48" t="s">
        <v>481</v>
      </c>
      <c r="N89" s="48" t="s">
        <v>481</v>
      </c>
      <c r="O89" s="48" t="s">
        <v>481</v>
      </c>
      <c r="P89" s="48" t="s">
        <v>481</v>
      </c>
      <c r="R89" s="8">
        <v>1</v>
      </c>
    </row>
    <row r="90" spans="1:26">
      <c r="A90" s="5" t="s">
        <v>220</v>
      </c>
      <c r="B90" s="5" t="s">
        <v>3211</v>
      </c>
      <c r="C90" s="103">
        <v>45315</v>
      </c>
      <c r="D90" s="55" t="s">
        <v>3396</v>
      </c>
      <c r="E90" s="127" t="s">
        <v>3382</v>
      </c>
      <c r="F90" s="29" t="s">
        <v>223</v>
      </c>
      <c r="G90" s="8" t="s">
        <v>69</v>
      </c>
      <c r="H90" s="78" t="s">
        <v>3393</v>
      </c>
      <c r="I90" s="43">
        <f>IF(SUM(Q90:BA90)=0,"-",SUM(Q90:BA90))</f>
        <v>6</v>
      </c>
      <c r="J90" s="52">
        <f>IF(SUMPRODUCT($Q$5:$BA$5,Q90:BA90)=0,"-",SUMPRODUCT($Q$5:$BA$5,Q90:BA90))</f>
        <v>210</v>
      </c>
      <c r="K90" s="48" t="s">
        <v>481</v>
      </c>
      <c r="L90" s="336" t="s">
        <v>481</v>
      </c>
      <c r="M90" s="48" t="s">
        <v>481</v>
      </c>
      <c r="N90" s="48" t="s">
        <v>481</v>
      </c>
      <c r="O90" s="48" t="s">
        <v>481</v>
      </c>
      <c r="P90" s="48" t="s">
        <v>481</v>
      </c>
      <c r="R90" s="8">
        <v>6</v>
      </c>
    </row>
    <row r="91" spans="1:26">
      <c r="A91" s="5" t="s">
        <v>220</v>
      </c>
      <c r="B91" s="5" t="s">
        <v>3211</v>
      </c>
      <c r="C91" s="103">
        <v>45321</v>
      </c>
      <c r="D91" s="106" t="s">
        <v>3397</v>
      </c>
      <c r="E91" s="127" t="s">
        <v>3382</v>
      </c>
      <c r="F91" s="29" t="s">
        <v>223</v>
      </c>
      <c r="G91" s="8" t="s">
        <v>69</v>
      </c>
      <c r="H91" s="78" t="s">
        <v>3398</v>
      </c>
      <c r="I91" s="43">
        <f>IF(SUM(Q91:BA91)=0,"-",SUM(Q91:BA91))</f>
        <v>28</v>
      </c>
      <c r="J91" s="52">
        <f>IF(SUMPRODUCT($Q$5:$BA$5,Q91:BA91)=0,"-",SUMPRODUCT($Q$5:$BA$5,Q91:BA91))</f>
        <v>1065</v>
      </c>
      <c r="K91" s="48" t="s">
        <v>481</v>
      </c>
      <c r="L91" s="336" t="s">
        <v>481</v>
      </c>
      <c r="M91" s="48" t="s">
        <v>481</v>
      </c>
      <c r="N91" s="48" t="s">
        <v>481</v>
      </c>
      <c r="O91" s="48" t="s">
        <v>481</v>
      </c>
      <c r="P91" s="48" t="s">
        <v>481</v>
      </c>
      <c r="Q91" s="7">
        <v>1</v>
      </c>
      <c r="R91" s="8">
        <v>27</v>
      </c>
    </row>
    <row r="92" spans="1:26">
      <c r="A92" s="5" t="s">
        <v>220</v>
      </c>
      <c r="B92" s="5" t="s">
        <v>3211</v>
      </c>
      <c r="C92" s="103">
        <v>45321</v>
      </c>
      <c r="D92" s="55" t="s">
        <v>3399</v>
      </c>
      <c r="E92" s="219" t="s">
        <v>3382</v>
      </c>
      <c r="F92" s="29" t="s">
        <v>223</v>
      </c>
      <c r="G92" s="8" t="s">
        <v>69</v>
      </c>
      <c r="H92" s="78" t="s">
        <v>3400</v>
      </c>
      <c r="I92" s="43">
        <f>IF(SUM(Q92:BA92)=0,"-",SUM(Q92:BA92))</f>
        <v>4</v>
      </c>
      <c r="J92" s="52">
        <f>IF(SUMPRODUCT($Q$5:$BA$5,Q92:BA92)=0,"-",SUMPRODUCT($Q$5:$BA$5,Q92:BA92))</f>
        <v>140</v>
      </c>
      <c r="K92" s="48" t="s">
        <v>481</v>
      </c>
      <c r="L92" s="336" t="s">
        <v>481</v>
      </c>
      <c r="M92" s="48" t="s">
        <v>481</v>
      </c>
      <c r="N92" s="48" t="s">
        <v>481</v>
      </c>
      <c r="O92" s="48" t="s">
        <v>481</v>
      </c>
      <c r="P92" s="48" t="s">
        <v>481</v>
      </c>
      <c r="R92" s="8">
        <v>4</v>
      </c>
    </row>
    <row r="93" spans="1:26">
      <c r="A93" s="5" t="s">
        <v>220</v>
      </c>
      <c r="B93" s="5" t="s">
        <v>3211</v>
      </c>
      <c r="C93" s="103">
        <v>45327</v>
      </c>
      <c r="D93" s="106" t="s">
        <v>3401</v>
      </c>
      <c r="E93" s="127" t="s">
        <v>3382</v>
      </c>
      <c r="F93" s="29" t="s">
        <v>223</v>
      </c>
      <c r="G93" s="8" t="s">
        <v>130</v>
      </c>
      <c r="H93" s="78" t="s">
        <v>3402</v>
      </c>
      <c r="I93" s="43">
        <f>IF(SUM(Q93:BA93)=0,"-",SUM(Q93:BA93))</f>
        <v>16</v>
      </c>
      <c r="J93" s="52">
        <f>IF(SUMPRODUCT($Q$5:$BA$5,Q93:BA93)=0,"-",SUMPRODUCT($Q$5:$BA$5,Q93:BA93))</f>
        <v>1070</v>
      </c>
      <c r="K93" s="48" t="s">
        <v>481</v>
      </c>
      <c r="L93" s="336" t="s">
        <v>481</v>
      </c>
      <c r="M93" s="48" t="s">
        <v>481</v>
      </c>
      <c r="N93" s="48" t="s">
        <v>481</v>
      </c>
      <c r="O93" s="48" t="s">
        <v>481</v>
      </c>
      <c r="P93" s="48" t="s">
        <v>481</v>
      </c>
      <c r="Q93" s="7">
        <v>6</v>
      </c>
      <c r="R93" s="8">
        <v>10</v>
      </c>
    </row>
    <row r="94" spans="1:26">
      <c r="A94" s="5" t="s">
        <v>220</v>
      </c>
      <c r="B94" s="5" t="s">
        <v>3211</v>
      </c>
      <c r="C94" s="103">
        <v>45331</v>
      </c>
      <c r="D94" s="107" t="s">
        <v>3403</v>
      </c>
      <c r="E94" s="219" t="s">
        <v>3382</v>
      </c>
      <c r="F94" s="29" t="s">
        <v>223</v>
      </c>
      <c r="G94" s="8" t="s">
        <v>130</v>
      </c>
      <c r="H94" s="78" t="s">
        <v>3404</v>
      </c>
      <c r="I94" s="43">
        <f>IF(SUM(Q94:BA94)=0,"-",SUM(Q94:BA94))</f>
        <v>4</v>
      </c>
      <c r="J94" s="52">
        <f>IF(SUMPRODUCT($Q$5:$BA$5,Q94:BA94)=0,"-",SUMPRODUCT($Q$5:$BA$5,Q94:BA94))</f>
        <v>225</v>
      </c>
      <c r="K94" s="48" t="s">
        <v>481</v>
      </c>
      <c r="L94" s="308">
        <v>4257</v>
      </c>
      <c r="M94" s="81">
        <v>4200659964</v>
      </c>
      <c r="N94" s="81" t="s">
        <v>249</v>
      </c>
      <c r="O94" s="81" t="s">
        <v>3405</v>
      </c>
      <c r="P94" s="349" t="s">
        <v>1248</v>
      </c>
      <c r="Q94" s="7">
        <v>1</v>
      </c>
      <c r="R94" s="8">
        <v>3</v>
      </c>
    </row>
    <row r="95" spans="1:26">
      <c r="A95" s="5" t="s">
        <v>220</v>
      </c>
      <c r="B95" s="5" t="s">
        <v>3211</v>
      </c>
      <c r="C95" s="103">
        <v>45335</v>
      </c>
      <c r="D95" s="55" t="s">
        <v>3406</v>
      </c>
      <c r="E95" s="219" t="s">
        <v>3382</v>
      </c>
      <c r="F95" s="29" t="s">
        <v>223</v>
      </c>
      <c r="G95" s="8" t="s">
        <v>130</v>
      </c>
      <c r="H95" s="78" t="s">
        <v>3407</v>
      </c>
      <c r="I95" s="43">
        <f>IF(SUM(Q95:BA95)=0,"-",SUM(Q95:BA95))</f>
        <v>15</v>
      </c>
      <c r="J95" s="52">
        <f>IF(SUMPRODUCT($Q$5:$BA$5,Q95:BA95)=0,"-",SUMPRODUCT($Q$5:$BA$5,Q95:BA95))</f>
        <v>1290</v>
      </c>
      <c r="K95" s="48" t="s">
        <v>481</v>
      </c>
      <c r="L95" s="336" t="s">
        <v>481</v>
      </c>
      <c r="M95" s="48" t="s">
        <v>481</v>
      </c>
      <c r="N95" s="48" t="s">
        <v>481</v>
      </c>
      <c r="O95" s="48" t="s">
        <v>481</v>
      </c>
      <c r="P95" s="48" t="s">
        <v>481</v>
      </c>
      <c r="Q95" s="7">
        <v>9</v>
      </c>
      <c r="R95" s="8">
        <v>6</v>
      </c>
    </row>
    <row r="96" spans="1:26">
      <c r="A96" s="5" t="s">
        <v>220</v>
      </c>
      <c r="B96" s="5" t="s">
        <v>3211</v>
      </c>
      <c r="C96" s="103">
        <v>45336</v>
      </c>
      <c r="D96" s="55" t="s">
        <v>3408</v>
      </c>
      <c r="E96" s="219" t="s">
        <v>3382</v>
      </c>
      <c r="F96" s="29" t="s">
        <v>223</v>
      </c>
      <c r="G96" s="8" t="s">
        <v>69</v>
      </c>
      <c r="H96" s="78" t="s">
        <v>3409</v>
      </c>
      <c r="I96" s="43">
        <f>IF(SUM(Q96:BA96)=0,"-",SUM(Q96:BA96))</f>
        <v>27</v>
      </c>
      <c r="J96" s="52">
        <f>IF(SUMPRODUCT($Q$5:$BA$5,Q96:BA96)=0,"-",SUMPRODUCT($Q$5:$BA$5,Q96:BA96))</f>
        <v>1055</v>
      </c>
      <c r="K96" s="98" t="s">
        <v>3410</v>
      </c>
      <c r="L96" s="308">
        <v>2800</v>
      </c>
      <c r="M96" s="81">
        <v>4200662060</v>
      </c>
      <c r="N96" s="81" t="s">
        <v>249</v>
      </c>
      <c r="O96" s="81" t="s">
        <v>3411</v>
      </c>
      <c r="P96" s="349" t="s">
        <v>1265</v>
      </c>
      <c r="Q96" s="7">
        <v>1</v>
      </c>
      <c r="R96" s="8">
        <v>25</v>
      </c>
      <c r="T96" s="8">
        <v>1</v>
      </c>
    </row>
    <row r="97" spans="1:33">
      <c r="A97" s="5" t="s">
        <v>220</v>
      </c>
      <c r="B97" s="5" t="s">
        <v>3211</v>
      </c>
      <c r="C97" s="103">
        <v>45341</v>
      </c>
      <c r="D97" s="55" t="s">
        <v>3412</v>
      </c>
      <c r="E97" s="219" t="s">
        <v>3382</v>
      </c>
      <c r="F97" s="29" t="s">
        <v>223</v>
      </c>
      <c r="G97" s="8" t="s">
        <v>130</v>
      </c>
      <c r="H97" s="78" t="s">
        <v>3413</v>
      </c>
      <c r="I97" s="43">
        <f>IF(SUM(Q97:BA97)=0,"-",SUM(Q97:BA97))</f>
        <v>18</v>
      </c>
      <c r="J97" s="52">
        <f>IF(SUMPRODUCT($Q$5:$BA$5,Q97:BA97)=0,"-",SUMPRODUCT($Q$5:$BA$5,Q97:BA97))</f>
        <v>1480</v>
      </c>
      <c r="K97" s="48" t="s">
        <v>481</v>
      </c>
      <c r="L97" s="336" t="s">
        <v>481</v>
      </c>
      <c r="M97" s="48" t="s">
        <v>481</v>
      </c>
      <c r="N97" s="48" t="s">
        <v>481</v>
      </c>
      <c r="O97" s="48" t="s">
        <v>481</v>
      </c>
      <c r="P97" s="48" t="s">
        <v>481</v>
      </c>
      <c r="Q97" s="7">
        <v>10</v>
      </c>
      <c r="R97" s="8">
        <v>8</v>
      </c>
    </row>
    <row r="98" spans="1:33">
      <c r="A98" s="5" t="s">
        <v>220</v>
      </c>
      <c r="B98" s="5" t="s">
        <v>3211</v>
      </c>
      <c r="C98" s="103">
        <v>45356</v>
      </c>
      <c r="D98" s="55" t="s">
        <v>3414</v>
      </c>
      <c r="E98" s="219" t="s">
        <v>3382</v>
      </c>
      <c r="F98" s="29" t="s">
        <v>223</v>
      </c>
      <c r="G98" s="8" t="s">
        <v>130</v>
      </c>
      <c r="H98" s="78" t="s">
        <v>3415</v>
      </c>
      <c r="I98" s="43">
        <f>IF(SUM(Q98:BA98)=0,"-",SUM(Q98:BA98))</f>
        <v>37</v>
      </c>
      <c r="J98" s="52">
        <f>IF(SUMPRODUCT($Q$5:$BA$5,Q98:BA98)=0,"-",SUMPRODUCT($Q$5:$BA$5,Q98:BA98))</f>
        <v>1295</v>
      </c>
      <c r="K98" s="48" t="s">
        <v>481</v>
      </c>
      <c r="L98" s="336" t="s">
        <v>481</v>
      </c>
      <c r="M98" s="48" t="s">
        <v>481</v>
      </c>
      <c r="N98" s="48" t="s">
        <v>481</v>
      </c>
      <c r="O98" s="48" t="s">
        <v>481</v>
      </c>
      <c r="P98" s="48" t="s">
        <v>481</v>
      </c>
      <c r="AG98" s="7">
        <v>37</v>
      </c>
    </row>
    <row r="99" spans="1:33">
      <c r="A99" s="5" t="s">
        <v>220</v>
      </c>
      <c r="B99" s="5" t="s">
        <v>3211</v>
      </c>
      <c r="C99" s="103">
        <v>45362</v>
      </c>
      <c r="D99" s="55" t="s">
        <v>3416</v>
      </c>
      <c r="E99" s="219" t="s">
        <v>3382</v>
      </c>
      <c r="F99" s="29" t="s">
        <v>223</v>
      </c>
      <c r="G99" s="8" t="s">
        <v>130</v>
      </c>
      <c r="H99" s="78" t="s">
        <v>3417</v>
      </c>
      <c r="I99" s="43">
        <f>IF(SUM(Q99:BA99)=0,"-",SUM(Q99:BA99))</f>
        <v>18</v>
      </c>
      <c r="J99" s="52">
        <f>IF(SUMPRODUCT($Q$5:$BA$5,Q99:BA99)=0,"-",SUMPRODUCT($Q$5:$BA$5,Q99:BA99))</f>
        <v>885</v>
      </c>
      <c r="K99" s="48" t="s">
        <v>481</v>
      </c>
      <c r="L99" s="336" t="s">
        <v>481</v>
      </c>
      <c r="M99" s="48" t="s">
        <v>481</v>
      </c>
      <c r="N99" s="48" t="s">
        <v>481</v>
      </c>
      <c r="O99" s="48" t="s">
        <v>481</v>
      </c>
      <c r="P99" s="48" t="s">
        <v>481</v>
      </c>
      <c r="Q99" s="7">
        <v>3</v>
      </c>
      <c r="R99" s="8">
        <v>15</v>
      </c>
    </row>
    <row r="100" spans="1:33">
      <c r="A100" s="5" t="s">
        <v>220</v>
      </c>
      <c r="B100" s="5" t="s">
        <v>3211</v>
      </c>
      <c r="C100" s="103">
        <v>45363</v>
      </c>
      <c r="D100" s="55" t="s">
        <v>3418</v>
      </c>
      <c r="E100" s="219" t="s">
        <v>3382</v>
      </c>
      <c r="F100" s="29" t="s">
        <v>223</v>
      </c>
      <c r="G100" s="8" t="s">
        <v>130</v>
      </c>
      <c r="H100" s="78" t="s">
        <v>3419</v>
      </c>
      <c r="I100" s="43">
        <f>IF(SUM(Q100:BA100)=0,"-",SUM(Q100:BA100))</f>
        <v>19</v>
      </c>
      <c r="J100" s="52">
        <f>IF(SUMPRODUCT($Q$5:$BA$5,Q100:BA100)=0,"-",SUMPRODUCT($Q$5:$BA$5,Q100:BA100))</f>
        <v>4750</v>
      </c>
      <c r="K100" s="48" t="s">
        <v>481</v>
      </c>
      <c r="L100" s="336" t="s">
        <v>3420</v>
      </c>
      <c r="M100" s="48">
        <v>4200665938</v>
      </c>
      <c r="N100" s="48" t="s">
        <v>249</v>
      </c>
      <c r="O100" s="48" t="s">
        <v>3421</v>
      </c>
      <c r="P100" s="361" t="s">
        <v>1331</v>
      </c>
      <c r="AA100" s="8">
        <v>19</v>
      </c>
    </row>
    <row r="101" spans="1:33">
      <c r="A101" s="5" t="s">
        <v>220</v>
      </c>
      <c r="B101" s="5" t="s">
        <v>3211</v>
      </c>
      <c r="C101" s="103">
        <v>45365</v>
      </c>
      <c r="D101" s="55" t="s">
        <v>3422</v>
      </c>
      <c r="E101" s="219" t="s">
        <v>3382</v>
      </c>
      <c r="F101" s="29" t="s">
        <v>223</v>
      </c>
      <c r="G101" s="8" t="s">
        <v>130</v>
      </c>
      <c r="I101" s="43">
        <v>1</v>
      </c>
      <c r="J101" s="52">
        <v>145</v>
      </c>
      <c r="K101" s="48" t="s">
        <v>481</v>
      </c>
      <c r="L101" s="336" t="s">
        <v>481</v>
      </c>
      <c r="M101" s="48" t="s">
        <v>481</v>
      </c>
      <c r="N101" s="48" t="s">
        <v>481</v>
      </c>
      <c r="O101" s="48" t="s">
        <v>481</v>
      </c>
      <c r="P101" s="48" t="s">
        <v>481</v>
      </c>
    </row>
    <row r="102" spans="1:33">
      <c r="A102" s="5" t="s">
        <v>220</v>
      </c>
      <c r="B102" s="5" t="s">
        <v>3211</v>
      </c>
      <c r="C102" s="103">
        <v>45365</v>
      </c>
      <c r="D102" s="55" t="s">
        <v>3423</v>
      </c>
      <c r="E102" s="219" t="s">
        <v>3382</v>
      </c>
      <c r="F102" s="29" t="s">
        <v>223</v>
      </c>
      <c r="G102" s="8" t="s">
        <v>130</v>
      </c>
      <c r="H102" s="78" t="s">
        <v>3424</v>
      </c>
      <c r="I102" s="43">
        <f>IF(SUM(Q102:BA102)=0,"-",SUM(Q102:BA102))</f>
        <v>4</v>
      </c>
      <c r="J102" s="52">
        <f>IF(SUMPRODUCT($Q$5:$BA$5,Q102:BA102)=0,"-",SUMPRODUCT($Q$5:$BA$5,Q102:BA102))</f>
        <v>1000</v>
      </c>
      <c r="K102" s="48" t="s">
        <v>481</v>
      </c>
      <c r="L102" s="336" t="s">
        <v>3425</v>
      </c>
      <c r="M102" s="48">
        <v>4200666619</v>
      </c>
      <c r="N102" s="48" t="s">
        <v>249</v>
      </c>
      <c r="O102" s="48" t="s">
        <v>3426</v>
      </c>
      <c r="P102" s="361" t="s">
        <v>3427</v>
      </c>
      <c r="AA102" s="8">
        <v>4</v>
      </c>
    </row>
    <row r="103" spans="1:33">
      <c r="A103" s="5" t="s">
        <v>220</v>
      </c>
      <c r="B103" s="5" t="s">
        <v>3211</v>
      </c>
      <c r="C103" s="103">
        <v>45372</v>
      </c>
      <c r="D103" s="55" t="s">
        <v>3428</v>
      </c>
      <c r="E103" s="219" t="s">
        <v>3382</v>
      </c>
      <c r="F103" s="29" t="s">
        <v>223</v>
      </c>
      <c r="G103" s="8" t="s">
        <v>69</v>
      </c>
      <c r="H103" s="78" t="s">
        <v>3429</v>
      </c>
      <c r="I103" s="43">
        <f>IF(SUM(Q103:BA103)=0,"-",SUM(Q103:BA103))</f>
        <v>3</v>
      </c>
      <c r="J103" s="52">
        <f>IF(SUMPRODUCT($Q$5:$BA$5,Q103:BA103)=0,"-",SUMPRODUCT($Q$5:$BA$5,Q103:BA103))</f>
        <v>190</v>
      </c>
      <c r="K103" s="347" t="s">
        <v>3430</v>
      </c>
      <c r="L103" s="336">
        <v>1000</v>
      </c>
      <c r="M103" s="48">
        <v>4200665438</v>
      </c>
      <c r="N103" s="48" t="s">
        <v>249</v>
      </c>
      <c r="O103" s="48" t="s">
        <v>3431</v>
      </c>
      <c r="P103" s="361" t="s">
        <v>1443</v>
      </c>
      <c r="Q103" s="7">
        <v>1</v>
      </c>
      <c r="R103" s="8">
        <v>2</v>
      </c>
    </row>
    <row r="104" spans="1:33">
      <c r="A104" s="5" t="s">
        <v>220</v>
      </c>
      <c r="B104" s="5" t="s">
        <v>3211</v>
      </c>
      <c r="C104" s="103">
        <v>45372</v>
      </c>
      <c r="D104" s="106" t="s">
        <v>3432</v>
      </c>
      <c r="E104" s="219" t="s">
        <v>3382</v>
      </c>
      <c r="F104" s="29" t="s">
        <v>223</v>
      </c>
      <c r="G104" s="8" t="s">
        <v>93</v>
      </c>
      <c r="H104" s="78" t="s">
        <v>3433</v>
      </c>
      <c r="I104" s="43">
        <f>IF(SUM(Q104:BA104)=0,"-",SUM(Q104:BA104))</f>
        <v>16</v>
      </c>
      <c r="J104" s="52">
        <f>IF(SUMPRODUCT($Q$5:$BA$5,Q104:BA104)=0,"-",SUMPRODUCT($Q$5:$BA$5,Q104:BA104))</f>
        <v>815</v>
      </c>
      <c r="K104" s="347" t="s">
        <v>3434</v>
      </c>
      <c r="L104" s="336">
        <v>3600</v>
      </c>
      <c r="M104" s="48">
        <v>4200665437</v>
      </c>
      <c r="N104" s="48" t="s">
        <v>249</v>
      </c>
      <c r="O104" s="48" t="s">
        <v>3435</v>
      </c>
      <c r="P104" s="361" t="s">
        <v>1443</v>
      </c>
      <c r="Q104" s="7">
        <v>3</v>
      </c>
      <c r="R104" s="8">
        <v>13</v>
      </c>
    </row>
    <row r="105" spans="1:33">
      <c r="A105" s="5" t="s">
        <v>220</v>
      </c>
      <c r="B105" s="5" t="s">
        <v>3211</v>
      </c>
      <c r="C105" s="103">
        <v>45372</v>
      </c>
      <c r="D105" s="55" t="s">
        <v>3436</v>
      </c>
      <c r="E105" s="219" t="s">
        <v>3382</v>
      </c>
      <c r="F105" s="29" t="s">
        <v>223</v>
      </c>
      <c r="G105" s="8" t="s">
        <v>69</v>
      </c>
      <c r="H105" s="78" t="s">
        <v>3437</v>
      </c>
      <c r="I105" s="43">
        <f>IF(SUM(Q105:BA105)=0,"-",SUM(Q105:BA105))</f>
        <v>20</v>
      </c>
      <c r="J105" s="52">
        <f>IF(SUMPRODUCT($Q$5:$BA$5,Q105:BA105)=0,"-",SUMPRODUCT($Q$5:$BA$5,Q105:BA105))</f>
        <v>1080</v>
      </c>
      <c r="K105" s="347" t="s">
        <v>3438</v>
      </c>
      <c r="L105" s="346">
        <v>2800</v>
      </c>
      <c r="M105" s="48">
        <v>4200665453</v>
      </c>
      <c r="N105" s="48" t="s">
        <v>249</v>
      </c>
      <c r="O105" s="48" t="s">
        <v>3439</v>
      </c>
      <c r="P105" s="361" t="s">
        <v>1443</v>
      </c>
      <c r="Q105" s="7">
        <v>2</v>
      </c>
      <c r="R105" s="8">
        <v>16</v>
      </c>
      <c r="S105" s="8">
        <v>1</v>
      </c>
      <c r="T105" s="8">
        <v>1</v>
      </c>
    </row>
    <row r="106" spans="1:33">
      <c r="A106" s="5" t="s">
        <v>220</v>
      </c>
      <c r="B106" s="5" t="s">
        <v>3211</v>
      </c>
      <c r="C106" s="103">
        <v>45387</v>
      </c>
      <c r="D106" s="331" t="s">
        <v>3440</v>
      </c>
      <c r="E106" s="219" t="s">
        <v>3382</v>
      </c>
      <c r="F106" s="29" t="s">
        <v>223</v>
      </c>
      <c r="G106" s="8" t="s">
        <v>69</v>
      </c>
      <c r="H106" s="78" t="s">
        <v>3441</v>
      </c>
      <c r="I106" s="43">
        <f>IF(SUM(Q106:BA106)=0,"-",SUM(Q106:BA106))</f>
        <v>9</v>
      </c>
      <c r="J106" s="52">
        <f>IF(SUMPRODUCT($Q$5:$BA$5,Q106:BA106)=0,"-",SUMPRODUCT($Q$5:$BA$5,Q106:BA106))</f>
        <v>400</v>
      </c>
      <c r="K106" s="347" t="s">
        <v>3442</v>
      </c>
      <c r="L106" s="336">
        <v>364</v>
      </c>
      <c r="M106" s="48">
        <v>4200665461</v>
      </c>
      <c r="N106" s="48" t="s">
        <v>249</v>
      </c>
      <c r="O106" s="48" t="s">
        <v>3443</v>
      </c>
      <c r="P106" s="361" t="s">
        <v>1443</v>
      </c>
      <c r="Q106" s="7">
        <v>1</v>
      </c>
      <c r="R106" s="8">
        <v>8</v>
      </c>
    </row>
    <row r="107" spans="1:33">
      <c r="A107" s="5" t="s">
        <v>220</v>
      </c>
      <c r="B107" s="5" t="s">
        <v>3211</v>
      </c>
      <c r="C107" s="103">
        <v>45391</v>
      </c>
      <c r="D107" s="107" t="s">
        <v>3444</v>
      </c>
      <c r="E107" s="219" t="s">
        <v>3382</v>
      </c>
      <c r="F107" s="29" t="s">
        <v>223</v>
      </c>
      <c r="G107" s="8" t="s">
        <v>69</v>
      </c>
      <c r="H107" s="78" t="s">
        <v>3445</v>
      </c>
      <c r="I107" s="43">
        <f>IF(SUM(Q107:BA107)=0,"-",SUM(Q107:BA107))</f>
        <v>15</v>
      </c>
      <c r="J107" s="52">
        <f>IF(SUMPRODUCT($Q$5:$BA$5,Q107:BA107)=0,"-",SUMPRODUCT($Q$5:$BA$5,Q107:BA107))</f>
        <v>610</v>
      </c>
      <c r="K107" s="347" t="s">
        <v>3446</v>
      </c>
      <c r="L107" s="346">
        <v>2800</v>
      </c>
      <c r="M107" s="48">
        <v>4200665447</v>
      </c>
      <c r="N107" s="48" t="s">
        <v>249</v>
      </c>
      <c r="O107" s="48" t="s">
        <v>3447</v>
      </c>
      <c r="P107" s="361" t="s">
        <v>1443</v>
      </c>
      <c r="Q107" s="7">
        <v>1</v>
      </c>
      <c r="R107" s="8">
        <v>14</v>
      </c>
    </row>
    <row r="108" spans="1:33">
      <c r="A108" s="5" t="s">
        <v>220</v>
      </c>
      <c r="B108" s="5" t="s">
        <v>3211</v>
      </c>
      <c r="C108" s="103">
        <v>45395</v>
      </c>
      <c r="D108" s="55" t="s">
        <v>3448</v>
      </c>
      <c r="E108" s="219" t="s">
        <v>3382</v>
      </c>
      <c r="F108" s="29" t="s">
        <v>223</v>
      </c>
      <c r="G108" s="8" t="s">
        <v>69</v>
      </c>
      <c r="H108" s="30" t="s">
        <v>3449</v>
      </c>
      <c r="I108" s="43">
        <f>IF(SUM(Q108:BA108)=0,"-",SUM(Q108:BA108))</f>
        <v>1</v>
      </c>
      <c r="J108" s="52">
        <f>IF(SUMPRODUCT($Q$5:$BA$5,Q108:BA108)=0,"-",SUMPRODUCT($Q$5:$BA$5,Q108:BA108))</f>
        <v>220</v>
      </c>
      <c r="K108" s="48" t="s">
        <v>481</v>
      </c>
      <c r="L108" s="308">
        <v>648</v>
      </c>
      <c r="M108" s="81">
        <v>4200664002</v>
      </c>
      <c r="N108" s="81" t="s">
        <v>249</v>
      </c>
      <c r="O108" s="81" t="s">
        <v>3450</v>
      </c>
      <c r="P108" s="361" t="s">
        <v>1492</v>
      </c>
      <c r="S108" s="8">
        <v>1</v>
      </c>
    </row>
    <row r="109" spans="1:33">
      <c r="A109" s="5" t="s">
        <v>220</v>
      </c>
      <c r="B109" s="5" t="s">
        <v>3211</v>
      </c>
      <c r="C109" s="103">
        <v>45396</v>
      </c>
      <c r="D109" s="106" t="s">
        <v>3451</v>
      </c>
      <c r="E109" s="5" t="s">
        <v>3452</v>
      </c>
      <c r="F109" s="29" t="s">
        <v>223</v>
      </c>
      <c r="G109" s="8" t="s">
        <v>130</v>
      </c>
      <c r="H109" s="78" t="s">
        <v>3453</v>
      </c>
      <c r="I109" s="43">
        <f>IF(SUM(Q109:BA109)=0,"-",SUM(Q109:BA109))</f>
        <v>48</v>
      </c>
      <c r="J109" s="52">
        <f>IF(SUMPRODUCT($Q$5:$BA$5,Q109:BA109)=0,"-",SUMPRODUCT($Q$5:$BA$5,Q109:BA109))</f>
        <v>1680</v>
      </c>
      <c r="K109" s="48" t="s">
        <v>481</v>
      </c>
      <c r="L109" s="336" t="s">
        <v>481</v>
      </c>
      <c r="M109" s="48" t="s">
        <v>481</v>
      </c>
      <c r="N109" s="48" t="s">
        <v>481</v>
      </c>
      <c r="O109" s="48" t="s">
        <v>481</v>
      </c>
      <c r="P109" s="48" t="s">
        <v>481</v>
      </c>
      <c r="R109" s="8">
        <v>48</v>
      </c>
    </row>
    <row r="110" spans="1:33">
      <c r="A110" s="5" t="s">
        <v>220</v>
      </c>
      <c r="B110" s="5" t="s">
        <v>3211</v>
      </c>
      <c r="C110" s="103">
        <v>45400</v>
      </c>
      <c r="D110" s="55" t="s">
        <v>3454</v>
      </c>
      <c r="E110" s="5" t="s">
        <v>3455</v>
      </c>
      <c r="F110" s="29" t="s">
        <v>223</v>
      </c>
      <c r="G110" s="8" t="s">
        <v>69</v>
      </c>
      <c r="I110" s="43">
        <f>IF(SUM(Q110:BA110)=0,"-",SUM(Q110:BA110))</f>
        <v>2</v>
      </c>
      <c r="J110" s="52">
        <f>IF(SUMPRODUCT($Q$5:$BA$5,Q110:BA110)=0,"-",SUMPRODUCT($Q$5:$BA$5,Q110:BA110))</f>
        <v>120</v>
      </c>
      <c r="K110" s="48" t="s">
        <v>481</v>
      </c>
      <c r="L110" s="336" t="s">
        <v>481</v>
      </c>
      <c r="M110" s="48" t="s">
        <v>481</v>
      </c>
      <c r="N110" s="48" t="s">
        <v>481</v>
      </c>
      <c r="O110" s="48" t="s">
        <v>481</v>
      </c>
      <c r="P110" s="48" t="s">
        <v>481</v>
      </c>
      <c r="T110" s="8">
        <v>2</v>
      </c>
    </row>
    <row r="111" spans="1:33">
      <c r="A111" s="5" t="s">
        <v>220</v>
      </c>
      <c r="B111" s="5" t="s">
        <v>3211</v>
      </c>
      <c r="C111" s="103">
        <v>45435</v>
      </c>
      <c r="D111" s="55" t="s">
        <v>3456</v>
      </c>
      <c r="E111" s="219" t="s">
        <v>3382</v>
      </c>
      <c r="F111" s="29" t="s">
        <v>223</v>
      </c>
      <c r="G111" s="8" t="s">
        <v>69</v>
      </c>
      <c r="H111" s="78" t="s">
        <v>3457</v>
      </c>
      <c r="I111" s="43">
        <f>IF(SUM(Q111:BA111)=0,"-",SUM(Q111:BA111))</f>
        <v>8</v>
      </c>
      <c r="J111" s="52">
        <f>IF(SUMPRODUCT($Q$5:$BA$5,Q111:BA111)=0,"-",SUMPRODUCT($Q$5:$BA$5,Q111:BA111))</f>
        <v>620</v>
      </c>
      <c r="K111" s="98" t="s">
        <v>3458</v>
      </c>
      <c r="L111" s="308">
        <v>2000</v>
      </c>
      <c r="M111" s="81">
        <v>4200665937</v>
      </c>
      <c r="N111" s="81" t="s">
        <v>249</v>
      </c>
      <c r="O111" s="81" t="s">
        <v>3459</v>
      </c>
      <c r="P111" s="361" t="s">
        <v>1331</v>
      </c>
      <c r="Q111" s="7">
        <v>4</v>
      </c>
      <c r="R111" s="8">
        <v>4</v>
      </c>
    </row>
    <row r="112" spans="1:33">
      <c r="A112" s="5" t="s">
        <v>220</v>
      </c>
      <c r="B112" s="5" t="s">
        <v>3211</v>
      </c>
      <c r="C112" s="103">
        <v>45442</v>
      </c>
      <c r="D112" s="55" t="s">
        <v>3460</v>
      </c>
      <c r="E112" s="219" t="s">
        <v>3382</v>
      </c>
      <c r="F112" s="29" t="s">
        <v>223</v>
      </c>
      <c r="G112" s="8" t="s">
        <v>69</v>
      </c>
      <c r="H112" s="78" t="s">
        <v>3461</v>
      </c>
      <c r="I112" s="43">
        <f>IF(SUM(Q112:BA112)=0,"-",SUM(Q112:BA112))</f>
        <v>5</v>
      </c>
      <c r="J112" s="52">
        <f>IF(SUMPRODUCT($Q$5:$BA$5,Q112:BA112)=0,"-",SUMPRODUCT($Q$5:$BA$5,Q112:BA112))</f>
        <v>700</v>
      </c>
      <c r="K112" s="81"/>
      <c r="L112" s="308" t="s">
        <v>3462</v>
      </c>
      <c r="M112" s="81">
        <v>4200666625</v>
      </c>
      <c r="N112" s="81" t="s">
        <v>249</v>
      </c>
      <c r="O112" s="81" t="s">
        <v>3463</v>
      </c>
      <c r="P112" s="361" t="s">
        <v>3427</v>
      </c>
      <c r="Q112" s="7">
        <v>4</v>
      </c>
      <c r="S112" s="8">
        <v>1</v>
      </c>
    </row>
    <row r="113" spans="1:52">
      <c r="A113" s="5" t="s">
        <v>220</v>
      </c>
      <c r="B113" s="5" t="s">
        <v>3211</v>
      </c>
      <c r="C113" s="103">
        <v>45454</v>
      </c>
      <c r="D113" s="106" t="s">
        <v>3464</v>
      </c>
      <c r="E113" s="219" t="s">
        <v>3382</v>
      </c>
      <c r="F113" s="29" t="s">
        <v>223</v>
      </c>
      <c r="G113" s="8" t="s">
        <v>69</v>
      </c>
      <c r="H113" s="78" t="s">
        <v>3465</v>
      </c>
      <c r="I113" s="43">
        <f>IF(SUM(Q113:BA113)=0,"-",SUM(Q113:BA113))</f>
        <v>5</v>
      </c>
      <c r="J113" s="52">
        <f>IF(SUMPRODUCT($Q$5:$BA$5,Q113:BA113)=0,"-",SUMPRODUCT($Q$5:$BA$5,Q113:BA113))</f>
        <v>175</v>
      </c>
      <c r="K113" s="48" t="s">
        <v>481</v>
      </c>
      <c r="L113" s="336" t="s">
        <v>481</v>
      </c>
      <c r="M113" s="48" t="s">
        <v>481</v>
      </c>
      <c r="N113" s="48" t="s">
        <v>481</v>
      </c>
      <c r="O113" s="48" t="s">
        <v>481</v>
      </c>
      <c r="P113" s="48" t="s">
        <v>481</v>
      </c>
      <c r="R113" s="8">
        <v>5</v>
      </c>
    </row>
    <row r="114" spans="1:52">
      <c r="A114" s="5" t="s">
        <v>220</v>
      </c>
      <c r="B114" s="5" t="s">
        <v>3211</v>
      </c>
      <c r="C114" s="103">
        <v>45471</v>
      </c>
      <c r="D114" s="55" t="s">
        <v>3466</v>
      </c>
      <c r="E114" s="219" t="s">
        <v>3382</v>
      </c>
      <c r="F114" s="29" t="s">
        <v>223</v>
      </c>
      <c r="G114" s="8" t="s">
        <v>69</v>
      </c>
      <c r="H114" s="78" t="s">
        <v>3467</v>
      </c>
      <c r="I114" s="43">
        <f>IF(SUM(Q114:BA114)=0,"-",SUM(Q114:BA114))</f>
        <v>4</v>
      </c>
      <c r="J114" s="52">
        <f>IF(SUMPRODUCT($Q$5:$BA$5,Q114:BA114)=0,"-",SUMPRODUCT($Q$5:$BA$5,Q114:BA114))</f>
        <v>400</v>
      </c>
      <c r="K114" s="81"/>
      <c r="L114" s="308">
        <v>400</v>
      </c>
      <c r="M114" s="81">
        <v>4200669989</v>
      </c>
      <c r="N114" s="81" t="s">
        <v>249</v>
      </c>
      <c r="O114" s="81" t="s">
        <v>3468</v>
      </c>
      <c r="P114" s="382" t="s">
        <v>1632</v>
      </c>
      <c r="S114" s="8">
        <v>1</v>
      </c>
      <c r="T114" s="8">
        <v>3</v>
      </c>
    </row>
    <row r="115" spans="1:52">
      <c r="A115" s="5" t="s">
        <v>220</v>
      </c>
      <c r="B115" s="5" t="s">
        <v>3211</v>
      </c>
      <c r="C115" s="103">
        <v>45476</v>
      </c>
      <c r="D115" s="106" t="s">
        <v>3469</v>
      </c>
      <c r="E115" s="219" t="s">
        <v>3382</v>
      </c>
      <c r="F115" s="29" t="s">
        <v>223</v>
      </c>
      <c r="G115" s="8" t="s">
        <v>69</v>
      </c>
      <c r="H115" s="78" t="s">
        <v>3470</v>
      </c>
      <c r="I115" s="43">
        <f>IF(SUM(Q115:BA115)=0,"-",SUM(Q115:BA115))</f>
        <v>1</v>
      </c>
      <c r="J115" s="52">
        <f>IF(SUMPRODUCT($Q$5:$BA$5,Q115:BA115)=0,"-",SUMPRODUCT($Q$5:$BA$5,Q115:BA115))</f>
        <v>220</v>
      </c>
      <c r="K115" s="81"/>
      <c r="L115" s="308">
        <v>364</v>
      </c>
      <c r="M115" s="81">
        <v>4200668963</v>
      </c>
      <c r="N115" s="81" t="s">
        <v>249</v>
      </c>
      <c r="O115" s="81" t="s">
        <v>3471</v>
      </c>
      <c r="P115" s="361" t="s">
        <v>3472</v>
      </c>
      <c r="S115" s="8">
        <v>1</v>
      </c>
    </row>
    <row r="116" spans="1:52">
      <c r="A116" s="5" t="s">
        <v>220</v>
      </c>
      <c r="B116" s="5" t="s">
        <v>3211</v>
      </c>
      <c r="C116" s="103">
        <v>45481</v>
      </c>
      <c r="D116" s="55" t="s">
        <v>3473</v>
      </c>
      <c r="E116" s="219" t="s">
        <v>3382</v>
      </c>
      <c r="F116" s="29" t="s">
        <v>223</v>
      </c>
      <c r="G116" s="8" t="s">
        <v>69</v>
      </c>
      <c r="H116" s="78" t="s">
        <v>3474</v>
      </c>
      <c r="I116" s="43">
        <v>21</v>
      </c>
      <c r="J116" s="52">
        <v>1230</v>
      </c>
      <c r="K116" s="81"/>
      <c r="L116" s="308">
        <v>1500</v>
      </c>
      <c r="M116" s="81">
        <v>4200668969</v>
      </c>
      <c r="N116" s="81" t="s">
        <v>249</v>
      </c>
      <c r="O116" s="81" t="s">
        <v>3475</v>
      </c>
      <c r="P116" s="361" t="s">
        <v>3472</v>
      </c>
    </row>
    <row r="117" spans="1:52">
      <c r="A117" s="5" t="s">
        <v>220</v>
      </c>
      <c r="B117" s="5" t="s">
        <v>3211</v>
      </c>
      <c r="C117" s="103">
        <v>45490</v>
      </c>
      <c r="D117" s="55" t="s">
        <v>3476</v>
      </c>
      <c r="E117" s="219" t="s">
        <v>3382</v>
      </c>
      <c r="F117" s="29" t="s">
        <v>223</v>
      </c>
      <c r="G117" s="8" t="s">
        <v>69</v>
      </c>
      <c r="H117" s="78" t="s">
        <v>3477</v>
      </c>
      <c r="I117" s="43">
        <f>IF(SUM(Q117:BA117)=0,"-",SUM(Q117:BA117))</f>
        <v>14</v>
      </c>
      <c r="J117" s="52">
        <f>IF(SUMPRODUCT($Q$5:$BA$5,Q117:BA117)=0,"-",SUMPRODUCT($Q$5:$BA$5,Q117:BA117))</f>
        <v>575</v>
      </c>
      <c r="K117" s="81"/>
      <c r="L117" s="308">
        <v>4000</v>
      </c>
      <c r="M117" s="81">
        <v>4200669985</v>
      </c>
      <c r="N117" s="81" t="s">
        <v>249</v>
      </c>
      <c r="O117" s="81" t="s">
        <v>3478</v>
      </c>
      <c r="P117" s="382" t="s">
        <v>1632</v>
      </c>
      <c r="Q117" s="7">
        <v>1</v>
      </c>
      <c r="R117" s="8">
        <v>13</v>
      </c>
    </row>
    <row r="118" spans="1:52" ht="24.75">
      <c r="A118" s="5" t="s">
        <v>220</v>
      </c>
      <c r="B118" s="5" t="s">
        <v>3211</v>
      </c>
      <c r="C118" s="103">
        <v>45518</v>
      </c>
      <c r="D118" s="55" t="s">
        <v>3479</v>
      </c>
      <c r="E118" s="219" t="s">
        <v>3382</v>
      </c>
      <c r="F118" s="29" t="s">
        <v>223</v>
      </c>
      <c r="G118" s="8" t="s">
        <v>69</v>
      </c>
      <c r="H118" s="78" t="s">
        <v>3480</v>
      </c>
      <c r="I118" s="43">
        <f>IF(SUM(Q118:BA118)=0,"-",SUM(Q118:BA118))</f>
        <v>10</v>
      </c>
      <c r="J118" s="52">
        <f>IF(SUMPRODUCT($Q$5:$BA$5,Q118:BA118)=0,"-",SUMPRODUCT($Q$5:$BA$5,Q118:BA118))</f>
        <v>460</v>
      </c>
      <c r="K118" s="366"/>
      <c r="L118" s="308">
        <v>2800</v>
      </c>
      <c r="M118" s="81">
        <v>4200671683</v>
      </c>
      <c r="N118" s="81" t="s">
        <v>249</v>
      </c>
      <c r="O118" s="81" t="s">
        <v>3481</v>
      </c>
      <c r="P118" s="385" t="s">
        <v>3482</v>
      </c>
      <c r="Q118" s="7">
        <v>1</v>
      </c>
      <c r="R118" s="8">
        <v>8</v>
      </c>
      <c r="T118" s="8">
        <v>1</v>
      </c>
    </row>
    <row r="119" spans="1:52">
      <c r="A119" s="5" t="s">
        <v>220</v>
      </c>
      <c r="B119" s="5" t="s">
        <v>3211</v>
      </c>
      <c r="C119" s="103">
        <v>45518</v>
      </c>
      <c r="D119" s="55" t="s">
        <v>3483</v>
      </c>
      <c r="E119" s="219" t="s">
        <v>3382</v>
      </c>
      <c r="F119" s="29" t="s">
        <v>223</v>
      </c>
      <c r="G119" s="8" t="s">
        <v>69</v>
      </c>
      <c r="H119" s="78" t="s">
        <v>3484</v>
      </c>
      <c r="I119" s="43">
        <f>IF(SUM(Q119:BA119)=0,"-",SUM(Q119:BA119))</f>
        <v>1</v>
      </c>
      <c r="J119" s="52">
        <f>IF(SUMPRODUCT($Q$5:$BA$5,Q119:BA119)=0,"-",SUMPRODUCT($Q$5:$BA$5,Q119:BA119))</f>
        <v>220</v>
      </c>
      <c r="K119" s="81" t="s">
        <v>481</v>
      </c>
      <c r="L119" s="308" t="s">
        <v>481</v>
      </c>
      <c r="M119" s="81" t="s">
        <v>481</v>
      </c>
      <c r="N119" s="81" t="s">
        <v>481</v>
      </c>
      <c r="O119" s="81" t="s">
        <v>481</v>
      </c>
      <c r="P119" s="81" t="s">
        <v>481</v>
      </c>
      <c r="S119" s="8">
        <v>1</v>
      </c>
    </row>
    <row r="120" spans="1:52">
      <c r="A120" s="5" t="s">
        <v>220</v>
      </c>
      <c r="B120" s="5" t="s">
        <v>3211</v>
      </c>
      <c r="C120" s="103">
        <v>45518</v>
      </c>
      <c r="D120" s="55" t="s">
        <v>3485</v>
      </c>
      <c r="E120" s="219" t="s">
        <v>3382</v>
      </c>
      <c r="F120" s="29" t="s">
        <v>223</v>
      </c>
      <c r="G120" s="8" t="s">
        <v>69</v>
      </c>
      <c r="H120" s="78" t="s">
        <v>3486</v>
      </c>
      <c r="I120" s="43">
        <v>1</v>
      </c>
      <c r="J120" s="52">
        <f>IF(SUMPRODUCT($Q$5:$BA$5,Q120:BA120)=0,"-",SUMPRODUCT($Q$5:$BA$5,Q120:BA120))</f>
        <v>175</v>
      </c>
      <c r="K120" s="366"/>
      <c r="L120" s="308">
        <v>1900</v>
      </c>
      <c r="M120" s="81">
        <v>4200670167</v>
      </c>
      <c r="N120" s="81" t="s">
        <v>249</v>
      </c>
      <c r="O120" s="81" t="s">
        <v>3487</v>
      </c>
      <c r="P120" s="382" t="s">
        <v>1632</v>
      </c>
      <c r="AZ120" s="8">
        <f>1750*0.1/0.15</f>
        <v>1166.6666666666667</v>
      </c>
    </row>
    <row r="121" spans="1:52" ht="24.75">
      <c r="A121" s="5" t="s">
        <v>220</v>
      </c>
      <c r="B121" s="5" t="s">
        <v>3211</v>
      </c>
      <c r="C121" s="103">
        <v>45525</v>
      </c>
      <c r="D121" s="106" t="s">
        <v>3488</v>
      </c>
      <c r="E121" s="219" t="s">
        <v>3382</v>
      </c>
      <c r="F121" s="29" t="s">
        <v>223</v>
      </c>
      <c r="G121" s="8" t="s">
        <v>69</v>
      </c>
      <c r="H121" s="78" t="s">
        <v>3489</v>
      </c>
      <c r="I121" s="43">
        <f>IF(SUM(Q121:BA121)=0,"-",SUM(Q121:BA121))</f>
        <v>14</v>
      </c>
      <c r="J121" s="52">
        <f>IF(SUMPRODUCT($Q$5:$BA$5,Q121:BA121)=0,"-",SUMPRODUCT($Q$5:$BA$5,Q121:BA121))</f>
        <v>575</v>
      </c>
      <c r="K121" s="366"/>
      <c r="L121" s="308">
        <v>1000</v>
      </c>
      <c r="M121" s="81">
        <v>4200671684</v>
      </c>
      <c r="N121" s="81" t="s">
        <v>249</v>
      </c>
      <c r="O121" s="81" t="s">
        <v>3490</v>
      </c>
      <c r="P121" s="385" t="s">
        <v>3482</v>
      </c>
      <c r="Q121" s="7">
        <v>1</v>
      </c>
      <c r="R121" s="8">
        <v>13</v>
      </c>
    </row>
    <row r="122" spans="1:52">
      <c r="A122" s="5" t="s">
        <v>220</v>
      </c>
      <c r="B122" s="5" t="s">
        <v>3211</v>
      </c>
      <c r="C122" s="103">
        <v>45525</v>
      </c>
      <c r="D122" s="106" t="s">
        <v>3491</v>
      </c>
      <c r="E122" s="219" t="s">
        <v>3382</v>
      </c>
      <c r="F122" s="29" t="s">
        <v>223</v>
      </c>
      <c r="G122" s="8" t="s">
        <v>69</v>
      </c>
      <c r="H122" s="78" t="s">
        <v>3492</v>
      </c>
      <c r="I122" s="43">
        <v>12</v>
      </c>
      <c r="J122" s="52">
        <f>IF(SUMPRODUCT($Q$5:$BA$5,Q122:BA122)=0,"-",SUMPRODUCT($Q$5:$BA$5,Q122:BA122))</f>
        <v>1220</v>
      </c>
      <c r="K122" s="81" t="s">
        <v>481</v>
      </c>
      <c r="L122" s="308" t="s">
        <v>481</v>
      </c>
      <c r="M122" s="81" t="s">
        <v>481</v>
      </c>
      <c r="N122" s="81" t="s">
        <v>481</v>
      </c>
      <c r="O122" s="81" t="s">
        <v>481</v>
      </c>
      <c r="P122" s="81" t="s">
        <v>481</v>
      </c>
      <c r="AN122" s="7">
        <v>6</v>
      </c>
      <c r="AZ122" s="8">
        <f>7400*0.1/0.15</f>
        <v>4933.3333333333339</v>
      </c>
    </row>
    <row r="123" spans="1:52">
      <c r="A123" s="5" t="s">
        <v>220</v>
      </c>
      <c r="B123" s="5" t="s">
        <v>3211</v>
      </c>
      <c r="C123" s="103">
        <v>45533</v>
      </c>
      <c r="D123" s="55" t="s">
        <v>3493</v>
      </c>
      <c r="E123" s="219" t="s">
        <v>3382</v>
      </c>
      <c r="F123" s="29" t="s">
        <v>223</v>
      </c>
      <c r="G123" s="8" t="s">
        <v>69</v>
      </c>
      <c r="H123" s="78"/>
      <c r="I123" s="43">
        <v>12</v>
      </c>
      <c r="J123" s="52">
        <v>900</v>
      </c>
      <c r="K123" s="81"/>
      <c r="L123" s="308">
        <v>900</v>
      </c>
      <c r="M123" s="81">
        <v>4200671694</v>
      </c>
      <c r="N123" s="81" t="s">
        <v>249</v>
      </c>
      <c r="O123" s="81" t="s">
        <v>3494</v>
      </c>
      <c r="P123" s="382" t="s">
        <v>1703</v>
      </c>
    </row>
    <row r="124" spans="1:52">
      <c r="A124" s="5" t="s">
        <v>220</v>
      </c>
      <c r="B124" s="5" t="s">
        <v>3211</v>
      </c>
      <c r="C124" s="103">
        <v>45543</v>
      </c>
      <c r="D124" s="55" t="s">
        <v>3495</v>
      </c>
      <c r="E124" s="219" t="s">
        <v>3382</v>
      </c>
      <c r="F124" s="29" t="s">
        <v>223</v>
      </c>
      <c r="G124" s="8" t="s">
        <v>69</v>
      </c>
      <c r="H124" s="78" t="s">
        <v>3496</v>
      </c>
      <c r="I124" s="43">
        <f>IF(SUM(Q124:BA124)=0,"-",SUM(Q124:BA124))</f>
        <v>45</v>
      </c>
      <c r="J124" s="52">
        <f>IF(SUMPRODUCT($Q$5:$BA$5,Q124:BA124)=0,"-",SUMPRODUCT($Q$5:$BA$5,Q124:BA124))</f>
        <v>1660</v>
      </c>
      <c r="K124" s="81"/>
      <c r="L124" s="308" t="s">
        <v>481</v>
      </c>
      <c r="M124" s="81" t="s">
        <v>481</v>
      </c>
      <c r="N124" s="81" t="s">
        <v>481</v>
      </c>
      <c r="O124" s="81" t="s">
        <v>481</v>
      </c>
      <c r="P124" s="382" t="s">
        <v>481</v>
      </c>
      <c r="Q124" s="7">
        <v>1</v>
      </c>
      <c r="R124" s="8">
        <v>44</v>
      </c>
    </row>
    <row r="125" spans="1:52">
      <c r="A125" s="5" t="s">
        <v>220</v>
      </c>
      <c r="B125" s="5" t="s">
        <v>3211</v>
      </c>
      <c r="C125" s="103">
        <v>45547</v>
      </c>
      <c r="D125" s="55" t="s">
        <v>3497</v>
      </c>
      <c r="E125" s="219" t="s">
        <v>3382</v>
      </c>
      <c r="F125" s="29" t="s">
        <v>223</v>
      </c>
      <c r="G125" s="8" t="s">
        <v>69</v>
      </c>
      <c r="H125" s="78" t="s">
        <v>3489</v>
      </c>
      <c r="I125" s="43">
        <f>IF(SUM(Q125:BA125)=0,"-",SUM(Q125:BA125))</f>
        <v>9</v>
      </c>
      <c r="J125" s="52">
        <f>IF(SUMPRODUCT($Q$5:$BA$5,Q125:BA125)=0,"-",SUMPRODUCT($Q$5:$BA$5,Q125:BA125))</f>
        <v>315</v>
      </c>
      <c r="K125" s="81"/>
      <c r="L125" s="308">
        <v>455</v>
      </c>
      <c r="M125" s="81">
        <v>4200673165</v>
      </c>
      <c r="N125" s="81" t="s">
        <v>249</v>
      </c>
      <c r="O125" s="81" t="s">
        <v>3498</v>
      </c>
      <c r="P125" s="382" t="s">
        <v>3499</v>
      </c>
      <c r="R125" s="8">
        <v>9</v>
      </c>
    </row>
    <row r="126" spans="1:52">
      <c r="A126" s="5" t="s">
        <v>220</v>
      </c>
      <c r="B126" s="5" t="s">
        <v>3211</v>
      </c>
      <c r="C126" s="103">
        <v>45555</v>
      </c>
      <c r="D126" s="55" t="s">
        <v>3500</v>
      </c>
      <c r="E126" s="219" t="s">
        <v>3382</v>
      </c>
      <c r="F126" s="29" t="s">
        <v>223</v>
      </c>
      <c r="G126" s="8" t="s">
        <v>69</v>
      </c>
      <c r="H126" s="5" t="s">
        <v>3501</v>
      </c>
      <c r="I126" s="43">
        <v>4</v>
      </c>
      <c r="J126" s="52">
        <f>IF(SUMPRODUCT($Q$5:$BA$5,Q126:BA126)=0,"-",SUMPRODUCT($Q$5:$BA$5,Q126:BA126))</f>
        <v>30</v>
      </c>
      <c r="K126" s="81" t="s">
        <v>481</v>
      </c>
      <c r="L126" s="308" t="s">
        <v>481</v>
      </c>
      <c r="M126" s="81" t="s">
        <v>481</v>
      </c>
      <c r="N126" s="81" t="s">
        <v>481</v>
      </c>
      <c r="O126" s="81" t="s">
        <v>481</v>
      </c>
      <c r="P126" s="81" t="s">
        <v>481</v>
      </c>
      <c r="AZ126" s="8">
        <v>200</v>
      </c>
    </row>
    <row r="127" spans="1:52">
      <c r="A127" s="5" t="s">
        <v>220</v>
      </c>
      <c r="B127" s="5" t="s">
        <v>3211</v>
      </c>
      <c r="C127" s="103">
        <v>45565</v>
      </c>
      <c r="D127" s="55" t="s">
        <v>3502</v>
      </c>
      <c r="E127" s="219" t="s">
        <v>3382</v>
      </c>
      <c r="F127" s="29" t="s">
        <v>223</v>
      </c>
      <c r="G127" s="8" t="s">
        <v>69</v>
      </c>
      <c r="H127" s="78" t="s">
        <v>3503</v>
      </c>
      <c r="I127" s="43">
        <f>IF(SUM(Q127:BA127)=0,"-",SUM(Q127:BA127))</f>
        <v>12</v>
      </c>
      <c r="J127" s="52">
        <f>IF(SUMPRODUCT($Q$5:$BA$5,Q127:BA127)=0,"-",SUMPRODUCT($Q$5:$BA$5,Q127:BA127))</f>
        <v>1040</v>
      </c>
      <c r="K127" s="81"/>
      <c r="L127" s="308">
        <v>3000</v>
      </c>
      <c r="M127" s="81">
        <v>4200673172</v>
      </c>
      <c r="N127" s="81" t="s">
        <v>249</v>
      </c>
      <c r="O127" s="81" t="s">
        <v>3504</v>
      </c>
      <c r="P127" s="382" t="s">
        <v>3499</v>
      </c>
      <c r="S127" s="8">
        <v>2</v>
      </c>
      <c r="T127" s="8">
        <v>10</v>
      </c>
    </row>
    <row r="128" spans="1:52">
      <c r="A128" s="5" t="s">
        <v>220</v>
      </c>
      <c r="B128" s="5" t="s">
        <v>3211</v>
      </c>
      <c r="C128" s="103">
        <v>45580</v>
      </c>
      <c r="D128" s="55" t="s">
        <v>3505</v>
      </c>
      <c r="E128" s="219" t="s">
        <v>3382</v>
      </c>
      <c r="F128" s="29" t="s">
        <v>223</v>
      </c>
      <c r="G128" s="8" t="s">
        <v>69</v>
      </c>
      <c r="H128" s="78" t="s">
        <v>3506</v>
      </c>
      <c r="I128" s="43">
        <f>IF(SUM(Q128:BA128)=0,"-",SUM(Q128:BA128))</f>
        <v>7</v>
      </c>
      <c r="J128" s="52">
        <f>IF(SUMPRODUCT($Q$5:$BA$5,Q128:BA128)=0,"-",SUMPRODUCT($Q$5:$BA$5,Q128:BA128))</f>
        <v>355</v>
      </c>
      <c r="K128" s="81"/>
      <c r="L128" s="308">
        <v>500</v>
      </c>
      <c r="M128" s="81">
        <v>4200673159</v>
      </c>
      <c r="N128" s="81" t="s">
        <v>249</v>
      </c>
      <c r="O128" s="81" t="s">
        <v>3507</v>
      </c>
      <c r="P128" s="382" t="s">
        <v>3499</v>
      </c>
      <c r="Q128" s="7">
        <v>1</v>
      </c>
      <c r="R128" s="8">
        <v>5</v>
      </c>
      <c r="T128" s="8">
        <v>1</v>
      </c>
    </row>
    <row r="129" spans="1:60" ht="17.25">
      <c r="A129" s="5" t="s">
        <v>220</v>
      </c>
      <c r="B129" s="5" t="s">
        <v>3211</v>
      </c>
      <c r="C129" s="103">
        <v>45603</v>
      </c>
      <c r="D129" s="55" t="s">
        <v>3508</v>
      </c>
      <c r="E129" t="s">
        <v>3382</v>
      </c>
      <c r="F129" s="29" t="s">
        <v>223</v>
      </c>
      <c r="G129" s="8" t="s">
        <v>69</v>
      </c>
      <c r="H129" s="30" t="s">
        <v>3509</v>
      </c>
      <c r="I129" s="43">
        <f>IF(SUM(Q129:BA129)=0,"-",SUM(Q129:BA129))</f>
        <v>4</v>
      </c>
      <c r="J129" s="52">
        <f>IF(SUMPRODUCT($Q$5:$BA$5,Q129:BA129)=0,"-",SUMPRODUCT($Q$5:$BA$5,Q129:BA129))</f>
        <v>225</v>
      </c>
      <c r="K129" s="100" t="s">
        <v>3510</v>
      </c>
      <c r="L129" s="308" t="s">
        <v>481</v>
      </c>
      <c r="M129" s="81" t="s">
        <v>481</v>
      </c>
      <c r="N129" s="81" t="s">
        <v>481</v>
      </c>
      <c r="O129" s="81" t="s">
        <v>481</v>
      </c>
      <c r="P129" s="81" t="s">
        <v>481</v>
      </c>
      <c r="Q129" s="7">
        <v>1</v>
      </c>
      <c r="R129" s="8">
        <v>3</v>
      </c>
    </row>
    <row r="130" spans="1:60">
      <c r="A130" s="5" t="s">
        <v>220</v>
      </c>
      <c r="B130" s="5" t="s">
        <v>3211</v>
      </c>
      <c r="C130" s="103">
        <v>45603</v>
      </c>
      <c r="D130" s="55" t="s">
        <v>3511</v>
      </c>
      <c r="E130" t="s">
        <v>3382</v>
      </c>
      <c r="F130" s="29" t="s">
        <v>223</v>
      </c>
      <c r="G130" s="8" t="s">
        <v>69</v>
      </c>
      <c r="H130" s="30" t="s">
        <v>3512</v>
      </c>
      <c r="I130" s="43">
        <v>1</v>
      </c>
      <c r="J130" s="52">
        <f>IF(SUMPRODUCT($Q$5:$BA$5,Q130:BA130)=0,"-",SUMPRODUCT($Q$5:$BA$5,Q130:BA130))</f>
        <v>469.2</v>
      </c>
      <c r="K130" s="100" t="s">
        <v>3513</v>
      </c>
      <c r="L130" s="308" t="s">
        <v>481</v>
      </c>
      <c r="M130" s="81">
        <v>4200676303</v>
      </c>
      <c r="N130" s="81" t="s">
        <v>249</v>
      </c>
      <c r="O130" s="81" t="s">
        <v>3514</v>
      </c>
      <c r="P130" s="81" t="s">
        <v>3515</v>
      </c>
      <c r="AZ130" s="8">
        <v>3128</v>
      </c>
    </row>
    <row r="131" spans="1:60">
      <c r="A131" s="5" t="s">
        <v>220</v>
      </c>
      <c r="B131" s="5" t="s">
        <v>3211</v>
      </c>
      <c r="C131" s="103">
        <v>45603</v>
      </c>
      <c r="D131" s="55" t="s">
        <v>3516</v>
      </c>
      <c r="E131" t="s">
        <v>3382</v>
      </c>
      <c r="F131" s="29" t="s">
        <v>223</v>
      </c>
      <c r="G131" s="8" t="s">
        <v>69</v>
      </c>
      <c r="H131" s="78" t="s">
        <v>3517</v>
      </c>
      <c r="I131" s="43">
        <v>1</v>
      </c>
      <c r="J131" s="52">
        <f>IF(SUMPRODUCT($Q$5:$BA$5,Q131:BA131)=0,"-",SUMPRODUCT($Q$5:$BA$5,Q131:BA131))</f>
        <v>2935.0499999999997</v>
      </c>
      <c r="K131" s="100" t="s">
        <v>3518</v>
      </c>
      <c r="L131" s="308" t="s">
        <v>481</v>
      </c>
      <c r="M131" s="81" t="s">
        <v>481</v>
      </c>
      <c r="N131" s="81" t="s">
        <v>481</v>
      </c>
      <c r="O131" s="81" t="s">
        <v>481</v>
      </c>
      <c r="P131" s="81" t="s">
        <v>481</v>
      </c>
      <c r="AZ131" s="8">
        <v>19567</v>
      </c>
    </row>
    <row r="132" spans="1:60">
      <c r="A132" s="5" t="s">
        <v>220</v>
      </c>
      <c r="B132" s="5" t="s">
        <v>3211</v>
      </c>
      <c r="C132" s="103">
        <v>45608</v>
      </c>
      <c r="D132" s="55" t="s">
        <v>3519</v>
      </c>
      <c r="E132" t="s">
        <v>3382</v>
      </c>
      <c r="F132" s="29" t="s">
        <v>223</v>
      </c>
      <c r="G132" s="8" t="s">
        <v>69</v>
      </c>
      <c r="H132" s="30" t="s">
        <v>3520</v>
      </c>
      <c r="I132" s="43">
        <f>IF(SUM(Q132:BA132)=0,"-",SUM(Q132:BA132))</f>
        <v>1</v>
      </c>
      <c r="J132" s="52">
        <f>IF(SUMPRODUCT($Q$5:$BA$5,Q132:BA132)=0,"-",SUMPRODUCT($Q$5:$BA$5,Q132:BA132))</f>
        <v>220</v>
      </c>
      <c r="K132" s="81" t="s">
        <v>481</v>
      </c>
      <c r="L132" s="308" t="s">
        <v>481</v>
      </c>
      <c r="M132" s="81" t="s">
        <v>481</v>
      </c>
      <c r="N132" s="81" t="s">
        <v>481</v>
      </c>
      <c r="O132" s="81" t="s">
        <v>481</v>
      </c>
      <c r="P132" s="81" t="s">
        <v>481</v>
      </c>
      <c r="S132" s="8">
        <v>1</v>
      </c>
    </row>
    <row r="133" spans="1:60">
      <c r="A133" s="5" t="s">
        <v>220</v>
      </c>
      <c r="B133" s="5" t="s">
        <v>3211</v>
      </c>
      <c r="C133" s="103">
        <v>45611</v>
      </c>
      <c r="D133" s="55" t="s">
        <v>3521</v>
      </c>
      <c r="E133" t="s">
        <v>3382</v>
      </c>
      <c r="F133" s="29" t="s">
        <v>223</v>
      </c>
      <c r="G133" s="8" t="s">
        <v>69</v>
      </c>
      <c r="H133" s="30" t="s">
        <v>3512</v>
      </c>
      <c r="I133" s="43">
        <f>IF(SUM(Q133:BA133)=0,"-",SUM(Q133:BA133))</f>
        <v>15</v>
      </c>
      <c r="J133" s="52">
        <f>IF(SUMPRODUCT($Q$5:$BA$5,Q133:BA133)=0,"-",SUMPRODUCT($Q$5:$BA$5,Q133:BA133))</f>
        <v>2250</v>
      </c>
      <c r="K133" s="100" t="s">
        <v>3522</v>
      </c>
      <c r="L133" s="308">
        <v>2800</v>
      </c>
      <c r="M133" s="81">
        <v>4200676303</v>
      </c>
      <c r="N133" s="81" t="s">
        <v>249</v>
      </c>
      <c r="O133" s="81" t="s">
        <v>3514</v>
      </c>
      <c r="P133" s="81" t="s">
        <v>3515</v>
      </c>
      <c r="AO133" s="8">
        <v>15</v>
      </c>
      <c r="BD133" s="103"/>
      <c r="BE133" s="55"/>
      <c r="BF133"/>
      <c r="BG133" s="29"/>
      <c r="BH133" s="8"/>
    </row>
    <row r="134" spans="1:60">
      <c r="A134" s="5" t="s">
        <v>220</v>
      </c>
      <c r="B134" s="5" t="s">
        <v>3211</v>
      </c>
      <c r="C134" s="103">
        <v>45611</v>
      </c>
      <c r="D134" s="55" t="s">
        <v>3523</v>
      </c>
      <c r="E134" s="219" t="s">
        <v>3382</v>
      </c>
      <c r="F134" s="29" t="s">
        <v>223</v>
      </c>
      <c r="G134" s="8" t="s">
        <v>69</v>
      </c>
      <c r="H134" s="78" t="s">
        <v>3517</v>
      </c>
      <c r="I134" s="43">
        <f>IF(SUM(Q134:BA134)=0,"-",SUM(Q134:BA134))</f>
        <v>15</v>
      </c>
      <c r="J134" s="52">
        <f>IF(SUMPRODUCT($Q$5:$BA$5,Q134:BA134)=0,"-",SUMPRODUCT($Q$5:$BA$5,Q134:BA134))</f>
        <v>2250</v>
      </c>
      <c r="K134" s="81" t="s">
        <v>3524</v>
      </c>
      <c r="L134" s="308">
        <v>4000</v>
      </c>
      <c r="M134" s="81">
        <v>4200675205</v>
      </c>
      <c r="N134" s="81" t="s">
        <v>249</v>
      </c>
      <c r="O134" s="81" t="s">
        <v>3525</v>
      </c>
      <c r="P134" s="382" t="s">
        <v>1671</v>
      </c>
      <c r="AO134" s="8">
        <v>15</v>
      </c>
    </row>
    <row r="135" spans="1:60">
      <c r="A135" s="5" t="s">
        <v>220</v>
      </c>
      <c r="B135" s="5" t="s">
        <v>3211</v>
      </c>
      <c r="C135" s="103">
        <v>45622</v>
      </c>
      <c r="D135" s="2" t="s">
        <v>3526</v>
      </c>
      <c r="E135" t="s">
        <v>3382</v>
      </c>
      <c r="F135" s="29" t="s">
        <v>223</v>
      </c>
      <c r="G135" s="8" t="s">
        <v>69</v>
      </c>
      <c r="H135" s="30" t="s">
        <v>3527</v>
      </c>
      <c r="I135" s="43">
        <f>IF(SUM(Q135:BA135)=0,"-",SUM(Q135:BA135))</f>
        <v>2</v>
      </c>
      <c r="J135" s="52">
        <f>IF(SUMPRODUCT($Q$5:$BA$5,Q135:BA135)=0,"-",SUMPRODUCT($Q$5:$BA$5,Q135:BA135))</f>
        <v>410</v>
      </c>
      <c r="K135" s="81" t="s">
        <v>481</v>
      </c>
      <c r="L135" s="308" t="s">
        <v>481</v>
      </c>
      <c r="M135" s="81" t="s">
        <v>481</v>
      </c>
      <c r="N135" s="81" t="s">
        <v>481</v>
      </c>
      <c r="O135" s="81" t="s">
        <v>481</v>
      </c>
      <c r="P135" s="81" t="s">
        <v>481</v>
      </c>
      <c r="AO135" s="8">
        <v>1</v>
      </c>
      <c r="AP135" s="8">
        <v>1</v>
      </c>
    </row>
    <row r="136" spans="1:60">
      <c r="A136" s="5" t="s">
        <v>220</v>
      </c>
      <c r="B136" s="5" t="s">
        <v>3211</v>
      </c>
      <c r="C136" s="103">
        <v>45622</v>
      </c>
      <c r="D136" s="55" t="s">
        <v>3528</v>
      </c>
      <c r="E136" t="s">
        <v>3382</v>
      </c>
      <c r="F136" s="29" t="s">
        <v>223</v>
      </c>
      <c r="G136" s="8" t="s">
        <v>69</v>
      </c>
      <c r="H136" s="78" t="s">
        <v>3529</v>
      </c>
      <c r="I136" s="43">
        <f>IF(SUM(Q136:BA136)=0,"-",SUM(Q136:BA136))</f>
        <v>6</v>
      </c>
      <c r="J136" s="52">
        <f>IF(SUMPRODUCT($Q$5:$BA$5,Q136:BA136)=0,"-",SUMPRODUCT($Q$5:$BA$5,Q136:BA136))</f>
        <v>520</v>
      </c>
      <c r="K136" s="81" t="s">
        <v>481</v>
      </c>
      <c r="L136" s="308" t="s">
        <v>481</v>
      </c>
      <c r="M136" s="81" t="s">
        <v>481</v>
      </c>
      <c r="N136" s="81" t="s">
        <v>481</v>
      </c>
      <c r="O136" s="81" t="s">
        <v>481</v>
      </c>
      <c r="P136" s="81" t="s">
        <v>481</v>
      </c>
      <c r="S136" s="8">
        <v>1</v>
      </c>
      <c r="T136" s="8">
        <v>5</v>
      </c>
    </row>
    <row r="137" spans="1:60">
      <c r="A137" s="5" t="s">
        <v>220</v>
      </c>
      <c r="B137" s="5" t="s">
        <v>3211</v>
      </c>
      <c r="C137" s="103">
        <v>45642</v>
      </c>
      <c r="D137" s="55" t="s">
        <v>3530</v>
      </c>
      <c r="E137" t="s">
        <v>3382</v>
      </c>
      <c r="F137" s="29" t="s">
        <v>223</v>
      </c>
      <c r="G137" s="8" t="s">
        <v>69</v>
      </c>
      <c r="H137" s="78" t="s">
        <v>3531</v>
      </c>
      <c r="I137" s="43">
        <f>IF(SUM(Q137:BA137)=0,"-",SUM(Q137:BA137))</f>
        <v>7</v>
      </c>
      <c r="J137" s="52">
        <v>630</v>
      </c>
      <c r="K137" s="81" t="s">
        <v>481</v>
      </c>
      <c r="L137" s="308" t="s">
        <v>481</v>
      </c>
      <c r="M137" s="81" t="s">
        <v>481</v>
      </c>
      <c r="N137" s="81" t="s">
        <v>481</v>
      </c>
      <c r="O137" s="81" t="s">
        <v>481</v>
      </c>
      <c r="P137" s="81" t="s">
        <v>481</v>
      </c>
      <c r="S137" s="8">
        <v>1</v>
      </c>
      <c r="AN137" s="7">
        <v>6</v>
      </c>
    </row>
    <row r="138" spans="1:60">
      <c r="A138" s="5" t="s">
        <v>220</v>
      </c>
      <c r="B138" s="5" t="s">
        <v>3211</v>
      </c>
      <c r="C138" s="103">
        <v>45643</v>
      </c>
      <c r="D138" s="55" t="s">
        <v>3532</v>
      </c>
      <c r="E138" t="s">
        <v>3382</v>
      </c>
      <c r="F138" s="29" t="s">
        <v>223</v>
      </c>
      <c r="G138" s="8" t="s">
        <v>69</v>
      </c>
      <c r="H138" s="78" t="s">
        <v>3533</v>
      </c>
      <c r="I138" s="43">
        <f>IF(SUM(Q138:BA138)=0,"-",SUM(Q138:BA138))</f>
        <v>4</v>
      </c>
      <c r="J138" s="52">
        <f>IF(SUMPRODUCT($Q$5:$BA$5,Q138:BA138)=0,"-",SUMPRODUCT($Q$5:$BA$5,Q138:BA138))</f>
        <v>225</v>
      </c>
      <c r="K138" s="81" t="s">
        <v>481</v>
      </c>
      <c r="L138" s="308" t="s">
        <v>481</v>
      </c>
      <c r="M138" s="81" t="s">
        <v>481</v>
      </c>
      <c r="N138" s="81" t="s">
        <v>481</v>
      </c>
      <c r="O138" s="81" t="s">
        <v>481</v>
      </c>
      <c r="P138" s="81" t="s">
        <v>481</v>
      </c>
      <c r="Q138" s="7">
        <v>1</v>
      </c>
      <c r="R138" s="8">
        <v>3</v>
      </c>
    </row>
    <row r="139" spans="1:60">
      <c r="A139" s="5" t="s">
        <v>220</v>
      </c>
      <c r="B139" s="5" t="s">
        <v>3211</v>
      </c>
      <c r="C139" s="103">
        <v>45643</v>
      </c>
      <c r="D139" s="55" t="s">
        <v>3534</v>
      </c>
      <c r="E139" t="s">
        <v>3382</v>
      </c>
      <c r="F139" s="29" t="s">
        <v>223</v>
      </c>
      <c r="G139" s="8" t="s">
        <v>69</v>
      </c>
      <c r="H139" s="78" t="s">
        <v>3535</v>
      </c>
      <c r="I139" s="43">
        <f>IF(SUM(Q139:BA139)=0,"-",SUM(Q139:BA139))</f>
        <v>1</v>
      </c>
      <c r="J139" s="52">
        <f>IF(SUMPRODUCT($Q$5:$BA$5,Q139:BA139)=0,"-",SUMPRODUCT($Q$5:$BA$5,Q139:BA139))</f>
        <v>220</v>
      </c>
      <c r="K139" s="81" t="s">
        <v>481</v>
      </c>
      <c r="L139" s="308" t="s">
        <v>481</v>
      </c>
      <c r="M139" s="81" t="s">
        <v>481</v>
      </c>
      <c r="N139" s="81" t="s">
        <v>481</v>
      </c>
      <c r="O139" s="81" t="s">
        <v>481</v>
      </c>
      <c r="P139" s="81" t="s">
        <v>481</v>
      </c>
      <c r="S139" s="8">
        <v>1</v>
      </c>
    </row>
    <row r="140" spans="1:60">
      <c r="A140" s="5" t="s">
        <v>220</v>
      </c>
      <c r="B140" s="5" t="s">
        <v>3211</v>
      </c>
      <c r="C140" s="103">
        <v>45670</v>
      </c>
      <c r="D140" s="55" t="s">
        <v>3536</v>
      </c>
      <c r="E140" t="s">
        <v>3382</v>
      </c>
      <c r="F140" s="29" t="s">
        <v>223</v>
      </c>
      <c r="G140" s="8" t="s">
        <v>69</v>
      </c>
      <c r="H140" s="78" t="s">
        <v>3537</v>
      </c>
      <c r="I140" s="43">
        <f>IF(SUM(Q140:BA140)=0,"-",SUM(Q140:BA140))</f>
        <v>1</v>
      </c>
      <c r="J140" s="52">
        <f>IF(SUMPRODUCT($Q$5:$BA$5,Q140:BA140)=0,"-",SUMPRODUCT($Q$5:$BA$5,Q140:BA140))</f>
        <v>220</v>
      </c>
      <c r="K140" s="81" t="s">
        <v>481</v>
      </c>
      <c r="L140" s="308" t="s">
        <v>481</v>
      </c>
      <c r="M140" s="81" t="s">
        <v>481</v>
      </c>
      <c r="N140" s="81" t="s">
        <v>481</v>
      </c>
      <c r="O140" s="81" t="s">
        <v>481</v>
      </c>
      <c r="P140" s="81" t="s">
        <v>481</v>
      </c>
      <c r="S140" s="8">
        <v>1</v>
      </c>
    </row>
    <row r="141" spans="1:60">
      <c r="A141" s="5" t="s">
        <v>220</v>
      </c>
      <c r="B141" s="5" t="s">
        <v>3211</v>
      </c>
      <c r="C141" s="103">
        <v>45685</v>
      </c>
      <c r="D141" s="55" t="s">
        <v>3538</v>
      </c>
      <c r="E141" t="s">
        <v>3382</v>
      </c>
      <c r="F141" s="29" t="s">
        <v>223</v>
      </c>
      <c r="G141" s="8" t="s">
        <v>69</v>
      </c>
      <c r="H141" s="30" t="s">
        <v>3539</v>
      </c>
      <c r="I141" s="43">
        <f>IF(SUM(Q141:BA141)=0,"-",SUM(Q141:BA141))</f>
        <v>9</v>
      </c>
      <c r="J141" s="52">
        <f>IF(SUMPRODUCT($Q$5:$BA$5,Q141:BA141)=0,"-",SUMPRODUCT($Q$5:$BA$5,Q141:BA141))</f>
        <v>400</v>
      </c>
      <c r="K141" s="81" t="s">
        <v>481</v>
      </c>
      <c r="L141" s="308" t="s">
        <v>481</v>
      </c>
      <c r="M141" s="81" t="s">
        <v>481</v>
      </c>
      <c r="N141" s="81" t="s">
        <v>481</v>
      </c>
      <c r="O141" s="81" t="s">
        <v>481</v>
      </c>
      <c r="P141" s="81" t="s">
        <v>481</v>
      </c>
      <c r="Q141" s="7">
        <v>1</v>
      </c>
      <c r="R141" s="8">
        <v>8</v>
      </c>
    </row>
    <row r="142" spans="1:60">
      <c r="A142" s="5" t="s">
        <v>220</v>
      </c>
      <c r="B142" s="5" t="s">
        <v>3211</v>
      </c>
      <c r="C142" s="103">
        <v>45678</v>
      </c>
      <c r="D142" s="55" t="s">
        <v>3540</v>
      </c>
      <c r="E142" t="s">
        <v>3382</v>
      </c>
      <c r="F142" s="29" t="s">
        <v>223</v>
      </c>
      <c r="G142" s="8" t="s">
        <v>69</v>
      </c>
      <c r="H142" s="30" t="s">
        <v>3541</v>
      </c>
      <c r="I142" s="43">
        <f>IF(SUM(Q142:BA142)=0,"-",SUM(Q142:BA142))</f>
        <v>6</v>
      </c>
      <c r="J142" s="52">
        <f>IF(SUMPRODUCT($Q$5:$BA$5,Q142:BA142)=0,"-",SUMPRODUCT($Q$5:$BA$5,Q142:BA142))</f>
        <v>900</v>
      </c>
      <c r="K142" s="81"/>
      <c r="L142" s="308">
        <v>2000</v>
      </c>
      <c r="M142" s="81">
        <v>4200678882</v>
      </c>
      <c r="N142" s="81" t="s">
        <v>249</v>
      </c>
      <c r="O142" s="81" t="s">
        <v>3542</v>
      </c>
      <c r="P142" s="81" t="s">
        <v>1755</v>
      </c>
      <c r="AO142" s="8">
        <v>6</v>
      </c>
    </row>
    <row r="143" spans="1:60">
      <c r="A143" s="5" t="s">
        <v>220</v>
      </c>
      <c r="B143" s="5" t="s">
        <v>3211</v>
      </c>
      <c r="C143" s="103">
        <v>45687</v>
      </c>
      <c r="D143" s="55" t="s">
        <v>3543</v>
      </c>
      <c r="E143" t="s">
        <v>3382</v>
      </c>
      <c r="F143" s="29" t="s">
        <v>223</v>
      </c>
      <c r="G143" s="8" t="s">
        <v>69</v>
      </c>
      <c r="H143" s="30" t="s">
        <v>3544</v>
      </c>
      <c r="I143" s="43">
        <f>IF(SUM(Q143:BA143)=0,"-",SUM(Q143:BA143))</f>
        <v>1006</v>
      </c>
      <c r="J143" s="52">
        <f>IF(SUMPRODUCT($Q$5:$BA$5,Q143:BA143)=0,"-",SUMPRODUCT($Q$5:$BA$5,Q143:BA143))</f>
        <v>2758</v>
      </c>
      <c r="K143" s="81"/>
      <c r="L143" s="308">
        <v>4050</v>
      </c>
      <c r="M143" s="81">
        <v>4200679662</v>
      </c>
      <c r="N143" s="81" t="s">
        <v>249</v>
      </c>
      <c r="O143" s="81" t="s">
        <v>3545</v>
      </c>
      <c r="P143" s="81" t="s">
        <v>3546</v>
      </c>
      <c r="Q143" s="7">
        <v>2</v>
      </c>
      <c r="R143" s="8">
        <v>48</v>
      </c>
      <c r="S143" s="8">
        <v>2</v>
      </c>
      <c r="T143" s="8">
        <v>2</v>
      </c>
      <c r="AW143" s="403">
        <v>2</v>
      </c>
      <c r="AY143" s="403">
        <v>950</v>
      </c>
    </row>
    <row r="144" spans="1:60">
      <c r="A144" s="5" t="s">
        <v>220</v>
      </c>
      <c r="B144" s="5" t="s">
        <v>3211</v>
      </c>
      <c r="C144" s="103">
        <v>45698</v>
      </c>
      <c r="D144" s="55" t="s">
        <v>3547</v>
      </c>
      <c r="E144" t="s">
        <v>3382</v>
      </c>
      <c r="F144" s="29" t="s">
        <v>223</v>
      </c>
      <c r="G144" s="8" t="s">
        <v>69</v>
      </c>
      <c r="I144" s="43">
        <f>IF(SUM(Q144:BA144)=0,"-",SUM(Q144:BA144))</f>
        <v>5002</v>
      </c>
      <c r="J144" s="52">
        <f>IF(SUMPRODUCT($Q$5:$BA$5,Q144:BA144)=0,"-",SUMPRODUCT($Q$5:$BA$5,Q144:BA144))</f>
        <v>440</v>
      </c>
      <c r="K144" s="81" t="s">
        <v>481</v>
      </c>
      <c r="L144" s="308" t="s">
        <v>481</v>
      </c>
      <c r="M144" s="81" t="s">
        <v>481</v>
      </c>
      <c r="N144" s="81" t="s">
        <v>481</v>
      </c>
      <c r="O144" s="81" t="s">
        <v>481</v>
      </c>
      <c r="P144" s="81" t="s">
        <v>481</v>
      </c>
      <c r="AW144" s="403">
        <v>2</v>
      </c>
      <c r="AY144" s="403">
        <v>5000</v>
      </c>
    </row>
    <row r="145" spans="1:43">
      <c r="A145" s="5" t="s">
        <v>220</v>
      </c>
      <c r="B145" s="5" t="s">
        <v>3211</v>
      </c>
      <c r="C145" s="103">
        <v>45700</v>
      </c>
      <c r="D145" s="55" t="s">
        <v>3548</v>
      </c>
      <c r="E145" t="s">
        <v>3382</v>
      </c>
      <c r="F145" s="29" t="s">
        <v>223</v>
      </c>
      <c r="G145" s="8" t="s">
        <v>69</v>
      </c>
      <c r="I145" s="43">
        <f>IF(SUM(Q145:BA145)=0,"-",SUM(Q145:BA145))</f>
        <v>1</v>
      </c>
      <c r="J145" s="52">
        <f>IF(SUMPRODUCT($Q$5:$BA$5,Q145:BA145)=0,"-",SUMPRODUCT($Q$5:$BA$5,Q145:BA145))</f>
        <v>360</v>
      </c>
      <c r="K145" s="81" t="s">
        <v>481</v>
      </c>
      <c r="L145" s="308" t="s">
        <v>481</v>
      </c>
      <c r="M145" s="81" t="s">
        <v>481</v>
      </c>
      <c r="N145" s="81" t="s">
        <v>481</v>
      </c>
      <c r="O145" s="81" t="s">
        <v>481</v>
      </c>
      <c r="P145" s="81" t="s">
        <v>481</v>
      </c>
      <c r="AQ145" s="8">
        <v>1</v>
      </c>
    </row>
    <row r="146" spans="1:43">
      <c r="D146" s="55"/>
      <c r="J146" s="407"/>
      <c r="L146" s="408"/>
    </row>
    <row r="148" spans="1:43">
      <c r="K148" s="339"/>
      <c r="L148" s="417"/>
    </row>
  </sheetData>
  <autoFilter ref="A5:BA145" xr:uid="{EF6D707C-BDD5-416B-AAF3-2924671B11B3}"/>
  <mergeCells count="9">
    <mergeCell ref="AY3:BA3"/>
    <mergeCell ref="AW3:AX3"/>
    <mergeCell ref="AN3:AT3"/>
    <mergeCell ref="AU3:AV3"/>
    <mergeCell ref="A4:D4"/>
    <mergeCell ref="E4:N4"/>
    <mergeCell ref="Q3:W3"/>
    <mergeCell ref="X3:AF3"/>
    <mergeCell ref="AH3:AM3"/>
  </mergeCells>
  <hyperlinks>
    <hyperlink ref="H7" r:id="rId1" xr:uid="{D3D1913D-C72E-4F51-85EB-4D9458067AD2}"/>
    <hyperlink ref="H8" r:id="rId2" xr:uid="{249B775C-68EB-43CC-B30D-2EB1344E1FCD}"/>
    <hyperlink ref="H9" r:id="rId3" xr:uid="{BB3520E7-6D4A-4B0A-AA31-F866142468B5}"/>
    <hyperlink ref="H10" r:id="rId4" xr:uid="{289BAF71-06DC-47CF-9435-4FCB719F4581}"/>
    <hyperlink ref="H14" r:id="rId5" xr:uid="{07F409ED-1338-48DD-9706-759BF5249FC4}"/>
    <hyperlink ref="H15" r:id="rId6" xr:uid="{975F80E8-68D4-418D-A914-7089EB619314}"/>
    <hyperlink ref="H16" r:id="rId7" xr:uid="{0621AA42-A326-429A-A71D-2B1B2DB9ABFF}"/>
    <hyperlink ref="H17" r:id="rId8" xr:uid="{C612DE15-382D-4549-BBB5-38A3C24F92C1}"/>
    <hyperlink ref="H11" r:id="rId9" xr:uid="{79AD09DF-E1B7-408C-A924-12B6C68415A8}"/>
    <hyperlink ref="H12" r:id="rId10" xr:uid="{0E8CF26C-DFDE-4987-A955-15458A5CA1B0}"/>
    <hyperlink ref="H6" r:id="rId11" xr:uid="{1624922E-D0AA-47C7-9CDC-4B12214E88CC}"/>
    <hyperlink ref="H13" r:id="rId12" xr:uid="{2E785ED3-038E-4B00-B4A7-AA577A3DBCF0}"/>
    <hyperlink ref="H18" r:id="rId13" xr:uid="{C43BDC47-8E6E-4592-82F1-33CBADB0B097}"/>
    <hyperlink ref="H19" r:id="rId14" xr:uid="{9050C376-700D-42C5-9A50-353FA86ACA0E}"/>
    <hyperlink ref="H22" r:id="rId15" xr:uid="{7C3B1670-797E-4B30-864C-9CEF2126D011}"/>
    <hyperlink ref="H23" r:id="rId16" xr:uid="{2A2B6879-E309-477E-94F7-11796D10F50A}"/>
    <hyperlink ref="H24" r:id="rId17" xr:uid="{C65B8BEC-A5AF-4240-BE09-4F500101A115}"/>
    <hyperlink ref="H25" r:id="rId18" xr:uid="{EAF42F8A-6519-4D62-8D8B-61B66EA24A34}"/>
    <hyperlink ref="H26" r:id="rId19" xr:uid="{874D0E23-EB05-4AAC-B5F0-7A7601BD70F6}"/>
    <hyperlink ref="H27" r:id="rId20" xr:uid="{252DF9AA-2101-458A-A41C-38AF71362F60}"/>
    <hyperlink ref="H28" r:id="rId21" xr:uid="{424021DF-53AD-432B-984C-A9A6D9714995}"/>
    <hyperlink ref="H29" r:id="rId22" xr:uid="{0B2F836C-40A4-426E-B579-B46ADC359C83}"/>
    <hyperlink ref="H30" r:id="rId23" xr:uid="{6E634ED8-7B14-4A23-9E5B-9B5DFEDC4352}"/>
    <hyperlink ref="H32" r:id="rId24" xr:uid="{DD1F8C81-B876-4B61-9719-99C2D5FAD054}"/>
    <hyperlink ref="H31" r:id="rId25" xr:uid="{0B1F3CEA-5233-4254-9738-9F276BBDDADD}"/>
    <hyperlink ref="H33" r:id="rId26" xr:uid="{E9181333-FF07-4F6F-95C0-A83A26C9AC40}"/>
    <hyperlink ref="H34" r:id="rId27" xr:uid="{3F98FC4D-89CB-4FA2-B810-4EE4952A48C2}"/>
    <hyperlink ref="H35" r:id="rId28" xr:uid="{A5497B6E-3C55-4AAB-ACF3-7B073A3B3169}"/>
    <hyperlink ref="H36" r:id="rId29" xr:uid="{4E2A44C8-56F8-45F2-B7AC-C1EBC960F634}"/>
    <hyperlink ref="H37" r:id="rId30" xr:uid="{7BB24F85-25BD-476A-8A77-076220963799}"/>
    <hyperlink ref="H38" r:id="rId31" xr:uid="{54EEA0E0-F25F-422B-8173-C3A2155E7F0A}"/>
    <hyperlink ref="H40" r:id="rId32" xr:uid="{50F3974C-42E6-4E63-BE7B-45E9739419E9}"/>
    <hyperlink ref="H41" r:id="rId33" xr:uid="{DC065877-C588-4EBA-BC02-F3F08E018D53}"/>
    <hyperlink ref="H42" r:id="rId34" xr:uid="{D1B78349-5E68-4B3B-BC3F-40BC62128447}"/>
    <hyperlink ref="H43" r:id="rId35" xr:uid="{5D80E784-CDD6-42A8-A925-94C0A681463B}"/>
    <hyperlink ref="H44" r:id="rId36" xr:uid="{734ABD0C-5FD0-40F9-A8BA-D7CCCDBA90C6}"/>
    <hyperlink ref="H45" r:id="rId37" xr:uid="{56A6826A-38EA-4209-86C6-EBC7EFCEF65E}"/>
    <hyperlink ref="H47" r:id="rId38" xr:uid="{A05FA8BB-8B25-4DFA-A40F-F240729EC76E}"/>
    <hyperlink ref="H39" r:id="rId39" xr:uid="{2824FF75-5D25-4019-87DA-EB8DB54288A1}"/>
    <hyperlink ref="H48" r:id="rId40" xr:uid="{9ACC9706-79DE-4292-9162-5317B87EBF52}"/>
    <hyperlink ref="H49" r:id="rId41" xr:uid="{F5BE3D3C-67AE-4B77-8B5E-7E323C9DE4C4}"/>
    <hyperlink ref="H46" r:id="rId42" xr:uid="{D75078AD-6E3C-4610-8553-D1871DFC3F8C}"/>
    <hyperlink ref="H50" r:id="rId43" xr:uid="{BAD5E4ED-80DF-488F-98F7-45A57FA851A1}"/>
    <hyperlink ref="H51" r:id="rId44" xr:uid="{06776D59-66E4-4A03-ABE5-A37B0C035D4C}"/>
    <hyperlink ref="H52" r:id="rId45" xr:uid="{2518710E-A0CD-46CB-BD79-C46B06778C40}"/>
    <hyperlink ref="H53" r:id="rId46" xr:uid="{69E4F0CE-2DF3-46D4-9714-A2BA4E8AB9B6}"/>
    <hyperlink ref="H54" r:id="rId47" xr:uid="{B78A1AA7-1F8E-4F4E-AEBF-DD409D6D6CB2}"/>
    <hyperlink ref="H55" r:id="rId48" xr:uid="{C9758170-DAB3-4E5D-96A6-58EAE6FDFFF5}"/>
    <hyperlink ref="H56" r:id="rId49" xr:uid="{5B33A28F-0090-4C52-A0A4-A27B8E88479D}"/>
    <hyperlink ref="H58" r:id="rId50" xr:uid="{01D69C67-1877-4D61-832C-A07948191733}"/>
    <hyperlink ref="H59" r:id="rId51" xr:uid="{C25739F0-FF8A-4BD2-BE60-311518595889}"/>
    <hyperlink ref="H64" r:id="rId52" xr:uid="{DC7963B1-7ECC-4A41-8A96-2FCE4F64A39D}"/>
    <hyperlink ref="H63" r:id="rId53" xr:uid="{07217FA6-3A57-4045-A8E3-54F73B17BCFB}"/>
    <hyperlink ref="H62" r:id="rId54" xr:uid="{033238E1-EB9A-48BC-8B7F-0D7EF81D2023}"/>
    <hyperlink ref="H61" r:id="rId55" xr:uid="{54ED22EF-CF00-4BED-8DB8-3C727CAA0A50}"/>
    <hyperlink ref="H65" r:id="rId56" xr:uid="{82ED8ED6-FFE0-4BFB-AC76-00428F429485}"/>
    <hyperlink ref="H66" r:id="rId57" xr:uid="{7860798A-7ECD-4678-BCB7-FFE47D5C03C2}"/>
    <hyperlink ref="H68" r:id="rId58" xr:uid="{13405719-9873-4FAC-8D19-D24C925CED17}"/>
    <hyperlink ref="H72" r:id="rId59" xr:uid="{EB42973C-F587-42A3-B118-C3C581733FE8}"/>
    <hyperlink ref="H60" r:id="rId60" xr:uid="{9453DBC1-F403-4594-B9B9-1BF4E76B1164}"/>
    <hyperlink ref="H75" r:id="rId61" xr:uid="{503447FA-D5C8-4813-927B-02A5A5D57196}"/>
    <hyperlink ref="H74" r:id="rId62" xr:uid="{96E05959-2A0C-47D2-93AB-C50C9393B40A}"/>
    <hyperlink ref="H71" r:id="rId63" xr:uid="{19714B98-11A0-4512-B02A-C66643348989}"/>
    <hyperlink ref="H73" r:id="rId64" xr:uid="{0C9585DC-4FBC-4335-9910-981EDAF8A037}"/>
    <hyperlink ref="H76" r:id="rId65" xr:uid="{7D5687E7-93FC-48FE-BBBA-8AC5DD4C8735}"/>
    <hyperlink ref="H77" r:id="rId66" xr:uid="{6A53D998-AE66-4B44-A8AC-2758847BBDB3}"/>
    <hyperlink ref="H78" r:id="rId67" xr:uid="{22F61A75-C2DD-4D0C-A747-DAA7D6737656}"/>
    <hyperlink ref="H79" r:id="rId68" xr:uid="{782FB9F6-06E1-4757-B4C1-89EE3E3610FD}"/>
    <hyperlink ref="H80" r:id="rId69" xr:uid="{C73CBA55-637A-4564-94EF-D2D6D1779308}"/>
    <hyperlink ref="H81" r:id="rId70" xr:uid="{1D9E3C49-B208-422B-8195-3F2F28E07819}"/>
    <hyperlink ref="H83" r:id="rId71" xr:uid="{27D140B1-DC76-4CE2-8B9E-7FA8FB9BF1F7}"/>
    <hyperlink ref="H82" r:id="rId72" xr:uid="{2064C52C-9375-49D0-8AC7-EC3CB4B54150}"/>
    <hyperlink ref="H20" r:id="rId73" xr:uid="{49AFEC9F-B52A-4866-9A52-82CDE29E02A5}"/>
    <hyperlink ref="H21" r:id="rId74" xr:uid="{15ABADBC-D8CA-4E5F-B956-F0D0CAEAAE70}"/>
    <hyperlink ref="H57" r:id="rId75" xr:uid="{C05D0FA6-58B6-4985-9F0B-3770D397532D}"/>
    <hyperlink ref="H69" r:id="rId76" xr:uid="{57A3531D-33BC-45C4-89DE-EFF6B5F86A63}"/>
    <hyperlink ref="H85" r:id="rId77" xr:uid="{C8FD0A5D-E3BC-46B2-A411-8D5A84A9CBBD}"/>
    <hyperlink ref="H70" r:id="rId78" xr:uid="{DDFF872B-5144-4F37-9BA4-065B84104037}"/>
    <hyperlink ref="H86" r:id="rId79" xr:uid="{43E06043-98C6-45C3-8519-C62FE801D2FF}"/>
    <hyperlink ref="H84" r:id="rId80" xr:uid="{4238952B-3716-414A-86AA-26F464C525D0}"/>
    <hyperlink ref="K60" r:id="rId81" xr:uid="{C91B51C0-CF9B-433A-8DBE-A69F72E73584}"/>
    <hyperlink ref="K86" r:id="rId82" xr:uid="{923CA4B7-8201-4984-8BEB-AD7B22F9B353}"/>
    <hyperlink ref="K80" r:id="rId83" xr:uid="{255CF035-B24E-4FB4-ACF6-2806A4B51DEE}"/>
    <hyperlink ref="K83" r:id="rId84" xr:uid="{DD0AA310-099D-481F-BA7A-C23E1053AF92}"/>
    <hyperlink ref="K82" r:id="rId85" xr:uid="{27B42B66-80FE-4D5D-B101-E1D3648107CE}"/>
    <hyperlink ref="H87" r:id="rId86" xr:uid="{D8062307-B86B-449A-9E0C-4CA1F67B65B1}"/>
    <hyperlink ref="H88" r:id="rId87" xr:uid="{D8EAA24D-6FD0-4970-B73D-098B254F2D0F}"/>
    <hyperlink ref="H89" r:id="rId88" xr:uid="{3F7801FA-1924-4383-A108-0C8B5DBDDF8E}"/>
    <hyperlink ref="H90" r:id="rId89" xr:uid="{3AB75BF4-EFEF-4F1E-AC5B-7A599B2F9C8A}"/>
    <hyperlink ref="H91" r:id="rId90" xr:uid="{2C3AF247-93CF-43B7-85C1-F829BD57C5CB}"/>
    <hyperlink ref="H92" r:id="rId91" xr:uid="{1FC24AD4-3A26-4A3E-8F7D-381AB3AF00B7}"/>
    <hyperlink ref="H93" r:id="rId92" xr:uid="{52E67825-63F6-4BF1-A414-4B783E99B592}"/>
    <hyperlink ref="H94" r:id="rId93" xr:uid="{CCCA6103-6FE6-4DBC-AADD-15F55657DC3C}"/>
    <hyperlink ref="H95" r:id="rId94" xr:uid="{300A820E-39F2-48BB-B1B3-8B0339053E0D}"/>
    <hyperlink ref="H96" r:id="rId95" xr:uid="{18292AE2-98F2-4DD3-AD88-E41131BBF6AE}"/>
    <hyperlink ref="H97" r:id="rId96" xr:uid="{0FD2674D-7457-490F-893B-635147A37A80}"/>
    <hyperlink ref="H98" r:id="rId97" xr:uid="{E0103CFD-205A-4E54-AF58-BC1245D6D8C5}"/>
    <hyperlink ref="H99" r:id="rId98" xr:uid="{4DE545CC-1118-4274-8B50-87772354D421}"/>
    <hyperlink ref="H103" r:id="rId99" xr:uid="{640C5AEE-5F56-4051-B375-51DDDB21F612}"/>
    <hyperlink ref="H100" r:id="rId100" xr:uid="{7CF3B524-D821-4812-A096-54A11F35BE61}"/>
    <hyperlink ref="H102" r:id="rId101" xr:uid="{14FF97A0-8495-4BD1-B2C6-5F5D46210736}"/>
    <hyperlink ref="H104" r:id="rId102" xr:uid="{D5DA66F2-A7BE-41FC-A1C7-894287E851A5}"/>
    <hyperlink ref="K96" r:id="rId103" xr:uid="{11C8F178-A481-48A9-8749-BE99A7B36370}"/>
    <hyperlink ref="H105" r:id="rId104" xr:uid="{D4F3D9EA-660B-444F-A7AC-7D0EF0C3F9EA}"/>
    <hyperlink ref="H106" r:id="rId105" xr:uid="{9D2253EE-044E-46F7-AF8B-B4FC791F16EF}"/>
    <hyperlink ref="H107" r:id="rId106" xr:uid="{1371AC7A-9A21-4C01-8CBC-03A7CB545534}"/>
    <hyperlink ref="H108" r:id="rId107" xr:uid="{FC2CAB70-D2A4-4170-9246-4A41CC82B9CD}"/>
    <hyperlink ref="H109" r:id="rId108" xr:uid="{22F7DE12-4F7B-408C-950E-323398601D30}"/>
    <hyperlink ref="K105" r:id="rId109" xr:uid="{0F88608F-4089-4DF2-92C3-79DD7538F9C6}"/>
    <hyperlink ref="K107" r:id="rId110" xr:uid="{DB923181-C539-4B9F-9C68-E3B666C06970}"/>
    <hyperlink ref="K106" r:id="rId111" xr:uid="{E0E4A88B-27F9-40C6-A918-DE0A77107E00}"/>
    <hyperlink ref="K103" r:id="rId112" xr:uid="{6A6DB343-5BA7-4838-A6F2-620DC2842F37}"/>
    <hyperlink ref="K104" r:id="rId113" xr:uid="{4E695715-48F5-489E-AF69-633A020F9814}"/>
    <hyperlink ref="H111" r:id="rId114" xr:uid="{D555E94A-8BD6-4D2A-97D5-170A741BF03D}"/>
    <hyperlink ref="K111" r:id="rId115" xr:uid="{E0418BE7-9454-4D94-985C-F4DD52F487CC}"/>
    <hyperlink ref="H112" r:id="rId116" xr:uid="{D5A63A40-F5CE-4772-9F20-BB95F157AB31}"/>
    <hyperlink ref="H113" r:id="rId117" xr:uid="{10368190-D9D7-4435-819C-C2A664BB390E}"/>
    <hyperlink ref="H114" r:id="rId118" xr:uid="{F0F765E8-63E3-45EE-9ADC-39D0BA02AB5A}"/>
    <hyperlink ref="H115" r:id="rId119" xr:uid="{9747D392-8E91-428D-82F8-EE62626048FD}"/>
    <hyperlink ref="H116" r:id="rId120" xr:uid="{05A7C61B-7C0B-42FB-BB38-B4D35CB3568C}"/>
    <hyperlink ref="H117" r:id="rId121" xr:uid="{4A803690-F0F4-40B8-828C-870FA0C4C0AC}"/>
    <hyperlink ref="H118" r:id="rId122" xr:uid="{D9F913AF-1B54-49DB-B1DF-1646092F4E8E}"/>
    <hyperlink ref="H119" r:id="rId123" xr:uid="{BF371702-AD8B-49CE-A8FD-6EE0D9E0CA70}"/>
    <hyperlink ref="H120" r:id="rId124" xr:uid="{5136DD24-580F-4D0A-9D67-B7FC773473D8}"/>
    <hyperlink ref="H121" r:id="rId125" xr:uid="{D43C1D6E-BB58-4717-A977-E8706BB7DDED}"/>
    <hyperlink ref="H122" r:id="rId126" xr:uid="{82763261-74B1-49EE-A338-E84B1A898BBF}"/>
    <hyperlink ref="H125" r:id="rId127" xr:uid="{0E390F0B-B172-47C2-8853-A1642E5956B7}"/>
    <hyperlink ref="H127" r:id="rId128" xr:uid="{AB889463-0B0C-401C-9FCD-DF3B2ED1C753}"/>
    <hyperlink ref="H124" r:id="rId129" xr:uid="{7F095F2F-9D44-4ED1-BF52-B6DA0F2AA5BF}"/>
    <hyperlink ref="H128" r:id="rId130" xr:uid="{A4BEB85D-5BC2-4960-9704-65B75B1FBEB9}"/>
    <hyperlink ref="H129" r:id="rId131" xr:uid="{52D6DF4B-2075-42EE-8BE6-F1CFE24CFEC1}"/>
    <hyperlink ref="H131" r:id="rId132" xr:uid="{011D3FA5-CAF4-4AAA-A49C-042F80AF3FF3}"/>
    <hyperlink ref="H130" r:id="rId133" xr:uid="{9F13F109-599A-4775-A7CE-1641A9F2A238}"/>
    <hyperlink ref="H132" r:id="rId134" xr:uid="{286B8B0C-FD41-4193-B1B2-597EB383792C}"/>
    <hyperlink ref="K129" r:id="rId135" xr:uid="{AFBD45B2-2BCF-4D22-8E83-58FF39B85459}"/>
    <hyperlink ref="H133" r:id="rId136" xr:uid="{8DFAB8E0-4A52-4EB0-AFF3-AE00EE3CDBDE}"/>
    <hyperlink ref="H134" r:id="rId137" xr:uid="{814A3170-09BB-4332-AF0C-EE1141E81CB0}"/>
    <hyperlink ref="K130" r:id="rId138" xr:uid="{55BB90F7-2719-4259-A026-2573A4020458}"/>
    <hyperlink ref="K131" r:id="rId139" xr:uid="{5C27D280-6E37-44DD-873B-D04D459DF27D}"/>
    <hyperlink ref="K134" r:id="rId140" xr:uid="{36D01AF4-DDFC-4A35-80CF-1CFCE5C97C2E}"/>
    <hyperlink ref="H135" r:id="rId141" xr:uid="{4762FF25-7547-4CF6-B49D-C80208CC4088}"/>
    <hyperlink ref="H136" r:id="rId142" xr:uid="{CD58FE25-4F48-4338-BEBB-553EADC27B2E}"/>
    <hyperlink ref="H137" r:id="rId143" xr:uid="{4C34B031-6643-4C62-9625-A2B5118FD8FD}"/>
    <hyperlink ref="H138" r:id="rId144" xr:uid="{4377C112-2CF8-48FA-9E02-863B028B3FFB}"/>
    <hyperlink ref="H139" r:id="rId145" xr:uid="{FCAB0F9F-D0E4-410B-94D9-790F18C4E57A}"/>
    <hyperlink ref="K133" r:id="rId146" xr:uid="{8AB65FFE-81F7-4E7F-8279-E494E2D8E8D9}"/>
    <hyperlink ref="H140" r:id="rId147" xr:uid="{CEB44AC2-581D-4A66-AF6E-F20FF5EA2EC2}"/>
    <hyperlink ref="H142" r:id="rId148" xr:uid="{50BA1AF5-67D0-4EA0-A132-B84466178AA6}"/>
    <hyperlink ref="H141" r:id="rId149" xr:uid="{AADF01B1-4EBA-4308-A18D-FDD584F877A9}"/>
    <hyperlink ref="H143" r:id="rId150" xr:uid="{95FD95A7-15F0-4D50-A874-DAE65AAA8870}"/>
  </hyperlink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F32FC-7DCC-4168-8381-6126D5C18D16}">
  <dimension ref="A1:BP10"/>
  <sheetViews>
    <sheetView workbookViewId="0">
      <pane xSplit="4" ySplit="3" topLeftCell="E4" activePane="bottomRight" state="frozen"/>
      <selection pane="bottomRight" activeCell="D6" sqref="D6:E6"/>
      <selection pane="bottomLeft" activeCell="A4" sqref="A4"/>
      <selection pane="topRight" activeCell="E1" sqref="E1"/>
    </sheetView>
  </sheetViews>
  <sheetFormatPr defaultColWidth="11.5703125" defaultRowHeight="15"/>
  <cols>
    <col min="1" max="1" width="9" style="5" customWidth="1"/>
    <col min="2" max="2" width="8" style="5" customWidth="1"/>
    <col min="3" max="3" width="11.42578125" style="5" bestFit="1" customWidth="1"/>
    <col min="4" max="4" width="49.85546875" style="6" customWidth="1"/>
    <col min="5" max="5" width="20" style="5" customWidth="1"/>
    <col min="6" max="6" width="10.42578125" style="8" customWidth="1"/>
    <col min="7" max="7" width="10.28515625" style="8" customWidth="1"/>
    <col min="8" max="8" width="16.28515625" style="5" customWidth="1"/>
    <col min="9" max="9" width="9.140625" style="8"/>
    <col min="10" max="10" width="10.42578125" style="34" customWidth="1"/>
    <col min="11" max="11" width="11.85546875" style="8" customWidth="1"/>
    <col min="12" max="12" width="11.85546875" style="339" customWidth="1"/>
    <col min="13" max="13" width="12.28515625" style="8" customWidth="1"/>
    <col min="14" max="15" width="11.28515625" style="8" customWidth="1"/>
    <col min="16" max="16" width="26.42578125" style="138" customWidth="1"/>
    <col min="17" max="18" width="15.5703125" style="7" customWidth="1"/>
    <col min="19" max="19" width="16.5703125" style="8" customWidth="1"/>
    <col min="20" max="20" width="15.5703125" style="8" customWidth="1"/>
    <col min="21" max="21" width="18.7109375" style="8" customWidth="1"/>
    <col min="22" max="24" width="15.5703125" style="8" customWidth="1"/>
    <col min="25" max="25" width="15.5703125" style="7" customWidth="1"/>
    <col min="26" max="26" width="16.5703125" style="8" customWidth="1"/>
    <col min="27" max="27" width="15.5703125" style="8" customWidth="1"/>
    <col min="28" max="28" width="18.7109375" style="8" customWidth="1"/>
    <col min="29" max="31" width="15.5703125" style="8" customWidth="1"/>
    <col min="32" max="32" width="15.5703125" style="7" customWidth="1"/>
    <col min="33" max="40" width="15.5703125" style="8" customWidth="1"/>
    <col min="41" max="42" width="15.5703125" style="7" customWidth="1"/>
    <col min="43" max="47" width="15.5703125" style="8" customWidth="1"/>
    <col min="48" max="48" width="15.5703125" style="7" customWidth="1"/>
    <col min="49" max="54" width="15.5703125" style="8" customWidth="1"/>
    <col min="55" max="55" width="15.5703125" style="7" customWidth="1"/>
    <col min="56" max="58" width="15.5703125" style="8" customWidth="1"/>
    <col min="59" max="59" width="15.5703125" style="403" customWidth="1"/>
    <col min="60" max="61" width="15.5703125" style="8" customWidth="1"/>
    <col min="62" max="62" width="16.42578125" style="9" customWidth="1"/>
    <col min="63" max="63" width="16.42578125" style="5" customWidth="1"/>
    <col min="64" max="16384" width="11.5703125" style="5"/>
  </cols>
  <sheetData>
    <row r="1" spans="1:68" s="2" customFormat="1">
      <c r="A1" s="10" t="s">
        <v>165</v>
      </c>
      <c r="B1" s="10"/>
      <c r="C1" s="10"/>
      <c r="D1" s="11"/>
      <c r="E1" s="10"/>
      <c r="F1" s="1"/>
      <c r="G1" s="1"/>
      <c r="H1" s="10"/>
      <c r="I1" s="1"/>
      <c r="J1" s="31"/>
      <c r="K1" s="1"/>
      <c r="L1" s="334"/>
      <c r="M1" s="1"/>
      <c r="N1" s="1"/>
      <c r="O1" s="1"/>
      <c r="P1" s="209"/>
      <c r="Q1" s="526" t="s">
        <v>3549</v>
      </c>
      <c r="R1" s="526"/>
      <c r="S1" s="526"/>
      <c r="T1" s="526"/>
      <c r="U1" s="526"/>
      <c r="V1" s="526"/>
      <c r="W1" s="526"/>
      <c r="X1" s="526"/>
      <c r="Y1" s="526" t="s">
        <v>166</v>
      </c>
      <c r="Z1" s="526"/>
      <c r="AA1" s="526"/>
      <c r="AB1" s="526"/>
      <c r="AC1" s="526"/>
      <c r="AD1" s="526"/>
      <c r="AE1" s="526"/>
      <c r="AF1" s="526" t="s">
        <v>167</v>
      </c>
      <c r="AG1" s="526"/>
      <c r="AH1" s="526"/>
      <c r="AI1" s="526"/>
      <c r="AJ1" s="526"/>
      <c r="AK1" s="526"/>
      <c r="AL1" s="526"/>
      <c r="AM1" s="526"/>
      <c r="AN1" s="526"/>
      <c r="AO1" s="12" t="s">
        <v>168</v>
      </c>
      <c r="AP1" s="526" t="s">
        <v>169</v>
      </c>
      <c r="AQ1" s="526"/>
      <c r="AR1" s="526"/>
      <c r="AS1" s="526"/>
      <c r="AT1" s="526"/>
      <c r="AU1" s="526"/>
      <c r="AV1" s="526" t="s">
        <v>170</v>
      </c>
      <c r="AW1" s="526"/>
      <c r="AX1" s="526"/>
      <c r="AY1" s="526"/>
      <c r="AZ1" s="526"/>
      <c r="BA1" s="526"/>
      <c r="BB1" s="526"/>
      <c r="BC1" s="526" t="s">
        <v>171</v>
      </c>
      <c r="BD1" s="526"/>
      <c r="BE1" s="526" t="s">
        <v>3205</v>
      </c>
      <c r="BF1" s="526"/>
      <c r="BG1" s="526" t="s">
        <v>172</v>
      </c>
      <c r="BH1" s="526"/>
      <c r="BI1" s="531"/>
      <c r="BJ1" s="3"/>
    </row>
    <row r="2" spans="1:68" s="28" customFormat="1" ht="45.75">
      <c r="A2" s="527" t="s">
        <v>11</v>
      </c>
      <c r="B2" s="527"/>
      <c r="C2" s="527"/>
      <c r="D2" s="527"/>
      <c r="E2" s="527" t="s">
        <v>173</v>
      </c>
      <c r="F2" s="527"/>
      <c r="G2" s="527"/>
      <c r="H2" s="527"/>
      <c r="I2" s="527"/>
      <c r="J2" s="527"/>
      <c r="K2" s="527"/>
      <c r="L2" s="527"/>
      <c r="M2" s="527"/>
      <c r="N2" s="535"/>
      <c r="O2" s="25"/>
      <c r="P2" s="25"/>
      <c r="Q2" s="40" t="s">
        <v>3550</v>
      </c>
      <c r="R2" s="40" t="s">
        <v>3551</v>
      </c>
      <c r="S2" s="41" t="s">
        <v>3552</v>
      </c>
      <c r="T2" s="383" t="s">
        <v>3553</v>
      </c>
      <c r="U2" s="383" t="s">
        <v>3554</v>
      </c>
      <c r="V2" s="383" t="s">
        <v>3555</v>
      </c>
      <c r="W2" s="25" t="s">
        <v>3556</v>
      </c>
      <c r="X2" s="25" t="s">
        <v>180</v>
      </c>
      <c r="Y2" s="24" t="s">
        <v>174</v>
      </c>
      <c r="Z2" s="25" t="s">
        <v>175</v>
      </c>
      <c r="AA2" s="25" t="s">
        <v>176</v>
      </c>
      <c r="AB2" s="25" t="s">
        <v>177</v>
      </c>
      <c r="AC2" s="25" t="s">
        <v>178</v>
      </c>
      <c r="AD2" s="25" t="s">
        <v>179</v>
      </c>
      <c r="AE2" s="25" t="s">
        <v>180</v>
      </c>
      <c r="AF2" s="24" t="s">
        <v>181</v>
      </c>
      <c r="AG2" s="24" t="s">
        <v>182</v>
      </c>
      <c r="AH2" s="25" t="s">
        <v>183</v>
      </c>
      <c r="AI2" s="25" t="s">
        <v>184</v>
      </c>
      <c r="AJ2" s="41" t="s">
        <v>185</v>
      </c>
      <c r="AK2" s="41" t="s">
        <v>186</v>
      </c>
      <c r="AL2" s="25" t="s">
        <v>187</v>
      </c>
      <c r="AM2" s="25" t="s">
        <v>188</v>
      </c>
      <c r="AN2" s="25" t="s">
        <v>189</v>
      </c>
      <c r="AO2" s="24" t="s">
        <v>190</v>
      </c>
      <c r="AP2" s="40" t="s">
        <v>191</v>
      </c>
      <c r="AQ2" s="41" t="s">
        <v>192</v>
      </c>
      <c r="AR2" s="25" t="s">
        <v>193</v>
      </c>
      <c r="AS2" s="25" t="s">
        <v>194</v>
      </c>
      <c r="AT2" s="25" t="s">
        <v>195</v>
      </c>
      <c r="AU2" s="25" t="s">
        <v>196</v>
      </c>
      <c r="AV2" s="24" t="s">
        <v>197</v>
      </c>
      <c r="AW2" s="25" t="s">
        <v>1194</v>
      </c>
      <c r="AX2" s="41" t="s">
        <v>199</v>
      </c>
      <c r="AY2" s="41" t="s">
        <v>200</v>
      </c>
      <c r="AZ2" s="25" t="s">
        <v>201</v>
      </c>
      <c r="BA2" s="25" t="s">
        <v>202</v>
      </c>
      <c r="BB2" s="25" t="s">
        <v>203</v>
      </c>
      <c r="BC2" s="24" t="s">
        <v>204</v>
      </c>
      <c r="BD2" s="25" t="s">
        <v>205</v>
      </c>
      <c r="BE2" s="406" t="s">
        <v>3557</v>
      </c>
      <c r="BF2" s="25" t="s">
        <v>3207</v>
      </c>
      <c r="BG2" s="400" t="s">
        <v>3208</v>
      </c>
      <c r="BH2" s="25" t="s">
        <v>206</v>
      </c>
      <c r="BI2" s="397" t="s">
        <v>207</v>
      </c>
      <c r="BJ2" s="26"/>
      <c r="BK2" s="27"/>
      <c r="BL2" s="27"/>
      <c r="BM2" s="27"/>
      <c r="BN2" s="27"/>
      <c r="BO2" s="27"/>
      <c r="BP2" s="27"/>
    </row>
    <row r="3" spans="1:68" customFormat="1">
      <c r="A3" s="13" t="s">
        <v>208</v>
      </c>
      <c r="B3" s="13" t="s">
        <v>209</v>
      </c>
      <c r="C3" s="13" t="s">
        <v>210</v>
      </c>
      <c r="D3" s="14" t="s">
        <v>11</v>
      </c>
      <c r="E3" s="13" t="s">
        <v>10</v>
      </c>
      <c r="F3" s="13" t="s">
        <v>211</v>
      </c>
      <c r="G3" s="13" t="s">
        <v>24</v>
      </c>
      <c r="H3" s="13" t="s">
        <v>212</v>
      </c>
      <c r="I3" s="45" t="s">
        <v>213</v>
      </c>
      <c r="J3" s="32" t="s">
        <v>214</v>
      </c>
      <c r="K3" s="13" t="s">
        <v>215</v>
      </c>
      <c r="L3" s="335" t="s">
        <v>3209</v>
      </c>
      <c r="M3" s="13" t="s">
        <v>66</v>
      </c>
      <c r="N3" s="13" t="s">
        <v>217</v>
      </c>
      <c r="O3" s="13" t="s">
        <v>3210</v>
      </c>
      <c r="P3" s="210" t="s">
        <v>211</v>
      </c>
      <c r="Q3" s="15">
        <v>120</v>
      </c>
      <c r="R3" s="15">
        <v>120</v>
      </c>
      <c r="S3" s="16">
        <v>35</v>
      </c>
      <c r="T3" s="16">
        <v>220</v>
      </c>
      <c r="U3" s="16">
        <v>60</v>
      </c>
      <c r="V3" s="16">
        <v>250</v>
      </c>
      <c r="W3" s="16">
        <v>500</v>
      </c>
      <c r="X3" s="16">
        <v>100</v>
      </c>
      <c r="Y3" s="15">
        <v>120</v>
      </c>
      <c r="Z3" s="16">
        <v>35</v>
      </c>
      <c r="AA3" s="16">
        <v>220</v>
      </c>
      <c r="AB3" s="16">
        <v>60</v>
      </c>
      <c r="AC3" s="16">
        <v>250</v>
      </c>
      <c r="AD3" s="16">
        <v>500</v>
      </c>
      <c r="AE3" s="16">
        <v>100</v>
      </c>
      <c r="AF3" s="15">
        <v>135</v>
      </c>
      <c r="AG3" s="17">
        <v>40</v>
      </c>
      <c r="AH3" s="17">
        <v>180</v>
      </c>
      <c r="AI3" s="16">
        <v>250</v>
      </c>
      <c r="AJ3" s="16">
        <v>200</v>
      </c>
      <c r="AK3" s="16">
        <v>250</v>
      </c>
      <c r="AL3" s="16">
        <v>180</v>
      </c>
      <c r="AM3" s="16">
        <v>400</v>
      </c>
      <c r="AN3" s="16">
        <v>2200</v>
      </c>
      <c r="AO3" s="15">
        <v>35</v>
      </c>
      <c r="AP3" s="15">
        <v>500</v>
      </c>
      <c r="AQ3" s="15">
        <v>600</v>
      </c>
      <c r="AR3" s="15">
        <v>500</v>
      </c>
      <c r="AS3" s="16">
        <v>1200</v>
      </c>
      <c r="AT3" s="16">
        <v>5000</v>
      </c>
      <c r="AU3" s="16">
        <v>7000</v>
      </c>
      <c r="AV3" s="15">
        <v>80</v>
      </c>
      <c r="AW3" s="17">
        <v>150</v>
      </c>
      <c r="AX3" s="17">
        <v>260</v>
      </c>
      <c r="AY3" s="17">
        <v>360</v>
      </c>
      <c r="AZ3" s="16">
        <v>5000</v>
      </c>
      <c r="BA3" s="16">
        <v>6500</v>
      </c>
      <c r="BB3" s="16">
        <v>10000</v>
      </c>
      <c r="BC3" s="15">
        <v>2500</v>
      </c>
      <c r="BD3" s="16">
        <v>10000</v>
      </c>
      <c r="BE3" s="401">
        <v>120</v>
      </c>
      <c r="BF3" s="17">
        <v>30</v>
      </c>
      <c r="BG3" s="405">
        <v>0.04</v>
      </c>
      <c r="BH3" s="396">
        <v>0.15</v>
      </c>
      <c r="BI3" s="404">
        <v>0.25</v>
      </c>
      <c r="BJ3" s="4"/>
    </row>
    <row r="4" spans="1:68">
      <c r="A4" s="5" t="s">
        <v>220</v>
      </c>
      <c r="B4" s="5" t="s">
        <v>3211</v>
      </c>
      <c r="C4" s="103">
        <v>45810</v>
      </c>
      <c r="D4" s="222" t="s">
        <v>3558</v>
      </c>
      <c r="E4" s="219" t="s">
        <v>3559</v>
      </c>
      <c r="F4" s="29" t="s">
        <v>223</v>
      </c>
      <c r="G4" s="8" t="s">
        <v>69</v>
      </c>
      <c r="H4" s="78" t="s">
        <v>3560</v>
      </c>
      <c r="I4" s="43">
        <f>IF(SUM(Y4:BI4)=0,"-",SUM(Y4:BI4))</f>
        <v>12</v>
      </c>
      <c r="J4" s="52">
        <f>IF(SUMPRODUCT($Y$3:$BI$3,Y4:BI4)=0,"-",SUMPRODUCT($Y$3:$BI$3,Y4:BI4))</f>
        <v>1240</v>
      </c>
      <c r="K4" s="78" t="s">
        <v>3561</v>
      </c>
      <c r="L4" s="8" t="s">
        <v>481</v>
      </c>
      <c r="M4" s="5"/>
      <c r="N4" s="5"/>
      <c r="O4" s="5"/>
      <c r="P4" s="5"/>
      <c r="Q4" s="5"/>
      <c r="R4" s="5"/>
      <c r="S4" s="5"/>
      <c r="T4" s="5">
        <v>2</v>
      </c>
      <c r="U4" s="5"/>
      <c r="V4" s="5"/>
      <c r="W4" s="5"/>
      <c r="X4" s="5"/>
      <c r="Y4" s="5"/>
      <c r="Z4" s="5"/>
      <c r="AA4" s="5">
        <v>2</v>
      </c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>
        <v>10</v>
      </c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</row>
    <row r="5" spans="1:68">
      <c r="A5" s="5" t="s">
        <v>220</v>
      </c>
      <c r="B5" s="5" t="s">
        <v>3211</v>
      </c>
      <c r="C5" s="103">
        <v>45812</v>
      </c>
      <c r="D5" s="55" t="s">
        <v>3562</v>
      </c>
      <c r="E5" s="219" t="s">
        <v>3559</v>
      </c>
      <c r="F5" s="29" t="s">
        <v>223</v>
      </c>
      <c r="G5" s="8" t="s">
        <v>69</v>
      </c>
      <c r="H5" s="78" t="s">
        <v>3563</v>
      </c>
      <c r="I5" s="43">
        <f>IF(SUM(Y5:BI5)=0,"-",SUM(Y5:BI5))</f>
        <v>40</v>
      </c>
      <c r="J5" s="52">
        <f>IF(SUMPRODUCT($Y$3:$BI$3,Y5:BI5)=0,"-",SUMPRODUCT($Y$3:$BI$3,Y5:BI5))</f>
        <v>1400</v>
      </c>
      <c r="K5" s="98" t="s">
        <v>3564</v>
      </c>
      <c r="L5" s="308">
        <v>1400</v>
      </c>
      <c r="M5" s="119">
        <v>4200684837</v>
      </c>
      <c r="N5" s="81" t="s">
        <v>249</v>
      </c>
      <c r="O5" s="81" t="s">
        <v>3565</v>
      </c>
      <c r="P5" s="391" t="s">
        <v>3566</v>
      </c>
      <c r="S5" s="8">
        <v>40</v>
      </c>
      <c r="Z5" s="8">
        <v>40</v>
      </c>
    </row>
    <row r="6" spans="1:68">
      <c r="A6" s="5" t="s">
        <v>220</v>
      </c>
      <c r="B6" s="5" t="s">
        <v>3211</v>
      </c>
      <c r="C6" s="103">
        <v>45821</v>
      </c>
      <c r="D6" s="55" t="s">
        <v>3567</v>
      </c>
      <c r="E6" s="5" t="s">
        <v>3568</v>
      </c>
      <c r="F6" s="29" t="s">
        <v>223</v>
      </c>
      <c r="G6" s="8" t="s">
        <v>69</v>
      </c>
      <c r="H6" s="78" t="s">
        <v>3569</v>
      </c>
      <c r="I6" s="43">
        <f>IF(SUM(Y6:BI6)=0,"-",SUM(Y6:BI6))</f>
        <v>25</v>
      </c>
      <c r="J6" s="52">
        <f>IF(SUMPRODUCT($Y$3:$BI$3,Y6:BI6)=0,"-",SUMPRODUCT($Y$3:$BI$3,Y6:BI6))</f>
        <v>905</v>
      </c>
      <c r="K6" s="114" t="s">
        <v>3570</v>
      </c>
      <c r="L6" s="339" t="s">
        <v>481</v>
      </c>
      <c r="S6" s="8">
        <v>19</v>
      </c>
      <c r="Z6" s="8">
        <v>19</v>
      </c>
      <c r="AG6" s="8">
        <v>6</v>
      </c>
    </row>
    <row r="7" spans="1:68">
      <c r="A7" s="5" t="s">
        <v>220</v>
      </c>
      <c r="B7" s="5" t="s">
        <v>3211</v>
      </c>
      <c r="C7" s="103">
        <v>45821</v>
      </c>
      <c r="D7" s="55" t="s">
        <v>3571</v>
      </c>
      <c r="E7" s="219" t="s">
        <v>3559</v>
      </c>
      <c r="F7" s="29" t="s">
        <v>223</v>
      </c>
      <c r="G7" s="8" t="s">
        <v>69</v>
      </c>
      <c r="H7" s="78" t="s">
        <v>3560</v>
      </c>
      <c r="I7" s="43">
        <f t="shared" ref="I7:I10" si="0">IF(SUM(Y7:BI7)=0,"-",SUM(Y7:BI7))</f>
        <v>3</v>
      </c>
      <c r="J7" s="52">
        <f t="shared" ref="J7:J10" si="1">IF(SUMPRODUCT($Y$3:$BI$3,Y7:BI7)=0,"-",SUMPRODUCT($Y$3:$BI$3,Y7:BI7))</f>
        <v>105</v>
      </c>
      <c r="K7" s="98" t="s">
        <v>3572</v>
      </c>
      <c r="L7" s="308" t="s">
        <v>481</v>
      </c>
      <c r="M7" s="119">
        <v>4200684817</v>
      </c>
      <c r="N7" s="81" t="s">
        <v>249</v>
      </c>
      <c r="O7" s="81" t="s">
        <v>3573</v>
      </c>
      <c r="P7" s="391" t="s">
        <v>3574</v>
      </c>
      <c r="S7" s="8">
        <v>3</v>
      </c>
      <c r="Z7" s="8">
        <v>3</v>
      </c>
    </row>
    <row r="8" spans="1:68">
      <c r="A8" s="5" t="s">
        <v>220</v>
      </c>
      <c r="B8" s="5" t="s">
        <v>3211</v>
      </c>
      <c r="C8" s="103">
        <v>45831</v>
      </c>
      <c r="D8" s="55" t="s">
        <v>3575</v>
      </c>
      <c r="E8" s="219" t="s">
        <v>3559</v>
      </c>
      <c r="F8" s="5" t="s">
        <v>433</v>
      </c>
      <c r="G8" s="8" t="s">
        <v>69</v>
      </c>
      <c r="H8" s="78" t="s">
        <v>3576</v>
      </c>
      <c r="I8" s="43">
        <f t="shared" si="0"/>
        <v>15</v>
      </c>
      <c r="J8" s="52">
        <f t="shared" si="1"/>
        <v>1200</v>
      </c>
      <c r="K8" s="98" t="s">
        <v>3577</v>
      </c>
      <c r="L8" s="308">
        <v>1200</v>
      </c>
      <c r="M8" s="119">
        <v>4200684863</v>
      </c>
      <c r="N8" s="81" t="s">
        <v>249</v>
      </c>
      <c r="O8" s="81" t="s">
        <v>3578</v>
      </c>
      <c r="P8" s="391" t="s">
        <v>3574</v>
      </c>
      <c r="AV8" s="7">
        <v>15</v>
      </c>
    </row>
    <row r="9" spans="1:68">
      <c r="A9" s="5" t="s">
        <v>220</v>
      </c>
      <c r="B9" s="5" t="s">
        <v>3211</v>
      </c>
      <c r="C9" s="103">
        <v>45833</v>
      </c>
      <c r="D9" s="55" t="s">
        <v>3579</v>
      </c>
      <c r="E9" s="219" t="s">
        <v>3559</v>
      </c>
      <c r="F9" s="5" t="s">
        <v>433</v>
      </c>
      <c r="G9" s="8" t="s">
        <v>69</v>
      </c>
      <c r="H9" s="78" t="s">
        <v>3580</v>
      </c>
      <c r="I9" s="43">
        <f t="shared" si="0"/>
        <v>16</v>
      </c>
      <c r="J9" s="52">
        <f t="shared" si="1"/>
        <v>1475</v>
      </c>
      <c r="K9" s="98" t="s">
        <v>3581</v>
      </c>
      <c r="L9" s="428">
        <v>8381.5</v>
      </c>
      <c r="M9" s="119">
        <v>4200684969</v>
      </c>
      <c r="N9" s="81" t="s">
        <v>249</v>
      </c>
      <c r="O9" s="81" t="s">
        <v>3582</v>
      </c>
      <c r="P9" s="391" t="s">
        <v>3574</v>
      </c>
      <c r="T9" s="8">
        <v>1</v>
      </c>
      <c r="AA9" s="8">
        <v>1</v>
      </c>
      <c r="AF9" s="7">
        <v>1</v>
      </c>
      <c r="AV9" s="7">
        <v>14</v>
      </c>
    </row>
    <row r="10" spans="1:68">
      <c r="I10" s="43" t="str">
        <f t="shared" si="0"/>
        <v>-</v>
      </c>
      <c r="J10" s="52" t="str">
        <f t="shared" si="1"/>
        <v>-</v>
      </c>
    </row>
  </sheetData>
  <autoFilter ref="A3:BI3" xr:uid="{EF6D707C-BDD5-416B-AAF3-2924671B11B3}"/>
  <mergeCells count="10">
    <mergeCell ref="BG1:BI1"/>
    <mergeCell ref="A2:D2"/>
    <mergeCell ref="E2:N2"/>
    <mergeCell ref="Q1:X1"/>
    <mergeCell ref="Y1:AE1"/>
    <mergeCell ref="AF1:AN1"/>
    <mergeCell ref="AP1:AU1"/>
    <mergeCell ref="AV1:BB1"/>
    <mergeCell ref="BC1:BD1"/>
    <mergeCell ref="BE1:BF1"/>
  </mergeCells>
  <hyperlinks>
    <hyperlink ref="K4" r:id="rId1" xr:uid="{05BA5AF5-3F79-47F2-9BD9-FAFDBBCA6857}"/>
    <hyperlink ref="H4" r:id="rId2" xr:uid="{540C9C9A-165C-49A2-8A4E-EDD46873A0D3}"/>
    <hyperlink ref="H5" r:id="rId3" xr:uid="{A27BA58D-54D3-4E83-8E7B-C1ED63F163E5}"/>
    <hyperlink ref="H6" r:id="rId4" xr:uid="{D2A01935-59A0-436F-956F-98F43BAA1AB8}"/>
    <hyperlink ref="H7" r:id="rId5" xr:uid="{D91E1294-5E35-4DF5-9BDA-6C0C8F6C5DDB}"/>
    <hyperlink ref="H8" r:id="rId6" xr:uid="{EBAADBAB-F4E2-4ADE-A484-0DDCBFE3451B}"/>
    <hyperlink ref="H9" r:id="rId7" xr:uid="{EA0659E0-CCE0-4C44-8580-2EF1A041F818}"/>
    <hyperlink ref="K8" r:id="rId8" xr:uid="{E072AB96-475C-4E3A-90AC-D7D8F0F502CF}"/>
    <hyperlink ref="K7" r:id="rId9" xr:uid="{5E7020A8-46E7-4D3B-842C-FF04E1C669B3}"/>
    <hyperlink ref="K5" r:id="rId10" xr:uid="{5281205E-7EAF-4049-9A2E-D79522BBC250}"/>
    <hyperlink ref="K6" r:id="rId11" xr:uid="{45BAD928-4D59-4AB0-B15B-D135925E9608}"/>
    <hyperlink ref="K9" r:id="rId12" xr:uid="{30C9DADD-5CD8-4A93-B8B8-9B178E89871A}"/>
  </hyperlink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E662-325F-40F5-8B35-285724E45271}">
  <sheetPr filterMode="1"/>
  <dimension ref="A1:BE158"/>
  <sheetViews>
    <sheetView workbookViewId="0">
      <pane xSplit="4" ySplit="3" topLeftCell="E127" activePane="bottomRight" state="frozen"/>
      <selection pane="bottomRight" activeCell="O151" sqref="O151"/>
      <selection pane="bottomLeft" activeCell="A4" sqref="A4"/>
      <selection pane="topRight" activeCell="E1" sqref="E1"/>
    </sheetView>
  </sheetViews>
  <sheetFormatPr defaultColWidth="11.5703125" defaultRowHeight="15"/>
  <cols>
    <col min="1" max="1" width="9" style="5" customWidth="1"/>
    <col min="2" max="2" width="8" style="5" customWidth="1"/>
    <col min="3" max="3" width="11.42578125" style="5" bestFit="1" customWidth="1"/>
    <col min="4" max="4" width="36.85546875" style="6" customWidth="1"/>
    <col min="5" max="5" width="16.42578125" style="5" customWidth="1"/>
    <col min="6" max="6" width="10.42578125" style="8" customWidth="1"/>
    <col min="7" max="7" width="10.28515625" style="8" customWidth="1"/>
    <col min="8" max="8" width="24.28515625" style="5" customWidth="1"/>
    <col min="9" max="9" width="9.140625" style="8"/>
    <col min="10" max="10" width="10.42578125" style="34" customWidth="1"/>
    <col min="11" max="12" width="12.28515625" style="8" customWidth="1"/>
    <col min="13" max="14" width="11.28515625" style="8" customWidth="1"/>
    <col min="15" max="15" width="26.7109375" style="328" bestFit="1" customWidth="1"/>
    <col min="16" max="16" width="15.5703125" style="7" customWidth="1"/>
    <col min="17" max="17" width="16.5703125" style="8" customWidth="1"/>
    <col min="18" max="18" width="15.5703125" style="8" customWidth="1"/>
    <col min="19" max="19" width="18.7109375" style="8" customWidth="1"/>
    <col min="20" max="22" width="15.5703125" style="8" customWidth="1"/>
    <col min="23" max="23" width="15.5703125" style="7" customWidth="1"/>
    <col min="24" max="31" width="15.5703125" style="8" customWidth="1"/>
    <col min="32" max="33" width="15.5703125" style="7" customWidth="1"/>
    <col min="34" max="40" width="15.5703125" style="8" customWidth="1"/>
    <col min="41" max="41" width="15.5703125" style="7" customWidth="1"/>
    <col min="42" max="45" width="15.5703125" style="8" customWidth="1"/>
    <col min="46" max="46" width="15.5703125" style="7" customWidth="1"/>
    <col min="47" max="48" width="15.5703125" style="8" customWidth="1"/>
    <col min="49" max="49" width="15.5703125" style="7" customWidth="1"/>
    <col min="50" max="50" width="15.5703125" style="8" customWidth="1"/>
    <col min="51" max="51" width="16.42578125" style="9" customWidth="1"/>
    <col min="52" max="52" width="16.42578125" style="5" customWidth="1"/>
    <col min="53" max="16384" width="11.5703125" style="5"/>
  </cols>
  <sheetData>
    <row r="1" spans="1:57" s="2" customFormat="1">
      <c r="A1" s="10" t="s">
        <v>165</v>
      </c>
      <c r="B1" s="10"/>
      <c r="C1" s="10"/>
      <c r="D1" s="11"/>
      <c r="E1" s="10"/>
      <c r="F1" s="1"/>
      <c r="G1" s="1"/>
      <c r="H1" s="10"/>
      <c r="I1" s="1"/>
      <c r="J1" s="31"/>
      <c r="K1" s="1"/>
      <c r="L1" s="1"/>
      <c r="M1" s="1"/>
      <c r="N1" s="1"/>
      <c r="O1" s="322"/>
      <c r="P1" s="526" t="s">
        <v>166</v>
      </c>
      <c r="Q1" s="526"/>
      <c r="R1" s="526"/>
      <c r="S1" s="526"/>
      <c r="T1" s="526"/>
      <c r="U1" s="526"/>
      <c r="V1" s="526"/>
      <c r="W1" s="526" t="s">
        <v>167</v>
      </c>
      <c r="X1" s="526"/>
      <c r="Y1" s="526"/>
      <c r="Z1" s="526"/>
      <c r="AA1" s="526"/>
      <c r="AB1" s="526"/>
      <c r="AC1" s="526"/>
      <c r="AD1" s="526"/>
      <c r="AE1" s="526"/>
      <c r="AF1" s="12" t="s">
        <v>168</v>
      </c>
      <c r="AG1" s="526" t="s">
        <v>169</v>
      </c>
      <c r="AH1" s="526"/>
      <c r="AI1" s="526"/>
      <c r="AJ1" s="526"/>
      <c r="AK1" s="526"/>
      <c r="AL1" s="526"/>
      <c r="AM1" s="526"/>
      <c r="AN1" s="526"/>
      <c r="AO1" s="526" t="s">
        <v>170</v>
      </c>
      <c r="AP1" s="526"/>
      <c r="AQ1" s="526"/>
      <c r="AR1" s="526"/>
      <c r="AS1" s="526"/>
      <c r="AT1" s="526" t="s">
        <v>171</v>
      </c>
      <c r="AU1" s="526"/>
      <c r="AV1" s="526"/>
      <c r="AW1" s="526" t="s">
        <v>172</v>
      </c>
      <c r="AX1" s="526"/>
      <c r="AY1" s="3"/>
    </row>
    <row r="2" spans="1:57" s="28" customFormat="1" ht="45.75">
      <c r="A2" s="527" t="s">
        <v>11</v>
      </c>
      <c r="B2" s="527"/>
      <c r="C2" s="527"/>
      <c r="D2" s="527"/>
      <c r="E2" s="527" t="s">
        <v>173</v>
      </c>
      <c r="F2" s="527"/>
      <c r="G2" s="527"/>
      <c r="H2" s="527"/>
      <c r="I2" s="527"/>
      <c r="J2" s="527"/>
      <c r="K2" s="527"/>
      <c r="L2" s="527"/>
      <c r="M2" s="535"/>
      <c r="N2" s="25"/>
      <c r="O2" s="133"/>
      <c r="P2" s="24" t="s">
        <v>174</v>
      </c>
      <c r="Q2" s="25" t="s">
        <v>175</v>
      </c>
      <c r="R2" s="25" t="s">
        <v>176</v>
      </c>
      <c r="S2" s="25" t="s">
        <v>177</v>
      </c>
      <c r="T2" s="25" t="s">
        <v>178</v>
      </c>
      <c r="U2" s="25" t="s">
        <v>179</v>
      </c>
      <c r="V2" s="25" t="s">
        <v>180</v>
      </c>
      <c r="W2" s="24" t="s">
        <v>181</v>
      </c>
      <c r="X2" s="24" t="s">
        <v>182</v>
      </c>
      <c r="Y2" s="25" t="s">
        <v>183</v>
      </c>
      <c r="Z2" s="25" t="s">
        <v>184</v>
      </c>
      <c r="AA2" s="41" t="s">
        <v>185</v>
      </c>
      <c r="AB2" s="41" t="s">
        <v>186</v>
      </c>
      <c r="AC2" s="25" t="s">
        <v>187</v>
      </c>
      <c r="AD2" s="25" t="s">
        <v>188</v>
      </c>
      <c r="AE2" s="25" t="s">
        <v>189</v>
      </c>
      <c r="AF2" s="24" t="s">
        <v>190</v>
      </c>
      <c r="AG2" s="40" t="s">
        <v>3583</v>
      </c>
      <c r="AH2" s="40" t="s">
        <v>191</v>
      </c>
      <c r="AI2" s="41" t="s">
        <v>192</v>
      </c>
      <c r="AJ2" s="25" t="s">
        <v>193</v>
      </c>
      <c r="AK2" s="25" t="s">
        <v>194</v>
      </c>
      <c r="AL2" s="41" t="s">
        <v>3584</v>
      </c>
      <c r="AM2" s="25" t="s">
        <v>195</v>
      </c>
      <c r="AN2" s="25" t="s">
        <v>196</v>
      </c>
      <c r="AO2" s="24" t="s">
        <v>197</v>
      </c>
      <c r="AP2" s="25" t="s">
        <v>3585</v>
      </c>
      <c r="AQ2" s="25" t="s">
        <v>201</v>
      </c>
      <c r="AR2" s="25" t="s">
        <v>202</v>
      </c>
      <c r="AS2" s="25" t="s">
        <v>203</v>
      </c>
      <c r="AT2" s="24" t="s">
        <v>3586</v>
      </c>
      <c r="AU2" s="24" t="s">
        <v>204</v>
      </c>
      <c r="AV2" s="25" t="s">
        <v>205</v>
      </c>
      <c r="AW2" s="24" t="s">
        <v>206</v>
      </c>
      <c r="AX2" s="25" t="s">
        <v>207</v>
      </c>
      <c r="AY2" s="26"/>
      <c r="AZ2" s="27"/>
      <c r="BA2" s="27"/>
      <c r="BB2" s="27"/>
      <c r="BC2" s="27"/>
      <c r="BD2" s="27"/>
      <c r="BE2" s="27"/>
    </row>
    <row r="3" spans="1:57" customFormat="1">
      <c r="A3" s="13" t="s">
        <v>208</v>
      </c>
      <c r="B3" s="13" t="s">
        <v>209</v>
      </c>
      <c r="C3" s="13" t="s">
        <v>210</v>
      </c>
      <c r="D3" s="14" t="s">
        <v>11</v>
      </c>
      <c r="E3" s="13" t="s">
        <v>10</v>
      </c>
      <c r="F3" s="13" t="s">
        <v>211</v>
      </c>
      <c r="G3" s="13" t="s">
        <v>24</v>
      </c>
      <c r="H3" s="13" t="s">
        <v>212</v>
      </c>
      <c r="I3" s="45" t="s">
        <v>213</v>
      </c>
      <c r="J3" s="32" t="s">
        <v>214</v>
      </c>
      <c r="K3" s="13" t="s">
        <v>215</v>
      </c>
      <c r="L3" s="13" t="s">
        <v>66</v>
      </c>
      <c r="M3" s="13" t="s">
        <v>217</v>
      </c>
      <c r="N3" s="13" t="s">
        <v>218</v>
      </c>
      <c r="O3" s="323" t="s">
        <v>211</v>
      </c>
      <c r="P3" s="15">
        <v>120</v>
      </c>
      <c r="Q3" s="16">
        <v>35</v>
      </c>
      <c r="R3" s="16">
        <v>220</v>
      </c>
      <c r="S3" s="16">
        <v>60</v>
      </c>
      <c r="T3" s="16">
        <v>250</v>
      </c>
      <c r="U3" s="16">
        <v>500</v>
      </c>
      <c r="V3" s="16">
        <v>100</v>
      </c>
      <c r="W3" s="15">
        <v>135</v>
      </c>
      <c r="X3" s="17">
        <v>40</v>
      </c>
      <c r="Y3" s="17">
        <v>180</v>
      </c>
      <c r="Z3" s="16">
        <v>250</v>
      </c>
      <c r="AA3" s="16">
        <v>200</v>
      </c>
      <c r="AB3" s="16">
        <v>250</v>
      </c>
      <c r="AC3" s="16">
        <v>180</v>
      </c>
      <c r="AD3" s="16">
        <v>400</v>
      </c>
      <c r="AE3" s="16">
        <v>2200</v>
      </c>
      <c r="AF3" s="15">
        <v>35</v>
      </c>
      <c r="AG3" s="15">
        <v>250</v>
      </c>
      <c r="AH3" s="15">
        <v>500</v>
      </c>
      <c r="AI3" s="15">
        <v>600</v>
      </c>
      <c r="AJ3" s="15">
        <v>500</v>
      </c>
      <c r="AK3" s="16">
        <v>1200</v>
      </c>
      <c r="AL3" s="16">
        <v>150</v>
      </c>
      <c r="AM3" s="16">
        <v>5000</v>
      </c>
      <c r="AN3" s="16">
        <v>7000</v>
      </c>
      <c r="AO3" s="15">
        <v>80</v>
      </c>
      <c r="AP3" s="17">
        <v>260</v>
      </c>
      <c r="AQ3" s="16">
        <v>5000</v>
      </c>
      <c r="AR3" s="16">
        <v>6500</v>
      </c>
      <c r="AS3" s="16">
        <v>10000</v>
      </c>
      <c r="AT3" s="15">
        <v>300</v>
      </c>
      <c r="AU3" s="15">
        <v>2500</v>
      </c>
      <c r="AV3" s="16">
        <v>10000</v>
      </c>
      <c r="AW3" s="18">
        <v>0.12</v>
      </c>
      <c r="AX3" s="19">
        <v>0.25</v>
      </c>
      <c r="AY3" s="4"/>
    </row>
    <row r="4" spans="1:57" hidden="1">
      <c r="A4" s="5" t="s">
        <v>220</v>
      </c>
      <c r="B4" s="5" t="s">
        <v>3587</v>
      </c>
      <c r="C4" s="76">
        <v>45267</v>
      </c>
      <c r="D4" s="55" t="s">
        <v>3588</v>
      </c>
      <c r="E4" s="5" t="s">
        <v>3589</v>
      </c>
      <c r="F4" s="29" t="s">
        <v>223</v>
      </c>
      <c r="G4" s="8" t="s">
        <v>3587</v>
      </c>
      <c r="H4" s="78" t="s">
        <v>3590</v>
      </c>
      <c r="I4" s="43">
        <f>IF(SUM(P4:AX4)=0,"-",SUM(P4:AX4))</f>
        <v>2</v>
      </c>
      <c r="J4" s="62">
        <f>IF(SUMPRODUCT($P$3:$AX$3,P4:AX4)=0,"-",SUMPRODUCT($P$3:$AX$3,P4:AX4))</f>
        <v>70</v>
      </c>
      <c r="K4" s="297" t="s">
        <v>1550</v>
      </c>
      <c r="L4" s="297" t="s">
        <v>1550</v>
      </c>
      <c r="M4" s="297" t="s">
        <v>1550</v>
      </c>
      <c r="N4" s="297" t="s">
        <v>1550</v>
      </c>
      <c r="O4" s="329" t="s">
        <v>1550</v>
      </c>
      <c r="AF4" s="7">
        <v>2</v>
      </c>
    </row>
    <row r="5" spans="1:57" hidden="1">
      <c r="A5" s="5" t="s">
        <v>220</v>
      </c>
      <c r="B5" s="5" t="s">
        <v>3587</v>
      </c>
      <c r="C5" s="42">
        <v>44942</v>
      </c>
      <c r="D5" s="55" t="s">
        <v>3591</v>
      </c>
      <c r="E5" s="5" t="s">
        <v>3589</v>
      </c>
      <c r="F5" s="29" t="s">
        <v>223</v>
      </c>
      <c r="G5" s="8" t="s">
        <v>3592</v>
      </c>
      <c r="H5" s="49" t="s">
        <v>481</v>
      </c>
      <c r="I5" s="43">
        <f>IF(SUM(P5:AX5)=0,"-",SUM(P5:AX5))</f>
        <v>3.4</v>
      </c>
      <c r="J5" s="33">
        <f>IF(SUMPRODUCT($P$3:$AX$3,P5:AX5)=0,"-",SUMPRODUCT($P$3:$AX$3,P5:AX5))</f>
        <v>2000</v>
      </c>
      <c r="K5" s="51">
        <v>44950</v>
      </c>
      <c r="L5" s="48">
        <v>4200634823</v>
      </c>
      <c r="M5" s="38" t="s">
        <v>249</v>
      </c>
      <c r="N5" s="172" t="s">
        <v>481</v>
      </c>
      <c r="O5" s="324" t="s">
        <v>517</v>
      </c>
      <c r="U5" s="8">
        <f>200/500</f>
        <v>0.4</v>
      </c>
      <c r="AD5" s="44"/>
      <c r="AE5" s="44"/>
      <c r="AI5" s="8">
        <f>3</f>
        <v>3</v>
      </c>
    </row>
    <row r="6" spans="1:57" hidden="1">
      <c r="A6" s="5" t="s">
        <v>220</v>
      </c>
      <c r="B6" s="5" t="s">
        <v>3587</v>
      </c>
      <c r="C6" s="42">
        <v>44942</v>
      </c>
      <c r="D6" s="55" t="s">
        <v>3593</v>
      </c>
      <c r="E6" s="5" t="s">
        <v>3589</v>
      </c>
      <c r="F6" s="29" t="s">
        <v>223</v>
      </c>
      <c r="G6" s="8" t="s">
        <v>3592</v>
      </c>
      <c r="H6" s="53" t="s">
        <v>3594</v>
      </c>
      <c r="I6" s="43">
        <f>IF(SUM(P6:AX6)=0,"-",SUM(P6:AX6))</f>
        <v>1</v>
      </c>
      <c r="J6" s="33">
        <f>IF(SUMPRODUCT($P$3:$AX$3,P6:AX6)=0,"-",SUMPRODUCT($P$3:$AX$3,P6:AX6))</f>
        <v>5000</v>
      </c>
      <c r="K6" s="51">
        <v>44950</v>
      </c>
      <c r="L6" s="48">
        <v>4200640684</v>
      </c>
      <c r="M6" s="38" t="s">
        <v>249</v>
      </c>
      <c r="N6" s="172" t="s">
        <v>481</v>
      </c>
      <c r="O6" s="324" t="s">
        <v>517</v>
      </c>
      <c r="AD6" s="44"/>
      <c r="AE6" s="44"/>
      <c r="AQ6" s="8">
        <v>1</v>
      </c>
    </row>
    <row r="7" spans="1:57" hidden="1">
      <c r="A7" s="5" t="s">
        <v>220</v>
      </c>
      <c r="B7" s="5" t="s">
        <v>3587</v>
      </c>
      <c r="C7" s="42">
        <v>44942</v>
      </c>
      <c r="D7" s="55" t="s">
        <v>3595</v>
      </c>
      <c r="E7" s="5" t="s">
        <v>3589</v>
      </c>
      <c r="F7" s="29" t="s">
        <v>223</v>
      </c>
      <c r="G7" s="8" t="s">
        <v>3592</v>
      </c>
      <c r="H7" s="53" t="s">
        <v>3596</v>
      </c>
      <c r="I7" s="43">
        <f>IF(SUM(P7:AX7)=0,"-",SUM(P7:AX7))</f>
        <v>4</v>
      </c>
      <c r="J7" s="33">
        <f>IF(SUMPRODUCT($P$3:$AX$3,P7:AX7)=0,"-",SUMPRODUCT($P$3:$AX$3,P7:AX7))</f>
        <v>1000</v>
      </c>
      <c r="K7" s="51">
        <v>44950</v>
      </c>
      <c r="L7" s="48">
        <v>4200634823</v>
      </c>
      <c r="M7" s="38" t="s">
        <v>249</v>
      </c>
      <c r="N7" s="172" t="s">
        <v>481</v>
      </c>
      <c r="O7" s="324" t="s">
        <v>517</v>
      </c>
      <c r="Z7" s="8">
        <v>4</v>
      </c>
      <c r="AD7" s="44"/>
      <c r="AE7" s="44"/>
    </row>
    <row r="8" spans="1:57" hidden="1">
      <c r="A8" s="5" t="s">
        <v>220</v>
      </c>
      <c r="B8" s="5" t="s">
        <v>3587</v>
      </c>
      <c r="C8" s="42">
        <v>44986</v>
      </c>
      <c r="D8" s="55" t="s">
        <v>3597</v>
      </c>
      <c r="E8" s="5" t="s">
        <v>3589</v>
      </c>
      <c r="F8" s="29" t="s">
        <v>223</v>
      </c>
      <c r="G8" s="8" t="s">
        <v>3592</v>
      </c>
      <c r="H8" s="78" t="s">
        <v>3598</v>
      </c>
      <c r="I8" s="43">
        <f>IF(SUM(P8:AX8)=0,"-",SUM(P8:AX8))</f>
        <v>10</v>
      </c>
      <c r="J8" s="33">
        <f>IF(SUMPRODUCT($P$3:$AX$3,P8:AX8)=0,"-",SUMPRODUCT($P$3:$AX$3,P8:AX8))</f>
        <v>2600</v>
      </c>
      <c r="K8" s="51">
        <v>45044</v>
      </c>
      <c r="L8" s="48">
        <v>4200642679</v>
      </c>
      <c r="M8" s="38" t="s">
        <v>249</v>
      </c>
      <c r="N8" s="172" t="s">
        <v>481</v>
      </c>
      <c r="O8" s="324" t="s">
        <v>517</v>
      </c>
      <c r="AP8" s="8">
        <v>10</v>
      </c>
    </row>
    <row r="9" spans="1:57" hidden="1">
      <c r="A9" s="5" t="s">
        <v>220</v>
      </c>
      <c r="B9" s="5" t="s">
        <v>3587</v>
      </c>
      <c r="C9" s="42">
        <v>45022</v>
      </c>
      <c r="D9" s="55" t="s">
        <v>3599</v>
      </c>
      <c r="E9" s="5" t="s">
        <v>3589</v>
      </c>
      <c r="F9" s="29" t="s">
        <v>223</v>
      </c>
      <c r="G9" s="8" t="s">
        <v>3592</v>
      </c>
      <c r="H9" s="78" t="s">
        <v>3600</v>
      </c>
      <c r="I9" s="8">
        <v>1</v>
      </c>
      <c r="J9" s="34">
        <v>3500</v>
      </c>
      <c r="K9" s="51">
        <v>45044</v>
      </c>
      <c r="L9" s="48">
        <v>4200642679</v>
      </c>
      <c r="M9" s="38" t="s">
        <v>249</v>
      </c>
      <c r="N9" s="172" t="s">
        <v>481</v>
      </c>
      <c r="O9" s="324" t="s">
        <v>517</v>
      </c>
    </row>
    <row r="10" spans="1:57" hidden="1">
      <c r="A10" s="5" t="s">
        <v>220</v>
      </c>
      <c r="B10" s="5" t="s">
        <v>3587</v>
      </c>
      <c r="C10" s="42">
        <v>45022</v>
      </c>
      <c r="D10" s="55" t="s">
        <v>3591</v>
      </c>
      <c r="E10" s="5" t="s">
        <v>3589</v>
      </c>
      <c r="F10" s="29" t="s">
        <v>223</v>
      </c>
      <c r="G10" s="8" t="s">
        <v>3592</v>
      </c>
      <c r="H10" s="49" t="s">
        <v>481</v>
      </c>
      <c r="I10" s="43">
        <f>IF(SUM(P10:AX10)=0,"-",SUM(P10:AX10))</f>
        <v>3.4</v>
      </c>
      <c r="J10" s="33">
        <f>IF(SUMPRODUCT($P$3:$AX$3,P10:AX10)=0,"-",SUMPRODUCT($P$3:$AX$3,P10:AX10))</f>
        <v>2000</v>
      </c>
      <c r="K10" s="51">
        <v>45023</v>
      </c>
      <c r="L10" s="48">
        <v>4200642679</v>
      </c>
      <c r="M10" s="38" t="s">
        <v>249</v>
      </c>
      <c r="N10" s="172" t="s">
        <v>481</v>
      </c>
      <c r="O10" s="324" t="s">
        <v>517</v>
      </c>
      <c r="U10" s="8">
        <f>200/500</f>
        <v>0.4</v>
      </c>
      <c r="AD10" s="44"/>
      <c r="AE10" s="44"/>
      <c r="AI10" s="8">
        <f>3</f>
        <v>3</v>
      </c>
    </row>
    <row r="11" spans="1:57" hidden="1">
      <c r="A11" s="5" t="s">
        <v>220</v>
      </c>
      <c r="B11" s="5" t="s">
        <v>3587</v>
      </c>
      <c r="C11" s="42">
        <v>45034</v>
      </c>
      <c r="D11" s="55" t="s">
        <v>3601</v>
      </c>
      <c r="E11" s="5" t="s">
        <v>3589</v>
      </c>
      <c r="F11" s="29" t="s">
        <v>223</v>
      </c>
      <c r="G11" s="8" t="s">
        <v>3592</v>
      </c>
      <c r="H11" s="78" t="s">
        <v>3602</v>
      </c>
      <c r="I11" s="43">
        <v>6</v>
      </c>
      <c r="J11" s="33">
        <f>IF(SUMPRODUCT($P$3:$AX$3,P11:AX11)=0,"-",SUMPRODUCT($P$3:$AX$3,P11:AX11))</f>
        <v>1800</v>
      </c>
      <c r="K11" s="51">
        <v>45044</v>
      </c>
      <c r="L11" s="48">
        <v>4200642679</v>
      </c>
      <c r="M11" s="38" t="s">
        <v>249</v>
      </c>
      <c r="N11" s="172" t="s">
        <v>481</v>
      </c>
      <c r="O11" s="324" t="s">
        <v>517</v>
      </c>
      <c r="AW11" s="7">
        <f>6*2500</f>
        <v>15000</v>
      </c>
    </row>
    <row r="12" spans="1:57" hidden="1">
      <c r="A12" s="5" t="s">
        <v>220</v>
      </c>
      <c r="B12" s="5" t="s">
        <v>3587</v>
      </c>
      <c r="C12" s="42">
        <v>45041</v>
      </c>
      <c r="D12" s="55" t="s">
        <v>3603</v>
      </c>
      <c r="E12" s="5" t="s">
        <v>3589</v>
      </c>
      <c r="F12" s="29" t="s">
        <v>223</v>
      </c>
      <c r="G12" s="8" t="s">
        <v>3592</v>
      </c>
      <c r="H12" s="78" t="s">
        <v>3604</v>
      </c>
      <c r="I12" s="43">
        <v>6</v>
      </c>
      <c r="J12" s="33">
        <f>IF(SUMPRODUCT($P$3:$AX$3,P12:AX12)=0,"-",SUMPRODUCT($P$3:$AX$3,P12:AX12))</f>
        <v>1500</v>
      </c>
      <c r="K12" s="51">
        <v>45044</v>
      </c>
      <c r="L12" s="48">
        <v>4200642679</v>
      </c>
      <c r="M12" s="38" t="s">
        <v>249</v>
      </c>
      <c r="N12" s="172" t="s">
        <v>481</v>
      </c>
      <c r="O12" s="324" t="s">
        <v>517</v>
      </c>
      <c r="AT12" s="7">
        <v>5</v>
      </c>
    </row>
    <row r="13" spans="1:57" hidden="1">
      <c r="A13" s="5" t="s">
        <v>220</v>
      </c>
      <c r="B13" s="5" t="s">
        <v>3587</v>
      </c>
      <c r="C13" s="42">
        <v>45044</v>
      </c>
      <c r="D13" s="55" t="s">
        <v>3605</v>
      </c>
      <c r="E13" s="5" t="s">
        <v>3589</v>
      </c>
      <c r="F13" s="29" t="s">
        <v>223</v>
      </c>
      <c r="G13" s="8" t="s">
        <v>3587</v>
      </c>
      <c r="H13" s="78" t="s">
        <v>3596</v>
      </c>
      <c r="I13" s="43">
        <v>6</v>
      </c>
      <c r="J13" s="33">
        <f>IF(SUMPRODUCT($P$3:$AX$3,P13:AX13)=0,"-",SUMPRODUCT($P$3:$AX$3,P13:AX13))</f>
        <v>4390</v>
      </c>
      <c r="K13" s="51">
        <v>45068</v>
      </c>
      <c r="L13" s="48">
        <v>4200644043</v>
      </c>
      <c r="M13" s="38" t="s">
        <v>249</v>
      </c>
      <c r="N13" s="172" t="s">
        <v>481</v>
      </c>
      <c r="O13" s="324" t="s">
        <v>517</v>
      </c>
      <c r="P13" s="7">
        <v>8</v>
      </c>
      <c r="T13" s="8">
        <v>1</v>
      </c>
      <c r="U13" s="8">
        <v>4</v>
      </c>
      <c r="Y13" s="8">
        <v>1</v>
      </c>
      <c r="Z13" s="8">
        <v>2</v>
      </c>
      <c r="AJ13" s="8">
        <v>1</v>
      </c>
    </row>
    <row r="14" spans="1:57" hidden="1">
      <c r="A14" s="5" t="s">
        <v>220</v>
      </c>
      <c r="B14" s="5" t="s">
        <v>3587</v>
      </c>
      <c r="C14" s="42">
        <v>45044</v>
      </c>
      <c r="D14" s="55" t="s">
        <v>3606</v>
      </c>
      <c r="E14" s="5" t="s">
        <v>3589</v>
      </c>
      <c r="F14" s="29" t="s">
        <v>223</v>
      </c>
      <c r="G14" s="8" t="s">
        <v>3592</v>
      </c>
      <c r="H14" s="49" t="s">
        <v>481</v>
      </c>
      <c r="I14" s="43">
        <f>IF(SUM(P14:AX14)=0,"-",SUM(P14:AX14))</f>
        <v>15</v>
      </c>
      <c r="J14" s="33">
        <f>IF(SUMPRODUCT($P$3:$AX$3,P14:AX14)=0,"-",SUMPRODUCT($P$3:$AX$3,P14:AX14))</f>
        <v>2250</v>
      </c>
      <c r="K14" s="51">
        <v>45044</v>
      </c>
      <c r="L14" s="48">
        <v>4200642679</v>
      </c>
      <c r="M14" s="38" t="s">
        <v>249</v>
      </c>
      <c r="N14" s="172" t="s">
        <v>481</v>
      </c>
      <c r="O14" s="324" t="s">
        <v>517</v>
      </c>
      <c r="AD14" s="44"/>
      <c r="AE14" s="44"/>
      <c r="AL14" s="8">
        <v>15</v>
      </c>
    </row>
    <row r="15" spans="1:57" hidden="1">
      <c r="A15" s="5" t="s">
        <v>220</v>
      </c>
      <c r="B15" s="5" t="s">
        <v>3587</v>
      </c>
      <c r="C15" s="42">
        <v>45055</v>
      </c>
      <c r="D15" s="55" t="s">
        <v>3607</v>
      </c>
      <c r="E15" s="5" t="s">
        <v>3589</v>
      </c>
      <c r="F15" s="29" t="s">
        <v>223</v>
      </c>
      <c r="G15" s="8" t="s">
        <v>3587</v>
      </c>
      <c r="H15" s="78" t="s">
        <v>3608</v>
      </c>
      <c r="I15" s="43">
        <f>IF(SUM(P15:AX15)=0,"-",SUM(P15:AX15))</f>
        <v>29</v>
      </c>
      <c r="J15" s="33">
        <f>IF(SUMPRODUCT($P$3:$AX$3,P15:AX15)=0,"-",SUMPRODUCT($P$3:$AX$3,P15:AX15))</f>
        <v>1615</v>
      </c>
      <c r="K15" s="51">
        <v>45076</v>
      </c>
      <c r="L15" s="81">
        <v>4200647018</v>
      </c>
      <c r="M15" s="38" t="s">
        <v>249</v>
      </c>
      <c r="N15" s="172" t="s">
        <v>481</v>
      </c>
      <c r="O15" s="324" t="s">
        <v>517</v>
      </c>
      <c r="P15" s="7">
        <v>2</v>
      </c>
      <c r="Q15" s="8">
        <f>7+18</f>
        <v>25</v>
      </c>
      <c r="AG15" s="7">
        <f>2</f>
        <v>2</v>
      </c>
    </row>
    <row r="16" spans="1:57" hidden="1">
      <c r="A16" s="5" t="s">
        <v>220</v>
      </c>
      <c r="B16" s="5" t="s">
        <v>3587</v>
      </c>
      <c r="C16" s="76">
        <v>45055</v>
      </c>
      <c r="D16" s="55" t="s">
        <v>3609</v>
      </c>
      <c r="E16" s="5" t="s">
        <v>3589</v>
      </c>
      <c r="F16" s="29" t="s">
        <v>223</v>
      </c>
      <c r="G16" s="8" t="s">
        <v>3587</v>
      </c>
      <c r="H16" s="53" t="s">
        <v>481</v>
      </c>
      <c r="I16" s="43">
        <v>1</v>
      </c>
      <c r="J16" s="33">
        <f>4304.7*1.05</f>
        <v>4519.9350000000004</v>
      </c>
      <c r="K16" s="51">
        <v>45068</v>
      </c>
      <c r="L16" s="48">
        <v>4200644072</v>
      </c>
      <c r="M16" s="38" t="s">
        <v>249</v>
      </c>
      <c r="N16" s="172" t="s">
        <v>481</v>
      </c>
      <c r="O16" s="324" t="s">
        <v>517</v>
      </c>
    </row>
    <row r="17" spans="1:49" hidden="1">
      <c r="A17" s="5" t="s">
        <v>220</v>
      </c>
      <c r="B17" s="5" t="s">
        <v>3587</v>
      </c>
      <c r="C17" s="76">
        <v>45055</v>
      </c>
      <c r="D17" s="55" t="s">
        <v>3610</v>
      </c>
      <c r="E17" s="5" t="s">
        <v>3589</v>
      </c>
      <c r="F17" s="29" t="s">
        <v>223</v>
      </c>
      <c r="G17" s="8" t="s">
        <v>3592</v>
      </c>
      <c r="H17" s="78" t="s">
        <v>3611</v>
      </c>
      <c r="I17" s="43">
        <f>IF(SUM(P17:AX17)=0,"-",SUM(P17:AX17))</f>
        <v>1</v>
      </c>
      <c r="J17" s="33">
        <f>IF(SUMPRODUCT($P$3:$AX$3,P17:AX17)=0,"-",SUMPRODUCT($P$3:$AX$3,P17:AX17))</f>
        <v>300</v>
      </c>
      <c r="K17" s="51">
        <v>45068</v>
      </c>
      <c r="L17" s="61">
        <v>4200644072</v>
      </c>
      <c r="M17" s="38" t="s">
        <v>249</v>
      </c>
      <c r="N17" s="172" t="s">
        <v>481</v>
      </c>
      <c r="O17" s="324" t="s">
        <v>517</v>
      </c>
      <c r="AT17" s="7">
        <v>1</v>
      </c>
    </row>
    <row r="18" spans="1:49" hidden="1">
      <c r="A18" s="5" t="s">
        <v>220</v>
      </c>
      <c r="B18" s="5" t="s">
        <v>3587</v>
      </c>
      <c r="C18" s="76">
        <v>45076</v>
      </c>
      <c r="D18" s="77" t="s">
        <v>3612</v>
      </c>
      <c r="E18" s="5" t="s">
        <v>3613</v>
      </c>
      <c r="F18" s="29" t="s">
        <v>223</v>
      </c>
      <c r="G18" s="8" t="s">
        <v>3587</v>
      </c>
      <c r="H18" s="78" t="s">
        <v>3614</v>
      </c>
      <c r="I18" s="43">
        <f>IF(SUM(P18:AX18)=0,"-",SUM(P18:AX18))</f>
        <v>11</v>
      </c>
      <c r="J18" s="52">
        <f>IF(SUMPRODUCT($P$3:$AX$3,P18:AX18)=0,"-",SUMPRODUCT($P$3:$AX$3,P18:AX18))</f>
        <v>485</v>
      </c>
      <c r="K18" s="82">
        <v>45093</v>
      </c>
      <c r="L18" s="81">
        <v>4200646462</v>
      </c>
      <c r="M18" s="38" t="s">
        <v>249</v>
      </c>
      <c r="N18" s="172" t="s">
        <v>481</v>
      </c>
      <c r="O18" s="324" t="s">
        <v>517</v>
      </c>
      <c r="W18" s="7">
        <v>1</v>
      </c>
      <c r="AF18" s="7">
        <v>10</v>
      </c>
    </row>
    <row r="19" spans="1:49" hidden="1">
      <c r="A19" s="5" t="s">
        <v>220</v>
      </c>
      <c r="B19" s="5" t="s">
        <v>3587</v>
      </c>
      <c r="C19" s="76">
        <v>45090</v>
      </c>
      <c r="D19" s="55" t="s">
        <v>3615</v>
      </c>
      <c r="E19" s="5" t="s">
        <v>3589</v>
      </c>
      <c r="F19" s="29" t="s">
        <v>223</v>
      </c>
      <c r="G19" s="8" t="s">
        <v>3587</v>
      </c>
      <c r="H19" s="78" t="s">
        <v>3616</v>
      </c>
      <c r="I19" s="43">
        <f>IF(SUM(P19:AX19)=0,"-",SUM(P19:AX19))</f>
        <v>1</v>
      </c>
      <c r="J19" s="52">
        <f>IF(SUMPRODUCT($P$3:$AX$3,P19:AX19)=0,"-",SUMPRODUCT($P$3:$AX$3,P19:AX19))</f>
        <v>135</v>
      </c>
      <c r="K19" s="82">
        <v>45093</v>
      </c>
      <c r="L19" s="81">
        <v>4200646454</v>
      </c>
      <c r="M19" s="38" t="s">
        <v>249</v>
      </c>
      <c r="N19" s="172" t="s">
        <v>481</v>
      </c>
      <c r="O19" s="324" t="s">
        <v>517</v>
      </c>
      <c r="W19" s="7">
        <v>1</v>
      </c>
    </row>
    <row r="20" spans="1:49" hidden="1">
      <c r="A20" s="5" t="s">
        <v>220</v>
      </c>
      <c r="B20" s="5" t="s">
        <v>3587</v>
      </c>
      <c r="C20" s="76">
        <v>45098</v>
      </c>
      <c r="D20" s="55" t="s">
        <v>3617</v>
      </c>
      <c r="E20" s="5" t="s">
        <v>3589</v>
      </c>
      <c r="F20" s="29" t="s">
        <v>223</v>
      </c>
      <c r="G20" s="8" t="s">
        <v>3587</v>
      </c>
      <c r="H20" s="78" t="s">
        <v>3618</v>
      </c>
      <c r="I20" s="8">
        <v>5</v>
      </c>
      <c r="J20" s="52">
        <f>IF(SUMPRODUCT($P$3:$AX$3,P20:AX20)=0,"-",SUMPRODUCT($P$3:$AX$3,P20:AX20))</f>
        <v>200</v>
      </c>
      <c r="K20" s="98" t="s">
        <v>3619</v>
      </c>
      <c r="L20" s="38">
        <v>4200648722</v>
      </c>
      <c r="M20" s="38" t="s">
        <v>249</v>
      </c>
      <c r="N20" s="172" t="s">
        <v>481</v>
      </c>
      <c r="O20" s="324" t="s">
        <v>517</v>
      </c>
      <c r="X20" s="8">
        <v>5</v>
      </c>
    </row>
    <row r="21" spans="1:49" hidden="1">
      <c r="A21" s="5" t="s">
        <v>220</v>
      </c>
      <c r="B21" s="5" t="s">
        <v>3587</v>
      </c>
      <c r="C21" s="76">
        <v>45106</v>
      </c>
      <c r="D21" s="55" t="s">
        <v>3620</v>
      </c>
      <c r="E21" s="5" t="s">
        <v>3589</v>
      </c>
      <c r="F21" s="29" t="s">
        <v>223</v>
      </c>
      <c r="G21" s="8" t="s">
        <v>3587</v>
      </c>
      <c r="H21" s="78" t="s">
        <v>3621</v>
      </c>
      <c r="I21" s="43">
        <f>IF(SUM(P21:AX21)=0,"-",SUM(P21:AX21))</f>
        <v>15</v>
      </c>
      <c r="J21" s="52">
        <f>IF(SUMPRODUCT($P$3:$AX$3,P21:AX21)=0,"-",SUMPRODUCT($P$3:$AX$3,P21:AX21))</f>
        <v>525</v>
      </c>
      <c r="K21" s="98" t="s">
        <v>3622</v>
      </c>
      <c r="L21" s="81">
        <v>4200648725</v>
      </c>
      <c r="M21" s="38" t="s">
        <v>249</v>
      </c>
      <c r="N21" s="172" t="s">
        <v>481</v>
      </c>
      <c r="O21" s="324" t="s">
        <v>517</v>
      </c>
      <c r="AF21" s="7">
        <v>15</v>
      </c>
    </row>
    <row r="22" spans="1:49" hidden="1">
      <c r="A22" s="5" t="s">
        <v>220</v>
      </c>
      <c r="B22" s="5" t="s">
        <v>3587</v>
      </c>
      <c r="C22" s="76">
        <v>45109</v>
      </c>
      <c r="D22" s="55" t="s">
        <v>3623</v>
      </c>
      <c r="E22" s="5" t="s">
        <v>3589</v>
      </c>
      <c r="F22" s="29" t="s">
        <v>223</v>
      </c>
      <c r="G22" s="8" t="s">
        <v>3587</v>
      </c>
      <c r="H22" s="78" t="s">
        <v>3624</v>
      </c>
      <c r="I22" s="43">
        <f>IF(SUM(P22:AX22)=0,"-",SUM(P22:AX22))</f>
        <v>1.5</v>
      </c>
      <c r="J22" s="52">
        <f>IF(SUMPRODUCT($P$3:$AX$3,P22:AX22)=0,"-",SUMPRODUCT($P$3:$AX$3,P22:AX22))</f>
        <v>375</v>
      </c>
      <c r="K22" s="98" t="s">
        <v>3625</v>
      </c>
      <c r="L22" s="102">
        <v>4200648734</v>
      </c>
      <c r="M22" s="38" t="s">
        <v>249</v>
      </c>
      <c r="N22" s="172" t="s">
        <v>481</v>
      </c>
      <c r="O22" s="324" t="s">
        <v>517</v>
      </c>
      <c r="Z22" s="8">
        <v>1.5</v>
      </c>
    </row>
    <row r="23" spans="1:49" hidden="1">
      <c r="A23" s="5" t="s">
        <v>220</v>
      </c>
      <c r="B23" s="5" t="s">
        <v>3587</v>
      </c>
      <c r="C23" s="76">
        <v>45112</v>
      </c>
      <c r="D23" s="55" t="s">
        <v>3626</v>
      </c>
      <c r="E23" s="5" t="s">
        <v>3589</v>
      </c>
      <c r="F23" s="29" t="s">
        <v>223</v>
      </c>
      <c r="G23" s="8" t="s">
        <v>3592</v>
      </c>
      <c r="H23" s="78" t="s">
        <v>3627</v>
      </c>
      <c r="I23" s="43">
        <v>1</v>
      </c>
      <c r="J23" s="52">
        <v>600</v>
      </c>
      <c r="K23" s="99" t="s">
        <v>3628</v>
      </c>
      <c r="L23" s="81">
        <v>4200648727</v>
      </c>
      <c r="M23" s="38" t="s">
        <v>249</v>
      </c>
      <c r="N23" s="172" t="s">
        <v>481</v>
      </c>
      <c r="O23" s="324" t="s">
        <v>517</v>
      </c>
      <c r="AW23" s="7">
        <f>800*6</f>
        <v>4800</v>
      </c>
    </row>
    <row r="24" spans="1:49" hidden="1">
      <c r="A24" s="5" t="s">
        <v>220</v>
      </c>
      <c r="B24" s="5" t="s">
        <v>3587</v>
      </c>
      <c r="C24" s="76">
        <v>45128</v>
      </c>
      <c r="D24" s="55" t="s">
        <v>3629</v>
      </c>
      <c r="E24" s="5" t="s">
        <v>3589</v>
      </c>
      <c r="F24" s="29" t="s">
        <v>223</v>
      </c>
      <c r="G24" s="8" t="s">
        <v>3592</v>
      </c>
      <c r="H24" s="49" t="s">
        <v>481</v>
      </c>
      <c r="I24" s="43">
        <f>IF(SUM(P24:AX24)=0,"-",SUM(P24:AX24))</f>
        <v>10</v>
      </c>
      <c r="J24" s="33">
        <f>IF(SUMPRODUCT($P$3:$AX$3,P24:AX24)=0,"-",SUMPRODUCT($P$3:$AX$3,P24:AX24))</f>
        <v>1500</v>
      </c>
      <c r="K24" s="100" t="s">
        <v>3630</v>
      </c>
      <c r="L24" s="38">
        <v>4200648732</v>
      </c>
      <c r="M24" s="38" t="s">
        <v>249</v>
      </c>
      <c r="N24" s="172" t="s">
        <v>481</v>
      </c>
      <c r="O24" s="324" t="s">
        <v>517</v>
      </c>
      <c r="AD24" s="44"/>
      <c r="AE24" s="44"/>
      <c r="AL24" s="8">
        <v>10</v>
      </c>
    </row>
    <row r="25" spans="1:49" hidden="1">
      <c r="A25" s="5" t="s">
        <v>220</v>
      </c>
      <c r="B25" s="5" t="s">
        <v>3587</v>
      </c>
      <c r="C25" s="76">
        <v>45128</v>
      </c>
      <c r="D25" s="55" t="s">
        <v>3631</v>
      </c>
      <c r="E25" s="5" t="s">
        <v>3589</v>
      </c>
      <c r="F25" s="29" t="s">
        <v>223</v>
      </c>
      <c r="G25" s="8" t="s">
        <v>3587</v>
      </c>
      <c r="H25" s="78" t="s">
        <v>3632</v>
      </c>
      <c r="I25" s="43">
        <f>IF(SUM(P25:AX25)=0,"-",SUM(P25:AX25))</f>
        <v>1.5</v>
      </c>
      <c r="J25" s="52">
        <f>IF(SUMPRODUCT($P$3:$AX$3,P25:AX25)=0,"-",SUMPRODUCT($P$3:$AX$3,P25:AX25))</f>
        <v>750</v>
      </c>
      <c r="K25" s="98" t="s">
        <v>3633</v>
      </c>
      <c r="L25" s="81">
        <v>4200648726</v>
      </c>
      <c r="M25" s="38" t="s">
        <v>249</v>
      </c>
      <c r="N25" s="172" t="s">
        <v>481</v>
      </c>
      <c r="O25" s="324" t="s">
        <v>517</v>
      </c>
      <c r="U25" s="8">
        <v>1.5</v>
      </c>
    </row>
    <row r="26" spans="1:49" hidden="1">
      <c r="A26" s="5" t="s">
        <v>220</v>
      </c>
      <c r="B26" s="5" t="s">
        <v>3587</v>
      </c>
      <c r="C26" s="76">
        <v>45161</v>
      </c>
      <c r="D26" s="55" t="s">
        <v>3634</v>
      </c>
      <c r="E26" s="5" t="s">
        <v>3589</v>
      </c>
      <c r="F26" s="29" t="s">
        <v>223</v>
      </c>
      <c r="G26" s="8" t="s">
        <v>3587</v>
      </c>
      <c r="H26" s="78" t="s">
        <v>3635</v>
      </c>
      <c r="I26" s="43">
        <v>1</v>
      </c>
      <c r="J26" s="52">
        <f>IF(SUMPRODUCT($P$3:$AX$3,P26:AX26)=0,"-",SUMPRODUCT($P$3:$AX$3,P26:AX26))</f>
        <v>500</v>
      </c>
      <c r="K26" s="98" t="s">
        <v>3636</v>
      </c>
      <c r="L26" s="81">
        <v>4200652637</v>
      </c>
      <c r="M26" s="81" t="s">
        <v>249</v>
      </c>
      <c r="N26" s="81" t="s">
        <v>481</v>
      </c>
      <c r="O26" s="324" t="s">
        <v>517</v>
      </c>
      <c r="AU26" s="8">
        <f>1/5</f>
        <v>0.2</v>
      </c>
    </row>
    <row r="27" spans="1:49" hidden="1">
      <c r="A27" s="5" t="s">
        <v>220</v>
      </c>
      <c r="B27" s="5" t="s">
        <v>3587</v>
      </c>
      <c r="C27" s="76">
        <v>45204</v>
      </c>
      <c r="D27" s="55" t="s">
        <v>3637</v>
      </c>
      <c r="E27" s="5" t="s">
        <v>3589</v>
      </c>
      <c r="F27" s="29" t="s">
        <v>223</v>
      </c>
      <c r="G27" s="8" t="s">
        <v>3587</v>
      </c>
      <c r="H27" s="78" t="s">
        <v>3638</v>
      </c>
      <c r="I27" s="43">
        <f>IF(SUM(P27:AX27)=0,"-",SUM(P27:AX27))</f>
        <v>2</v>
      </c>
      <c r="J27" s="52">
        <f>IF(SUMPRODUCT($P$3:$AX$3,P27:AX27)=0,"-",SUMPRODUCT($P$3:$AX$3,P27:AX27))</f>
        <v>360</v>
      </c>
      <c r="K27" s="98" t="s">
        <v>3639</v>
      </c>
      <c r="L27" s="119">
        <v>4200653984</v>
      </c>
      <c r="M27" s="81" t="s">
        <v>249</v>
      </c>
      <c r="N27" s="81" t="s">
        <v>481</v>
      </c>
      <c r="O27" s="324" t="s">
        <v>517</v>
      </c>
      <c r="AC27" s="8">
        <v>2</v>
      </c>
    </row>
    <row r="28" spans="1:49" hidden="1">
      <c r="A28" s="5" t="s">
        <v>220</v>
      </c>
      <c r="B28" s="5" t="s">
        <v>3587</v>
      </c>
      <c r="C28" s="76">
        <v>45204</v>
      </c>
      <c r="D28" s="55" t="s">
        <v>3640</v>
      </c>
      <c r="E28" s="5" t="s">
        <v>3589</v>
      </c>
      <c r="F28" s="29" t="s">
        <v>223</v>
      </c>
      <c r="G28" s="8" t="s">
        <v>3587</v>
      </c>
      <c r="H28" s="78" t="s">
        <v>3641</v>
      </c>
      <c r="I28" s="43">
        <f>IF(SUM(P28:AX28)=0,"-",SUM(P28:AX28))</f>
        <v>2</v>
      </c>
      <c r="J28" s="52">
        <f>IF(SUMPRODUCT($P$3:$AX$3,P28:AX28)=0,"-",SUMPRODUCT($P$3:$AX$3,P28:AX28))</f>
        <v>680</v>
      </c>
      <c r="K28" s="98" t="s">
        <v>3642</v>
      </c>
      <c r="L28" s="119">
        <v>4200653975</v>
      </c>
      <c r="M28" s="81" t="s">
        <v>249</v>
      </c>
      <c r="N28" s="81" t="s">
        <v>481</v>
      </c>
      <c r="O28" s="324" t="s">
        <v>517</v>
      </c>
      <c r="U28" s="8">
        <v>1</v>
      </c>
      <c r="AC28" s="8">
        <v>1</v>
      </c>
    </row>
    <row r="29" spans="1:49" hidden="1">
      <c r="A29" s="5" t="s">
        <v>220</v>
      </c>
      <c r="B29" s="5" t="s">
        <v>3587</v>
      </c>
      <c r="C29" s="76">
        <v>45209</v>
      </c>
      <c r="D29" s="55" t="s">
        <v>3643</v>
      </c>
      <c r="E29" s="5" t="s">
        <v>3589</v>
      </c>
      <c r="F29" s="29" t="s">
        <v>223</v>
      </c>
      <c r="G29" s="8" t="s">
        <v>3587</v>
      </c>
      <c r="H29" s="78" t="s">
        <v>3644</v>
      </c>
      <c r="I29" s="43">
        <f>IF(SUM(P29:AX29)=0,"-",SUM(P29:AX29))</f>
        <v>1</v>
      </c>
      <c r="J29" s="52">
        <f>IF(SUMPRODUCT($P$3:$AX$3,P29:AX29)=0,"-",SUMPRODUCT($P$3:$AX$3,P29:AX29))</f>
        <v>80</v>
      </c>
      <c r="K29" s="98" t="s">
        <v>3645</v>
      </c>
      <c r="L29" s="119">
        <v>4270026845</v>
      </c>
      <c r="M29" s="81" t="s">
        <v>249</v>
      </c>
      <c r="N29" s="81" t="s">
        <v>481</v>
      </c>
      <c r="O29" s="324" t="s">
        <v>517</v>
      </c>
      <c r="AO29" s="7">
        <v>1</v>
      </c>
    </row>
    <row r="30" spans="1:49" hidden="1">
      <c r="A30" s="5" t="s">
        <v>220</v>
      </c>
      <c r="B30" s="5" t="s">
        <v>3587</v>
      </c>
      <c r="C30" s="76">
        <v>45212</v>
      </c>
      <c r="D30" s="55" t="s">
        <v>3646</v>
      </c>
      <c r="E30" s="5" t="s">
        <v>3589</v>
      </c>
      <c r="F30" s="29" t="s">
        <v>223</v>
      </c>
      <c r="G30" s="8" t="s">
        <v>3587</v>
      </c>
      <c r="H30" s="78" t="s">
        <v>3647</v>
      </c>
      <c r="I30" s="43">
        <f>IF(SUM(P30:AX30)=0,"-",SUM(P30:AX30))</f>
        <v>2</v>
      </c>
      <c r="J30" s="52">
        <f>IF(SUMPRODUCT($P$3:$AX$3,P30:AX30)=0,"-",SUMPRODUCT($P$3:$AX$3,P30:AX30))</f>
        <v>240</v>
      </c>
      <c r="K30" s="98" t="s">
        <v>3648</v>
      </c>
      <c r="L30" s="119">
        <v>4200653973</v>
      </c>
      <c r="M30" s="81" t="s">
        <v>249</v>
      </c>
      <c r="N30" s="81" t="s">
        <v>481</v>
      </c>
      <c r="O30" s="324" t="s">
        <v>517</v>
      </c>
      <c r="P30" s="7">
        <v>2</v>
      </c>
    </row>
    <row r="31" spans="1:49" hidden="1">
      <c r="A31" s="5" t="s">
        <v>220</v>
      </c>
      <c r="B31" s="5" t="s">
        <v>3587</v>
      </c>
      <c r="C31" s="76">
        <v>45216</v>
      </c>
      <c r="D31" s="55" t="s">
        <v>3649</v>
      </c>
      <c r="E31" s="5" t="s">
        <v>3589</v>
      </c>
      <c r="F31" s="29" t="s">
        <v>223</v>
      </c>
      <c r="G31" s="8" t="s">
        <v>3587</v>
      </c>
      <c r="H31" s="78" t="s">
        <v>3650</v>
      </c>
      <c r="I31" s="43">
        <f>IF(SUM(P31:AX31)=0,"-",SUM(P31:AX31))</f>
        <v>1</v>
      </c>
      <c r="J31" s="52">
        <f>IF(SUMPRODUCT($P$3:$AX$3,P31:AX31)=0,"-",SUMPRODUCT($P$3:$AX$3,P31:AX31))</f>
        <v>180</v>
      </c>
      <c r="K31" s="98" t="s">
        <v>3651</v>
      </c>
      <c r="L31" s="119">
        <v>4200653982</v>
      </c>
      <c r="M31" s="81" t="s">
        <v>249</v>
      </c>
      <c r="N31" s="81" t="s">
        <v>481</v>
      </c>
      <c r="O31" s="324" t="s">
        <v>517</v>
      </c>
      <c r="AC31" s="8">
        <v>1</v>
      </c>
    </row>
    <row r="32" spans="1:49" hidden="1">
      <c r="A32" s="5" t="s">
        <v>220</v>
      </c>
      <c r="B32" s="5" t="s">
        <v>3587</v>
      </c>
      <c r="C32" s="42">
        <v>45044</v>
      </c>
      <c r="D32" s="55" t="s">
        <v>3652</v>
      </c>
      <c r="E32" s="5" t="s">
        <v>3589</v>
      </c>
      <c r="F32" s="29" t="s">
        <v>223</v>
      </c>
      <c r="G32" s="8" t="s">
        <v>3592</v>
      </c>
      <c r="H32" s="49" t="s">
        <v>481</v>
      </c>
      <c r="I32" s="43">
        <f>IF(SUM(P32:AX32)=0,"-",SUM(P32:AX32))</f>
        <v>3.4</v>
      </c>
      <c r="J32" s="33">
        <f>IF(SUMPRODUCT($P$3:$AX$3,P32:AX32)=0,"-",SUMPRODUCT($P$3:$AX$3,P32:AX32))</f>
        <v>2000</v>
      </c>
      <c r="K32" s="51">
        <v>45044</v>
      </c>
      <c r="L32" s="81">
        <v>4200646608</v>
      </c>
      <c r="M32" s="38" t="s">
        <v>249</v>
      </c>
      <c r="N32" s="172" t="s">
        <v>3653</v>
      </c>
      <c r="O32" s="324" t="s">
        <v>1255</v>
      </c>
      <c r="U32" s="8">
        <f>200/500</f>
        <v>0.4</v>
      </c>
      <c r="AD32" s="44"/>
      <c r="AE32" s="44"/>
      <c r="AI32" s="8">
        <f>3</f>
        <v>3</v>
      </c>
    </row>
    <row r="33" spans="1:32" hidden="1">
      <c r="A33" s="5" t="s">
        <v>220</v>
      </c>
      <c r="B33" s="5" t="s">
        <v>3587</v>
      </c>
      <c r="C33" s="103">
        <v>45376</v>
      </c>
      <c r="D33" s="55" t="s">
        <v>3654</v>
      </c>
      <c r="E33" s="5" t="s">
        <v>3589</v>
      </c>
      <c r="F33" s="81" t="s">
        <v>223</v>
      </c>
      <c r="G33" s="8" t="s">
        <v>3587</v>
      </c>
      <c r="H33" s="78" t="s">
        <v>3655</v>
      </c>
      <c r="I33" s="43">
        <f>IF(SUM(P33:AX33)=0,"-",SUM(P33:AX33))</f>
        <v>2</v>
      </c>
      <c r="J33" s="52">
        <f>IF(SUMPRODUCT($P$3:$AX$3,P33:AX33)=0,"-",SUMPRODUCT($P$3:$AX$3,P33:AX33))</f>
        <v>155</v>
      </c>
      <c r="K33" s="98" t="s">
        <v>3656</v>
      </c>
      <c r="L33" s="81">
        <v>4200663123</v>
      </c>
      <c r="M33" s="81" t="s">
        <v>249</v>
      </c>
      <c r="N33" s="81" t="s">
        <v>3657</v>
      </c>
      <c r="O33" s="357" t="s">
        <v>1492</v>
      </c>
      <c r="P33" s="7">
        <v>1</v>
      </c>
      <c r="Q33" s="8">
        <v>1</v>
      </c>
    </row>
    <row r="34" spans="1:32" hidden="1">
      <c r="A34" s="5" t="s">
        <v>220</v>
      </c>
      <c r="B34" s="5" t="s">
        <v>3587</v>
      </c>
      <c r="C34" s="103">
        <v>45567</v>
      </c>
      <c r="D34" s="106" t="s">
        <v>3658</v>
      </c>
      <c r="E34" s="5" t="s">
        <v>3659</v>
      </c>
      <c r="F34" s="81" t="s">
        <v>223</v>
      </c>
      <c r="G34" s="8" t="s">
        <v>3587</v>
      </c>
      <c r="H34" s="78" t="s">
        <v>3660</v>
      </c>
      <c r="I34" s="43">
        <f>IF(SUM(P34:AX34)=0,"-",SUM(P34:AX34))</f>
        <v>3</v>
      </c>
      <c r="J34" s="52">
        <f>IF(SUMPRODUCT($P$3:$AX$3,P34:AX34)=0,"-",SUMPRODUCT($P$3:$AX$3,P34:AX34))</f>
        <v>540</v>
      </c>
      <c r="K34" s="114" t="s">
        <v>3661</v>
      </c>
      <c r="L34" s="81">
        <v>4200673939</v>
      </c>
      <c r="M34" s="81" t="s">
        <v>249</v>
      </c>
      <c r="N34" s="81" t="s">
        <v>3662</v>
      </c>
      <c r="O34" s="329" t="s">
        <v>1675</v>
      </c>
      <c r="AC34" s="8">
        <v>3</v>
      </c>
    </row>
    <row r="35" spans="1:32" hidden="1">
      <c r="A35" s="5" t="s">
        <v>220</v>
      </c>
      <c r="B35" s="5" t="s">
        <v>3587</v>
      </c>
      <c r="C35" s="103">
        <v>45378</v>
      </c>
      <c r="D35" s="56" t="s">
        <v>3663</v>
      </c>
      <c r="E35" s="5" t="s">
        <v>3664</v>
      </c>
      <c r="F35" s="81" t="s">
        <v>223</v>
      </c>
      <c r="G35" s="8" t="s">
        <v>3587</v>
      </c>
      <c r="H35" s="78" t="s">
        <v>3665</v>
      </c>
      <c r="I35" s="43">
        <f>IF(SUM(P35:AX35)=0,"-",SUM(P35:AX35))</f>
        <v>6</v>
      </c>
      <c r="J35" s="33">
        <f>IF(SUMPRODUCT($P$3:$AX$3,P35:AX35)=0,"-",SUMPRODUCT($P$3:$AX$3,P35:AX35))</f>
        <v>210</v>
      </c>
      <c r="K35" s="98" t="s">
        <v>3666</v>
      </c>
      <c r="L35" s="102">
        <v>4200668016</v>
      </c>
      <c r="M35" s="81" t="s">
        <v>249</v>
      </c>
      <c r="N35" s="81" t="s">
        <v>3667</v>
      </c>
      <c r="O35" s="326" t="s">
        <v>1573</v>
      </c>
      <c r="AF35" s="7">
        <v>6</v>
      </c>
    </row>
    <row r="36" spans="1:32" hidden="1">
      <c r="A36" s="5" t="s">
        <v>220</v>
      </c>
      <c r="B36" s="5" t="s">
        <v>3587</v>
      </c>
      <c r="C36" s="103">
        <v>45427</v>
      </c>
      <c r="D36" s="106" t="s">
        <v>3668</v>
      </c>
      <c r="E36" s="5" t="s">
        <v>3669</v>
      </c>
      <c r="F36" s="81" t="s">
        <v>223</v>
      </c>
      <c r="G36" s="8" t="s">
        <v>3587</v>
      </c>
      <c r="H36" s="78" t="s">
        <v>3670</v>
      </c>
      <c r="I36" s="43">
        <f>IF(SUM(P36:AX36)=0,"-",SUM(P36:AX36))</f>
        <v>1</v>
      </c>
      <c r="J36" s="52">
        <f>IF(SUMPRODUCT($P$3:$AX$3,P36:AX36)=0,"-",SUMPRODUCT($P$3:$AX$3,P36:AX36))</f>
        <v>120</v>
      </c>
      <c r="K36" s="81"/>
      <c r="L36" s="102">
        <v>4200667857</v>
      </c>
      <c r="M36" s="81" t="s">
        <v>249</v>
      </c>
      <c r="N36" s="81" t="s">
        <v>3671</v>
      </c>
      <c r="O36" s="325" t="s">
        <v>1573</v>
      </c>
      <c r="P36" s="7">
        <v>1</v>
      </c>
    </row>
    <row r="37" spans="1:32" hidden="1">
      <c r="A37" s="5" t="s">
        <v>220</v>
      </c>
      <c r="B37" s="5" t="s">
        <v>3587</v>
      </c>
      <c r="C37" s="103">
        <v>45427</v>
      </c>
      <c r="D37" s="106" t="s">
        <v>3672</v>
      </c>
      <c r="E37" s="5" t="s">
        <v>3664</v>
      </c>
      <c r="F37" s="81" t="s">
        <v>223</v>
      </c>
      <c r="G37" s="8" t="s">
        <v>3587</v>
      </c>
      <c r="H37" s="78" t="s">
        <v>3673</v>
      </c>
      <c r="I37" s="43">
        <f>IF(SUM(P37:AX37)=0,"-",SUM(P37:AX37))</f>
        <v>8</v>
      </c>
      <c r="J37" s="52">
        <f>IF(SUMPRODUCT($P$3:$AX$3,P37:AX37)=0,"-",SUMPRODUCT($P$3:$AX$3,P37:AX37))</f>
        <v>560</v>
      </c>
      <c r="K37" s="81"/>
      <c r="L37" s="102">
        <v>4200668022</v>
      </c>
      <c r="M37" s="81" t="s">
        <v>249</v>
      </c>
      <c r="N37" s="81" t="s">
        <v>3674</v>
      </c>
      <c r="O37" s="325" t="s">
        <v>1573</v>
      </c>
      <c r="P37" s="7">
        <v>3</v>
      </c>
      <c r="Q37" s="8">
        <v>4</v>
      </c>
      <c r="S37" s="8">
        <v>1</v>
      </c>
    </row>
    <row r="38" spans="1:32" hidden="1">
      <c r="A38" s="5" t="s">
        <v>220</v>
      </c>
      <c r="B38" s="5" t="s">
        <v>3587</v>
      </c>
      <c r="C38" s="103">
        <v>45433</v>
      </c>
      <c r="D38" s="106" t="s">
        <v>3675</v>
      </c>
      <c r="E38" s="5" t="s">
        <v>3669</v>
      </c>
      <c r="F38" s="81" t="s">
        <v>223</v>
      </c>
      <c r="G38" s="8" t="s">
        <v>3587</v>
      </c>
      <c r="H38" s="78" t="s">
        <v>3676</v>
      </c>
      <c r="I38" s="43">
        <f>IF(SUM(P38:AX38)=0,"-",SUM(P38:AX38))</f>
        <v>7</v>
      </c>
      <c r="J38" s="52">
        <f>IF(SUMPRODUCT($P$3:$AX$3,P38:AX38)=0,"-",SUMPRODUCT($P$3:$AX$3,P38:AX38))</f>
        <v>415</v>
      </c>
      <c r="K38" s="81"/>
      <c r="L38" s="102">
        <v>4200667860</v>
      </c>
      <c r="M38" s="81" t="s">
        <v>249</v>
      </c>
      <c r="N38" s="81" t="s">
        <v>3677</v>
      </c>
      <c r="O38" s="325" t="s">
        <v>1573</v>
      </c>
      <c r="P38" s="7">
        <v>2</v>
      </c>
      <c r="Q38" s="8">
        <v>5</v>
      </c>
    </row>
    <row r="39" spans="1:32" hidden="1">
      <c r="A39" s="5" t="s">
        <v>220</v>
      </c>
      <c r="B39" s="5" t="s">
        <v>3587</v>
      </c>
      <c r="C39" s="76">
        <v>45250</v>
      </c>
      <c r="D39" s="55" t="s">
        <v>3678</v>
      </c>
      <c r="E39" s="5" t="s">
        <v>3589</v>
      </c>
      <c r="F39" s="29" t="s">
        <v>223</v>
      </c>
      <c r="G39" s="8" t="s">
        <v>3587</v>
      </c>
      <c r="H39" s="49" t="s">
        <v>481</v>
      </c>
      <c r="I39" s="43">
        <v>50</v>
      </c>
      <c r="J39" s="52">
        <v>2500</v>
      </c>
      <c r="K39" s="98" t="s">
        <v>3679</v>
      </c>
      <c r="L39" s="123">
        <v>4200655390</v>
      </c>
      <c r="M39" s="171" t="s">
        <v>249</v>
      </c>
      <c r="N39" s="123" t="s">
        <v>3680</v>
      </c>
      <c r="O39" s="326" t="s">
        <v>3681</v>
      </c>
      <c r="AF39" s="7">
        <v>50</v>
      </c>
    </row>
    <row r="40" spans="1:32" hidden="1">
      <c r="A40" s="5" t="s">
        <v>220</v>
      </c>
      <c r="B40" s="5" t="s">
        <v>3587</v>
      </c>
      <c r="C40" s="103">
        <v>45386</v>
      </c>
      <c r="D40" s="55" t="s">
        <v>3682</v>
      </c>
      <c r="E40" s="5" t="s">
        <v>3669</v>
      </c>
      <c r="F40" s="81" t="s">
        <v>223</v>
      </c>
      <c r="G40" s="8" t="s">
        <v>3587</v>
      </c>
      <c r="H40" s="78" t="s">
        <v>3683</v>
      </c>
      <c r="I40" s="43">
        <f>IF(SUM(P40:AX40)=0,"-",SUM(P40:AX40))</f>
        <v>2</v>
      </c>
      <c r="J40" s="52">
        <f>IF(SUMPRODUCT($P$3:$AX$3,P40:AX40)=0,"-",SUMPRODUCT($P$3:$AX$3,P40:AX40))</f>
        <v>80</v>
      </c>
      <c r="K40" s="98" t="s">
        <v>3684</v>
      </c>
      <c r="L40" s="102">
        <v>4270028154</v>
      </c>
      <c r="M40" s="81" t="s">
        <v>249</v>
      </c>
      <c r="N40" s="81" t="s">
        <v>3685</v>
      </c>
      <c r="O40" s="357" t="s">
        <v>1562</v>
      </c>
      <c r="X40" s="8">
        <v>2</v>
      </c>
    </row>
    <row r="41" spans="1:32" hidden="1">
      <c r="A41" s="5" t="s">
        <v>220</v>
      </c>
      <c r="B41" s="5" t="s">
        <v>3587</v>
      </c>
      <c r="C41" s="103">
        <v>45406</v>
      </c>
      <c r="D41" s="106" t="s">
        <v>3686</v>
      </c>
      <c r="E41" s="5" t="s">
        <v>3669</v>
      </c>
      <c r="F41" s="81" t="s">
        <v>223</v>
      </c>
      <c r="G41" s="8" t="s">
        <v>3587</v>
      </c>
      <c r="H41" s="78" t="s">
        <v>3687</v>
      </c>
      <c r="I41" s="43">
        <f>IF(SUM(P41:AX41)=0,"-",SUM(P41:AX41))</f>
        <v>2</v>
      </c>
      <c r="J41" s="52">
        <f>IF(SUMPRODUCT($P$3:$AX$3,P41:AX41)=0,"-",SUMPRODUCT($P$3:$AX$3,P41:AX41))</f>
        <v>80</v>
      </c>
      <c r="K41" s="98" t="s">
        <v>3688</v>
      </c>
      <c r="L41" s="102">
        <v>4270028165</v>
      </c>
      <c r="M41" s="81" t="s">
        <v>249</v>
      </c>
      <c r="N41" s="81" t="s">
        <v>3689</v>
      </c>
      <c r="O41" s="357" t="s">
        <v>1562</v>
      </c>
      <c r="X41" s="8">
        <v>2</v>
      </c>
    </row>
    <row r="42" spans="1:32" hidden="1">
      <c r="A42" s="5" t="s">
        <v>220</v>
      </c>
      <c r="B42" s="5" t="s">
        <v>3587</v>
      </c>
      <c r="C42" s="103">
        <v>45418</v>
      </c>
      <c r="D42" s="55" t="s">
        <v>3690</v>
      </c>
      <c r="E42" s="5" t="s">
        <v>3669</v>
      </c>
      <c r="F42" s="81" t="s">
        <v>223</v>
      </c>
      <c r="G42" s="8" t="s">
        <v>3587</v>
      </c>
      <c r="H42" s="5" t="s">
        <v>3691</v>
      </c>
      <c r="I42" s="8">
        <v>1</v>
      </c>
      <c r="J42" s="34">
        <f>1315*1.05</f>
        <v>1380.75</v>
      </c>
      <c r="K42" s="98" t="s">
        <v>3692</v>
      </c>
      <c r="L42" s="81">
        <v>4200666139</v>
      </c>
      <c r="M42" s="81" t="s">
        <v>249</v>
      </c>
      <c r="N42" s="81" t="s">
        <v>3693</v>
      </c>
      <c r="O42" s="357" t="s">
        <v>1562</v>
      </c>
    </row>
    <row r="43" spans="1:32" hidden="1">
      <c r="A43" s="5" t="s">
        <v>220</v>
      </c>
      <c r="B43" s="5" t="s">
        <v>3587</v>
      </c>
      <c r="C43" s="103">
        <v>45418</v>
      </c>
      <c r="D43" s="55" t="s">
        <v>3694</v>
      </c>
      <c r="E43" s="5" t="s">
        <v>3669</v>
      </c>
      <c r="F43" s="81" t="s">
        <v>223</v>
      </c>
      <c r="G43" s="8" t="s">
        <v>3587</v>
      </c>
      <c r="H43" s="5" t="s">
        <v>3691</v>
      </c>
      <c r="I43" s="8">
        <v>1</v>
      </c>
      <c r="J43" s="34">
        <f>731*1.05</f>
        <v>767.55000000000007</v>
      </c>
      <c r="K43" s="98" t="s">
        <v>3695</v>
      </c>
      <c r="L43" s="81">
        <v>4200666145</v>
      </c>
      <c r="M43" s="81" t="s">
        <v>249</v>
      </c>
      <c r="N43" s="81" t="s">
        <v>3696</v>
      </c>
      <c r="O43" s="357" t="s">
        <v>1562</v>
      </c>
    </row>
    <row r="44" spans="1:32" hidden="1">
      <c r="A44" s="5" t="s">
        <v>220</v>
      </c>
      <c r="B44" s="5" t="s">
        <v>3587</v>
      </c>
      <c r="C44" s="103">
        <v>45418</v>
      </c>
      <c r="D44" s="55" t="s">
        <v>3697</v>
      </c>
      <c r="E44" s="5" t="s">
        <v>3669</v>
      </c>
      <c r="F44" s="81" t="s">
        <v>223</v>
      </c>
      <c r="G44" s="8" t="s">
        <v>3587</v>
      </c>
      <c r="H44" s="5" t="s">
        <v>3691</v>
      </c>
      <c r="I44" s="8">
        <v>1</v>
      </c>
      <c r="J44" s="34">
        <f>1054*1.05</f>
        <v>1106.7</v>
      </c>
      <c r="K44" s="98" t="s">
        <v>3698</v>
      </c>
      <c r="L44" s="81">
        <v>4200666138</v>
      </c>
      <c r="M44" s="81" t="s">
        <v>249</v>
      </c>
      <c r="N44" s="81" t="s">
        <v>3699</v>
      </c>
      <c r="O44" s="357" t="s">
        <v>1562</v>
      </c>
    </row>
    <row r="45" spans="1:32" hidden="1">
      <c r="A45" s="5" t="s">
        <v>220</v>
      </c>
      <c r="B45" s="5" t="s">
        <v>3587</v>
      </c>
      <c r="C45" s="103">
        <v>45326</v>
      </c>
      <c r="D45" s="55" t="s">
        <v>3700</v>
      </c>
      <c r="E45" s="5" t="s">
        <v>3589</v>
      </c>
      <c r="F45" s="81" t="s">
        <v>223</v>
      </c>
      <c r="G45" s="8" t="s">
        <v>3587</v>
      </c>
      <c r="H45" s="53" t="s">
        <v>481</v>
      </c>
      <c r="I45" s="8">
        <v>20</v>
      </c>
      <c r="J45" s="34">
        <f>150*I45</f>
        <v>3000</v>
      </c>
      <c r="K45" s="98" t="s">
        <v>3701</v>
      </c>
      <c r="L45" s="102">
        <v>4200668240</v>
      </c>
      <c r="M45" s="81" t="s">
        <v>249</v>
      </c>
      <c r="N45" s="81" t="s">
        <v>3702</v>
      </c>
      <c r="O45" s="325" t="s">
        <v>3703</v>
      </c>
    </row>
    <row r="46" spans="1:32" hidden="1">
      <c r="A46" s="5" t="s">
        <v>220</v>
      </c>
      <c r="B46" s="5" t="s">
        <v>3587</v>
      </c>
      <c r="C46" s="103">
        <v>45392</v>
      </c>
      <c r="D46" s="55" t="s">
        <v>3704</v>
      </c>
      <c r="E46" s="5" t="s">
        <v>3589</v>
      </c>
      <c r="F46" s="81" t="s">
        <v>223</v>
      </c>
      <c r="G46" s="8" t="s">
        <v>3587</v>
      </c>
      <c r="H46" s="78" t="s">
        <v>3705</v>
      </c>
      <c r="I46" s="43">
        <f>IF(SUM(P46:AX46)=0,"-",SUM(P46:AX46))</f>
        <v>6</v>
      </c>
      <c r="J46" s="52">
        <f>IF(SUMPRODUCT($P$3:$AX$3,P46:AX46)=0,"-",SUMPRODUCT($P$3:$AX$3,P46:AX46))</f>
        <v>210</v>
      </c>
      <c r="K46" s="98" t="s">
        <v>3706</v>
      </c>
      <c r="L46" s="102">
        <v>4200668230</v>
      </c>
      <c r="M46" s="81" t="s">
        <v>249</v>
      </c>
      <c r="N46" s="81" t="s">
        <v>3707</v>
      </c>
      <c r="O46" s="325" t="s">
        <v>3703</v>
      </c>
      <c r="Q46" s="8">
        <v>6</v>
      </c>
    </row>
    <row r="47" spans="1:32" hidden="1">
      <c r="A47" s="5" t="s">
        <v>220</v>
      </c>
      <c r="B47" s="5" t="s">
        <v>3587</v>
      </c>
      <c r="C47" s="103">
        <v>45396</v>
      </c>
      <c r="D47" s="55" t="s">
        <v>3708</v>
      </c>
      <c r="E47" s="5" t="s">
        <v>3589</v>
      </c>
      <c r="F47" s="81" t="s">
        <v>223</v>
      </c>
      <c r="G47" s="8" t="s">
        <v>3592</v>
      </c>
      <c r="H47" s="78" t="s">
        <v>3709</v>
      </c>
      <c r="I47" s="43">
        <f>IF(SUM(P47:AX47)=0,"-",SUM(P47:AX47))</f>
        <v>26</v>
      </c>
      <c r="J47" s="52">
        <f>IF(SUMPRODUCT($P$3:$AX$3,P47:AX47)=0,"-",SUMPRODUCT($P$3:$AX$3,P47:AX47))</f>
        <v>1880</v>
      </c>
      <c r="K47" s="98" t="s">
        <v>3710</v>
      </c>
      <c r="L47" s="102">
        <v>4200668241</v>
      </c>
      <c r="M47" s="81" t="s">
        <v>249</v>
      </c>
      <c r="N47" s="81" t="s">
        <v>3711</v>
      </c>
      <c r="O47" s="325" t="s">
        <v>3703</v>
      </c>
      <c r="X47" s="8">
        <v>20</v>
      </c>
      <c r="Y47" s="8">
        <v>6</v>
      </c>
    </row>
    <row r="48" spans="1:32" hidden="1">
      <c r="A48" s="5" t="s">
        <v>220</v>
      </c>
      <c r="B48" s="5" t="s">
        <v>3587</v>
      </c>
      <c r="C48" s="103">
        <v>45412</v>
      </c>
      <c r="D48" s="106" t="s">
        <v>3712</v>
      </c>
      <c r="E48" s="5" t="s">
        <v>3589</v>
      </c>
      <c r="F48" s="81" t="s">
        <v>223</v>
      </c>
      <c r="G48" s="8" t="s">
        <v>3592</v>
      </c>
      <c r="H48" s="78" t="s">
        <v>3713</v>
      </c>
      <c r="I48" s="43">
        <f>IF(SUM(P48:AX48)=0,"-",SUM(P48:AX48))</f>
        <v>1</v>
      </c>
      <c r="J48" s="52">
        <f>IF(SUMPRODUCT($P$3:$AX$3,P48:AX48)=0,"-",SUMPRODUCT($P$3:$AX$3,P48:AX48))</f>
        <v>40</v>
      </c>
      <c r="K48" s="98" t="s">
        <v>3714</v>
      </c>
      <c r="L48" s="102">
        <v>4270028377</v>
      </c>
      <c r="M48" s="81" t="s">
        <v>249</v>
      </c>
      <c r="N48" s="81" t="s">
        <v>3715</v>
      </c>
      <c r="O48" s="325" t="s">
        <v>3703</v>
      </c>
      <c r="X48" s="8">
        <v>1</v>
      </c>
    </row>
    <row r="49" spans="1:46" hidden="1">
      <c r="A49" s="5" t="s">
        <v>220</v>
      </c>
      <c r="B49" s="5" t="s">
        <v>3587</v>
      </c>
      <c r="C49" s="103">
        <v>45326</v>
      </c>
      <c r="D49" s="55" t="s">
        <v>3716</v>
      </c>
      <c r="E49" s="5" t="s">
        <v>3669</v>
      </c>
      <c r="F49" s="81" t="s">
        <v>223</v>
      </c>
      <c r="G49" s="8" t="s">
        <v>3587</v>
      </c>
      <c r="H49" s="78" t="s">
        <v>3717</v>
      </c>
      <c r="I49" s="8">
        <v>1</v>
      </c>
      <c r="J49" s="52">
        <f>IF(SUMPRODUCT($P$3:$AX$3,P49:AX49)=0,"-",SUMPRODUCT($P$3:$AX$3,P49:AX49))</f>
        <v>135</v>
      </c>
      <c r="K49" s="98" t="s">
        <v>3718</v>
      </c>
      <c r="L49" s="102">
        <v>4200662797</v>
      </c>
      <c r="M49" s="81" t="s">
        <v>249</v>
      </c>
      <c r="N49" s="81" t="s">
        <v>3719</v>
      </c>
      <c r="O49" s="357" t="s">
        <v>1416</v>
      </c>
      <c r="W49" s="7">
        <v>1</v>
      </c>
    </row>
    <row r="50" spans="1:46" hidden="1">
      <c r="A50" s="5" t="s">
        <v>220</v>
      </c>
      <c r="B50" s="5" t="s">
        <v>3587</v>
      </c>
      <c r="C50" s="103">
        <v>45331</v>
      </c>
      <c r="D50" s="55" t="s">
        <v>3720</v>
      </c>
      <c r="E50" s="5" t="s">
        <v>3669</v>
      </c>
      <c r="F50" s="81" t="s">
        <v>223</v>
      </c>
      <c r="G50" s="8" t="s">
        <v>3587</v>
      </c>
      <c r="I50" s="43">
        <f>IF(SUM(P50:AX50)=0,"-",SUM(P50:AX50))</f>
        <v>2</v>
      </c>
      <c r="J50" s="52">
        <f>IF(SUMPRODUCT($P$3:$AX$3,P50:AX50)=0,"-",SUMPRODUCT($P$3:$AX$3,P50:AX50))</f>
        <v>70</v>
      </c>
      <c r="K50" s="98" t="s">
        <v>3721</v>
      </c>
      <c r="L50" s="81">
        <v>4270027844</v>
      </c>
      <c r="M50" s="81" t="s">
        <v>249</v>
      </c>
      <c r="N50" s="81" t="s">
        <v>3722</v>
      </c>
      <c r="O50" s="357" t="s">
        <v>1416</v>
      </c>
      <c r="Q50" s="8">
        <v>2</v>
      </c>
    </row>
    <row r="51" spans="1:46" hidden="1">
      <c r="A51" s="5" t="s">
        <v>220</v>
      </c>
      <c r="B51" s="5" t="s">
        <v>3587</v>
      </c>
      <c r="C51" s="103">
        <v>45356</v>
      </c>
      <c r="D51" s="55" t="s">
        <v>3723</v>
      </c>
      <c r="E51" s="5" t="s">
        <v>3589</v>
      </c>
      <c r="F51" s="81" t="s">
        <v>223</v>
      </c>
      <c r="G51" s="8" t="s">
        <v>3587</v>
      </c>
      <c r="I51" s="43">
        <v>10</v>
      </c>
      <c r="J51" s="52">
        <v>3500</v>
      </c>
      <c r="K51" s="98" t="s">
        <v>3724</v>
      </c>
      <c r="L51" s="102">
        <v>4200663136</v>
      </c>
      <c r="M51" s="81" t="s">
        <v>249</v>
      </c>
      <c r="N51" s="81" t="s">
        <v>3725</v>
      </c>
      <c r="O51" s="357" t="s">
        <v>1416</v>
      </c>
    </row>
    <row r="52" spans="1:46" hidden="1">
      <c r="A52" s="5" t="s">
        <v>220</v>
      </c>
      <c r="B52" s="5" t="s">
        <v>3587</v>
      </c>
      <c r="C52" s="103">
        <v>45361</v>
      </c>
      <c r="D52" s="55" t="s">
        <v>3726</v>
      </c>
      <c r="E52" s="5" t="s">
        <v>3589</v>
      </c>
      <c r="F52" s="81" t="s">
        <v>223</v>
      </c>
      <c r="G52" s="8" t="s">
        <v>3587</v>
      </c>
      <c r="H52" s="30" t="s">
        <v>3727</v>
      </c>
      <c r="I52" s="43">
        <f>IF(SUM(P52:AX52)=0,"-",SUM(P52:AX52))</f>
        <v>10</v>
      </c>
      <c r="J52" s="52">
        <f>IF(SUMPRODUCT($P$3:$AX$3,P52:AX52)=0,"-",SUMPRODUCT($P$3:$AX$3,P52:AX52))</f>
        <v>3000</v>
      </c>
      <c r="K52" s="98" t="s">
        <v>3728</v>
      </c>
      <c r="L52" s="81">
        <v>4200663134</v>
      </c>
      <c r="M52" s="81" t="s">
        <v>249</v>
      </c>
      <c r="N52" s="81" t="s">
        <v>3729</v>
      </c>
      <c r="O52" s="357" t="s">
        <v>1416</v>
      </c>
      <c r="AT52" s="7">
        <v>10</v>
      </c>
    </row>
    <row r="53" spans="1:46" hidden="1">
      <c r="A53" s="5" t="s">
        <v>220</v>
      </c>
      <c r="B53" s="5" t="s">
        <v>3587</v>
      </c>
      <c r="C53" s="103">
        <v>45361</v>
      </c>
      <c r="D53" s="55" t="s">
        <v>3726</v>
      </c>
      <c r="E53" s="5" t="s">
        <v>3589</v>
      </c>
      <c r="F53" s="81" t="s">
        <v>223</v>
      </c>
      <c r="G53" s="8" t="s">
        <v>3587</v>
      </c>
      <c r="H53" s="30" t="s">
        <v>3727</v>
      </c>
      <c r="I53" s="43">
        <v>2</v>
      </c>
      <c r="J53" s="52">
        <f>IF(SUMPRODUCT($P$3:$AX$3,P53:AX53)=0,"-",SUMPRODUCT($P$3:$AX$3,P53:AX53))</f>
        <v>600</v>
      </c>
      <c r="K53" s="98" t="s">
        <v>3730</v>
      </c>
      <c r="L53" s="81">
        <v>4200663135</v>
      </c>
      <c r="M53" s="81" t="s">
        <v>249</v>
      </c>
      <c r="N53" s="81" t="s">
        <v>3731</v>
      </c>
      <c r="O53" s="357" t="s">
        <v>1416</v>
      </c>
      <c r="AT53" s="7">
        <v>2</v>
      </c>
    </row>
    <row r="54" spans="1:46" hidden="1">
      <c r="A54" s="5" t="s">
        <v>220</v>
      </c>
      <c r="B54" s="5" t="s">
        <v>3587</v>
      </c>
      <c r="C54" s="103">
        <v>45369</v>
      </c>
      <c r="D54" s="55" t="s">
        <v>3732</v>
      </c>
      <c r="E54" s="5" t="s">
        <v>3669</v>
      </c>
      <c r="F54" s="81" t="s">
        <v>223</v>
      </c>
      <c r="G54" s="8" t="s">
        <v>3587</v>
      </c>
      <c r="H54" s="49" t="s">
        <v>481</v>
      </c>
      <c r="I54" s="8">
        <v>1</v>
      </c>
      <c r="J54" s="34">
        <f>5668*1.05</f>
        <v>5951.4000000000005</v>
      </c>
      <c r="K54" s="100" t="s">
        <v>3733</v>
      </c>
      <c r="L54" s="81">
        <v>4200662884</v>
      </c>
      <c r="M54" s="81" t="s">
        <v>249</v>
      </c>
      <c r="N54" s="81" t="s">
        <v>3734</v>
      </c>
      <c r="O54" s="357" t="s">
        <v>1416</v>
      </c>
    </row>
    <row r="55" spans="1:46" hidden="1">
      <c r="A55" s="5" t="s">
        <v>220</v>
      </c>
      <c r="B55" s="5" t="s">
        <v>3587</v>
      </c>
      <c r="C55" s="76">
        <v>45387</v>
      </c>
      <c r="D55" s="55" t="s">
        <v>3735</v>
      </c>
      <c r="E55" s="5" t="s">
        <v>3669</v>
      </c>
      <c r="F55" s="29" t="s">
        <v>223</v>
      </c>
      <c r="G55" s="8" t="s">
        <v>3587</v>
      </c>
      <c r="H55" s="78" t="s">
        <v>3736</v>
      </c>
      <c r="I55" s="43">
        <f>IF(SUM(P55:AX55)=0,"-",SUM(P55:AX55))</f>
        <v>1</v>
      </c>
      <c r="J55" s="62">
        <f>IF(SUMPRODUCT($P$3:$AX$3,P55:AX55)=0,"-",SUMPRODUCT($P$3:$AX$3,P55:AX55))</f>
        <v>135</v>
      </c>
      <c r="K55" s="297"/>
      <c r="L55" s="211">
        <v>4200662797</v>
      </c>
      <c r="M55" s="211" t="s">
        <v>249</v>
      </c>
      <c r="N55" s="211" t="s">
        <v>3719</v>
      </c>
      <c r="O55" s="357" t="s">
        <v>1416</v>
      </c>
      <c r="W55" s="7">
        <v>1</v>
      </c>
    </row>
    <row r="56" spans="1:46" hidden="1">
      <c r="A56" s="5" t="s">
        <v>220</v>
      </c>
      <c r="B56" s="5" t="s">
        <v>3587</v>
      </c>
      <c r="C56" s="76">
        <v>45265</v>
      </c>
      <c r="D56" s="55" t="s">
        <v>3737</v>
      </c>
      <c r="E56" s="5" t="s">
        <v>3738</v>
      </c>
      <c r="F56" s="29" t="s">
        <v>223</v>
      </c>
      <c r="G56" s="8" t="s">
        <v>3587</v>
      </c>
      <c r="H56" s="78" t="s">
        <v>3739</v>
      </c>
      <c r="I56" s="43">
        <f>IF(SUM(P56:AX56)=0,"-",SUM(P56:AX56))</f>
        <v>5</v>
      </c>
      <c r="J56" s="52">
        <v>200</v>
      </c>
      <c r="K56" s="98" t="s">
        <v>3740</v>
      </c>
      <c r="L56" s="81">
        <v>4200657446</v>
      </c>
      <c r="M56" s="81" t="s">
        <v>249</v>
      </c>
      <c r="N56" s="81" t="s">
        <v>3741</v>
      </c>
      <c r="O56" s="327" t="s">
        <v>1317</v>
      </c>
      <c r="AF56" s="7">
        <v>5</v>
      </c>
    </row>
    <row r="57" spans="1:46" hidden="1">
      <c r="A57" s="5" t="s">
        <v>220</v>
      </c>
      <c r="B57" s="5" t="s">
        <v>3587</v>
      </c>
      <c r="C57" s="76">
        <v>45247</v>
      </c>
      <c r="D57" s="55" t="s">
        <v>3742</v>
      </c>
      <c r="E57" s="5" t="s">
        <v>3589</v>
      </c>
      <c r="F57" s="29" t="s">
        <v>223</v>
      </c>
      <c r="G57" s="8" t="s">
        <v>3587</v>
      </c>
      <c r="H57" s="49" t="s">
        <v>481</v>
      </c>
      <c r="I57" s="43">
        <v>1</v>
      </c>
      <c r="J57" s="52">
        <v>2350</v>
      </c>
      <c r="K57" s="98" t="s">
        <v>3743</v>
      </c>
      <c r="L57" s="81">
        <v>4200655541</v>
      </c>
      <c r="M57" s="81" t="s">
        <v>249</v>
      </c>
      <c r="N57" s="81" t="s">
        <v>3744</v>
      </c>
      <c r="O57" s="326" t="s">
        <v>3745</v>
      </c>
    </row>
    <row r="58" spans="1:46" ht="45.75" hidden="1">
      <c r="A58" s="5" t="s">
        <v>220</v>
      </c>
      <c r="B58" s="5" t="s">
        <v>3587</v>
      </c>
      <c r="C58" s="103">
        <v>45326</v>
      </c>
      <c r="D58" s="55" t="s">
        <v>3746</v>
      </c>
      <c r="E58" s="5" t="s">
        <v>3589</v>
      </c>
      <c r="F58" s="81" t="s">
        <v>223</v>
      </c>
      <c r="G58" s="8" t="s">
        <v>3587</v>
      </c>
      <c r="H58" s="53" t="s">
        <v>481</v>
      </c>
      <c r="I58" s="8">
        <v>37</v>
      </c>
      <c r="J58" s="34">
        <f>(I58*150)-50</f>
        <v>5500</v>
      </c>
      <c r="K58" s="330" t="s">
        <v>3747</v>
      </c>
      <c r="L58" s="123">
        <v>4200663157</v>
      </c>
      <c r="M58" s="123" t="s">
        <v>249</v>
      </c>
      <c r="N58" s="171" t="s">
        <v>3748</v>
      </c>
      <c r="O58" s="365" t="s">
        <v>3749</v>
      </c>
    </row>
    <row r="59" spans="1:46" hidden="1">
      <c r="A59" s="5" t="s">
        <v>220</v>
      </c>
      <c r="B59" s="5" t="s">
        <v>3587</v>
      </c>
      <c r="C59" s="76">
        <v>45229</v>
      </c>
      <c r="D59" s="55" t="s">
        <v>3750</v>
      </c>
      <c r="E59" s="5" t="s">
        <v>3589</v>
      </c>
      <c r="F59" s="29" t="s">
        <v>223</v>
      </c>
      <c r="G59" s="8" t="s">
        <v>3587</v>
      </c>
      <c r="H59" s="78" t="s">
        <v>3751</v>
      </c>
      <c r="I59" s="43">
        <f>IF(SUM(P59:AX59)=0,"-",SUM(P59:AX59))</f>
        <v>2</v>
      </c>
      <c r="J59" s="52">
        <f>IF(SUMPRODUCT($P$3:$AX$3,P59:AX59)=0,"-",SUMPRODUCT($P$3:$AX$3,P59:AX59))</f>
        <v>80</v>
      </c>
      <c r="K59" s="98" t="s">
        <v>3752</v>
      </c>
      <c r="L59" s="81">
        <v>4270027069</v>
      </c>
      <c r="M59" s="81" t="s">
        <v>249</v>
      </c>
      <c r="N59" s="81" t="s">
        <v>3753</v>
      </c>
      <c r="O59" s="325" t="s">
        <v>290</v>
      </c>
      <c r="X59" s="8">
        <v>2</v>
      </c>
    </row>
    <row r="60" spans="1:46" hidden="1">
      <c r="A60" s="5" t="s">
        <v>220</v>
      </c>
      <c r="B60" s="5" t="s">
        <v>3587</v>
      </c>
      <c r="C60" s="76">
        <v>45258</v>
      </c>
      <c r="D60" s="55" t="s">
        <v>3754</v>
      </c>
      <c r="E60" s="5" t="s">
        <v>3589</v>
      </c>
      <c r="F60" s="29" t="s">
        <v>223</v>
      </c>
      <c r="G60" s="8" t="s">
        <v>3587</v>
      </c>
      <c r="H60" s="78" t="s">
        <v>3755</v>
      </c>
      <c r="I60" s="43">
        <v>3</v>
      </c>
      <c r="J60" s="52">
        <v>350</v>
      </c>
      <c r="K60" s="98" t="s">
        <v>3756</v>
      </c>
      <c r="L60" s="81">
        <v>4200656745</v>
      </c>
      <c r="M60" s="81" t="s">
        <v>249</v>
      </c>
      <c r="N60" s="81" t="s">
        <v>3757</v>
      </c>
      <c r="O60" s="325" t="s">
        <v>3326</v>
      </c>
      <c r="W60" s="7">
        <v>2</v>
      </c>
    </row>
    <row r="61" spans="1:46" hidden="1">
      <c r="A61" s="5" t="s">
        <v>220</v>
      </c>
      <c r="B61" s="5" t="s">
        <v>3587</v>
      </c>
      <c r="C61" s="76">
        <v>45259</v>
      </c>
      <c r="D61" s="55" t="s">
        <v>3591</v>
      </c>
      <c r="E61" s="5" t="s">
        <v>3589</v>
      </c>
      <c r="F61" s="29" t="s">
        <v>223</v>
      </c>
      <c r="G61" s="8" t="s">
        <v>3592</v>
      </c>
      <c r="H61" s="49" t="s">
        <v>481</v>
      </c>
      <c r="I61" s="43">
        <f>IF(SUM(P61:AX61)=0,"-",SUM(P61:AX61))</f>
        <v>3.4</v>
      </c>
      <c r="J61" s="33">
        <f>IF(SUMPRODUCT($P$3:$AX$3,P61:AX61)=0,"-",SUMPRODUCT($P$3:$AX$3,P61:AX61))</f>
        <v>2000</v>
      </c>
      <c r="K61" s="98" t="s">
        <v>3758</v>
      </c>
      <c r="L61" s="81">
        <v>4200656746</v>
      </c>
      <c r="M61" s="81" t="s">
        <v>249</v>
      </c>
      <c r="N61" s="81" t="s">
        <v>3759</v>
      </c>
      <c r="O61" s="325" t="s">
        <v>3326</v>
      </c>
      <c r="U61" s="8">
        <f>200/500</f>
        <v>0.4</v>
      </c>
      <c r="AD61" s="44"/>
      <c r="AE61" s="44"/>
      <c r="AI61" s="8">
        <f>3</f>
        <v>3</v>
      </c>
    </row>
    <row r="62" spans="1:46" hidden="1">
      <c r="A62" s="5" t="s">
        <v>220</v>
      </c>
      <c r="B62" s="5" t="s">
        <v>3587</v>
      </c>
      <c r="C62" s="76">
        <v>45265</v>
      </c>
      <c r="D62" s="55" t="s">
        <v>3760</v>
      </c>
      <c r="E62" s="5" t="s">
        <v>3589</v>
      </c>
      <c r="F62" s="29" t="s">
        <v>223</v>
      </c>
      <c r="G62" s="8" t="s">
        <v>3587</v>
      </c>
      <c r="H62" s="49" t="s">
        <v>481</v>
      </c>
      <c r="I62" s="43">
        <v>22</v>
      </c>
      <c r="J62" s="52">
        <f>11930.14*1.05</f>
        <v>12526.646999999999</v>
      </c>
      <c r="K62" s="98" t="s">
        <v>3761</v>
      </c>
      <c r="L62" s="81">
        <v>4200656735</v>
      </c>
      <c r="M62" s="81" t="s">
        <v>249</v>
      </c>
      <c r="N62" s="81" t="s">
        <v>3762</v>
      </c>
      <c r="O62" s="325" t="s">
        <v>3326</v>
      </c>
    </row>
    <row r="63" spans="1:46" hidden="1">
      <c r="A63" s="5" t="s">
        <v>220</v>
      </c>
      <c r="B63" s="5" t="s">
        <v>3587</v>
      </c>
      <c r="C63" s="76">
        <v>45273</v>
      </c>
      <c r="D63" s="55" t="s">
        <v>3763</v>
      </c>
      <c r="E63" s="127" t="s">
        <v>3738</v>
      </c>
      <c r="F63" s="29" t="s">
        <v>223</v>
      </c>
      <c r="G63" s="8" t="s">
        <v>3587</v>
      </c>
      <c r="H63" s="78" t="s">
        <v>3764</v>
      </c>
      <c r="I63" s="43">
        <f>IF(SUM(P63:AX63)=0,"-",SUM(P63:AX63))</f>
        <v>1</v>
      </c>
      <c r="J63" s="52">
        <f>IF(SUMPRODUCT($P$3:$AX$3,P63:AX63)=0,"-",SUMPRODUCT($P$3:$AX$3,P63:AX63))</f>
        <v>80</v>
      </c>
      <c r="K63" s="98" t="s">
        <v>3765</v>
      </c>
      <c r="L63" s="81">
        <v>4270027525</v>
      </c>
      <c r="M63" s="81" t="s">
        <v>249</v>
      </c>
      <c r="N63" s="81" t="s">
        <v>3766</v>
      </c>
      <c r="O63" s="326" t="s">
        <v>3767</v>
      </c>
      <c r="AO63" s="7">
        <v>1</v>
      </c>
    </row>
    <row r="64" spans="1:46" hidden="1">
      <c r="A64" s="5" t="s">
        <v>220</v>
      </c>
      <c r="B64" s="5" t="s">
        <v>3587</v>
      </c>
      <c r="C64" s="103">
        <v>45306</v>
      </c>
      <c r="D64" s="55" t="s">
        <v>3768</v>
      </c>
      <c r="E64" s="5" t="s">
        <v>3589</v>
      </c>
      <c r="F64" s="29" t="s">
        <v>223</v>
      </c>
      <c r="G64" s="8" t="s">
        <v>3587</v>
      </c>
      <c r="H64" s="78" t="s">
        <v>3769</v>
      </c>
      <c r="I64" s="43">
        <f>IF(SUM(P64:AX64)=0,"-",SUM(P64:AX64))</f>
        <v>2</v>
      </c>
      <c r="J64" s="52">
        <f>IF(SUMPRODUCT($P$3:$AX$3,P64:AX64)=0,"-",SUMPRODUCT($P$3:$AX$3,P64:AX64))</f>
        <v>155</v>
      </c>
      <c r="K64" s="98" t="s">
        <v>3770</v>
      </c>
      <c r="L64" s="123">
        <v>4200659192</v>
      </c>
      <c r="M64" s="123" t="s">
        <v>249</v>
      </c>
      <c r="N64" s="123" t="s">
        <v>3771</v>
      </c>
      <c r="O64" s="326" t="s">
        <v>3767</v>
      </c>
      <c r="P64" s="7">
        <v>1</v>
      </c>
      <c r="Q64" s="8">
        <v>1</v>
      </c>
    </row>
    <row r="65" spans="1:47" hidden="1">
      <c r="A65" s="5" t="s">
        <v>220</v>
      </c>
      <c r="B65" s="5" t="s">
        <v>3587</v>
      </c>
      <c r="C65" s="103">
        <v>45308</v>
      </c>
      <c r="D65" s="55" t="s">
        <v>3772</v>
      </c>
      <c r="E65" s="5" t="s">
        <v>3669</v>
      </c>
      <c r="F65" s="29" t="s">
        <v>223</v>
      </c>
      <c r="G65" s="8" t="s">
        <v>3587</v>
      </c>
      <c r="I65" s="43">
        <f>IF(SUM(P65:AX65)=0,"-",SUM(P65:AX65))</f>
        <v>4</v>
      </c>
      <c r="J65" s="52">
        <f>IF(SUMPRODUCT($P$3:$AX$3,P65:AX65)=0,"-",SUMPRODUCT($P$3:$AX$3,P65:AX65))</f>
        <v>140</v>
      </c>
      <c r="K65" s="98" t="s">
        <v>3773</v>
      </c>
      <c r="L65" s="123">
        <v>4200659169</v>
      </c>
      <c r="M65" s="123" t="s">
        <v>249</v>
      </c>
      <c r="N65" s="123" t="s">
        <v>3774</v>
      </c>
      <c r="O65" s="326" t="s">
        <v>3767</v>
      </c>
      <c r="Q65" s="8">
        <v>4</v>
      </c>
    </row>
    <row r="66" spans="1:47" hidden="1">
      <c r="A66" s="5" t="s">
        <v>220</v>
      </c>
      <c r="B66" s="5" t="s">
        <v>3587</v>
      </c>
      <c r="C66" s="103">
        <v>45326</v>
      </c>
      <c r="D66" s="55" t="s">
        <v>3775</v>
      </c>
      <c r="E66" s="5" t="s">
        <v>3589</v>
      </c>
      <c r="F66" s="81" t="s">
        <v>223</v>
      </c>
      <c r="G66" s="8" t="s">
        <v>3587</v>
      </c>
      <c r="H66" s="78" t="s">
        <v>3776</v>
      </c>
      <c r="I66" s="8">
        <v>1</v>
      </c>
      <c r="J66" s="34">
        <v>3500</v>
      </c>
      <c r="K66" s="98" t="s">
        <v>3777</v>
      </c>
      <c r="L66" s="302">
        <v>4200659191</v>
      </c>
      <c r="M66" s="123" t="s">
        <v>249</v>
      </c>
      <c r="N66" s="123" t="s">
        <v>3778</v>
      </c>
      <c r="O66" s="326" t="s">
        <v>3767</v>
      </c>
    </row>
    <row r="67" spans="1:47" hidden="1">
      <c r="A67" s="5" t="s">
        <v>220</v>
      </c>
      <c r="B67" s="5" t="s">
        <v>3587</v>
      </c>
      <c r="C67" s="103">
        <v>45326</v>
      </c>
      <c r="D67" s="55" t="s">
        <v>3779</v>
      </c>
      <c r="E67" s="5" t="s">
        <v>3589</v>
      </c>
      <c r="F67" s="81" t="s">
        <v>223</v>
      </c>
      <c r="G67" s="8" t="s">
        <v>3587</v>
      </c>
      <c r="H67" s="78" t="s">
        <v>3780</v>
      </c>
      <c r="I67" s="8">
        <v>1</v>
      </c>
      <c r="J67" s="34">
        <v>1500</v>
      </c>
      <c r="K67" s="98" t="s">
        <v>3781</v>
      </c>
      <c r="L67" s="302">
        <v>4200659183</v>
      </c>
      <c r="M67" s="123" t="s">
        <v>650</v>
      </c>
      <c r="N67" s="123" t="s">
        <v>3782</v>
      </c>
      <c r="O67" s="326" t="s">
        <v>3767</v>
      </c>
    </row>
    <row r="68" spans="1:47" hidden="1">
      <c r="A68" s="5" t="s">
        <v>220</v>
      </c>
      <c r="B68" s="5" t="s">
        <v>3587</v>
      </c>
      <c r="C68" s="76">
        <v>45224</v>
      </c>
      <c r="D68" s="55" t="s">
        <v>3783</v>
      </c>
      <c r="E68" s="5" t="s">
        <v>3589</v>
      </c>
      <c r="F68" s="29" t="s">
        <v>223</v>
      </c>
      <c r="G68" s="8" t="s">
        <v>3587</v>
      </c>
      <c r="H68" s="78" t="s">
        <v>3784</v>
      </c>
      <c r="I68" s="43">
        <f>IF(SUM(P68:AX68)=0,"-",SUM(P68:AX68))</f>
        <v>5</v>
      </c>
      <c r="J68" s="33">
        <f>IF(SUMPRODUCT($P$3:$AX$3,P68:AX68)=0,"-",SUMPRODUCT($P$3:$AX$3,P68:AX68))</f>
        <v>600</v>
      </c>
      <c r="K68" s="98" t="s">
        <v>3785</v>
      </c>
      <c r="L68" s="81">
        <v>4200655543</v>
      </c>
      <c r="M68" s="81" t="s">
        <v>249</v>
      </c>
      <c r="N68" s="81" t="s">
        <v>3786</v>
      </c>
      <c r="O68" s="326" t="s">
        <v>1283</v>
      </c>
      <c r="P68" s="7">
        <v>5</v>
      </c>
    </row>
    <row r="69" spans="1:47" hidden="1">
      <c r="A69" s="5" t="s">
        <v>220</v>
      </c>
      <c r="B69" s="5" t="s">
        <v>3587</v>
      </c>
      <c r="C69" s="76">
        <v>45128</v>
      </c>
      <c r="D69" s="55" t="s">
        <v>3787</v>
      </c>
      <c r="E69" s="5" t="s">
        <v>3589</v>
      </c>
      <c r="F69" s="29" t="s">
        <v>223</v>
      </c>
      <c r="G69" s="8" t="s">
        <v>3592</v>
      </c>
      <c r="H69" s="49" t="s">
        <v>481</v>
      </c>
      <c r="I69" s="43">
        <f>IF(SUM(P69:AX69)=0,"-",SUM(P69:AX69))</f>
        <v>10</v>
      </c>
      <c r="J69" s="52">
        <f>IF(SUMPRODUCT($P$3:$AX$3,P69:AX69)=0,"-",SUMPRODUCT($P$3:$AX$3,P69:AX69))</f>
        <v>1500</v>
      </c>
      <c r="K69" s="98" t="s">
        <v>3788</v>
      </c>
      <c r="L69" s="81">
        <v>4200650122</v>
      </c>
      <c r="M69" s="81" t="s">
        <v>249</v>
      </c>
      <c r="N69" s="81" t="s">
        <v>3789</v>
      </c>
      <c r="O69" s="325" t="s">
        <v>731</v>
      </c>
      <c r="AL69" s="8">
        <v>10</v>
      </c>
    </row>
    <row r="70" spans="1:47" hidden="1">
      <c r="A70" s="5" t="s">
        <v>220</v>
      </c>
      <c r="B70" s="5" t="s">
        <v>3587</v>
      </c>
      <c r="C70" s="76">
        <v>45128</v>
      </c>
      <c r="D70" s="55" t="s">
        <v>3790</v>
      </c>
      <c r="E70" s="5" t="s">
        <v>3589</v>
      </c>
      <c r="F70" s="29" t="s">
        <v>223</v>
      </c>
      <c r="G70" s="8" t="s">
        <v>3592</v>
      </c>
      <c r="H70" s="49" t="s">
        <v>481</v>
      </c>
      <c r="I70" s="43">
        <f>IF(SUM(P70:AX70)=0,"-",SUM(P70:AX70))</f>
        <v>10</v>
      </c>
      <c r="J70" s="52">
        <f>IF(SUMPRODUCT($P$3:$AX$3,P70:AX70)=0,"-",SUMPRODUCT($P$3:$AX$3,P70:AX70))</f>
        <v>1500</v>
      </c>
      <c r="K70" s="98" t="s">
        <v>3791</v>
      </c>
      <c r="L70" s="81">
        <v>4200650117</v>
      </c>
      <c r="M70" s="81" t="s">
        <v>249</v>
      </c>
      <c r="N70" s="81" t="s">
        <v>3792</v>
      </c>
      <c r="O70" s="325" t="s">
        <v>731</v>
      </c>
      <c r="AL70" s="8">
        <v>10</v>
      </c>
    </row>
    <row r="71" spans="1:47" hidden="1">
      <c r="A71" s="5" t="s">
        <v>220</v>
      </c>
      <c r="B71" s="5" t="s">
        <v>3587</v>
      </c>
      <c r="C71" s="76">
        <v>45128</v>
      </c>
      <c r="D71" s="55" t="s">
        <v>3793</v>
      </c>
      <c r="E71" s="5" t="s">
        <v>3589</v>
      </c>
      <c r="F71" s="29" t="s">
        <v>223</v>
      </c>
      <c r="G71" s="8" t="s">
        <v>3592</v>
      </c>
      <c r="H71" s="49" t="s">
        <v>481</v>
      </c>
      <c r="I71" s="43">
        <f>IF(SUM(P71:AX71)=0,"-",SUM(P71:AX71))</f>
        <v>10</v>
      </c>
      <c r="J71" s="52">
        <f>IF(SUMPRODUCT($P$3:$AX$3,P71:AX71)=0,"-",SUMPRODUCT($P$3:$AX$3,P71:AX71))</f>
        <v>1500</v>
      </c>
      <c r="K71" s="98" t="s">
        <v>3794</v>
      </c>
      <c r="L71" s="81">
        <v>4200650110</v>
      </c>
      <c r="M71" s="81" t="s">
        <v>249</v>
      </c>
      <c r="N71" s="81" t="s">
        <v>3795</v>
      </c>
      <c r="O71" s="325" t="s">
        <v>731</v>
      </c>
      <c r="AL71" s="8">
        <v>10</v>
      </c>
    </row>
    <row r="72" spans="1:47" hidden="1">
      <c r="A72" s="5" t="s">
        <v>220</v>
      </c>
      <c r="B72" s="5" t="s">
        <v>3587</v>
      </c>
      <c r="C72" s="76">
        <v>45133</v>
      </c>
      <c r="D72" s="55" t="s">
        <v>3796</v>
      </c>
      <c r="E72" s="5" t="s">
        <v>3589</v>
      </c>
      <c r="F72" s="29" t="s">
        <v>223</v>
      </c>
      <c r="G72" s="8" t="s">
        <v>3587</v>
      </c>
      <c r="H72" s="78" t="s">
        <v>3797</v>
      </c>
      <c r="I72" s="43">
        <f>IF(SUM(P72:AX72)=0,"-",SUM(P72:AX72))</f>
        <v>1</v>
      </c>
      <c r="J72" s="52">
        <f>IF(SUMPRODUCT($P$3:$AX$3,P72:AX72)=0,"-",SUMPRODUCT($P$3:$AX$3,P72:AX72))</f>
        <v>250</v>
      </c>
      <c r="K72" s="98" t="s">
        <v>3798</v>
      </c>
      <c r="L72" s="81">
        <v>4200650194</v>
      </c>
      <c r="M72" s="81" t="s">
        <v>249</v>
      </c>
      <c r="N72" s="81" t="s">
        <v>3799</v>
      </c>
      <c r="O72" s="325" t="s">
        <v>731</v>
      </c>
      <c r="Z72" s="8">
        <v>1</v>
      </c>
    </row>
    <row r="73" spans="1:47" hidden="1">
      <c r="A73" s="5" t="s">
        <v>220</v>
      </c>
      <c r="B73" s="5" t="s">
        <v>3587</v>
      </c>
      <c r="C73" s="76">
        <v>45133</v>
      </c>
      <c r="D73" s="55" t="s">
        <v>3800</v>
      </c>
      <c r="E73" s="5" t="s">
        <v>3589</v>
      </c>
      <c r="F73" s="29" t="s">
        <v>223</v>
      </c>
      <c r="G73" s="8" t="s">
        <v>3587</v>
      </c>
      <c r="H73" s="78" t="s">
        <v>3801</v>
      </c>
      <c r="I73" s="43">
        <f>IF(SUM(P73:AX73)=0,"-",SUM(P73:AX73))</f>
        <v>1</v>
      </c>
      <c r="J73" s="52">
        <v>350</v>
      </c>
      <c r="K73" s="98" t="s">
        <v>3802</v>
      </c>
      <c r="L73" s="81">
        <v>4200650180</v>
      </c>
      <c r="M73" s="81" t="s">
        <v>249</v>
      </c>
      <c r="N73" s="81" t="s">
        <v>3803</v>
      </c>
      <c r="O73" s="325" t="s">
        <v>731</v>
      </c>
      <c r="Z73" s="8">
        <v>1</v>
      </c>
    </row>
    <row r="74" spans="1:47" hidden="1">
      <c r="A74" s="5" t="s">
        <v>220</v>
      </c>
      <c r="B74" s="5" t="s">
        <v>3587</v>
      </c>
      <c r="C74" s="76">
        <v>45135</v>
      </c>
      <c r="D74" s="55" t="s">
        <v>3804</v>
      </c>
      <c r="E74" s="5" t="s">
        <v>3589</v>
      </c>
      <c r="F74" s="29" t="s">
        <v>223</v>
      </c>
      <c r="G74" s="8" t="s">
        <v>3587</v>
      </c>
      <c r="H74" s="78" t="s">
        <v>3805</v>
      </c>
      <c r="I74" s="43">
        <f>IF(SUM(P74:AX74)=0,"-",SUM(P74:AX74))</f>
        <v>1</v>
      </c>
      <c r="J74" s="52">
        <v>350</v>
      </c>
      <c r="K74" s="98" t="s">
        <v>3806</v>
      </c>
      <c r="L74" s="81">
        <v>4200650202</v>
      </c>
      <c r="M74" s="81" t="s">
        <v>249</v>
      </c>
      <c r="N74" s="81" t="s">
        <v>3807</v>
      </c>
      <c r="O74" s="325" t="s">
        <v>731</v>
      </c>
      <c r="Z74" s="8">
        <v>1</v>
      </c>
    </row>
    <row r="75" spans="1:47" hidden="1">
      <c r="A75" s="5" t="s">
        <v>220</v>
      </c>
      <c r="B75" s="5" t="s">
        <v>3587</v>
      </c>
      <c r="C75" s="76">
        <v>45135</v>
      </c>
      <c r="D75" s="55" t="s">
        <v>3808</v>
      </c>
      <c r="E75" s="5" t="s">
        <v>3589</v>
      </c>
      <c r="F75" s="29" t="s">
        <v>223</v>
      </c>
      <c r="G75" s="8" t="s">
        <v>3587</v>
      </c>
      <c r="H75" s="78" t="s">
        <v>3809</v>
      </c>
      <c r="I75" s="43">
        <f>IF(SUM(P75:AX75)=0,"-",SUM(P75:AX75))</f>
        <v>5</v>
      </c>
      <c r="J75" s="52">
        <f>IF(SUMPRODUCT($P$3:$AX$3,P75:AX75)=0,"-",SUMPRODUCT($P$3:$AX$3,P75:AX75))</f>
        <v>600</v>
      </c>
      <c r="K75" s="98" t="s">
        <v>3810</v>
      </c>
      <c r="L75" s="81">
        <v>4200650196</v>
      </c>
      <c r="M75" s="81" t="s">
        <v>249</v>
      </c>
      <c r="N75" s="81" t="s">
        <v>3811</v>
      </c>
      <c r="O75" s="325" t="s">
        <v>731</v>
      </c>
      <c r="P75" s="7">
        <v>5</v>
      </c>
    </row>
    <row r="76" spans="1:47" hidden="1">
      <c r="A76" s="5" t="s">
        <v>220</v>
      </c>
      <c r="B76" s="5" t="s">
        <v>3587</v>
      </c>
      <c r="C76" s="76">
        <v>45139</v>
      </c>
      <c r="D76" s="55" t="s">
        <v>3812</v>
      </c>
      <c r="E76" s="5" t="s">
        <v>3589</v>
      </c>
      <c r="F76" s="29" t="s">
        <v>223</v>
      </c>
      <c r="G76" s="8" t="s">
        <v>3592</v>
      </c>
      <c r="H76" s="78" t="s">
        <v>3813</v>
      </c>
      <c r="I76" s="43">
        <f>IF(SUM(P76:AX76)=0,"-",SUM(P76:AX76))</f>
        <v>1</v>
      </c>
      <c r="J76" s="52">
        <v>350</v>
      </c>
      <c r="K76" s="98" t="s">
        <v>3814</v>
      </c>
      <c r="L76" s="81">
        <v>4200650204</v>
      </c>
      <c r="M76" s="81" t="s">
        <v>249</v>
      </c>
      <c r="N76" s="81" t="s">
        <v>3815</v>
      </c>
      <c r="O76" s="325" t="s">
        <v>731</v>
      </c>
      <c r="Z76" s="8">
        <v>1</v>
      </c>
    </row>
    <row r="77" spans="1:47" hidden="1">
      <c r="A77" s="5" t="s">
        <v>220</v>
      </c>
      <c r="B77" s="5" t="s">
        <v>3587</v>
      </c>
      <c r="C77" s="76">
        <v>45141</v>
      </c>
      <c r="D77" s="55" t="s">
        <v>3816</v>
      </c>
      <c r="E77" s="5" t="s">
        <v>3589</v>
      </c>
      <c r="F77" s="29" t="s">
        <v>223</v>
      </c>
      <c r="G77" s="8" t="s">
        <v>3587</v>
      </c>
      <c r="H77" s="78" t="s">
        <v>3817</v>
      </c>
      <c r="I77" s="43">
        <f>IF(SUM(P77:AX77)=0,"-",SUM(P77:AX77))</f>
        <v>4</v>
      </c>
      <c r="J77" s="52">
        <f>IF(SUMPRODUCT($P$3:$AX$3,P77:AX77)=0,"-",SUMPRODUCT($P$3:$AX$3,P77:AX77))</f>
        <v>720</v>
      </c>
      <c r="K77" s="98" t="s">
        <v>3818</v>
      </c>
      <c r="L77" s="81">
        <v>4200650203</v>
      </c>
      <c r="M77" s="81" t="s">
        <v>228</v>
      </c>
      <c r="N77" s="81" t="s">
        <v>3819</v>
      </c>
      <c r="O77" s="325" t="s">
        <v>731</v>
      </c>
      <c r="AC77" s="8">
        <v>4</v>
      </c>
    </row>
    <row r="78" spans="1:47" hidden="1">
      <c r="A78" s="5" t="s">
        <v>220</v>
      </c>
      <c r="B78" s="5" t="s">
        <v>3587</v>
      </c>
      <c r="C78" s="76">
        <v>45153</v>
      </c>
      <c r="D78" s="55" t="s">
        <v>3820</v>
      </c>
      <c r="E78" s="5" t="s">
        <v>3589</v>
      </c>
      <c r="F78" s="29" t="s">
        <v>223</v>
      </c>
      <c r="G78" s="8" t="s">
        <v>3592</v>
      </c>
      <c r="H78" s="78" t="s">
        <v>3821</v>
      </c>
      <c r="I78" s="43">
        <v>1</v>
      </c>
      <c r="J78" s="52">
        <f>IF(SUMPRODUCT($P$3:$AX$3,P78:AX78)=0,"-",SUMPRODUCT($P$3:$AX$3,P78:AX78))</f>
        <v>2500</v>
      </c>
      <c r="K78" s="98" t="s">
        <v>3822</v>
      </c>
      <c r="L78" s="81">
        <v>4200650195</v>
      </c>
      <c r="M78" s="81" t="s">
        <v>249</v>
      </c>
      <c r="N78" s="81" t="s">
        <v>3823</v>
      </c>
      <c r="O78" s="325" t="s">
        <v>731</v>
      </c>
      <c r="AU78" s="104">
        <v>1</v>
      </c>
    </row>
    <row r="79" spans="1:47" hidden="1">
      <c r="A79" s="5" t="s">
        <v>220</v>
      </c>
      <c r="B79" s="5" t="s">
        <v>3587</v>
      </c>
      <c r="C79" s="76">
        <v>45155</v>
      </c>
      <c r="D79" s="55" t="s">
        <v>3824</v>
      </c>
      <c r="E79" s="5" t="s">
        <v>3589</v>
      </c>
      <c r="F79" s="29" t="s">
        <v>223</v>
      </c>
      <c r="G79" s="8" t="s">
        <v>3587</v>
      </c>
      <c r="H79" s="78" t="s">
        <v>3825</v>
      </c>
      <c r="I79" s="43">
        <f>IF(SUM(P79:AX79)=0,"-",SUM(P79:AX79))</f>
        <v>4</v>
      </c>
      <c r="J79" s="52">
        <f>IF(SUMPRODUCT($P$3:$AX$3,P79:AX79)=0,"-",SUMPRODUCT($P$3:$AX$3,P79:AX79))</f>
        <v>225</v>
      </c>
      <c r="K79" s="98" t="s">
        <v>3826</v>
      </c>
      <c r="L79" s="81">
        <v>4200650193</v>
      </c>
      <c r="M79" s="81" t="s">
        <v>249</v>
      </c>
      <c r="N79" s="81" t="s">
        <v>3827</v>
      </c>
      <c r="O79" s="325" t="s">
        <v>731</v>
      </c>
      <c r="P79" s="7">
        <v>1</v>
      </c>
      <c r="Q79" s="8">
        <v>3</v>
      </c>
    </row>
    <row r="80" spans="1:47" ht="15.75" hidden="1">
      <c r="A80" s="5" t="s">
        <v>220</v>
      </c>
      <c r="B80" s="5" t="s">
        <v>3587</v>
      </c>
      <c r="C80" s="103">
        <v>45530</v>
      </c>
      <c r="D80" s="392" t="s">
        <v>3828</v>
      </c>
      <c r="E80" s="5" t="s">
        <v>3669</v>
      </c>
      <c r="F80" s="81" t="s">
        <v>223</v>
      </c>
      <c r="G80" s="8" t="s">
        <v>3587</v>
      </c>
      <c r="H80" s="30" t="s">
        <v>3829</v>
      </c>
      <c r="I80" s="43">
        <f>IF(SUM(P80:AX80)=0,"-",SUM(P80:AX80))</f>
        <v>2</v>
      </c>
      <c r="J80" s="143">
        <f>IF(SUMPRODUCT($P$3:$AX$3,P80:AX80)=0,"-",SUMPRODUCT($P$3:$AX$3,P80:AX80))</f>
        <v>220</v>
      </c>
      <c r="K80" s="381" t="s">
        <v>3830</v>
      </c>
      <c r="L80" s="211">
        <v>4200673784</v>
      </c>
      <c r="M80" s="211" t="s">
        <v>249</v>
      </c>
      <c r="N80" s="211" t="s">
        <v>3831</v>
      </c>
      <c r="O80" s="388" t="s">
        <v>1427</v>
      </c>
      <c r="X80" s="8">
        <v>1</v>
      </c>
      <c r="AC80" s="8">
        <v>1</v>
      </c>
    </row>
    <row r="81" spans="1:46" hidden="1">
      <c r="A81" s="5" t="s">
        <v>220</v>
      </c>
      <c r="B81" s="5" t="s">
        <v>3587</v>
      </c>
      <c r="C81" s="103">
        <v>45540</v>
      </c>
      <c r="D81" s="106" t="s">
        <v>3675</v>
      </c>
      <c r="E81" s="5" t="s">
        <v>3669</v>
      </c>
      <c r="F81" s="81" t="s">
        <v>223</v>
      </c>
      <c r="G81" s="8" t="s">
        <v>3587</v>
      </c>
      <c r="H81" s="30" t="s">
        <v>3832</v>
      </c>
      <c r="I81" s="8">
        <v>7</v>
      </c>
      <c r="J81" s="143">
        <f>IF(SUMPRODUCT($P$3:$AX$3,P81:AX81)=0,"-",SUMPRODUCT($P$3:$AX$3,P81:AX81))</f>
        <v>245</v>
      </c>
      <c r="K81" s="381" t="s">
        <v>3833</v>
      </c>
      <c r="L81" s="211">
        <v>4200673793</v>
      </c>
      <c r="M81" s="211" t="s">
        <v>249</v>
      </c>
      <c r="N81" s="211" t="s">
        <v>3834</v>
      </c>
      <c r="O81" s="388" t="s">
        <v>1427</v>
      </c>
      <c r="Q81" s="8">
        <v>7</v>
      </c>
    </row>
    <row r="82" spans="1:46" ht="15.75" hidden="1">
      <c r="A82" s="5" t="s">
        <v>220</v>
      </c>
      <c r="B82" s="5" t="s">
        <v>3587</v>
      </c>
      <c r="C82" s="103">
        <v>45517</v>
      </c>
      <c r="D82" s="392" t="s">
        <v>3835</v>
      </c>
      <c r="E82" s="5" t="s">
        <v>3836</v>
      </c>
      <c r="F82" s="81" t="s">
        <v>223</v>
      </c>
      <c r="G82" s="8" t="s">
        <v>3587</v>
      </c>
      <c r="H82" s="30" t="s">
        <v>3837</v>
      </c>
      <c r="I82" s="8">
        <v>1</v>
      </c>
      <c r="J82" s="52">
        <v>90</v>
      </c>
      <c r="K82" s="81"/>
      <c r="L82" s="81">
        <v>4270028569</v>
      </c>
      <c r="M82" s="81" t="s">
        <v>249</v>
      </c>
      <c r="N82" s="81" t="s">
        <v>3838</v>
      </c>
      <c r="O82" s="325" t="s">
        <v>1632</v>
      </c>
    </row>
    <row r="83" spans="1:46" hidden="1">
      <c r="A83" s="5" t="s">
        <v>220</v>
      </c>
      <c r="B83" s="5" t="s">
        <v>3587</v>
      </c>
      <c r="C83" s="76">
        <v>45245</v>
      </c>
      <c r="D83" s="55" t="s">
        <v>3839</v>
      </c>
      <c r="E83" s="5" t="s">
        <v>3589</v>
      </c>
      <c r="F83" s="29" t="s">
        <v>223</v>
      </c>
      <c r="G83" s="8" t="s">
        <v>3587</v>
      </c>
      <c r="H83" s="78" t="s">
        <v>3840</v>
      </c>
      <c r="I83" s="43">
        <f>IF(SUM(P83:AX83)=0,"-",SUM(P83:AX83))</f>
        <v>3</v>
      </c>
      <c r="J83" s="62">
        <f>IF(SUMPRODUCT($P$3:$AX$3,P83:AX83)=0,"-",SUMPRODUCT($P$3:$AX$3,P83:AX83))</f>
        <v>360</v>
      </c>
      <c r="K83" s="98" t="s">
        <v>3841</v>
      </c>
      <c r="L83" s="81">
        <v>4200658213</v>
      </c>
      <c r="M83" s="81" t="s">
        <v>249</v>
      </c>
      <c r="N83" s="81" t="s">
        <v>3842</v>
      </c>
      <c r="O83" s="326" t="s">
        <v>1217</v>
      </c>
      <c r="P83" s="7">
        <v>3</v>
      </c>
    </row>
    <row r="84" spans="1:46" hidden="1">
      <c r="A84" s="5" t="s">
        <v>220</v>
      </c>
      <c r="B84" s="5" t="s">
        <v>3587</v>
      </c>
      <c r="C84" s="76">
        <v>45274</v>
      </c>
      <c r="D84" s="55" t="s">
        <v>3843</v>
      </c>
      <c r="E84" s="127" t="s">
        <v>3669</v>
      </c>
      <c r="F84" s="29" t="s">
        <v>223</v>
      </c>
      <c r="G84" s="8" t="s">
        <v>3587</v>
      </c>
      <c r="H84" s="30" t="s">
        <v>3844</v>
      </c>
      <c r="I84" s="43">
        <f>IF(SUM(P84:AX84)=0,"-",SUM(P84:AX84))</f>
        <v>4</v>
      </c>
      <c r="J84" s="62">
        <f>IF(SUMPRODUCT($P$3:$AX$3,P84:AX84)=0,"-",SUMPRODUCT($P$3:$AX$3,P84:AX84))</f>
        <v>450</v>
      </c>
      <c r="K84" s="98" t="s">
        <v>3845</v>
      </c>
      <c r="L84" s="81">
        <v>4200658213</v>
      </c>
      <c r="M84" s="81" t="s">
        <v>249</v>
      </c>
      <c r="N84" s="81" t="s">
        <v>3842</v>
      </c>
      <c r="O84" s="325" t="s">
        <v>1217</v>
      </c>
      <c r="P84" s="7">
        <v>1</v>
      </c>
      <c r="X84" s="8">
        <v>2</v>
      </c>
      <c r="Z84" s="8">
        <v>1</v>
      </c>
    </row>
    <row r="85" spans="1:46" hidden="1">
      <c r="A85" s="5" t="s">
        <v>220</v>
      </c>
      <c r="B85" s="5" t="s">
        <v>3587</v>
      </c>
      <c r="C85" s="76">
        <v>45274</v>
      </c>
      <c r="D85" s="106" t="s">
        <v>3846</v>
      </c>
      <c r="E85" s="127" t="s">
        <v>3669</v>
      </c>
      <c r="F85" s="29" t="s">
        <v>223</v>
      </c>
      <c r="G85" s="8" t="s">
        <v>3587</v>
      </c>
      <c r="H85" s="78" t="s">
        <v>3847</v>
      </c>
      <c r="I85" s="43">
        <f>IF(SUM(P85:AX85)=0,"-",SUM(P85:AX85))</f>
        <v>6</v>
      </c>
      <c r="J85" s="62">
        <f>IF(SUMPRODUCT($P$3:$AX$3,P85:AX85)=0,"-",SUMPRODUCT($P$3:$AX$3,P85:AX85))</f>
        <v>295</v>
      </c>
      <c r="K85" s="98" t="s">
        <v>3848</v>
      </c>
      <c r="L85" s="81">
        <v>4200658213</v>
      </c>
      <c r="M85" s="81" t="s">
        <v>249</v>
      </c>
      <c r="N85" s="81" t="s">
        <v>3842</v>
      </c>
      <c r="O85" s="325" t="s">
        <v>1217</v>
      </c>
      <c r="P85" s="7">
        <v>1</v>
      </c>
      <c r="Q85" s="8">
        <v>5</v>
      </c>
    </row>
    <row r="86" spans="1:46" hidden="1">
      <c r="A86" s="5" t="s">
        <v>220</v>
      </c>
      <c r="B86" s="5" t="s">
        <v>3587</v>
      </c>
      <c r="C86" s="76">
        <v>45275</v>
      </c>
      <c r="D86" s="55" t="s">
        <v>3849</v>
      </c>
      <c r="E86" s="5" t="s">
        <v>3589</v>
      </c>
      <c r="F86" s="29" t="s">
        <v>223</v>
      </c>
      <c r="G86" s="8" t="s">
        <v>3587</v>
      </c>
      <c r="H86" s="78" t="s">
        <v>3850</v>
      </c>
      <c r="I86" s="43">
        <f>IF(SUM(P86:AX86)=0,"-",SUM(P86:AX86))</f>
        <v>1</v>
      </c>
      <c r="J86" s="62">
        <f>IF(SUMPRODUCT($P$3:$AX$3,P86:AX86)=0,"-",SUMPRODUCT($P$3:$AX$3,P86:AX86))</f>
        <v>180</v>
      </c>
      <c r="K86" s="98" t="s">
        <v>3851</v>
      </c>
      <c r="L86" s="81">
        <v>4200658213</v>
      </c>
      <c r="M86" s="81" t="s">
        <v>249</v>
      </c>
      <c r="N86" s="81" t="s">
        <v>3842</v>
      </c>
      <c r="O86" s="325" t="s">
        <v>1217</v>
      </c>
      <c r="Y86" s="8">
        <v>1</v>
      </c>
    </row>
    <row r="87" spans="1:46" hidden="1">
      <c r="A87" s="5" t="s">
        <v>220</v>
      </c>
      <c r="B87" s="5" t="s">
        <v>3587</v>
      </c>
      <c r="C87" s="76">
        <v>45282</v>
      </c>
      <c r="D87" s="55" t="s">
        <v>3852</v>
      </c>
      <c r="E87" s="5" t="s">
        <v>3589</v>
      </c>
      <c r="F87" s="29" t="s">
        <v>223</v>
      </c>
      <c r="G87" s="8" t="s">
        <v>3587</v>
      </c>
      <c r="H87" s="78" t="s">
        <v>3853</v>
      </c>
      <c r="I87" s="43">
        <v>9</v>
      </c>
      <c r="J87" s="62">
        <v>250</v>
      </c>
      <c r="K87" s="98" t="s">
        <v>3854</v>
      </c>
      <c r="L87" s="81">
        <v>4200658213</v>
      </c>
      <c r="M87" s="81" t="s">
        <v>249</v>
      </c>
      <c r="N87" s="81" t="s">
        <v>3842</v>
      </c>
      <c r="O87" s="325" t="s">
        <v>1217</v>
      </c>
      <c r="AT87" s="7">
        <v>1</v>
      </c>
    </row>
    <row r="88" spans="1:46" hidden="1">
      <c r="A88" s="5" t="s">
        <v>220</v>
      </c>
      <c r="B88" s="5" t="s">
        <v>3587</v>
      </c>
      <c r="C88" s="103">
        <v>45303</v>
      </c>
      <c r="D88" s="55" t="s">
        <v>3855</v>
      </c>
      <c r="E88" s="5" t="s">
        <v>3669</v>
      </c>
      <c r="F88" s="29" t="s">
        <v>223</v>
      </c>
      <c r="G88" s="8" t="s">
        <v>3587</v>
      </c>
      <c r="H88" s="78" t="s">
        <v>3856</v>
      </c>
      <c r="I88" s="43">
        <f>IF(SUM(P88:AX88)=0,"-",SUM(P88:AX88))</f>
        <v>2</v>
      </c>
      <c r="J88" s="62">
        <f>IF(SUMPRODUCT($P$3:$AX$3,P88:AX88)=0,"-",SUMPRODUCT($P$3:$AX$3,P88:AX88))</f>
        <v>155</v>
      </c>
      <c r="K88" s="98" t="s">
        <v>3857</v>
      </c>
      <c r="L88" s="81">
        <v>4200658213</v>
      </c>
      <c r="M88" s="81" t="s">
        <v>249</v>
      </c>
      <c r="N88" s="81" t="s">
        <v>3842</v>
      </c>
      <c r="O88" s="325" t="s">
        <v>1217</v>
      </c>
      <c r="P88" s="7">
        <v>1</v>
      </c>
      <c r="Q88" s="8">
        <v>1</v>
      </c>
    </row>
    <row r="89" spans="1:46" hidden="1">
      <c r="A89" s="5" t="s">
        <v>220</v>
      </c>
      <c r="B89" s="5" t="s">
        <v>3587</v>
      </c>
      <c r="C89" s="103">
        <v>45303</v>
      </c>
      <c r="D89" s="55" t="s">
        <v>3858</v>
      </c>
      <c r="E89" s="5" t="s">
        <v>3589</v>
      </c>
      <c r="F89" s="29" t="s">
        <v>223</v>
      </c>
      <c r="G89" s="8" t="s">
        <v>3587</v>
      </c>
      <c r="H89" s="78" t="s">
        <v>3859</v>
      </c>
      <c r="I89" s="43">
        <f>IF(SUM(P89:AX89)=0,"-",SUM(P89:AX89))</f>
        <v>5</v>
      </c>
      <c r="J89" s="62">
        <f>IF(SUMPRODUCT($P$3:$AX$3,P89:AX89)=0,"-",SUMPRODUCT($P$3:$AX$3,P89:AX89))</f>
        <v>175</v>
      </c>
      <c r="K89" s="98" t="s">
        <v>3860</v>
      </c>
      <c r="L89" s="81">
        <v>4200658213</v>
      </c>
      <c r="M89" s="81" t="s">
        <v>249</v>
      </c>
      <c r="N89" s="81" t="s">
        <v>3842</v>
      </c>
      <c r="O89" s="325" t="s">
        <v>1217</v>
      </c>
      <c r="Q89" s="8">
        <v>5</v>
      </c>
    </row>
    <row r="90" spans="1:46" hidden="1">
      <c r="A90" s="5" t="s">
        <v>220</v>
      </c>
      <c r="B90" s="5" t="s">
        <v>3587</v>
      </c>
      <c r="C90" s="103">
        <v>45315</v>
      </c>
      <c r="D90" s="55" t="s">
        <v>3861</v>
      </c>
      <c r="E90" s="5" t="s">
        <v>3589</v>
      </c>
      <c r="F90" s="81" t="s">
        <v>223</v>
      </c>
      <c r="G90" s="8" t="s">
        <v>3587</v>
      </c>
      <c r="H90" s="5" t="s">
        <v>481</v>
      </c>
      <c r="I90" s="8" t="s">
        <v>481</v>
      </c>
      <c r="J90" s="34">
        <v>5000</v>
      </c>
      <c r="K90" s="98" t="s">
        <v>3862</v>
      </c>
      <c r="L90" s="81">
        <v>4200658507</v>
      </c>
      <c r="M90" s="81" t="s">
        <v>249</v>
      </c>
      <c r="N90" s="81" t="s">
        <v>3863</v>
      </c>
      <c r="O90" s="325" t="s">
        <v>1217</v>
      </c>
    </row>
    <row r="91" spans="1:46" hidden="1">
      <c r="A91" s="5" t="s">
        <v>220</v>
      </c>
      <c r="B91" s="5" t="s">
        <v>3587</v>
      </c>
      <c r="C91" s="103">
        <v>45433</v>
      </c>
      <c r="D91" s="55" t="s">
        <v>3864</v>
      </c>
      <c r="E91" s="5" t="s">
        <v>3738</v>
      </c>
      <c r="F91" s="81" t="s">
        <v>223</v>
      </c>
      <c r="G91" s="8" t="s">
        <v>3587</v>
      </c>
      <c r="H91" s="78" t="s">
        <v>3865</v>
      </c>
      <c r="I91" s="43">
        <f>IF(SUM(P91:AX91)=0,"-",SUM(P91:AX91))</f>
        <v>6</v>
      </c>
      <c r="J91" s="52">
        <f>IF(SUMPRODUCT($P$3:$AX$3,P91:AX91)=0,"-",SUMPRODUCT($P$3:$AX$3,P91:AX91))</f>
        <v>210</v>
      </c>
      <c r="K91" s="100" t="s">
        <v>3866</v>
      </c>
      <c r="L91" s="102">
        <v>4200672222</v>
      </c>
      <c r="M91" s="81" t="s">
        <v>650</v>
      </c>
      <c r="N91" s="81" t="s">
        <v>3867</v>
      </c>
      <c r="O91" s="325" t="s">
        <v>3868</v>
      </c>
      <c r="AF91" s="7">
        <v>6</v>
      </c>
    </row>
    <row r="92" spans="1:46" hidden="1">
      <c r="A92" s="5" t="s">
        <v>220</v>
      </c>
      <c r="B92" s="5" t="s">
        <v>3587</v>
      </c>
      <c r="C92" s="103">
        <v>45476</v>
      </c>
      <c r="D92" s="106" t="s">
        <v>3869</v>
      </c>
      <c r="E92" s="5" t="s">
        <v>3589</v>
      </c>
      <c r="F92" s="81" t="s">
        <v>223</v>
      </c>
      <c r="G92" s="8" t="s">
        <v>3587</v>
      </c>
      <c r="H92" s="78" t="s">
        <v>3870</v>
      </c>
      <c r="I92" s="8">
        <v>1</v>
      </c>
      <c r="J92" s="52">
        <f>IF(SUMPRODUCT($P$3:$AX$3,P92:AX92)=0,"-",SUMPRODUCT($P$3:$AX$3,P92:AX92))</f>
        <v>180</v>
      </c>
      <c r="K92" s="98" t="s">
        <v>3871</v>
      </c>
      <c r="L92" s="81">
        <v>4200672218</v>
      </c>
      <c r="M92" s="81" t="s">
        <v>650</v>
      </c>
      <c r="N92" s="81" t="s">
        <v>3872</v>
      </c>
      <c r="O92" s="325" t="s">
        <v>3868</v>
      </c>
      <c r="Y92" s="8">
        <v>1</v>
      </c>
    </row>
    <row r="93" spans="1:46" hidden="1">
      <c r="A93" s="5" t="s">
        <v>220</v>
      </c>
      <c r="B93" s="5" t="s">
        <v>3587</v>
      </c>
      <c r="C93" s="103">
        <v>45485</v>
      </c>
      <c r="D93" s="106" t="s">
        <v>3873</v>
      </c>
      <c r="E93" s="5" t="s">
        <v>3589</v>
      </c>
      <c r="F93" s="81" t="s">
        <v>223</v>
      </c>
      <c r="G93" s="8" t="s">
        <v>3587</v>
      </c>
      <c r="H93" s="53" t="s">
        <v>481</v>
      </c>
      <c r="I93" s="43">
        <f>IF(SUM(P93:AX93)=0,"-",SUM(P93:AX93))</f>
        <v>1</v>
      </c>
      <c r="J93" s="52">
        <f>IF(SUMPRODUCT($P$3:$AX$3,P93:AX93)=0,"-",SUMPRODUCT($P$3:$AX$3,P93:AX93))</f>
        <v>600</v>
      </c>
      <c r="K93" s="98" t="s">
        <v>3874</v>
      </c>
      <c r="L93" s="81">
        <v>4200672223</v>
      </c>
      <c r="M93" s="81" t="s">
        <v>650</v>
      </c>
      <c r="N93" s="81" t="s">
        <v>3875</v>
      </c>
      <c r="O93" s="325" t="s">
        <v>3868</v>
      </c>
      <c r="AI93" s="8">
        <v>1</v>
      </c>
    </row>
    <row r="94" spans="1:46" hidden="1">
      <c r="A94" s="5" t="s">
        <v>220</v>
      </c>
      <c r="B94" s="5" t="s">
        <v>3587</v>
      </c>
      <c r="C94" s="103">
        <v>45338</v>
      </c>
      <c r="D94" s="55" t="s">
        <v>3876</v>
      </c>
      <c r="E94" s="5" t="s">
        <v>3589</v>
      </c>
      <c r="F94" s="81" t="s">
        <v>223</v>
      </c>
      <c r="G94" s="8" t="s">
        <v>3587</v>
      </c>
      <c r="H94" s="53" t="s">
        <v>481</v>
      </c>
      <c r="I94" s="8">
        <v>3</v>
      </c>
      <c r="J94" s="34">
        <f>150*I94</f>
        <v>450</v>
      </c>
      <c r="K94" s="98" t="s">
        <v>3877</v>
      </c>
      <c r="L94" s="81">
        <v>4200672216</v>
      </c>
      <c r="M94" s="81" t="s">
        <v>650</v>
      </c>
      <c r="N94" s="81" t="s">
        <v>3878</v>
      </c>
      <c r="O94" s="325" t="s">
        <v>3868</v>
      </c>
      <c r="AL94" s="8">
        <v>3</v>
      </c>
    </row>
    <row r="95" spans="1:46" ht="15.75" hidden="1">
      <c r="A95" s="5" t="s">
        <v>220</v>
      </c>
      <c r="B95" s="5" t="s">
        <v>3587</v>
      </c>
      <c r="C95" s="103">
        <v>45526</v>
      </c>
      <c r="D95" s="392" t="s">
        <v>3879</v>
      </c>
      <c r="E95" s="5" t="s">
        <v>3659</v>
      </c>
      <c r="F95" s="81" t="s">
        <v>223</v>
      </c>
      <c r="G95" s="8" t="s">
        <v>3587</v>
      </c>
      <c r="H95" s="30" t="s">
        <v>3880</v>
      </c>
      <c r="I95" s="8">
        <v>9</v>
      </c>
      <c r="J95" s="34">
        <v>315</v>
      </c>
      <c r="K95" s="100" t="s">
        <v>3881</v>
      </c>
      <c r="L95" s="81">
        <v>4200672087</v>
      </c>
      <c r="M95" s="81" t="s">
        <v>650</v>
      </c>
      <c r="N95" s="81" t="s">
        <v>3882</v>
      </c>
      <c r="O95" s="325" t="s">
        <v>3868</v>
      </c>
      <c r="AF95" s="7">
        <v>9</v>
      </c>
    </row>
    <row r="96" spans="1:46" hidden="1">
      <c r="A96" s="5" t="s">
        <v>220</v>
      </c>
      <c r="B96" s="5" t="s">
        <v>3587</v>
      </c>
      <c r="C96" s="103">
        <v>45544</v>
      </c>
      <c r="D96" s="55" t="s">
        <v>3883</v>
      </c>
      <c r="E96" s="5" t="s">
        <v>3659</v>
      </c>
      <c r="F96" s="81" t="s">
        <v>223</v>
      </c>
      <c r="G96" s="8" t="s">
        <v>3587</v>
      </c>
      <c r="H96" s="78" t="s">
        <v>3884</v>
      </c>
      <c r="I96" s="43">
        <f>IF(SUM(P96:AX96)=0,"-",SUM(P96:AX96))</f>
        <v>2</v>
      </c>
      <c r="J96" s="52">
        <f>IF(SUMPRODUCT($P$3:$AX$3,P96:AX96)=0,"-",SUMPRODUCT($P$3:$AX$3,P96:AX96))</f>
        <v>315</v>
      </c>
      <c r="K96" s="100" t="s">
        <v>3885</v>
      </c>
      <c r="L96" s="81">
        <v>4200672078</v>
      </c>
      <c r="M96" s="81" t="s">
        <v>650</v>
      </c>
      <c r="N96" s="81" t="s">
        <v>3886</v>
      </c>
      <c r="O96" s="325" t="s">
        <v>3868</v>
      </c>
      <c r="W96" s="7">
        <v>1</v>
      </c>
      <c r="AC96" s="8">
        <v>1</v>
      </c>
    </row>
    <row r="97" spans="1:46" hidden="1">
      <c r="A97" s="5" t="s">
        <v>220</v>
      </c>
      <c r="B97" s="5" t="s">
        <v>3587</v>
      </c>
      <c r="C97" s="103">
        <v>45552</v>
      </c>
      <c r="D97" s="107" t="s">
        <v>3887</v>
      </c>
      <c r="E97" s="5" t="s">
        <v>3669</v>
      </c>
      <c r="F97" s="81" t="s">
        <v>223</v>
      </c>
      <c r="G97" s="8" t="s">
        <v>3587</v>
      </c>
      <c r="H97" s="78" t="s">
        <v>3888</v>
      </c>
      <c r="I97" s="43">
        <f>IF(SUM(P97:AX97)=0,"-",SUM(P97:AX97))</f>
        <v>2</v>
      </c>
      <c r="J97" s="52">
        <f>IF(SUMPRODUCT($P$3:$AX$3,P97:AX97)=0,"-",SUMPRODUCT($P$3:$AX$3,P97:AX97))</f>
        <v>80</v>
      </c>
      <c r="K97" s="100" t="s">
        <v>3889</v>
      </c>
      <c r="L97" s="81">
        <v>4270028787</v>
      </c>
      <c r="M97" s="81" t="s">
        <v>650</v>
      </c>
      <c r="N97" s="81" t="s">
        <v>3890</v>
      </c>
      <c r="O97" s="325" t="s">
        <v>3868</v>
      </c>
      <c r="X97" s="8">
        <v>2</v>
      </c>
    </row>
    <row r="98" spans="1:46" hidden="1">
      <c r="A98" s="5" t="s">
        <v>220</v>
      </c>
      <c r="B98" s="5" t="s">
        <v>3587</v>
      </c>
      <c r="C98" s="103">
        <v>45559</v>
      </c>
      <c r="D98" s="55" t="s">
        <v>3891</v>
      </c>
      <c r="E98" s="5" t="s">
        <v>3589</v>
      </c>
      <c r="F98" s="81" t="s">
        <v>223</v>
      </c>
      <c r="G98" s="8" t="s">
        <v>3587</v>
      </c>
      <c r="H98" s="78" t="s">
        <v>3892</v>
      </c>
      <c r="I98" s="8">
        <v>3</v>
      </c>
      <c r="J98" s="52">
        <f>IF(SUMPRODUCT($P$3:$AX$3,P98:AX98)=0,"-",SUMPRODUCT($P$3:$AX$3,P98:AX98))</f>
        <v>885</v>
      </c>
      <c r="K98" s="100" t="s">
        <v>3893</v>
      </c>
      <c r="L98" s="81">
        <v>4200672217</v>
      </c>
      <c r="M98" s="81" t="s">
        <v>650</v>
      </c>
      <c r="N98" s="81" t="s">
        <v>3894</v>
      </c>
      <c r="O98" s="325" t="s">
        <v>3868</v>
      </c>
      <c r="P98" s="7">
        <v>3</v>
      </c>
      <c r="Q98" s="8">
        <v>15</v>
      </c>
    </row>
    <row r="99" spans="1:46" hidden="1">
      <c r="A99" s="5" t="s">
        <v>220</v>
      </c>
      <c r="B99" s="5" t="s">
        <v>3587</v>
      </c>
      <c r="C99" s="103">
        <v>45561</v>
      </c>
      <c r="D99" s="55" t="s">
        <v>3895</v>
      </c>
      <c r="E99" s="5" t="s">
        <v>3659</v>
      </c>
      <c r="F99" s="81" t="s">
        <v>223</v>
      </c>
      <c r="G99" s="8" t="s">
        <v>3587</v>
      </c>
      <c r="H99" s="30" t="s">
        <v>3896</v>
      </c>
      <c r="I99" s="8">
        <v>1</v>
      </c>
      <c r="J99" s="52">
        <f>IF(SUMPRODUCT($P$3:$AX$3,P99:AX99)=0,"-",SUMPRODUCT($P$3:$AX$3,P99:AX99))</f>
        <v>135</v>
      </c>
      <c r="K99" s="102" t="s">
        <v>481</v>
      </c>
      <c r="L99" s="81">
        <v>4200672077</v>
      </c>
      <c r="M99" s="81" t="s">
        <v>650</v>
      </c>
      <c r="N99" s="81" t="s">
        <v>3897</v>
      </c>
      <c r="O99" s="325" t="s">
        <v>3868</v>
      </c>
      <c r="W99" s="7">
        <v>1</v>
      </c>
    </row>
    <row r="100" spans="1:46" hidden="1">
      <c r="A100" s="5" t="s">
        <v>220</v>
      </c>
      <c r="B100" s="5" t="s">
        <v>3587</v>
      </c>
      <c r="C100" s="76">
        <v>45181</v>
      </c>
      <c r="D100" s="55" t="s">
        <v>3898</v>
      </c>
      <c r="E100" s="5" t="s">
        <v>3589</v>
      </c>
      <c r="F100" s="29" t="s">
        <v>223</v>
      </c>
      <c r="G100" s="8" t="s">
        <v>3587</v>
      </c>
      <c r="H100" s="78" t="s">
        <v>3899</v>
      </c>
      <c r="I100" s="43">
        <f>IF(SUM(P100:AX100)=0,"-",SUM(P100:AX100))</f>
        <v>1</v>
      </c>
      <c r="J100" s="52">
        <f>IF(SUMPRODUCT($P$3:$AX$3,P100:AX100)=0,"-",SUMPRODUCT($P$3:$AX$3,P100:AX100))</f>
        <v>250</v>
      </c>
      <c r="K100" s="98" t="s">
        <v>3900</v>
      </c>
      <c r="L100" s="102">
        <v>4200655534</v>
      </c>
      <c r="M100" s="81" t="s">
        <v>249</v>
      </c>
      <c r="N100" s="81" t="s">
        <v>3901</v>
      </c>
      <c r="O100" s="326" t="s">
        <v>652</v>
      </c>
      <c r="T100" s="8">
        <v>1</v>
      </c>
    </row>
    <row r="101" spans="1:46" hidden="1">
      <c r="A101" s="5" t="s">
        <v>220</v>
      </c>
      <c r="B101" s="5" t="s">
        <v>3587</v>
      </c>
      <c r="C101" s="76">
        <v>45219</v>
      </c>
      <c r="D101" s="55" t="s">
        <v>3902</v>
      </c>
      <c r="E101" s="5" t="s">
        <v>3589</v>
      </c>
      <c r="F101" s="29" t="s">
        <v>223</v>
      </c>
      <c r="G101" s="8" t="s">
        <v>3587</v>
      </c>
      <c r="H101" s="78" t="s">
        <v>3903</v>
      </c>
      <c r="I101" s="43">
        <f>IF(SUM(P101:AX101)=0,"-",SUM(P101:AX101))</f>
        <v>3</v>
      </c>
      <c r="J101" s="33">
        <f>IF(SUMPRODUCT($P$3:$AX$3,P101:AX101)=0,"-",SUMPRODUCT($P$3:$AX$3,P101:AX101))</f>
        <v>900</v>
      </c>
      <c r="K101" s="98" t="s">
        <v>3904</v>
      </c>
      <c r="L101" s="119">
        <v>4200656018</v>
      </c>
      <c r="M101" s="81" t="s">
        <v>249</v>
      </c>
      <c r="N101" s="81" t="s">
        <v>3905</v>
      </c>
      <c r="O101" s="326" t="s">
        <v>652</v>
      </c>
      <c r="AT101" s="7">
        <v>3</v>
      </c>
    </row>
    <row r="102" spans="1:46" hidden="1">
      <c r="A102" s="5" t="s">
        <v>220</v>
      </c>
      <c r="B102" s="5" t="s">
        <v>3587</v>
      </c>
      <c r="C102" s="76">
        <v>45236</v>
      </c>
      <c r="D102" s="55" t="s">
        <v>3906</v>
      </c>
      <c r="E102" s="5" t="s">
        <v>3589</v>
      </c>
      <c r="F102" s="29" t="s">
        <v>223</v>
      </c>
      <c r="G102" s="8" t="s">
        <v>3587</v>
      </c>
      <c r="H102" s="78" t="s">
        <v>3907</v>
      </c>
      <c r="I102" s="43">
        <f>IF(SUM(P102:AX102)=0,"-",SUM(P102:AX102))</f>
        <v>2</v>
      </c>
      <c r="J102" s="52">
        <f>IF(SUMPRODUCT($P$3:$AX$3,P102:AX102)=0,"-",SUMPRODUCT($P$3:$AX$3,P102:AX102))</f>
        <v>220</v>
      </c>
      <c r="K102" s="98" t="s">
        <v>3908</v>
      </c>
      <c r="L102" s="81">
        <v>4200655530</v>
      </c>
      <c r="M102" s="81" t="s">
        <v>249</v>
      </c>
      <c r="N102" s="81" t="s">
        <v>3909</v>
      </c>
      <c r="O102" s="326" t="s">
        <v>652</v>
      </c>
      <c r="X102" s="8">
        <v>1</v>
      </c>
      <c r="Y102" s="8">
        <v>1</v>
      </c>
    </row>
    <row r="103" spans="1:46" hidden="1">
      <c r="A103" s="5" t="s">
        <v>220</v>
      </c>
      <c r="B103" s="5" t="s">
        <v>3587</v>
      </c>
      <c r="C103" s="76">
        <v>45240</v>
      </c>
      <c r="D103" s="222" t="s">
        <v>3910</v>
      </c>
      <c r="E103" s="5" t="s">
        <v>3589</v>
      </c>
      <c r="F103" s="29" t="s">
        <v>223</v>
      </c>
      <c r="G103" s="8" t="s">
        <v>3587</v>
      </c>
      <c r="H103" s="78" t="s">
        <v>3911</v>
      </c>
      <c r="I103" s="43">
        <f>IF(SUM(P103:AX103)=0,"-",SUM(P103:AX103))</f>
        <v>6</v>
      </c>
      <c r="J103" s="52">
        <f>IF(SUMPRODUCT($P$3:$AX$3,P103:AX103)=0,"-",SUMPRODUCT($P$3:$AX$3,P103:AX103))</f>
        <v>660</v>
      </c>
      <c r="K103" s="98" t="s">
        <v>3912</v>
      </c>
      <c r="L103" s="81">
        <v>4200655542</v>
      </c>
      <c r="M103" s="81" t="s">
        <v>249</v>
      </c>
      <c r="N103" s="81" t="s">
        <v>3913</v>
      </c>
      <c r="O103" s="326" t="s">
        <v>652</v>
      </c>
      <c r="P103" s="7">
        <v>1</v>
      </c>
      <c r="Q103" s="8">
        <v>4</v>
      </c>
      <c r="AD103" s="8">
        <v>1</v>
      </c>
    </row>
    <row r="104" spans="1:46" hidden="1">
      <c r="A104" s="5" t="s">
        <v>220</v>
      </c>
      <c r="B104" s="5" t="s">
        <v>3587</v>
      </c>
      <c r="C104" s="76">
        <v>45261</v>
      </c>
      <c r="D104" s="222" t="s">
        <v>3914</v>
      </c>
      <c r="E104" s="5" t="s">
        <v>3589</v>
      </c>
      <c r="F104" s="29" t="s">
        <v>223</v>
      </c>
      <c r="G104" s="8" t="s">
        <v>3592</v>
      </c>
      <c r="H104" s="78" t="s">
        <v>3915</v>
      </c>
      <c r="I104" s="43">
        <f>IF(SUM(P104:AX104)=0,"-",SUM(P104:AX104))</f>
        <v>3</v>
      </c>
      <c r="J104" s="52">
        <f>IF(SUMPRODUCT($P$3:$AX$3,P104:AX104)=0,"-",SUMPRODUCT($P$3:$AX$3,P104:AX104))</f>
        <v>540</v>
      </c>
      <c r="K104" s="98" t="s">
        <v>3916</v>
      </c>
      <c r="L104" s="81">
        <v>4200656744</v>
      </c>
      <c r="M104" s="81" t="s">
        <v>249</v>
      </c>
      <c r="N104" s="81" t="s">
        <v>3917</v>
      </c>
      <c r="O104" s="326" t="s">
        <v>652</v>
      </c>
      <c r="Y104" s="8">
        <v>3</v>
      </c>
    </row>
    <row r="105" spans="1:46" hidden="1">
      <c r="A105" s="5" t="s">
        <v>220</v>
      </c>
      <c r="B105" s="5" t="s">
        <v>3587</v>
      </c>
      <c r="C105" s="76">
        <v>45261</v>
      </c>
      <c r="D105" s="222" t="s">
        <v>3918</v>
      </c>
      <c r="E105" s="5" t="s">
        <v>3589</v>
      </c>
      <c r="F105" s="29" t="s">
        <v>223</v>
      </c>
      <c r="G105" s="8" t="s">
        <v>3587</v>
      </c>
      <c r="H105" s="49" t="s">
        <v>481</v>
      </c>
      <c r="I105" s="43">
        <v>1</v>
      </c>
      <c r="J105" s="33">
        <f>577.11*1.1</f>
        <v>634.82100000000003</v>
      </c>
      <c r="K105" s="98" t="s">
        <v>3919</v>
      </c>
      <c r="L105" s="81">
        <v>4200656736</v>
      </c>
      <c r="M105" s="81" t="s">
        <v>249</v>
      </c>
      <c r="N105" s="81" t="s">
        <v>3920</v>
      </c>
      <c r="O105" s="326" t="s">
        <v>652</v>
      </c>
      <c r="AD105" s="44"/>
      <c r="AE105" s="44"/>
      <c r="AI105" s="8">
        <f>3</f>
        <v>3</v>
      </c>
    </row>
    <row r="106" spans="1:46" hidden="1">
      <c r="A106" s="5" t="s">
        <v>220</v>
      </c>
      <c r="B106" s="5" t="s">
        <v>3587</v>
      </c>
      <c r="C106" s="76">
        <v>45181</v>
      </c>
      <c r="D106" s="222" t="s">
        <v>3921</v>
      </c>
      <c r="E106" s="5" t="s">
        <v>3589</v>
      </c>
      <c r="F106" s="29" t="s">
        <v>223</v>
      </c>
      <c r="G106" s="8" t="s">
        <v>3587</v>
      </c>
      <c r="H106" s="78" t="s">
        <v>3899</v>
      </c>
      <c r="I106" s="43">
        <f>IF(SUM(P106:AX106)=0,"-",SUM(P106:AX106))</f>
        <v>18</v>
      </c>
      <c r="J106" s="52">
        <f>IF(SUMPRODUCT($P$3:$AX$3,P106:AX106)=0,"-",SUMPRODUCT($P$3:$AX$3,P106:AX106))</f>
        <v>1015</v>
      </c>
      <c r="K106" s="98" t="s">
        <v>3922</v>
      </c>
      <c r="L106" s="102">
        <v>4200652630</v>
      </c>
      <c r="M106" s="81" t="s">
        <v>249</v>
      </c>
      <c r="N106" s="81" t="s">
        <v>3923</v>
      </c>
      <c r="O106" s="325" t="s">
        <v>3924</v>
      </c>
      <c r="P106" s="7">
        <v>2</v>
      </c>
      <c r="Q106" s="8">
        <f>1+4*3+2</f>
        <v>15</v>
      </c>
      <c r="T106" s="8">
        <v>1</v>
      </c>
    </row>
    <row r="107" spans="1:46" hidden="1">
      <c r="A107" s="5" t="s">
        <v>220</v>
      </c>
      <c r="B107" s="5" t="s">
        <v>3587</v>
      </c>
      <c r="C107" s="76">
        <v>45267</v>
      </c>
      <c r="D107" s="55" t="s">
        <v>3925</v>
      </c>
      <c r="E107" s="5" t="s">
        <v>3926</v>
      </c>
      <c r="F107" s="29" t="s">
        <v>223</v>
      </c>
      <c r="G107" s="8" t="s">
        <v>3587</v>
      </c>
      <c r="H107" s="78" t="s">
        <v>3927</v>
      </c>
      <c r="I107" s="43">
        <f>IF(SUM(P107:AX107)=0,"-",SUM(P107:AX107))</f>
        <v>8</v>
      </c>
      <c r="J107" s="52">
        <f>IF(SUMPRODUCT($P$3:$AX$3,P107:AX107)=0,"-",SUMPRODUCT($P$3:$AX$3,P107:AX107))</f>
        <v>365</v>
      </c>
      <c r="K107" s="98" t="s">
        <v>3928</v>
      </c>
      <c r="L107" s="81">
        <v>4200662438</v>
      </c>
      <c r="M107" s="81" t="s">
        <v>249</v>
      </c>
      <c r="N107" s="81" t="s">
        <v>3929</v>
      </c>
      <c r="O107" s="326" t="s">
        <v>1265</v>
      </c>
      <c r="P107" s="7">
        <v>1</v>
      </c>
      <c r="Q107" s="8">
        <v>7</v>
      </c>
    </row>
    <row r="108" spans="1:46" hidden="1">
      <c r="A108" s="5" t="s">
        <v>220</v>
      </c>
      <c r="B108" s="5" t="s">
        <v>3587</v>
      </c>
      <c r="C108" s="103">
        <v>45377</v>
      </c>
      <c r="D108" s="55" t="s">
        <v>3930</v>
      </c>
      <c r="E108" s="5" t="s">
        <v>3931</v>
      </c>
      <c r="F108" s="81" t="s">
        <v>223</v>
      </c>
      <c r="G108" s="8" t="s">
        <v>3587</v>
      </c>
      <c r="H108" s="30" t="s">
        <v>3932</v>
      </c>
      <c r="I108" s="43">
        <f>IF(SUM(P108:AX108)=0,"-",SUM(P108:AX108))</f>
        <v>5</v>
      </c>
      <c r="J108" s="33">
        <f>IF(SUMPRODUCT($P$3:$AX$3,P108:AX108)=0,"-",SUMPRODUCT($P$3:$AX$3,P108:AX108))</f>
        <v>380</v>
      </c>
      <c r="K108" s="98" t="s">
        <v>3933</v>
      </c>
      <c r="L108" s="81">
        <v>4200662350</v>
      </c>
      <c r="M108" s="81" t="s">
        <v>650</v>
      </c>
      <c r="N108" s="81" t="s">
        <v>3934</v>
      </c>
      <c r="O108" s="326" t="s">
        <v>1265</v>
      </c>
      <c r="S108" s="8">
        <v>1</v>
      </c>
      <c r="AO108" s="7">
        <v>4</v>
      </c>
    </row>
    <row r="109" spans="1:46" hidden="1">
      <c r="A109" s="5" t="s">
        <v>220</v>
      </c>
      <c r="B109" s="5" t="s">
        <v>3587</v>
      </c>
      <c r="C109" s="76">
        <v>45155</v>
      </c>
      <c r="D109" s="55" t="s">
        <v>3935</v>
      </c>
      <c r="E109" s="5" t="s">
        <v>3589</v>
      </c>
      <c r="F109" s="29" t="s">
        <v>223</v>
      </c>
      <c r="G109" s="8" t="s">
        <v>3587</v>
      </c>
      <c r="H109" s="78" t="s">
        <v>3797</v>
      </c>
      <c r="I109" s="43">
        <f>IF(SUM(P109:AX109)=0,"-",SUM(P109:AX109))</f>
        <v>1</v>
      </c>
      <c r="J109" s="52">
        <f>IF(SUMPRODUCT($P$3:$AX$3,P109:AX109)=0,"-",SUMPRODUCT($P$3:$AX$3,P109:AX109))</f>
        <v>135</v>
      </c>
      <c r="K109" s="98" t="s">
        <v>3936</v>
      </c>
      <c r="L109" s="81">
        <v>4200650179</v>
      </c>
      <c r="M109" s="81" t="s">
        <v>249</v>
      </c>
      <c r="N109" s="81" t="s">
        <v>3937</v>
      </c>
      <c r="O109" s="325" t="s">
        <v>731</v>
      </c>
      <c r="W109" s="7">
        <v>1</v>
      </c>
    </row>
    <row r="110" spans="1:46" hidden="1">
      <c r="A110" s="5" t="s">
        <v>220</v>
      </c>
      <c r="B110" s="5" t="s">
        <v>3587</v>
      </c>
      <c r="C110" s="103">
        <v>45623</v>
      </c>
      <c r="D110" s="55" t="s">
        <v>3938</v>
      </c>
      <c r="E110" s="5" t="s">
        <v>3589</v>
      </c>
      <c r="F110" s="81" t="s">
        <v>223</v>
      </c>
      <c r="G110" s="8" t="s">
        <v>3587</v>
      </c>
      <c r="H110" s="78" t="s">
        <v>3939</v>
      </c>
      <c r="I110" s="43">
        <f>IF(SUM(P110:AX110)=0,"-",SUM(P110:AX110))</f>
        <v>5</v>
      </c>
      <c r="J110" s="52">
        <f>IF(SUMPRODUCT($P$3:$AX$3,P110:AX110)=0,"-",SUMPRODUCT($P$3:$AX$3,P110:AX110))</f>
        <v>600</v>
      </c>
      <c r="K110" s="100" t="s">
        <v>3940</v>
      </c>
      <c r="L110" s="123">
        <v>4200676098</v>
      </c>
      <c r="M110" s="123" t="s">
        <v>249</v>
      </c>
      <c r="N110" s="123" t="s">
        <v>3941</v>
      </c>
      <c r="O110" s="325" t="s">
        <v>1941</v>
      </c>
      <c r="P110" s="7">
        <v>5</v>
      </c>
    </row>
    <row r="111" spans="1:46" hidden="1">
      <c r="A111" s="5" t="s">
        <v>220</v>
      </c>
      <c r="B111" s="5" t="s">
        <v>3587</v>
      </c>
      <c r="C111" s="103">
        <v>45625</v>
      </c>
      <c r="D111" s="55" t="s">
        <v>3942</v>
      </c>
      <c r="E111" s="5" t="s">
        <v>3589</v>
      </c>
      <c r="F111" s="81" t="s">
        <v>223</v>
      </c>
      <c r="G111" s="8" t="s">
        <v>3587</v>
      </c>
      <c r="H111" s="30" t="s">
        <v>3943</v>
      </c>
      <c r="I111" s="43">
        <f>IF(SUM(P111:AX111)=0,"-",SUM(P111:AX111))</f>
        <v>16</v>
      </c>
      <c r="J111" s="52">
        <f>IF(SUMPRODUCT($P$3:$AX$3,P111:AX111)=0,"-",SUMPRODUCT($P$3:$AX$3,P111:AX111))</f>
        <v>4800</v>
      </c>
      <c r="K111" s="438" t="s">
        <v>481</v>
      </c>
      <c r="L111" s="123">
        <v>4200676040</v>
      </c>
      <c r="M111" s="123" t="s">
        <v>249</v>
      </c>
      <c r="N111" s="123" t="s">
        <v>3944</v>
      </c>
      <c r="O111" s="325" t="s">
        <v>1941</v>
      </c>
      <c r="AT111" s="7">
        <v>16</v>
      </c>
    </row>
    <row r="112" spans="1:46" hidden="1">
      <c r="A112" s="5" t="s">
        <v>220</v>
      </c>
      <c r="B112" s="5" t="s">
        <v>3587</v>
      </c>
      <c r="C112" s="103">
        <v>45401</v>
      </c>
      <c r="D112" s="55" t="s">
        <v>3945</v>
      </c>
      <c r="E112" s="5" t="s">
        <v>3931</v>
      </c>
      <c r="F112" s="81" t="s">
        <v>223</v>
      </c>
      <c r="G112" s="8" t="s">
        <v>3587</v>
      </c>
      <c r="H112" s="78" t="s">
        <v>3946</v>
      </c>
      <c r="I112" s="43">
        <f>IF(SUM(P112:AX112)=0,"-",SUM(P112:AX112))</f>
        <v>1</v>
      </c>
      <c r="J112" s="52">
        <f>IF(SUMPRODUCT($P$3:$AX$3,P112:AX112)=0,"-",SUMPRODUCT($P$3:$AX$3,P112:AX112))</f>
        <v>80</v>
      </c>
      <c r="K112" s="98" t="s">
        <v>3947</v>
      </c>
      <c r="L112" s="102">
        <v>4200675932</v>
      </c>
      <c r="M112" s="81" t="s">
        <v>249</v>
      </c>
      <c r="N112" s="81" t="s">
        <v>3948</v>
      </c>
      <c r="O112" s="325" t="s">
        <v>1941</v>
      </c>
      <c r="AO112" s="7">
        <v>1</v>
      </c>
    </row>
    <row r="113" spans="1:46" hidden="1">
      <c r="A113" s="5" t="s">
        <v>220</v>
      </c>
      <c r="B113" s="5" t="s">
        <v>3587</v>
      </c>
      <c r="C113" s="103">
        <v>45422</v>
      </c>
      <c r="D113" s="106" t="s">
        <v>3949</v>
      </c>
      <c r="E113" s="5" t="s">
        <v>3589</v>
      </c>
      <c r="F113" s="81" t="s">
        <v>223</v>
      </c>
      <c r="G113" s="8" t="s">
        <v>3592</v>
      </c>
      <c r="H113" s="78" t="s">
        <v>3950</v>
      </c>
      <c r="I113" s="8">
        <v>2</v>
      </c>
      <c r="J113" s="52">
        <f>IF(SUMPRODUCT($P$3:$AX$3,P113:AX113)=0,"-",SUMPRODUCT($P$3:$AX$3,P113:AX113))</f>
        <v>35</v>
      </c>
      <c r="K113" s="98" t="s">
        <v>3951</v>
      </c>
      <c r="L113" s="102">
        <v>4200675932</v>
      </c>
      <c r="M113" s="81" t="s">
        <v>249</v>
      </c>
      <c r="N113" s="81" t="s">
        <v>3948</v>
      </c>
      <c r="O113" s="325" t="s">
        <v>1941</v>
      </c>
      <c r="Q113" s="8">
        <v>1</v>
      </c>
    </row>
    <row r="114" spans="1:46" hidden="1">
      <c r="A114" s="5" t="s">
        <v>220</v>
      </c>
      <c r="B114" s="5" t="s">
        <v>3587</v>
      </c>
      <c r="C114" s="103">
        <v>45547</v>
      </c>
      <c r="D114" s="55" t="s">
        <v>3952</v>
      </c>
      <c r="E114" s="5" t="s">
        <v>3589</v>
      </c>
      <c r="F114" s="81" t="s">
        <v>223</v>
      </c>
      <c r="G114" s="8" t="s">
        <v>3587</v>
      </c>
      <c r="H114" s="30" t="s">
        <v>3953</v>
      </c>
      <c r="I114" s="43">
        <f>IF(SUM(P114:AX114)=0,"-",SUM(P114:AX114))</f>
        <v>18</v>
      </c>
      <c r="J114" s="52">
        <f>IF(SUMPRODUCT($P$3:$AX$3,P114:AX114)=0,"-",SUMPRODUCT($P$3:$AX$3,P114:AX114))</f>
        <v>885</v>
      </c>
      <c r="K114" s="100" t="s">
        <v>3954</v>
      </c>
      <c r="L114" s="102">
        <v>4200675932</v>
      </c>
      <c r="M114" s="81" t="s">
        <v>249</v>
      </c>
      <c r="N114" s="81" t="s">
        <v>3948</v>
      </c>
      <c r="O114" s="325" t="s">
        <v>1941</v>
      </c>
      <c r="P114" s="7">
        <v>3</v>
      </c>
      <c r="Q114" s="8">
        <v>15</v>
      </c>
    </row>
    <row r="115" spans="1:46" hidden="1">
      <c r="A115" s="5" t="s">
        <v>220</v>
      </c>
      <c r="B115" s="5" t="s">
        <v>3587</v>
      </c>
      <c r="C115" s="103">
        <v>45559</v>
      </c>
      <c r="D115" s="55" t="s">
        <v>3955</v>
      </c>
      <c r="E115" s="5" t="s">
        <v>3589</v>
      </c>
      <c r="F115" s="81" t="s">
        <v>223</v>
      </c>
      <c r="G115" s="8" t="s">
        <v>3587</v>
      </c>
      <c r="H115" s="78" t="s">
        <v>3956</v>
      </c>
      <c r="I115" s="43">
        <f>IF(SUM(P115:AX115)=0,"-",SUM(P115:AX115))</f>
        <v>10</v>
      </c>
      <c r="J115" s="52">
        <f>IF(SUMPRODUCT($P$3:$AX$3,P115:AX115)=0,"-",SUMPRODUCT($P$3:$AX$3,P115:AX115))</f>
        <v>350</v>
      </c>
      <c r="K115" s="100" t="s">
        <v>3957</v>
      </c>
      <c r="L115" s="81">
        <v>4200675932</v>
      </c>
      <c r="M115" s="81" t="s">
        <v>249</v>
      </c>
      <c r="N115" s="81" t="s">
        <v>3948</v>
      </c>
      <c r="O115" s="325" t="s">
        <v>1941</v>
      </c>
      <c r="AF115" s="7">
        <v>10</v>
      </c>
    </row>
    <row r="116" spans="1:46" hidden="1">
      <c r="A116" s="5" t="s">
        <v>220</v>
      </c>
      <c r="B116" s="5" t="s">
        <v>3587</v>
      </c>
      <c r="C116" s="103">
        <v>45562</v>
      </c>
      <c r="D116" s="55" t="s">
        <v>3958</v>
      </c>
      <c r="E116" s="5" t="s">
        <v>3589</v>
      </c>
      <c r="F116" s="81" t="s">
        <v>223</v>
      </c>
      <c r="G116" s="8" t="s">
        <v>3587</v>
      </c>
      <c r="I116" s="8">
        <v>1</v>
      </c>
      <c r="J116" s="52">
        <f>IF(SUMPRODUCT($P$3:$AX$3,P116:AX116)=0,"-",SUMPRODUCT($P$3:$AX$3,P116:AX116))</f>
        <v>120</v>
      </c>
      <c r="K116" s="100" t="s">
        <v>3959</v>
      </c>
      <c r="L116" s="102">
        <v>4200675932</v>
      </c>
      <c r="M116" s="81" t="s">
        <v>249</v>
      </c>
      <c r="N116" s="81" t="s">
        <v>3948</v>
      </c>
      <c r="O116" s="325" t="s">
        <v>1941</v>
      </c>
      <c r="P116" s="7">
        <v>1</v>
      </c>
    </row>
    <row r="117" spans="1:46" hidden="1">
      <c r="A117" s="5" t="s">
        <v>220</v>
      </c>
      <c r="B117" s="5" t="s">
        <v>3587</v>
      </c>
      <c r="C117" s="103">
        <v>45565</v>
      </c>
      <c r="D117" s="55" t="s">
        <v>3960</v>
      </c>
      <c r="E117" s="5" t="s">
        <v>3589</v>
      </c>
      <c r="F117" s="81" t="s">
        <v>223</v>
      </c>
      <c r="G117" s="8" t="s">
        <v>3587</v>
      </c>
      <c r="H117" s="78" t="s">
        <v>3961</v>
      </c>
      <c r="I117" s="8">
        <v>1</v>
      </c>
      <c r="J117" s="52">
        <f>IF(SUMPRODUCT($P$3:$AX$3,P117:AX117)=0,"-",SUMPRODUCT($P$3:$AX$3,P117:AX117))</f>
        <v>120</v>
      </c>
      <c r="K117" s="98" t="s">
        <v>3962</v>
      </c>
      <c r="L117" s="102">
        <v>4200675932</v>
      </c>
      <c r="M117" s="81" t="s">
        <v>249</v>
      </c>
      <c r="N117" s="81" t="s">
        <v>3948</v>
      </c>
      <c r="O117" s="325" t="s">
        <v>1941</v>
      </c>
      <c r="P117" s="7">
        <v>1</v>
      </c>
    </row>
    <row r="118" spans="1:46" hidden="1">
      <c r="A118" s="5" t="s">
        <v>220</v>
      </c>
      <c r="B118" s="5" t="s">
        <v>3587</v>
      </c>
      <c r="C118" s="103">
        <v>45567</v>
      </c>
      <c r="D118" s="55" t="s">
        <v>3963</v>
      </c>
      <c r="E118" s="5" t="s">
        <v>3589</v>
      </c>
      <c r="F118" s="81" t="s">
        <v>223</v>
      </c>
      <c r="G118" s="8" t="s">
        <v>3587</v>
      </c>
      <c r="H118" s="30" t="s">
        <v>3964</v>
      </c>
      <c r="I118" s="8">
        <v>1</v>
      </c>
      <c r="J118" s="52">
        <f>IF(SUMPRODUCT($P$3:$AX$3,P118:AX118)=0,"-",SUMPRODUCT($P$3:$AX$3,P118:AX118))</f>
        <v>120</v>
      </c>
      <c r="K118" s="102" t="s">
        <v>481</v>
      </c>
      <c r="L118" s="81">
        <v>4200675932</v>
      </c>
      <c r="M118" s="81" t="s">
        <v>249</v>
      </c>
      <c r="N118" s="81" t="s">
        <v>3948</v>
      </c>
      <c r="O118" s="325" t="s">
        <v>1941</v>
      </c>
      <c r="P118" s="7">
        <v>1</v>
      </c>
    </row>
    <row r="119" spans="1:46" hidden="1">
      <c r="A119" s="5" t="s">
        <v>220</v>
      </c>
      <c r="B119" s="5" t="s">
        <v>3587</v>
      </c>
      <c r="C119" s="103">
        <v>45567</v>
      </c>
      <c r="D119" s="55" t="s">
        <v>3965</v>
      </c>
      <c r="E119" s="5" t="s">
        <v>3589</v>
      </c>
      <c r="F119" s="81" t="s">
        <v>223</v>
      </c>
      <c r="G119" s="8" t="s">
        <v>3587</v>
      </c>
      <c r="H119" s="30" t="s">
        <v>3953</v>
      </c>
      <c r="I119" s="43">
        <f>IF(SUM(P119:AX119)=0,"-",SUM(P119:AX119))</f>
        <v>4</v>
      </c>
      <c r="J119" s="52">
        <f>IF(SUMPRODUCT($P$3:$AX$3,P119:AX119)=0,"-",SUMPRODUCT($P$3:$AX$3,P119:AX119))</f>
        <v>140</v>
      </c>
      <c r="K119" s="100" t="s">
        <v>3954</v>
      </c>
      <c r="L119" s="81">
        <v>4200675932</v>
      </c>
      <c r="M119" s="81" t="s">
        <v>249</v>
      </c>
      <c r="N119" s="81" t="s">
        <v>3948</v>
      </c>
      <c r="O119" s="325" t="s">
        <v>1941</v>
      </c>
      <c r="Q119" s="8">
        <v>4</v>
      </c>
    </row>
    <row r="120" spans="1:46" hidden="1">
      <c r="A120" s="5" t="s">
        <v>220</v>
      </c>
      <c r="B120" s="5" t="s">
        <v>3587</v>
      </c>
      <c r="C120" s="103">
        <v>45590</v>
      </c>
      <c r="D120" s="55" t="s">
        <v>3966</v>
      </c>
      <c r="E120" s="5" t="s">
        <v>3967</v>
      </c>
      <c r="F120" s="81" t="s">
        <v>223</v>
      </c>
      <c r="G120" s="8" t="s">
        <v>3587</v>
      </c>
      <c r="H120" s="30" t="s">
        <v>3968</v>
      </c>
      <c r="I120" s="8">
        <v>1</v>
      </c>
      <c r="J120" s="52">
        <f>IF(SUMPRODUCT($P$3:$AX$3,P120:AX120)=0,"-",SUMPRODUCT($P$3:$AX$3,P120:AX120))</f>
        <v>120</v>
      </c>
      <c r="K120" s="100" t="s">
        <v>3969</v>
      </c>
      <c r="L120" s="81">
        <v>4200675932</v>
      </c>
      <c r="M120" s="81" t="s">
        <v>249</v>
      </c>
      <c r="N120" s="81" t="s">
        <v>3948</v>
      </c>
      <c r="O120" s="325" t="s">
        <v>1941</v>
      </c>
      <c r="P120" s="7">
        <v>1</v>
      </c>
    </row>
    <row r="121" spans="1:46" hidden="1">
      <c r="A121" s="5" t="s">
        <v>220</v>
      </c>
      <c r="B121" s="5" t="s">
        <v>3587</v>
      </c>
      <c r="C121" s="103">
        <v>45600</v>
      </c>
      <c r="D121" s="55" t="s">
        <v>3970</v>
      </c>
      <c r="E121" s="5" t="s">
        <v>3589</v>
      </c>
      <c r="F121" s="81" t="s">
        <v>223</v>
      </c>
      <c r="G121" s="8" t="s">
        <v>3587</v>
      </c>
      <c r="H121" s="78" t="s">
        <v>3971</v>
      </c>
      <c r="I121" s="8">
        <v>1</v>
      </c>
      <c r="J121" s="52">
        <f>IF(SUMPRODUCT($P$3:$AX$3,P121:AX121)=0,"-",SUMPRODUCT($P$3:$AX$3,P121:AX121))</f>
        <v>960</v>
      </c>
      <c r="K121" s="100" t="s">
        <v>3972</v>
      </c>
      <c r="L121" s="81">
        <v>4200675932</v>
      </c>
      <c r="M121" s="81" t="s">
        <v>249</v>
      </c>
      <c r="N121" s="81" t="s">
        <v>3948</v>
      </c>
      <c r="O121" s="325" t="s">
        <v>1941</v>
      </c>
      <c r="P121" s="7">
        <v>8</v>
      </c>
    </row>
    <row r="122" spans="1:46" hidden="1">
      <c r="A122" s="5" t="s">
        <v>220</v>
      </c>
      <c r="B122" s="5" t="s">
        <v>3587</v>
      </c>
      <c r="C122" s="103">
        <v>45600</v>
      </c>
      <c r="D122" s="55" t="s">
        <v>3973</v>
      </c>
      <c r="E122" s="5" t="s">
        <v>3589</v>
      </c>
      <c r="F122" s="81" t="s">
        <v>223</v>
      </c>
      <c r="G122" s="8" t="s">
        <v>3587</v>
      </c>
      <c r="H122" s="30" t="s">
        <v>3974</v>
      </c>
      <c r="I122" s="8">
        <v>1</v>
      </c>
      <c r="J122" s="52">
        <f>300*I122</f>
        <v>300</v>
      </c>
      <c r="K122" s="100" t="s">
        <v>3975</v>
      </c>
      <c r="L122" s="81">
        <v>4200675932</v>
      </c>
      <c r="M122" s="81" t="s">
        <v>249</v>
      </c>
      <c r="N122" s="81" t="s">
        <v>3948</v>
      </c>
      <c r="O122" s="325" t="s">
        <v>1941</v>
      </c>
      <c r="AT122" s="7">
        <v>1</v>
      </c>
    </row>
    <row r="123" spans="1:46" hidden="1">
      <c r="A123" s="5" t="s">
        <v>220</v>
      </c>
      <c r="B123" s="5" t="s">
        <v>3587</v>
      </c>
      <c r="C123" s="103">
        <v>45610</v>
      </c>
      <c r="D123" s="55" t="s">
        <v>3976</v>
      </c>
      <c r="E123" s="5" t="s">
        <v>3669</v>
      </c>
      <c r="F123" s="81" t="s">
        <v>223</v>
      </c>
      <c r="G123" s="8" t="s">
        <v>3587</v>
      </c>
      <c r="I123" s="8">
        <v>1</v>
      </c>
      <c r="J123" s="34">
        <f>1041*1.1</f>
        <v>1145.1000000000001</v>
      </c>
      <c r="K123" s="100" t="s">
        <v>3977</v>
      </c>
      <c r="L123" s="81">
        <v>4200675932</v>
      </c>
      <c r="M123" s="81" t="s">
        <v>249</v>
      </c>
      <c r="N123" s="81" t="s">
        <v>3948</v>
      </c>
      <c r="O123" s="325" t="s">
        <v>1941</v>
      </c>
    </row>
    <row r="124" spans="1:46" ht="15.75" hidden="1">
      <c r="A124" s="5" t="s">
        <v>220</v>
      </c>
      <c r="B124" s="5" t="s">
        <v>3587</v>
      </c>
      <c r="C124" s="103">
        <v>45503</v>
      </c>
      <c r="D124" s="392" t="s">
        <v>3978</v>
      </c>
      <c r="E124" s="5" t="s">
        <v>3669</v>
      </c>
      <c r="F124" s="81" t="s">
        <v>223</v>
      </c>
      <c r="G124" s="8" t="s">
        <v>3587</v>
      </c>
      <c r="I124" s="8">
        <v>1</v>
      </c>
      <c r="J124" s="34">
        <v>768</v>
      </c>
      <c r="K124" s="100" t="s">
        <v>3979</v>
      </c>
      <c r="L124" s="81">
        <v>4200674452</v>
      </c>
      <c r="M124" s="81" t="s">
        <v>650</v>
      </c>
      <c r="N124" s="81" t="s">
        <v>3980</v>
      </c>
      <c r="O124" s="325" t="s">
        <v>3981</v>
      </c>
    </row>
    <row r="125" spans="1:46" hidden="1">
      <c r="A125" s="5" t="s">
        <v>220</v>
      </c>
      <c r="B125" s="5" t="s">
        <v>3587</v>
      </c>
      <c r="C125" s="103">
        <v>45631</v>
      </c>
      <c r="D125" s="55" t="s">
        <v>3982</v>
      </c>
      <c r="E125" s="5" t="s">
        <v>3669</v>
      </c>
      <c r="F125" s="81" t="s">
        <v>223</v>
      </c>
      <c r="G125" s="8" t="s">
        <v>3587</v>
      </c>
      <c r="H125" s="30" t="s">
        <v>3983</v>
      </c>
      <c r="I125" s="43">
        <f>IF(SUM(P125:AX125)=0,"-",SUM(P125:AX125))</f>
        <v>7</v>
      </c>
      <c r="J125" s="52">
        <f>IF(SUMPRODUCT($P$3:$AX$3,P125:AX125)=0,"-",SUMPRODUCT($P$3:$AX$3,P125:AX125))</f>
        <v>500</v>
      </c>
      <c r="K125" s="100" t="s">
        <v>3984</v>
      </c>
      <c r="L125" s="123">
        <v>4200678399</v>
      </c>
      <c r="M125" s="81" t="s">
        <v>650</v>
      </c>
      <c r="N125" s="123" t="s">
        <v>3985</v>
      </c>
      <c r="O125" s="325" t="s">
        <v>2184</v>
      </c>
      <c r="P125" s="7">
        <v>3</v>
      </c>
      <c r="Q125" s="8">
        <v>4</v>
      </c>
    </row>
    <row r="126" spans="1:46" ht="30.75" hidden="1">
      <c r="A126" s="5" t="s">
        <v>220</v>
      </c>
      <c r="B126" s="5" t="s">
        <v>3587</v>
      </c>
      <c r="C126" s="103">
        <v>45645</v>
      </c>
      <c r="D126" s="56" t="s">
        <v>3986</v>
      </c>
      <c r="E126" s="5" t="s">
        <v>3669</v>
      </c>
      <c r="F126" s="81" t="s">
        <v>223</v>
      </c>
      <c r="G126" s="8" t="s">
        <v>3587</v>
      </c>
      <c r="H126" s="49" t="s">
        <v>481</v>
      </c>
      <c r="I126" s="8">
        <v>1</v>
      </c>
      <c r="J126" s="387">
        <f>2002*1.05</f>
        <v>2102.1</v>
      </c>
      <c r="K126" s="100" t="s">
        <v>3987</v>
      </c>
      <c r="L126" s="81">
        <v>4200678384</v>
      </c>
      <c r="M126" s="81" t="s">
        <v>650</v>
      </c>
      <c r="N126" s="123" t="s">
        <v>3988</v>
      </c>
      <c r="O126" s="325" t="s">
        <v>2184</v>
      </c>
    </row>
    <row r="127" spans="1:46">
      <c r="A127" s="5" t="s">
        <v>220</v>
      </c>
      <c r="B127" s="5" t="s">
        <v>3587</v>
      </c>
      <c r="C127" s="103">
        <v>45665</v>
      </c>
      <c r="D127" s="56" t="s">
        <v>3989</v>
      </c>
      <c r="E127" s="5" t="s">
        <v>3589</v>
      </c>
      <c r="F127" s="81" t="s">
        <v>223</v>
      </c>
      <c r="G127" s="8" t="s">
        <v>3587</v>
      </c>
      <c r="H127" s="30" t="s">
        <v>3990</v>
      </c>
      <c r="I127" s="8">
        <v>1</v>
      </c>
      <c r="J127" s="52">
        <f>IF(SUMPRODUCT($P$3:$AX$3,P127:AX127)=0,"-",SUMPRODUCT($P$3:$AX$3,P127:AX127))</f>
        <v>135</v>
      </c>
      <c r="K127" s="100" t="s">
        <v>3991</v>
      </c>
      <c r="L127" s="81">
        <v>4200678386</v>
      </c>
      <c r="M127" s="81" t="s">
        <v>650</v>
      </c>
      <c r="N127" s="81" t="s">
        <v>3992</v>
      </c>
      <c r="O127" s="325" t="s">
        <v>2184</v>
      </c>
      <c r="W127" s="7">
        <v>1</v>
      </c>
    </row>
    <row r="128" spans="1:46">
      <c r="A128" s="5" t="s">
        <v>220</v>
      </c>
      <c r="B128" s="5" t="s">
        <v>3587</v>
      </c>
      <c r="C128" s="103">
        <v>45670</v>
      </c>
      <c r="D128" s="55" t="s">
        <v>3993</v>
      </c>
      <c r="E128" s="5" t="s">
        <v>3659</v>
      </c>
      <c r="F128" s="81" t="s">
        <v>223</v>
      </c>
      <c r="G128" s="8" t="s">
        <v>3587</v>
      </c>
      <c r="H128" s="5" t="s">
        <v>481</v>
      </c>
      <c r="I128" s="8">
        <v>1</v>
      </c>
      <c r="J128" s="34">
        <v>1000</v>
      </c>
      <c r="K128" s="81" t="s">
        <v>481</v>
      </c>
      <c r="L128" s="81">
        <v>4200676914</v>
      </c>
      <c r="M128" s="81" t="s">
        <v>650</v>
      </c>
      <c r="N128" s="81" t="s">
        <v>3994</v>
      </c>
      <c r="O128" s="325" t="s">
        <v>2176</v>
      </c>
    </row>
    <row r="129" spans="1:54">
      <c r="A129" s="5" t="s">
        <v>220</v>
      </c>
      <c r="B129" s="5" t="s">
        <v>3587</v>
      </c>
      <c r="C129" s="103">
        <v>45680</v>
      </c>
      <c r="D129" s="55" t="s">
        <v>3995</v>
      </c>
      <c r="E129" s="5" t="s">
        <v>3669</v>
      </c>
      <c r="F129" s="81" t="s">
        <v>223</v>
      </c>
      <c r="G129" s="8" t="s">
        <v>3587</v>
      </c>
      <c r="H129" s="30" t="s">
        <v>3996</v>
      </c>
      <c r="I129" s="8">
        <v>5</v>
      </c>
      <c r="J129" s="52">
        <f>IF(SUMPRODUCT($P$3:$AX$3,P129:AX129)=0,"-",SUMPRODUCT($P$3:$AX$3,P129:AX129))</f>
        <v>365</v>
      </c>
      <c r="K129" s="100" t="s">
        <v>3997</v>
      </c>
      <c r="L129" s="81">
        <v>4200678587</v>
      </c>
      <c r="M129" s="81" t="s">
        <v>650</v>
      </c>
      <c r="N129" s="81" t="s">
        <v>3998</v>
      </c>
      <c r="O129" s="325" t="s">
        <v>2184</v>
      </c>
      <c r="P129" s="7">
        <v>1</v>
      </c>
      <c r="Q129" s="8">
        <v>2</v>
      </c>
      <c r="W129" s="7">
        <v>1</v>
      </c>
      <c r="X129" s="8">
        <v>1</v>
      </c>
    </row>
    <row r="130" spans="1:54">
      <c r="A130" s="5" t="s">
        <v>220</v>
      </c>
      <c r="B130" s="5" t="s">
        <v>3587</v>
      </c>
      <c r="C130" s="103">
        <v>45686</v>
      </c>
      <c r="D130" s="55" t="s">
        <v>3999</v>
      </c>
      <c r="E130" s="5" t="s">
        <v>3589</v>
      </c>
      <c r="F130" s="81" t="s">
        <v>223</v>
      </c>
      <c r="G130" s="8" t="s">
        <v>3587</v>
      </c>
      <c r="I130" s="8">
        <v>6</v>
      </c>
      <c r="J130" s="52">
        <f>IF(SUMPRODUCT($P$3:$AX$3,P130:AX130)=0,"-",SUMPRODUCT($P$3:$AX$3,P130:AX130))</f>
        <v>720</v>
      </c>
      <c r="K130" s="100" t="s">
        <v>4000</v>
      </c>
      <c r="L130" s="102">
        <v>4200678592</v>
      </c>
      <c r="M130" s="81" t="s">
        <v>650</v>
      </c>
      <c r="N130" s="81" t="s">
        <v>4001</v>
      </c>
      <c r="O130" s="325" t="s">
        <v>2184</v>
      </c>
      <c r="P130" s="7">
        <v>6</v>
      </c>
    </row>
    <row r="131" spans="1:54">
      <c r="A131" s="5" t="s">
        <v>220</v>
      </c>
      <c r="B131" s="5" t="s">
        <v>3587</v>
      </c>
      <c r="C131" s="103">
        <v>45686</v>
      </c>
      <c r="D131" s="55" t="s">
        <v>4002</v>
      </c>
      <c r="E131" s="5" t="s">
        <v>3669</v>
      </c>
      <c r="F131" s="81" t="s">
        <v>223</v>
      </c>
      <c r="G131" s="8" t="s">
        <v>3587</v>
      </c>
      <c r="I131" s="8">
        <v>1</v>
      </c>
      <c r="J131" s="394">
        <v>1147</v>
      </c>
      <c r="K131" s="100" t="s">
        <v>4003</v>
      </c>
      <c r="L131" s="102">
        <v>4200678588</v>
      </c>
      <c r="M131" s="81" t="s">
        <v>650</v>
      </c>
      <c r="N131" s="81" t="s">
        <v>1335</v>
      </c>
      <c r="O131" s="325" t="s">
        <v>2184</v>
      </c>
    </row>
    <row r="132" spans="1:54">
      <c r="A132" s="5" t="s">
        <v>220</v>
      </c>
      <c r="B132" s="5" t="s">
        <v>3587</v>
      </c>
      <c r="C132" s="103">
        <v>45726</v>
      </c>
      <c r="D132" s="55" t="s">
        <v>4004</v>
      </c>
      <c r="E132" s="5" t="s">
        <v>4005</v>
      </c>
      <c r="F132" s="81" t="s">
        <v>223</v>
      </c>
      <c r="G132" s="8" t="s">
        <v>3587</v>
      </c>
      <c r="H132" s="30" t="s">
        <v>4006</v>
      </c>
      <c r="I132" s="8">
        <v>1</v>
      </c>
      <c r="J132" s="52">
        <f>IF(SUMPRODUCT($P$3:$AX$3,P132:AX132)=0,"-",SUMPRODUCT($P$3:$AX$3,P132:AX132))</f>
        <v>300</v>
      </c>
      <c r="K132" s="100" t="s">
        <v>4007</v>
      </c>
      <c r="L132" s="81">
        <v>4200680894</v>
      </c>
      <c r="M132" s="81" t="s">
        <v>249</v>
      </c>
      <c r="N132" s="81" t="s">
        <v>4008</v>
      </c>
      <c r="O132" s="325" t="s">
        <v>1226</v>
      </c>
      <c r="AT132" s="7">
        <v>1</v>
      </c>
    </row>
    <row r="133" spans="1:54">
      <c r="A133" s="5" t="s">
        <v>220</v>
      </c>
      <c r="B133" s="5" t="s">
        <v>3587</v>
      </c>
      <c r="C133" s="103">
        <v>45733</v>
      </c>
      <c r="D133" s="55" t="s">
        <v>4009</v>
      </c>
      <c r="E133" s="5" t="s">
        <v>3926</v>
      </c>
      <c r="F133" s="81" t="s">
        <v>223</v>
      </c>
      <c r="G133" s="8" t="s">
        <v>3587</v>
      </c>
      <c r="H133" s="30" t="s">
        <v>4010</v>
      </c>
      <c r="I133" s="43">
        <f>IF(SUM(P133:AX133)=0,"-",SUM(P133:AX133))</f>
        <v>1</v>
      </c>
      <c r="J133" s="52">
        <f>IF(SUMPRODUCT($P$3:$AX$3,P133:AX133)=0,"-",SUMPRODUCT($P$3:$AX$3,P133:AX133))</f>
        <v>135</v>
      </c>
      <c r="K133" s="100" t="s">
        <v>4011</v>
      </c>
      <c r="L133" s="81">
        <v>4200680006</v>
      </c>
      <c r="M133" s="81" t="s">
        <v>249</v>
      </c>
      <c r="N133" s="81" t="s">
        <v>4012</v>
      </c>
      <c r="O133" s="325" t="s">
        <v>2296</v>
      </c>
      <c r="W133" s="7">
        <v>1</v>
      </c>
    </row>
    <row r="134" spans="1:54">
      <c r="A134" s="5" t="s">
        <v>220</v>
      </c>
      <c r="B134" s="5" t="s">
        <v>3587</v>
      </c>
      <c r="C134" s="103">
        <v>45735</v>
      </c>
      <c r="D134" s="55" t="s">
        <v>4013</v>
      </c>
      <c r="E134" s="5" t="s">
        <v>3669</v>
      </c>
      <c r="F134" s="81" t="s">
        <v>223</v>
      </c>
      <c r="G134" s="8" t="s">
        <v>3587</v>
      </c>
      <c r="I134" s="43" t="str">
        <f>IF(SUM(P134:AX134)=0,"-",SUM(P134:AX134))</f>
        <v>-</v>
      </c>
      <c r="J134" s="387">
        <f>500*1.05</f>
        <v>525</v>
      </c>
      <c r="K134" s="100" t="s">
        <v>4014</v>
      </c>
      <c r="L134" s="426">
        <v>4200683776</v>
      </c>
      <c r="M134" s="81" t="s">
        <v>249</v>
      </c>
      <c r="N134" s="81" t="s">
        <v>4015</v>
      </c>
      <c r="O134" s="325" t="s">
        <v>2324</v>
      </c>
    </row>
    <row r="135" spans="1:54">
      <c r="A135" s="5" t="s">
        <v>220</v>
      </c>
      <c r="B135" s="5" t="s">
        <v>3587</v>
      </c>
      <c r="C135" s="103">
        <v>45737</v>
      </c>
      <c r="D135" s="55" t="s">
        <v>4016</v>
      </c>
      <c r="E135" s="5" t="s">
        <v>3589</v>
      </c>
      <c r="F135" s="81" t="s">
        <v>223</v>
      </c>
      <c r="G135" s="8" t="s">
        <v>3587</v>
      </c>
      <c r="I135" s="43" t="str">
        <f>IF(SUM(P135:AX135)=0,"-",SUM(P135:AX135))</f>
        <v>-</v>
      </c>
      <c r="J135" s="34">
        <v>5000</v>
      </c>
      <c r="K135" s="100" t="s">
        <v>4017</v>
      </c>
      <c r="L135" s="81">
        <v>4200680714</v>
      </c>
      <c r="M135" s="81" t="s">
        <v>249</v>
      </c>
      <c r="N135" s="81" t="s">
        <v>4018</v>
      </c>
      <c r="O135" s="325" t="s">
        <v>1226</v>
      </c>
    </row>
    <row r="136" spans="1:54">
      <c r="A136" s="5" t="s">
        <v>220</v>
      </c>
      <c r="B136" s="5" t="s">
        <v>3587</v>
      </c>
      <c r="C136" s="103">
        <v>45755</v>
      </c>
      <c r="D136" s="55" t="s">
        <v>4019</v>
      </c>
      <c r="E136" s="5" t="s">
        <v>3589</v>
      </c>
      <c r="F136" s="81" t="s">
        <v>223</v>
      </c>
      <c r="G136" s="8" t="s">
        <v>3587</v>
      </c>
      <c r="I136" s="43">
        <f>IF(SUM(P136:AX136)=0,"-",SUM(P136:AX136))</f>
        <v>1</v>
      </c>
      <c r="J136" s="52">
        <f>IF(SUMPRODUCT($P$3:$AX$3,P136:AX136)=0,"-",SUMPRODUCT($P$3:$AX$3,P136:AX136))</f>
        <v>35</v>
      </c>
      <c r="K136" s="100" t="s">
        <v>4020</v>
      </c>
      <c r="L136" s="96" t="s">
        <v>4021</v>
      </c>
      <c r="M136" s="81" t="s">
        <v>481</v>
      </c>
      <c r="N136" s="81" t="s">
        <v>481</v>
      </c>
      <c r="O136" s="430" t="s">
        <v>481</v>
      </c>
      <c r="Q136" s="8">
        <v>1</v>
      </c>
    </row>
    <row r="137" spans="1:54" ht="18" customHeight="1">
      <c r="A137" s="5" t="s">
        <v>220</v>
      </c>
      <c r="B137" s="5" t="s">
        <v>3587</v>
      </c>
      <c r="C137" s="103">
        <v>45757</v>
      </c>
      <c r="D137" s="55" t="s">
        <v>4022</v>
      </c>
      <c r="E137" s="420" t="s">
        <v>4023</v>
      </c>
      <c r="F137" s="81" t="s">
        <v>223</v>
      </c>
      <c r="G137" s="8" t="s">
        <v>3587</v>
      </c>
      <c r="H137" s="78" t="s">
        <v>4024</v>
      </c>
      <c r="I137" s="43">
        <v>3</v>
      </c>
      <c r="J137" s="62">
        <v>1950</v>
      </c>
      <c r="K137" s="98" t="s">
        <v>4025</v>
      </c>
      <c r="L137" s="119">
        <v>4200682489</v>
      </c>
      <c r="M137" s="81" t="s">
        <v>249</v>
      </c>
      <c r="N137" s="81" t="s">
        <v>4026</v>
      </c>
      <c r="O137" s="325" t="s">
        <v>4027</v>
      </c>
    </row>
    <row r="138" spans="1:54">
      <c r="A138" s="5" t="s">
        <v>220</v>
      </c>
      <c r="B138" s="5" t="s">
        <v>3587</v>
      </c>
      <c r="C138" s="103">
        <v>45761</v>
      </c>
      <c r="D138" s="55" t="s">
        <v>4028</v>
      </c>
      <c r="E138" s="5" t="s">
        <v>4029</v>
      </c>
      <c r="F138" s="81" t="s">
        <v>223</v>
      </c>
      <c r="G138" s="8" t="s">
        <v>3587</v>
      </c>
      <c r="H138" s="30" t="s">
        <v>4030</v>
      </c>
      <c r="I138" s="43">
        <f>IF(SUM(P138:AX138)=0,"-",SUM(P138:AX138))</f>
        <v>1</v>
      </c>
      <c r="J138" s="52">
        <f>IF(SUMPRODUCT($P$3:$AX$3,P138:AX138)=0,"-",SUMPRODUCT($P$3:$AX$3,P138:AX138))</f>
        <v>120</v>
      </c>
      <c r="K138" s="100" t="s">
        <v>4031</v>
      </c>
      <c r="L138" s="96" t="s">
        <v>4021</v>
      </c>
      <c r="M138" s="81" t="s">
        <v>481</v>
      </c>
      <c r="N138" s="81" t="s">
        <v>481</v>
      </c>
      <c r="O138" s="430" t="s">
        <v>481</v>
      </c>
      <c r="P138" s="8">
        <v>1</v>
      </c>
    </row>
    <row r="139" spans="1:54">
      <c r="A139" s="5" t="s">
        <v>220</v>
      </c>
      <c r="B139" s="5" t="s">
        <v>3587</v>
      </c>
      <c r="C139" s="103">
        <v>45798</v>
      </c>
      <c r="D139" s="55" t="s">
        <v>4032</v>
      </c>
      <c r="E139" s="5" t="s">
        <v>4029</v>
      </c>
      <c r="F139" s="81" t="s">
        <v>223</v>
      </c>
      <c r="G139" s="8" t="s">
        <v>3587</v>
      </c>
      <c r="H139" s="30" t="s">
        <v>4032</v>
      </c>
      <c r="I139" s="43">
        <f>IF(SUM(P139:AX139)=0,"-",SUM(P139:AX139))</f>
        <v>2</v>
      </c>
      <c r="J139" s="52">
        <f>IF(SUMPRODUCT($P$3:$AX$3,P139:AX139)=0,"-",SUMPRODUCT($P$3:$AX$3,P139:AX139))</f>
        <v>270</v>
      </c>
      <c r="K139" s="100" t="s">
        <v>4033</v>
      </c>
      <c r="L139" s="96" t="s">
        <v>4021</v>
      </c>
      <c r="M139" s="81" t="s">
        <v>481</v>
      </c>
      <c r="N139" s="81" t="s">
        <v>481</v>
      </c>
      <c r="O139" s="430" t="s">
        <v>481</v>
      </c>
      <c r="P139" s="8"/>
      <c r="W139" s="7">
        <v>2</v>
      </c>
    </row>
    <row r="140" spans="1:54">
      <c r="A140" s="5" t="s">
        <v>220</v>
      </c>
      <c r="B140" s="5" t="s">
        <v>3587</v>
      </c>
      <c r="C140" s="103">
        <v>45798</v>
      </c>
      <c r="D140" s="106" t="s">
        <v>4034</v>
      </c>
      <c r="E140" s="5" t="s">
        <v>4035</v>
      </c>
      <c r="F140" s="81" t="s">
        <v>223</v>
      </c>
      <c r="G140" s="8" t="s">
        <v>3587</v>
      </c>
      <c r="H140" s="30" t="s">
        <v>4036</v>
      </c>
      <c r="I140" s="43">
        <f>IF(SUM(Q140:BA140)=0,"-",SUM(Q140:BA140))</f>
        <v>25</v>
      </c>
      <c r="J140" s="52">
        <f>IF(SUMPRODUCT($P$3:$AX$3,P140:AX140)=0,"-",SUMPRODUCT($P$3:$AX$3,P140:AX140))</f>
        <v>875</v>
      </c>
      <c r="K140" s="100" t="s">
        <v>4037</v>
      </c>
      <c r="L140" s="119" t="s">
        <v>4038</v>
      </c>
      <c r="M140" s="81" t="s">
        <v>249</v>
      </c>
      <c r="N140" s="81" t="s">
        <v>4039</v>
      </c>
      <c r="O140" s="325" t="s">
        <v>2236</v>
      </c>
      <c r="P140" s="138"/>
      <c r="Q140" s="7">
        <v>25</v>
      </c>
      <c r="W140" s="8"/>
      <c r="X140" s="7"/>
      <c r="AF140" s="8"/>
      <c r="AH140" s="7"/>
      <c r="AN140" s="7"/>
      <c r="AO140" s="8"/>
      <c r="AT140" s="8"/>
      <c r="AU140" s="7"/>
      <c r="AW140" s="8"/>
      <c r="AY140" s="403"/>
      <c r="AZ140" s="8"/>
      <c r="BA140" s="8"/>
      <c r="BB140" s="9"/>
    </row>
    <row r="141" spans="1:54">
      <c r="A141" s="5" t="s">
        <v>220</v>
      </c>
      <c r="B141" s="5" t="s">
        <v>3587</v>
      </c>
      <c r="C141" s="103">
        <v>45800</v>
      </c>
      <c r="D141" s="55" t="s">
        <v>4040</v>
      </c>
      <c r="E141" s="5" t="s">
        <v>4035</v>
      </c>
      <c r="F141" s="81" t="s">
        <v>223</v>
      </c>
      <c r="G141" s="8" t="s">
        <v>3587</v>
      </c>
      <c r="I141" s="43">
        <f>IF(SUM(Q141:BA141)=0,"-",SUM(Q141:BA141))</f>
        <v>7</v>
      </c>
      <c r="J141" s="52">
        <f>IF(SUMPRODUCT($P$3:$AX$3,P141:AX141)=0,"-",SUMPRODUCT($P$3:$AX$3,P141:AX141))</f>
        <v>245</v>
      </c>
      <c r="K141" s="100" t="s">
        <v>4041</v>
      </c>
      <c r="L141" s="119" t="s">
        <v>4038</v>
      </c>
      <c r="M141" s="81" t="s">
        <v>249</v>
      </c>
      <c r="N141" s="81" t="s">
        <v>4039</v>
      </c>
      <c r="O141" s="325" t="s">
        <v>2236</v>
      </c>
      <c r="P141" s="138"/>
      <c r="Q141" s="7">
        <v>7</v>
      </c>
      <c r="W141" s="8"/>
      <c r="X141" s="7"/>
      <c r="AF141" s="8"/>
      <c r="AH141" s="7"/>
      <c r="AN141" s="7"/>
      <c r="AO141" s="8"/>
      <c r="AT141" s="8"/>
      <c r="AU141" s="7"/>
      <c r="AW141" s="8"/>
      <c r="AY141" s="403"/>
      <c r="AZ141" s="8"/>
      <c r="BA141" s="8"/>
      <c r="BB141" s="9"/>
    </row>
    <row r="142" spans="1:54">
      <c r="A142" s="5" t="s">
        <v>220</v>
      </c>
      <c r="B142" s="5" t="s">
        <v>3587</v>
      </c>
      <c r="C142" s="103">
        <v>45819</v>
      </c>
      <c r="D142" s="55" t="s">
        <v>4042</v>
      </c>
      <c r="E142" s="5" t="s">
        <v>3669</v>
      </c>
      <c r="F142" s="81" t="s">
        <v>223</v>
      </c>
      <c r="G142" s="8" t="s">
        <v>3587</v>
      </c>
      <c r="I142" s="8">
        <v>2</v>
      </c>
      <c r="J142" s="417">
        <f>1.05*(1468.35+4587.29)</f>
        <v>6358.4219999999996</v>
      </c>
      <c r="K142" s="98" t="s">
        <v>4043</v>
      </c>
      <c r="L142" s="102">
        <v>4200684149</v>
      </c>
      <c r="M142" s="81" t="s">
        <v>249</v>
      </c>
      <c r="N142" s="81" t="s">
        <v>4044</v>
      </c>
      <c r="O142" s="388" t="s">
        <v>2324</v>
      </c>
      <c r="P142" s="8"/>
    </row>
    <row r="143" spans="1:54">
      <c r="A143" s="5" t="s">
        <v>220</v>
      </c>
      <c r="B143" s="5" t="s">
        <v>3587</v>
      </c>
      <c r="C143" s="103">
        <v>45863</v>
      </c>
      <c r="D143" s="55" t="s">
        <v>4045</v>
      </c>
      <c r="E143" s="5" t="s">
        <v>4046</v>
      </c>
      <c r="F143" s="81" t="s">
        <v>223</v>
      </c>
      <c r="G143" s="8" t="s">
        <v>3587</v>
      </c>
      <c r="H143" s="30" t="s">
        <v>4047</v>
      </c>
      <c r="I143" s="43">
        <f>IF(SUM(P143:AX143)=0,"-",SUM(P143:AX143))</f>
        <v>2</v>
      </c>
      <c r="J143" s="52">
        <f>IF(SUMPRODUCT($P$3:$AX$3,P143:AX143)=0,"-",SUMPRODUCT($P$3:$AX$3,P143:AX143))</f>
        <v>380</v>
      </c>
      <c r="K143" s="98" t="s">
        <v>4048</v>
      </c>
      <c r="L143" s="81">
        <v>4300176159</v>
      </c>
      <c r="M143" s="81" t="s">
        <v>249</v>
      </c>
      <c r="N143" s="81" t="s">
        <v>4049</v>
      </c>
      <c r="O143" s="328" t="s">
        <v>3076</v>
      </c>
      <c r="P143" s="8">
        <v>1</v>
      </c>
      <c r="AP143" s="8">
        <v>1</v>
      </c>
    </row>
    <row r="144" spans="1:54">
      <c r="A144" s="5" t="s">
        <v>220</v>
      </c>
      <c r="B144" s="5" t="s">
        <v>3587</v>
      </c>
      <c r="C144" s="103">
        <v>45863</v>
      </c>
      <c r="D144" s="55" t="s">
        <v>4050</v>
      </c>
      <c r="E144" s="5" t="s">
        <v>4051</v>
      </c>
      <c r="F144" s="81" t="s">
        <v>223</v>
      </c>
      <c r="G144" s="8" t="s">
        <v>3587</v>
      </c>
      <c r="H144" s="78" t="s">
        <v>4052</v>
      </c>
      <c r="I144" s="43">
        <f>IF(SUM(P144:AX144)=0,"-",SUM(P144:AX144))</f>
        <v>2</v>
      </c>
      <c r="J144" s="444">
        <f>IF(SUMPRODUCT($P$3:$AX$3,P144:AX144)=0,"-",SUMPRODUCT($P$3:$AX$3,P144:AX144))</f>
        <v>80</v>
      </c>
      <c r="K144" s="442" t="s">
        <v>4053</v>
      </c>
      <c r="L144" s="443">
        <v>4300131466</v>
      </c>
      <c r="M144" s="123" t="s">
        <v>249</v>
      </c>
      <c r="N144" s="123" t="s">
        <v>4054</v>
      </c>
      <c r="O144" s="326" t="s">
        <v>2536</v>
      </c>
      <c r="X144" s="8">
        <v>2</v>
      </c>
    </row>
    <row r="145" spans="1:46">
      <c r="A145" s="5" t="s">
        <v>220</v>
      </c>
      <c r="B145" s="5" t="s">
        <v>3587</v>
      </c>
      <c r="C145" s="103">
        <v>45890</v>
      </c>
      <c r="D145" s="55" t="s">
        <v>4055</v>
      </c>
      <c r="E145" s="5" t="s">
        <v>4051</v>
      </c>
      <c r="F145" s="81" t="s">
        <v>223</v>
      </c>
      <c r="G145" s="8" t="s">
        <v>3587</v>
      </c>
      <c r="H145" s="30" t="s">
        <v>4056</v>
      </c>
      <c r="I145" s="43">
        <f>IF(SUM(P145:AX145)=0,"-",SUM(P145:AX145))</f>
        <v>1</v>
      </c>
      <c r="J145" s="444">
        <f>IF(SUMPRODUCT($P$3:$AX$3,P145:AX145)=0,"-",SUMPRODUCT($P$3:$AX$3,P145:AX145))</f>
        <v>135</v>
      </c>
      <c r="K145" s="442" t="s">
        <v>4057</v>
      </c>
      <c r="L145" s="443">
        <v>4300133856</v>
      </c>
      <c r="M145" s="123" t="s">
        <v>249</v>
      </c>
      <c r="N145" s="123" t="s">
        <v>4058</v>
      </c>
      <c r="O145" s="326" t="s">
        <v>2536</v>
      </c>
      <c r="W145" s="7">
        <v>1</v>
      </c>
    </row>
    <row r="146" spans="1:46">
      <c r="A146" s="5" t="s">
        <v>220</v>
      </c>
      <c r="B146" s="5" t="s">
        <v>3587</v>
      </c>
      <c r="C146" s="103">
        <v>45904</v>
      </c>
      <c r="D146" s="55" t="s">
        <v>4059</v>
      </c>
      <c r="E146" s="5" t="s">
        <v>4051</v>
      </c>
      <c r="F146" s="81" t="s">
        <v>223</v>
      </c>
      <c r="G146" s="8" t="s">
        <v>3587</v>
      </c>
      <c r="H146" s="78" t="s">
        <v>4060</v>
      </c>
      <c r="I146" s="43">
        <f>IF(SUM(P146:AX146)=0,"-",SUM(P146:AX146))</f>
        <v>1</v>
      </c>
      <c r="J146" s="444">
        <f>IF(SUMPRODUCT($P$3:$AX$3,P146:AX146)=0,"-",SUMPRODUCT($P$3:$AX$3,P146:AX146))</f>
        <v>135</v>
      </c>
      <c r="K146" s="442" t="s">
        <v>4061</v>
      </c>
      <c r="L146" s="443">
        <v>4300136322</v>
      </c>
      <c r="M146" s="123" t="s">
        <v>249</v>
      </c>
      <c r="N146" s="123" t="s">
        <v>4062</v>
      </c>
      <c r="O146" s="326" t="s">
        <v>2536</v>
      </c>
      <c r="W146" s="7">
        <v>1</v>
      </c>
    </row>
    <row r="147" spans="1:46">
      <c r="A147" s="5" t="s">
        <v>220</v>
      </c>
      <c r="B147" s="5" t="s">
        <v>3587</v>
      </c>
      <c r="C147" s="103">
        <v>45925</v>
      </c>
      <c r="D147" s="55" t="s">
        <v>4063</v>
      </c>
      <c r="E147" s="5" t="s">
        <v>3659</v>
      </c>
      <c r="F147" s="81" t="s">
        <v>223</v>
      </c>
      <c r="G147" s="8" t="s">
        <v>3587</v>
      </c>
      <c r="H147" s="78" t="s">
        <v>4064</v>
      </c>
      <c r="I147" s="43">
        <f>IF(SUM(P147:AX147)=0,"-",SUM(P147:AX147))</f>
        <v>1</v>
      </c>
      <c r="J147" s="52">
        <f>IF(SUMPRODUCT($P$3:$AX$3,P147:AX147)=0,"-",SUMPRODUCT($P$3:$AX$3,P147:AX147))</f>
        <v>135</v>
      </c>
      <c r="K147" s="98" t="s">
        <v>4065</v>
      </c>
      <c r="L147" s="81">
        <v>4300143588</v>
      </c>
      <c r="M147" s="81" t="s">
        <v>249</v>
      </c>
      <c r="N147" s="81" t="s">
        <v>4066</v>
      </c>
      <c r="O147" s="325" t="s">
        <v>2678</v>
      </c>
      <c r="W147" s="7">
        <v>1</v>
      </c>
    </row>
    <row r="148" spans="1:46">
      <c r="A148" s="5" t="s">
        <v>220</v>
      </c>
      <c r="B148" s="5" t="s">
        <v>3587</v>
      </c>
      <c r="C148" s="103">
        <v>45936</v>
      </c>
      <c r="D148" s="55" t="s">
        <v>4067</v>
      </c>
      <c r="E148" s="5" t="s">
        <v>4051</v>
      </c>
      <c r="F148" s="81" t="s">
        <v>223</v>
      </c>
      <c r="G148" s="8" t="s">
        <v>3587</v>
      </c>
      <c r="H148" s="30" t="s">
        <v>4068</v>
      </c>
      <c r="I148" s="43">
        <f>IF(SUM(P148:AX148)=0,"-",SUM(P148:AX148))</f>
        <v>17</v>
      </c>
      <c r="J148" s="52">
        <v>500</v>
      </c>
      <c r="K148" s="98" t="s">
        <v>4069</v>
      </c>
      <c r="L148" s="81">
        <v>4300144750</v>
      </c>
      <c r="M148" s="81" t="s">
        <v>249</v>
      </c>
      <c r="N148" s="81" t="s">
        <v>4070</v>
      </c>
      <c r="O148" s="325" t="s">
        <v>2757</v>
      </c>
      <c r="X148" s="8">
        <v>17</v>
      </c>
    </row>
    <row r="149" spans="1:46">
      <c r="A149" s="5" t="s">
        <v>220</v>
      </c>
      <c r="B149" s="5" t="s">
        <v>3587</v>
      </c>
      <c r="C149" s="103">
        <v>45957</v>
      </c>
      <c r="D149" s="55" t="s">
        <v>4071</v>
      </c>
      <c r="E149" s="5" t="s">
        <v>3659</v>
      </c>
      <c r="F149" s="81" t="s">
        <v>223</v>
      </c>
      <c r="G149" s="8" t="s">
        <v>3587</v>
      </c>
      <c r="I149" s="64" t="s">
        <v>481</v>
      </c>
      <c r="J149" s="34">
        <f>(1520+985)*1.05</f>
        <v>2630.25</v>
      </c>
      <c r="K149" s="81" t="s">
        <v>481</v>
      </c>
      <c r="L149" s="81">
        <v>4300151603</v>
      </c>
      <c r="M149" s="81" t="s">
        <v>249</v>
      </c>
      <c r="N149" s="81" t="s">
        <v>4072</v>
      </c>
      <c r="O149" s="253" t="s">
        <v>2885</v>
      </c>
    </row>
    <row r="150" spans="1:46">
      <c r="A150" s="5" t="s">
        <v>220</v>
      </c>
      <c r="B150" s="5" t="s">
        <v>3587</v>
      </c>
      <c r="C150" s="103">
        <v>45877</v>
      </c>
      <c r="D150" s="55" t="s">
        <v>4073</v>
      </c>
      <c r="E150" s="5" t="s">
        <v>4046</v>
      </c>
      <c r="F150" s="81" t="s">
        <v>223</v>
      </c>
      <c r="G150" s="8" t="s">
        <v>3587</v>
      </c>
      <c r="H150" s="30" t="s">
        <v>4074</v>
      </c>
      <c r="I150" s="43">
        <f>IF(SUM(P150:AX150)=0,"-",SUM(P150:AX150))</f>
        <v>21</v>
      </c>
      <c r="J150" s="62">
        <f>IF(SUMPRODUCT($P$3:$AX$3,P150:AX150)=0,"-",SUMPRODUCT($P$3:$AX$3,P150:AX150))</f>
        <v>1455</v>
      </c>
      <c r="K150" s="98" t="s">
        <v>4075</v>
      </c>
      <c r="L150" s="81">
        <v>4300165255</v>
      </c>
      <c r="M150" s="81" t="s">
        <v>249</v>
      </c>
      <c r="N150" s="81" t="s">
        <v>4076</v>
      </c>
      <c r="O150" s="328" t="s">
        <v>4077</v>
      </c>
      <c r="P150" s="7">
        <v>1</v>
      </c>
      <c r="Q150" s="8">
        <v>1</v>
      </c>
      <c r="R150" s="8">
        <v>1</v>
      </c>
      <c r="S150" s="8">
        <f>1+17</f>
        <v>18</v>
      </c>
    </row>
    <row r="151" spans="1:46">
      <c r="A151" s="5" t="s">
        <v>220</v>
      </c>
      <c r="B151" s="5" t="s">
        <v>3587</v>
      </c>
      <c r="C151" s="103">
        <v>45944</v>
      </c>
      <c r="D151" s="55" t="s">
        <v>4078</v>
      </c>
      <c r="E151" s="5" t="s">
        <v>3589</v>
      </c>
      <c r="F151" s="81" t="s">
        <v>223</v>
      </c>
      <c r="G151" s="8" t="s">
        <v>3587</v>
      </c>
      <c r="H151" s="78" t="s">
        <v>4079</v>
      </c>
      <c r="I151" s="43">
        <f>IF(SUM(P151:AX151)=0,"-",SUM(P151:AX151))</f>
        <v>3</v>
      </c>
      <c r="J151" s="62">
        <f>IF(SUMPRODUCT($P$3:$AX$3,P151:AX151)=0,"-",SUMPRODUCT($P$3:$AX$3,P151:AX151))</f>
        <v>210</v>
      </c>
      <c r="K151" s="98" t="s">
        <v>4080</v>
      </c>
      <c r="L151" s="81">
        <v>4300164782</v>
      </c>
      <c r="M151" s="81" t="s">
        <v>249</v>
      </c>
      <c r="N151" s="81" t="s">
        <v>4081</v>
      </c>
      <c r="O151" s="325" t="s">
        <v>2738</v>
      </c>
      <c r="Q151" s="8">
        <v>1</v>
      </c>
      <c r="W151" s="7">
        <v>1</v>
      </c>
      <c r="X151" s="8">
        <v>1</v>
      </c>
    </row>
    <row r="152" spans="1:46">
      <c r="A152" s="5" t="s">
        <v>220</v>
      </c>
      <c r="B152" s="5" t="s">
        <v>3587</v>
      </c>
      <c r="C152" s="103">
        <v>45978</v>
      </c>
      <c r="D152" s="55" t="s">
        <v>4082</v>
      </c>
      <c r="E152" s="5" t="s">
        <v>3589</v>
      </c>
      <c r="F152" s="81" t="s">
        <v>223</v>
      </c>
      <c r="G152" s="8" t="s">
        <v>3587</v>
      </c>
      <c r="H152" s="78" t="s">
        <v>4083</v>
      </c>
      <c r="I152" s="64" t="s">
        <v>481</v>
      </c>
      <c r="J152" s="34">
        <v>2500</v>
      </c>
      <c r="K152" s="123" t="s">
        <v>481</v>
      </c>
      <c r="L152" s="123">
        <v>4300153163</v>
      </c>
      <c r="M152" s="123" t="s">
        <v>249</v>
      </c>
      <c r="N152" s="123" t="s">
        <v>4084</v>
      </c>
      <c r="O152" s="326" t="s">
        <v>2581</v>
      </c>
    </row>
    <row r="153" spans="1:46">
      <c r="A153" s="5" t="s">
        <v>220</v>
      </c>
      <c r="B153" s="5" t="s">
        <v>3587</v>
      </c>
      <c r="C153" s="103">
        <v>45978</v>
      </c>
      <c r="D153" s="55" t="s">
        <v>4085</v>
      </c>
      <c r="E153" s="5" t="s">
        <v>3589</v>
      </c>
      <c r="F153" s="81" t="s">
        <v>223</v>
      </c>
      <c r="G153" s="8" t="s">
        <v>3587</v>
      </c>
      <c r="H153" s="78" t="s">
        <v>4083</v>
      </c>
      <c r="I153" s="64" t="s">
        <v>481</v>
      </c>
      <c r="J153" s="34">
        <v>2500</v>
      </c>
      <c r="K153" s="81" t="s">
        <v>481</v>
      </c>
      <c r="L153" s="81">
        <v>4300154295</v>
      </c>
      <c r="M153" s="81" t="s">
        <v>249</v>
      </c>
      <c r="N153" s="81" t="s">
        <v>4086</v>
      </c>
      <c r="O153" s="325" t="s">
        <v>2581</v>
      </c>
    </row>
    <row r="154" spans="1:46">
      <c r="A154" s="5" t="s">
        <v>220</v>
      </c>
      <c r="B154" s="5" t="s">
        <v>3587</v>
      </c>
      <c r="C154" s="103">
        <v>45939</v>
      </c>
      <c r="D154" s="55" t="s">
        <v>4087</v>
      </c>
      <c r="E154" s="5" t="s">
        <v>4046</v>
      </c>
      <c r="F154" s="81" t="s">
        <v>223</v>
      </c>
      <c r="G154" s="8" t="s">
        <v>3587</v>
      </c>
      <c r="H154" s="30" t="s">
        <v>4047</v>
      </c>
      <c r="I154" s="43">
        <f>IF(SUM(P154:AX154)=0,"-",SUM(P154:AX154))</f>
        <v>2</v>
      </c>
      <c r="J154" s="62">
        <f>IF(SUMPRODUCT($P$3:$AX$3,P154:AX154)=0,"-",SUMPRODUCT($P$3:$AX$3,P154:AX154))</f>
        <v>560</v>
      </c>
      <c r="K154" s="98" t="s">
        <v>4088</v>
      </c>
      <c r="L154" s="81">
        <v>4300165254</v>
      </c>
      <c r="M154" s="81" t="s">
        <v>249</v>
      </c>
      <c r="N154" s="81" t="s">
        <v>4089</v>
      </c>
      <c r="O154" s="328" t="s">
        <v>4077</v>
      </c>
      <c r="AP154" s="8">
        <v>1</v>
      </c>
      <c r="AT154" s="7">
        <v>1</v>
      </c>
    </row>
    <row r="155" spans="1:46">
      <c r="A155" s="5" t="s">
        <v>220</v>
      </c>
      <c r="B155" s="5" t="s">
        <v>3587</v>
      </c>
      <c r="C155" s="103">
        <v>45992</v>
      </c>
      <c r="D155" s="55" t="s">
        <v>4090</v>
      </c>
      <c r="E155" s="5" t="s">
        <v>3659</v>
      </c>
      <c r="F155" s="8" t="s">
        <v>3201</v>
      </c>
      <c r="G155" s="8" t="s">
        <v>3587</v>
      </c>
      <c r="H155" s="78" t="s">
        <v>4091</v>
      </c>
      <c r="I155" s="43">
        <f>IF(SUM(P155:AX155)=0,"-",SUM(P155:AX155))</f>
        <v>1</v>
      </c>
      <c r="J155" s="52">
        <f>IF(SUMPRODUCT($P$3:$AX$3,P155:AX155)=0,"-",SUMPRODUCT($P$3:$AX$3,P155:AX155))</f>
        <v>135</v>
      </c>
      <c r="K155" s="81"/>
      <c r="L155" s="81">
        <v>4300176159</v>
      </c>
      <c r="M155" s="81" t="s">
        <v>249</v>
      </c>
      <c r="N155" s="81" t="s">
        <v>4049</v>
      </c>
      <c r="O155" s="328" t="s">
        <v>3076</v>
      </c>
      <c r="W155" s="7">
        <v>1</v>
      </c>
    </row>
    <row r="156" spans="1:46">
      <c r="A156" s="5" t="s">
        <v>220</v>
      </c>
      <c r="B156" s="5" t="s">
        <v>3587</v>
      </c>
      <c r="C156" s="103">
        <v>46009</v>
      </c>
      <c r="D156" s="55" t="s">
        <v>4092</v>
      </c>
      <c r="E156" s="5" t="s">
        <v>4046</v>
      </c>
      <c r="F156" s="81" t="s">
        <v>223</v>
      </c>
      <c r="H156" s="30" t="s">
        <v>4093</v>
      </c>
      <c r="I156" s="43">
        <f>IF(SUM(P156:AX156)=0,"-",SUM(P156:AX156))</f>
        <v>2</v>
      </c>
      <c r="J156" s="62">
        <f>IF(SUMPRODUCT($P$3:$AX$3,P156:AX156)=0,"-",SUMPRODUCT($P$3:$AX$3,P156:AX156))</f>
        <v>155</v>
      </c>
      <c r="K156" s="98" t="s">
        <v>4094</v>
      </c>
      <c r="L156" s="81">
        <v>4300165252</v>
      </c>
      <c r="M156" s="81" t="s">
        <v>249</v>
      </c>
      <c r="N156" s="81" t="s">
        <v>4095</v>
      </c>
      <c r="O156" s="328" t="s">
        <v>4077</v>
      </c>
      <c r="P156" s="7">
        <v>1</v>
      </c>
      <c r="Q156" s="8">
        <v>1</v>
      </c>
    </row>
    <row r="157" spans="1:46" hidden="1">
      <c r="A157" s="5" t="s">
        <v>220</v>
      </c>
      <c r="B157" s="5" t="s">
        <v>3587</v>
      </c>
      <c r="C157" s="103">
        <v>46098</v>
      </c>
      <c r="D157" s="55" t="s">
        <v>4096</v>
      </c>
      <c r="E157" s="5" t="s">
        <v>3659</v>
      </c>
      <c r="F157" s="81" t="s">
        <v>223</v>
      </c>
      <c r="G157" s="8" t="s">
        <v>3587</v>
      </c>
      <c r="I157" s="8" t="s">
        <v>481</v>
      </c>
      <c r="J157" s="34">
        <f>1000+(1000*5%)</f>
        <v>1050</v>
      </c>
      <c r="K157" s="81"/>
      <c r="L157" s="81">
        <v>4300174972</v>
      </c>
      <c r="M157" s="81" t="s">
        <v>249</v>
      </c>
      <c r="N157" s="81" t="s">
        <v>4097</v>
      </c>
      <c r="O157" s="328" t="s">
        <v>4098</v>
      </c>
    </row>
    <row r="158" spans="1:46" hidden="1">
      <c r="A158" s="5" t="s">
        <v>220</v>
      </c>
      <c r="B158" s="5" t="s">
        <v>3587</v>
      </c>
      <c r="C158" s="103">
        <v>46098</v>
      </c>
      <c r="D158" s="55" t="s">
        <v>4099</v>
      </c>
      <c r="E158" s="5" t="s">
        <v>4051</v>
      </c>
      <c r="F158" s="8" t="s">
        <v>3201</v>
      </c>
      <c r="G158" s="8" t="s">
        <v>3587</v>
      </c>
      <c r="H158" s="78" t="s">
        <v>4100</v>
      </c>
      <c r="I158" s="43">
        <f>IF(SUM(P158:AX158)=0,"-",SUM(P158:AX158))</f>
        <v>3</v>
      </c>
      <c r="J158" s="52">
        <f>IF(SUMPRODUCT($P$3:$AX$3,P158:AX158)=0,"-",SUMPRODUCT($P$3:$AX$3,P158:AX158))</f>
        <v>215</v>
      </c>
      <c r="W158" s="7">
        <v>1</v>
      </c>
      <c r="X158" s="8">
        <v>2</v>
      </c>
    </row>
  </sheetData>
  <autoFilter ref="A3:AX158" xr:uid="{EF6D707C-BDD5-416B-AAF3-2924671B11B3}">
    <filterColumn colId="2">
      <filters>
        <dateGroupItem year="2025" dateTimeGrouping="year"/>
      </filters>
    </filterColumn>
    <sortState xmlns:xlrd2="http://schemas.microsoft.com/office/spreadsheetml/2017/richdata2" ref="A4:AX156">
      <sortCondition ref="N3:N156"/>
    </sortState>
  </autoFilter>
  <mergeCells count="8">
    <mergeCell ref="AO1:AS1"/>
    <mergeCell ref="AT1:AV1"/>
    <mergeCell ref="AW1:AX1"/>
    <mergeCell ref="A2:D2"/>
    <mergeCell ref="E2:M2"/>
    <mergeCell ref="P1:V1"/>
    <mergeCell ref="W1:AE1"/>
    <mergeCell ref="AG1:AN1"/>
  </mergeCells>
  <hyperlinks>
    <hyperlink ref="H15" r:id="rId1" xr:uid="{DEBF18AC-651F-4C75-9889-485706B4A9A8}"/>
    <hyperlink ref="H18" r:id="rId2" xr:uid="{E73937CE-9764-4524-9434-B92C2CF212DB}"/>
    <hyperlink ref="H19" r:id="rId3" xr:uid="{2A58DC0E-FC53-43C6-91A6-F2D1018062AC}"/>
    <hyperlink ref="H20" r:id="rId4" xr:uid="{30E7A44A-8C88-4400-9379-60A46A681C67}"/>
    <hyperlink ref="H21" r:id="rId5" xr:uid="{020F04E6-ECB1-4B2B-98AD-D8D425949EFC}"/>
    <hyperlink ref="H22" r:id="rId6" xr:uid="{D07847FB-8629-40CE-BA66-1153C1D30337}"/>
    <hyperlink ref="H25" r:id="rId7" xr:uid="{A4BF67D1-2C1B-4320-82DA-5DDC6F334C74}"/>
    <hyperlink ref="H23" r:id="rId8" xr:uid="{CDCD8870-3F76-446C-9F39-579A96696ABC}"/>
    <hyperlink ref="H17" r:id="rId9" xr:uid="{708CB0D5-BA91-4598-A8A5-977546943808}"/>
    <hyperlink ref="H6" r:id="rId10" xr:uid="{01396ED2-E65D-424C-9BD1-9E8054AA6FD7}"/>
    <hyperlink ref="H7" r:id="rId11" xr:uid="{B0F046F8-F085-4119-BEA0-9C59E516B217}"/>
    <hyperlink ref="H13" r:id="rId12" xr:uid="{FE349FB8-98B9-4F95-A5C2-2F82F034FBDA}"/>
    <hyperlink ref="H12" r:id="rId13" xr:uid="{3F3CFE4E-85E1-454F-9B18-CF6BC4785754}"/>
    <hyperlink ref="H9" r:id="rId14" xr:uid="{E5867B35-AF04-425A-B99F-C5A8D0A1D483}"/>
    <hyperlink ref="H8" r:id="rId15" xr:uid="{7A0C73CC-4A6F-44F6-AE91-E7850BE17E14}"/>
    <hyperlink ref="H11" r:id="rId16" xr:uid="{36512F60-8E0E-413B-9A87-A45A2176B909}"/>
    <hyperlink ref="K24" r:id="rId17" xr:uid="{38252BAB-849E-46D0-BAEC-985BE0572135}"/>
    <hyperlink ref="K71" r:id="rId18" xr:uid="{901BA9F1-139F-47AB-B069-2043CA5E5AA3}"/>
    <hyperlink ref="K70" r:id="rId19" xr:uid="{C30E5B7F-5FE1-42D2-A364-6950F3EABF05}"/>
    <hyperlink ref="K69" r:id="rId20" xr:uid="{B843BF91-9D96-4D91-9FCC-510427E1AC89}"/>
    <hyperlink ref="K25" r:id="rId21" xr:uid="{068AE466-3F1B-41E4-A0BA-852846EC029F}"/>
    <hyperlink ref="K23" r:id="rId22" xr:uid="{A89F50BB-8533-4715-A21D-94DC58FDAD17}"/>
    <hyperlink ref="K22" r:id="rId23" xr:uid="{177FC7F7-90A8-4A36-82A7-09466B14BBB7}"/>
    <hyperlink ref="K21" r:id="rId24" xr:uid="{AA5CFB1E-071D-4FA2-98AB-3AEE669D6FDD}"/>
    <hyperlink ref="K20" r:id="rId25" xr:uid="{8B87B748-174C-46EE-B1AB-1EF8FA03EE37}"/>
    <hyperlink ref="H73" r:id="rId26" xr:uid="{5DFF51A1-83A2-4FC3-8C80-40F35E145B2F}"/>
    <hyperlink ref="H75" r:id="rId27" xr:uid="{14E57267-C98B-49FD-A7D1-F88DF83EDB0F}"/>
    <hyperlink ref="H74" r:id="rId28" xr:uid="{48EA84EB-774E-4635-BF9F-BCEBFF73BA0A}"/>
    <hyperlink ref="H76" r:id="rId29" xr:uid="{2A63232D-3DDA-40B8-861A-E534ACD251AE}"/>
    <hyperlink ref="H77" r:id="rId30" xr:uid="{41B08DAB-C806-4655-AD94-789D2CC09996}"/>
    <hyperlink ref="H72" r:id="rId31" xr:uid="{6E27734F-8174-4749-A350-2DC1255EE2CC}"/>
    <hyperlink ref="H109" r:id="rId32" xr:uid="{5FA12C40-E744-467E-BC7C-DEFD1F2BB67D}"/>
    <hyperlink ref="H79" r:id="rId33" xr:uid="{DC902808-C017-461B-8FF2-D935F6F1719A}"/>
    <hyperlink ref="K72" r:id="rId34" xr:uid="{15534FED-A9B3-482A-87DF-C30B75C5A5D4}"/>
    <hyperlink ref="K73" r:id="rId35" xr:uid="{12517B12-147A-4E1F-A943-0717A8504ED5}"/>
    <hyperlink ref="K74" r:id="rId36" xr:uid="{D606618B-4CB9-4D16-A412-90D8622AA693}"/>
    <hyperlink ref="K76" r:id="rId37" xr:uid="{92C4F223-78EF-426A-84DC-A5811E313B32}"/>
    <hyperlink ref="K109" r:id="rId38" xr:uid="{7F307E3A-000D-4A47-9C12-FA4EB55400CC}"/>
    <hyperlink ref="K78" r:id="rId39" xr:uid="{22DF3D4D-0631-49FB-8E1B-12693FC24F9E}"/>
    <hyperlink ref="K75" r:id="rId40" xr:uid="{854217FD-40AD-4F9D-BB64-42CC3013C403}"/>
    <hyperlink ref="K77" r:id="rId41" xr:uid="{08E3CC85-0D8B-4449-862A-0A7FD6A8DD6D}"/>
    <hyperlink ref="K79" r:id="rId42" xr:uid="{848F90EE-B0BF-4F0B-942B-8C8EA4BC4E7F}"/>
    <hyperlink ref="H78" r:id="rId43" xr:uid="{A13CA8CC-2699-401E-B854-A3D3667C6A92}"/>
    <hyperlink ref="H100" r:id="rId44" xr:uid="{FCE384F0-D67F-4B39-BA3E-9C0BDF104C81}"/>
    <hyperlink ref="H106" r:id="rId45" xr:uid="{499AD976-2EB2-4D2A-9287-01E6DA078BB1}"/>
    <hyperlink ref="K26" r:id="rId46" xr:uid="{D33DDBE9-D408-4A94-B964-2F4806398CA6}"/>
    <hyperlink ref="K100" r:id="rId47" xr:uid="{3F7F7D7D-F75E-4B89-B60F-FFAA7E7564FA}"/>
    <hyperlink ref="K106" r:id="rId48" xr:uid="{E5CAAB61-4FB9-4503-986D-85E1FD57861B}"/>
    <hyperlink ref="H26" r:id="rId49" xr:uid="{87D7C1F3-1733-413D-94E8-EB23BD1C6200}"/>
    <hyperlink ref="K28" r:id="rId50" xr:uid="{21B4139D-E556-49C3-95E2-D01A86D98E7B}"/>
    <hyperlink ref="K29" r:id="rId51" xr:uid="{5AD1D47C-1DCC-4A84-8269-04D216E8E813}"/>
    <hyperlink ref="K27" r:id="rId52" xr:uid="{A17A3F42-85F4-4A3A-BC75-68E43604C0F7}"/>
    <hyperlink ref="H27" r:id="rId53" xr:uid="{DC1A3213-EE7B-4BD3-937E-3CEB414837D4}"/>
    <hyperlink ref="H28" r:id="rId54" xr:uid="{AC6D25B9-E78C-46C2-82E9-7A8DEDD8ADA0}"/>
    <hyperlink ref="K30" r:id="rId55" xr:uid="{0ACE72C6-DB3F-44CD-AF75-77F1507F8D49}"/>
    <hyperlink ref="K31" r:id="rId56" xr:uid="{9AE291B3-45BD-419E-8856-67C43978B3E4}"/>
    <hyperlink ref="H101" r:id="rId57" xr:uid="{AF85B9B4-B7F0-4BFE-A99A-0CBB852BE073}"/>
    <hyperlink ref="H31" r:id="rId58" xr:uid="{59C3B5DA-3528-4D79-871A-840699BB4D77}"/>
    <hyperlink ref="H30" r:id="rId59" xr:uid="{1439DBD0-95A6-45BB-ADDC-9890AD73986A}"/>
    <hyperlink ref="H29" r:id="rId60" xr:uid="{9943C14A-5B1B-43FC-BAEE-833437382634}"/>
    <hyperlink ref="K101" r:id="rId61" xr:uid="{C88BE41C-5480-496D-9B42-9F3A05BCEC06}"/>
    <hyperlink ref="H68" r:id="rId62" xr:uid="{069CD25A-7F7A-40E4-B1DD-37F254577670}"/>
    <hyperlink ref="H59" r:id="rId63" xr:uid="{8C2BAF7D-0F8D-47F1-A290-E563E2B61F65}"/>
    <hyperlink ref="K68" r:id="rId64" xr:uid="{A435E9CE-ED2B-4EFE-9FBF-8D3799715B0F}"/>
    <hyperlink ref="K59" r:id="rId65" xr:uid="{836B1A4E-6374-4D9C-9E57-60D253EC3568}"/>
    <hyperlink ref="H103" r:id="rId66" xr:uid="{15C45A59-35A7-4920-A042-4E09E09BDEFD}"/>
    <hyperlink ref="H83" r:id="rId67" xr:uid="{3886F31D-8EC3-4EED-BE02-75678D0B6B14}"/>
    <hyperlink ref="H102" r:id="rId68" xr:uid="{2D04652C-9890-4A2F-86E2-4B0BFC296AC6}"/>
    <hyperlink ref="K102" r:id="rId69" xr:uid="{12A5B633-BC4B-4DE3-98A9-C1AB57E9339A}"/>
    <hyperlink ref="K103" r:id="rId70" xr:uid="{410BF19E-165E-4B4F-8B52-A839065EBDA2}"/>
    <hyperlink ref="K83" r:id="rId71" xr:uid="{A259E270-6622-4643-AE41-2D6F21C0706F}"/>
    <hyperlink ref="K57" r:id="rId72" xr:uid="{78803EEA-FE7F-4E8C-BDF8-8A6F668F2AA0}"/>
    <hyperlink ref="K39" r:id="rId73" xr:uid="{F74C1591-E52B-4F38-ADD8-25B9D32F48DC}"/>
    <hyperlink ref="H60" r:id="rId74" xr:uid="{44E496B2-8BF6-4546-A9E9-DB3A4808B9BD}"/>
    <hyperlink ref="K60" r:id="rId75" xr:uid="{1ABC2E3C-5816-4ADB-BF33-29D89CCE58C1}"/>
    <hyperlink ref="K105" r:id="rId76" xr:uid="{DCF62B6C-E67C-4889-8DF7-CBD229ED266A}"/>
    <hyperlink ref="H104" r:id="rId77" xr:uid="{325F7772-67FB-423D-81A4-9B7710D853A2}"/>
    <hyperlink ref="H56" r:id="rId78" xr:uid="{64412454-69E2-4FC8-B26C-8B61B1C9CEB4}"/>
    <hyperlink ref="K62" r:id="rId79" xr:uid="{11D574BA-EF51-41CF-B2E6-FD0343EC5F53}"/>
    <hyperlink ref="K61" r:id="rId80" xr:uid="{EF492769-62A3-4727-94B5-6F3CA33499FC}"/>
    <hyperlink ref="K104" r:id="rId81" xr:uid="{111C2923-85C9-4073-9F69-170CEEA5BBC1}"/>
    <hyperlink ref="H4" r:id="rId82" xr:uid="{54141BE0-AD87-40C6-ADEF-E063A5588892}"/>
    <hyperlink ref="H107" r:id="rId83" xr:uid="{AB8DA64B-F46A-44E2-8A47-3AEC83361B69}"/>
    <hyperlink ref="K56" r:id="rId84" xr:uid="{FD03E89A-EE04-431F-BF21-B598D21305D5}"/>
    <hyperlink ref="K107" r:id="rId85" xr:uid="{6CB9FD73-FCDE-48B7-B84E-141D67D921A7}"/>
    <hyperlink ref="H63" r:id="rId86" xr:uid="{30B03E0E-4686-404B-9DE4-9A6EF3A9BB50}"/>
    <hyperlink ref="H84" r:id="rId87" xr:uid="{13921FD6-FAAC-4878-A61B-4D1E0961C30F}"/>
    <hyperlink ref="H85" r:id="rId88" xr:uid="{1723D1A0-894D-4420-88BD-9F1F5C32894E}"/>
    <hyperlink ref="H86" r:id="rId89" xr:uid="{07C85AC5-AE07-4839-A895-921315710808}"/>
    <hyperlink ref="H87" r:id="rId90" xr:uid="{58F17EFE-1B3B-4413-90E5-8F2B3B9B7975}"/>
    <hyperlink ref="K86" r:id="rId91" xr:uid="{552DACEE-3283-4FBE-BF0D-C799EAD40415}"/>
    <hyperlink ref="K87" r:id="rId92" xr:uid="{D3D3D573-F7ED-4750-A5B0-CFAA9D2A28DA}"/>
    <hyperlink ref="K85" r:id="rId93" xr:uid="{AD725BAF-5181-4CAC-8B63-3126CCCF98BD}"/>
    <hyperlink ref="K84" r:id="rId94" xr:uid="{1809F678-DA59-4375-A990-06FA38042617}"/>
    <hyperlink ref="K63" r:id="rId95" xr:uid="{BAA024F9-148E-467E-89FC-4805548667EE}"/>
    <hyperlink ref="H88" r:id="rId96" xr:uid="{3FEFFD1C-75D7-49BF-A1C7-7BA37541C15C}"/>
    <hyperlink ref="H89" r:id="rId97" xr:uid="{607E47F3-8919-4EFD-A319-DFA7CD0EE9B7}"/>
    <hyperlink ref="H64" r:id="rId98" xr:uid="{34C7974D-BDAC-405B-8080-60D740B85226}"/>
    <hyperlink ref="K89" r:id="rId99" xr:uid="{FF2DEB91-E8F4-4861-ACFB-DA3641603ECE}"/>
    <hyperlink ref="K88" r:id="rId100" xr:uid="{79BE4E28-C0C1-460D-9F3C-322C2DC9225C}"/>
    <hyperlink ref="K64" r:id="rId101" xr:uid="{68A92538-D017-45DF-9983-84FC075C3907}"/>
    <hyperlink ref="K90" r:id="rId102" xr:uid="{12910706-56BB-45C2-8009-65248C2371F1}"/>
    <hyperlink ref="K66" r:id="rId103" xr:uid="{352E7D2A-DF33-4FEC-8B30-2A92D2D60042}"/>
    <hyperlink ref="K67" r:id="rId104" xr:uid="{E81A6C00-A828-4CAE-8E6B-CF250C1C81B4}"/>
    <hyperlink ref="H49" r:id="rId105" xr:uid="{5DA22A65-7CB1-4A3D-A119-11D6651C74E1}"/>
    <hyperlink ref="K65" r:id="rId106" xr:uid="{39EEA8B7-FD30-4AAD-AA90-C019B1845847}"/>
    <hyperlink ref="K49" r:id="rId107" xr:uid="{DF6C2FFD-CC41-43C9-ADEB-1688A154FE4C}"/>
    <hyperlink ref="K50" r:id="rId108" xr:uid="{F9277302-5054-45E2-9F61-760234616789}"/>
    <hyperlink ref="H52" r:id="rId109" xr:uid="{C2500547-B409-4307-993E-F532A1A64A94}"/>
    <hyperlink ref="H66" r:id="rId110" xr:uid="{2C69248B-939E-4872-ACE4-B075D35CC536}"/>
    <hyperlink ref="H67" r:id="rId111" xr:uid="{62F18050-243A-4020-8C9E-FE684E6264E4}"/>
    <hyperlink ref="K52" r:id="rId112" xr:uid="{F94D11CF-6AD7-449E-9003-EEEB40B7ECB3}"/>
    <hyperlink ref="K54" r:id="rId113" xr:uid="{12CC0313-DE41-433C-B3AC-93128EA6BA59}"/>
    <hyperlink ref="H53" r:id="rId114" xr:uid="{F4ADC3AD-321D-4A7B-A2E3-D584B88CFFEA}"/>
    <hyperlink ref="H33" r:id="rId115" xr:uid="{3A0D9223-BD1B-44E0-AD9E-55BAA000D356}"/>
    <hyperlink ref="K108" r:id="rId116" xr:uid="{BC131F86-A92C-4700-AFFE-42F5BCEB8553}"/>
    <hyperlink ref="H108" r:id="rId117" xr:uid="{32AAACDC-65FC-4701-800C-7521A4DA26D8}"/>
    <hyperlink ref="H35" r:id="rId118" xr:uid="{98AD438F-CBF8-4687-ACB5-EE93C54F7712}"/>
    <hyperlink ref="K53" r:id="rId119" xr:uid="{8FF2094C-BB3D-4359-8223-B3FA74473A1F}"/>
    <hyperlink ref="K58" r:id="rId120" xr:uid="{8E2846A8-72A1-4272-B0E9-BDEA29A494B7}"/>
    <hyperlink ref="K51" r:id="rId121" xr:uid="{FE49BAF3-552D-42B8-8BF9-3C9E7CF99C99}"/>
    <hyperlink ref="K35" r:id="rId122" xr:uid="{0D1B97A6-31EC-4BC3-81EA-24E7D1202200}"/>
    <hyperlink ref="K33" r:id="rId123" xr:uid="{F0B7FFD4-DD6A-421B-BF3C-97FBD65FCBC5}"/>
    <hyperlink ref="H55" r:id="rId124" xr:uid="{1E2794C1-4BE9-467C-B0EE-F7110F95294A}"/>
    <hyperlink ref="H46" r:id="rId125" xr:uid="{30CA0E78-BD8D-48FD-BAD7-D1003AEC4735}"/>
    <hyperlink ref="H47" r:id="rId126" xr:uid="{15631D60-DF4E-48D0-9860-D90E1AE26172}"/>
    <hyperlink ref="K40" r:id="rId127" xr:uid="{F2FD2E00-4669-4AED-B04E-85DF8197CD89}"/>
    <hyperlink ref="H112" r:id="rId128" xr:uid="{6202E3B5-80C0-4671-83D7-A139CD3E6B8E}"/>
    <hyperlink ref="H41" r:id="rId129" xr:uid="{F22DD2B5-A938-4A9D-987C-EC482765C024}"/>
    <hyperlink ref="H40" r:id="rId130" xr:uid="{63F4FE91-57F6-470D-95C8-3B74EC03FA2D}"/>
    <hyperlink ref="H48" r:id="rId131" xr:uid="{03603309-40C2-47C7-B5E9-21094FE89632}"/>
    <hyperlink ref="K48" r:id="rId132" xr:uid="{37D448A6-258E-4502-879D-B088139F07BE}"/>
    <hyperlink ref="K41" r:id="rId133" xr:uid="{4B644455-9F93-4912-97BC-C3D8C88E202B}"/>
    <hyperlink ref="K112" r:id="rId134" xr:uid="{2DB1152A-AB07-48F2-8B89-D7216D86FB2A}"/>
    <hyperlink ref="K47" r:id="rId135" xr:uid="{02C5617F-AB8A-4B64-883A-62AA96C5B940}"/>
    <hyperlink ref="K46" r:id="rId136" xr:uid="{10F9F1F5-378F-4AAA-9CBA-3A3367B4E0CC}"/>
    <hyperlink ref="K42" r:id="rId137" xr:uid="{F649B7B4-5553-4190-885A-9BA20CC491F3}"/>
    <hyperlink ref="K43" r:id="rId138" xr:uid="{D1ECE60B-3312-47F1-8566-46E5C90FE60D}"/>
    <hyperlink ref="K44" r:id="rId139" xr:uid="{BB0B2314-6BCD-472E-A4A6-1CD5CEE9BEF7}"/>
    <hyperlink ref="H113" r:id="rId140" xr:uid="{179362C2-DE3C-4B5E-B3B4-2B2A04E7F2CE}"/>
    <hyperlink ref="H36" r:id="rId141" xr:uid="{1BAA108D-5F8C-41D9-9984-95C9EB7E3AC0}"/>
    <hyperlink ref="H37" r:id="rId142" xr:uid="{866EEF67-A580-4138-B19F-832290CEFFE8}"/>
    <hyperlink ref="H38" r:id="rId143" xr:uid="{BDBFED3F-0A77-4AE4-8648-6888EBCF42F6}"/>
    <hyperlink ref="H91" r:id="rId144" xr:uid="{F47EF881-EA37-4E06-ADA7-8E6891D49B6E}"/>
    <hyperlink ref="K113" r:id="rId145" xr:uid="{B8D57868-587C-4F9C-940F-ACBEC5BD54CF}"/>
    <hyperlink ref="K45" r:id="rId146" xr:uid="{BFD59C9A-EA48-4B1C-943A-78799D1D945F}"/>
    <hyperlink ref="H92" r:id="rId147" xr:uid="{10FD887B-0727-4904-8CB2-C0D82830193E}"/>
    <hyperlink ref="K91" r:id="rId148" xr:uid="{E1C43F5F-5BCF-4D63-BC0E-09A309495D09}"/>
    <hyperlink ref="H93" r:id="rId149" xr:uid="{7E599EDC-01A3-4CBA-8D06-FDC7D8D6D1F1}"/>
    <hyperlink ref="K93" r:id="rId150" xr:uid="{5C8B5DA4-7AE1-469E-863D-BE13FFDBDD21}"/>
    <hyperlink ref="K94" r:id="rId151" xr:uid="{B5D4A5B5-2EC6-477C-BE7D-60F54EDAFE9D}"/>
    <hyperlink ref="K92" r:id="rId152" xr:uid="{82F0455A-3041-4BF0-9644-2B55753F0971}"/>
    <hyperlink ref="K124" r:id="rId153" xr:uid="{DB8EB313-F48D-45F0-9CE2-BD6185509D61}"/>
    <hyperlink ref="H82" r:id="rId154" xr:uid="{0AB571D0-B757-43B1-BBAA-0E9A575F7F8F}"/>
    <hyperlink ref="H95" r:id="rId155" xr:uid="{10ED1E2D-F145-4830-B52E-672A9A15AEC1}"/>
    <hyperlink ref="H80" r:id="rId156" xr:uid="{F679354B-FDB8-482C-BD30-52FD96D198FB}"/>
    <hyperlink ref="H81" r:id="rId157" xr:uid="{33926732-72AC-4971-A123-A97266F09C52}"/>
    <hyperlink ref="H96" r:id="rId158" xr:uid="{B8AFDA32-F9A5-479C-9798-ACA6FA35FBCE}"/>
    <hyperlink ref="H114" r:id="rId159" xr:uid="{2919A757-787B-49C1-9662-2530FDAD043E}"/>
    <hyperlink ref="H97" r:id="rId160" xr:uid="{F53DEB5B-54BA-4835-9E20-95E717999BEC}"/>
    <hyperlink ref="H115" r:id="rId161" xr:uid="{6949B05C-4809-47B8-8764-BD9461289BE5}"/>
    <hyperlink ref="H98" r:id="rId162" xr:uid="{629AE517-F03B-4FA8-A29B-52CA1E195930}"/>
    <hyperlink ref="K80" r:id="rId163" xr:uid="{8F30D7CC-16CA-45CB-A623-E9D4B179F627}"/>
    <hyperlink ref="K95" r:id="rId164" xr:uid="{B03EA01B-8B3B-4114-A1EF-3DC913102B3C}"/>
    <hyperlink ref="K81" r:id="rId165" xr:uid="{36D80534-BB96-45A0-8931-F508B2C424C8}"/>
    <hyperlink ref="H99" r:id="rId166" xr:uid="{D2B18D77-DD41-4509-B171-C6101D1EF17F}"/>
    <hyperlink ref="K96" r:id="rId167" xr:uid="{3C147559-2B37-4C0A-87F9-0E36099F951A}"/>
    <hyperlink ref="K97" r:id="rId168" xr:uid="{79F2F21F-1C0C-4646-A336-3FD552B2B0EA}"/>
    <hyperlink ref="K114" r:id="rId169" xr:uid="{5C465B50-245B-4DAE-870B-786911C8B1F6}"/>
    <hyperlink ref="K115" r:id="rId170" xr:uid="{44275B7C-CC04-4E09-94B4-01ECB6F8088E}"/>
    <hyperlink ref="K98" r:id="rId171" xr:uid="{CA281E4B-DA0E-4FA3-8DAE-84895F4808A7}"/>
    <hyperlink ref="K116" r:id="rId172" xr:uid="{DAEC6249-E31D-4FFA-AE57-165E159DB6A9}"/>
    <hyperlink ref="K117" r:id="rId173" xr:uid="{4A237F96-0A9E-4744-AF21-9B3808B046E5}"/>
    <hyperlink ref="H117" r:id="rId174" xr:uid="{3142B50C-47FA-4E3B-A39B-2C6967E38B26}"/>
    <hyperlink ref="H118" r:id="rId175" xr:uid="{806D8BFE-CB15-43AA-9BA3-7DA87ADB2960}"/>
    <hyperlink ref="H34" r:id="rId176" xr:uid="{BF50A2B2-3B1A-402D-9719-7AB6EA1D8D7A}"/>
    <hyperlink ref="K119" r:id="rId177" xr:uid="{256DFD56-4C5C-4D92-B6B1-28DA3F857C22}"/>
    <hyperlink ref="H120" r:id="rId178" xr:uid="{70A67198-7A12-416E-BFE9-058593BAB3A0}"/>
    <hyperlink ref="H119" r:id="rId179" xr:uid="{57D1D1D2-EFFC-420C-810B-F5526D31DB51}"/>
    <hyperlink ref="H121" r:id="rId180" xr:uid="{21F0BD9A-D42C-4649-9A52-E7C22FC02D8A}"/>
    <hyperlink ref="H122" r:id="rId181" xr:uid="{054A8C40-032E-40B6-82C5-FE5178C788AE}"/>
    <hyperlink ref="K34" r:id="rId182" xr:uid="{B4355611-C8E1-49B8-B8F1-723724888D85}"/>
    <hyperlink ref="K120" r:id="rId183" xr:uid="{0802FD2C-3F36-48A2-8C2F-8B7AEF82EB9E}"/>
    <hyperlink ref="K121" r:id="rId184" xr:uid="{A59DADDE-D9D3-4548-A7DE-85B74C420537}"/>
    <hyperlink ref="K122" r:id="rId185" xr:uid="{55359588-4D04-4DBE-8A27-13655F574181}"/>
    <hyperlink ref="K123" r:id="rId186" xr:uid="{B32A1226-4C25-4696-8AFE-A4CF0A07E179}"/>
    <hyperlink ref="H110" r:id="rId187" xr:uid="{C5081DFA-C72E-4101-B5EE-8422259A4F80}"/>
    <hyperlink ref="H125" r:id="rId188" xr:uid="{E92C521E-6DFA-46A0-990F-821F0560396E}"/>
    <hyperlink ref="K110" r:id="rId189" xr:uid="{AF530EFA-50D4-4F8E-852A-AF9236AAEFA1}"/>
    <hyperlink ref="K125" r:id="rId190" xr:uid="{7ACD796E-409D-46F5-8087-AA121B7CB2B5}"/>
    <hyperlink ref="H111" r:id="rId191" xr:uid="{E4CEA518-CF5F-4457-93A7-799D1FC103A2}"/>
    <hyperlink ref="K126" r:id="rId192" xr:uid="{2DE8C84D-1EBC-4A35-9045-5AECE1558C93}"/>
    <hyperlink ref="H127" r:id="rId193" xr:uid="{4238F038-386F-4AB1-B9A4-603CA18BE7AC}"/>
    <hyperlink ref="K127" r:id="rId194" xr:uid="{083358E8-F01C-4673-B8CF-F4DFD099C135}"/>
    <hyperlink ref="H133" r:id="rId195" xr:uid="{735D3ABA-27AC-4183-901D-83A717A7FD06}"/>
    <hyperlink ref="H129" r:id="rId196" xr:uid="{EC791C62-F8F6-4797-A692-B6EFBD6A98C2}"/>
    <hyperlink ref="K133" r:id="rId197" xr:uid="{609D697A-7096-44E3-AC85-0AA105BECECB}"/>
    <hyperlink ref="K129" r:id="rId198" xr:uid="{6D281FA9-F21E-44EA-96E7-E9F305305DDF}"/>
    <hyperlink ref="K131" r:id="rId199" xr:uid="{2FFC1E95-1C8B-469E-8840-175B819C36CB}"/>
    <hyperlink ref="K130" r:id="rId200" xr:uid="{F3389C47-A822-4790-81F6-A18FE965642D}"/>
    <hyperlink ref="H132" r:id="rId201" xr:uid="{37479D6E-3F98-4456-88CB-004D67D579EB}"/>
    <hyperlink ref="K132" r:id="rId202" xr:uid="{88DB4D92-0E7D-45F3-9556-828F37BEBE13}"/>
    <hyperlink ref="K135" r:id="rId203" xr:uid="{2A12CF22-630D-4C0E-A75D-7666A52D1EBE}"/>
    <hyperlink ref="K134" r:id="rId204" xr:uid="{7FA8D317-775C-48B6-AF81-6B3A784087C4}"/>
    <hyperlink ref="K136" r:id="rId205" xr:uid="{D83F7D92-1F87-4EEB-BC56-6E01854BC8D8}"/>
    <hyperlink ref="H137" r:id="rId206" xr:uid="{635B9C4C-94E6-4D43-A187-E6D6B9FCB3C3}"/>
    <hyperlink ref="H138" r:id="rId207" xr:uid="{02C35004-743D-4ED8-86BC-178D05FCE091}"/>
    <hyperlink ref="K137" r:id="rId208" xr:uid="{2A4BCC82-3CAB-4F4B-9339-E71F4C80DE62}"/>
    <hyperlink ref="K138" r:id="rId209" xr:uid="{8A5CEEE8-50C3-4A7E-A044-04A2C20E569B}"/>
    <hyperlink ref="H139" r:id="rId210" xr:uid="{27CF0CCA-ED21-43D9-9AF0-50ECCA5A226D}"/>
    <hyperlink ref="H140" r:id="rId211" xr:uid="{8A2F8312-C2BA-4C9C-B165-1CF01A499835}"/>
    <hyperlink ref="K141" r:id="rId212" xr:uid="{1A7F7938-C42B-445C-8B0B-3BFAEC59586C}"/>
    <hyperlink ref="K140" r:id="rId213" xr:uid="{AE230E74-5625-481E-9AA7-2F89B1A7E653}"/>
    <hyperlink ref="K142" r:id="rId214" xr:uid="{39DC31F4-A986-43BD-81DE-545B547F108D}"/>
    <hyperlink ref="K139" r:id="rId215" xr:uid="{BDB1A0FD-45D7-49C5-9A43-C4C483445500}"/>
    <hyperlink ref="H143" r:id="rId216" xr:uid="{2DD062DF-4499-4F72-AC18-987739FD244D}"/>
    <hyperlink ref="H144" r:id="rId217" xr:uid="{5E586187-DB21-48C7-8FC7-ABB98EF508FF}"/>
    <hyperlink ref="K144" r:id="rId218" xr:uid="{4606E463-C7EE-455E-B935-9CA7EB315413}"/>
    <hyperlink ref="H150" r:id="rId219" xr:uid="{6B2DE593-98AD-49F7-8618-321F64A24952}"/>
    <hyperlink ref="H145" r:id="rId220" xr:uid="{F5F64DF7-0E84-4B76-A102-FCF6F6F966CB}"/>
    <hyperlink ref="K145" r:id="rId221" xr:uid="{4580F467-A91C-4B9F-BFB1-3C45C6449562}"/>
    <hyperlink ref="K143" r:id="rId222" xr:uid="{10F9EF03-40EC-4E61-BD24-89FF7BD0F78C}"/>
    <hyperlink ref="H146" r:id="rId223" xr:uid="{0E90DC60-43C3-4ACB-B3C6-3B753EDAF91F}"/>
    <hyperlink ref="K150" r:id="rId224" xr:uid="{DAD0CAC2-92EA-43BA-8D41-1E95CABCFC9C}"/>
    <hyperlink ref="H147" r:id="rId225" xr:uid="{1FEC092D-4794-4FEA-80E4-54E86F63AA65}"/>
    <hyperlink ref="K146" r:id="rId226" xr:uid="{E399F13F-E367-4FA6-B65C-BBE9AA6D07A2}"/>
    <hyperlink ref="H148" r:id="rId227" xr:uid="{5F561CE3-9E10-4B26-8FBD-58534B30BD2D}"/>
    <hyperlink ref="K147" r:id="rId228" xr:uid="{8916A5C7-4242-4C85-88B3-2998EF79E732}"/>
    <hyperlink ref="H154" r:id="rId229" xr:uid="{78E0C7CC-0BEE-4170-8063-D1883940B088}"/>
    <hyperlink ref="K148" r:id="rId230" xr:uid="{2BD2F55B-083C-4ED2-96CE-51B669C0401F}"/>
    <hyperlink ref="H151" r:id="rId231" xr:uid="{6F10FD60-B0F8-4965-81E4-E9B2A23DD687}"/>
    <hyperlink ref="K151" r:id="rId232" xr:uid="{51D2859E-2FDB-40FF-AB12-763B4A1ED848}"/>
    <hyperlink ref="H152" r:id="rId233" xr:uid="{015EDB90-C2A9-4FFF-A3DE-08380866782F}"/>
    <hyperlink ref="H155" r:id="rId234" xr:uid="{A283641B-BC8C-4DFD-82D0-A28C02E2FB3F}"/>
    <hyperlink ref="H156" r:id="rId235" xr:uid="{A34FDD1E-CAD6-4A31-97CB-41056499AC99}"/>
    <hyperlink ref="K154" r:id="rId236" xr:uid="{08F62D4C-7E57-48D1-866B-2C4BE0C2EB0F}"/>
    <hyperlink ref="K156" r:id="rId237" xr:uid="{71D0F05E-A4F2-4868-8FCC-3AC00E1008E6}"/>
    <hyperlink ref="H153" r:id="rId238" xr:uid="{390B696C-6CCD-4CE8-B595-BD5BE45AE65B}"/>
    <hyperlink ref="H158" r:id="rId239" xr:uid="{B7083621-897E-445E-BAD6-181FD3336FE1}"/>
  </hyperlink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29439-EFD6-4C01-84B6-12179EA2DE6D}">
  <dimension ref="A1:BH90"/>
  <sheetViews>
    <sheetView workbookViewId="0">
      <pane xSplit="4" ySplit="3" topLeftCell="E67" activePane="bottomRight" state="frozen"/>
      <selection pane="bottomRight" activeCell="M84" sqref="M84"/>
      <selection pane="bottomLeft" activeCell="A4" sqref="A4"/>
      <selection pane="topRight" activeCell="E1" sqref="E1"/>
    </sheetView>
  </sheetViews>
  <sheetFormatPr defaultColWidth="11.5703125" defaultRowHeight="15"/>
  <cols>
    <col min="1" max="1" width="9" style="5" customWidth="1"/>
    <col min="2" max="2" width="8" style="5" customWidth="1"/>
    <col min="3" max="3" width="11.42578125" style="5" bestFit="1" customWidth="1"/>
    <col min="4" max="4" width="49.85546875" style="6" customWidth="1"/>
    <col min="5" max="5" width="20" style="5" customWidth="1"/>
    <col min="6" max="6" width="10.42578125" style="8" customWidth="1"/>
    <col min="7" max="7" width="10.28515625" style="8" customWidth="1"/>
    <col min="8" max="8" width="16.28515625" style="5" customWidth="1"/>
    <col min="9" max="9" width="9.140625" style="8"/>
    <col min="10" max="10" width="10.42578125" style="34" customWidth="1"/>
    <col min="11" max="11" width="11.85546875" style="8" customWidth="1"/>
    <col min="12" max="12" width="11.85546875" style="339" customWidth="1"/>
    <col min="13" max="13" width="12" style="8" bestFit="1" customWidth="1"/>
    <col min="14" max="15" width="11.28515625" style="8" customWidth="1"/>
    <col min="16" max="16" width="26.42578125" style="138" customWidth="1"/>
    <col min="17" max="17" width="15.5703125" style="7" customWidth="1"/>
    <col min="18" max="18" width="16.5703125" style="8" customWidth="1"/>
    <col min="19" max="19" width="15.5703125" style="8" customWidth="1"/>
    <col min="20" max="20" width="18.7109375" style="8" customWidth="1"/>
    <col min="21" max="23" width="15.5703125" style="8" customWidth="1"/>
    <col min="24" max="24" width="15.5703125" style="7" customWidth="1"/>
    <col min="25" max="32" width="15.5703125" style="8" customWidth="1"/>
    <col min="33" max="34" width="15.5703125" style="7" customWidth="1"/>
    <col min="35" max="39" width="15.5703125" style="8" customWidth="1"/>
    <col min="40" max="40" width="15.5703125" style="7" customWidth="1"/>
    <col min="41" max="46" width="15.5703125" style="8" customWidth="1"/>
    <col min="47" max="47" width="15.5703125" style="7" customWidth="1"/>
    <col min="48" max="50" width="15.5703125" style="8" customWidth="1"/>
    <col min="51" max="51" width="15.5703125" style="403" customWidth="1"/>
    <col min="52" max="53" width="15.5703125" style="8" customWidth="1"/>
    <col min="54" max="54" width="16.42578125" style="9" customWidth="1"/>
    <col min="55" max="55" width="16.42578125" style="5" customWidth="1"/>
    <col min="56" max="16384" width="11.5703125" style="5"/>
  </cols>
  <sheetData>
    <row r="1" spans="1:60" s="2" customFormat="1">
      <c r="A1" s="10" t="s">
        <v>165</v>
      </c>
      <c r="B1" s="10"/>
      <c r="C1" s="10"/>
      <c r="D1" s="11"/>
      <c r="E1" s="10"/>
      <c r="F1" s="1"/>
      <c r="G1" s="1"/>
      <c r="H1" s="10"/>
      <c r="I1" s="1"/>
      <c r="J1" s="31"/>
      <c r="K1" s="1"/>
      <c r="L1" s="334"/>
      <c r="M1" s="1"/>
      <c r="N1" s="1"/>
      <c r="O1" s="1"/>
      <c r="P1" s="209"/>
      <c r="Q1" s="526" t="s">
        <v>166</v>
      </c>
      <c r="R1" s="526"/>
      <c r="S1" s="526"/>
      <c r="T1" s="526"/>
      <c r="U1" s="526"/>
      <c r="V1" s="526"/>
      <c r="W1" s="526"/>
      <c r="X1" s="526" t="s">
        <v>167</v>
      </c>
      <c r="Y1" s="526"/>
      <c r="Z1" s="526"/>
      <c r="AA1" s="526"/>
      <c r="AB1" s="526"/>
      <c r="AC1" s="526"/>
      <c r="AD1" s="526"/>
      <c r="AE1" s="526"/>
      <c r="AF1" s="531"/>
      <c r="AG1" s="12" t="s">
        <v>168</v>
      </c>
      <c r="AH1" s="526" t="s">
        <v>169</v>
      </c>
      <c r="AI1" s="526"/>
      <c r="AJ1" s="526"/>
      <c r="AK1" s="526"/>
      <c r="AL1" s="526"/>
      <c r="AM1" s="526"/>
      <c r="AN1" s="526" t="s">
        <v>170</v>
      </c>
      <c r="AO1" s="526"/>
      <c r="AP1" s="526"/>
      <c r="AQ1" s="526"/>
      <c r="AR1" s="526"/>
      <c r="AS1" s="526"/>
      <c r="AT1" s="526"/>
      <c r="AU1" s="526" t="s">
        <v>171</v>
      </c>
      <c r="AV1" s="526"/>
      <c r="AW1" s="526" t="s">
        <v>3205</v>
      </c>
      <c r="AX1" s="526"/>
      <c r="AY1" s="526" t="s">
        <v>172</v>
      </c>
      <c r="AZ1" s="526"/>
      <c r="BA1" s="531"/>
      <c r="BB1" s="3"/>
    </row>
    <row r="2" spans="1:60" s="28" customFormat="1" ht="45.75">
      <c r="A2" s="527" t="s">
        <v>11</v>
      </c>
      <c r="B2" s="527"/>
      <c r="C2" s="527"/>
      <c r="D2" s="527"/>
      <c r="E2" s="527" t="s">
        <v>173</v>
      </c>
      <c r="F2" s="527"/>
      <c r="G2" s="527"/>
      <c r="H2" s="527"/>
      <c r="I2" s="527"/>
      <c r="J2" s="527"/>
      <c r="K2" s="527"/>
      <c r="L2" s="527"/>
      <c r="M2" s="527"/>
      <c r="N2" s="535"/>
      <c r="O2" s="25"/>
      <c r="P2" s="25"/>
      <c r="Q2" s="24" t="s">
        <v>174</v>
      </c>
      <c r="R2" s="25" t="s">
        <v>175</v>
      </c>
      <c r="S2" s="25" t="s">
        <v>176</v>
      </c>
      <c r="T2" s="25" t="s">
        <v>177</v>
      </c>
      <c r="U2" s="25" t="s">
        <v>178</v>
      </c>
      <c r="V2" s="25" t="s">
        <v>179</v>
      </c>
      <c r="W2" s="25" t="s">
        <v>180</v>
      </c>
      <c r="X2" s="24" t="s">
        <v>181</v>
      </c>
      <c r="Y2" s="24" t="s">
        <v>182</v>
      </c>
      <c r="Z2" s="25" t="s">
        <v>183</v>
      </c>
      <c r="AA2" s="25" t="s">
        <v>184</v>
      </c>
      <c r="AB2" s="41" t="s">
        <v>185</v>
      </c>
      <c r="AC2" s="41" t="s">
        <v>186</v>
      </c>
      <c r="AD2" s="25" t="s">
        <v>187</v>
      </c>
      <c r="AE2" s="25" t="s">
        <v>188</v>
      </c>
      <c r="AF2" s="25" t="s">
        <v>189</v>
      </c>
      <c r="AG2" s="24" t="s">
        <v>190</v>
      </c>
      <c r="AH2" s="40" t="s">
        <v>191</v>
      </c>
      <c r="AI2" s="41" t="s">
        <v>192</v>
      </c>
      <c r="AJ2" s="25" t="s">
        <v>193</v>
      </c>
      <c r="AK2" s="25" t="s">
        <v>194</v>
      </c>
      <c r="AL2" s="25" t="s">
        <v>195</v>
      </c>
      <c r="AM2" s="25" t="s">
        <v>196</v>
      </c>
      <c r="AN2" s="24" t="s">
        <v>197</v>
      </c>
      <c r="AO2" s="25" t="s">
        <v>1194</v>
      </c>
      <c r="AP2" s="41" t="s">
        <v>199</v>
      </c>
      <c r="AQ2" s="41" t="s">
        <v>200</v>
      </c>
      <c r="AR2" s="25" t="s">
        <v>201</v>
      </c>
      <c r="AS2" s="25" t="s">
        <v>202</v>
      </c>
      <c r="AT2" s="25" t="s">
        <v>203</v>
      </c>
      <c r="AU2" s="24" t="s">
        <v>204</v>
      </c>
      <c r="AV2" s="25" t="s">
        <v>205</v>
      </c>
      <c r="AW2" s="406" t="s">
        <v>3557</v>
      </c>
      <c r="AX2" s="25" t="s">
        <v>3207</v>
      </c>
      <c r="AY2" s="400" t="s">
        <v>3208</v>
      </c>
      <c r="AZ2" s="25" t="s">
        <v>206</v>
      </c>
      <c r="BA2" s="397" t="s">
        <v>207</v>
      </c>
      <c r="BB2" s="26"/>
      <c r="BC2" s="27"/>
      <c r="BD2" s="27"/>
      <c r="BE2" s="27"/>
      <c r="BF2" s="27"/>
      <c r="BG2" s="27"/>
      <c r="BH2" s="27"/>
    </row>
    <row r="3" spans="1:60" customFormat="1">
      <c r="A3" s="13" t="s">
        <v>208</v>
      </c>
      <c r="B3" s="13" t="s">
        <v>209</v>
      </c>
      <c r="C3" s="13" t="s">
        <v>210</v>
      </c>
      <c r="D3" s="14" t="s">
        <v>11</v>
      </c>
      <c r="E3" s="13" t="s">
        <v>10</v>
      </c>
      <c r="F3" s="13" t="s">
        <v>211</v>
      </c>
      <c r="G3" s="13" t="s">
        <v>24</v>
      </c>
      <c r="H3" s="13" t="s">
        <v>212</v>
      </c>
      <c r="I3" s="45" t="s">
        <v>213</v>
      </c>
      <c r="J3" s="32" t="s">
        <v>214</v>
      </c>
      <c r="K3" s="13" t="s">
        <v>215</v>
      </c>
      <c r="L3" s="335" t="s">
        <v>3209</v>
      </c>
      <c r="M3" s="13" t="s">
        <v>66</v>
      </c>
      <c r="N3" s="13" t="s">
        <v>217</v>
      </c>
      <c r="O3" s="13" t="s">
        <v>3210</v>
      </c>
      <c r="P3" s="210" t="s">
        <v>211</v>
      </c>
      <c r="Q3" s="15">
        <v>120</v>
      </c>
      <c r="R3" s="16">
        <v>35</v>
      </c>
      <c r="S3" s="16">
        <v>220</v>
      </c>
      <c r="T3" s="16">
        <v>60</v>
      </c>
      <c r="U3" s="16">
        <v>250</v>
      </c>
      <c r="V3" s="16">
        <v>500</v>
      </c>
      <c r="W3" s="16">
        <v>100</v>
      </c>
      <c r="X3" s="15">
        <v>135</v>
      </c>
      <c r="Y3" s="17">
        <v>40</v>
      </c>
      <c r="Z3" s="17">
        <v>180</v>
      </c>
      <c r="AA3" s="16">
        <v>250</v>
      </c>
      <c r="AB3" s="16">
        <v>200</v>
      </c>
      <c r="AC3" s="16">
        <v>250</v>
      </c>
      <c r="AD3" s="16">
        <v>180</v>
      </c>
      <c r="AE3" s="16">
        <v>400</v>
      </c>
      <c r="AF3" s="16">
        <v>2200</v>
      </c>
      <c r="AG3" s="15">
        <v>35</v>
      </c>
      <c r="AH3" s="15">
        <v>500</v>
      </c>
      <c r="AI3" s="15">
        <v>600</v>
      </c>
      <c r="AJ3" s="15">
        <v>500</v>
      </c>
      <c r="AK3" s="16">
        <v>1200</v>
      </c>
      <c r="AL3" s="16">
        <v>5000</v>
      </c>
      <c r="AM3" s="16">
        <v>7000</v>
      </c>
      <c r="AN3" s="15">
        <v>80</v>
      </c>
      <c r="AO3" s="17">
        <v>150</v>
      </c>
      <c r="AP3" s="17">
        <v>260</v>
      </c>
      <c r="AQ3" s="17">
        <v>360</v>
      </c>
      <c r="AR3" s="16">
        <v>5000</v>
      </c>
      <c r="AS3" s="16">
        <v>6500</v>
      </c>
      <c r="AT3" s="16">
        <v>10000</v>
      </c>
      <c r="AU3" s="15">
        <v>2500</v>
      </c>
      <c r="AV3" s="16">
        <v>10000</v>
      </c>
      <c r="AW3" s="401">
        <v>120</v>
      </c>
      <c r="AX3" s="17">
        <v>30</v>
      </c>
      <c r="AY3" s="405">
        <v>0.04</v>
      </c>
      <c r="AZ3" s="396">
        <v>0.15</v>
      </c>
      <c r="BA3" s="404">
        <v>0.25</v>
      </c>
      <c r="BB3" s="4"/>
    </row>
    <row r="4" spans="1:60">
      <c r="A4" s="5" t="s">
        <v>220</v>
      </c>
      <c r="B4" s="5" t="s">
        <v>3211</v>
      </c>
      <c r="C4" s="103">
        <v>45435</v>
      </c>
      <c r="D4" s="55" t="s">
        <v>4101</v>
      </c>
      <c r="E4" s="5" t="s">
        <v>3452</v>
      </c>
      <c r="F4" s="29" t="s">
        <v>223</v>
      </c>
      <c r="G4" s="8" t="s">
        <v>130</v>
      </c>
      <c r="H4" s="78" t="s">
        <v>4102</v>
      </c>
      <c r="I4" s="43">
        <v>15</v>
      </c>
      <c r="J4" s="52">
        <v>450</v>
      </c>
      <c r="K4" s="81"/>
      <c r="L4" s="308">
        <v>450</v>
      </c>
      <c r="M4" s="81">
        <v>4200665646</v>
      </c>
      <c r="N4" s="81" t="s">
        <v>249</v>
      </c>
      <c r="O4" s="81" t="s">
        <v>4103</v>
      </c>
      <c r="P4" s="388" t="s">
        <v>1331</v>
      </c>
      <c r="AN4" s="7">
        <v>15</v>
      </c>
    </row>
    <row r="5" spans="1:60">
      <c r="A5" s="5" t="s">
        <v>220</v>
      </c>
      <c r="B5" s="5" t="s">
        <v>3211</v>
      </c>
      <c r="C5" s="103">
        <v>45457</v>
      </c>
      <c r="D5" s="55" t="s">
        <v>4104</v>
      </c>
      <c r="E5" s="5" t="s">
        <v>3452</v>
      </c>
      <c r="F5" s="29" t="s">
        <v>223</v>
      </c>
      <c r="G5" s="8" t="s">
        <v>130</v>
      </c>
      <c r="H5" s="78" t="s">
        <v>4105</v>
      </c>
      <c r="I5" s="43">
        <f>3*16*3</f>
        <v>144</v>
      </c>
      <c r="J5" s="52">
        <f>30*I5</f>
        <v>4320</v>
      </c>
      <c r="K5" s="81"/>
      <c r="L5" s="308">
        <v>5850</v>
      </c>
      <c r="M5" s="81">
        <v>4200668142</v>
      </c>
      <c r="N5" s="81" t="s">
        <v>249</v>
      </c>
      <c r="O5" s="81" t="s">
        <v>4106</v>
      </c>
      <c r="P5" s="388" t="s">
        <v>3703</v>
      </c>
    </row>
    <row r="6" spans="1:60">
      <c r="A6" s="5" t="s">
        <v>220</v>
      </c>
      <c r="B6" s="5" t="s">
        <v>3211</v>
      </c>
      <c r="C6" s="103">
        <v>45468</v>
      </c>
      <c r="D6" s="55" t="s">
        <v>4107</v>
      </c>
      <c r="E6" s="5" t="s">
        <v>3452</v>
      </c>
      <c r="F6" s="29" t="s">
        <v>223</v>
      </c>
      <c r="G6" s="8" t="s">
        <v>130</v>
      </c>
      <c r="H6" s="78" t="s">
        <v>4108</v>
      </c>
      <c r="I6" s="43">
        <v>51</v>
      </c>
      <c r="J6" s="52">
        <f>30*I6</f>
        <v>1530</v>
      </c>
      <c r="K6" s="81"/>
      <c r="L6" s="308" t="s">
        <v>481</v>
      </c>
      <c r="M6" s="81">
        <v>4200668142</v>
      </c>
      <c r="N6" s="81" t="s">
        <v>249</v>
      </c>
      <c r="O6" s="81" t="s">
        <v>4106</v>
      </c>
      <c r="P6" s="388" t="s">
        <v>3703</v>
      </c>
    </row>
    <row r="7" spans="1:60">
      <c r="A7" s="5" t="s">
        <v>220</v>
      </c>
      <c r="B7" s="5" t="s">
        <v>3211</v>
      </c>
      <c r="C7" s="103">
        <v>45476</v>
      </c>
      <c r="D7" s="55" t="s">
        <v>4109</v>
      </c>
      <c r="E7" s="127" t="s">
        <v>3559</v>
      </c>
      <c r="F7" s="29" t="s">
        <v>223</v>
      </c>
      <c r="G7" s="8" t="s">
        <v>69</v>
      </c>
      <c r="H7" s="78" t="s">
        <v>4110</v>
      </c>
      <c r="I7" s="43">
        <f>IF(SUM(Q7:BA7)=0,"-",SUM(Q7:BA7))</f>
        <v>15</v>
      </c>
      <c r="J7" s="52">
        <f>50*15+500</f>
        <v>1250</v>
      </c>
      <c r="K7" s="81"/>
      <c r="L7" s="308">
        <v>1250</v>
      </c>
      <c r="M7" s="81">
        <v>4200668955</v>
      </c>
      <c r="N7" s="81" t="s">
        <v>249</v>
      </c>
      <c r="O7" s="81" t="s">
        <v>4111</v>
      </c>
      <c r="P7" s="388" t="s">
        <v>3472</v>
      </c>
      <c r="AN7" s="7">
        <v>14</v>
      </c>
      <c r="AP7" s="8">
        <v>1</v>
      </c>
    </row>
    <row r="8" spans="1:60">
      <c r="A8" s="5" t="s">
        <v>220</v>
      </c>
      <c r="B8" s="5" t="s">
        <v>3211</v>
      </c>
      <c r="C8" s="103">
        <v>45496</v>
      </c>
      <c r="D8" s="55" t="s">
        <v>4112</v>
      </c>
      <c r="E8" s="5" t="s">
        <v>4113</v>
      </c>
      <c r="F8" s="29" t="s">
        <v>223</v>
      </c>
      <c r="G8" s="8" t="s">
        <v>95</v>
      </c>
      <c r="H8" s="78" t="s">
        <v>4114</v>
      </c>
      <c r="I8" s="43">
        <v>90</v>
      </c>
      <c r="J8" s="52">
        <v>2700</v>
      </c>
      <c r="K8" s="81"/>
      <c r="L8" s="308">
        <v>2700</v>
      </c>
      <c r="M8" s="81">
        <v>4200669291</v>
      </c>
      <c r="N8" s="81" t="s">
        <v>249</v>
      </c>
      <c r="O8" s="81" t="s">
        <v>4115</v>
      </c>
      <c r="P8" s="388" t="s">
        <v>1237</v>
      </c>
    </row>
    <row r="9" spans="1:60">
      <c r="A9" s="5" t="s">
        <v>220</v>
      </c>
      <c r="B9" s="5" t="s">
        <v>3211</v>
      </c>
      <c r="C9" s="103">
        <v>45516</v>
      </c>
      <c r="D9" s="55" t="s">
        <v>4116</v>
      </c>
      <c r="E9" s="5" t="s">
        <v>4113</v>
      </c>
      <c r="F9" s="29" t="s">
        <v>223</v>
      </c>
      <c r="G9" s="8" t="s">
        <v>95</v>
      </c>
      <c r="I9" s="8">
        <v>48</v>
      </c>
      <c r="J9" s="34">
        <f>48*30</f>
        <v>1440</v>
      </c>
      <c r="K9" s="367"/>
      <c r="L9" s="308">
        <v>1440</v>
      </c>
      <c r="M9" s="81">
        <v>4200669750</v>
      </c>
      <c r="N9" s="81" t="s">
        <v>249</v>
      </c>
      <c r="O9" s="81" t="s">
        <v>4117</v>
      </c>
      <c r="P9" s="388" t="s">
        <v>1632</v>
      </c>
    </row>
    <row r="10" spans="1:60">
      <c r="A10" s="5" t="s">
        <v>220</v>
      </c>
      <c r="B10" s="5" t="s">
        <v>3211</v>
      </c>
      <c r="C10" s="103">
        <v>45526</v>
      </c>
      <c r="D10" s="55" t="s">
        <v>4118</v>
      </c>
      <c r="E10" s="5" t="s">
        <v>4113</v>
      </c>
      <c r="F10" s="29" t="s">
        <v>223</v>
      </c>
      <c r="G10" s="8" t="s">
        <v>95</v>
      </c>
      <c r="H10" s="30" t="s">
        <v>4119</v>
      </c>
      <c r="I10" s="43">
        <v>60</v>
      </c>
      <c r="J10" s="52">
        <v>1800</v>
      </c>
      <c r="K10" s="81"/>
      <c r="L10" s="308">
        <v>1800</v>
      </c>
      <c r="M10" s="81">
        <v>4200670360</v>
      </c>
      <c r="N10" s="81" t="s">
        <v>249</v>
      </c>
      <c r="O10" s="81" t="s">
        <v>4120</v>
      </c>
      <c r="P10" s="388" t="s">
        <v>4121</v>
      </c>
    </row>
    <row r="11" spans="1:60">
      <c r="A11" s="5" t="s">
        <v>220</v>
      </c>
      <c r="B11" s="5" t="s">
        <v>3211</v>
      </c>
      <c r="C11" s="103">
        <v>45537</v>
      </c>
      <c r="D11" s="55" t="s">
        <v>4122</v>
      </c>
      <c r="E11" s="127" t="s">
        <v>3559</v>
      </c>
      <c r="F11" s="29" t="s">
        <v>223</v>
      </c>
      <c r="G11" s="8" t="s">
        <v>69</v>
      </c>
      <c r="I11" s="43">
        <f t="shared" ref="I11" si="0">IF(SUM(Q11:BA11)=0,"-",SUM(Q11:BA11))</f>
        <v>4000</v>
      </c>
      <c r="J11" s="52">
        <f>IF(SUMPRODUCT($Q$3:$BA$3,Q11:BA11)=0,"-",SUMPRODUCT($Q$3:$BA$3,Q11:BA11))</f>
        <v>600</v>
      </c>
      <c r="K11" s="81"/>
      <c r="L11" s="308">
        <v>600</v>
      </c>
      <c r="M11" s="81">
        <v>4200671262</v>
      </c>
      <c r="N11" s="81" t="s">
        <v>249</v>
      </c>
      <c r="O11" s="81" t="s">
        <v>4123</v>
      </c>
      <c r="P11" s="388" t="s">
        <v>4124</v>
      </c>
      <c r="AZ11" s="8">
        <v>4000</v>
      </c>
    </row>
    <row r="12" spans="1:60">
      <c r="A12" s="5" t="s">
        <v>220</v>
      </c>
      <c r="B12" s="5" t="s">
        <v>3211</v>
      </c>
      <c r="C12" s="103">
        <v>45541</v>
      </c>
      <c r="D12" s="55" t="s">
        <v>4125</v>
      </c>
      <c r="E12" s="5" t="s">
        <v>4113</v>
      </c>
      <c r="F12" s="29" t="s">
        <v>223</v>
      </c>
      <c r="G12" s="8" t="s">
        <v>95</v>
      </c>
      <c r="H12" s="78" t="s">
        <v>4126</v>
      </c>
      <c r="I12" s="43">
        <f>4320/30</f>
        <v>144</v>
      </c>
      <c r="J12" s="52">
        <f>30*I12</f>
        <v>4320</v>
      </c>
      <c r="K12" s="81"/>
      <c r="L12" s="308">
        <v>4320</v>
      </c>
      <c r="M12" s="81">
        <v>4200671255</v>
      </c>
      <c r="N12" s="81" t="s">
        <v>249</v>
      </c>
      <c r="O12" s="81" t="s">
        <v>4127</v>
      </c>
      <c r="P12" s="388" t="s">
        <v>4124</v>
      </c>
    </row>
    <row r="13" spans="1:60">
      <c r="A13" s="5" t="s">
        <v>220</v>
      </c>
      <c r="B13" s="5" t="s">
        <v>3211</v>
      </c>
      <c r="C13" s="103">
        <v>45541</v>
      </c>
      <c r="D13" s="55" t="s">
        <v>4128</v>
      </c>
      <c r="E13" s="5" t="s">
        <v>4113</v>
      </c>
      <c r="F13" s="29" t="s">
        <v>223</v>
      </c>
      <c r="G13" s="8" t="s">
        <v>95</v>
      </c>
      <c r="H13" s="78" t="s">
        <v>4129</v>
      </c>
      <c r="I13" s="43">
        <f>2880/30</f>
        <v>96</v>
      </c>
      <c r="J13" s="52">
        <f>30*I13</f>
        <v>2880</v>
      </c>
      <c r="K13" s="81"/>
      <c r="L13" s="308">
        <v>2880</v>
      </c>
      <c r="M13" s="81">
        <v>4200671247</v>
      </c>
      <c r="N13" s="81" t="s">
        <v>249</v>
      </c>
      <c r="O13" s="81" t="s">
        <v>4130</v>
      </c>
      <c r="P13" s="388" t="s">
        <v>4124</v>
      </c>
    </row>
    <row r="14" spans="1:60">
      <c r="A14" s="5" t="s">
        <v>220</v>
      </c>
      <c r="B14" s="5" t="s">
        <v>3211</v>
      </c>
      <c r="C14" s="103">
        <v>45555</v>
      </c>
      <c r="D14" s="55" t="s">
        <v>4131</v>
      </c>
      <c r="E14" s="5" t="s">
        <v>4132</v>
      </c>
      <c r="F14" s="29" t="s">
        <v>223</v>
      </c>
      <c r="G14" s="8" t="s">
        <v>95</v>
      </c>
      <c r="H14" s="78" t="s">
        <v>4133</v>
      </c>
      <c r="I14" s="8">
        <v>32</v>
      </c>
      <c r="J14" s="34">
        <f>30*I14</f>
        <v>960</v>
      </c>
      <c r="K14" s="81"/>
      <c r="L14" s="308">
        <v>960</v>
      </c>
      <c r="M14" s="81">
        <v>4200680151</v>
      </c>
      <c r="N14" s="81" t="s">
        <v>249</v>
      </c>
      <c r="O14" s="81" t="s">
        <v>4134</v>
      </c>
      <c r="P14" s="388" t="s">
        <v>2296</v>
      </c>
    </row>
    <row r="15" spans="1:60">
      <c r="A15" s="5" t="s">
        <v>220</v>
      </c>
      <c r="B15" s="5" t="s">
        <v>3211</v>
      </c>
      <c r="C15" s="103">
        <v>45555</v>
      </c>
      <c r="D15" s="55" t="s">
        <v>4135</v>
      </c>
      <c r="E15" s="5" t="s">
        <v>3452</v>
      </c>
      <c r="F15" s="29" t="s">
        <v>223</v>
      </c>
      <c r="G15" s="8" t="s">
        <v>130</v>
      </c>
      <c r="H15" s="78" t="s">
        <v>4136</v>
      </c>
      <c r="I15" s="8">
        <f>9*9*3</f>
        <v>243</v>
      </c>
      <c r="J15" s="34">
        <f>35*I15</f>
        <v>8505</v>
      </c>
      <c r="K15" s="81"/>
      <c r="L15" s="308">
        <v>8505</v>
      </c>
      <c r="M15" s="81">
        <v>4200672507</v>
      </c>
      <c r="N15" s="81" t="s">
        <v>249</v>
      </c>
      <c r="O15" s="81" t="s">
        <v>4137</v>
      </c>
      <c r="P15" s="388" t="s">
        <v>4138</v>
      </c>
    </row>
    <row r="16" spans="1:60">
      <c r="A16" s="5" t="s">
        <v>220</v>
      </c>
      <c r="B16" s="5" t="s">
        <v>3211</v>
      </c>
      <c r="C16" s="103">
        <v>45559</v>
      </c>
      <c r="D16" s="55" t="s">
        <v>4139</v>
      </c>
      <c r="E16" s="127" t="s">
        <v>3559</v>
      </c>
      <c r="F16" s="29" t="s">
        <v>223</v>
      </c>
      <c r="G16" s="8" t="s">
        <v>69</v>
      </c>
      <c r="H16" s="49" t="s">
        <v>481</v>
      </c>
      <c r="I16" s="8">
        <v>1</v>
      </c>
      <c r="J16" s="34">
        <v>500</v>
      </c>
      <c r="K16" s="81"/>
      <c r="L16" s="308">
        <v>500</v>
      </c>
      <c r="M16" s="81">
        <v>4200674700</v>
      </c>
      <c r="N16" s="81" t="s">
        <v>249</v>
      </c>
      <c r="O16" s="81" t="s">
        <v>4140</v>
      </c>
      <c r="P16" s="388" t="s">
        <v>1843</v>
      </c>
    </row>
    <row r="17" spans="1:52">
      <c r="A17" s="5" t="s">
        <v>220</v>
      </c>
      <c r="B17" s="5" t="s">
        <v>3211</v>
      </c>
      <c r="C17" s="103">
        <v>45567</v>
      </c>
      <c r="D17" s="56" t="s">
        <v>4141</v>
      </c>
      <c r="E17" s="5" t="s">
        <v>4113</v>
      </c>
      <c r="F17" s="29" t="s">
        <v>223</v>
      </c>
      <c r="G17" s="8" t="s">
        <v>95</v>
      </c>
      <c r="H17" s="78" t="s">
        <v>4142</v>
      </c>
      <c r="I17" s="8">
        <v>160</v>
      </c>
      <c r="J17" s="52">
        <f>30*I17</f>
        <v>4800</v>
      </c>
      <c r="K17" s="81"/>
      <c r="L17" s="308">
        <v>4800</v>
      </c>
      <c r="M17" s="81">
        <v>4200673522</v>
      </c>
      <c r="N17" s="81" t="s">
        <v>249</v>
      </c>
      <c r="O17" s="81" t="s">
        <v>4143</v>
      </c>
      <c r="P17" s="388" t="s">
        <v>1427</v>
      </c>
    </row>
    <row r="18" spans="1:52">
      <c r="A18" s="5" t="s">
        <v>220</v>
      </c>
      <c r="B18" s="5" t="s">
        <v>3211</v>
      </c>
      <c r="C18" s="103">
        <v>45582</v>
      </c>
      <c r="D18" s="55" t="s">
        <v>4144</v>
      </c>
      <c r="E18" s="5" t="s">
        <v>4113</v>
      </c>
      <c r="F18" s="29" t="s">
        <v>223</v>
      </c>
      <c r="G18" s="8" t="s">
        <v>95</v>
      </c>
      <c r="H18" s="78" t="s">
        <v>4145</v>
      </c>
      <c r="I18" s="8">
        <v>32</v>
      </c>
      <c r="J18" s="34">
        <f>32*30</f>
        <v>960</v>
      </c>
      <c r="K18" s="81"/>
      <c r="L18" s="308">
        <v>960</v>
      </c>
      <c r="M18" s="81">
        <v>4200680151</v>
      </c>
      <c r="N18" s="81" t="s">
        <v>249</v>
      </c>
      <c r="O18" s="81" t="s">
        <v>4134</v>
      </c>
      <c r="P18" s="388" t="s">
        <v>2296</v>
      </c>
    </row>
    <row r="19" spans="1:52">
      <c r="A19" s="5" t="s">
        <v>220</v>
      </c>
      <c r="B19" s="5" t="s">
        <v>3211</v>
      </c>
      <c r="C19" s="103">
        <v>45582</v>
      </c>
      <c r="D19" s="106" t="s">
        <v>4146</v>
      </c>
      <c r="E19" s="127" t="s">
        <v>3559</v>
      </c>
      <c r="F19" s="29" t="s">
        <v>223</v>
      </c>
      <c r="G19" s="8" t="s">
        <v>69</v>
      </c>
      <c r="I19" s="43">
        <f t="shared" ref="I19" si="1">IF(SUM(Q19:BA19)=0,"-",SUM(Q19:BA19))</f>
        <v>364</v>
      </c>
      <c r="J19" s="52">
        <f>IF(SUMPRODUCT($Q$3:$BA$3,Q19:BA19)=0,"-",SUMPRODUCT($Q$3:$BA$3,Q19:BA19))</f>
        <v>54.6</v>
      </c>
      <c r="K19" s="81"/>
      <c r="L19" s="308">
        <v>55</v>
      </c>
      <c r="M19" s="81">
        <v>4270029272</v>
      </c>
      <c r="N19" s="81" t="s">
        <v>249</v>
      </c>
      <c r="O19" s="81" t="s">
        <v>4147</v>
      </c>
      <c r="P19" s="388" t="s">
        <v>1915</v>
      </c>
      <c r="AZ19" s="8">
        <v>364</v>
      </c>
    </row>
    <row r="20" spans="1:52">
      <c r="A20" s="5" t="s">
        <v>220</v>
      </c>
      <c r="B20" s="5" t="s">
        <v>3211</v>
      </c>
      <c r="C20" s="103">
        <v>45721</v>
      </c>
      <c r="D20" s="106" t="s">
        <v>4148</v>
      </c>
      <c r="E20" s="127" t="s">
        <v>3452</v>
      </c>
      <c r="F20" s="29" t="s">
        <v>223</v>
      </c>
      <c r="G20" s="8" t="s">
        <v>4149</v>
      </c>
      <c r="H20" s="30" t="s">
        <v>481</v>
      </c>
      <c r="I20" s="43">
        <v>2</v>
      </c>
      <c r="J20" s="52">
        <v>440</v>
      </c>
      <c r="K20" s="81"/>
      <c r="L20" s="308">
        <v>440</v>
      </c>
      <c r="M20" s="81">
        <v>4200679520</v>
      </c>
      <c r="N20" s="81" t="s">
        <v>249</v>
      </c>
      <c r="O20" s="81" t="s">
        <v>4150</v>
      </c>
      <c r="P20" s="388" t="s">
        <v>4151</v>
      </c>
      <c r="AA20" s="8">
        <v>6</v>
      </c>
    </row>
    <row r="21" spans="1:52">
      <c r="A21" s="5" t="s">
        <v>220</v>
      </c>
      <c r="B21" s="5" t="s">
        <v>3211</v>
      </c>
      <c r="C21" s="103">
        <v>45722</v>
      </c>
      <c r="D21" s="106" t="s">
        <v>4152</v>
      </c>
      <c r="E21" s="5" t="s">
        <v>4153</v>
      </c>
      <c r="F21" s="29" t="s">
        <v>223</v>
      </c>
      <c r="G21" s="8" t="s">
        <v>4149</v>
      </c>
      <c r="H21" s="78" t="s">
        <v>4154</v>
      </c>
      <c r="I21" s="43">
        <f>IF(SUM(Q21:BA21)=0,"-",SUM(Q21:BA21))</f>
        <v>23</v>
      </c>
      <c r="J21" s="52">
        <f>IF(SUMPRODUCT($Q$3:$BA$3,Q21:BA21)=0,"-",SUMPRODUCT($Q$3:$BA$3,Q21:BA21))</f>
        <v>805</v>
      </c>
      <c r="K21" s="81" t="s">
        <v>481</v>
      </c>
      <c r="L21" s="308" t="s">
        <v>481</v>
      </c>
      <c r="M21" s="81" t="s">
        <v>481</v>
      </c>
      <c r="N21" s="81" t="s">
        <v>481</v>
      </c>
      <c r="O21" s="81" t="s">
        <v>481</v>
      </c>
      <c r="P21" s="211" t="s">
        <v>481</v>
      </c>
      <c r="R21" s="8">
        <v>23</v>
      </c>
    </row>
    <row r="22" spans="1:52">
      <c r="A22" s="5" t="s">
        <v>220</v>
      </c>
      <c r="B22" s="5" t="s">
        <v>3211</v>
      </c>
      <c r="C22" s="103">
        <v>45723</v>
      </c>
      <c r="D22" s="106" t="s">
        <v>4155</v>
      </c>
      <c r="E22" s="127" t="s">
        <v>3559</v>
      </c>
      <c r="F22" s="29" t="s">
        <v>223</v>
      </c>
      <c r="G22" s="8" t="s">
        <v>4149</v>
      </c>
      <c r="H22" s="30" t="s">
        <v>4156</v>
      </c>
      <c r="I22" s="43">
        <v>4</v>
      </c>
      <c r="J22" s="52">
        <v>570</v>
      </c>
      <c r="K22" s="81"/>
      <c r="L22" s="308"/>
      <c r="M22" s="81">
        <v>4200679663</v>
      </c>
      <c r="N22" s="81" t="s">
        <v>249</v>
      </c>
      <c r="O22" s="81" t="s">
        <v>4157</v>
      </c>
      <c r="P22" s="388" t="s">
        <v>3546</v>
      </c>
      <c r="Z22" s="8">
        <v>3</v>
      </c>
      <c r="AY22" s="403">
        <f>14*60</f>
        <v>840</v>
      </c>
    </row>
    <row r="23" spans="1:52">
      <c r="A23" s="5" t="s">
        <v>220</v>
      </c>
      <c r="B23" s="5" t="s">
        <v>3211</v>
      </c>
      <c r="C23" s="103">
        <v>45722</v>
      </c>
      <c r="D23" s="55" t="s">
        <v>4158</v>
      </c>
      <c r="E23" s="127" t="s">
        <v>3559</v>
      </c>
      <c r="F23" s="169" t="s">
        <v>4159</v>
      </c>
      <c r="G23" s="8" t="s">
        <v>69</v>
      </c>
      <c r="H23" s="78" t="s">
        <v>4160</v>
      </c>
      <c r="I23" s="43" t="str">
        <f>IF(SUM(Q23:BA23)=0,"-",SUM(Q23:BA23))</f>
        <v>-</v>
      </c>
      <c r="J23" s="62" t="s">
        <v>481</v>
      </c>
      <c r="K23" s="81" t="s">
        <v>481</v>
      </c>
      <c r="L23" s="308" t="s">
        <v>481</v>
      </c>
      <c r="M23" s="81" t="s">
        <v>481</v>
      </c>
      <c r="N23" s="81" t="s">
        <v>481</v>
      </c>
      <c r="O23" s="81" t="s">
        <v>481</v>
      </c>
      <c r="P23" s="211" t="s">
        <v>481</v>
      </c>
    </row>
    <row r="24" spans="1:52">
      <c r="A24" s="5" t="s">
        <v>220</v>
      </c>
      <c r="B24" s="5" t="s">
        <v>3211</v>
      </c>
      <c r="C24" s="103">
        <v>45723</v>
      </c>
      <c r="D24" s="56" t="s">
        <v>4161</v>
      </c>
      <c r="E24" s="5" t="s">
        <v>4162</v>
      </c>
      <c r="F24" s="29" t="s">
        <v>223</v>
      </c>
      <c r="G24" s="8" t="s">
        <v>4149</v>
      </c>
      <c r="H24" s="78" t="s">
        <v>4163</v>
      </c>
      <c r="I24" s="43">
        <v>350</v>
      </c>
      <c r="J24" s="52">
        <v>4800</v>
      </c>
      <c r="K24" s="81"/>
      <c r="L24" s="308">
        <v>4800</v>
      </c>
      <c r="M24" s="81">
        <v>4200680234</v>
      </c>
      <c r="N24" s="81" t="s">
        <v>249</v>
      </c>
      <c r="O24" s="81" t="s">
        <v>4164</v>
      </c>
      <c r="P24" s="388" t="s">
        <v>2296</v>
      </c>
      <c r="R24" s="8">
        <v>180</v>
      </c>
    </row>
    <row r="25" spans="1:52">
      <c r="A25" s="5" t="s">
        <v>220</v>
      </c>
      <c r="B25" s="5" t="s">
        <v>3211</v>
      </c>
      <c r="C25" s="103">
        <v>45727</v>
      </c>
      <c r="D25" s="106" t="s">
        <v>4165</v>
      </c>
      <c r="E25" s="5" t="s">
        <v>3452</v>
      </c>
      <c r="F25" s="29" t="s">
        <v>223</v>
      </c>
      <c r="G25" s="8" t="s">
        <v>481</v>
      </c>
      <c r="H25" s="30" t="s">
        <v>481</v>
      </c>
      <c r="I25" s="43" t="s">
        <v>481</v>
      </c>
      <c r="J25" s="52" t="s">
        <v>481</v>
      </c>
      <c r="K25" s="81"/>
      <c r="L25" s="308">
        <v>2500</v>
      </c>
      <c r="M25" s="81">
        <v>4200680411</v>
      </c>
      <c r="N25" s="81" t="s">
        <v>249</v>
      </c>
      <c r="O25" s="81" t="s">
        <v>4166</v>
      </c>
      <c r="P25" s="388" t="s">
        <v>2296</v>
      </c>
      <c r="R25" s="8">
        <v>23</v>
      </c>
    </row>
    <row r="26" spans="1:52">
      <c r="A26" s="5" t="s">
        <v>220</v>
      </c>
      <c r="B26" s="5" t="s">
        <v>3211</v>
      </c>
      <c r="C26" s="103">
        <v>45749</v>
      </c>
      <c r="D26" s="55" t="s">
        <v>4167</v>
      </c>
      <c r="E26" s="5" t="s">
        <v>3452</v>
      </c>
      <c r="F26" s="29" t="s">
        <v>223</v>
      </c>
      <c r="G26" s="8" t="s">
        <v>4149</v>
      </c>
      <c r="H26" s="78" t="s">
        <v>4168</v>
      </c>
      <c r="I26" s="8">
        <v>4</v>
      </c>
      <c r="J26" s="34">
        <v>1400</v>
      </c>
      <c r="K26" s="81"/>
      <c r="L26" s="308">
        <v>1400</v>
      </c>
      <c r="M26" s="81">
        <v>4200681655</v>
      </c>
      <c r="N26" s="81" t="s">
        <v>249</v>
      </c>
      <c r="O26" s="81" t="s">
        <v>4169</v>
      </c>
      <c r="P26" s="388" t="s">
        <v>2319</v>
      </c>
    </row>
    <row r="27" spans="1:52">
      <c r="A27" s="5" t="s">
        <v>220</v>
      </c>
      <c r="B27" s="5" t="s">
        <v>3211</v>
      </c>
      <c r="C27" s="103">
        <v>45749</v>
      </c>
      <c r="D27" s="55" t="s">
        <v>4170</v>
      </c>
      <c r="E27" s="5" t="s">
        <v>3452</v>
      </c>
      <c r="F27" s="29" t="s">
        <v>223</v>
      </c>
      <c r="G27" s="8" t="s">
        <v>4149</v>
      </c>
      <c r="H27" s="78" t="s">
        <v>4171</v>
      </c>
      <c r="I27" s="43">
        <f>IF(SUM(Q27:BA27)=0,"-",SUM(Q27:BA27))</f>
        <v>5</v>
      </c>
      <c r="J27" s="52">
        <f>IF(SUMPRODUCT($Q$3:$BA$3,Q27:BA27)=0,"-",SUMPRODUCT($Q$3:$BA$3,Q27:BA27))</f>
        <v>175</v>
      </c>
      <c r="K27" s="96" t="s">
        <v>4172</v>
      </c>
      <c r="L27" s="308"/>
      <c r="M27" s="81" t="s">
        <v>481</v>
      </c>
      <c r="N27" s="81" t="s">
        <v>481</v>
      </c>
      <c r="O27" s="81" t="s">
        <v>481</v>
      </c>
      <c r="P27" s="211" t="s">
        <v>481</v>
      </c>
      <c r="R27" s="8">
        <v>5</v>
      </c>
    </row>
    <row r="28" spans="1:52">
      <c r="A28" s="5" t="s">
        <v>220</v>
      </c>
      <c r="B28" s="5" t="s">
        <v>3211</v>
      </c>
      <c r="C28" s="103">
        <v>45755</v>
      </c>
      <c r="D28" s="55" t="s">
        <v>4173</v>
      </c>
      <c r="E28" s="219" t="s">
        <v>3559</v>
      </c>
      <c r="F28" s="29" t="s">
        <v>223</v>
      </c>
      <c r="G28" s="8" t="s">
        <v>69</v>
      </c>
      <c r="H28" s="78" t="s">
        <v>4174</v>
      </c>
      <c r="I28" s="43">
        <f>IF(SUM(Q28:BA28)=0,"-",SUM(Q28:BA28))</f>
        <v>3859</v>
      </c>
      <c r="J28" s="52">
        <f>IF(SUMPRODUCT($Q$3:$BA$3,Q28:BA28)=0,"-",SUMPRODUCT($Q$3:$BA$3,Q28:BA28))</f>
        <v>2222.96</v>
      </c>
      <c r="K28" s="98" t="s">
        <v>4175</v>
      </c>
      <c r="L28" s="308">
        <v>2223</v>
      </c>
      <c r="M28" s="81">
        <v>4200682665</v>
      </c>
      <c r="N28" s="81" t="s">
        <v>249</v>
      </c>
      <c r="O28" s="81" t="s">
        <v>4176</v>
      </c>
      <c r="P28" s="388" t="s">
        <v>4027</v>
      </c>
      <c r="Q28" s="7">
        <v>2</v>
      </c>
      <c r="R28" s="8">
        <v>24</v>
      </c>
      <c r="T28" s="8">
        <v>2</v>
      </c>
      <c r="AO28" s="8">
        <v>1</v>
      </c>
      <c r="AW28" s="8">
        <v>6</v>
      </c>
      <c r="AY28" s="403">
        <v>3824</v>
      </c>
    </row>
    <row r="29" spans="1:52">
      <c r="A29" s="5" t="s">
        <v>220</v>
      </c>
      <c r="B29" s="5" t="s">
        <v>3211</v>
      </c>
      <c r="C29" s="103">
        <v>45764</v>
      </c>
      <c r="D29" s="55" t="s">
        <v>4177</v>
      </c>
      <c r="E29" s="5" t="s">
        <v>3568</v>
      </c>
      <c r="F29" s="29" t="s">
        <v>223</v>
      </c>
      <c r="G29" s="8" t="s">
        <v>69</v>
      </c>
      <c r="H29" s="78" t="s">
        <v>4178</v>
      </c>
      <c r="I29" s="43">
        <f>IF(SUM(Q29:BA29)=0,"-",SUM(Q29:BA29))</f>
        <v>38</v>
      </c>
      <c r="J29" s="52">
        <f>IF(SUMPRODUCT($Q$3:$BA$3,Q29:BA29)=0,"-",SUMPRODUCT($Q$3:$BA$3,Q29:BA29))</f>
        <v>1330</v>
      </c>
      <c r="K29" s="98" t="s">
        <v>4179</v>
      </c>
      <c r="L29" s="308">
        <v>1330</v>
      </c>
      <c r="M29" s="81">
        <v>4200682209</v>
      </c>
      <c r="N29" s="81" t="s">
        <v>249</v>
      </c>
      <c r="O29" s="81" t="s">
        <v>4180</v>
      </c>
      <c r="P29" s="253" t="s">
        <v>2366</v>
      </c>
      <c r="R29" s="8">
        <v>38</v>
      </c>
    </row>
    <row r="30" spans="1:52">
      <c r="A30" s="5" t="s">
        <v>220</v>
      </c>
      <c r="B30" s="5" t="s">
        <v>3211</v>
      </c>
      <c r="C30" s="103">
        <v>45784</v>
      </c>
      <c r="D30" s="55" t="s">
        <v>4181</v>
      </c>
      <c r="E30" s="219" t="s">
        <v>3559</v>
      </c>
      <c r="F30" s="29" t="s">
        <v>223</v>
      </c>
      <c r="G30" s="8" t="s">
        <v>69</v>
      </c>
      <c r="H30" s="78" t="s">
        <v>4182</v>
      </c>
      <c r="I30" s="43">
        <f>IF(SUM(Q30:BA30)=0,"-",SUM(Q30:BA30))</f>
        <v>15</v>
      </c>
      <c r="J30" s="52">
        <f>IF(SUMPRODUCT($Q$3:$BA$3,Q30:BA30)=0,"-",SUMPRODUCT($Q$3:$BA$3,Q30:BA30))-20</f>
        <v>1600</v>
      </c>
      <c r="K30" s="81" t="s">
        <v>481</v>
      </c>
      <c r="L30" s="308">
        <v>1600</v>
      </c>
      <c r="M30" s="119">
        <v>4200682680</v>
      </c>
      <c r="N30" s="81" t="s">
        <v>249</v>
      </c>
      <c r="O30" s="81" t="s">
        <v>4183</v>
      </c>
      <c r="P30" s="388" t="s">
        <v>4027</v>
      </c>
      <c r="S30" s="8">
        <v>3</v>
      </c>
      <c r="AN30" s="7">
        <v>12</v>
      </c>
    </row>
    <row r="31" spans="1:52">
      <c r="A31" s="5" t="s">
        <v>220</v>
      </c>
      <c r="B31" s="5" t="s">
        <v>3211</v>
      </c>
      <c r="C31" s="103">
        <v>45755</v>
      </c>
      <c r="D31" s="55" t="s">
        <v>4184</v>
      </c>
      <c r="E31" s="5" t="s">
        <v>3452</v>
      </c>
      <c r="G31" s="8" t="s">
        <v>4149</v>
      </c>
      <c r="H31" s="5" t="s">
        <v>481</v>
      </c>
      <c r="I31" s="8" t="s">
        <v>481</v>
      </c>
      <c r="J31" s="34" t="s">
        <v>481</v>
      </c>
      <c r="K31" s="81"/>
      <c r="L31" s="308">
        <v>990</v>
      </c>
      <c r="M31" s="81">
        <v>4200681661</v>
      </c>
      <c r="N31" s="81" t="s">
        <v>249</v>
      </c>
      <c r="O31" s="81" t="s">
        <v>4185</v>
      </c>
      <c r="P31" s="388" t="s">
        <v>2319</v>
      </c>
    </row>
    <row r="32" spans="1:52">
      <c r="A32" s="5" t="s">
        <v>220</v>
      </c>
      <c r="B32" s="5" t="s">
        <v>3211</v>
      </c>
      <c r="C32" s="103">
        <v>45784</v>
      </c>
      <c r="D32" s="54" t="s">
        <v>4186</v>
      </c>
      <c r="E32" s="219" t="s">
        <v>3559</v>
      </c>
      <c r="F32" s="29" t="s">
        <v>223</v>
      </c>
      <c r="G32" s="8" t="s">
        <v>69</v>
      </c>
      <c r="H32" s="78" t="s">
        <v>4182</v>
      </c>
      <c r="I32" s="43">
        <f>IF(SUM(Q32:BA32)=0,"-",SUM(Q32:BA32))</f>
        <v>15</v>
      </c>
      <c r="J32" s="52">
        <f>IF(SUMPRODUCT($Q$3:$BA$3,Q32:BA32)=0,"-",SUMPRODUCT($Q$3:$BA$3,Q32:BA32))-20</f>
        <v>1600</v>
      </c>
      <c r="K32" s="81" t="s">
        <v>481</v>
      </c>
      <c r="L32" s="308">
        <v>1600</v>
      </c>
      <c r="M32" s="119">
        <v>4200682678</v>
      </c>
      <c r="N32" s="81" t="s">
        <v>249</v>
      </c>
      <c r="O32" s="81" t="s">
        <v>4187</v>
      </c>
      <c r="P32" s="388" t="s">
        <v>4027</v>
      </c>
      <c r="S32" s="8">
        <v>3</v>
      </c>
      <c r="AN32" s="7">
        <v>12</v>
      </c>
    </row>
    <row r="33" spans="1:54">
      <c r="A33" s="5" t="s">
        <v>220</v>
      </c>
      <c r="B33" s="5" t="s">
        <v>3211</v>
      </c>
      <c r="C33" s="103">
        <v>45786</v>
      </c>
      <c r="D33" s="54" t="s">
        <v>4188</v>
      </c>
      <c r="E33" s="219" t="s">
        <v>3559</v>
      </c>
      <c r="F33" s="29" t="s">
        <v>223</v>
      </c>
      <c r="G33" s="8" t="s">
        <v>69</v>
      </c>
      <c r="H33" s="30" t="s">
        <v>4189</v>
      </c>
      <c r="I33" s="43">
        <f>IF(SUM(Q33:BA33)=0,"-",SUM(Q33:BA33))</f>
        <v>42</v>
      </c>
      <c r="J33" s="52">
        <f>IF(SUMPRODUCT($Q$3:$BA$3,Q33:BA33)=0,"-",SUMPRODUCT($Q$3:$BA$3,Q33:BA33))</f>
        <v>1860</v>
      </c>
      <c r="K33" s="98" t="s">
        <v>4190</v>
      </c>
      <c r="L33" s="308">
        <v>1860</v>
      </c>
      <c r="M33" s="119">
        <v>4200683725</v>
      </c>
      <c r="N33" s="81" t="s">
        <v>249</v>
      </c>
      <c r="O33" s="81" t="s">
        <v>4191</v>
      </c>
      <c r="P33" s="388" t="s">
        <v>2324</v>
      </c>
      <c r="Q33" s="7">
        <v>4</v>
      </c>
      <c r="R33" s="8">
        <v>36</v>
      </c>
      <c r="T33" s="8">
        <v>2</v>
      </c>
    </row>
    <row r="34" spans="1:54">
      <c r="A34" s="5" t="s">
        <v>220</v>
      </c>
      <c r="B34" s="5" t="s">
        <v>3211</v>
      </c>
      <c r="C34" s="103">
        <v>45796</v>
      </c>
      <c r="D34" s="2" t="s">
        <v>4192</v>
      </c>
      <c r="E34" s="219" t="s">
        <v>3568</v>
      </c>
      <c r="F34" s="29" t="s">
        <v>223</v>
      </c>
      <c r="G34" s="8" t="s">
        <v>69</v>
      </c>
      <c r="H34" s="30" t="s">
        <v>4193</v>
      </c>
      <c r="I34" s="43">
        <f>IF(SUM(Q34:BA34)=0,"-",SUM(Q34:BA34))</f>
        <v>38</v>
      </c>
      <c r="J34" s="52">
        <f>IF(SUMPRODUCT($Q$3:$BA$3,Q34:BA34)=0,"-",SUMPRODUCT($Q$3:$BA$3,Q34:BA34))</f>
        <v>1330</v>
      </c>
      <c r="K34" s="98" t="s">
        <v>4194</v>
      </c>
      <c r="L34" s="308" t="s">
        <v>481</v>
      </c>
      <c r="M34" s="119">
        <v>4200683487</v>
      </c>
      <c r="N34" s="81" t="s">
        <v>249</v>
      </c>
      <c r="O34" s="81" t="s">
        <v>4195</v>
      </c>
      <c r="P34" s="388" t="s">
        <v>2424</v>
      </c>
      <c r="R34" s="8">
        <v>38</v>
      </c>
    </row>
    <row r="35" spans="1:54">
      <c r="A35" s="5" t="s">
        <v>220</v>
      </c>
      <c r="B35" s="5" t="s">
        <v>3211</v>
      </c>
      <c r="C35" s="103">
        <v>45798</v>
      </c>
      <c r="D35" s="222" t="s">
        <v>4196</v>
      </c>
      <c r="E35" s="219" t="s">
        <v>3559</v>
      </c>
      <c r="F35" s="29" t="s">
        <v>223</v>
      </c>
      <c r="G35" s="8" t="s">
        <v>69</v>
      </c>
      <c r="H35" s="78" t="s">
        <v>4197</v>
      </c>
      <c r="I35" s="43">
        <f>IF(SUM(Q35:BA35)=0,"-",SUM(Q35:BA35))</f>
        <v>15</v>
      </c>
      <c r="J35" s="52">
        <f>IF(SUMPRODUCT($Q$3:$BA$3,Q35:BA35)=0,"-",SUMPRODUCT($Q$3:$BA$3,Q35:BA35))</f>
        <v>970</v>
      </c>
      <c r="K35" s="98" t="s">
        <v>4198</v>
      </c>
      <c r="L35" s="308">
        <v>970</v>
      </c>
      <c r="M35" s="119">
        <v>4200683844</v>
      </c>
      <c r="N35" s="81" t="s">
        <v>249</v>
      </c>
      <c r="O35" s="81" t="s">
        <v>4199</v>
      </c>
      <c r="P35" s="388" t="s">
        <v>2324</v>
      </c>
      <c r="Q35" s="7">
        <v>1</v>
      </c>
      <c r="R35" s="8">
        <v>7</v>
      </c>
      <c r="T35" s="8">
        <v>1</v>
      </c>
      <c r="X35" s="7">
        <v>1</v>
      </c>
      <c r="Y35" s="8">
        <v>4</v>
      </c>
      <c r="AA35" s="8">
        <v>1</v>
      </c>
    </row>
    <row r="36" spans="1:54">
      <c r="A36" s="5" t="s">
        <v>220</v>
      </c>
      <c r="B36" s="5" t="s">
        <v>3211</v>
      </c>
      <c r="C36" s="103">
        <v>45810</v>
      </c>
      <c r="D36" s="222" t="s">
        <v>3558</v>
      </c>
      <c r="E36" s="219" t="s">
        <v>3559</v>
      </c>
      <c r="F36" s="29" t="s">
        <v>223</v>
      </c>
      <c r="G36" s="8" t="s">
        <v>69</v>
      </c>
      <c r="H36" s="78" t="s">
        <v>3560</v>
      </c>
      <c r="I36" s="43">
        <f>IF(SUM(Q36:BA36)=0,"-",SUM(Q36:BA36))</f>
        <v>12</v>
      </c>
      <c r="J36" s="52">
        <f>IF(SUMPRODUCT($Q$3:$BA$3,Q36:BA36)=0,"-",SUMPRODUCT($Q$3:$BA$3,Q36:BA36))</f>
        <v>1240</v>
      </c>
      <c r="K36" s="435" t="s">
        <v>3561</v>
      </c>
      <c r="L36" s="434" t="s">
        <v>4021</v>
      </c>
      <c r="M36" s="81" t="s">
        <v>481</v>
      </c>
      <c r="N36" s="81" t="s">
        <v>481</v>
      </c>
      <c r="O36" s="81" t="s">
        <v>481</v>
      </c>
      <c r="P36" s="211" t="s">
        <v>481</v>
      </c>
      <c r="Q36" s="9"/>
      <c r="R36" s="5"/>
      <c r="S36" s="5">
        <v>2</v>
      </c>
      <c r="T36" s="5"/>
      <c r="U36" s="5"/>
      <c r="V36" s="5"/>
      <c r="W36" s="5"/>
      <c r="X36" s="9"/>
      <c r="Y36" s="5"/>
      <c r="Z36" s="5"/>
      <c r="AA36" s="5"/>
      <c r="AB36" s="5"/>
      <c r="AC36" s="5"/>
      <c r="AD36" s="5"/>
      <c r="AE36" s="5"/>
      <c r="AF36" s="5"/>
      <c r="AG36" s="9"/>
      <c r="AH36" s="9"/>
      <c r="AI36" s="5"/>
      <c r="AJ36" s="5"/>
      <c r="AK36" s="5"/>
      <c r="AL36" s="5"/>
      <c r="AM36" s="5"/>
      <c r="AN36" s="9">
        <v>10</v>
      </c>
      <c r="AO36" s="5"/>
      <c r="AP36" s="5"/>
      <c r="AQ36" s="5"/>
      <c r="AR36" s="5"/>
      <c r="AS36" s="5"/>
      <c r="AT36" s="5"/>
      <c r="AU36" s="9"/>
      <c r="AV36" s="5"/>
      <c r="AW36" s="5"/>
      <c r="AX36" s="5"/>
      <c r="AY36" s="410"/>
      <c r="AZ36" s="5"/>
      <c r="BA36" s="5"/>
    </row>
    <row r="37" spans="1:54">
      <c r="A37" s="5" t="s">
        <v>220</v>
      </c>
      <c r="B37" s="5" t="s">
        <v>3211</v>
      </c>
      <c r="C37" s="103">
        <v>45812</v>
      </c>
      <c r="D37" s="55" t="s">
        <v>3562</v>
      </c>
      <c r="E37" s="219" t="s">
        <v>3559</v>
      </c>
      <c r="F37" s="29" t="s">
        <v>223</v>
      </c>
      <c r="G37" s="8" t="s">
        <v>69</v>
      </c>
      <c r="H37" s="78" t="s">
        <v>3563</v>
      </c>
      <c r="I37" s="43">
        <f>IF(SUM(Q37:BA37)=0,"-",SUM(Q37:BA37))</f>
        <v>40</v>
      </c>
      <c r="J37" s="52">
        <f>IF(SUMPRODUCT($Q$3:$BA$3,Q37:BA37)=0,"-",SUMPRODUCT($Q$3:$BA$3,Q37:BA37))</f>
        <v>1400</v>
      </c>
      <c r="K37" s="98" t="s">
        <v>3564</v>
      </c>
      <c r="L37" s="308">
        <v>1400</v>
      </c>
      <c r="M37" s="119">
        <v>4200684837</v>
      </c>
      <c r="N37" s="81" t="s">
        <v>249</v>
      </c>
      <c r="O37" s="81" t="s">
        <v>3565</v>
      </c>
      <c r="P37" s="388" t="s">
        <v>2424</v>
      </c>
      <c r="R37" s="8">
        <v>40</v>
      </c>
    </row>
    <row r="38" spans="1:54">
      <c r="A38" s="5" t="s">
        <v>220</v>
      </c>
      <c r="B38" s="5" t="s">
        <v>3211</v>
      </c>
      <c r="C38" s="103">
        <v>45821</v>
      </c>
      <c r="D38" s="222" t="s">
        <v>3567</v>
      </c>
      <c r="E38" s="5" t="s">
        <v>3568</v>
      </c>
      <c r="F38" s="29" t="s">
        <v>223</v>
      </c>
      <c r="G38" s="8" t="s">
        <v>69</v>
      </c>
      <c r="H38" s="78" t="s">
        <v>3569</v>
      </c>
      <c r="I38" s="43">
        <f>IF(SUM(Q38:BA38)=0,"-",SUM(Q38:BA38))</f>
        <v>25</v>
      </c>
      <c r="J38" s="52">
        <f>IF(SUMPRODUCT($Q$3:$BA$3,Q38:BA38)=0,"-",SUMPRODUCT($Q$3:$BA$3,Q38:BA38))</f>
        <v>905</v>
      </c>
      <c r="K38" s="98" t="s">
        <v>3570</v>
      </c>
      <c r="L38" s="308">
        <v>905</v>
      </c>
      <c r="M38" s="119">
        <v>4200685901</v>
      </c>
      <c r="N38" s="81" t="s">
        <v>249</v>
      </c>
      <c r="O38" s="169" t="s">
        <v>4200</v>
      </c>
      <c r="P38" s="388" t="s">
        <v>2236</v>
      </c>
      <c r="Q38" s="8"/>
      <c r="R38" s="8">
        <v>19</v>
      </c>
      <c r="X38" s="8"/>
      <c r="Y38" s="8">
        <v>6</v>
      </c>
      <c r="AG38" s="8"/>
      <c r="AH38" s="8"/>
      <c r="AN38" s="8"/>
      <c r="AU38" s="8"/>
      <c r="AY38" s="8"/>
      <c r="BB38" s="5"/>
    </row>
    <row r="39" spans="1:54">
      <c r="A39" s="5" t="s">
        <v>220</v>
      </c>
      <c r="B39" s="5" t="s">
        <v>3211</v>
      </c>
      <c r="C39" s="103">
        <v>45821</v>
      </c>
      <c r="D39" s="55" t="s">
        <v>3571</v>
      </c>
      <c r="E39" s="219" t="s">
        <v>3559</v>
      </c>
      <c r="F39" s="29" t="s">
        <v>223</v>
      </c>
      <c r="G39" s="8" t="s">
        <v>69</v>
      </c>
      <c r="H39" s="78" t="s">
        <v>3560</v>
      </c>
      <c r="I39" s="43">
        <f>IF(SUM(Q39:BA39)=0,"-",SUM(Q39:BA39))</f>
        <v>3</v>
      </c>
      <c r="J39" s="52">
        <f>IF(SUMPRODUCT($Q$3:$BA$3,Q39:BA39)=0,"-",SUMPRODUCT($Q$3:$BA$3,Q39:BA39))</f>
        <v>105</v>
      </c>
      <c r="K39" s="98" t="s">
        <v>3572</v>
      </c>
      <c r="L39" s="308" t="s">
        <v>481</v>
      </c>
      <c r="M39" s="119">
        <v>4200684817</v>
      </c>
      <c r="N39" s="81" t="s">
        <v>249</v>
      </c>
      <c r="O39" s="81" t="s">
        <v>3573</v>
      </c>
      <c r="P39" s="388" t="s">
        <v>2424</v>
      </c>
      <c r="R39" s="8">
        <v>3</v>
      </c>
    </row>
    <row r="40" spans="1:54">
      <c r="A40" s="5" t="s">
        <v>220</v>
      </c>
      <c r="B40" s="5" t="s">
        <v>3211</v>
      </c>
      <c r="C40" s="103">
        <v>45831</v>
      </c>
      <c r="D40" s="55" t="s">
        <v>3575</v>
      </c>
      <c r="E40" s="219" t="s">
        <v>3559</v>
      </c>
      <c r="F40" s="29" t="s">
        <v>223</v>
      </c>
      <c r="G40" s="8" t="s">
        <v>69</v>
      </c>
      <c r="H40" s="78" t="s">
        <v>3576</v>
      </c>
      <c r="I40" s="43">
        <f>IF(SUM(Q40:BA40)=0,"-",SUM(Q40:BA40))</f>
        <v>15</v>
      </c>
      <c r="J40" s="52">
        <f>IF(SUMPRODUCT($Q$3:$BA$3,Q40:BA40)=0,"-",SUMPRODUCT($Q$3:$BA$3,Q40:BA40))</f>
        <v>1200</v>
      </c>
      <c r="K40" s="98" t="s">
        <v>3577</v>
      </c>
      <c r="L40" s="308">
        <v>1200</v>
      </c>
      <c r="M40" s="119">
        <v>4200684863</v>
      </c>
      <c r="N40" s="81" t="s">
        <v>249</v>
      </c>
      <c r="O40" s="81" t="s">
        <v>3578</v>
      </c>
      <c r="P40" s="388" t="s">
        <v>2424</v>
      </c>
      <c r="AN40" s="7">
        <v>15</v>
      </c>
    </row>
    <row r="41" spans="1:54">
      <c r="A41" s="5" t="s">
        <v>220</v>
      </c>
      <c r="B41" s="5" t="s">
        <v>3211</v>
      </c>
      <c r="C41" s="103">
        <v>45833</v>
      </c>
      <c r="D41" s="55" t="s">
        <v>3579</v>
      </c>
      <c r="E41" s="219" t="s">
        <v>3559</v>
      </c>
      <c r="F41" s="29" t="s">
        <v>223</v>
      </c>
      <c r="G41" s="8" t="s">
        <v>69</v>
      </c>
      <c r="H41" s="78" t="s">
        <v>3580</v>
      </c>
      <c r="I41" s="43">
        <f>IF(SUM(Q41:BA41)=0,"-",SUM(Q41:BA41))</f>
        <v>576</v>
      </c>
      <c r="J41" s="52">
        <f>IF(SUMPRODUCT($Q$3:$BA$3,Q41:BA41)=0,"-",SUMPRODUCT($Q$3:$BA$3,Q41:BA41))</f>
        <v>2196.84</v>
      </c>
      <c r="K41" s="98" t="s">
        <v>3581</v>
      </c>
      <c r="L41" s="428">
        <v>8381.5</v>
      </c>
      <c r="M41" s="119">
        <v>4200684969</v>
      </c>
      <c r="N41" s="81" t="s">
        <v>249</v>
      </c>
      <c r="O41" s="81" t="s">
        <v>3582</v>
      </c>
      <c r="P41" s="388" t="s">
        <v>2424</v>
      </c>
      <c r="S41" s="8">
        <v>1</v>
      </c>
      <c r="T41" s="8">
        <v>7</v>
      </c>
      <c r="X41" s="7">
        <v>1</v>
      </c>
      <c r="Y41" s="8">
        <v>7</v>
      </c>
      <c r="AN41" s="7">
        <v>14</v>
      </c>
      <c r="AY41" s="403">
        <v>546</v>
      </c>
    </row>
    <row r="42" spans="1:54">
      <c r="A42" s="5" t="s">
        <v>220</v>
      </c>
      <c r="B42" s="5" t="s">
        <v>3211</v>
      </c>
      <c r="C42" s="103">
        <v>45833</v>
      </c>
      <c r="D42" s="55" t="s">
        <v>4201</v>
      </c>
      <c r="E42" s="5" t="s">
        <v>4202</v>
      </c>
      <c r="F42" s="29" t="s">
        <v>223</v>
      </c>
      <c r="G42" s="8" t="s">
        <v>93</v>
      </c>
      <c r="H42" s="78" t="s">
        <v>4203</v>
      </c>
      <c r="I42" s="43">
        <f>IF(SUM(Q42:BA42)=0,"-",SUM(Q42:BA42))</f>
        <v>22</v>
      </c>
      <c r="J42" s="52">
        <v>869</v>
      </c>
      <c r="K42" s="442" t="s">
        <v>4204</v>
      </c>
      <c r="L42" s="446" t="s">
        <v>481</v>
      </c>
      <c r="M42" s="123">
        <v>4300155027</v>
      </c>
      <c r="N42" s="123" t="s">
        <v>650</v>
      </c>
      <c r="O42" s="123" t="s">
        <v>4205</v>
      </c>
      <c r="P42" s="356" t="s">
        <v>2721</v>
      </c>
      <c r="R42" s="8">
        <v>22</v>
      </c>
      <c r="AY42" s="403" t="s">
        <v>4206</v>
      </c>
    </row>
    <row r="43" spans="1:54">
      <c r="A43" s="5" t="s">
        <v>220</v>
      </c>
      <c r="B43" s="5" t="s">
        <v>3211</v>
      </c>
      <c r="C43" s="103">
        <v>45840</v>
      </c>
      <c r="D43" s="55" t="s">
        <v>4207</v>
      </c>
      <c r="E43" s="219" t="s">
        <v>3559</v>
      </c>
      <c r="F43" s="29" t="s">
        <v>223</v>
      </c>
      <c r="G43" s="8" t="s">
        <v>69</v>
      </c>
      <c r="H43" s="78" t="s">
        <v>4208</v>
      </c>
      <c r="I43" s="43">
        <f>IF(SUM(Q43:BA43)=0,"-",SUM(Q43:BA43))</f>
        <v>17</v>
      </c>
      <c r="J43" s="52">
        <v>1530</v>
      </c>
      <c r="K43" s="98" t="s">
        <v>4209</v>
      </c>
      <c r="L43" s="308" t="s">
        <v>481</v>
      </c>
      <c r="M43" s="119">
        <v>4200685165</v>
      </c>
      <c r="N43" s="81" t="s">
        <v>249</v>
      </c>
      <c r="O43" s="81" t="s">
        <v>4210</v>
      </c>
      <c r="P43" s="388" t="s">
        <v>2236</v>
      </c>
      <c r="AN43" s="7">
        <v>17</v>
      </c>
      <c r="AY43" s="403" t="s">
        <v>4211</v>
      </c>
    </row>
    <row r="44" spans="1:54">
      <c r="A44" s="5" t="s">
        <v>220</v>
      </c>
      <c r="B44" s="5" t="s">
        <v>3211</v>
      </c>
      <c r="C44" s="103">
        <v>45845</v>
      </c>
      <c r="D44" s="55" t="s">
        <v>4212</v>
      </c>
      <c r="E44" s="219" t="s">
        <v>3559</v>
      </c>
      <c r="F44" s="29" t="s">
        <v>223</v>
      </c>
      <c r="G44" s="8" t="s">
        <v>69</v>
      </c>
      <c r="H44" s="78" t="s">
        <v>4213</v>
      </c>
      <c r="I44" s="43">
        <f>IF(SUM(Q44:BA44)=0,"-",SUM(Q44:BA44))</f>
        <v>1026</v>
      </c>
      <c r="J44" s="52">
        <f>IF(SUMPRODUCT($Q$3:$BA$3,Q44:BA44)=0,"-",SUMPRODUCT($Q$3:$BA$3,Q44:BA44))</f>
        <v>490.8</v>
      </c>
      <c r="K44" s="445" t="s">
        <v>4214</v>
      </c>
      <c r="L44" s="446" t="s">
        <v>481</v>
      </c>
      <c r="M44" s="443">
        <v>4200686129</v>
      </c>
      <c r="N44" s="123" t="s">
        <v>249</v>
      </c>
      <c r="O44" s="123" t="s">
        <v>4215</v>
      </c>
      <c r="P44" s="447" t="s">
        <v>2536</v>
      </c>
      <c r="Y44" s="8">
        <v>5</v>
      </c>
      <c r="AA44" s="8">
        <v>1</v>
      </c>
      <c r="AY44" s="403">
        <v>1020</v>
      </c>
    </row>
    <row r="45" spans="1:54">
      <c r="A45" s="5" t="s">
        <v>220</v>
      </c>
      <c r="B45" s="5" t="s">
        <v>3211</v>
      </c>
      <c r="C45" s="103">
        <v>45845</v>
      </c>
      <c r="D45" s="55" t="s">
        <v>4216</v>
      </c>
      <c r="E45" s="219" t="s">
        <v>3559</v>
      </c>
      <c r="F45" s="29" t="s">
        <v>223</v>
      </c>
      <c r="G45" s="8" t="s">
        <v>69</v>
      </c>
      <c r="H45" s="78" t="s">
        <v>4217</v>
      </c>
      <c r="I45" s="43">
        <f>IF(SUM(Q45:BA45)=0,"-",SUM(Q45:BA45))</f>
        <v>3218</v>
      </c>
      <c r="J45" s="52">
        <f>IF(SUMPRODUCT($Q$3:$BA$3,Q45:BA45)=0,"-",SUMPRODUCT($Q$3:$BA$3,Q45:BA45))</f>
        <v>2047.28</v>
      </c>
      <c r="K45" s="442" t="s">
        <v>4218</v>
      </c>
      <c r="L45" s="446" t="s">
        <v>481</v>
      </c>
      <c r="M45" s="443">
        <v>4300133988</v>
      </c>
      <c r="N45" s="123" t="s">
        <v>249</v>
      </c>
      <c r="O45" s="123" t="s">
        <v>4219</v>
      </c>
      <c r="P45" s="447" t="s">
        <v>4220</v>
      </c>
      <c r="Y45" s="8">
        <v>30</v>
      </c>
      <c r="AW45" s="8">
        <v>6</v>
      </c>
      <c r="AY45" s="403">
        <v>3182</v>
      </c>
    </row>
    <row r="46" spans="1:54">
      <c r="A46" s="5" t="s">
        <v>220</v>
      </c>
      <c r="B46" s="5" t="s">
        <v>3211</v>
      </c>
      <c r="C46" s="103">
        <v>45870</v>
      </c>
      <c r="D46" s="55" t="s">
        <v>4221</v>
      </c>
      <c r="E46" s="219" t="s">
        <v>3559</v>
      </c>
      <c r="F46" s="29" t="s">
        <v>223</v>
      </c>
      <c r="G46" s="8" t="s">
        <v>69</v>
      </c>
      <c r="H46" s="78" t="s">
        <v>4222</v>
      </c>
      <c r="I46" s="43">
        <f>IF(SUM(Q46:BA46)=0,"-",SUM(Q46:BA46))</f>
        <v>12</v>
      </c>
      <c r="J46" s="52">
        <f>IF(SUMPRODUCT($Q$3:$BA$3,Q46:BA46)=0,"-",SUMPRODUCT($Q$3:$BA$3,Q46:BA46))</f>
        <v>655</v>
      </c>
      <c r="K46" s="98" t="s">
        <v>4223</v>
      </c>
      <c r="L46" s="434" t="s">
        <v>4021</v>
      </c>
      <c r="M46" s="81" t="s">
        <v>481</v>
      </c>
      <c r="N46" s="81" t="s">
        <v>481</v>
      </c>
      <c r="O46" s="81" t="s">
        <v>481</v>
      </c>
      <c r="P46" s="211" t="s">
        <v>481</v>
      </c>
      <c r="Q46" s="7">
        <v>1</v>
      </c>
      <c r="R46" s="8">
        <v>5</v>
      </c>
      <c r="T46" s="8">
        <v>6</v>
      </c>
    </row>
    <row r="47" spans="1:54">
      <c r="A47" s="5" t="s">
        <v>220</v>
      </c>
      <c r="B47" s="5" t="s">
        <v>3211</v>
      </c>
      <c r="C47" s="103">
        <v>45875</v>
      </c>
      <c r="D47" s="55" t="s">
        <v>4224</v>
      </c>
      <c r="E47" s="219" t="s">
        <v>3559</v>
      </c>
      <c r="F47" s="29" t="s">
        <v>223</v>
      </c>
      <c r="G47" s="8" t="s">
        <v>69</v>
      </c>
      <c r="H47" s="78" t="s">
        <v>4225</v>
      </c>
      <c r="I47" s="43">
        <f>IF(SUM(Q47:BA47)=0,"-",SUM(Q47:BA47))</f>
        <v>11</v>
      </c>
      <c r="J47" s="52">
        <f>IF(SUMPRODUCT($Q$3:$BA$3,Q47:BA47)=0,"-",SUMPRODUCT($Q$3:$BA$3,Q47:BA47))</f>
        <v>690</v>
      </c>
      <c r="K47" s="98" t="s">
        <v>4226</v>
      </c>
      <c r="L47" s="434" t="s">
        <v>4021</v>
      </c>
      <c r="M47" s="81" t="s">
        <v>481</v>
      </c>
      <c r="N47" s="81" t="s">
        <v>481</v>
      </c>
      <c r="O47" s="81" t="s">
        <v>481</v>
      </c>
      <c r="P47" s="211" t="s">
        <v>481</v>
      </c>
      <c r="Q47" s="7">
        <v>1</v>
      </c>
      <c r="R47" s="8">
        <v>8</v>
      </c>
      <c r="Y47" s="8">
        <v>1</v>
      </c>
      <c r="AA47" s="8">
        <v>1</v>
      </c>
    </row>
    <row r="48" spans="1:54">
      <c r="A48" s="5" t="s">
        <v>220</v>
      </c>
      <c r="B48" s="5" t="s">
        <v>3211</v>
      </c>
      <c r="C48" s="103">
        <v>45881</v>
      </c>
      <c r="D48" s="55" t="s">
        <v>4227</v>
      </c>
      <c r="E48" s="219" t="s">
        <v>3559</v>
      </c>
      <c r="F48" s="29" t="s">
        <v>223</v>
      </c>
      <c r="G48" s="8" t="s">
        <v>69</v>
      </c>
      <c r="H48" s="78" t="s">
        <v>4228</v>
      </c>
      <c r="I48" s="43">
        <f>IF(SUM(Q48:BA48)=0,"-",SUM(Q48:BA48))</f>
        <v>28</v>
      </c>
      <c r="J48" s="52">
        <f>IF(SUMPRODUCT($Q$3:$BA$3,Q48:BA48)=0,"-",SUMPRODUCT($Q$3:$BA$3,Q48:BA48))</f>
        <v>1260</v>
      </c>
      <c r="K48" s="98" t="s">
        <v>4229</v>
      </c>
      <c r="L48" s="434" t="s">
        <v>4021</v>
      </c>
      <c r="M48" s="81" t="s">
        <v>481</v>
      </c>
      <c r="N48" s="81" t="s">
        <v>481</v>
      </c>
      <c r="O48" s="81" t="s">
        <v>481</v>
      </c>
      <c r="P48" s="211" t="s">
        <v>481</v>
      </c>
      <c r="T48" s="8">
        <v>7</v>
      </c>
      <c r="Y48" s="8">
        <v>21</v>
      </c>
    </row>
    <row r="49" spans="1:51">
      <c r="A49" s="5" t="s">
        <v>220</v>
      </c>
      <c r="B49" s="5" t="s">
        <v>3211</v>
      </c>
      <c r="C49" s="103">
        <v>45883</v>
      </c>
      <c r="D49" s="55" t="s">
        <v>4230</v>
      </c>
      <c r="E49" s="219" t="s">
        <v>3559</v>
      </c>
      <c r="F49" s="29" t="s">
        <v>223</v>
      </c>
      <c r="G49" s="8" t="s">
        <v>69</v>
      </c>
      <c r="H49" s="78" t="s">
        <v>4231</v>
      </c>
      <c r="I49" s="43">
        <f>IF(SUM(Q49:BA49)=0,"-",SUM(Q49:BA49))</f>
        <v>15</v>
      </c>
      <c r="J49" s="52">
        <f>IF(SUMPRODUCT($Q$3:$BA$3,Q49:BA49)=0,"-",SUMPRODUCT($Q$3:$BA$3,Q49:BA49))</f>
        <v>950</v>
      </c>
      <c r="K49" s="445" t="s">
        <v>4232</v>
      </c>
      <c r="L49" s="446" t="s">
        <v>481</v>
      </c>
      <c r="M49" s="443">
        <v>4300133245</v>
      </c>
      <c r="N49" s="123" t="s">
        <v>249</v>
      </c>
      <c r="O49" s="123" t="s">
        <v>4233</v>
      </c>
      <c r="P49" s="447" t="s">
        <v>2536</v>
      </c>
      <c r="Q49" s="7">
        <v>5</v>
      </c>
      <c r="R49" s="8">
        <v>10</v>
      </c>
    </row>
    <row r="50" spans="1:51">
      <c r="A50" s="5" t="s">
        <v>220</v>
      </c>
      <c r="B50" s="5" t="s">
        <v>3211</v>
      </c>
      <c r="C50" s="103">
        <v>45887</v>
      </c>
      <c r="D50" s="55" t="s">
        <v>4234</v>
      </c>
      <c r="E50" s="219" t="s">
        <v>3559</v>
      </c>
      <c r="F50" s="29" t="s">
        <v>223</v>
      </c>
      <c r="G50" s="8" t="s">
        <v>69</v>
      </c>
      <c r="H50" s="78" t="s">
        <v>4235</v>
      </c>
      <c r="I50" s="43">
        <f>IF(SUM(Q50:BA50)=0,"-",SUM(Q50:BA50))</f>
        <v>2</v>
      </c>
      <c r="J50" s="52">
        <v>280</v>
      </c>
      <c r="K50" s="98" t="s">
        <v>4236</v>
      </c>
      <c r="L50" s="434" t="s">
        <v>4021</v>
      </c>
      <c r="M50" s="81" t="s">
        <v>481</v>
      </c>
      <c r="N50" s="81" t="s">
        <v>481</v>
      </c>
      <c r="O50" s="81" t="s">
        <v>481</v>
      </c>
      <c r="P50" s="211" t="s">
        <v>481</v>
      </c>
      <c r="Y50" s="8">
        <v>1</v>
      </c>
      <c r="Z50" s="8">
        <v>1</v>
      </c>
    </row>
    <row r="51" spans="1:51">
      <c r="A51" s="5" t="s">
        <v>220</v>
      </c>
      <c r="B51" s="5" t="s">
        <v>3211</v>
      </c>
      <c r="C51" s="103">
        <v>45891</v>
      </c>
      <c r="D51" s="55" t="s">
        <v>4237</v>
      </c>
      <c r="E51" s="219" t="s">
        <v>3559</v>
      </c>
      <c r="F51" s="29" t="s">
        <v>223</v>
      </c>
      <c r="G51" s="8" t="s">
        <v>69</v>
      </c>
      <c r="H51" s="78" t="s">
        <v>4238</v>
      </c>
      <c r="I51" s="43">
        <f>IF(SUM(Q51:BA51)=0,"-",SUM(Q51:BA51))</f>
        <v>26</v>
      </c>
      <c r="J51" s="52">
        <f>IF(SUMPRODUCT($Q$3:$BA$3,Q51:BA51)=0,"-",SUMPRODUCT($Q$3:$BA$3,Q51:BA51))</f>
        <v>1280</v>
      </c>
      <c r="K51" s="445" t="s">
        <v>4239</v>
      </c>
      <c r="L51" s="446" t="s">
        <v>481</v>
      </c>
      <c r="M51" s="443">
        <v>4300135564</v>
      </c>
      <c r="N51" s="123" t="s">
        <v>249</v>
      </c>
      <c r="O51" s="123" t="s">
        <v>4240</v>
      </c>
      <c r="P51" s="447" t="s">
        <v>2536</v>
      </c>
      <c r="Q51" s="7">
        <v>1</v>
      </c>
      <c r="R51" s="8">
        <v>14</v>
      </c>
      <c r="T51" s="8">
        <v>1</v>
      </c>
      <c r="Y51" s="8">
        <v>9</v>
      </c>
      <c r="AA51" s="8">
        <v>1</v>
      </c>
    </row>
    <row r="52" spans="1:51">
      <c r="A52" s="5" t="s">
        <v>244</v>
      </c>
      <c r="B52" s="5" t="s">
        <v>4241</v>
      </c>
      <c r="C52" s="103">
        <v>45898</v>
      </c>
      <c r="D52" s="55" t="s">
        <v>4242</v>
      </c>
      <c r="E52" s="5" t="s">
        <v>3568</v>
      </c>
      <c r="F52" s="29" t="s">
        <v>223</v>
      </c>
      <c r="G52" s="8" t="s">
        <v>69</v>
      </c>
      <c r="H52" s="78" t="s">
        <v>4243</v>
      </c>
      <c r="I52" s="43">
        <f>IF(SUM(Q52:BA52)=0,"-",SUM(Q52:BA52))</f>
        <v>23</v>
      </c>
      <c r="J52" s="52">
        <f>IF(SUMPRODUCT($Q$3:$BA$3,Q52:BA52)=0,"-",SUMPRODUCT($Q$3:$BA$3,Q52:BA52))</f>
        <v>805</v>
      </c>
      <c r="K52" s="98" t="s">
        <v>4244</v>
      </c>
      <c r="L52" s="308" t="s">
        <v>481</v>
      </c>
      <c r="M52" s="119">
        <v>4300139592</v>
      </c>
      <c r="N52" s="81" t="s">
        <v>249</v>
      </c>
      <c r="O52" s="81" t="s">
        <v>4245</v>
      </c>
      <c r="P52" s="447" t="s">
        <v>2536</v>
      </c>
      <c r="R52" s="8">
        <v>23</v>
      </c>
    </row>
    <row r="53" spans="1:51">
      <c r="A53" s="5" t="s">
        <v>220</v>
      </c>
      <c r="B53" s="5" t="s">
        <v>3211</v>
      </c>
      <c r="C53" s="103">
        <v>45908</v>
      </c>
      <c r="D53" s="55" t="s">
        <v>4246</v>
      </c>
      <c r="E53" s="5" t="s">
        <v>3568</v>
      </c>
      <c r="F53" s="29" t="s">
        <v>223</v>
      </c>
      <c r="G53" s="8" t="s">
        <v>69</v>
      </c>
      <c r="H53" s="78" t="s">
        <v>4243</v>
      </c>
      <c r="I53" s="43">
        <f>IF(SUM(Q53:BA53)=0,"-",SUM(Q53:BA53))</f>
        <v>31</v>
      </c>
      <c r="J53" s="52">
        <f>IF(SUMPRODUCT($Q$3:$BA$3,Q53:BA53)=0,"-",SUMPRODUCT($Q$3:$BA$3,Q53:BA53))</f>
        <v>1240</v>
      </c>
      <c r="K53" s="98" t="s">
        <v>4247</v>
      </c>
      <c r="L53" s="308" t="s">
        <v>481</v>
      </c>
      <c r="M53" s="119">
        <v>4300140402</v>
      </c>
      <c r="N53" s="81" t="s">
        <v>249</v>
      </c>
      <c r="O53" s="81" t="s">
        <v>4248</v>
      </c>
      <c r="P53" s="388" t="s">
        <v>4249</v>
      </c>
      <c r="Y53" s="8">
        <v>31</v>
      </c>
    </row>
    <row r="54" spans="1:51">
      <c r="A54" s="5" t="s">
        <v>220</v>
      </c>
      <c r="B54" s="5" t="s">
        <v>3211</v>
      </c>
      <c r="C54" s="103">
        <v>45908</v>
      </c>
      <c r="D54" s="55" t="s">
        <v>4250</v>
      </c>
      <c r="E54" s="219" t="s">
        <v>3559</v>
      </c>
      <c r="F54" s="29" t="s">
        <v>223</v>
      </c>
      <c r="G54" s="8" t="s">
        <v>69</v>
      </c>
      <c r="H54" s="78" t="s">
        <v>4251</v>
      </c>
      <c r="I54" s="43">
        <f>IF(SUM(Q54:BA54)=0,"-",SUM(Q54:BA54))</f>
        <v>43</v>
      </c>
      <c r="J54" s="52">
        <f>IF(SUMPRODUCT($Q$3:$BA$3,Q54:BA54)=0,"-",SUMPRODUCT($Q$3:$BA$3,Q54:BA54))</f>
        <v>2860</v>
      </c>
      <c r="K54" s="442" t="s">
        <v>4252</v>
      </c>
      <c r="L54" s="446" t="s">
        <v>481</v>
      </c>
      <c r="M54" s="123">
        <v>4300146070</v>
      </c>
      <c r="N54" s="123" t="s">
        <v>249</v>
      </c>
      <c r="O54" s="123" t="s">
        <v>4253</v>
      </c>
      <c r="P54" s="447" t="s">
        <v>2903</v>
      </c>
      <c r="Q54" s="7">
        <v>2</v>
      </c>
      <c r="R54" s="8">
        <v>24</v>
      </c>
      <c r="T54" s="8">
        <v>1</v>
      </c>
      <c r="Y54" s="8">
        <v>2</v>
      </c>
      <c r="AN54" s="7">
        <v>1</v>
      </c>
      <c r="AW54" s="8">
        <v>13</v>
      </c>
    </row>
    <row r="55" spans="1:51">
      <c r="A55" s="5" t="s">
        <v>220</v>
      </c>
      <c r="B55" s="5" t="s">
        <v>3211</v>
      </c>
      <c r="C55" s="103">
        <v>45908</v>
      </c>
      <c r="D55" s="55" t="s">
        <v>4254</v>
      </c>
      <c r="E55" s="219" t="s">
        <v>3559</v>
      </c>
      <c r="F55" s="29" t="s">
        <v>223</v>
      </c>
      <c r="G55" s="8" t="s">
        <v>69</v>
      </c>
      <c r="H55" s="78" t="s">
        <v>4238</v>
      </c>
      <c r="I55" s="43">
        <f>IF(SUM(Q55:BA55)=0,"-",SUM(Q55:BA55))</f>
        <v>14</v>
      </c>
      <c r="J55" s="52">
        <f>IF(SUMPRODUCT($Q$3:$BA$3,Q55:BA55)=0,"-",SUMPRODUCT($Q$3:$BA$3,Q55:BA55))</f>
        <v>1400</v>
      </c>
      <c r="K55" s="442" t="s">
        <v>4255</v>
      </c>
      <c r="L55" s="446" t="s">
        <v>481</v>
      </c>
      <c r="M55" s="123">
        <v>4300144039</v>
      </c>
      <c r="N55" s="123" t="s">
        <v>249</v>
      </c>
      <c r="O55" s="123" t="s">
        <v>4256</v>
      </c>
      <c r="P55" s="447" t="s">
        <v>2903</v>
      </c>
      <c r="S55" s="8">
        <v>2</v>
      </c>
      <c r="AN55" s="7">
        <v>12</v>
      </c>
    </row>
    <row r="56" spans="1:51">
      <c r="A56" s="5" t="s">
        <v>220</v>
      </c>
      <c r="B56" s="5" t="s">
        <v>3211</v>
      </c>
      <c r="C56" s="103">
        <v>45908</v>
      </c>
      <c r="D56" s="55" t="s">
        <v>4257</v>
      </c>
      <c r="E56" s="219" t="s">
        <v>3559</v>
      </c>
      <c r="F56" s="29" t="s">
        <v>223</v>
      </c>
      <c r="G56" s="8" t="s">
        <v>69</v>
      </c>
      <c r="H56" s="78" t="s">
        <v>4238</v>
      </c>
      <c r="I56" s="43">
        <f>IF(SUM(Q56:BA56)=0,"-",SUM(Q56:BA56))</f>
        <v>6</v>
      </c>
      <c r="J56" s="52">
        <f>IF(SUMPRODUCT($Q$3:$BA$3,Q56:BA56)=0,"-",SUMPRODUCT($Q$3:$BA$3,Q56:BA56))</f>
        <v>210</v>
      </c>
      <c r="K56" s="98" t="s">
        <v>4258</v>
      </c>
      <c r="L56" s="308" t="s">
        <v>481</v>
      </c>
      <c r="M56" s="81">
        <v>4300144038</v>
      </c>
      <c r="N56" s="81" t="s">
        <v>249</v>
      </c>
      <c r="O56" s="81" t="s">
        <v>4259</v>
      </c>
      <c r="P56" s="388" t="s">
        <v>2678</v>
      </c>
      <c r="R56" s="8">
        <v>6</v>
      </c>
    </row>
    <row r="57" spans="1:51">
      <c r="A57" s="5" t="s">
        <v>220</v>
      </c>
      <c r="B57" s="5" t="s">
        <v>3211</v>
      </c>
      <c r="C57" s="103">
        <v>45962</v>
      </c>
      <c r="D57" s="106" t="s">
        <v>4260</v>
      </c>
      <c r="E57" s="127" t="s">
        <v>4261</v>
      </c>
      <c r="F57" s="29" t="s">
        <v>223</v>
      </c>
      <c r="G57" s="8" t="s">
        <v>4149</v>
      </c>
      <c r="H57" s="30" t="s">
        <v>4262</v>
      </c>
      <c r="I57" s="43">
        <f>IF(SUM(Q57:BA57)=0,"-",SUM(Q57:BA57))</f>
        <v>182</v>
      </c>
      <c r="J57" s="52">
        <v>11360</v>
      </c>
      <c r="K57" s="81"/>
      <c r="L57" s="308" t="s">
        <v>481</v>
      </c>
      <c r="M57" s="81">
        <v>4200678829</v>
      </c>
      <c r="N57" s="81" t="s">
        <v>249</v>
      </c>
      <c r="O57" s="81" t="s">
        <v>4263</v>
      </c>
      <c r="P57" s="388" t="s">
        <v>1755</v>
      </c>
      <c r="Q57" s="7">
        <v>6</v>
      </c>
      <c r="R57" s="8">
        <v>176</v>
      </c>
    </row>
    <row r="58" spans="1:51">
      <c r="A58" s="5" t="s">
        <v>220</v>
      </c>
      <c r="B58" s="5" t="s">
        <v>3211</v>
      </c>
      <c r="C58" s="103">
        <v>45962</v>
      </c>
      <c r="D58" s="106" t="s">
        <v>4264</v>
      </c>
      <c r="E58" s="5" t="s">
        <v>3452</v>
      </c>
      <c r="F58" s="29" t="s">
        <v>223</v>
      </c>
      <c r="G58" s="8" t="s">
        <v>4149</v>
      </c>
      <c r="H58" s="30" t="s">
        <v>4262</v>
      </c>
      <c r="I58" s="43">
        <f>IF(SUM(Q58:BA58)=0,"-",SUM(Q58:BA58))</f>
        <v>23</v>
      </c>
      <c r="J58" s="52">
        <v>805</v>
      </c>
      <c r="K58" s="81" t="s">
        <v>481</v>
      </c>
      <c r="L58" s="308" t="s">
        <v>481</v>
      </c>
      <c r="M58" s="81" t="s">
        <v>481</v>
      </c>
      <c r="N58" s="81" t="s">
        <v>481</v>
      </c>
      <c r="O58" s="81" t="s">
        <v>481</v>
      </c>
      <c r="P58" s="211" t="s">
        <v>481</v>
      </c>
      <c r="R58" s="8">
        <v>23</v>
      </c>
    </row>
    <row r="59" spans="1:51">
      <c r="A59" s="5" t="s">
        <v>220</v>
      </c>
      <c r="B59" s="5" t="s">
        <v>3211</v>
      </c>
      <c r="C59" s="103">
        <v>45908</v>
      </c>
      <c r="D59" s="55" t="s">
        <v>4265</v>
      </c>
      <c r="E59" s="219" t="s">
        <v>3559</v>
      </c>
      <c r="F59" s="29" t="s">
        <v>223</v>
      </c>
      <c r="G59" s="8" t="s">
        <v>69</v>
      </c>
      <c r="H59" s="78" t="s">
        <v>4266</v>
      </c>
      <c r="I59" s="43">
        <f>IF(SUM(Q59:BA59)=0,"-",SUM(Q59:BA59))</f>
        <v>53</v>
      </c>
      <c r="J59" s="52">
        <f>IF(SUMPRODUCT($Q$3:$BA$3,Q59:BA59)=0,"-",SUMPRODUCT($Q$3:$BA$3,Q59:BA59))</f>
        <v>3280</v>
      </c>
      <c r="K59" s="98" t="s">
        <v>4258</v>
      </c>
      <c r="L59" s="308" t="s">
        <v>481</v>
      </c>
      <c r="M59" s="81">
        <v>4300144038</v>
      </c>
      <c r="N59" s="81" t="s">
        <v>249</v>
      </c>
      <c r="O59" s="81" t="s">
        <v>4259</v>
      </c>
      <c r="P59" s="388" t="s">
        <v>2678</v>
      </c>
      <c r="Q59" s="7">
        <v>4</v>
      </c>
      <c r="R59" s="8">
        <v>28</v>
      </c>
      <c r="S59" s="8">
        <v>1</v>
      </c>
      <c r="AN59" s="7">
        <v>20</v>
      </c>
    </row>
    <row r="60" spans="1:51">
      <c r="A60" s="5" t="s">
        <v>220</v>
      </c>
      <c r="B60" s="5" t="s">
        <v>3211</v>
      </c>
      <c r="C60" s="103">
        <v>45933</v>
      </c>
      <c r="D60" s="55" t="s">
        <v>4267</v>
      </c>
      <c r="E60" s="219" t="s">
        <v>3559</v>
      </c>
      <c r="F60" s="29" t="s">
        <v>223</v>
      </c>
      <c r="G60" s="8" t="s">
        <v>69</v>
      </c>
      <c r="H60" s="78" t="s">
        <v>4268</v>
      </c>
      <c r="I60" s="43">
        <f>IF(SUM(Q60:BA60)=0,"-",SUM(Q60:BA60))</f>
        <v>12</v>
      </c>
      <c r="J60" s="52">
        <f>IF(SUMPRODUCT($Q$3:$BA$3,Q60:BA60)=0,"-",SUMPRODUCT($Q$3:$BA$3,Q60:BA60))</f>
        <v>815</v>
      </c>
      <c r="K60" s="98" t="s">
        <v>4269</v>
      </c>
      <c r="L60" s="434" t="s">
        <v>4021</v>
      </c>
      <c r="M60" s="81" t="s">
        <v>481</v>
      </c>
      <c r="N60" s="81" t="s">
        <v>481</v>
      </c>
      <c r="O60" s="81" t="s">
        <v>481</v>
      </c>
      <c r="P60" s="211" t="s">
        <v>481</v>
      </c>
      <c r="Q60" s="7">
        <v>1</v>
      </c>
      <c r="R60" s="8">
        <v>5</v>
      </c>
      <c r="S60" s="8">
        <v>1</v>
      </c>
      <c r="T60" s="8">
        <v>5</v>
      </c>
    </row>
    <row r="61" spans="1:51">
      <c r="A61" s="5" t="s">
        <v>220</v>
      </c>
      <c r="B61" s="5" t="s">
        <v>3211</v>
      </c>
      <c r="C61" s="103">
        <v>45944</v>
      </c>
      <c r="D61" s="55" t="s">
        <v>4270</v>
      </c>
      <c r="E61" s="219" t="s">
        <v>3559</v>
      </c>
      <c r="F61" s="29" t="s">
        <v>223</v>
      </c>
      <c r="G61" s="8" t="s">
        <v>69</v>
      </c>
      <c r="H61" s="78" t="s">
        <v>4271</v>
      </c>
      <c r="I61" s="43">
        <f>IF(SUM(Q61:BA61)=0,"-",SUM(Q61:BA61))</f>
        <v>506</v>
      </c>
      <c r="J61" s="52">
        <f>IF(SUMPRODUCT($Q$3:$BA$3,Q61:BA61)=0,"-",SUMPRODUCT($Q$3:$BA$3,Q61:BA61))</f>
        <v>500</v>
      </c>
      <c r="K61" s="98" t="s">
        <v>4272</v>
      </c>
      <c r="L61" s="434" t="s">
        <v>481</v>
      </c>
      <c r="M61" s="81">
        <v>4300153075</v>
      </c>
      <c r="N61" s="81" t="s">
        <v>249</v>
      </c>
      <c r="O61" s="81" t="s">
        <v>4273</v>
      </c>
      <c r="P61" s="253" t="s">
        <v>2903</v>
      </c>
      <c r="AN61" s="7">
        <v>6</v>
      </c>
      <c r="AY61" s="403">
        <v>500</v>
      </c>
    </row>
    <row r="62" spans="1:51">
      <c r="A62" s="5" t="s">
        <v>220</v>
      </c>
      <c r="B62" s="5" t="s">
        <v>3211</v>
      </c>
      <c r="C62" s="103">
        <v>45944</v>
      </c>
      <c r="D62" s="55" t="s">
        <v>4274</v>
      </c>
      <c r="E62" s="5" t="s">
        <v>4275</v>
      </c>
      <c r="F62" s="29" t="s">
        <v>223</v>
      </c>
      <c r="G62" s="8" t="s">
        <v>95</v>
      </c>
      <c r="I62" s="43">
        <f>IF(SUM(Q62:BA62)=0,"-",SUM(Q62:BA62))</f>
        <v>5</v>
      </c>
      <c r="J62" s="52">
        <f>IF(SUMPRODUCT($Q$3:$BA$3,Q62:BA62)=0,"-",SUMPRODUCT($Q$3:$BA$3,Q62:BA62))</f>
        <v>600</v>
      </c>
      <c r="K62" s="98" t="s">
        <v>4276</v>
      </c>
      <c r="L62" s="308" t="s">
        <v>481</v>
      </c>
      <c r="M62" s="81">
        <v>4300146574</v>
      </c>
      <c r="N62" s="81" t="s">
        <v>249</v>
      </c>
      <c r="O62" s="81" t="s">
        <v>4277</v>
      </c>
      <c r="P62" s="388" t="s">
        <v>2879</v>
      </c>
      <c r="AW62" s="8">
        <v>5</v>
      </c>
    </row>
    <row r="63" spans="1:51" ht="30.75">
      <c r="A63" s="5" t="s">
        <v>220</v>
      </c>
      <c r="B63" s="5" t="s">
        <v>3211</v>
      </c>
      <c r="C63" s="103">
        <v>45944</v>
      </c>
      <c r="D63" s="55" t="s">
        <v>4278</v>
      </c>
      <c r="E63" s="5" t="s">
        <v>4275</v>
      </c>
      <c r="F63" s="29" t="s">
        <v>223</v>
      </c>
      <c r="G63" s="8" t="s">
        <v>95</v>
      </c>
      <c r="I63" s="43">
        <f>IF(SUM(Q63:BA63)=0,"-",SUM(Q63:BA63))</f>
        <v>2</v>
      </c>
      <c r="J63" s="52">
        <f>IF(SUMPRODUCT($Q$3:$BA$3,Q63:BA63)=0,"-",SUMPRODUCT($Q$3:$BA$3,Q63:BA63))</f>
        <v>500</v>
      </c>
      <c r="K63" s="442" t="s">
        <v>4279</v>
      </c>
      <c r="L63" s="446" t="s">
        <v>481</v>
      </c>
      <c r="M63" s="123">
        <v>4300147736</v>
      </c>
      <c r="N63" s="171" t="s">
        <v>4280</v>
      </c>
      <c r="O63" s="123" t="s">
        <v>4281</v>
      </c>
      <c r="P63" s="468" t="s">
        <v>2721</v>
      </c>
      <c r="AA63" s="8">
        <v>2</v>
      </c>
    </row>
    <row r="64" spans="1:51">
      <c r="A64" s="5" t="s">
        <v>220</v>
      </c>
      <c r="B64" s="5" t="s">
        <v>3211</v>
      </c>
      <c r="C64" s="103">
        <v>45980</v>
      </c>
      <c r="D64" s="55" t="s">
        <v>4282</v>
      </c>
      <c r="E64" s="5" t="s">
        <v>4283</v>
      </c>
      <c r="F64" s="29" t="s">
        <v>223</v>
      </c>
      <c r="G64" s="8" t="s">
        <v>69</v>
      </c>
      <c r="H64" s="78" t="s">
        <v>4284</v>
      </c>
      <c r="I64" s="43">
        <f>IF(SUM(Q64:BA64)=0,"-",SUM(Q64:BA64))</f>
        <v>12</v>
      </c>
      <c r="J64" s="52">
        <f>IF(SUMPRODUCT($Q$3:$BA$3,Q64:BA64)=0,"-",SUMPRODUCT($Q$3:$BA$3,Q64:BA64))</f>
        <v>815</v>
      </c>
      <c r="K64" s="98" t="s">
        <v>4285</v>
      </c>
      <c r="L64" s="434" t="s">
        <v>4021</v>
      </c>
      <c r="M64" s="81" t="s">
        <v>481</v>
      </c>
      <c r="N64" s="81" t="s">
        <v>481</v>
      </c>
      <c r="O64" s="81" t="s">
        <v>481</v>
      </c>
      <c r="P64" s="211" t="s">
        <v>481</v>
      </c>
      <c r="Q64" s="7">
        <v>1</v>
      </c>
      <c r="R64" s="8">
        <v>5</v>
      </c>
      <c r="S64" s="8">
        <v>1</v>
      </c>
      <c r="T64" s="8">
        <v>5</v>
      </c>
    </row>
    <row r="65" spans="1:51">
      <c r="A65" s="5" t="s">
        <v>220</v>
      </c>
      <c r="B65" s="5" t="s">
        <v>3211</v>
      </c>
      <c r="C65" s="103">
        <v>45988</v>
      </c>
      <c r="D65" s="55" t="s">
        <v>4286</v>
      </c>
      <c r="E65" s="219" t="s">
        <v>3559</v>
      </c>
      <c r="F65" s="29" t="s">
        <v>223</v>
      </c>
      <c r="G65" s="8" t="s">
        <v>69</v>
      </c>
      <c r="H65" s="78" t="s">
        <v>4287</v>
      </c>
      <c r="I65" s="43">
        <f>IF(SUM(Q65:BA65)=0,"-",SUM(Q65:BA65))</f>
        <v>1</v>
      </c>
      <c r="J65" s="52">
        <f>IF(SUMPRODUCT($Q$3:$BA$3,Q65:BA65)=0,"-",SUMPRODUCT($Q$3:$BA$3,Q65:BA65))</f>
        <v>250</v>
      </c>
      <c r="K65" s="442" t="s">
        <v>4288</v>
      </c>
      <c r="L65" s="446" t="s">
        <v>481</v>
      </c>
      <c r="M65" s="123">
        <v>4300157587</v>
      </c>
      <c r="N65" s="123"/>
      <c r="O65" s="123" t="s">
        <v>4289</v>
      </c>
      <c r="P65" s="447" t="s">
        <v>2581</v>
      </c>
      <c r="AA65" s="8">
        <v>1</v>
      </c>
    </row>
    <row r="66" spans="1:51">
      <c r="A66" s="5" t="s">
        <v>220</v>
      </c>
      <c r="B66" s="5" t="s">
        <v>4241</v>
      </c>
      <c r="C66" s="103">
        <v>45988</v>
      </c>
      <c r="D66" s="55" t="s">
        <v>4290</v>
      </c>
      <c r="E66" s="5" t="s">
        <v>3568</v>
      </c>
      <c r="F66" s="29" t="s">
        <v>223</v>
      </c>
      <c r="G66" s="8" t="s">
        <v>69</v>
      </c>
      <c r="H66" s="78" t="s">
        <v>4291</v>
      </c>
      <c r="I66" s="43">
        <f>IF(SUM(Q66:BA66)=0,"-",SUM(Q66:BA66))</f>
        <v>4</v>
      </c>
      <c r="J66" s="52">
        <f>IF(SUMPRODUCT($Q$3:$BA$3,Q66:BA66)=0,"-",SUMPRODUCT($Q$3:$BA$3,Q66:BA66))</f>
        <v>150</v>
      </c>
      <c r="K66" s="467" t="s">
        <v>4292</v>
      </c>
      <c r="L66" s="308" t="s">
        <v>481</v>
      </c>
      <c r="M66" s="81">
        <v>4300169702</v>
      </c>
      <c r="N66" s="81" t="s">
        <v>481</v>
      </c>
      <c r="O66" s="81" t="s">
        <v>4293</v>
      </c>
      <c r="P66" s="447" t="s">
        <v>2581</v>
      </c>
      <c r="R66" s="8">
        <v>2</v>
      </c>
      <c r="Y66" s="8">
        <v>2</v>
      </c>
    </row>
    <row r="67" spans="1:51">
      <c r="A67" s="5" t="s">
        <v>220</v>
      </c>
      <c r="B67" s="5" t="s">
        <v>3211</v>
      </c>
      <c r="C67" s="103">
        <v>45999</v>
      </c>
      <c r="D67" s="55" t="s">
        <v>4294</v>
      </c>
      <c r="E67" s="5" t="s">
        <v>4295</v>
      </c>
      <c r="F67" s="29" t="s">
        <v>223</v>
      </c>
      <c r="G67" s="8" t="s">
        <v>4149</v>
      </c>
      <c r="H67" s="78" t="s">
        <v>4296</v>
      </c>
      <c r="I67" s="43">
        <f>IF(SUM(Q67:BA67)=0,"-",SUM(Q67:BA67))</f>
        <v>8580</v>
      </c>
      <c r="J67" s="52">
        <f>IF(SUMPRODUCT($Q$3:$BA$3,Q67:BA67)=0,"-",SUMPRODUCT($Q$3:$BA$3,Q67:BA67))</f>
        <v>4065.4</v>
      </c>
      <c r="K67" s="98" t="s">
        <v>4297</v>
      </c>
      <c r="L67" s="308">
        <v>5065</v>
      </c>
      <c r="M67" s="81">
        <v>4300176653</v>
      </c>
      <c r="N67" s="81" t="s">
        <v>249</v>
      </c>
      <c r="O67" s="81" t="s">
        <v>4298</v>
      </c>
      <c r="P67" s="391" t="s">
        <v>4299</v>
      </c>
      <c r="Q67" s="7">
        <v>10</v>
      </c>
      <c r="R67" s="8">
        <v>55</v>
      </c>
      <c r="AW67" s="8">
        <v>5</v>
      </c>
      <c r="AY67" s="403">
        <v>8510</v>
      </c>
    </row>
    <row r="68" spans="1:51">
      <c r="A68" s="5" t="s">
        <v>220</v>
      </c>
      <c r="B68" s="5" t="s">
        <v>3211</v>
      </c>
      <c r="C68" s="103">
        <v>46007</v>
      </c>
      <c r="D68" s="55" t="s">
        <v>4300</v>
      </c>
      <c r="E68" s="219" t="s">
        <v>3559</v>
      </c>
      <c r="F68" s="29" t="s">
        <v>223</v>
      </c>
      <c r="G68" s="8" t="s">
        <v>69</v>
      </c>
      <c r="H68" s="78" t="s">
        <v>4301</v>
      </c>
      <c r="I68" s="43">
        <f>IF(SUM(Q68:BA68)=0,"-",SUM(Q68:BA68))</f>
        <v>29</v>
      </c>
      <c r="J68" s="52">
        <f>IF(SUMPRODUCT($Q$3:$BA$3,Q68:BA68)=0,"-",SUMPRODUCT($Q$3:$BA$3,Q68:BA68))</f>
        <v>1100</v>
      </c>
      <c r="K68" s="98" t="s">
        <v>4302</v>
      </c>
      <c r="L68" s="450" t="s">
        <v>481</v>
      </c>
      <c r="M68" s="166"/>
      <c r="N68" s="166"/>
      <c r="O68" s="166"/>
      <c r="P68" s="359"/>
      <c r="Q68" s="7">
        <v>1</v>
      </c>
      <c r="R68" s="8">
        <v>28</v>
      </c>
    </row>
    <row r="69" spans="1:51">
      <c r="A69" s="5" t="s">
        <v>220</v>
      </c>
      <c r="B69" s="5" t="s">
        <v>3211</v>
      </c>
      <c r="C69" s="103">
        <v>46007</v>
      </c>
      <c r="D69" s="55" t="s">
        <v>4303</v>
      </c>
      <c r="E69" s="219" t="s">
        <v>3559</v>
      </c>
      <c r="F69" s="29" t="s">
        <v>223</v>
      </c>
      <c r="G69" s="8" t="s">
        <v>69</v>
      </c>
      <c r="H69" s="78" t="s">
        <v>4304</v>
      </c>
      <c r="I69" s="43">
        <f t="shared" ref="I69:I71" si="2">IF(SUM(Q69:BA69)=0,"-",SUM(Q69:BA69))</f>
        <v>292</v>
      </c>
      <c r="J69" s="52">
        <f>IF(SUMPRODUCT($Q$3:$BA$3,Q69:BA69)=0,"-",SUMPRODUCT($Q$3:$BA$3,Q69:BA69))</f>
        <v>1251.2</v>
      </c>
      <c r="K69" s="98" t="s">
        <v>4305</v>
      </c>
      <c r="L69" s="308" t="s">
        <v>481</v>
      </c>
      <c r="M69" s="81">
        <v>4300169073</v>
      </c>
      <c r="N69" s="81" t="s">
        <v>249</v>
      </c>
      <c r="O69" s="81" t="s">
        <v>4306</v>
      </c>
      <c r="P69" s="391" t="s">
        <v>3132</v>
      </c>
      <c r="S69" s="8">
        <v>2</v>
      </c>
      <c r="AN69" s="7">
        <v>10</v>
      </c>
      <c r="AY69" s="403">
        <v>280</v>
      </c>
    </row>
    <row r="70" spans="1:51">
      <c r="A70" s="5" t="s">
        <v>220</v>
      </c>
      <c r="B70" s="5" t="s">
        <v>3211</v>
      </c>
      <c r="C70" s="103">
        <v>46007</v>
      </c>
      <c r="D70" s="55" t="s">
        <v>4307</v>
      </c>
      <c r="E70" s="219" t="s">
        <v>3559</v>
      </c>
      <c r="F70" s="29" t="s">
        <v>223</v>
      </c>
      <c r="G70" s="8" t="s">
        <v>69</v>
      </c>
      <c r="I70" s="43">
        <f t="shared" si="2"/>
        <v>1</v>
      </c>
      <c r="J70" s="52">
        <f>IF(SUMPRODUCT($Q$3:$BA$3,Q70:BA70)=0,"-",SUMPRODUCT($Q$3:$BA$3,Q70:BA70))</f>
        <v>250</v>
      </c>
      <c r="K70" s="98" t="s">
        <v>4308</v>
      </c>
      <c r="L70" s="450" t="s">
        <v>481</v>
      </c>
      <c r="M70" s="166"/>
      <c r="N70" s="166"/>
      <c r="O70" s="166"/>
      <c r="P70" s="359"/>
      <c r="AA70" s="8">
        <v>1</v>
      </c>
    </row>
    <row r="71" spans="1:51">
      <c r="A71" s="5" t="s">
        <v>220</v>
      </c>
      <c r="B71" s="5" t="s">
        <v>3211</v>
      </c>
      <c r="C71" s="103">
        <v>46007</v>
      </c>
      <c r="D71" s="55" t="s">
        <v>4309</v>
      </c>
      <c r="E71" s="219" t="s">
        <v>3559</v>
      </c>
      <c r="F71" s="29" t="s">
        <v>223</v>
      </c>
      <c r="G71" s="8" t="s">
        <v>69</v>
      </c>
      <c r="I71" s="43" t="str">
        <f t="shared" si="2"/>
        <v>-</v>
      </c>
      <c r="J71" s="34">
        <v>800</v>
      </c>
      <c r="K71" s="123"/>
      <c r="L71" s="446" t="s">
        <v>481</v>
      </c>
      <c r="M71" s="123">
        <v>4300157617</v>
      </c>
      <c r="N71" s="123" t="s">
        <v>249</v>
      </c>
      <c r="O71" s="123" t="s">
        <v>4310</v>
      </c>
      <c r="P71" s="447" t="s">
        <v>2581</v>
      </c>
    </row>
    <row r="72" spans="1:51">
      <c r="A72" s="5" t="s">
        <v>220</v>
      </c>
      <c r="B72" s="5" t="s">
        <v>3211</v>
      </c>
      <c r="C72" s="103">
        <v>46042</v>
      </c>
      <c r="D72" s="480" t="s">
        <v>4311</v>
      </c>
      <c r="E72" s="5" t="s">
        <v>4283</v>
      </c>
      <c r="F72" s="29" t="s">
        <v>223</v>
      </c>
      <c r="G72" s="8" t="s">
        <v>69</v>
      </c>
      <c r="I72" s="43">
        <f>IF(SUM(Q72:BA72)=0,"-",SUM(Q72:BA72))</f>
        <v>958</v>
      </c>
      <c r="J72" s="482">
        <f>IF(SUMPRODUCT($Q$3:$BA$3,Q72:BA72)=0,"-",SUMPRODUCT($Q$3:$BA$3,Q72:BA72))-J76</f>
        <v>633.84</v>
      </c>
      <c r="K72" s="98" t="s">
        <v>4312</v>
      </c>
      <c r="L72" s="434" t="s">
        <v>4021</v>
      </c>
      <c r="M72" s="81" t="s">
        <v>481</v>
      </c>
      <c r="N72" s="81" t="s">
        <v>481</v>
      </c>
      <c r="O72" s="81" t="s">
        <v>481</v>
      </c>
      <c r="P72" s="211" t="s">
        <v>481</v>
      </c>
      <c r="Q72" s="7">
        <v>1</v>
      </c>
      <c r="R72" s="8">
        <v>5</v>
      </c>
      <c r="S72" s="8">
        <v>1</v>
      </c>
      <c r="T72" s="8">
        <v>5</v>
      </c>
      <c r="AY72" s="403">
        <v>946</v>
      </c>
    </row>
    <row r="73" spans="1:51">
      <c r="A73" s="5" t="s">
        <v>220</v>
      </c>
      <c r="B73" s="5" t="s">
        <v>3211</v>
      </c>
      <c r="C73" s="103">
        <v>46042</v>
      </c>
      <c r="D73" s="55" t="s">
        <v>4313</v>
      </c>
      <c r="E73" s="5" t="s">
        <v>4283</v>
      </c>
      <c r="F73" s="29" t="s">
        <v>223</v>
      </c>
      <c r="G73" s="8" t="s">
        <v>69</v>
      </c>
      <c r="I73" s="43">
        <f>IF(SUM(Q73:BA73)=0,"-",SUM(Q73:BA73))</f>
        <v>984</v>
      </c>
      <c r="J73" s="52">
        <f>IF(SUMPRODUCT($Q$3:$BA$3,Q73:BA73)=0,"-",SUMPRODUCT($Q$3:$BA$3,Q73:BA73))</f>
        <v>39.36</v>
      </c>
      <c r="K73" s="98" t="s">
        <v>4314</v>
      </c>
      <c r="L73" s="308" t="s">
        <v>481</v>
      </c>
      <c r="M73" s="81">
        <v>4300168223</v>
      </c>
      <c r="N73" s="81" t="s">
        <v>249</v>
      </c>
      <c r="O73" s="81" t="s">
        <v>4315</v>
      </c>
      <c r="P73" s="391" t="s">
        <v>2917</v>
      </c>
      <c r="AY73" s="403">
        <v>984</v>
      </c>
    </row>
    <row r="74" spans="1:51">
      <c r="A74" s="5" t="s">
        <v>220</v>
      </c>
      <c r="B74" s="5" t="s">
        <v>3211</v>
      </c>
      <c r="C74" s="103">
        <v>46062</v>
      </c>
      <c r="D74" s="55" t="s">
        <v>4316</v>
      </c>
      <c r="E74" s="219" t="s">
        <v>3559</v>
      </c>
      <c r="F74" s="8" t="s">
        <v>433</v>
      </c>
      <c r="G74" s="8" t="s">
        <v>69</v>
      </c>
      <c r="H74" s="78" t="s">
        <v>4317</v>
      </c>
      <c r="I74" s="43">
        <f>IF(SUM(Q74:BA74)=0,"-",SUM(Q74:BA74))</f>
        <v>60</v>
      </c>
      <c r="J74" s="52">
        <f>IF(SUMPRODUCT($Q$3:$BA$3,Q74:BA74)=0,"-",SUMPRODUCT($Q$3:$BA$3,Q74:BA74))</f>
        <v>3585</v>
      </c>
      <c r="K74" s="98" t="s">
        <v>4318</v>
      </c>
      <c r="L74" s="308" t="s">
        <v>481</v>
      </c>
      <c r="M74" s="81">
        <v>4300175885</v>
      </c>
      <c r="N74" s="81" t="s">
        <v>249</v>
      </c>
      <c r="O74" s="81" t="s">
        <v>4319</v>
      </c>
      <c r="P74" s="391" t="s">
        <v>3076</v>
      </c>
      <c r="Q74" s="7">
        <v>1</v>
      </c>
      <c r="R74" s="8">
        <v>30</v>
      </c>
      <c r="S74" s="8">
        <v>2</v>
      </c>
      <c r="T74" s="8">
        <v>1</v>
      </c>
      <c r="X74" s="7">
        <v>1</v>
      </c>
      <c r="Y74" s="8">
        <v>8</v>
      </c>
      <c r="Z74" s="8">
        <v>1</v>
      </c>
      <c r="AN74" s="7">
        <v>16</v>
      </c>
    </row>
    <row r="75" spans="1:51">
      <c r="A75" s="5" t="s">
        <v>220</v>
      </c>
      <c r="B75" s="5" t="s">
        <v>3211</v>
      </c>
      <c r="C75" s="103">
        <v>46066</v>
      </c>
      <c r="D75" s="55" t="s">
        <v>4320</v>
      </c>
      <c r="E75" s="5" t="s">
        <v>4295</v>
      </c>
      <c r="F75" s="29" t="s">
        <v>223</v>
      </c>
      <c r="G75" s="8" t="s">
        <v>130</v>
      </c>
      <c r="H75" s="30" t="s">
        <v>4321</v>
      </c>
      <c r="I75" s="43">
        <f>IF(SUM(Q75:BA75)=0,"-",SUM(Q75:BA75))</f>
        <v>4</v>
      </c>
      <c r="J75" s="62">
        <f>IF(SUMPRODUCT($Q$3:$BA$3,Q75:BA75)=0,"-",SUMPRODUCT($Q$3:$BA$3,Q75:BA75))</f>
        <v>1000</v>
      </c>
      <c r="K75" s="98" t="s">
        <v>4322</v>
      </c>
      <c r="L75" s="308" t="s">
        <v>481</v>
      </c>
      <c r="M75" s="81">
        <v>4300176653</v>
      </c>
      <c r="N75" s="81" t="s">
        <v>249</v>
      </c>
      <c r="O75" s="81" t="s">
        <v>4298</v>
      </c>
      <c r="P75" s="391" t="s">
        <v>4299</v>
      </c>
      <c r="AA75" s="8">
        <v>4</v>
      </c>
    </row>
    <row r="76" spans="1:51">
      <c r="A76" s="5" t="s">
        <v>220</v>
      </c>
      <c r="B76" s="5" t="s">
        <v>3211</v>
      </c>
      <c r="C76" s="103">
        <v>46042</v>
      </c>
      <c r="D76" s="480" t="s">
        <v>4323</v>
      </c>
      <c r="E76" s="5" t="s">
        <v>4283</v>
      </c>
      <c r="F76" s="29" t="s">
        <v>223</v>
      </c>
      <c r="G76" s="8" t="s">
        <v>69</v>
      </c>
      <c r="I76" s="8" t="s">
        <v>481</v>
      </c>
      <c r="J76" s="481">
        <v>219</v>
      </c>
      <c r="K76" s="81"/>
      <c r="L76" s="308" t="s">
        <v>481</v>
      </c>
      <c r="M76" s="81">
        <v>4300168221</v>
      </c>
      <c r="N76" s="81" t="s">
        <v>249</v>
      </c>
      <c r="O76" s="81" t="s">
        <v>4324</v>
      </c>
      <c r="P76" s="391" t="s">
        <v>2917</v>
      </c>
    </row>
    <row r="77" spans="1:51">
      <c r="A77" s="5" t="s">
        <v>220</v>
      </c>
      <c r="B77" s="5" t="s">
        <v>3211</v>
      </c>
      <c r="C77" s="103">
        <v>46072</v>
      </c>
      <c r="D77" s="55" t="s">
        <v>4325</v>
      </c>
      <c r="E77" s="5" t="s">
        <v>4295</v>
      </c>
      <c r="F77" s="8" t="s">
        <v>433</v>
      </c>
      <c r="G77" s="8" t="s">
        <v>4149</v>
      </c>
      <c r="H77" s="78" t="s">
        <v>4296</v>
      </c>
      <c r="I77" s="8" t="s">
        <v>481</v>
      </c>
      <c r="J77" s="62" t="str">
        <f>IF(SUMPRODUCT($Q$3:$BA$3,Q77:BA77)=0,"-",SUMPRODUCT($Q$3:$BA$3,Q77:BA77))</f>
        <v>-</v>
      </c>
    </row>
    <row r="78" spans="1:51">
      <c r="A78" s="5" t="s">
        <v>220</v>
      </c>
      <c r="B78" s="5" t="s">
        <v>4241</v>
      </c>
      <c r="C78" s="103">
        <v>46084</v>
      </c>
      <c r="D78" s="55" t="s">
        <v>4326</v>
      </c>
      <c r="E78" s="5" t="s">
        <v>3568</v>
      </c>
      <c r="F78" s="29" t="s">
        <v>223</v>
      </c>
      <c r="G78" s="8" t="s">
        <v>69</v>
      </c>
      <c r="H78" s="78" t="s">
        <v>4327</v>
      </c>
      <c r="I78" s="43">
        <f>IF(SUM(Q78:BA78)=0,"-",SUM(Q78:BA78))</f>
        <v>34</v>
      </c>
      <c r="J78" s="62">
        <f>IF(SUMPRODUCT($Q$3:$BA$3,Q78:BA78)=0,"-",SUMPRODUCT($Q$3:$BA$3,Q78:BA78))</f>
        <v>1350</v>
      </c>
      <c r="K78" s="98" t="s">
        <v>4328</v>
      </c>
      <c r="L78" s="450" t="s">
        <v>481</v>
      </c>
      <c r="M78" s="166"/>
      <c r="N78" s="166"/>
      <c r="O78" s="166"/>
      <c r="P78" s="359"/>
      <c r="R78" s="8">
        <v>2</v>
      </c>
      <c r="Y78" s="8">
        <v>32</v>
      </c>
    </row>
    <row r="79" spans="1:51">
      <c r="A79" s="5" t="s">
        <v>220</v>
      </c>
      <c r="B79" s="5" t="s">
        <v>3211</v>
      </c>
      <c r="C79" s="103">
        <v>46091</v>
      </c>
      <c r="D79" s="55" t="s">
        <v>4329</v>
      </c>
      <c r="E79" s="5" t="s">
        <v>4283</v>
      </c>
      <c r="F79" s="8" t="s">
        <v>433</v>
      </c>
      <c r="G79" s="8" t="s">
        <v>69</v>
      </c>
      <c r="H79" s="78" t="s">
        <v>4330</v>
      </c>
      <c r="I79" s="43">
        <f>IF(SUM(Q79:BA79)=0,"-",SUM(Q79:BA79))</f>
        <v>12</v>
      </c>
      <c r="J79" s="62">
        <f>IF(SUMPRODUCT($Q$3:$BA$3,Q79:BA79)=0,"-",SUMPRODUCT($Q$3:$BA$3,Q79:BA79))</f>
        <v>815</v>
      </c>
      <c r="Q79" s="7">
        <v>1</v>
      </c>
      <c r="R79" s="8">
        <v>5</v>
      </c>
      <c r="S79" s="8">
        <v>1</v>
      </c>
      <c r="T79" s="8">
        <v>5</v>
      </c>
    </row>
    <row r="80" spans="1:51">
      <c r="A80" s="5" t="s">
        <v>220</v>
      </c>
      <c r="B80" s="5" t="s">
        <v>3211</v>
      </c>
      <c r="C80" s="103">
        <v>46101</v>
      </c>
      <c r="D80" s="55" t="s">
        <v>4331</v>
      </c>
      <c r="E80" s="219" t="s">
        <v>3559</v>
      </c>
      <c r="F80" s="8" t="s">
        <v>433</v>
      </c>
      <c r="G80" s="8" t="s">
        <v>69</v>
      </c>
      <c r="H80" s="78" t="s">
        <v>4332</v>
      </c>
      <c r="I80" s="43">
        <f>IF(SUM(Q80:BA80)=0,"-",SUM(Q80:BA80))</f>
        <v>7</v>
      </c>
      <c r="J80" s="62">
        <f>IF(SUMPRODUCT($Q$3:$BA$3,Q80:BA80)=0,"-",SUMPRODUCT($Q$3:$BA$3,Q80:BA80))</f>
        <v>740</v>
      </c>
      <c r="AN80" s="7">
        <v>6</v>
      </c>
      <c r="AP80" s="8">
        <v>1</v>
      </c>
    </row>
    <row r="90" spans="11:11">
      <c r="K90" s="479"/>
    </row>
  </sheetData>
  <autoFilter ref="A1:BA80" xr:uid="{FFD29439-EFD6-4C01-84B6-12179EA2DE6D}"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3" showButton="0"/>
    <filterColumn colId="34" showButton="0"/>
    <filterColumn colId="35" showButton="0"/>
    <filterColumn colId="36" showButton="0"/>
    <filterColumn colId="37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6" showButton="0"/>
    <filterColumn colId="48" showButton="0"/>
    <filterColumn colId="50" showButton="0"/>
    <filterColumn colId="51" showButton="0"/>
  </autoFilter>
  <mergeCells count="9">
    <mergeCell ref="AW1:AX1"/>
    <mergeCell ref="AY1:BA1"/>
    <mergeCell ref="AN1:AT1"/>
    <mergeCell ref="AU1:AV1"/>
    <mergeCell ref="A2:D2"/>
    <mergeCell ref="E2:N2"/>
    <mergeCell ref="Q1:W1"/>
    <mergeCell ref="X1:AF1"/>
    <mergeCell ref="AH1:AM1"/>
  </mergeCells>
  <hyperlinks>
    <hyperlink ref="H4" r:id="rId1" xr:uid="{8BE07CD1-F5D1-459C-A993-93097CBAAF56}"/>
    <hyperlink ref="H5" r:id="rId2" xr:uid="{472B5EEE-4E15-468B-84F1-683A91B61325}"/>
    <hyperlink ref="H6" r:id="rId3" xr:uid="{26B51806-5AFE-406A-999F-AE1170D17AC1}"/>
    <hyperlink ref="H7" r:id="rId4" xr:uid="{C5F00582-035E-4FD3-AB41-ACF20DD22A00}"/>
    <hyperlink ref="H12" r:id="rId5" xr:uid="{E5EB262A-A544-4DC4-9A28-2D282B723464}"/>
    <hyperlink ref="H13" r:id="rId6" xr:uid="{1EB7A5F1-F9D5-43BC-9FFD-000A67EC2020}"/>
    <hyperlink ref="H8" r:id="rId7" xr:uid="{450BDC11-9A66-4380-80AE-9CF8DAE8EDFD}"/>
    <hyperlink ref="H10" r:id="rId8" xr:uid="{BA5BD8A0-254A-40A9-A470-9C3DE885D4C7}"/>
    <hyperlink ref="H14" r:id="rId9" xr:uid="{5EF02DAE-65AA-4D86-934A-CC2CA4ECCD6E}"/>
    <hyperlink ref="H15" r:id="rId10" xr:uid="{DFE193AA-5583-49AC-9123-1321B9CA452A}"/>
    <hyperlink ref="H17" r:id="rId11" xr:uid="{4055B04F-222E-49EE-8A1A-603560EE767D}"/>
    <hyperlink ref="H18" r:id="rId12" xr:uid="{FBD05985-3D6D-418E-8723-B550882D5F30}"/>
    <hyperlink ref="H57" r:id="rId13" xr:uid="{24F9DB80-8F47-4BF7-A42D-038510F14651}"/>
    <hyperlink ref="H58" r:id="rId14" xr:uid="{1E031237-7E5E-4348-AE1F-DAA375DCE0BD}"/>
    <hyperlink ref="H23" r:id="rId15" xr:uid="{5ABAD6C6-35EA-49B3-93BD-E84A1F64B9B8}"/>
    <hyperlink ref="H21" r:id="rId16" xr:uid="{18348792-A217-434E-98F8-25E4AA493D4B}"/>
    <hyperlink ref="H22" r:id="rId17" xr:uid="{861295B5-E20D-4E75-8B87-9B0C413D4431}"/>
    <hyperlink ref="H24" r:id="rId18" xr:uid="{0187A173-080B-443A-9630-401BA0E16663}"/>
    <hyperlink ref="H26" r:id="rId19" xr:uid="{A1BB9EAA-6D86-4E67-8AEE-9F7BC189112A}"/>
    <hyperlink ref="H27" r:id="rId20" xr:uid="{E7D58D52-40C6-4175-B15E-A6C8AE744743}"/>
    <hyperlink ref="H28" r:id="rId21" xr:uid="{D7A624F7-A294-49C8-A15B-02EBE773D1AC}"/>
    <hyperlink ref="H29" r:id="rId22" xr:uid="{0B5C607D-E529-4375-9138-ADBBF0BEAEE2}"/>
    <hyperlink ref="K29" r:id="rId23" xr:uid="{58742689-5104-4C71-A57A-DD5B5CEF2A85}"/>
    <hyperlink ref="K28" r:id="rId24" xr:uid="{CE9190D4-5F1C-4EF7-B1B1-FEDD24D2C7B9}"/>
    <hyperlink ref="H30" r:id="rId25" xr:uid="{CB54B571-740F-4780-8E44-0200189484C1}"/>
    <hyperlink ref="H32" r:id="rId26" xr:uid="{A205CDB7-59ED-40D3-9E6F-DA873562D3AB}"/>
    <hyperlink ref="H33" r:id="rId27" xr:uid="{4379543B-6FB1-4337-BCED-30DD8FE84DBD}"/>
    <hyperlink ref="H34" r:id="rId28" xr:uid="{16FCEDC8-7D3D-44E1-B580-6371891EF91B}"/>
    <hyperlink ref="K34" r:id="rId29" xr:uid="{1745196F-47C5-43C2-BA20-34559B132F60}"/>
    <hyperlink ref="H35" r:id="rId30" xr:uid="{A6D6CCA8-5F45-4AF4-98D9-B4CB86A48CDA}"/>
    <hyperlink ref="K33" r:id="rId31" xr:uid="{3499CAF7-671F-48FE-AA63-A3A11AA39627}"/>
    <hyperlink ref="K35" r:id="rId32" xr:uid="{3B11FDA9-2672-4783-9F68-071B6F1D531A}"/>
    <hyperlink ref="K36" r:id="rId33" xr:uid="{CAFFA5C8-53FF-4F74-8A70-1BB4AE1DA2FB}"/>
    <hyperlink ref="H36" r:id="rId34" xr:uid="{9DA942E9-D119-44CC-9F87-83EEA85C8C23}"/>
    <hyperlink ref="H37" r:id="rId35" xr:uid="{0A4FED9C-CB1F-4C86-95D6-3D2F3ED521F5}"/>
    <hyperlink ref="H38" r:id="rId36" xr:uid="{0DB2CCE9-56C1-4B92-AABD-010A7FE3724E}"/>
    <hyperlink ref="H39" r:id="rId37" xr:uid="{7BC6E0B4-0D93-496A-98DF-BB5EBB2768E4}"/>
    <hyperlink ref="H40" r:id="rId38" xr:uid="{76A369F8-B88C-47F0-8B35-E6F241362B2B}"/>
    <hyperlink ref="H41" r:id="rId39" xr:uid="{30DDF8A4-D6EA-4786-ABD3-375B006EFFB3}"/>
    <hyperlink ref="K40" r:id="rId40" xr:uid="{834FB0CA-F2A4-4CE6-8883-44A031FB3506}"/>
    <hyperlink ref="K39" r:id="rId41" xr:uid="{A158D17A-48E6-4E51-AD77-4FB3CBB654DC}"/>
    <hyperlink ref="K37" r:id="rId42" xr:uid="{8CBF031B-DE57-4CD2-8F9E-13C5415D6360}"/>
    <hyperlink ref="K38" r:id="rId43" xr:uid="{9E6ADB75-DD50-4142-B8BD-435F37EFD7A3}"/>
    <hyperlink ref="K41" r:id="rId44" xr:uid="{283B70D8-C267-4781-874F-53E8122CDC64}"/>
    <hyperlink ref="H43" r:id="rId45" xr:uid="{D5E4BEFC-6126-41AA-B496-AE6BEB45BC29}"/>
    <hyperlink ref="K43" r:id="rId46" xr:uid="{28FAD639-A68B-4F98-B5A4-02D95174D538}"/>
    <hyperlink ref="H44" r:id="rId47" xr:uid="{DB205F05-2FD6-4ECE-8AAF-CA52E3A4A5C5}"/>
    <hyperlink ref="K44" r:id="rId48" xr:uid="{C09B0494-C4B3-4F04-AB90-3C86F84BD39A}"/>
    <hyperlink ref="K45" r:id="rId49" xr:uid="{0F18DC70-C08C-45F6-9B98-8FC197CDAE77}"/>
    <hyperlink ref="H45" r:id="rId50" xr:uid="{C0B376AA-D17B-4BC7-B9AB-2B98C1284B9B}"/>
    <hyperlink ref="H46" r:id="rId51" xr:uid="{F3D55749-8054-46DC-82D0-10F2BC0914F5}"/>
    <hyperlink ref="K46" r:id="rId52" xr:uid="{3B13C266-29CE-4F88-B703-D4E9B33681DC}"/>
    <hyperlink ref="H47" r:id="rId53" xr:uid="{A69C90EF-6B11-4153-A30C-8AFF564D6819}"/>
    <hyperlink ref="K47" r:id="rId54" xr:uid="{10A39F5C-014E-4E9C-9F1F-A351929498EF}"/>
    <hyperlink ref="H48" r:id="rId55" xr:uid="{0E91D8A3-67EE-4796-93BC-029315B13565}"/>
    <hyperlink ref="H49" r:id="rId56" xr:uid="{70FB6DE0-3AB1-486F-9F01-FBD65AEA4455}"/>
    <hyperlink ref="H50" r:id="rId57" xr:uid="{754BE506-4504-4053-A380-2D782C32369C}"/>
    <hyperlink ref="K48" r:id="rId58" xr:uid="{5AC26CDE-0C57-444A-9126-1A625A9518EA}"/>
    <hyperlink ref="K49" r:id="rId59" xr:uid="{BC0920E3-537F-4678-B4E1-106DD77AE29A}"/>
    <hyperlink ref="H51" r:id="rId60" xr:uid="{1DBFBF2D-5C35-4196-A211-3466D36F4984}"/>
    <hyperlink ref="H52" r:id="rId61" xr:uid="{3E54236E-EDFA-40F1-8DDB-581A75388BA8}"/>
    <hyperlink ref="K51" r:id="rId62" xr:uid="{1595E70F-02FC-4061-8A95-D2DB519AD2A4}"/>
    <hyperlink ref="K50" r:id="rId63" xr:uid="{2C5E1A86-5719-49A7-AEA2-568A83A503B0}"/>
    <hyperlink ref="H42" r:id="rId64" xr:uid="{57B88FDB-3D52-45D5-848D-0DB3D7884B3C}"/>
    <hyperlink ref="K42" r:id="rId65" xr:uid="{F70280CA-534E-4641-AB74-366D8D9C03C4}"/>
    <hyperlink ref="H55" r:id="rId66" xr:uid="{3A032F24-C932-4B17-8299-87D34DC0C8EF}"/>
    <hyperlink ref="H56" r:id="rId67" xr:uid="{85C2F615-827F-4015-AF7A-C37F9968A179}"/>
    <hyperlink ref="H54" r:id="rId68" xr:uid="{B913ECD9-232E-4BF5-B2B5-DBF1A1905F14}"/>
    <hyperlink ref="H53" r:id="rId69" xr:uid="{1317B144-53FB-4EFA-9211-DAE7E7EB74F3}"/>
    <hyperlink ref="K52" r:id="rId70" xr:uid="{8295029A-EBF1-4BDF-9228-7F435C7A1E74}"/>
    <hyperlink ref="K53" r:id="rId71" xr:uid="{E82F3980-41FE-4141-8A8A-0FA0B39A4E62}"/>
    <hyperlink ref="H59" r:id="rId72" xr:uid="{D630A52F-D73C-4446-99AC-78689AD71644}"/>
    <hyperlink ref="K55" r:id="rId73" xr:uid="{748A9969-3F53-40CB-9D2B-56BC7592CF6C}"/>
    <hyperlink ref="K54" r:id="rId74" xr:uid="{9302A71E-6F82-4AD4-8B34-F796086CF8E1}"/>
    <hyperlink ref="K59" r:id="rId75" xr:uid="{87321C86-33E0-4FAD-AA18-46684B2D4660}"/>
    <hyperlink ref="K56" r:id="rId76" xr:uid="{8A63296E-5E29-448E-A8F0-5F2471469E2B}"/>
    <hyperlink ref="H60" r:id="rId77" xr:uid="{262C640E-9F21-4626-9C1C-E8D5A0205229}"/>
    <hyperlink ref="H61" r:id="rId78" xr:uid="{910B27BE-AA17-45BB-9931-E108DA655600}"/>
    <hyperlink ref="K61" r:id="rId79" xr:uid="{13D94652-16F5-4374-8797-859A9E65762D}"/>
    <hyperlink ref="K60" r:id="rId80" xr:uid="{E772600C-4B2A-4120-B180-4A6B0FA84270}"/>
    <hyperlink ref="K62" r:id="rId81" xr:uid="{C8626DB1-22C8-4E3A-810D-D1102AF45658}"/>
    <hyperlink ref="K63" r:id="rId82" xr:uid="{05176F49-1800-453C-9A3F-3C8728ED71A1}"/>
    <hyperlink ref="H64" r:id="rId83" xr:uid="{B2516C16-B025-40D8-9035-D8359E86C114}"/>
    <hyperlink ref="K64" r:id="rId84" xr:uid="{F5FB712D-820C-4BB2-AAF6-FECA0D11FD18}"/>
    <hyperlink ref="H65" r:id="rId85" xr:uid="{3E7352E4-CDE6-477C-8C06-7F4F8BCD536B}"/>
    <hyperlink ref="H66" r:id="rId86" xr:uid="{63A81CF0-BEFB-422E-9E10-C44D7C570344}"/>
    <hyperlink ref="H67" r:id="rId87" xr:uid="{8FF4B3F3-10E2-445C-92CA-CD03C66160E6}"/>
    <hyperlink ref="K65" r:id="rId88" xr:uid="{3EE18E70-0958-4508-8B8F-40C745F58226}"/>
    <hyperlink ref="K66" r:id="rId89" xr:uid="{817356B1-AC47-4366-86F4-0BAB7CA0CEBB}"/>
    <hyperlink ref="H68" r:id="rId90" xr:uid="{8BFD603D-2D24-4767-B6BF-E5C20483DE8A}"/>
    <hyperlink ref="K72" r:id="rId91" xr:uid="{B1D12784-C043-459A-B6BF-2B4A18D8E55B}"/>
    <hyperlink ref="K73" r:id="rId92" xr:uid="{0BCBF4A5-A7BA-44C4-9CD5-00B4A0A4AF9A}"/>
    <hyperlink ref="H69" r:id="rId93" xr:uid="{62FDD44C-8B20-4357-890F-B494630E3878}"/>
    <hyperlink ref="K69" r:id="rId94" xr:uid="{B69675E0-6498-4908-9C92-DBCA847CD30C}"/>
    <hyperlink ref="K68" r:id="rId95" xr:uid="{28155883-EF10-471C-A4DF-AC6A69DD27FF}"/>
    <hyperlink ref="K70" r:id="rId96" xr:uid="{54A2BE24-2D90-4F66-99F2-006720B77133}"/>
    <hyperlink ref="H74" r:id="rId97" xr:uid="{A41DCE64-6D06-4B30-9412-B5398BD0167A}"/>
    <hyperlink ref="H75" r:id="rId98" xr:uid="{8FD25224-4ECD-4838-B367-25D9E0BC3BB4}"/>
    <hyperlink ref="K67" r:id="rId99" xr:uid="{6598AA57-44EC-4C5F-B9AE-7A69D8B66DCC}"/>
    <hyperlink ref="K75" r:id="rId100" xr:uid="{0D75233F-C2B7-44B7-AFEA-352733871550}"/>
    <hyperlink ref="H77" r:id="rId101" xr:uid="{C51015B7-5EBD-435A-8D69-8D3EA3CA26D4}"/>
    <hyperlink ref="H78" r:id="rId102" xr:uid="{2359E9FE-1341-40AE-9E2F-AD664E68F1F2}"/>
    <hyperlink ref="H79" r:id="rId103" xr:uid="{C5B58AA9-A45B-4481-B097-BBDDE208CB66}"/>
    <hyperlink ref="K74" r:id="rId104" xr:uid="{E8BEAE2C-623C-47C1-B9C7-0499D7313D2B}"/>
    <hyperlink ref="K78" r:id="rId105" xr:uid="{816406F7-8F69-4AE0-8F3C-0E578183CDAC}"/>
    <hyperlink ref="H80" r:id="rId106" xr:uid="{8CCD6574-E56E-4179-AB8C-0C9B3D0DE35A}"/>
  </hyperlinks>
  <pageMargins left="0.7" right="0.7" top="0.75" bottom="0.75" header="0.3" footer="0.3"/>
  <pageSetup paperSize="9" orientation="portrait"/>
  <legacyDrawing r:id="rId107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C1ED-D7C6-4512-9E95-CE5FFF521ACE}">
  <dimension ref="A1:J30"/>
  <sheetViews>
    <sheetView workbookViewId="0">
      <selection activeCell="D22" sqref="D22"/>
    </sheetView>
  </sheetViews>
  <sheetFormatPr defaultRowHeight="15"/>
  <cols>
    <col min="1" max="1" width="18.85546875" bestFit="1" customWidth="1"/>
    <col min="2" max="2" width="24.85546875" bestFit="1" customWidth="1"/>
    <col min="4" max="4" width="19.7109375" customWidth="1"/>
  </cols>
  <sheetData>
    <row r="1" spans="1:5" s="2" customFormat="1">
      <c r="A1" s="2" t="s">
        <v>4333</v>
      </c>
      <c r="D1" s="5" t="s">
        <v>26</v>
      </c>
      <c r="E1" s="2" t="s">
        <v>30</v>
      </c>
    </row>
    <row r="2" spans="1:5">
      <c r="A2" t="s">
        <v>130</v>
      </c>
      <c r="B2" t="s">
        <v>130</v>
      </c>
      <c r="D2" s="5" t="s">
        <v>1699</v>
      </c>
      <c r="E2" t="s">
        <v>34</v>
      </c>
    </row>
    <row r="3" spans="1:5">
      <c r="A3" t="s">
        <v>95</v>
      </c>
      <c r="B3" t="s">
        <v>4334</v>
      </c>
      <c r="D3" s="5" t="s">
        <v>36</v>
      </c>
      <c r="E3" t="s">
        <v>34</v>
      </c>
    </row>
    <row r="4" spans="1:5">
      <c r="A4" t="s">
        <v>129</v>
      </c>
      <c r="B4" t="s">
        <v>4335</v>
      </c>
      <c r="D4" s="5" t="s">
        <v>4336</v>
      </c>
      <c r="E4" t="s">
        <v>34</v>
      </c>
    </row>
    <row r="5" spans="1:5">
      <c r="A5" t="s">
        <v>93</v>
      </c>
      <c r="B5" t="s">
        <v>4337</v>
      </c>
      <c r="D5" t="s">
        <v>37</v>
      </c>
      <c r="E5" t="s">
        <v>34</v>
      </c>
    </row>
    <row r="6" spans="1:5">
      <c r="A6" t="s">
        <v>69</v>
      </c>
      <c r="B6" t="s">
        <v>4338</v>
      </c>
      <c r="D6" s="5" t="s">
        <v>38</v>
      </c>
      <c r="E6" t="s">
        <v>34</v>
      </c>
    </row>
    <row r="7" spans="1:5">
      <c r="D7" s="5" t="s">
        <v>43</v>
      </c>
      <c r="E7" t="s">
        <v>34</v>
      </c>
    </row>
    <row r="8" spans="1:5">
      <c r="A8" s="2" t="s">
        <v>30</v>
      </c>
      <c r="B8" s="2"/>
      <c r="D8" s="5" t="s">
        <v>1787</v>
      </c>
      <c r="E8" t="s">
        <v>34</v>
      </c>
    </row>
    <row r="9" spans="1:5">
      <c r="A9" t="s">
        <v>26</v>
      </c>
      <c r="B9" t="s">
        <v>30</v>
      </c>
      <c r="D9" s="5" t="s">
        <v>27</v>
      </c>
      <c r="E9" t="s">
        <v>34</v>
      </c>
    </row>
    <row r="10" spans="1:5">
      <c r="A10" t="s">
        <v>32</v>
      </c>
      <c r="B10" t="s">
        <v>30</v>
      </c>
      <c r="D10" t="s">
        <v>46</v>
      </c>
      <c r="E10" t="s">
        <v>34</v>
      </c>
    </row>
    <row r="11" spans="1:5">
      <c r="A11" s="378" t="s">
        <v>242</v>
      </c>
      <c r="B11" s="378" t="s">
        <v>30</v>
      </c>
      <c r="D11" s="156" t="s">
        <v>3139</v>
      </c>
      <c r="E11" t="s">
        <v>34</v>
      </c>
    </row>
    <row r="12" spans="1:5">
      <c r="A12" s="378" t="s">
        <v>230</v>
      </c>
      <c r="B12" s="378" t="s">
        <v>30</v>
      </c>
      <c r="D12" s="5" t="s">
        <v>1955</v>
      </c>
      <c r="E12" t="s">
        <v>34</v>
      </c>
    </row>
    <row r="13" spans="1:5">
      <c r="A13" t="s">
        <v>33</v>
      </c>
      <c r="B13" t="s">
        <v>30</v>
      </c>
      <c r="D13" s="5" t="s">
        <v>1968</v>
      </c>
      <c r="E13" t="s">
        <v>34</v>
      </c>
    </row>
    <row r="14" spans="1:5">
      <c r="A14" s="378" t="s">
        <v>385</v>
      </c>
      <c r="B14" s="378" t="s">
        <v>30</v>
      </c>
      <c r="D14" s="5" t="s">
        <v>764</v>
      </c>
      <c r="E14" t="s">
        <v>34</v>
      </c>
    </row>
    <row r="15" spans="1:5">
      <c r="A15" t="s">
        <v>4339</v>
      </c>
      <c r="D15" s="5" t="s">
        <v>47</v>
      </c>
      <c r="E15" t="s">
        <v>34</v>
      </c>
    </row>
    <row r="16" spans="1:5">
      <c r="A16" t="s">
        <v>4340</v>
      </c>
      <c r="D16" t="s">
        <v>2304</v>
      </c>
      <c r="E16" t="s">
        <v>34</v>
      </c>
    </row>
    <row r="17" spans="1:10">
      <c r="D17" s="5" t="s">
        <v>2377</v>
      </c>
      <c r="E17" s="2" t="s">
        <v>30</v>
      </c>
    </row>
    <row r="19" spans="1:10">
      <c r="A19" t="s">
        <v>4341</v>
      </c>
    </row>
    <row r="20" spans="1:10">
      <c r="A20" t="s">
        <v>4342</v>
      </c>
    </row>
    <row r="21" spans="1:10">
      <c r="A21" t="s">
        <v>4343</v>
      </c>
    </row>
    <row r="22" spans="1:10">
      <c r="A22" t="s">
        <v>4344</v>
      </c>
      <c r="B22" t="s">
        <v>4345</v>
      </c>
    </row>
    <row r="23" spans="1:10">
      <c r="B23" t="s">
        <v>4346</v>
      </c>
    </row>
    <row r="28" spans="1:10">
      <c r="A28" t="s">
        <v>4347</v>
      </c>
      <c r="J28" s="5"/>
    </row>
    <row r="29" spans="1:10">
      <c r="A29" t="s">
        <v>4348</v>
      </c>
      <c r="J29" s="5"/>
    </row>
    <row r="30" spans="1:10">
      <c r="J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Emmanuel Gomez</cp:lastModifiedBy>
  <cp:revision/>
  <dcterms:created xsi:type="dcterms:W3CDTF">2022-11-16T23:06:46Z</dcterms:created>
  <dcterms:modified xsi:type="dcterms:W3CDTF">2026-03-26T15:15:16Z</dcterms:modified>
  <cp:category/>
  <cp:contentStatus/>
</cp:coreProperties>
</file>