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IssaTh\OneDrive - Sony\Desktop\"/>
    </mc:Choice>
  </mc:AlternateContent>
  <xr:revisionPtr revIDLastSave="10335" documentId="13_ncr:1_{FAB3418C-8374-49D2-94FF-511BBB293066}" xr6:coauthVersionLast="47" xr6:coauthVersionMax="47" xr10:uidLastSave="{4D272EAF-40A2-401A-B830-26F0CC8BD60A}"/>
  <bookViews>
    <workbookView xWindow="-108" yWindow="-108" windowWidth="23256" windowHeight="12576" firstSheet="6" activeTab="6" xr2:uid="{527DF874-B38F-4222-8A80-3894DDAA6752}"/>
  </bookViews>
  <sheets>
    <sheet name="Overview" sheetId="12" state="hidden" r:id="rId1"/>
    <sheet name="All" sheetId="6" state="hidden" r:id="rId2"/>
    <sheet name="All projects" sheetId="11" r:id="rId3"/>
    <sheet name="ESPI" sheetId="10" state="hidden" r:id="rId4"/>
    <sheet name="Oneov" sheetId="9" state="hidden" r:id="rId5"/>
    <sheet name="Connect" sheetId="8" r:id="rId6"/>
    <sheet name="ProcessOut" sheetId="7" r:id="rId7"/>
  </sheets>
  <definedNames>
    <definedName name="_xlnm._FilterDatabase" localSheetId="5" hidden="1">Connect!$E$13:$E$13</definedName>
    <definedName name="_xlnm._FilterDatabase" localSheetId="6" hidden="1">ProcessOut!$A$3:$BD$3</definedName>
    <definedName name="_xlnm._FilterDatabase" localSheetId="1" hidden="1">All!$A$2:$CQ$85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2" l="1"/>
  <c r="C7" i="12"/>
  <c r="D7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B21" i="12"/>
  <c r="C21" i="12"/>
  <c r="D21" i="12"/>
  <c r="E21" i="12"/>
  <c r="F21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B15" i="12"/>
  <c r="C15" i="12"/>
  <c r="D15" i="12"/>
  <c r="E15" i="12"/>
  <c r="F15" i="12"/>
  <c r="G15" i="12"/>
  <c r="H15" i="12"/>
  <c r="I15" i="12"/>
  <c r="J15" i="12"/>
  <c r="K15" i="12"/>
  <c r="L15" i="12"/>
  <c r="M15" i="12"/>
  <c r="N15" i="12"/>
  <c r="O15" i="12"/>
  <c r="P15" i="12"/>
  <c r="Q15" i="12"/>
  <c r="R15" i="12"/>
  <c r="S15" i="12"/>
  <c r="T15" i="12"/>
  <c r="U15" i="12"/>
  <c r="B14" i="12"/>
  <c r="C14" i="12"/>
  <c r="D14" i="12"/>
  <c r="E14" i="12"/>
  <c r="F14" i="12"/>
  <c r="G14" i="12"/>
  <c r="H14" i="12"/>
  <c r="I14" i="12"/>
  <c r="J14" i="12"/>
  <c r="K14" i="12"/>
  <c r="L14" i="12"/>
  <c r="M14" i="12"/>
  <c r="N14" i="12"/>
  <c r="O14" i="12"/>
  <c r="P14" i="12"/>
  <c r="Q14" i="12"/>
  <c r="R14" i="12"/>
  <c r="S14" i="12"/>
  <c r="T14" i="12"/>
  <c r="U14" i="12"/>
  <c r="B13" i="12"/>
  <c r="B17" i="12" s="1"/>
  <c r="C13" i="12"/>
  <c r="C17" i="12" s="1"/>
  <c r="D13" i="12"/>
  <c r="D17" i="12" s="1"/>
  <c r="E13" i="12"/>
  <c r="E17" i="12" s="1"/>
  <c r="F13" i="12"/>
  <c r="F17" i="12" s="1"/>
  <c r="G13" i="12"/>
  <c r="G17" i="12" s="1"/>
  <c r="H13" i="12"/>
  <c r="H17" i="12" s="1"/>
  <c r="I13" i="12"/>
  <c r="I17" i="12" s="1"/>
  <c r="J13" i="12"/>
  <c r="J17" i="12" s="1"/>
  <c r="K13" i="12"/>
  <c r="K17" i="12" s="1"/>
  <c r="L13" i="12"/>
  <c r="L17" i="12" s="1"/>
  <c r="M13" i="12"/>
  <c r="M17" i="12" s="1"/>
  <c r="N13" i="12"/>
  <c r="N17" i="12" s="1"/>
  <c r="O13" i="12"/>
  <c r="O17" i="12" s="1"/>
  <c r="P13" i="12"/>
  <c r="P17" i="12" s="1"/>
  <c r="Q13" i="12"/>
  <c r="Q17" i="12" s="1"/>
  <c r="R13" i="12"/>
  <c r="R17" i="12" s="1"/>
  <c r="S13" i="12"/>
  <c r="S17" i="12" s="1"/>
  <c r="T13" i="12"/>
  <c r="T17" i="12" s="1"/>
  <c r="U13" i="12"/>
  <c r="U17" i="12" s="1"/>
  <c r="B8" i="12"/>
  <c r="C8" i="12"/>
  <c r="D8" i="12"/>
  <c r="E8" i="12"/>
  <c r="F8" i="12"/>
  <c r="G8" i="12"/>
  <c r="H8" i="12"/>
  <c r="I8" i="12"/>
  <c r="J8" i="12"/>
  <c r="K8" i="12"/>
  <c r="L8" i="12"/>
  <c r="M8" i="12"/>
  <c r="N8" i="12"/>
  <c r="O8" i="12"/>
  <c r="P8" i="12"/>
  <c r="Q8" i="12"/>
  <c r="R8" i="12"/>
  <c r="S8" i="12"/>
  <c r="T8" i="12"/>
  <c r="U8" i="12"/>
  <c r="B6" i="12"/>
  <c r="C6" i="12"/>
  <c r="D6" i="12"/>
  <c r="E6" i="12"/>
  <c r="F6" i="12"/>
  <c r="G6" i="12"/>
  <c r="H6" i="12"/>
  <c r="I6" i="12"/>
  <c r="J6" i="12"/>
  <c r="K6" i="12"/>
  <c r="L6" i="12"/>
  <c r="M6" i="12"/>
  <c r="N6" i="12"/>
  <c r="O6" i="12"/>
  <c r="P6" i="12"/>
  <c r="Q6" i="12"/>
  <c r="R6" i="12"/>
  <c r="S6" i="12"/>
  <c r="T6" i="12"/>
  <c r="U6" i="12"/>
  <c r="B5" i="12"/>
  <c r="B9" i="12" s="1"/>
  <c r="C5" i="12"/>
  <c r="C9" i="12" s="1"/>
  <c r="D5" i="12"/>
  <c r="D9" i="12" s="1"/>
  <c r="E5" i="12"/>
  <c r="E9" i="12" s="1"/>
  <c r="F5" i="12"/>
  <c r="F9" i="12" s="1"/>
  <c r="G5" i="12"/>
  <c r="G9" i="12" s="1"/>
  <c r="H5" i="12"/>
  <c r="H9" i="12" s="1"/>
  <c r="I5" i="12"/>
  <c r="I9" i="12" s="1"/>
  <c r="J5" i="12"/>
  <c r="J9" i="12" s="1"/>
  <c r="K5" i="12"/>
  <c r="K9" i="12" s="1"/>
  <c r="L5" i="12"/>
  <c r="L9" i="12" s="1"/>
  <c r="M5" i="12"/>
  <c r="M9" i="12" s="1"/>
  <c r="N5" i="12"/>
  <c r="N9" i="12" s="1"/>
  <c r="O5" i="12"/>
  <c r="O9" i="12" s="1"/>
  <c r="P5" i="12"/>
  <c r="P9" i="12" s="1"/>
  <c r="Q5" i="12"/>
  <c r="Q9" i="12" s="1"/>
  <c r="R5" i="12"/>
  <c r="R9" i="12" s="1"/>
  <c r="S5" i="12"/>
  <c r="S9" i="12" s="1"/>
  <c r="T5" i="12"/>
  <c r="T9" i="12" s="1"/>
  <c r="U5" i="12"/>
  <c r="U9" i="12" s="1"/>
  <c r="I148" i="11"/>
  <c r="I146" i="11"/>
  <c r="I147" i="11"/>
  <c r="I101" i="11"/>
  <c r="I100" i="11"/>
  <c r="I130" i="11" s="1"/>
  <c r="I116" i="11"/>
  <c r="J11" i="8"/>
  <c r="I44" i="11"/>
  <c r="J117" i="6"/>
  <c r="J116" i="6"/>
  <c r="J123" i="6"/>
  <c r="J119" i="6"/>
  <c r="J104" i="6"/>
  <c r="I104" i="6"/>
  <c r="I100" i="6"/>
  <c r="J46" i="6"/>
  <c r="J91" i="6"/>
  <c r="J95" i="6"/>
  <c r="J96" i="6"/>
  <c r="J82" i="6"/>
  <c r="S89" i="6"/>
  <c r="J89" i="6" s="1"/>
  <c r="J77" i="6"/>
  <c r="J85" i="6"/>
  <c r="F9" i="10"/>
  <c r="G9" i="10"/>
  <c r="E9" i="10"/>
  <c r="D9" i="10"/>
  <c r="H2" i="10"/>
  <c r="H4" i="10"/>
  <c r="H5" i="10"/>
  <c r="H6" i="10"/>
  <c r="J88" i="6"/>
  <c r="J72" i="6"/>
  <c r="O18" i="9"/>
  <c r="O17" i="9"/>
  <c r="O16" i="9"/>
  <c r="O5" i="9"/>
  <c r="P5" i="9" s="1"/>
  <c r="O6" i="9"/>
  <c r="P6" i="9" s="1"/>
  <c r="O7" i="9"/>
  <c r="P7" i="9" s="1"/>
  <c r="O8" i="9"/>
  <c r="P8" i="9" s="1"/>
  <c r="O9" i="9"/>
  <c r="P9" i="9" s="1"/>
  <c r="O10" i="9"/>
  <c r="P10" i="9" s="1"/>
  <c r="O4" i="9"/>
  <c r="P4" i="9" s="1"/>
  <c r="Q10" i="7"/>
  <c r="J57" i="6"/>
  <c r="J65" i="6"/>
  <c r="J61" i="6"/>
  <c r="H9" i="9"/>
  <c r="G9" i="9"/>
  <c r="J17" i="6"/>
  <c r="Q5" i="7"/>
  <c r="Q6" i="7"/>
  <c r="Q7" i="7"/>
  <c r="Q8" i="7"/>
  <c r="Q4" i="7"/>
  <c r="I51" i="6"/>
  <c r="J41" i="6"/>
  <c r="J29" i="6"/>
  <c r="J23" i="6"/>
  <c r="I23" i="6"/>
  <c r="AQ6" i="6"/>
  <c r="AJ6" i="6"/>
  <c r="AQ5" i="6"/>
  <c r="AJ5" i="6"/>
  <c r="AK4" i="6"/>
  <c r="J4" i="6"/>
  <c r="I18" i="6"/>
  <c r="I16" i="6"/>
  <c r="I15" i="6"/>
  <c r="I13" i="6"/>
  <c r="I5" i="6"/>
  <c r="J3" i="6"/>
  <c r="I3" i="6"/>
  <c r="F20" i="12" l="1"/>
  <c r="F22" i="12" s="1"/>
  <c r="E20" i="12"/>
  <c r="E22" i="12" s="1"/>
  <c r="D20" i="12"/>
  <c r="D22" i="12" s="1"/>
  <c r="C20" i="12"/>
  <c r="C22" i="12" s="1"/>
  <c r="B20" i="12"/>
  <c r="B22" i="12" s="1"/>
  <c r="H9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tc={467CFE05-0DEE-44C7-B442-C973F0773A3E}</author>
    <author>tc={8FB9FCD1-DFB2-4AB5-9514-0A192BAB54CF}</author>
  </authors>
  <commentList>
    <comment ref="E20" authorId="0" shapeId="0" xr:uid="{467CFE05-0DEE-44C7-B442-C973F0773A3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aseechurnduranton@francechimie.fr
</t>
      </text>
    </comment>
    <comment ref="E30" authorId="1" shapeId="0" xr:uid="{8FB9FCD1-DFB2-4AB5-9514-0A192BAB54CF}">
      <text>
        <t>[Threaded comment]
Your version of Excel allows you to read this threaded comment; however, any edits to it will get removed if the file is opened in a newer version of Excel. Learn more: https://go.microsoft.com/fwlink/?linkid=870924
Comment:
    jjudel@francechimie.fr
cferiaux@francechimie.fr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tc={A3D3058F-C227-4E09-9708-0D3384843EDD}</author>
  </authors>
  <commentList>
    <comment ref="H13" authorId="0" shapeId="0" xr:uid="{A3D3058F-C227-4E09-9708-0D3384843EDD}">
      <text>
        <t>[Threaded comment]
Your version of Excel allows you to read this threaded comment; however, any edits to it will get removed if the file is opened in a newer version of Excel. Learn more: https://go.microsoft.com/fwlink/?linkid=870924
Comment:
    Acompte de 10% à demander</t>
      </text>
    </comment>
  </commentList>
</comments>
</file>

<file path=xl/sharedStrings.xml><?xml version="1.0" encoding="utf-8"?>
<sst xmlns="http://schemas.openxmlformats.org/spreadsheetml/2006/main" count="3744" uniqueCount="846">
  <si>
    <t>Performance Dashboard — Sarani Studio</t>
  </si>
  <si>
    <t>REVENUS (€)</t>
  </si>
  <si>
    <t>Q1</t>
  </si>
  <si>
    <t>Q2</t>
  </si>
  <si>
    <t>Q3</t>
  </si>
  <si>
    <t>Q4</t>
  </si>
  <si>
    <t>All Projects</t>
  </si>
  <si>
    <t>ProcessOut</t>
  </si>
  <si>
    <t>Connect</t>
  </si>
  <si>
    <t>Oneov</t>
  </si>
  <si>
    <t>TOTAL</t>
  </si>
  <si>
    <t>NOMBRE DE PROJETS</t>
  </si>
  <si>
    <t>SYNTHÈSE ANNUELLE</t>
  </si>
  <si>
    <t>Revenus (€)</t>
  </si>
  <si>
    <t>Projets</t>
  </si>
  <si>
    <t>Rev. / Projet (€)</t>
  </si>
  <si>
    <t>Hypothèses</t>
  </si>
  <si>
    <t>Taux EUR/USD</t>
  </si>
  <si>
    <t>Project</t>
  </si>
  <si>
    <t>Details</t>
  </si>
  <si>
    <r>
      <t xml:space="preserve">Banner creation </t>
    </r>
    <r>
      <rPr>
        <i/>
        <sz val="16"/>
        <color theme="0"/>
        <rFont val="Calibri"/>
        <family val="2"/>
        <scheme val="minor"/>
      </rPr>
      <t>(static)</t>
    </r>
  </si>
  <si>
    <r>
      <t xml:space="preserve">Banner adaptation </t>
    </r>
    <r>
      <rPr>
        <i/>
        <sz val="16"/>
        <color theme="0"/>
        <rFont val="Calibri"/>
        <family val="2"/>
        <scheme val="minor"/>
      </rPr>
      <t>(static)</t>
    </r>
  </si>
  <si>
    <r>
      <t xml:space="preserve">Banner creation </t>
    </r>
    <r>
      <rPr>
        <i/>
        <sz val="16"/>
        <color theme="0"/>
        <rFont val="Calibri"/>
        <family val="2"/>
        <scheme val="minor"/>
      </rPr>
      <t>(animated)</t>
    </r>
  </si>
  <si>
    <r>
      <t xml:space="preserve">Banner adaptation </t>
    </r>
    <r>
      <rPr>
        <i/>
        <sz val="16"/>
        <color theme="0"/>
        <rFont val="Calibri"/>
        <family val="2"/>
        <scheme val="minor"/>
      </rPr>
      <t>(animated)</t>
    </r>
  </si>
  <si>
    <t>Branding pack</t>
  </si>
  <si>
    <t>Logo</t>
  </si>
  <si>
    <t>Lifestyle Picture</t>
  </si>
  <si>
    <t>Wallpapers</t>
  </si>
  <si>
    <r>
      <t xml:space="preserve">Offline creation </t>
    </r>
    <r>
      <rPr>
        <i/>
        <sz val="16"/>
        <color theme="0"/>
        <rFont val="Calibri"/>
        <family val="2"/>
        <scheme val="minor"/>
      </rPr>
      <t>(standard)</t>
    </r>
  </si>
  <si>
    <r>
      <t xml:space="preserve">Offline creation </t>
    </r>
    <r>
      <rPr>
        <i/>
        <sz val="16"/>
        <color theme="0"/>
        <rFont val="Calibri"/>
        <family val="2"/>
        <scheme val="minor"/>
      </rPr>
      <t>(adaptation)</t>
    </r>
  </si>
  <si>
    <r>
      <t xml:space="preserve">Leaflet
</t>
    </r>
    <r>
      <rPr>
        <i/>
        <sz val="16"/>
        <color theme="0"/>
        <rFont val="Calibri"/>
        <family val="2"/>
        <scheme val="minor"/>
      </rPr>
      <t>(1 page)</t>
    </r>
  </si>
  <si>
    <r>
      <t xml:space="preserve">Leaflet
</t>
    </r>
    <r>
      <rPr>
        <i/>
        <sz val="16"/>
        <color theme="0"/>
        <rFont val="Calibri"/>
        <family val="2"/>
        <scheme val="minor"/>
      </rPr>
      <t>(2 pages)</t>
    </r>
  </si>
  <si>
    <t>Roll-up / Wall creation</t>
  </si>
  <si>
    <t>Chart</t>
  </si>
  <si>
    <r>
      <t xml:space="preserve">Brochure
</t>
    </r>
    <r>
      <rPr>
        <i/>
        <sz val="16"/>
        <color theme="0"/>
        <rFont val="Calibri"/>
        <family val="2"/>
        <scheme val="minor"/>
      </rPr>
      <t>(20 pages)</t>
    </r>
  </si>
  <si>
    <t>Slide</t>
  </si>
  <si>
    <r>
      <t xml:space="preserve">Landing page </t>
    </r>
    <r>
      <rPr>
        <i/>
        <sz val="16"/>
        <color theme="0"/>
        <rFont val="Calibri"/>
        <family val="2"/>
        <scheme val="minor"/>
      </rPr>
      <t>(design only)</t>
    </r>
  </si>
  <si>
    <r>
      <t xml:space="preserve">Landing page
</t>
    </r>
    <r>
      <rPr>
        <i/>
        <sz val="16"/>
        <color theme="0"/>
        <rFont val="Calibri"/>
        <family val="2"/>
        <scheme val="minor"/>
      </rPr>
      <t>(complete)</t>
    </r>
  </si>
  <si>
    <r>
      <t xml:space="preserve">Website
</t>
    </r>
    <r>
      <rPr>
        <i/>
        <sz val="16"/>
        <color theme="0"/>
        <rFont val="Calibri"/>
        <family val="2"/>
        <scheme val="minor"/>
      </rPr>
      <t>(design only)</t>
    </r>
  </si>
  <si>
    <r>
      <t xml:space="preserve">Website
</t>
    </r>
    <r>
      <rPr>
        <i/>
        <sz val="16"/>
        <color theme="0"/>
        <rFont val="Calibri"/>
        <family val="2"/>
        <scheme val="minor"/>
      </rPr>
      <t>(complete)</t>
    </r>
  </si>
  <si>
    <t>Video Edition</t>
  </si>
  <si>
    <t>Video Subtitles</t>
  </si>
  <si>
    <r>
      <t xml:space="preserve">Social Media Video
</t>
    </r>
    <r>
      <rPr>
        <i/>
        <sz val="16"/>
        <color rgb="FFFFFFFF"/>
        <rFont val="Calibri"/>
      </rPr>
      <t>(up to 30s)</t>
    </r>
  </si>
  <si>
    <r>
      <t xml:space="preserve">Social Media Video
</t>
    </r>
    <r>
      <rPr>
        <i/>
        <sz val="16"/>
        <color rgb="FFFFFFFF"/>
        <rFont val="Calibri"/>
      </rPr>
      <t>(up to 1 min)</t>
    </r>
  </si>
  <si>
    <r>
      <t xml:space="preserve">Promotional Video
</t>
    </r>
    <r>
      <rPr>
        <i/>
        <sz val="16"/>
        <color rgb="FFFFFFFF"/>
        <rFont val="Calibri"/>
      </rPr>
      <t>(up to 1 min)</t>
    </r>
  </si>
  <si>
    <r>
      <t xml:space="preserve">2D Video 
</t>
    </r>
    <r>
      <rPr>
        <i/>
        <sz val="16"/>
        <color theme="0"/>
        <rFont val="Calibri"/>
        <family val="2"/>
        <scheme val="minor"/>
      </rPr>
      <t>(up to 3mn)</t>
    </r>
  </si>
  <si>
    <r>
      <t xml:space="preserve">3D Video 
</t>
    </r>
    <r>
      <rPr>
        <i/>
        <sz val="16"/>
        <color theme="0"/>
        <rFont val="Calibri"/>
        <family val="2"/>
        <scheme val="minor"/>
      </rPr>
      <t>(up to 3min)</t>
    </r>
  </si>
  <si>
    <t>Virtual space</t>
  </si>
  <si>
    <t>Virtual showroom</t>
  </si>
  <si>
    <r>
      <t xml:space="preserve">Translation 
</t>
    </r>
    <r>
      <rPr>
        <i/>
        <sz val="16"/>
        <color theme="0"/>
        <rFont val="Calibri"/>
        <family val="2"/>
        <scheme val="minor"/>
      </rPr>
      <t>(per word)</t>
    </r>
  </si>
  <si>
    <r>
      <t xml:space="preserve">Copywrite
</t>
    </r>
    <r>
      <rPr>
        <i/>
        <sz val="16"/>
        <color theme="0"/>
        <rFont val="Calibri"/>
        <family val="2"/>
        <scheme val="minor"/>
      </rPr>
      <t>(per word)</t>
    </r>
  </si>
  <si>
    <t>Customer</t>
  </si>
  <si>
    <t>Division</t>
  </si>
  <si>
    <t>Date</t>
  </si>
  <si>
    <t>Contact</t>
  </si>
  <si>
    <t>Status</t>
  </si>
  <si>
    <t>Category</t>
  </si>
  <si>
    <t>Link</t>
  </si>
  <si>
    <t>Assets</t>
  </si>
  <si>
    <t>Total Value</t>
  </si>
  <si>
    <t>Quote</t>
  </si>
  <si>
    <t>PO</t>
  </si>
  <si>
    <t>Invoice</t>
  </si>
  <si>
    <t>N° invoice</t>
  </si>
  <si>
    <t>Status2</t>
  </si>
  <si>
    <t>Echéance</t>
  </si>
  <si>
    <t>Colonne3</t>
  </si>
  <si>
    <t>Son-video.com</t>
  </si>
  <si>
    <t>-</t>
  </si>
  <si>
    <t>Virtual Showroom</t>
  </si>
  <si>
    <t>Hugo Lahutte</t>
  </si>
  <si>
    <t>Delivered</t>
  </si>
  <si>
    <t>France</t>
  </si>
  <si>
    <t>Sent</t>
  </si>
  <si>
    <t>F2023-0523</t>
  </si>
  <si>
    <t>Payé le 11/08/2023</t>
  </si>
  <si>
    <t>La Maison des Bienheureux</t>
  </si>
  <si>
    <t>New website</t>
  </si>
  <si>
    <t>Romain Petit</t>
  </si>
  <si>
    <t>https://b2b.sarani.studio</t>
  </si>
  <si>
    <t>F2024-0045</t>
  </si>
  <si>
    <t>Payé le 29/05/2024</t>
  </si>
  <si>
    <t>Pippacorner</t>
  </si>
  <si>
    <t>Pippacorner Branding</t>
  </si>
  <si>
    <t>Stéphane Rambaud</t>
  </si>
  <si>
    <t>https://saranistudio.sharepoint.com/:f:/s/SaraniAssets/EnbyF5acw11EjdYGvMP5nx0B0d70LzvZ1gHbTGcqlFjbGA?e=zcD1fD</t>
  </si>
  <si>
    <t>F2023-0515</t>
  </si>
  <si>
    <t>Payé le 28/07/2023</t>
  </si>
  <si>
    <t>Pippacorner Website Design</t>
  </si>
  <si>
    <t>https://saranistudio.sharepoint.com/:f:/s/SaraniAssets/ErmhsGB8kgRAuBYr4yIhwroBiQEACi2aakOTS93vHVWT1A?e=Xu2JTN</t>
  </si>
  <si>
    <t>F2023-0514</t>
  </si>
  <si>
    <t>Payée le 26/09/2023</t>
  </si>
  <si>
    <t>Pippacorner Catalogue</t>
  </si>
  <si>
    <t>https://saranistudio.sharepoint.com/:f:/s/SaraniAssets/EmRcIT6D4cxGl8o_DjWi9wcB_aDUY7-whHxFK_E3rlYFFw?e=aG6faZ</t>
  </si>
  <si>
    <t>F2023-0513</t>
  </si>
  <si>
    <t>Payée le 26/092023</t>
  </si>
  <si>
    <t>Pippacorner maquettes</t>
  </si>
  <si>
    <t>F2023-0512</t>
  </si>
  <si>
    <t>Payée le 07/11/2032</t>
  </si>
  <si>
    <t>Pippacorner Flyer</t>
  </si>
  <si>
    <t>https://saranistudio.sharepoint.com/:f:/s/SaraniAssets/EkTN4p5LGHFGhELydt5HB-oB0aFtmnCCp7LOSYR9hymHGw?e=QPJaAL</t>
  </si>
  <si>
    <t>F2023-0511</t>
  </si>
  <si>
    <t>Payée le 07/11/2023</t>
  </si>
  <si>
    <t>Pernod-Ricard</t>
  </si>
  <si>
    <t>Perrier-Jouet - CP - Menu d'hiver</t>
  </si>
  <si>
    <t>Laura Marie through Marie Caroline Selmer</t>
  </si>
  <si>
    <t>https://saranistudio.sharepoint.com/sites/SaraniAssets/Shared%20Documents/Forms/AllItems.aspx?ga=1&amp;id=%2Fsites%2FSaraniAssets%2FShared%20Documents%2F03%2E%20Customers%2F09%2E%20Pernod%20Ricard%2F01%2E%20Press%20Release&amp;viewid=2c2e4824%2D3cb1%2D4619%2Db7c6%2D219dce795204</t>
  </si>
  <si>
    <t>F2024-0038</t>
  </si>
  <si>
    <t>Payé</t>
  </si>
  <si>
    <t>Pippacorner Final website assets</t>
  </si>
  <si>
    <t>https://saranistudio.sharepoint.com/:f:/s/SaraniAssets/ElcfhiK7aLhJhiN2ZjA7EwYB_oX3cVCbpCW7693MDQnjtA?e=wHOvMb</t>
  </si>
  <si>
    <t>F2023-0236</t>
  </si>
  <si>
    <t>Payée le 7/11/2023</t>
  </si>
  <si>
    <t xml:space="preserve">Château Sainte Marguerite - CP </t>
  </si>
  <si>
    <t>F2024-0039</t>
  </si>
  <si>
    <t>Pomme de Pin</t>
  </si>
  <si>
    <t>Site web 50%</t>
  </si>
  <si>
    <t>https://saranistudio.sharepoint.com/:f:/s/SaraniAssets/EpLFm-Ryfg5LirKpuYZqX6IBW6BRaDZWa7vLEWJstShnIg?e=XkPfBa</t>
  </si>
  <si>
    <t>F2024-0029</t>
  </si>
  <si>
    <t>Payé le 30/01/2024</t>
  </si>
  <si>
    <t>PADOC</t>
  </si>
  <si>
    <t>Identité graphique</t>
  </si>
  <si>
    <t>https://saranistudio.sharepoint.com/:f:/s/SaraniAssets/EtLDGZ7rZQRCnBF0YE1t2a4B2RhNm2OEYoiy6eidCd4hAw?e=JRicjA</t>
  </si>
  <si>
    <t>F2024-0216</t>
  </si>
  <si>
    <t>Payé le 17/06/2024</t>
  </si>
  <si>
    <t>Tour &amp; taxi</t>
  </si>
  <si>
    <t>Création originale – Visuel pour impression</t>
  </si>
  <si>
    <t>Soraya Nouiyer</t>
  </si>
  <si>
    <t>23/01/2024</t>
  </si>
  <si>
    <t>F2024-0064</t>
  </si>
  <si>
    <t>Payé le 05/06/2024</t>
  </si>
  <si>
    <t>Création originale – Visuel pour publication</t>
  </si>
  <si>
    <t>Dragon Rouge</t>
  </si>
  <si>
    <t>Vidéo roullier - V2</t>
  </si>
  <si>
    <t>Cécile Mercadier</t>
  </si>
  <si>
    <t>20240902_Vidéo roullier-V2</t>
  </si>
  <si>
    <t>P022318</t>
  </si>
  <si>
    <t>Sent to Thomas</t>
  </si>
  <si>
    <t>F2024-0508</t>
  </si>
  <si>
    <t>Payée le 16/01/2025</t>
  </si>
  <si>
    <t>Eqiom</t>
  </si>
  <si>
    <t>Cédric Lechoux, Marine Savary</t>
  </si>
  <si>
    <t>F2024-0091</t>
  </si>
  <si>
    <t>Payée le 26/07/2024</t>
  </si>
  <si>
    <t>GIE</t>
  </si>
  <si>
    <t>Flyers x 500 units 300g print</t>
  </si>
  <si>
    <t>Gabrielle Lelievre</t>
  </si>
  <si>
    <t>Belgium</t>
  </si>
  <si>
    <t xml:space="preserve">Sent </t>
  </si>
  <si>
    <t>F2024-0419</t>
  </si>
  <si>
    <t>Payé le 05/09/2024</t>
  </si>
  <si>
    <t xml:space="preserve">France Chimie </t>
  </si>
  <si>
    <t>Kakémono (Design + Impression) + Vignettes</t>
  </si>
  <si>
    <t>Aurélia</t>
  </si>
  <si>
    <t>sent</t>
  </si>
  <si>
    <t>F2024-0214</t>
  </si>
  <si>
    <t>Payé le 10/06/2024</t>
  </si>
  <si>
    <t>Facture 2024-11 (CP n°1 de PJ)</t>
  </si>
  <si>
    <t>F2024-0169</t>
  </si>
  <si>
    <t>Facture 2024-20 (CP n°5 de SMEP)</t>
  </si>
  <si>
    <t>F2024-0170</t>
  </si>
  <si>
    <t>Livret d'accueil A4 Alternants</t>
  </si>
  <si>
    <t>https://saranistudio.sharepoint.com/:f:/s/SaraniAssets/Eqwntg4GF4xHs_lcP9At1-0BUwZloYyi4fg05MClpbZ17w?e=DtySqI</t>
  </si>
  <si>
    <t>F2024-0187</t>
  </si>
  <si>
    <t>Payée le 10/01/2025</t>
  </si>
  <si>
    <t xml:space="preserve">Facture 2024-13 (CP n°4 de SMEP)
Perrier-Jouët </t>
  </si>
  <si>
    <t>F2024-0195</t>
  </si>
  <si>
    <t>Pippacorner website improvements</t>
  </si>
  <si>
    <t>F2024-0186</t>
  </si>
  <si>
    <t>Payée le 27/05/2024</t>
  </si>
  <si>
    <t>SpaceProjects</t>
  </si>
  <si>
    <t>Pack Présentations</t>
  </si>
  <si>
    <t>Hassib Mounzer</t>
  </si>
  <si>
    <t>Sent via Whatsapp</t>
  </si>
  <si>
    <t>F2024-0679</t>
  </si>
  <si>
    <t>Payée le 17/12/2024</t>
  </si>
  <si>
    <t>Site Web</t>
  </si>
  <si>
    <t>In progress</t>
  </si>
  <si>
    <t>Air Corsica</t>
  </si>
  <si>
    <t>Influencers campaign</t>
  </si>
  <si>
    <t>Jean-Paul</t>
  </si>
  <si>
    <t>Création Panneaux - EQIOM  A1</t>
  </si>
  <si>
    <t>20240509_Création Panneaux - EQIOM</t>
  </si>
  <si>
    <t>C000150109</t>
  </si>
  <si>
    <t>F2024-0428</t>
  </si>
  <si>
    <t>Payée le 25/10/2024</t>
  </si>
  <si>
    <t>Kakémono classique + Tendu (Design + Impression)</t>
  </si>
  <si>
    <t>Clayton / Juliette</t>
  </si>
  <si>
    <t>F2024-0215</t>
  </si>
  <si>
    <t>Service proposal: GIE Munich Conference assets v2</t>
  </si>
  <si>
    <t>F2024-0389</t>
  </si>
  <si>
    <t>Payée le 04/09/2024</t>
  </si>
  <si>
    <t>Aventim - Howel</t>
  </si>
  <si>
    <t>AXONOGRAPHIE</t>
  </si>
  <si>
    <t>Clément Robillard - crobillard@aventim.com</t>
  </si>
  <si>
    <t>F2024-0361</t>
  </si>
  <si>
    <t>Payée le 16/10/2024</t>
  </si>
  <si>
    <t>Campagne Italie Belgique</t>
  </si>
  <si>
    <t>Jean-Franois Colonna</t>
  </si>
  <si>
    <t>CDF00019891</t>
  </si>
  <si>
    <t>F2024-0282</t>
  </si>
  <si>
    <t>Payé le 26/07/2024</t>
  </si>
  <si>
    <t xml:space="preserve">PLAN + MENU + PLANNING JUILLET AOUT + SIGNATURES </t>
  </si>
  <si>
    <t>Julien Bauchart</t>
  </si>
  <si>
    <t xml:space="preserve">Offrir cette prestation afin de compenser les problèmes de livraison du site web Pomme de Pin. Possible de réaliser une facture de 900€ avec remise de 900€ pour que le client se rende compte du geste commercial effectué? </t>
  </si>
  <si>
    <t>F2024-0352</t>
  </si>
  <si>
    <t>Facture à 0€, pas de paiement attendu</t>
  </si>
  <si>
    <t>Shooting Photos</t>
  </si>
  <si>
    <t>F2024-0414</t>
  </si>
  <si>
    <t>Dialogue</t>
  </si>
  <si>
    <t>Campagne Influence Dialogues 2410067</t>
  </si>
  <si>
    <t>Charlotte</t>
  </si>
  <si>
    <t>F2024-0636</t>
  </si>
  <si>
    <t>Payée le 16/12/2024</t>
  </si>
  <si>
    <t>Campagne Influence Dialogues 2410066</t>
  </si>
  <si>
    <t>F2024-0635</t>
  </si>
  <si>
    <t>SMEP corporate (CP6)</t>
  </si>
  <si>
    <t>F2024-0327</t>
  </si>
  <si>
    <t>Payé le 22/07/2024</t>
  </si>
  <si>
    <t>PERRIER-JOUET CP 7 - Réouverture Cellier</t>
  </si>
  <si>
    <t>F2024-0328</t>
  </si>
  <si>
    <t>Quentin Carnaille</t>
  </si>
  <si>
    <t>STATUE - C. DE GAULLE</t>
  </si>
  <si>
    <t>Quentin Carnaille quentincarnaille@gmail.com</t>
  </si>
  <si>
    <t>https://saranistudio.sharepoint.com/sites/SaraniAssets/Shared%20Documents/Forms/AllItems.aspx?ga=1&amp;id=%2Fsites%2FSaraniAssets%2FShared%20Documents%2F03%2E%20Customers%2F01%2E%20Single%20Projects%2FQuentin%20Carnaille&amp;viewid=2c2e4824%2D3cb1%2D4619%2Db7c6%2D219dce795204</t>
  </si>
  <si>
    <t>3500€</t>
  </si>
  <si>
    <t>F2024-0489</t>
  </si>
  <si>
    <t>Payé 13/11/2024</t>
  </si>
  <si>
    <t>Velux</t>
  </si>
  <si>
    <t>DESIRE September burst - assets digitaux</t>
  </si>
  <si>
    <t>Pamela Ankrah</t>
  </si>
  <si>
    <t>https://saranistudio.sharepoint.com/:f:/s/SaraniAssets/EoNIo5JGichNm6_RXrv8dEQBilHwAUZF81WudIE4jMTUlQ?e=h5OWme</t>
  </si>
  <si>
    <t>F2024-0362</t>
  </si>
  <si>
    <t>Payée le 09/09/2024</t>
  </si>
  <si>
    <t>Internal project 2 pagers</t>
  </si>
  <si>
    <t>https://saranistudio.sharepoint.com/:f:/s/SaraniAssets/EiKHBnr1-t1CkBJ2177ZVvsBaPQVNA_ojPNwV7zWuLyKkg?e=joXBaP</t>
  </si>
  <si>
    <t>F2024-0390</t>
  </si>
  <si>
    <t>ESPI</t>
  </si>
  <si>
    <t>Refonte site web</t>
  </si>
  <si>
    <t>Sophie Bollack - s.bollack@groupe-espi.fr</t>
  </si>
  <si>
    <t>Facturation multiple</t>
  </si>
  <si>
    <t>Acompte N°1 de 20% .Notre compte client a bien été créé chez le client ESPI. Prestataire Sébastien Gras 12000€HT</t>
  </si>
  <si>
    <t>Acompte 20% sent</t>
  </si>
  <si>
    <t>F2024-0407</t>
  </si>
  <si>
    <t>Payée le 30/09/2024</t>
  </si>
  <si>
    <t>Acompte N°2. Montant : €</t>
  </si>
  <si>
    <t>BdC6748</t>
  </si>
  <si>
    <t>F2025-0350</t>
  </si>
  <si>
    <t>En attente de paiement</t>
  </si>
  <si>
    <t>19/07/2025</t>
  </si>
  <si>
    <t>Solde</t>
  </si>
  <si>
    <t>BdC5409</t>
  </si>
  <si>
    <t>MotionDesign</t>
  </si>
  <si>
    <t>Pas initié pour le moment</t>
  </si>
  <si>
    <t>Acompte 20% Shooting photo / Vidéo</t>
  </si>
  <si>
    <t>Acompte de 20% à facturer.Prestataire: Sébastien Gras (13344€HT, acompte de 3336€HT)</t>
  </si>
  <si>
    <t>F2024-0408</t>
  </si>
  <si>
    <t>Facture de solde: Shooting photo / Vidéo</t>
  </si>
  <si>
    <t>Facture de Solde</t>
  </si>
  <si>
    <t>BdC6335</t>
  </si>
  <si>
    <t>F2025-0112</t>
  </si>
  <si>
    <t>Payée le 18/03/2025</t>
  </si>
  <si>
    <t>Site web temporaire</t>
  </si>
  <si>
    <t>Acompte de 20% à facturer. Prestataire: Sébastien Gras (4000€HT, acompte de 2000€HT à régler)</t>
  </si>
  <si>
    <t>BdC5411</t>
  </si>
  <si>
    <t>Envoyée 03/09/2024</t>
  </si>
  <si>
    <t>F2024-0406</t>
  </si>
  <si>
    <t>Site web 50% restants</t>
  </si>
  <si>
    <t>F2024-0413</t>
  </si>
  <si>
    <t>Munich Notebook design</t>
  </si>
  <si>
    <t>Mayra Pena</t>
  </si>
  <si>
    <t>https://saranistudio.sharepoint.com/:f:/s/SaraniAssets/EiKHBnr1-t1CkBJ2177ZVvsBaPQVNA_ojPNwV7zWuLyKkg?e=Vg5xgJ</t>
  </si>
  <si>
    <t>F2024-0391</t>
  </si>
  <si>
    <t>CP n°9 - PJ au Jardin Secret du Peninsula</t>
  </si>
  <si>
    <t>F2024-0363</t>
  </si>
  <si>
    <t>Payé le 04/09/2024</t>
  </si>
  <si>
    <t>Cicatrix</t>
  </si>
  <si>
    <t xml:space="preserve">Campagne influence </t>
  </si>
  <si>
    <t>Vanessa Fernandez</t>
  </si>
  <si>
    <t>Sent to Thomas via Whatsapp</t>
  </si>
  <si>
    <t>F2024-0640</t>
  </si>
  <si>
    <t>Payé le 30/12/2024</t>
  </si>
  <si>
    <t>Vidéo roullier - Adaptation verticale</t>
  </si>
  <si>
    <t>20240828_Vidéo roullier_Adaptation verticale</t>
  </si>
  <si>
    <t>Vidéo roullier - V2 - Anglais</t>
  </si>
  <si>
    <t>Payée le 16/02/2025</t>
  </si>
  <si>
    <t>GIE Speakers notes</t>
  </si>
  <si>
    <t>Francesco Gabrielli</t>
  </si>
  <si>
    <t>Speaker notes</t>
  </si>
  <si>
    <t>F2024-0563</t>
  </si>
  <si>
    <t>Payée le 26/11/2024</t>
  </si>
  <si>
    <t>Kind request animated banner</t>
  </si>
  <si>
    <t>20240904_Kind request animated banner</t>
  </si>
  <si>
    <t>F2024-0471</t>
  </si>
  <si>
    <t>Payé le 27/09/2024</t>
  </si>
  <si>
    <t>GIE AC 2024 | Badges design briefing</t>
  </si>
  <si>
    <t>Malika Khalidi</t>
  </si>
  <si>
    <t>20240904_GIE AC 2024_Badges design briefing</t>
  </si>
  <si>
    <t>F2024-0472</t>
  </si>
  <si>
    <t>CP n°10 - SMEP x Byblos Beach</t>
  </si>
  <si>
    <t>F2024-0426</t>
  </si>
  <si>
    <t>GIE Strategic Storyline</t>
  </si>
  <si>
    <t>Tobias</t>
  </si>
  <si>
    <t>https://saranistudio.sharepoint.com/:f:/s/SaraniAssets/EuPIBC8QCwxKojTQkcK2azEBU99lZ2dbLp_H2hlcoMODlQ?e=nbpDqx</t>
  </si>
  <si>
    <t>F2024-0473</t>
  </si>
  <si>
    <t>Emailing Ouverture Réservations 2025</t>
  </si>
  <si>
    <t>Mélanie Tolédano</t>
  </si>
  <si>
    <t>F2024-0562</t>
  </si>
  <si>
    <t>Payée le 27/12/2024</t>
  </si>
  <si>
    <t>Emailing Black Friday</t>
  </si>
  <si>
    <t>https://saranistudio.sharepoint.com/:f:/s/SaraniAssets/EohyeXpT9tNJkqHXbxykHC8BQoRf3Zf1kZ3UMprn3fHnXw?e=fXzyGP</t>
  </si>
  <si>
    <t>F2024-0684</t>
  </si>
  <si>
    <t>CP n°8 PR - RSVR MUMM</t>
  </si>
  <si>
    <t>F2024-0446</t>
  </si>
  <si>
    <t xml:space="preserve">GIE AC banners </t>
  </si>
  <si>
    <t>20240927_GIE AC banners</t>
  </si>
  <si>
    <t>F2024-0564</t>
  </si>
  <si>
    <t>GIE AC 2024 - Farewell Videos</t>
  </si>
  <si>
    <t>https://saranistudio.sharepoint.com/:f:/s/SaraniAssets/ErbThV3AGv1CsZvziFM8Bl8BlpFAdpVNHAykNs8SfpdTwg?e=CKOR5u</t>
  </si>
  <si>
    <t>F2024-0565</t>
  </si>
  <si>
    <t>CP n°13 SMEP actualisation Taste of Provence</t>
  </si>
  <si>
    <t>F2024-0521</t>
  </si>
  <si>
    <t xml:space="preserve">CP n°12 PJ FR-EN Traduction </t>
  </si>
  <si>
    <t>F2024-0523</t>
  </si>
  <si>
    <t xml:space="preserve">CP n°11- PJ Menu d'été </t>
  </si>
  <si>
    <t>F2024-0524</t>
  </si>
  <si>
    <t xml:space="preserve">Traduction web </t>
  </si>
  <si>
    <t>700€ à régler au prestataire Sébastien Gras. Facture à recevoir.</t>
  </si>
  <si>
    <t>BdC5765</t>
  </si>
  <si>
    <t>Envoyée le 11/12/2024</t>
  </si>
  <si>
    <t>F2024-0681</t>
  </si>
  <si>
    <t>Payée le 31/01/2025</t>
  </si>
  <si>
    <t>CP n°14- Dinner in the sky</t>
  </si>
  <si>
    <t>F2024-0622</t>
  </si>
  <si>
    <t>Payé le 28/11/2024</t>
  </si>
  <si>
    <t>Air Corsica Email soldes</t>
  </si>
  <si>
    <t>https://saranistudio.sharepoint.com/:f:/s/SaraniAssets/EoYgzzkVsL1FkM-EyORt1s8BrQ211V90DMBMiNgXpK74Bg?e=u62Pry</t>
  </si>
  <si>
    <t>F2025-0032</t>
  </si>
  <si>
    <t>Payée 26/02/2025</t>
  </si>
  <si>
    <t>Droits d'Images Laulevy</t>
  </si>
  <si>
    <t>F2024-0675</t>
  </si>
  <si>
    <t xml:space="preserve"> GIE | SoS Workshop | Create a Banner &amp; Speaker Cards</t>
  </si>
  <si>
    <t>Mahtab Jalali Moghaddam</t>
  </si>
  <si>
    <t>GIE - SoS Workshop - Create a Banner &amp; Speaker Cards</t>
  </si>
  <si>
    <t>F2025-0033</t>
  </si>
  <si>
    <t>Payée le 24/02/2025</t>
  </si>
  <si>
    <t>GIE | SoS Workshop | Speaker Cards</t>
  </si>
  <si>
    <t>F2025-0034</t>
  </si>
  <si>
    <t>Brief Ouverture de Ligne Nice -&gt; Florence -&gt; Nice</t>
  </si>
  <si>
    <t>20250117_Brief Ouverture de Ligne Nice - Florence - Nice</t>
  </si>
  <si>
    <t>F2025-0102</t>
  </si>
  <si>
    <t>Payée le 30/06/2025</t>
  </si>
  <si>
    <t>GIE - Annual Conference 2025 | Kick-off</t>
  </si>
  <si>
    <t>Malika Khalidi</t>
  </si>
  <si>
    <t>20250117_GIE Annual Conference 2025 - Kick-off</t>
  </si>
  <si>
    <t>F2025-0253</t>
  </si>
  <si>
    <t>Payée le 14/05/2025</t>
  </si>
  <si>
    <t>Hirondo</t>
  </si>
  <si>
    <t>Case studies videos</t>
  </si>
  <si>
    <t>Yannig</t>
  </si>
  <si>
    <t>https://saranistudio.sharepoint.com/:f:/s/SaraniAssets/Ehc8_JcD7K9Lr__dI4C6ebwB1zaV9l9WO3KTicPNFSi4mA?e=yALMH1</t>
  </si>
  <si>
    <t>F2025-0160</t>
  </si>
  <si>
    <t>Payée le 08/04/2025</t>
  </si>
  <si>
    <t>GIE | SoS Workshop | extra Speaker Cards</t>
  </si>
  <si>
    <t>GIE | SoS Workshop slide</t>
  </si>
  <si>
    <t>20250131_GIE SoS Workshop slide</t>
  </si>
  <si>
    <t>GIE | SoS Workshop | Mailing Header+ GIF and social</t>
  </si>
  <si>
    <t xml:space="preserve">GIEAC | Personalized Notebooks + speaker cards </t>
  </si>
  <si>
    <t>CP n°17 Château Sainte Marguerite Cuvées 2024</t>
  </si>
  <si>
    <t>F2025-0083</t>
  </si>
  <si>
    <t>Payée le 10/03/2025</t>
  </si>
  <si>
    <t>CP 20  - Printemps Belle Epoque PJ</t>
  </si>
  <si>
    <t>F2025-0333</t>
  </si>
  <si>
    <t>Payée le 19/06/2025</t>
  </si>
  <si>
    <t>GIE | Visuals for Biomethane Study Launch | 30 April</t>
  </si>
  <si>
    <t>GIE - Visuals for Biomethane Study Launch - 30 April</t>
  </si>
  <si>
    <t>Abonnement annuel - Maintenance / Tracking / SEO</t>
  </si>
  <si>
    <t>1400€ Reglé par échéancier à SG</t>
  </si>
  <si>
    <t>F2025-0222</t>
  </si>
  <si>
    <t>Payée le 06/06/2025</t>
  </si>
  <si>
    <t>Paradox</t>
  </si>
  <si>
    <t>Campagne des Money Days</t>
  </si>
  <si>
    <t>Farah Rouassi</t>
  </si>
  <si>
    <t>https://saranistudio.sharepoint.com/:f:/s/SaraniAssets/EpTwgabtzGJBvE1QvzC9JVgBLcfZppAhj82LlolZKx4ZIw?e=bEEke8</t>
  </si>
  <si>
    <t>F2025-0161</t>
  </si>
  <si>
    <t>Payée le 12/04/2025</t>
  </si>
  <si>
    <t>AIR CORSICA - Brief Opération Destination Corse Mars/Avril</t>
  </si>
  <si>
    <t>20250320_Brief Opération Destination Corse Mars-Avril</t>
  </si>
  <si>
    <t>F2025-0275</t>
  </si>
  <si>
    <t>GIEAC | Speaker cards</t>
  </si>
  <si>
    <t>20250303_GIEAC Personalized Notebooks</t>
  </si>
  <si>
    <t>Florence new email</t>
  </si>
  <si>
    <t>https://saranistudio.sharepoint.com/:f:/s/SaraniAssets/Evu3AwE3YHpBreauZ0Kej2QB9GcsjLq_eoDkRPLfA6q3wQ?e=c3mMLw</t>
  </si>
  <si>
    <t>GIE AC | 2 new banner format</t>
  </si>
  <si>
    <t>20250415_GIE AC - 2 new banner format</t>
  </si>
  <si>
    <t>Au Pin Gourmet - Branding / Web</t>
  </si>
  <si>
    <t>F2025-0269</t>
  </si>
  <si>
    <t>Air Corsica New campaign assets</t>
  </si>
  <si>
    <t>Adrien VanBeveren (Sandstorm SLU)</t>
  </si>
  <si>
    <t>Assistant permanent may</t>
  </si>
  <si>
    <t xml:space="preserve">teamvbacontact@gmail.com </t>
  </si>
  <si>
    <t>Delivered every month (recuring)</t>
  </si>
  <si>
    <t>F2025-0270</t>
  </si>
  <si>
    <t>Payé 13/06/2025</t>
  </si>
  <si>
    <t>GIEAC | Extra speaker cards</t>
  </si>
  <si>
    <t>F2025-0375</t>
  </si>
  <si>
    <t>Payée le 08/07/2025</t>
  </si>
  <si>
    <t>GIEAC Press Kit for Annual Conference</t>
  </si>
  <si>
    <t>https://saranistudio.sharepoint.com/:f:/s/SaraniAssets/EkYws8HeiG5BgPWiC6ym1HYBbbvXmXpDISJDqWCkAdEizg?e=QKPCmz</t>
  </si>
  <si>
    <t>Hirondo video 3</t>
  </si>
  <si>
    <t>Arnaud Courtel</t>
  </si>
  <si>
    <t>https://saranistudio.sharepoint.com/:f:/s/SaraniAssets/EiOSFJyScHNAvCo8LOwvcNABKYjg6Ggvzl9J41YOGNKhTg?e=cYpZGh</t>
  </si>
  <si>
    <t>F2025-0374</t>
  </si>
  <si>
    <t>Payée le 17/09/2025</t>
  </si>
  <si>
    <t>Partenariat avec des influenceurs 2025</t>
  </si>
  <si>
    <t>F2025-0281</t>
  </si>
  <si>
    <t>Payée le 01/07/2025</t>
  </si>
  <si>
    <t>FERTIROC</t>
  </si>
  <si>
    <t>Projet vidéo - FERTIROC</t>
  </si>
  <si>
    <t>Maxime</t>
  </si>
  <si>
    <t>20250602_Projet vidéo - FERTIROC</t>
  </si>
  <si>
    <t>F2025-0521</t>
  </si>
  <si>
    <t>Payée le 16/09/2025</t>
  </si>
  <si>
    <t>Wide’O</t>
  </si>
  <si>
    <t xml:space="preserve">Branding pour Wide’O </t>
  </si>
  <si>
    <t>20250602_Branding pour Wide’O</t>
  </si>
  <si>
    <t>Inclus dans la prestation mensuelle Adrien VBA</t>
  </si>
  <si>
    <t>Maaieven</t>
  </si>
  <si>
    <t>Training Videos Episode 1</t>
  </si>
  <si>
    <t>brianna@maaiven.com</t>
  </si>
  <si>
    <t>USA</t>
  </si>
  <si>
    <t>https://saranistudio.sharepoint.com/:f:/s/SaraniAssets/EubSg9PUiIhInKr6pDjILtsBMi-lVwyFfrwYf5zsOE6jIA?e=zHgXsE</t>
  </si>
  <si>
    <t>F2025-0360</t>
  </si>
  <si>
    <t>Payée le 24/06/2025</t>
  </si>
  <si>
    <t>Assistant permanent june</t>
  </si>
  <si>
    <t>F2025-0336</t>
  </si>
  <si>
    <t>Ogeste</t>
  </si>
  <si>
    <t>Logo / Charte / Humanoide / Vidéos</t>
  </si>
  <si>
    <t>antoinebulot3@gmail.com</t>
  </si>
  <si>
    <t>In Progress</t>
  </si>
  <si>
    <t>Prestataire : Quentin Collus - Première facture 2600€HT pour création humanoîdes / environnement des exercices  / Première vidéo. Prix négocié par vidéo: 100€</t>
  </si>
  <si>
    <t>Pomme de Pin - Plan Update + New assets</t>
  </si>
  <si>
    <t>https://saranistudio.sharepoint.com/:f:/s/SaraniAssets/ElwvVy1ks1xHmX4vMMfIrekBA_koR8ZENvG07Pw8xQt1Sw?e=v7iC3d</t>
  </si>
  <si>
    <t>CP n°18 Menu Saint-Valentin Perrier-Jouët</t>
  </si>
  <si>
    <t>F2025-0171</t>
  </si>
  <si>
    <t>Payée le 09/04/2025</t>
  </si>
  <si>
    <t>Assistant permanent july</t>
  </si>
  <si>
    <t>F2025-0377</t>
  </si>
  <si>
    <t>Payé 12/08/2025</t>
  </si>
  <si>
    <t>Assistant permanent august</t>
  </si>
  <si>
    <t>F2025-0415</t>
  </si>
  <si>
    <t>VBA MOTOSPORT (Adrien VanBeveren)</t>
  </si>
  <si>
    <t>Support événement Enduropale - assistance virtuelle  septembre</t>
  </si>
  <si>
    <t>F2025-0485</t>
  </si>
  <si>
    <t>Support événement Enduropale - assistance virtuelle octobre</t>
  </si>
  <si>
    <t>Support événement Enduropale - assistance virtuelle novembre</t>
  </si>
  <si>
    <t>Support événement Enduropale - assistance virtuelle Décembre</t>
  </si>
  <si>
    <t>23/05/2025</t>
  </si>
  <si>
    <t>Air Corsica Arche Emirates</t>
  </si>
  <si>
    <t>F2025-0376</t>
  </si>
  <si>
    <t>Paid</t>
  </si>
  <si>
    <t>Heures supplémentaires mai-juillet</t>
  </si>
  <si>
    <t>F2025-0486</t>
  </si>
  <si>
    <t>Training Videos Episode 2 et 3</t>
  </si>
  <si>
    <t>F2025-0451</t>
  </si>
  <si>
    <t>Payée le 29/07/2025</t>
  </si>
  <si>
    <t>13/08/2025</t>
  </si>
  <si>
    <t>Air Corsica - Ouvertures de lignes Munich – Corse et Vienne-Corse</t>
  </si>
  <si>
    <t>20250813_Ouvertures de lignes Munich–Corse et Vienne-Corse</t>
  </si>
  <si>
    <t xml:space="preserve">Projet Influence - Vienne et Munich </t>
  </si>
  <si>
    <t>Morgane</t>
  </si>
  <si>
    <t xml:space="preserve">Morgane - logo </t>
  </si>
  <si>
    <t xml:space="preserve">Maxime </t>
  </si>
  <si>
    <t>20250901_Morgane Logo</t>
  </si>
  <si>
    <t>R Advertising</t>
  </si>
  <si>
    <t>Habillage Stand salon R-Advertising</t>
  </si>
  <si>
    <t>Aurélie Chaptal</t>
  </si>
  <si>
    <t>https://saranistudio.sharepoint.com/:f:/s/SaraniAssets/EuLY4pGxhHZJo7jav321tlkBP3PIBszrKfmPAOBVg4UXFA?e=CMYAyg</t>
  </si>
  <si>
    <t xml:space="preserve">Baptiste Roussel </t>
  </si>
  <si>
    <t>Baptiste - Logo et affiches</t>
  </si>
  <si>
    <t>Baptiste Roussel</t>
  </si>
  <si>
    <t>Maaiven (Eshalore)</t>
  </si>
  <si>
    <t>Training videos Episodes 4 &amp; 5</t>
  </si>
  <si>
    <t>https://saranistudio.sharepoint.com/:f:/s/SaraniAssets/ElH3s30bREtHlkv4usxEPugBAH5-0g6JsvQ3hlDtBqu9Hw?e=AAJqbj</t>
  </si>
  <si>
    <t>F2025-0538</t>
  </si>
  <si>
    <t>Payée le 18/09/2025</t>
  </si>
  <si>
    <t>Kids Video Episode 1</t>
  </si>
  <si>
    <t>https://saranistudio.sharepoint.com/:f:/s/SaraniAssets/Embud19gMslAifNkMnrTOxoB6Tcocl6FCwIPDkvimGmGUA?e=jU2oW1</t>
  </si>
  <si>
    <t>Short promo Video</t>
  </si>
  <si>
    <t>https://saranistudio.sharepoint.com/:f:/s/SaraniAssets/EiQpB_y6CGdKgpzTQ-cMPK8Bx_gggUxkPanlyb-23JYBkg?e=JLcaWf</t>
  </si>
  <si>
    <t>Déclinaisons assets Ouverture de ligne Munich et Vienne-Corse</t>
  </si>
  <si>
    <t>https://saranistudio.sharepoint.com/:f:/s/SaraniAssets/ErINq5DS2rtKrevRpEGoIKMBN67ZysX2zoakyP1NQp6gDw?e=3hs9EJ</t>
  </si>
  <si>
    <t>Status inv.</t>
  </si>
  <si>
    <t>Commentaire</t>
  </si>
  <si>
    <t>Banner creation (static) 135</t>
  </si>
  <si>
    <t>Banner adaptation (static) 30</t>
  </si>
  <si>
    <t>Banner creation (animated) 220</t>
  </si>
  <si>
    <t>Banner adaptation (animated) 50</t>
  </si>
  <si>
    <t>Branding pack 2000</t>
  </si>
  <si>
    <t>Logo 250</t>
  </si>
  <si>
    <t>Lifestyle Picture 400</t>
  </si>
  <si>
    <t>Wallpapers 85</t>
  </si>
  <si>
    <t>Offline creation (standard) 135</t>
  </si>
  <si>
    <t>Offline creation (adaptation) 30</t>
  </si>
  <si>
    <t>Leaflet
(1 page) 180</t>
  </si>
  <si>
    <t>Leaflet
(2 pages) 260</t>
  </si>
  <si>
    <t>Roll-up / Wall creation 180</t>
  </si>
  <si>
    <t>Chart 400</t>
  </si>
  <si>
    <t>Brochure
(20 pages) 2200</t>
  </si>
  <si>
    <t>Slide 40</t>
  </si>
  <si>
    <t>Landing page (design only) 300</t>
  </si>
  <si>
    <t>Landing page
(complete) 700</t>
  </si>
  <si>
    <t>Website
(design only) 5000</t>
  </si>
  <si>
    <t>Website
(complete) 7000</t>
  </si>
  <si>
    <t>Video Edition 80</t>
  </si>
  <si>
    <t>Video Subtitles 150</t>
  </si>
  <si>
    <t>Social Media Video
(up to 30s) 260</t>
  </si>
  <si>
    <t>Social Media Video
(up to 1 min) 560</t>
  </si>
  <si>
    <t>Promotional Video
(up to 1 min) 4000</t>
  </si>
  <si>
    <t>2D Video 
(up to 3mn) 5000</t>
  </si>
  <si>
    <t>3D Video 
(up to 3min) 10000</t>
  </si>
  <si>
    <t>Virtual space 2500</t>
  </si>
  <si>
    <t>Virtual showroom 10000</t>
  </si>
  <si>
    <t>Translation 
(per word) 0.1</t>
  </si>
  <si>
    <t>Copywrite
(per word) 0.25</t>
  </si>
  <si>
    <t>F2025-0551</t>
  </si>
  <si>
    <t>Payée le 03/10/2025</t>
  </si>
  <si>
    <t>Acompte N°2 + Solde</t>
  </si>
  <si>
    <t>Promotion Nice Florence</t>
  </si>
  <si>
    <t>Alexis SOYER</t>
  </si>
  <si>
    <t>F2025-0727</t>
  </si>
  <si>
    <t>Payée le 24/12/2025</t>
  </si>
  <si>
    <t>1 vidéo DOOH dans 6 formats. 1 vidéo DOOH dans 9 formats. Deux vidéos réseaux sociaux dans 3 formats.</t>
  </si>
  <si>
    <t>CP °20  - Printemps Belle Epoque PJ</t>
  </si>
  <si>
    <t>Eshalore (Maaieven)</t>
  </si>
  <si>
    <t>F2025-0636</t>
  </si>
  <si>
    <t>Payée le 31/10/2025</t>
  </si>
  <si>
    <t>Black Friday video Belgique - Corse</t>
  </si>
  <si>
    <t>Alexis Soyer</t>
  </si>
  <si>
    <t>https://saranistudio.sharepoint.com/:f:/s/SaraniAssets/IgBh0T6dSKKZT4gu4mn4TX5QAWXo60qQVRUX0XmoZn8ISX4?e=XdDkgZ</t>
  </si>
  <si>
    <t>F2025-0767</t>
  </si>
  <si>
    <t xml:space="preserve">Baptiste - Logo / Affiche / Site Web </t>
  </si>
  <si>
    <t>1200€ à payer à Sébastien Gras</t>
  </si>
  <si>
    <t>Envoyée</t>
  </si>
  <si>
    <t>F2026-0041</t>
  </si>
  <si>
    <t>Paid 10/02/2026</t>
  </si>
  <si>
    <t>Paiement de 500€ reçu le 29/01/2026
Solde restant due: 1300€ reçu le 10/02/2026</t>
  </si>
  <si>
    <t>Payé le 23/09/2025</t>
  </si>
  <si>
    <t>Payée le 20/11/2025</t>
  </si>
  <si>
    <t>Benvenuto Club of Milan</t>
  </si>
  <si>
    <t>Wild Apricot Website</t>
  </si>
  <si>
    <t>Camille Mason</t>
  </si>
  <si>
    <t>Italy</t>
  </si>
  <si>
    <t>Devis-Benvenuto Club of Milan _20251112.pdf</t>
  </si>
  <si>
    <t>F2025-0799</t>
  </si>
  <si>
    <t>Payée le 28/01/2026</t>
  </si>
  <si>
    <t>Acompte de 50% payé</t>
  </si>
  <si>
    <t xml:space="preserve">Sent by email </t>
  </si>
  <si>
    <t>F2025-0621</t>
  </si>
  <si>
    <t>payée le 24/11/2025</t>
  </si>
  <si>
    <t>CCI Nice</t>
  </si>
  <si>
    <t xml:space="preserve">CCI Nice Forum Franchise Côte d’Azur 2025
</t>
  </si>
  <si>
    <t>CCI Nice Forum Franchise Côte d’Azur 2025</t>
  </si>
  <si>
    <t>10CAC25-001402</t>
  </si>
  <si>
    <t>Déposée le 30/12/2025</t>
  </si>
  <si>
    <t>F2025-0843</t>
  </si>
  <si>
    <t>Payée le 27/02/2026</t>
  </si>
  <si>
    <t>Payé le 01/10/2025</t>
  </si>
  <si>
    <t>TEOS Solultions Fiberit</t>
  </si>
  <si>
    <t>2 roll up banners+ delivery</t>
  </si>
  <si>
    <t>Philippe Rémion</t>
  </si>
  <si>
    <t>20251002_Teos_RollUp_Banners</t>
  </si>
  <si>
    <t>https://saranistudio.sharepoint.com/:b:/s/SaraniAssets/ESj-XS7Hzg5OiFkYYP1Lvr8BkeTRkZ5HP1l6iI6WoQDM0w?e=6ELNlB</t>
  </si>
  <si>
    <t>F2025-0629</t>
  </si>
  <si>
    <t>Payée le 17/11/2025</t>
  </si>
  <si>
    <t>Need to include printing &amp; delivery €167</t>
  </si>
  <si>
    <t>3D rendering Roland Garros</t>
  </si>
  <si>
    <t>https://saranistudio.sharepoint.com/:f:/s/SaraniAssets/ErDr7oisSdFAj2H1m7SJMbIBFFpFbirZahckKdNM_CfoZQ?e=ueQXaZ</t>
  </si>
  <si>
    <t>F2025-0569</t>
  </si>
  <si>
    <t>Payée le 03/11/2025</t>
  </si>
  <si>
    <t>F2025-0620</t>
  </si>
  <si>
    <t>Payée le 28/10/2025</t>
  </si>
  <si>
    <t>25/09/2025</t>
  </si>
  <si>
    <t>A4 Illustration</t>
  </si>
  <si>
    <t>https://saranistudio.sharepoint.com/:f:/s/SaraniAssets/En9_pE0vqmdElSsMB6kzC-0Ba1QZsfxac7H_3kE15be0Mg?e=JWGzMZ</t>
  </si>
  <si>
    <t>10CAC25-001280</t>
  </si>
  <si>
    <t>Déposé le 11/10/2025</t>
  </si>
  <si>
    <t>F2025-0599</t>
  </si>
  <si>
    <t>Payée le 01/12/2025</t>
  </si>
  <si>
    <t>30/10/2025</t>
  </si>
  <si>
    <t>Maintenance site web - 01/10/2025 au 31/12/2025 par Sébastien Gras</t>
  </si>
  <si>
    <t>BdC7814</t>
  </si>
  <si>
    <t>F2025-0706</t>
  </si>
  <si>
    <t>Payée le 02/03/2026</t>
  </si>
  <si>
    <t>Maintenance site web - 01/01/2026 au 31/03/2026 par Sébastien Gras</t>
  </si>
  <si>
    <t>BDC démandé le 13.03</t>
  </si>
  <si>
    <t>Maintenance site web - 01/04/2026 au 30/06/2026 par Sébastien Gras</t>
  </si>
  <si>
    <t>Maintenance site web - 01/07/2026 au 30/09/2026 par Sébastien Gras</t>
  </si>
  <si>
    <t>F2026-0010</t>
  </si>
  <si>
    <t>PAyée le 29/11/2025</t>
  </si>
  <si>
    <t>Projet vidéo - Fertiroc - Traduction EN</t>
  </si>
  <si>
    <t>F2026-0092</t>
  </si>
  <si>
    <t>En attente de réglement</t>
  </si>
  <si>
    <t xml:space="preserve">Hullabaloo </t>
  </si>
  <si>
    <t xml:space="preserve">Hullabaloo Website </t>
  </si>
  <si>
    <t>Matt René</t>
  </si>
  <si>
    <t>UK</t>
  </si>
  <si>
    <t>https://saranistudio.sharepoint.com/:f:/s/SaraniAssets/IgCgWwTcCYafSJiJeCj1A3N1AYNmufkAM24v41ehTtkeRPk?e=rEGlp0</t>
  </si>
  <si>
    <t>Non facturé - Offert</t>
  </si>
  <si>
    <t>F2025-0842</t>
  </si>
  <si>
    <t>27/02: relance (2)</t>
  </si>
  <si>
    <t>F2025-0773</t>
  </si>
  <si>
    <t>Payée le 02/01/2026</t>
  </si>
  <si>
    <t>CP n°21 Perrier-Jouët x Marcin Rusak</t>
  </si>
  <si>
    <t>F2025-0835</t>
  </si>
  <si>
    <t>Payée le 07/06/2026</t>
  </si>
  <si>
    <t>Support événement Enduropale - assistance virtuelle JANVIER</t>
  </si>
  <si>
    <t>F2025-0840</t>
  </si>
  <si>
    <t>Payée le 02/02/2026</t>
  </si>
  <si>
    <t>Module à la carte</t>
  </si>
  <si>
    <t>Xavier Modin - x.modin@groupe-espi.fr</t>
  </si>
  <si>
    <t>BdC7660</t>
  </si>
  <si>
    <t>F2026-0040</t>
  </si>
  <si>
    <t>Roux Entreprise</t>
  </si>
  <si>
    <t>Brief express – supports de communication stand salon Forum Bois Construction</t>
  </si>
  <si>
    <t>Thomas Charmasson</t>
  </si>
  <si>
    <t>F2026-0105</t>
  </si>
  <si>
    <t xml:space="preserve">En attente de réglement </t>
  </si>
  <si>
    <t>R-Advertising</t>
  </si>
  <si>
    <t>Habillage stand professionnel</t>
  </si>
  <si>
    <t>Erika Clement</t>
  </si>
  <si>
    <t>F2026-0095</t>
  </si>
  <si>
    <t>Envoyée à Erika Clément &lt;eclement@r-advertising.com&gt;</t>
  </si>
  <si>
    <t xml:space="preserve">GEODIS </t>
  </si>
  <si>
    <t>Vidéo Santé Sécurité Travail</t>
  </si>
  <si>
    <t>Mamoun Kadiri</t>
  </si>
  <si>
    <t>https://saranistudio.sharepoint.com/:f:/s/SaraniAssets/IgAFbmPyBNtET6zi41Yfubs4AVi5vhACe1_nX_0Fx_1tzlg?e=hxmN8T</t>
  </si>
  <si>
    <t>Air Corsica - Campagne Florence - Nice / Nice - Florence</t>
  </si>
  <si>
    <t>https://saranistudio.sharepoint.com/:f:/s/SaraniAssets/IgC076E5vIsxTKfAkZUqVzq5ATITA1YV6h21czMMDeBoeKk?e=OAaKwr</t>
  </si>
  <si>
    <t>TBD</t>
  </si>
  <si>
    <t>A5 Flyer</t>
  </si>
  <si>
    <t>https://saranistudio.sharepoint.com/:f:/s/SaraniAssets/IgA-TFLpCzSwQLEjZ6WMYiSMAROiuMNMN-aQs_qwlLJqNU4?e=WCaS5w</t>
  </si>
  <si>
    <t>Stickage Véhicules</t>
  </si>
  <si>
    <t>F2026-0129</t>
  </si>
  <si>
    <t>Mise en place tracking -  Par Sébastien Gras</t>
  </si>
  <si>
    <t>Xavier Modin</t>
  </si>
  <si>
    <t>720€HT à régler à Sébastien Gras</t>
  </si>
  <si>
    <t>Tracking - 01/03/2026 au 01/09/2026 par Sébastien Gras</t>
  </si>
  <si>
    <t>2365,20€HT à régler à Sébastien Gras. A régler mensuellement sur 6 mois soit 394,20€HT / mois</t>
  </si>
  <si>
    <t>Magic Whiteboard</t>
  </si>
  <si>
    <t>Crytowise Videos (4 x 3 min videos)</t>
  </si>
  <si>
    <t>Neil Westwood</t>
  </si>
  <si>
    <t>20251128_CMC - Crypto Owl videos</t>
  </si>
  <si>
    <t>https://saranistudio.sharepoint.com/:b:/s/SaraniAssets/IQBHD6cSEoYVR6lJP85-cSNgAd5UEqDJ86tlCkImQCfhquA?e=waZxfx</t>
  </si>
  <si>
    <t>F2026-0072</t>
  </si>
  <si>
    <t>Paid 18/02/2026</t>
  </si>
  <si>
    <t>16/02/25</t>
  </si>
  <si>
    <t>Cryptowise illustrations</t>
  </si>
  <si>
    <t>https://saranistudio.sharepoint.com/:f:/s/SaraniAssets/IgDpevFzqBduT6MXAs2ymGkRAY7iJdUEFAsv2m5jH1zO10Q?e=1G5t8a</t>
  </si>
  <si>
    <t>F2026-0123</t>
  </si>
  <si>
    <t xml:space="preserve">Waiting payment </t>
  </si>
  <si>
    <t>50% off (very simple adaptations)</t>
  </si>
  <si>
    <t>Voila Chef</t>
  </si>
  <si>
    <t>Audit Voila Chef</t>
  </si>
  <si>
    <t>Sophie</t>
  </si>
  <si>
    <t>Ataraxia</t>
  </si>
  <si>
    <t>Prestation Creative Strategy</t>
  </si>
  <si>
    <t>Arnaud</t>
  </si>
  <si>
    <t>Tournage UGC et vidéos</t>
  </si>
  <si>
    <t>Facturé client</t>
  </si>
  <si>
    <t>Cost Sébastien</t>
  </si>
  <si>
    <t>Cost Chloé</t>
  </si>
  <si>
    <t>Other</t>
  </si>
  <si>
    <t>Profit</t>
  </si>
  <si>
    <t>Acompte de 20% à facturer .Notre compte client a bien été créé chez le client ESPI. Prestataire Sébastien Gras 12000€HT</t>
  </si>
  <si>
    <t>Shooting photo / Vidéo</t>
  </si>
  <si>
    <t>Maintenance</t>
  </si>
  <si>
    <t>Tracking</t>
  </si>
  <si>
    <t>Online</t>
  </si>
  <si>
    <t>Offline</t>
  </si>
  <si>
    <t>Presentations</t>
  </si>
  <si>
    <t>Web</t>
  </si>
  <si>
    <t>Videos</t>
  </si>
  <si>
    <t>Virtualization</t>
  </si>
  <si>
    <t>Copy</t>
  </si>
  <si>
    <t>Details : Maxime
mailto:Samcommerce.r360@gmail.com</t>
  </si>
  <si>
    <r>
      <t xml:space="preserve">Banner creation </t>
    </r>
    <r>
      <rPr>
        <i/>
        <sz val="11"/>
        <color theme="0"/>
        <rFont val="Calibri"/>
        <family val="2"/>
        <scheme val="minor"/>
      </rPr>
      <t>(static)</t>
    </r>
  </si>
  <si>
    <r>
      <t xml:space="preserve">Banner adaptation </t>
    </r>
    <r>
      <rPr>
        <i/>
        <sz val="11"/>
        <color theme="0"/>
        <rFont val="Calibri"/>
        <family val="2"/>
        <scheme val="minor"/>
      </rPr>
      <t>(static)</t>
    </r>
  </si>
  <si>
    <r>
      <t xml:space="preserve">Banner creation </t>
    </r>
    <r>
      <rPr>
        <i/>
        <sz val="11"/>
        <color theme="0"/>
        <rFont val="Calibri"/>
        <family val="2"/>
        <scheme val="minor"/>
      </rPr>
      <t>(animated)</t>
    </r>
  </si>
  <si>
    <r>
      <t xml:space="preserve">Banner adaptation </t>
    </r>
    <r>
      <rPr>
        <i/>
        <sz val="11"/>
        <color theme="0"/>
        <rFont val="Calibri"/>
        <family val="2"/>
        <scheme val="minor"/>
      </rPr>
      <t>(animated)</t>
    </r>
  </si>
  <si>
    <r>
      <t xml:space="preserve">Offline creation </t>
    </r>
    <r>
      <rPr>
        <i/>
        <sz val="11"/>
        <color theme="0"/>
        <rFont val="Calibri"/>
        <family val="2"/>
        <scheme val="minor"/>
      </rPr>
      <t>(standard)</t>
    </r>
  </si>
  <si>
    <r>
      <t xml:space="preserve">Offline creation </t>
    </r>
    <r>
      <rPr>
        <i/>
        <sz val="11"/>
        <color theme="0"/>
        <rFont val="Calibri"/>
        <family val="2"/>
        <scheme val="minor"/>
      </rPr>
      <t>(adaptation)</t>
    </r>
  </si>
  <si>
    <r>
      <t xml:space="preserve">Leaflet
</t>
    </r>
    <r>
      <rPr>
        <i/>
        <sz val="11"/>
        <color theme="0"/>
        <rFont val="Calibri"/>
        <family val="2"/>
        <scheme val="minor"/>
      </rPr>
      <t>(1 page)</t>
    </r>
  </si>
  <si>
    <r>
      <t xml:space="preserve">Leaflet
</t>
    </r>
    <r>
      <rPr>
        <i/>
        <sz val="11"/>
        <color theme="0"/>
        <rFont val="Calibri"/>
        <family val="2"/>
        <scheme val="minor"/>
      </rPr>
      <t>(2 pages)</t>
    </r>
  </si>
  <si>
    <r>
      <t xml:space="preserve">Brochure
</t>
    </r>
    <r>
      <rPr>
        <i/>
        <sz val="11"/>
        <color theme="0"/>
        <rFont val="Calibri"/>
        <family val="2"/>
        <scheme val="minor"/>
      </rPr>
      <t>(20 pages)</t>
    </r>
  </si>
  <si>
    <r>
      <t xml:space="preserve">Landing page </t>
    </r>
    <r>
      <rPr>
        <i/>
        <sz val="11"/>
        <color theme="0"/>
        <rFont val="Calibri"/>
        <family val="2"/>
        <scheme val="minor"/>
      </rPr>
      <t>(design only)</t>
    </r>
  </si>
  <si>
    <r>
      <t xml:space="preserve">Landing page
</t>
    </r>
    <r>
      <rPr>
        <i/>
        <sz val="11"/>
        <color theme="0"/>
        <rFont val="Calibri"/>
        <family val="2"/>
        <scheme val="minor"/>
      </rPr>
      <t>(complete)</t>
    </r>
  </si>
  <si>
    <r>
      <t xml:space="preserve">Website
</t>
    </r>
    <r>
      <rPr>
        <i/>
        <sz val="11"/>
        <color theme="0"/>
        <rFont val="Calibri"/>
        <family val="2"/>
        <scheme val="minor"/>
      </rPr>
      <t>(design only)</t>
    </r>
  </si>
  <si>
    <r>
      <t xml:space="preserve">Website
</t>
    </r>
    <r>
      <rPr>
        <i/>
        <sz val="11"/>
        <color theme="0"/>
        <rFont val="Calibri"/>
        <family val="2"/>
        <scheme val="minor"/>
      </rPr>
      <t>(complete)</t>
    </r>
  </si>
  <si>
    <r>
      <rPr>
        <b/>
        <sz val="11"/>
        <color rgb="FFFFFFFF"/>
        <rFont val="Calibri"/>
      </rPr>
      <t xml:space="preserve">Social Media Video
</t>
    </r>
    <r>
      <rPr>
        <i/>
        <sz val="11"/>
        <color rgb="FFFFFFFF"/>
        <rFont val="Calibri"/>
      </rPr>
      <t>(up to 30s)</t>
    </r>
  </si>
  <si>
    <r>
      <rPr>
        <b/>
        <sz val="11"/>
        <color rgb="FFFFFFFF"/>
        <rFont val="Calibri"/>
      </rPr>
      <t xml:space="preserve">Social Media Video
</t>
    </r>
    <r>
      <rPr>
        <i/>
        <sz val="11"/>
        <color rgb="FFFFFFFF"/>
        <rFont val="Calibri"/>
      </rPr>
      <t>(up to 1 min)</t>
    </r>
  </si>
  <si>
    <r>
      <rPr>
        <b/>
        <sz val="11"/>
        <color rgb="FFFFFFFF"/>
        <rFont val="Calibri"/>
      </rPr>
      <t xml:space="preserve">Promotional Video
</t>
    </r>
    <r>
      <rPr>
        <i/>
        <sz val="11"/>
        <color rgb="FFFFFFFF"/>
        <rFont val="Calibri"/>
      </rPr>
      <t>(up to 1 min)</t>
    </r>
  </si>
  <si>
    <r>
      <t xml:space="preserve">2D Video 
</t>
    </r>
    <r>
      <rPr>
        <i/>
        <sz val="11"/>
        <color theme="0"/>
        <rFont val="Calibri"/>
        <family val="2"/>
        <scheme val="minor"/>
      </rPr>
      <t>(up to 3mn)</t>
    </r>
  </si>
  <si>
    <r>
      <t xml:space="preserve">3D Video 
</t>
    </r>
    <r>
      <rPr>
        <i/>
        <sz val="11"/>
        <color theme="0"/>
        <rFont val="Calibri"/>
        <family val="2"/>
        <scheme val="minor"/>
      </rPr>
      <t>(up to 3min)</t>
    </r>
  </si>
  <si>
    <r>
      <t xml:space="preserve">Translation 
</t>
    </r>
    <r>
      <rPr>
        <i/>
        <sz val="11"/>
        <color theme="0"/>
        <rFont val="Calibri"/>
        <family val="2"/>
        <scheme val="minor"/>
      </rPr>
      <t>(per word)</t>
    </r>
  </si>
  <si>
    <r>
      <t xml:space="preserve">Copywrite
</t>
    </r>
    <r>
      <rPr>
        <i/>
        <sz val="11"/>
        <color theme="0"/>
        <rFont val="Calibri"/>
        <family val="2"/>
        <scheme val="minor"/>
      </rPr>
      <t>(per word)</t>
    </r>
  </si>
  <si>
    <t>Jours de retards</t>
  </si>
  <si>
    <t>Identification de la marque</t>
  </si>
  <si>
    <t>Sam</t>
  </si>
  <si>
    <t>F2024-0171</t>
  </si>
  <si>
    <t xml:space="preserve">Waiting for payment
</t>
  </si>
  <si>
    <t>27/02: Procédure d'injonction de payer lancée</t>
  </si>
  <si>
    <t>Création d'un logo et des déclinisations</t>
  </si>
  <si>
    <t>Création d'une charte graphique</t>
  </si>
  <si>
    <t>Dépôt de la marque par un avocat en PI auprès de l'INPI</t>
  </si>
  <si>
    <t>Facture Print BPRIVES PARIS LAFAYETTE</t>
  </si>
  <si>
    <t>F2024-0172</t>
  </si>
  <si>
    <t>Création de 3 Visuels pour print extérieur - Les Lillas</t>
  </si>
  <si>
    <t>F2024-0498</t>
  </si>
  <si>
    <t>Waiting for payment</t>
  </si>
  <si>
    <t>Merchandising - Les Lillas</t>
  </si>
  <si>
    <t>F2024-0499</t>
  </si>
  <si>
    <t>Création d'un site web vitrine avec Optimisation SEO</t>
  </si>
  <si>
    <t>Waiting for first payment to start</t>
  </si>
  <si>
    <t>Jamais facturé</t>
  </si>
  <si>
    <t>Configuration initiale des réseaux Sociaux</t>
  </si>
  <si>
    <t>Accompagnement Social Media / Shooting Photos Vidéos / Landing Page / SEO</t>
  </si>
  <si>
    <t>Lailla</t>
  </si>
  <si>
    <t>Facture solde</t>
  </si>
  <si>
    <t>F2024-0644</t>
  </si>
  <si>
    <t>10% acompte</t>
  </si>
  <si>
    <t>F2024-0255</t>
  </si>
  <si>
    <t>Accompagnement Instagram sur 2 mois + création d'un pack de 15 visuels</t>
  </si>
  <si>
    <t>F2024-0497</t>
  </si>
  <si>
    <t xml:space="preserve">En attente de paiement </t>
  </si>
  <si>
    <t>Shooting photos + interviews videos présentant le concept</t>
  </si>
  <si>
    <t>Création d'une marque et de sa charte</t>
  </si>
  <si>
    <t>Création d'une landing page</t>
  </si>
  <si>
    <t>Optimisation SEO de la landing page</t>
  </si>
  <si>
    <t>Optimisation SEA (publicité payante)</t>
  </si>
  <si>
    <t>Price File</t>
  </si>
  <si>
    <t>Last update project</t>
  </si>
  <si>
    <t>?</t>
  </si>
  <si>
    <t>LAST UPDATE FINANCE</t>
  </si>
  <si>
    <t>We invoice : Connect Communication Advertising LLC (Bassel Kassas) 
3 invoices</t>
  </si>
  <si>
    <t>CPC Branding Deck</t>
  </si>
  <si>
    <t>Bassel Kassas</t>
  </si>
  <si>
    <t>CPC</t>
  </si>
  <si>
    <t>F2024-0433</t>
  </si>
  <si>
    <t>Paid 16/10/2024</t>
  </si>
  <si>
    <t>IBD Profile deck</t>
  </si>
  <si>
    <t>https://saranistudio.sharepoint.com/:f:/s/SaraniAssets/EpyzWx2RoxlDk2mb6W9Ul8MBg1Ms8d2tY2OQ8wXNLUA4ZA?e=3jQi7b</t>
  </si>
  <si>
    <t>F2024-0434</t>
  </si>
  <si>
    <t>IBU - Pre-Qualification Brochure</t>
  </si>
  <si>
    <t>https://saranistudio.sharepoint.com/:f:/s/SaraniAssets/ErjOFrbH7FVHjPw1NvubUJgBfYN8x0t0vXyReRCLIlouZA?e=tNdaWa</t>
  </si>
  <si>
    <t>F2024-0435</t>
  </si>
  <si>
    <t>UCC Profile deck</t>
  </si>
  <si>
    <t>20241002_UCC Profile deck</t>
  </si>
  <si>
    <t>F2024-0568</t>
  </si>
  <si>
    <t>Paid 09/03/2025</t>
  </si>
  <si>
    <t>Transimed Brand Identity</t>
  </si>
  <si>
    <t>Transimed</t>
  </si>
  <si>
    <t>F2025-0029</t>
  </si>
  <si>
    <t>Paid 28/02/2025</t>
  </si>
  <si>
    <t>Waw packaging</t>
  </si>
  <si>
    <t>Wissam</t>
  </si>
  <si>
    <t>Waw</t>
  </si>
  <si>
    <t>OFFERED</t>
  </si>
  <si>
    <t>The Body Shop Packaging</t>
  </si>
  <si>
    <t>TBS</t>
  </si>
  <si>
    <t>F2025-0386</t>
  </si>
  <si>
    <t>Paid 10/11/2025</t>
  </si>
  <si>
    <t>The Body Shop - 3 New Range</t>
  </si>
  <si>
    <t>https://saranistudio.sharepoint.com/:f:/s/SaraniAssets/EuHNcWVhPKFImvd2XDHEUtwBtNbHSJEFRnTZoXyuk68DKw?e=gwaCz7</t>
  </si>
  <si>
    <t>F2025-0628</t>
  </si>
  <si>
    <t>Details
 #POFR019659</t>
  </si>
  <si>
    <t>ProcessOut Kakemono 1</t>
  </si>
  <si>
    <t>Alizé Amrani</t>
  </si>
  <si>
    <t>https://saranistudio.sharepoint.com/:f:/s/SaraniAssets/EiEq_tcCAl5KpCw6Csa44nIBnD3l21MpG9vmZPK0gR_UoA?e=nwN5Xt</t>
  </si>
  <si>
    <t>F2024-0375</t>
  </si>
  <si>
    <t>ProcessOut Kakemono 2</t>
  </si>
  <si>
    <t>F2024-0409</t>
  </si>
  <si>
    <t>July LinkedIn Management</t>
  </si>
  <si>
    <t>F2024-0410</t>
  </si>
  <si>
    <t>August LinkedIn Management</t>
  </si>
  <si>
    <t>F2024-0411</t>
  </si>
  <si>
    <t>ProcessOut Brochure (thank you card)</t>
  </si>
  <si>
    <t>20240820_ProcessOut Thank You Card Design - 4 pages</t>
  </si>
  <si>
    <t>F2024-0412</t>
  </si>
  <si>
    <t>September LinkedIn Management</t>
  </si>
  <si>
    <t>FREE</t>
  </si>
  <si>
    <t>October LinkedIn Management</t>
  </si>
  <si>
    <t>20240927_ProcessOut - Linkedin Testimonial Graphic - Ankama</t>
  </si>
  <si>
    <t>F2024-0566</t>
  </si>
  <si>
    <t>November LinkedIn Management</t>
  </si>
  <si>
    <t>F2024-0665</t>
  </si>
  <si>
    <t>December LinkedIn Management</t>
  </si>
  <si>
    <t>F2025-0100</t>
  </si>
  <si>
    <t>January LinkedIn Management</t>
  </si>
  <si>
    <t>February LinkedIn Management</t>
  </si>
  <si>
    <t>March Part-Time CMO</t>
  </si>
  <si>
    <t>#POFR019659</t>
  </si>
  <si>
    <t>F2025-0205</t>
  </si>
  <si>
    <t>April Part-Time CMO</t>
  </si>
  <si>
    <t>F2025-0265</t>
  </si>
  <si>
    <t>May Part-Time CMO</t>
  </si>
  <si>
    <t>F2025-0298</t>
  </si>
  <si>
    <t>June Part-Time CMO</t>
  </si>
  <si>
    <t>F2025-0357</t>
  </si>
  <si>
    <t>July Part-Time CMO</t>
  </si>
  <si>
    <t>F2025-0414</t>
  </si>
  <si>
    <t>August Part-Time CMO</t>
  </si>
  <si>
    <t>F2025-0530</t>
  </si>
  <si>
    <t>September Part-Time CMO</t>
  </si>
  <si>
    <t>F2025-0531</t>
  </si>
  <si>
    <t>October Part-Time CMO</t>
  </si>
  <si>
    <t>F2025-0626</t>
  </si>
  <si>
    <t xml:space="preserve">Payé </t>
  </si>
  <si>
    <t>November Part-Time CMO</t>
  </si>
  <si>
    <t>POFR748 </t>
  </si>
  <si>
    <t>F2025-0710</t>
  </si>
  <si>
    <t>November extra</t>
  </si>
  <si>
    <t>F2025-0774</t>
  </si>
  <si>
    <t>December Part-Time CMO</t>
  </si>
  <si>
    <t>F2025-0800</t>
  </si>
  <si>
    <t>December extra</t>
  </si>
  <si>
    <t>F2025-0834</t>
  </si>
  <si>
    <t>January Part-Time CMO</t>
  </si>
  <si>
    <t>F2026-0036</t>
  </si>
  <si>
    <t>January extra</t>
  </si>
  <si>
    <t>F2026-0037</t>
  </si>
  <si>
    <t>February Part-Time CMO</t>
  </si>
  <si>
    <t>F2026-0064</t>
  </si>
  <si>
    <t>February extra</t>
  </si>
  <si>
    <t>F2026-0065</t>
  </si>
  <si>
    <t>#POFR2539</t>
  </si>
  <si>
    <t>F2026-0112</t>
  </si>
  <si>
    <t>March extra</t>
  </si>
  <si>
    <t>F2026-0113</t>
  </si>
  <si>
    <t>April extra</t>
  </si>
  <si>
    <t>May extra</t>
  </si>
  <si>
    <t>June extra</t>
  </si>
  <si>
    <t>July extra</t>
  </si>
  <si>
    <t>August extra</t>
  </si>
  <si>
    <t>September extra</t>
  </si>
  <si>
    <t>October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</si>
</sst>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-* #,##0.00\ &quot;€&quot;_-;\-* #,##0.00\ &quot;€&quot;_-;_-* &quot;-&quot;??\ &quot;€&quot;_-;_-@_-"/>
    <numFmt numFmtId="165" formatCode="#,##0.00\ &quot;€&quot;"/>
    <numFmt numFmtId="166" formatCode="#,##0\ &quot;€&quot;"/>
    <numFmt numFmtId="167" formatCode="#,##0.0\ &quot;€&quot;"/>
    <numFmt numFmtId="168" formatCode="[$-40C]d\-mmm\-yyyy;@"/>
    <numFmt numFmtId="169" formatCode="_-* #,##0.00\ [$€-40C]_-;\-* #,##0.00\ [$€-40C]_-;_-* &quot;-&quot;??\ [$€-40C]_-;_-@_-"/>
    <numFmt numFmtId="170" formatCode="_([$$-409]* #,##0.00_);_([$$-409]* \(#,##0.00\);_([$$-409]* &quot;-&quot;??_);_(@_)"/>
    <numFmt numFmtId="171" formatCode="_([$€-2]\ * #,##0.00_);_([$€-2]\ * \(#,##0.00\);_([$€-2]\ * &quot;-&quot;??_);_(@_)"/>
    <numFmt numFmtId="172" formatCode="mm/dd/yy;@"/>
    <numFmt numFmtId="173" formatCode="[$-409]d\-mmm\-yy;@"/>
    <numFmt numFmtId="174" formatCode="_-[$£-809]* #,##0.00_-;\-[$£-809]* #,##0.00_-;_-[$£-809]* &quot;-&quot;??_-;_-@_-"/>
    <numFmt numFmtId="175" formatCode="#,##0\ \€;\(#,##0\)\ \€;&quot;-&quot;"/>
    <numFmt numFmtId="176" formatCode="#,##0;\(#,##0\);&quot;-&quot;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</font>
    <font>
      <i/>
      <sz val="11"/>
      <color rgb="FFFFFFFF"/>
      <name val="Calibri"/>
    </font>
    <font>
      <b/>
      <sz val="11"/>
      <color theme="1"/>
      <name val="Calibri"/>
      <family val="2"/>
      <charset val="1"/>
    </font>
    <font>
      <i/>
      <sz val="10"/>
      <color rgb="FF000000"/>
      <name val="Calibri"/>
      <charset val="1"/>
    </font>
    <font>
      <i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i/>
      <sz val="9"/>
      <color rgb="FF000000"/>
      <name val="Calibri"/>
      <charset val="1"/>
    </font>
    <font>
      <b/>
      <sz val="11"/>
      <color theme="1"/>
      <name val="Calibri"/>
      <charset val="1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scheme val="minor"/>
    </font>
    <font>
      <sz val="11"/>
      <color rgb="FFA51006"/>
      <name val="Calibri"/>
      <family val="2"/>
      <scheme val="minor"/>
    </font>
    <font>
      <b/>
      <sz val="11"/>
      <color rgb="FFA51006"/>
      <name val="Calibri"/>
      <family val="2"/>
      <scheme val="minor"/>
    </font>
    <font>
      <i/>
      <sz val="11"/>
      <color theme="6"/>
      <name val="Calibri"/>
      <family val="2"/>
      <scheme val="minor"/>
    </font>
    <font>
      <b/>
      <i/>
      <sz val="11"/>
      <color rgb="FFA51006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9"/>
      <color theme="1" tint="0.499984740745262"/>
      <name val="Calibri"/>
      <family val="2"/>
      <scheme val="minor"/>
    </font>
    <font>
      <i/>
      <sz val="9"/>
      <color theme="1" tint="0.499984740745262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i/>
      <sz val="9"/>
      <color theme="1" tint="0.499984740745262"/>
      <name val="Calibri"/>
      <family val="2"/>
      <scheme val="minor"/>
    </font>
    <font>
      <b/>
      <sz val="9"/>
      <color rgb="FFA51006"/>
      <name val="Calibri"/>
      <family val="2"/>
      <scheme val="minor"/>
    </font>
    <font>
      <b/>
      <sz val="12"/>
      <color theme="1"/>
      <name val="Aptos"/>
      <family val="2"/>
      <charset val="1"/>
    </font>
    <font>
      <b/>
      <sz val="11"/>
      <color rgb="FF000000"/>
      <name val="Calibri"/>
      <scheme val="minor"/>
    </font>
    <font>
      <b/>
      <sz val="14"/>
      <color theme="8" tint="-0.499984740745262"/>
      <name val="Calibri"/>
      <family val="2"/>
      <scheme val="minor"/>
    </font>
    <font>
      <sz val="14"/>
      <color theme="8" tint="-0.499984740745262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rgb="FF000000"/>
      <name val="Calibri"/>
      <family val="2"/>
      <scheme val="minor"/>
    </font>
    <font>
      <i/>
      <sz val="16"/>
      <color theme="0"/>
      <name val="Calibri"/>
      <family val="2"/>
      <scheme val="minor"/>
    </font>
    <font>
      <b/>
      <sz val="16"/>
      <color rgb="FFFFFFFF"/>
      <name val="Calibri"/>
    </font>
    <font>
      <i/>
      <sz val="16"/>
      <color rgb="FFFFFFFF"/>
      <name val="Calibri"/>
    </font>
    <font>
      <sz val="16"/>
      <color theme="1"/>
      <name val="Calibri"/>
      <family val="2"/>
      <scheme val="minor"/>
    </font>
    <font>
      <b/>
      <sz val="11"/>
      <color rgb="FFA51006"/>
      <name val="Calibri"/>
      <family val="2"/>
      <charset val="1"/>
    </font>
    <font>
      <b/>
      <u/>
      <sz val="11"/>
      <color rgb="FFA5100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FFFFFF"/>
      <name val="Calibri"/>
    </font>
    <font>
      <sz val="10"/>
      <color rgb="FFFFFFFF"/>
      <name val="Calibri"/>
    </font>
    <font>
      <b/>
      <sz val="14"/>
      <color rgb="FFF1F5F9"/>
      <name val="Calibri"/>
    </font>
    <font>
      <b/>
      <sz val="10"/>
      <color rgb="FFF1F5F9"/>
      <name val="Calibri"/>
    </font>
    <font>
      <sz val="8"/>
      <color rgb="FF64748B"/>
      <name val="Calibri"/>
    </font>
    <font>
      <sz val="10"/>
      <color rgb="FF94A3B8"/>
      <name val="Calibri"/>
    </font>
    <font>
      <sz val="10"/>
      <color rgb="FFCBD5E1"/>
      <name val="Calibri"/>
    </font>
    <font>
      <b/>
      <sz val="10"/>
      <color rgb="FF10B981"/>
      <name val="Calibri"/>
    </font>
    <font>
      <b/>
      <sz val="10"/>
      <color rgb="FF3B82F6"/>
      <name val="Calibri"/>
    </font>
    <font>
      <sz val="9"/>
      <color rgb="FF64748B"/>
      <name val="Calibri"/>
    </font>
    <font>
      <b/>
      <sz val="9"/>
      <color rgb="FF3B82F6"/>
      <name val="Calibri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E2EFDA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A1A1A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rgb="FF1A365D"/>
        <bgColor indexed="64"/>
      </patternFill>
    </fill>
    <fill>
      <patternFill patternType="solid">
        <fgColor rgb="FF1E1E1E"/>
        <bgColor indexed="64"/>
      </patternFill>
    </fill>
    <fill>
      <patternFill patternType="solid">
        <fgColor rgb="FF25252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rgb="FF000000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000000"/>
      </right>
      <top style="thin">
        <color theme="4" tint="0.39997558519241921"/>
      </top>
      <bottom/>
      <diagonal/>
    </border>
    <border>
      <left/>
      <right/>
      <top/>
      <bottom style="thin">
        <color rgb="FF3B82F6"/>
      </bottom>
      <diagonal/>
    </border>
    <border>
      <left/>
      <right/>
      <top style="thin">
        <color rgb="FF3B82F6"/>
      </top>
      <bottom/>
      <diagonal/>
    </border>
    <border>
      <left/>
      <right/>
      <top style="thin">
        <color rgb="FF10B98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420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Font="1"/>
    <xf numFmtId="0" fontId="2" fillId="2" borderId="0" xfId="0" applyFont="1" applyFill="1"/>
    <xf numFmtId="164" fontId="2" fillId="2" borderId="0" xfId="1" applyFont="1" applyFill="1"/>
    <xf numFmtId="0" fontId="3" fillId="0" borderId="0" xfId="0" applyFont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0" fillId="0" borderId="1" xfId="0" applyBorder="1"/>
    <xf numFmtId="14" fontId="0" fillId="0" borderId="0" xfId="0" applyNumberFormat="1"/>
    <xf numFmtId="165" fontId="3" fillId="4" borderId="1" xfId="1" applyNumberFormat="1" applyFont="1" applyFill="1" applyBorder="1" applyAlignment="1">
      <alignment horizontal="center"/>
    </xf>
    <xf numFmtId="165" fontId="3" fillId="4" borderId="0" xfId="1" applyNumberFormat="1" applyFont="1" applyFill="1" applyAlignment="1">
      <alignment horizontal="center"/>
    </xf>
    <xf numFmtId="166" fontId="3" fillId="4" borderId="1" xfId="1" applyNumberFormat="1" applyFont="1" applyFill="1" applyBorder="1" applyAlignment="1">
      <alignment horizontal="center"/>
    </xf>
    <xf numFmtId="166" fontId="3" fillId="4" borderId="0" xfId="1" applyNumberFormat="1" applyFont="1" applyFill="1" applyAlignment="1">
      <alignment horizontal="center"/>
    </xf>
    <xf numFmtId="166" fontId="3" fillId="4" borderId="0" xfId="1" applyNumberFormat="1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164" fontId="3" fillId="4" borderId="0" xfId="1" applyFont="1" applyFill="1" applyAlignment="1">
      <alignment horizontal="center"/>
    </xf>
    <xf numFmtId="0" fontId="2" fillId="2" borderId="2" xfId="0" applyFont="1" applyFill="1" applyBorder="1"/>
    <xf numFmtId="0" fontId="3" fillId="4" borderId="2" xfId="0" applyFont="1" applyFill="1" applyBorder="1" applyAlignment="1">
      <alignment horizontal="center"/>
    </xf>
    <xf numFmtId="0" fontId="0" fillId="0" borderId="2" xfId="0" applyBorder="1"/>
    <xf numFmtId="0" fontId="4" fillId="5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1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7" fillId="3" borderId="0" xfId="0" applyFont="1" applyFill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6" fillId="0" borderId="0" xfId="2"/>
    <xf numFmtId="0" fontId="0" fillId="0" borderId="0" xfId="0" quotePrefix="1"/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7" borderId="0" xfId="0" applyFill="1"/>
    <xf numFmtId="16" fontId="0" fillId="0" borderId="0" xfId="0" applyNumberFormat="1"/>
    <xf numFmtId="0" fontId="0" fillId="7" borderId="0" xfId="0" applyFill="1" applyAlignment="1">
      <alignment horizontal="center"/>
    </xf>
    <xf numFmtId="168" fontId="2" fillId="2" borderId="0" xfId="0" applyNumberFormat="1" applyFont="1" applyFill="1" applyAlignment="1">
      <alignment horizontal="center"/>
    </xf>
    <xf numFmtId="168" fontId="2" fillId="3" borderId="0" xfId="0" applyNumberFormat="1" applyFont="1" applyFill="1" applyAlignment="1">
      <alignment horizontal="center" vertical="center" wrapText="1"/>
    </xf>
    <xf numFmtId="168" fontId="3" fillId="4" borderId="0" xfId="0" applyNumberFormat="1" applyFont="1" applyFill="1" applyAlignment="1">
      <alignment horizontal="center"/>
    </xf>
    <xf numFmtId="168" fontId="0" fillId="7" borderId="0" xfId="0" applyNumberFormat="1" applyFill="1" applyAlignment="1">
      <alignment horizontal="center"/>
    </xf>
    <xf numFmtId="168" fontId="0" fillId="0" borderId="0" xfId="0" applyNumberFormat="1" applyAlignment="1">
      <alignment horizontal="center"/>
    </xf>
    <xf numFmtId="164" fontId="0" fillId="7" borderId="0" xfId="1" applyFont="1" applyFill="1"/>
    <xf numFmtId="0" fontId="3" fillId="0" borderId="2" xfId="0" applyFont="1" applyBorder="1" applyAlignment="1">
      <alignment wrapText="1"/>
    </xf>
    <xf numFmtId="0" fontId="0" fillId="7" borderId="0" xfId="0" applyFill="1" applyAlignment="1">
      <alignment horizontal="center" vertical="center"/>
    </xf>
    <xf numFmtId="164" fontId="0" fillId="7" borderId="0" xfId="1" applyFont="1" applyFill="1" applyAlignment="1">
      <alignment horizontal="center" vertical="center"/>
    </xf>
    <xf numFmtId="0" fontId="4" fillId="0" borderId="0" xfId="0" applyFont="1"/>
    <xf numFmtId="168" fontId="12" fillId="7" borderId="0" xfId="0" applyNumberFormat="1" applyFont="1" applyFill="1" applyAlignment="1">
      <alignment horizontal="center" vertical="center"/>
    </xf>
    <xf numFmtId="0" fontId="9" fillId="0" borderId="0" xfId="0" applyFont="1"/>
    <xf numFmtId="164" fontId="0" fillId="0" borderId="0" xfId="1" applyFont="1" applyFill="1"/>
    <xf numFmtId="0" fontId="9" fillId="0" borderId="2" xfId="0" applyFont="1" applyBorder="1"/>
    <xf numFmtId="14" fontId="2" fillId="2" borderId="0" xfId="0" applyNumberFormat="1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" fontId="2" fillId="3" borderId="0" xfId="0" applyNumberFormat="1" applyFont="1" applyFill="1" applyAlignment="1">
      <alignment horizontal="center" vertical="center" wrapText="1"/>
    </xf>
    <xf numFmtId="1" fontId="3" fillId="4" borderId="0" xfId="0" applyNumberFormat="1" applyFont="1" applyFill="1" applyAlignment="1">
      <alignment horizontal="center"/>
    </xf>
    <xf numFmtId="168" fontId="4" fillId="0" borderId="0" xfId="0" applyNumberFormat="1" applyFont="1" applyAlignment="1">
      <alignment horizontal="center"/>
    </xf>
    <xf numFmtId="168" fontId="4" fillId="2" borderId="0" xfId="0" applyNumberFormat="1" applyFont="1" applyFill="1" applyAlignment="1">
      <alignment horizontal="center"/>
    </xf>
    <xf numFmtId="168" fontId="4" fillId="3" borderId="0" xfId="0" applyNumberFormat="1" applyFont="1" applyFill="1" applyAlignment="1">
      <alignment horizontal="center" vertical="center" wrapText="1"/>
    </xf>
    <xf numFmtId="168" fontId="4" fillId="4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right"/>
    </xf>
    <xf numFmtId="0" fontId="4" fillId="7" borderId="0" xfId="0" applyFont="1" applyFill="1"/>
    <xf numFmtId="0" fontId="6" fillId="0" borderId="0" xfId="2" applyFill="1"/>
    <xf numFmtId="0" fontId="17" fillId="0" borderId="0" xfId="0" applyFont="1" applyAlignment="1">
      <alignment horizontal="center"/>
    </xf>
    <xf numFmtId="0" fontId="6" fillId="0" borderId="0" xfId="2" applyBorder="1"/>
    <xf numFmtId="0" fontId="6" fillId="0" borderId="0" xfId="2" applyAlignment="1">
      <alignment horizontal="center"/>
    </xf>
    <xf numFmtId="168" fontId="13" fillId="7" borderId="0" xfId="0" applyNumberFormat="1" applyFont="1" applyFill="1" applyAlignment="1">
      <alignment horizontal="center"/>
    </xf>
    <xf numFmtId="164" fontId="4" fillId="7" borderId="0" xfId="1" applyFont="1" applyFill="1"/>
    <xf numFmtId="0" fontId="4" fillId="7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7" fillId="7" borderId="0" xfId="0" applyFont="1" applyFill="1" applyAlignment="1">
      <alignment horizontal="center"/>
    </xf>
    <xf numFmtId="164" fontId="0" fillId="7" borderId="0" xfId="1" applyFont="1" applyFill="1" applyAlignment="1">
      <alignment horizontal="center"/>
    </xf>
    <xf numFmtId="168" fontId="23" fillId="9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center" wrapText="1"/>
    </xf>
    <xf numFmtId="168" fontId="20" fillId="7" borderId="0" xfId="0" applyNumberFormat="1" applyFont="1" applyFill="1" applyAlignment="1">
      <alignment horizontal="center" vertical="center"/>
    </xf>
    <xf numFmtId="168" fontId="4" fillId="7" borderId="0" xfId="0" applyNumberFormat="1" applyFont="1" applyFill="1" applyAlignment="1">
      <alignment horizontal="center"/>
    </xf>
    <xf numFmtId="1" fontId="13" fillId="7" borderId="4" xfId="0" applyNumberFormat="1" applyFont="1" applyFill="1" applyBorder="1" applyAlignment="1">
      <alignment horizontal="center"/>
    </xf>
    <xf numFmtId="14" fontId="4" fillId="0" borderId="0" xfId="0" applyNumberFormat="1" applyFont="1"/>
    <xf numFmtId="0" fontId="19" fillId="0" borderId="2" xfId="0" applyFont="1" applyBorder="1"/>
    <xf numFmtId="0" fontId="24" fillId="0" borderId="0" xfId="2" applyFont="1" applyFill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20" fillId="0" borderId="0" xfId="0" applyFont="1"/>
    <xf numFmtId="0" fontId="0" fillId="7" borderId="0" xfId="0" applyFill="1" applyAlignment="1">
      <alignment horizontal="center" wrapText="1"/>
    </xf>
    <xf numFmtId="0" fontId="4" fillId="7" borderId="0" xfId="0" applyFont="1" applyFill="1" applyAlignment="1">
      <alignment horizontal="center" vertical="center"/>
    </xf>
    <xf numFmtId="164" fontId="4" fillId="10" borderId="0" xfId="1" applyFont="1" applyFill="1"/>
    <xf numFmtId="0" fontId="4" fillId="10" borderId="0" xfId="0" applyFont="1" applyFill="1"/>
    <xf numFmtId="0" fontId="4" fillId="10" borderId="0" xfId="0" applyFont="1" applyFill="1" applyAlignment="1">
      <alignment horizontal="center"/>
    </xf>
    <xf numFmtId="0" fontId="11" fillId="10" borderId="0" xfId="0" applyFont="1" applyFill="1" applyAlignment="1">
      <alignment horizontal="center"/>
    </xf>
    <xf numFmtId="168" fontId="26" fillId="8" borderId="0" xfId="0" applyNumberFormat="1" applyFont="1" applyFill="1" applyAlignment="1">
      <alignment horizontal="center" vertical="center"/>
    </xf>
    <xf numFmtId="1" fontId="26" fillId="8" borderId="0" xfId="0" applyNumberFormat="1" applyFont="1" applyFill="1" applyAlignment="1">
      <alignment horizontal="center" vertical="center" wrapText="1"/>
    </xf>
    <xf numFmtId="168" fontId="29" fillId="0" borderId="0" xfId="0" applyNumberFormat="1" applyFont="1" applyAlignment="1">
      <alignment horizontal="center" vertical="center"/>
    </xf>
    <xf numFmtId="1" fontId="26" fillId="8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0" xfId="1" applyFont="1" applyFill="1" applyAlignment="1">
      <alignment horizontal="center" vertical="center"/>
    </xf>
    <xf numFmtId="168" fontId="2" fillId="2" borderId="0" xfId="0" applyNumberFormat="1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64" fontId="3" fillId="4" borderId="0" xfId="1" applyFont="1" applyFill="1" applyAlignment="1">
      <alignment horizontal="center" vertical="center"/>
    </xf>
    <xf numFmtId="168" fontId="3" fillId="4" borderId="0" xfId="0" applyNumberFormat="1" applyFont="1" applyFill="1" applyAlignment="1">
      <alignment horizontal="center" vertical="center"/>
    </xf>
    <xf numFmtId="166" fontId="3" fillId="4" borderId="1" xfId="1" applyNumberFormat="1" applyFont="1" applyFill="1" applyBorder="1" applyAlignment="1">
      <alignment horizontal="center" vertical="center"/>
    </xf>
    <xf numFmtId="166" fontId="3" fillId="4" borderId="0" xfId="1" applyNumberFormat="1" applyFont="1" applyFill="1" applyAlignment="1">
      <alignment horizontal="center" vertical="center"/>
    </xf>
    <xf numFmtId="166" fontId="3" fillId="4" borderId="0" xfId="1" applyNumberFormat="1" applyFont="1" applyFill="1" applyBorder="1" applyAlignment="1">
      <alignment horizontal="center" vertical="center"/>
    </xf>
    <xf numFmtId="165" fontId="3" fillId="4" borderId="1" xfId="1" applyNumberFormat="1" applyFont="1" applyFill="1" applyBorder="1" applyAlignment="1">
      <alignment horizontal="center" vertical="center"/>
    </xf>
    <xf numFmtId="165" fontId="3" fillId="4" borderId="0" xfId="1" applyNumberFormat="1" applyFont="1" applyFill="1" applyAlignment="1">
      <alignment horizontal="center" vertical="center"/>
    </xf>
    <xf numFmtId="0" fontId="28" fillId="8" borderId="0" xfId="0" applyFont="1" applyFill="1" applyAlignment="1">
      <alignment horizontal="center" vertical="center"/>
    </xf>
    <xf numFmtId="0" fontId="30" fillId="8" borderId="2" xfId="0" applyFont="1" applyFill="1" applyBorder="1" applyAlignment="1">
      <alignment horizontal="center" vertical="center"/>
    </xf>
    <xf numFmtId="0" fontId="27" fillId="8" borderId="0" xfId="0" applyFont="1" applyFill="1" applyAlignment="1">
      <alignment horizontal="center" vertical="center"/>
    </xf>
    <xf numFmtId="164" fontId="27" fillId="8" borderId="0" xfId="1" applyFont="1" applyFill="1" applyAlignment="1">
      <alignment horizontal="center" vertical="center"/>
    </xf>
    <xf numFmtId="0" fontId="26" fillId="8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164" fontId="29" fillId="0" borderId="0" xfId="1" applyFont="1" applyFill="1" applyAlignment="1">
      <alignment horizontal="center" vertical="center"/>
    </xf>
    <xf numFmtId="14" fontId="20" fillId="9" borderId="0" xfId="0" applyNumberFormat="1" applyFont="1" applyFill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164" fontId="21" fillId="9" borderId="0" xfId="1" applyFont="1" applyFill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25" fillId="0" borderId="0" xfId="0" applyNumberFormat="1" applyFont="1" applyAlignment="1">
      <alignment horizontal="center" vertical="center"/>
    </xf>
    <xf numFmtId="14" fontId="20" fillId="7" borderId="0" xfId="0" applyNumberFormat="1" applyFont="1" applyFill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164" fontId="21" fillId="7" borderId="0" xfId="1" applyFont="1" applyFill="1" applyAlignment="1">
      <alignment horizontal="center" vertical="center"/>
    </xf>
    <xf numFmtId="168" fontId="23" fillId="7" borderId="0" xfId="0" applyNumberFormat="1" applyFont="1" applyFill="1" applyAlignment="1">
      <alignment horizontal="center" vertical="center"/>
    </xf>
    <xf numFmtId="9" fontId="21" fillId="9" borderId="2" xfId="0" applyNumberFormat="1" applyFont="1" applyFill="1" applyBorder="1" applyAlignment="1">
      <alignment horizontal="center" vertical="center"/>
    </xf>
    <xf numFmtId="0" fontId="20" fillId="9" borderId="2" xfId="0" applyFont="1" applyFill="1" applyBorder="1" applyAlignment="1">
      <alignment horizontal="center" vertical="center"/>
    </xf>
    <xf numFmtId="164" fontId="20" fillId="9" borderId="0" xfId="1" applyFont="1" applyFill="1" applyAlignment="1">
      <alignment horizontal="center" vertical="center"/>
    </xf>
    <xf numFmtId="164" fontId="20" fillId="9" borderId="0" xfId="0" applyNumberFormat="1" applyFont="1" applyFill="1" applyAlignment="1">
      <alignment horizontal="center" vertical="center"/>
    </xf>
    <xf numFmtId="0" fontId="23" fillId="9" borderId="0" xfId="0" applyFont="1" applyFill="1" applyAlignment="1">
      <alignment horizontal="center" vertical="center"/>
    </xf>
    <xf numFmtId="1" fontId="12" fillId="0" borderId="4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164" fontId="4" fillId="0" borderId="0" xfId="1" applyFont="1" applyFill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68" fontId="17" fillId="0" borderId="0" xfId="0" applyNumberFormat="1" applyFont="1" applyAlignment="1">
      <alignment horizontal="center" vertical="center"/>
    </xf>
    <xf numFmtId="164" fontId="0" fillId="0" borderId="0" xfId="1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0" xfId="1" applyFont="1" applyAlignment="1">
      <alignment horizontal="center" vertical="center"/>
    </xf>
    <xf numFmtId="168" fontId="29" fillId="0" borderId="4" xfId="0" applyNumberFormat="1" applyFont="1" applyBorder="1" applyAlignment="1">
      <alignment horizontal="center" vertical="center"/>
    </xf>
    <xf numFmtId="0" fontId="32" fillId="9" borderId="2" xfId="0" applyFont="1" applyFill="1" applyBorder="1" applyAlignment="1">
      <alignment horizontal="center" vertical="center" wrapText="1"/>
    </xf>
    <xf numFmtId="14" fontId="20" fillId="11" borderId="0" xfId="0" applyNumberFormat="1" applyFont="1" applyFill="1" applyAlignment="1">
      <alignment horizontal="center" vertical="center"/>
    </xf>
    <xf numFmtId="0" fontId="20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164" fontId="20" fillId="11" borderId="0" xfId="1" applyFont="1" applyFill="1" applyAlignment="1">
      <alignment horizontal="center" vertical="center"/>
    </xf>
    <xf numFmtId="164" fontId="20" fillId="11" borderId="0" xfId="0" applyNumberFormat="1" applyFont="1" applyFill="1" applyAlignment="1">
      <alignment horizontal="center" vertical="center"/>
    </xf>
    <xf numFmtId="0" fontId="23" fillId="11" borderId="0" xfId="0" applyFont="1" applyFill="1" applyAlignment="1">
      <alignment horizontal="center" vertical="center"/>
    </xf>
    <xf numFmtId="168" fontId="23" fillId="11" borderId="0" xfId="0" applyNumberFormat="1" applyFont="1" applyFill="1" applyAlignment="1">
      <alignment horizontal="center" vertical="center"/>
    </xf>
    <xf numFmtId="1" fontId="12" fillId="11" borderId="4" xfId="0" applyNumberFormat="1" applyFont="1" applyFill="1" applyBorder="1" applyAlignment="1">
      <alignment horizontal="center" vertical="center"/>
    </xf>
    <xf numFmtId="168" fontId="0" fillId="11" borderId="0" xfId="0" applyNumberFormat="1" applyFill="1" applyAlignment="1">
      <alignment horizontal="center" vertical="center"/>
    </xf>
    <xf numFmtId="168" fontId="25" fillId="11" borderId="0" xfId="0" applyNumberFormat="1" applyFont="1" applyFill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1" fontId="0" fillId="7" borderId="0" xfId="0" applyNumberFormat="1" applyFill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6" fillId="0" borderId="0" xfId="2" applyAlignment="1">
      <alignment horizontal="center" vertical="center"/>
    </xf>
    <xf numFmtId="168" fontId="0" fillId="7" borderId="0" xfId="0" applyNumberFormat="1" applyFill="1" applyAlignment="1">
      <alignment horizontal="center" vertical="center"/>
    </xf>
    <xf numFmtId="168" fontId="13" fillId="0" borderId="0" xfId="0" applyNumberFormat="1" applyFont="1" applyAlignment="1">
      <alignment horizontal="center" vertical="center"/>
    </xf>
    <xf numFmtId="0" fontId="0" fillId="7" borderId="0" xfId="0" applyFill="1" applyAlignment="1">
      <alignment horizontal="center" vertical="center" wrapText="1"/>
    </xf>
    <xf numFmtId="168" fontId="13" fillId="7" borderId="0" xfId="0" applyNumberFormat="1" applyFont="1" applyFill="1" applyAlignment="1">
      <alignment horizontal="center" vertical="center"/>
    </xf>
    <xf numFmtId="14" fontId="15" fillId="7" borderId="0" xfId="0" applyNumberFormat="1" applyFont="1" applyFill="1" applyAlignment="1">
      <alignment horizontal="center" vertical="center"/>
    </xf>
    <xf numFmtId="168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6" fillId="0" borderId="0" xfId="2" applyAlignment="1">
      <alignment horizontal="left"/>
    </xf>
    <xf numFmtId="164" fontId="0" fillId="7" borderId="0" xfId="1" applyFont="1" applyFill="1" applyAlignment="1">
      <alignment horizontal="right" vertical="center"/>
    </xf>
    <xf numFmtId="164" fontId="4" fillId="7" borderId="0" xfId="1" applyFont="1" applyFill="1" applyAlignment="1">
      <alignment horizontal="right" vertical="center"/>
    </xf>
    <xf numFmtId="169" fontId="0" fillId="7" borderId="0" xfId="1" applyNumberFormat="1" applyFont="1" applyFill="1" applyAlignment="1">
      <alignment horizontal="right" vertical="center"/>
    </xf>
    <xf numFmtId="164" fontId="0" fillId="7" borderId="0" xfId="1" applyFont="1" applyFill="1" applyBorder="1" applyAlignment="1">
      <alignment horizontal="right" vertical="center"/>
    </xf>
    <xf numFmtId="164" fontId="0" fillId="0" borderId="0" xfId="1" applyFont="1" applyAlignment="1">
      <alignment horizontal="right" vertical="center"/>
    </xf>
    <xf numFmtId="0" fontId="4" fillId="7" borderId="0" xfId="0" applyFont="1" applyFill="1" applyAlignment="1">
      <alignment horizontal="center" vertical="center" wrapText="1"/>
    </xf>
    <xf numFmtId="168" fontId="4" fillId="7" borderId="0" xfId="0" applyNumberFormat="1" applyFont="1" applyFill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168" fontId="14" fillId="7" borderId="0" xfId="0" applyNumberFormat="1" applyFont="1" applyFill="1" applyAlignment="1">
      <alignment horizontal="center" vertical="center"/>
    </xf>
    <xf numFmtId="168" fontId="11" fillId="7" borderId="0" xfId="0" applyNumberFormat="1" applyFont="1" applyFill="1" applyAlignment="1">
      <alignment horizontal="center" vertical="center"/>
    </xf>
    <xf numFmtId="14" fontId="10" fillId="7" borderId="0" xfId="0" applyNumberFormat="1" applyFont="1" applyFill="1" applyAlignment="1">
      <alignment horizontal="center" vertical="center"/>
    </xf>
    <xf numFmtId="168" fontId="17" fillId="7" borderId="0" xfId="0" applyNumberFormat="1" applyFont="1" applyFill="1" applyAlignment="1">
      <alignment horizontal="center" vertical="center"/>
    </xf>
    <xf numFmtId="0" fontId="34" fillId="0" borderId="2" xfId="0" applyFont="1" applyBorder="1"/>
    <xf numFmtId="0" fontId="9" fillId="0" borderId="2" xfId="0" applyFont="1" applyBorder="1" applyAlignment="1">
      <alignment horizontal="center" vertical="center"/>
    </xf>
    <xf numFmtId="0" fontId="16" fillId="0" borderId="2" xfId="0" applyFont="1" applyBorder="1"/>
    <xf numFmtId="1" fontId="12" fillId="7" borderId="0" xfId="0" applyNumberFormat="1" applyFont="1" applyFill="1" applyAlignment="1">
      <alignment horizontal="center" vertical="center"/>
    </xf>
    <xf numFmtId="168" fontId="13" fillId="7" borderId="4" xfId="0" applyNumberFormat="1" applyFont="1" applyFill="1" applyBorder="1" applyAlignment="1">
      <alignment horizontal="center" vertical="center"/>
    </xf>
    <xf numFmtId="0" fontId="4" fillId="10" borderId="0" xfId="0" applyFont="1" applyFill="1" applyAlignment="1">
      <alignment horizontal="center" vertical="center" wrapText="1"/>
    </xf>
    <xf numFmtId="0" fontId="11" fillId="10" borderId="0" xfId="0" applyFont="1" applyFill="1" applyAlignment="1">
      <alignment horizontal="center" vertical="center" wrapText="1"/>
    </xf>
    <xf numFmtId="168" fontId="20" fillId="10" borderId="0" xfId="0" applyNumberFormat="1" applyFont="1" applyFill="1" applyAlignment="1">
      <alignment horizontal="center" vertical="center" wrapText="1"/>
    </xf>
    <xf numFmtId="168" fontId="20" fillId="7" borderId="0" xfId="0" applyNumberFormat="1" applyFont="1" applyFill="1" applyAlignment="1">
      <alignment horizontal="center" vertical="center" wrapText="1"/>
    </xf>
    <xf numFmtId="168" fontId="4" fillId="7" borderId="0" xfId="0" applyNumberFormat="1" applyFon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4" fillId="10" borderId="0" xfId="1" applyFont="1" applyFill="1" applyAlignment="1">
      <alignment horizontal="center" vertical="center" wrapText="1"/>
    </xf>
    <xf numFmtId="164" fontId="4" fillId="7" borderId="0" xfId="1" applyFont="1" applyFill="1" applyAlignment="1">
      <alignment horizontal="center" vertical="center" wrapText="1"/>
    </xf>
    <xf numFmtId="0" fontId="3" fillId="0" borderId="0" xfId="0" applyFont="1" applyAlignment="1">
      <alignment horizontal="left"/>
    </xf>
    <xf numFmtId="14" fontId="3" fillId="0" borderId="0" xfId="0" applyNumberFormat="1" applyFont="1"/>
    <xf numFmtId="170" fontId="4" fillId="7" borderId="0" xfId="1" applyNumberFormat="1" applyFont="1" applyFill="1" applyAlignment="1">
      <alignment horizontal="center" vertical="center"/>
    </xf>
    <xf numFmtId="0" fontId="4" fillId="7" borderId="0" xfId="0" applyFont="1" applyFill="1" applyAlignment="1">
      <alignment vertical="center"/>
    </xf>
    <xf numFmtId="168" fontId="4" fillId="7" borderId="4" xfId="0" applyNumberFormat="1" applyFont="1" applyFill="1" applyBorder="1" applyAlignment="1">
      <alignment horizontal="center" vertical="center"/>
    </xf>
    <xf numFmtId="164" fontId="4" fillId="0" borderId="0" xfId="1" applyFont="1" applyFill="1" applyAlignment="1">
      <alignment horizontal="right" vertical="center"/>
    </xf>
    <xf numFmtId="170" fontId="0" fillId="0" borderId="0" xfId="1" applyNumberFormat="1" applyFont="1"/>
    <xf numFmtId="0" fontId="0" fillId="12" borderId="0" xfId="0" applyFill="1" applyAlignment="1">
      <alignment horizontal="center" vertical="center"/>
    </xf>
    <xf numFmtId="168" fontId="0" fillId="12" borderId="0" xfId="0" applyNumberFormat="1" applyFill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0" fillId="13" borderId="6" xfId="0" applyFill="1" applyBorder="1" applyAlignment="1">
      <alignment horizontal="left"/>
    </xf>
    <xf numFmtId="0" fontId="0" fillId="13" borderId="5" xfId="0" applyFill="1" applyBorder="1"/>
    <xf numFmtId="14" fontId="0" fillId="13" borderId="5" xfId="0" applyNumberFormat="1" applyFill="1" applyBorder="1"/>
    <xf numFmtId="168" fontId="4" fillId="0" borderId="0" xfId="0" applyNumberFormat="1" applyFont="1" applyAlignment="1">
      <alignment horizontal="center" vertical="center" wrapText="1"/>
    </xf>
    <xf numFmtId="168" fontId="4" fillId="12" borderId="0" xfId="0" applyNumberFormat="1" applyFont="1" applyFill="1" applyAlignment="1">
      <alignment horizontal="center" vertical="center"/>
    </xf>
    <xf numFmtId="0" fontId="35" fillId="4" borderId="0" xfId="0" applyFont="1" applyFill="1" applyAlignment="1">
      <alignment horizontal="center" vertical="center"/>
    </xf>
    <xf numFmtId="0" fontId="35" fillId="4" borderId="2" xfId="0" applyFont="1" applyFill="1" applyBorder="1" applyAlignment="1">
      <alignment horizontal="center" vertical="center"/>
    </xf>
    <xf numFmtId="164" fontId="35" fillId="4" borderId="0" xfId="1" applyFont="1" applyFill="1" applyAlignment="1">
      <alignment horizontal="center" vertical="center"/>
    </xf>
    <xf numFmtId="168" fontId="35" fillId="4" borderId="0" xfId="0" applyNumberFormat="1" applyFont="1" applyFill="1" applyAlignment="1">
      <alignment horizontal="center" vertical="center"/>
    </xf>
    <xf numFmtId="168" fontId="36" fillId="4" borderId="0" xfId="0" applyNumberFormat="1" applyFont="1" applyFill="1" applyAlignment="1">
      <alignment horizontal="center" vertical="center"/>
    </xf>
    <xf numFmtId="166" fontId="35" fillId="4" borderId="1" xfId="1" applyNumberFormat="1" applyFont="1" applyFill="1" applyBorder="1" applyAlignment="1">
      <alignment horizontal="center" vertical="center"/>
    </xf>
    <xf numFmtId="166" fontId="35" fillId="4" borderId="0" xfId="1" applyNumberFormat="1" applyFont="1" applyFill="1" applyAlignment="1">
      <alignment horizontal="center" vertical="center"/>
    </xf>
    <xf numFmtId="166" fontId="35" fillId="4" borderId="0" xfId="1" applyNumberFormat="1" applyFont="1" applyFill="1" applyBorder="1" applyAlignment="1">
      <alignment horizontal="center" vertical="center"/>
    </xf>
    <xf numFmtId="165" fontId="35" fillId="4" borderId="1" xfId="1" applyNumberFormat="1" applyFont="1" applyFill="1" applyBorder="1" applyAlignment="1">
      <alignment horizontal="center" vertical="center"/>
    </xf>
    <xf numFmtId="165" fontId="35" fillId="4" borderId="0" xfId="1" applyNumberFormat="1" applyFont="1" applyFill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3" borderId="0" xfId="0" applyFont="1" applyFill="1" applyAlignment="1">
      <alignment horizontal="center" vertical="center" wrapText="1"/>
    </xf>
    <xf numFmtId="168" fontId="37" fillId="3" borderId="0" xfId="0" applyNumberFormat="1" applyFont="1" applyFill="1" applyAlignment="1">
      <alignment horizontal="center" vertical="center" wrapText="1"/>
    </xf>
    <xf numFmtId="168" fontId="38" fillId="3" borderId="0" xfId="0" applyNumberFormat="1" applyFont="1" applyFill="1" applyAlignment="1">
      <alignment horizontal="center" vertical="center" wrapText="1"/>
    </xf>
    <xf numFmtId="0" fontId="37" fillId="3" borderId="1" xfId="0" applyFont="1" applyFill="1" applyBorder="1" applyAlignment="1">
      <alignment horizontal="center" vertical="center" wrapText="1"/>
    </xf>
    <xf numFmtId="0" fontId="37" fillId="3" borderId="3" xfId="0" applyFont="1" applyFill="1" applyBorder="1" applyAlignment="1">
      <alignment horizontal="center" vertical="center" wrapText="1"/>
    </xf>
    <xf numFmtId="0" fontId="40" fillId="3" borderId="0" xfId="0" applyFont="1" applyFill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33" fillId="0" borderId="2" xfId="0" applyFont="1" applyBorder="1" applyAlignment="1">
      <alignment wrapText="1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6" fillId="0" borderId="0" xfId="0" applyFont="1"/>
    <xf numFmtId="1" fontId="12" fillId="7" borderId="4" xfId="0" applyNumberFormat="1" applyFont="1" applyFill="1" applyBorder="1" applyAlignment="1">
      <alignment horizontal="center" vertical="center"/>
    </xf>
    <xf numFmtId="0" fontId="4" fillId="7" borderId="0" xfId="0" applyFont="1" applyFill="1" applyAlignment="1">
      <alignment horizontal="left" vertical="center"/>
    </xf>
    <xf numFmtId="0" fontId="35" fillId="4" borderId="0" xfId="0" applyFont="1" applyFill="1" applyAlignment="1">
      <alignment horizontal="left" vertical="center"/>
    </xf>
    <xf numFmtId="14" fontId="0" fillId="6" borderId="0" xfId="0" applyNumberFormat="1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4" fillId="10" borderId="0" xfId="0" applyFont="1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4" fillId="7" borderId="5" xfId="0" applyFont="1" applyFill="1" applyBorder="1" applyAlignment="1">
      <alignment horizontal="left" vertical="center"/>
    </xf>
    <xf numFmtId="0" fontId="0" fillId="13" borderId="5" xfId="0" applyFill="1" applyBorder="1" applyAlignment="1">
      <alignment horizontal="left"/>
    </xf>
    <xf numFmtId="0" fontId="3" fillId="0" borderId="2" xfId="0" applyFont="1" applyBorder="1" applyAlignment="1">
      <alignment horizontal="center" vertical="center" wrapText="1"/>
    </xf>
    <xf numFmtId="164" fontId="0" fillId="12" borderId="0" xfId="1" applyFont="1" applyFill="1"/>
    <xf numFmtId="0" fontId="0" fillId="12" borderId="1" xfId="0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13" borderId="5" xfId="0" applyFill="1" applyBorder="1" applyAlignment="1">
      <alignment horizontal="center"/>
    </xf>
    <xf numFmtId="0" fontId="0" fillId="13" borderId="5" xfId="0" applyFill="1" applyBorder="1" applyAlignment="1">
      <alignment horizontal="center" vertical="center"/>
    </xf>
    <xf numFmtId="0" fontId="6" fillId="0" borderId="5" xfId="2" applyBorder="1"/>
    <xf numFmtId="0" fontId="35" fillId="4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7" borderId="0" xfId="0" applyFill="1" applyAlignment="1">
      <alignment vertical="center"/>
    </xf>
    <xf numFmtId="0" fontId="4" fillId="0" borderId="0" xfId="0" applyFont="1" applyAlignment="1">
      <alignment vertical="center"/>
    </xf>
    <xf numFmtId="0" fontId="4" fillId="5" borderId="5" xfId="0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14" fontId="0" fillId="13" borderId="5" xfId="0" applyNumberFormat="1" applyFill="1" applyBorder="1" applyAlignment="1">
      <alignment vertical="center"/>
    </xf>
    <xf numFmtId="0" fontId="3" fillId="13" borderId="7" xfId="0" applyFont="1" applyFill="1" applyBorder="1"/>
    <xf numFmtId="0" fontId="3" fillId="0" borderId="7" xfId="0" applyFont="1" applyBorder="1"/>
    <xf numFmtId="0" fontId="0" fillId="0" borderId="6" xfId="0" applyBorder="1" applyAlignment="1">
      <alignment horizontal="left"/>
    </xf>
    <xf numFmtId="164" fontId="0" fillId="13" borderId="5" xfId="1" applyFont="1" applyFill="1" applyBorder="1"/>
    <xf numFmtId="171" fontId="0" fillId="0" borderId="0" xfId="0" applyNumberFormat="1" applyAlignment="1">
      <alignment horizontal="center" vertical="center"/>
    </xf>
    <xf numFmtId="0" fontId="3" fillId="13" borderId="6" xfId="0" applyFont="1" applyFill="1" applyBorder="1" applyAlignment="1">
      <alignment horizontal="left"/>
    </xf>
    <xf numFmtId="0" fontId="0" fillId="12" borderId="6" xfId="0" applyFill="1" applyBorder="1" applyAlignment="1">
      <alignment horizontal="left"/>
    </xf>
    <xf numFmtId="164" fontId="0" fillId="12" borderId="5" xfId="1" applyFont="1" applyFill="1" applyBorder="1"/>
    <xf numFmtId="0" fontId="43" fillId="9" borderId="2" xfId="0" applyFont="1" applyFill="1" applyBorder="1" applyAlignment="1">
      <alignment horizontal="center" vertical="center" wrapText="1"/>
    </xf>
    <xf numFmtId="0" fontId="21" fillId="9" borderId="0" xfId="0" applyFont="1" applyFill="1" applyAlignment="1">
      <alignment horizontal="left"/>
    </xf>
    <xf numFmtId="0" fontId="21" fillId="9" borderId="0" xfId="0" applyFont="1" applyFill="1" applyAlignment="1">
      <alignment horizontal="center" vertical="center" wrapText="1"/>
    </xf>
    <xf numFmtId="14" fontId="21" fillId="9" borderId="0" xfId="0" applyNumberFormat="1" applyFont="1" applyFill="1" applyAlignment="1">
      <alignment horizontal="center" vertical="center" wrapText="1"/>
    </xf>
    <xf numFmtId="0" fontId="21" fillId="9" borderId="0" xfId="0" applyFont="1" applyFill="1" applyAlignment="1">
      <alignment vertical="center"/>
    </xf>
    <xf numFmtId="164" fontId="21" fillId="9" borderId="0" xfId="1" applyFont="1" applyFill="1" applyAlignment="1">
      <alignment vertical="center" wrapText="1"/>
    </xf>
    <xf numFmtId="0" fontId="21" fillId="9" borderId="0" xfId="0" applyFont="1" applyFill="1" applyAlignment="1">
      <alignment horizontal="left" vertical="center"/>
    </xf>
    <xf numFmtId="0" fontId="21" fillId="9" borderId="0" xfId="0" applyFont="1" applyFill="1" applyAlignment="1">
      <alignment vertical="center" wrapText="1"/>
    </xf>
    <xf numFmtId="168" fontId="21" fillId="9" borderId="0" xfId="0" applyNumberFormat="1" applyFont="1" applyFill="1" applyAlignment="1">
      <alignment horizontal="center" vertical="center" wrapText="1"/>
    </xf>
    <xf numFmtId="0" fontId="21" fillId="9" borderId="2" xfId="0" applyFont="1" applyFill="1" applyBorder="1"/>
    <xf numFmtId="0" fontId="21" fillId="9" borderId="0" xfId="0" applyFont="1" applyFill="1"/>
    <xf numFmtId="14" fontId="21" fillId="9" borderId="0" xfId="0" applyNumberFormat="1" applyFont="1" applyFill="1"/>
    <xf numFmtId="0" fontId="44" fillId="9" borderId="0" xfId="2" applyFont="1" applyFill="1" applyAlignment="1">
      <alignment horizontal="left"/>
    </xf>
    <xf numFmtId="0" fontId="21" fillId="9" borderId="0" xfId="0" applyFont="1" applyFill="1" applyAlignment="1">
      <alignment horizontal="center"/>
    </xf>
    <xf numFmtId="164" fontId="21" fillId="9" borderId="0" xfId="1" applyFont="1" applyFill="1"/>
    <xf numFmtId="0" fontId="21" fillId="9" borderId="0" xfId="0" applyFont="1" applyFill="1" applyAlignment="1">
      <alignment horizontal="center" vertical="center"/>
    </xf>
    <xf numFmtId="168" fontId="21" fillId="9" borderId="0" xfId="0" applyNumberFormat="1" applyFont="1" applyFill="1" applyAlignment="1">
      <alignment horizontal="center" vertical="center"/>
    </xf>
    <xf numFmtId="170" fontId="0" fillId="7" borderId="5" xfId="1" applyNumberFormat="1" applyFont="1" applyFill="1" applyBorder="1"/>
    <xf numFmtId="0" fontId="0" fillId="7" borderId="6" xfId="0" applyFill="1" applyBorder="1" applyAlignment="1">
      <alignment horizontal="left"/>
    </xf>
    <xf numFmtId="170" fontId="0" fillId="7" borderId="6" xfId="0" applyNumberFormat="1" applyFill="1" applyBorder="1" applyAlignment="1">
      <alignment horizontal="left"/>
    </xf>
    <xf numFmtId="0" fontId="20" fillId="9" borderId="0" xfId="0" applyFont="1" applyFill="1" applyAlignment="1">
      <alignment vertical="center"/>
    </xf>
    <xf numFmtId="164" fontId="4" fillId="12" borderId="0" xfId="1" applyFont="1" applyFill="1" applyAlignment="1">
      <alignment horizontal="center" vertical="center"/>
    </xf>
    <xf numFmtId="0" fontId="4" fillId="12" borderId="0" xfId="0" applyFont="1" applyFill="1" applyAlignment="1">
      <alignment horizontal="left" vertical="center"/>
    </xf>
    <xf numFmtId="0" fontId="45" fillId="12" borderId="0" xfId="0" applyFont="1" applyFill="1" applyAlignment="1">
      <alignment vertical="center"/>
    </xf>
    <xf numFmtId="0" fontId="4" fillId="12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168" fontId="20" fillId="12" borderId="0" xfId="0" applyNumberFormat="1" applyFont="1" applyFill="1" applyAlignment="1">
      <alignment horizontal="center" vertical="center"/>
    </xf>
    <xf numFmtId="168" fontId="13" fillId="12" borderId="0" xfId="0" applyNumberFormat="1" applyFont="1" applyFill="1" applyAlignment="1">
      <alignment horizontal="center" vertical="center"/>
    </xf>
    <xf numFmtId="0" fontId="0" fillId="0" borderId="0" xfId="0" applyAlignment="1">
      <alignment wrapText="1"/>
    </xf>
    <xf numFmtId="14" fontId="0" fillId="0" borderId="0" xfId="0" applyNumberFormat="1" applyAlignment="1">
      <alignment horizontal="center"/>
    </xf>
    <xf numFmtId="171" fontId="0" fillId="0" borderId="0" xfId="0" applyNumberFormat="1"/>
    <xf numFmtId="0" fontId="11" fillId="0" borderId="0" xfId="0" applyFont="1"/>
    <xf numFmtId="172" fontId="0" fillId="0" borderId="0" xfId="0" applyNumberFormat="1"/>
    <xf numFmtId="173" fontId="0" fillId="0" borderId="0" xfId="0" applyNumberFormat="1"/>
    <xf numFmtId="0" fontId="0" fillId="0" borderId="3" xfId="0" applyBorder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0" fontId="11" fillId="0" borderId="0" xfId="0" applyFont="1" applyAlignment="1">
      <alignment horizontal="center" vertical="center"/>
    </xf>
    <xf numFmtId="173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170" fontId="0" fillId="7" borderId="0" xfId="1" applyNumberFormat="1" applyFont="1" applyFill="1"/>
    <xf numFmtId="0" fontId="3" fillId="0" borderId="3" xfId="0" applyFont="1" applyBorder="1"/>
    <xf numFmtId="172" fontId="3" fillId="0" borderId="0" xfId="0" applyNumberFormat="1" applyFont="1"/>
    <xf numFmtId="0" fontId="3" fillId="0" borderId="3" xfId="0" applyFont="1" applyBorder="1" applyAlignment="1">
      <alignment wrapText="1"/>
    </xf>
    <xf numFmtId="0" fontId="3" fillId="0" borderId="8" xfId="0" applyFont="1" applyBorder="1"/>
    <xf numFmtId="172" fontId="3" fillId="0" borderId="9" xfId="0" applyNumberFormat="1" applyFont="1" applyBorder="1"/>
    <xf numFmtId="0" fontId="3" fillId="0" borderId="9" xfId="0" applyFont="1" applyBorder="1"/>
    <xf numFmtId="0" fontId="3" fillId="0" borderId="10" xfId="0" applyFont="1" applyBorder="1"/>
    <xf numFmtId="173" fontId="0" fillId="7" borderId="0" xfId="0" applyNumberFormat="1" applyFill="1"/>
    <xf numFmtId="0" fontId="0" fillId="7" borderId="4" xfId="0" applyFill="1" applyBorder="1" applyAlignment="1">
      <alignment wrapText="1"/>
    </xf>
    <xf numFmtId="14" fontId="0" fillId="7" borderId="4" xfId="0" applyNumberFormat="1" applyFill="1" applyBorder="1" applyAlignment="1">
      <alignment horizontal="center" wrapText="1"/>
    </xf>
    <xf numFmtId="170" fontId="0" fillId="0" borderId="0" xfId="0" applyNumberFormat="1"/>
    <xf numFmtId="0" fontId="0" fillId="0" borderId="4" xfId="0" applyBorder="1" applyAlignment="1">
      <alignment wrapText="1"/>
    </xf>
    <xf numFmtId="0" fontId="20" fillId="9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6" fillId="0" borderId="0" xfId="2" applyAlignment="1"/>
    <xf numFmtId="0" fontId="0" fillId="7" borderId="0" xfId="0" applyFill="1" applyAlignment="1">
      <alignment wrapText="1"/>
    </xf>
    <xf numFmtId="14" fontId="0" fillId="7" borderId="0" xfId="0" applyNumberFormat="1" applyFill="1" applyAlignment="1">
      <alignment horizontal="center"/>
    </xf>
    <xf numFmtId="0" fontId="0" fillId="0" borderId="9" xfId="0" applyBorder="1"/>
    <xf numFmtId="171" fontId="0" fillId="0" borderId="9" xfId="0" applyNumberFormat="1" applyBorder="1"/>
    <xf numFmtId="14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46" fillId="7" borderId="0" xfId="0" applyFont="1" applyFill="1" applyAlignment="1">
      <alignment horizontal="center" wrapText="1"/>
    </xf>
    <xf numFmtId="173" fontId="4" fillId="7" borderId="0" xfId="0" applyNumberFormat="1" applyFont="1" applyFill="1"/>
    <xf numFmtId="0" fontId="4" fillId="7" borderId="0" xfId="0" applyFont="1" applyFill="1" applyAlignment="1">
      <alignment wrapText="1"/>
    </xf>
    <xf numFmtId="14" fontId="6" fillId="7" borderId="0" xfId="2" applyNumberFormat="1" applyFill="1" applyAlignment="1">
      <alignment horizontal="center"/>
    </xf>
    <xf numFmtId="14" fontId="4" fillId="7" borderId="0" xfId="0" applyNumberFormat="1" applyFont="1" applyFill="1" applyAlignment="1">
      <alignment horizontal="center"/>
    </xf>
    <xf numFmtId="0" fontId="4" fillId="7" borderId="4" xfId="0" applyFont="1" applyFill="1" applyBorder="1" applyAlignment="1">
      <alignment wrapText="1"/>
    </xf>
    <xf numFmtId="1" fontId="4" fillId="7" borderId="0" xfId="0" applyNumberFormat="1" applyFont="1" applyFill="1" applyAlignment="1">
      <alignment horizontal="center"/>
    </xf>
    <xf numFmtId="0" fontId="47" fillId="9" borderId="0" xfId="0" applyFont="1" applyFill="1" applyAlignment="1">
      <alignment horizontal="center"/>
    </xf>
    <xf numFmtId="0" fontId="47" fillId="9" borderId="0" xfId="0" applyFont="1" applyFill="1"/>
    <xf numFmtId="14" fontId="47" fillId="9" borderId="0" xfId="0" applyNumberFormat="1" applyFont="1" applyFill="1" applyAlignment="1">
      <alignment horizontal="center"/>
    </xf>
    <xf numFmtId="164" fontId="47" fillId="9" borderId="0" xfId="1" applyFont="1" applyFill="1"/>
    <xf numFmtId="168" fontId="47" fillId="9" borderId="0" xfId="0" applyNumberFormat="1" applyFont="1" applyFill="1" applyAlignment="1">
      <alignment horizontal="center"/>
    </xf>
    <xf numFmtId="1" fontId="47" fillId="9" borderId="0" xfId="0" applyNumberFormat="1" applyFont="1" applyFill="1" applyAlignment="1">
      <alignment horizontal="center"/>
    </xf>
    <xf numFmtId="0" fontId="24" fillId="7" borderId="0" xfId="2" applyFont="1" applyFill="1"/>
    <xf numFmtId="172" fontId="3" fillId="13" borderId="5" xfId="0" applyNumberFormat="1" applyFont="1" applyFill="1" applyBorder="1" applyAlignment="1">
      <alignment horizontal="left"/>
    </xf>
    <xf numFmtId="0" fontId="3" fillId="13" borderId="5" xfId="0" applyFont="1" applyFill="1" applyBorder="1" applyAlignment="1">
      <alignment horizontal="left"/>
    </xf>
    <xf numFmtId="0" fontId="11" fillId="13" borderId="5" xfId="0" applyFont="1" applyFill="1" applyBorder="1" applyAlignment="1">
      <alignment horizontal="left"/>
    </xf>
    <xf numFmtId="0" fontId="0" fillId="7" borderId="5" xfId="0" applyFill="1" applyBorder="1" applyAlignment="1">
      <alignment horizontal="left"/>
    </xf>
    <xf numFmtId="173" fontId="0" fillId="7" borderId="5" xfId="0" applyNumberFormat="1" applyFill="1" applyBorder="1" applyAlignment="1">
      <alignment horizontal="left"/>
    </xf>
    <xf numFmtId="0" fontId="0" fillId="7" borderId="11" xfId="0" applyFill="1" applyBorder="1" applyAlignment="1">
      <alignment horizontal="left" wrapText="1"/>
    </xf>
    <xf numFmtId="172" fontId="3" fillId="0" borderId="5" xfId="0" applyNumberFormat="1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6" fillId="0" borderId="5" xfId="2" applyBorder="1" applyAlignment="1">
      <alignment horizontal="left"/>
    </xf>
    <xf numFmtId="14" fontId="6" fillId="7" borderId="5" xfId="2" applyNumberFormat="1" applyFill="1" applyBorder="1" applyAlignment="1">
      <alignment horizontal="left"/>
    </xf>
    <xf numFmtId="173" fontId="47" fillId="9" borderId="0" xfId="0" applyNumberFormat="1" applyFont="1" applyFill="1" applyAlignment="1">
      <alignment horizontal="center"/>
    </xf>
    <xf numFmtId="173" fontId="4" fillId="0" borderId="0" xfId="0" applyNumberFormat="1" applyFont="1" applyAlignment="1">
      <alignment horizontal="center"/>
    </xf>
    <xf numFmtId="0" fontId="17" fillId="7" borderId="0" xfId="0" applyFont="1" applyFill="1" applyAlignment="1">
      <alignment wrapText="1"/>
    </xf>
    <xf numFmtId="14" fontId="0" fillId="12" borderId="0" xfId="0" applyNumberFormat="1" applyFill="1" applyAlignment="1">
      <alignment horizontal="center"/>
    </xf>
    <xf numFmtId="0" fontId="0" fillId="12" borderId="0" xfId="0" applyFill="1"/>
    <xf numFmtId="173" fontId="0" fillId="12" borderId="0" xfId="0" applyNumberFormat="1" applyFill="1"/>
    <xf numFmtId="0" fontId="0" fillId="12" borderId="0" xfId="0" applyFill="1" applyAlignment="1">
      <alignment wrapText="1"/>
    </xf>
    <xf numFmtId="1" fontId="0" fillId="9" borderId="0" xfId="0" applyNumberFormat="1" applyFill="1" applyAlignment="1">
      <alignment horizontal="center"/>
    </xf>
    <xf numFmtId="0" fontId="0" fillId="12" borderId="4" xfId="0" applyFill="1" applyBorder="1" applyAlignment="1">
      <alignment horizontal="center"/>
    </xf>
    <xf numFmtId="14" fontId="0" fillId="12" borderId="9" xfId="0" applyNumberFormat="1" applyFill="1" applyBorder="1" applyAlignment="1">
      <alignment horizontal="center"/>
    </xf>
    <xf numFmtId="0" fontId="0" fillId="12" borderId="9" xfId="0" applyFill="1" applyBorder="1" applyAlignment="1">
      <alignment horizontal="center"/>
    </xf>
    <xf numFmtId="173" fontId="0" fillId="12" borderId="9" xfId="0" applyNumberFormat="1" applyFill="1" applyBorder="1" applyAlignment="1">
      <alignment horizontal="center"/>
    </xf>
    <xf numFmtId="0" fontId="0" fillId="12" borderId="9" xfId="0" applyFill="1" applyBorder="1" applyAlignment="1">
      <alignment horizontal="center" wrapText="1"/>
    </xf>
    <xf numFmtId="0" fontId="3" fillId="13" borderId="8" xfId="0" applyFont="1" applyFill="1" applyBorder="1" applyAlignment="1">
      <alignment horizontal="left"/>
    </xf>
    <xf numFmtId="174" fontId="3" fillId="0" borderId="0" xfId="0" applyNumberFormat="1" applyFont="1"/>
    <xf numFmtId="14" fontId="0" fillId="7" borderId="9" xfId="0" applyNumberFormat="1" applyFill="1" applyBorder="1" applyAlignment="1">
      <alignment horizontal="left"/>
    </xf>
    <xf numFmtId="0" fontId="0" fillId="7" borderId="9" xfId="0" applyFill="1" applyBorder="1" applyAlignment="1">
      <alignment horizontal="left"/>
    </xf>
    <xf numFmtId="0" fontId="0" fillId="0" borderId="9" xfId="0" applyBorder="1" applyAlignment="1">
      <alignment horizontal="left"/>
    </xf>
    <xf numFmtId="173" fontId="0" fillId="0" borderId="9" xfId="0" applyNumberFormat="1" applyBorder="1" applyAlignment="1">
      <alignment horizontal="left"/>
    </xf>
    <xf numFmtId="0" fontId="0" fillId="0" borderId="12" xfId="0" applyBorder="1" applyAlignment="1">
      <alignment horizontal="left" wrapText="1"/>
    </xf>
    <xf numFmtId="173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173" fontId="0" fillId="0" borderId="0" xfId="0" applyNumberFormat="1" applyAlignment="1">
      <alignment horizontal="left" wrapText="1"/>
    </xf>
    <xf numFmtId="0" fontId="3" fillId="0" borderId="11" xfId="0" applyFont="1" applyBorder="1" applyAlignment="1">
      <alignment horizontal="left" wrapText="1"/>
    </xf>
    <xf numFmtId="0" fontId="51" fillId="16" borderId="13" xfId="0" applyFont="1" applyFill="1" applyBorder="1" applyAlignment="1">
      <alignment horizontal="left"/>
    </xf>
    <xf numFmtId="0" fontId="52" fillId="14" borderId="14" xfId="0" applyFont="1" applyFill="1" applyBorder="1" applyAlignment="1">
      <alignment horizontal="left"/>
    </xf>
    <xf numFmtId="0" fontId="52" fillId="14" borderId="14" xfId="0" applyFont="1" applyFill="1" applyBorder="1" applyAlignment="1">
      <alignment horizontal="center"/>
    </xf>
    <xf numFmtId="0" fontId="51" fillId="16" borderId="0" xfId="0" applyFont="1" applyFill="1" applyAlignment="1">
      <alignment horizontal="left"/>
    </xf>
    <xf numFmtId="171" fontId="55" fillId="15" borderId="15" xfId="0" applyNumberFormat="1" applyFont="1" applyFill="1" applyBorder="1" applyAlignment="1">
      <alignment horizontal="left"/>
    </xf>
    <xf numFmtId="175" fontId="55" fillId="15" borderId="15" xfId="0" applyNumberFormat="1" applyFont="1" applyFill="1" applyBorder="1" applyAlignment="1">
      <alignment horizontal="center"/>
    </xf>
    <xf numFmtId="171" fontId="53" fillId="18" borderId="0" xfId="0" applyNumberFormat="1" applyFont="1" applyFill="1" applyAlignment="1">
      <alignment horizontal="left"/>
    </xf>
    <xf numFmtId="175" fontId="54" fillId="18" borderId="0" xfId="0" applyNumberFormat="1" applyFont="1" applyFill="1" applyAlignment="1">
      <alignment horizontal="center"/>
    </xf>
    <xf numFmtId="0" fontId="55" fillId="15" borderId="15" xfId="0" applyFont="1" applyFill="1" applyBorder="1" applyAlignment="1">
      <alignment horizontal="left"/>
    </xf>
    <xf numFmtId="176" fontId="55" fillId="15" borderId="15" xfId="0" applyNumberFormat="1" applyFont="1" applyFill="1" applyBorder="1" applyAlignment="1">
      <alignment horizontal="center"/>
    </xf>
    <xf numFmtId="0" fontId="53" fillId="18" borderId="0" xfId="0" applyFont="1" applyFill="1" applyAlignment="1">
      <alignment horizontal="left"/>
    </xf>
    <xf numFmtId="176" fontId="54" fillId="18" borderId="0" xfId="0" applyNumberFormat="1" applyFont="1" applyFill="1" applyAlignment="1">
      <alignment horizontal="center"/>
    </xf>
    <xf numFmtId="0" fontId="51" fillId="16" borderId="13" xfId="0" applyFont="1" applyFill="1" applyBorder="1" applyAlignment="1">
      <alignment horizontal="center"/>
    </xf>
    <xf numFmtId="0" fontId="48" fillId="15" borderId="0" xfId="0" applyFont="1" applyFill="1" applyAlignment="1">
      <alignment horizontal="left"/>
    </xf>
    <xf numFmtId="0" fontId="48" fillId="15" borderId="0" xfId="0" applyFont="1" applyFill="1" applyAlignment="1">
      <alignment horizontal="center"/>
    </xf>
    <xf numFmtId="171" fontId="53" fillId="17" borderId="0" xfId="0" applyNumberFormat="1" applyFont="1" applyFill="1" applyAlignment="1">
      <alignment horizontal="left"/>
    </xf>
    <xf numFmtId="175" fontId="54" fillId="17" borderId="0" xfId="0" applyNumberFormat="1" applyFont="1" applyFill="1" applyAlignment="1">
      <alignment horizontal="center"/>
    </xf>
    <xf numFmtId="0" fontId="53" fillId="17" borderId="0" xfId="0" applyFont="1" applyFill="1" applyAlignment="1">
      <alignment horizontal="left"/>
    </xf>
    <xf numFmtId="176" fontId="54" fillId="17" borderId="0" xfId="0" applyNumberFormat="1" applyFont="1" applyFill="1" applyAlignment="1">
      <alignment horizontal="center"/>
    </xf>
    <xf numFmtId="171" fontId="56" fillId="17" borderId="0" xfId="0" applyNumberFormat="1" applyFont="1" applyFill="1" applyAlignment="1">
      <alignment horizontal="left"/>
    </xf>
    <xf numFmtId="175" fontId="56" fillId="17" borderId="0" xfId="0" applyNumberFormat="1" applyFont="1" applyFill="1" applyAlignment="1">
      <alignment horizontal="center"/>
    </xf>
    <xf numFmtId="0" fontId="57" fillId="17" borderId="0" xfId="0" applyFont="1" applyFill="1" applyAlignment="1">
      <alignment horizontal="right"/>
    </xf>
    <xf numFmtId="2" fontId="58" fillId="17" borderId="0" xfId="0" applyNumberFormat="1" applyFont="1" applyFill="1" applyAlignment="1">
      <alignment horizontal="center"/>
    </xf>
    <xf numFmtId="0" fontId="49" fillId="17" borderId="0" xfId="0" applyFont="1" applyFill="1" applyAlignment="1">
      <alignment horizontal="center"/>
    </xf>
    <xf numFmtId="0" fontId="48" fillId="17" borderId="0" xfId="0" applyFont="1" applyFill="1" applyAlignment="1">
      <alignment horizontal="center"/>
    </xf>
    <xf numFmtId="1" fontId="51" fillId="16" borderId="13" xfId="0" applyNumberFormat="1" applyFont="1" applyFill="1" applyBorder="1" applyAlignment="1">
      <alignment horizontal="center"/>
    </xf>
    <xf numFmtId="173" fontId="0" fillId="11" borderId="0" xfId="0" applyNumberFormat="1" applyFill="1"/>
    <xf numFmtId="0" fontId="0" fillId="11" borderId="0" xfId="0" applyFill="1" applyAlignment="1">
      <alignment wrapText="1"/>
    </xf>
    <xf numFmtId="0" fontId="50" fillId="15" borderId="0" xfId="0" applyFont="1" applyFill="1" applyAlignment="1">
      <alignment horizontal="left"/>
    </xf>
    <xf numFmtId="1" fontId="51" fillId="16" borderId="0" xfId="0" applyNumberFormat="1" applyFont="1" applyFill="1" applyAlignment="1">
      <alignment horizontal="center"/>
    </xf>
    <xf numFmtId="0" fontId="37" fillId="3" borderId="0" xfId="0" applyFont="1" applyFill="1" applyAlignment="1">
      <alignment horizontal="center" vertical="center" wrapText="1"/>
    </xf>
    <xf numFmtId="0" fontId="37" fillId="3" borderId="0" xfId="0" applyFont="1" applyFill="1" applyAlignment="1">
      <alignment horizontal="right" vertical="center" wrapText="1"/>
    </xf>
    <xf numFmtId="0" fontId="37" fillId="3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</cellXfs>
  <cellStyles count="3">
    <cellStyle name="Currency" xfId="1" builtinId="4"/>
    <cellStyle name="Hyperlink" xfId="2" xr:uid="{00000000-000B-0000-0000-000008000000}"/>
    <cellStyle name="Normal" xfId="0" builtinId="0"/>
  </cellStyles>
  <dxfs count="9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  <alignment wrapText="1"/>
    </dxf>
    <dxf>
      <font>
        <b val="0"/>
      </font>
      <numFmt numFmtId="173" formatCode="[$-409]d\-mmm\-yy;@"/>
    </dxf>
    <dxf>
      <font>
        <b val="0"/>
      </font>
      <alignment horizontal="center"/>
    </dxf>
    <dxf>
      <font>
        <b val="0"/>
      </font>
    </dxf>
    <dxf>
      <font>
        <b val="0"/>
      </font>
      <alignment horizontal="center"/>
    </dxf>
    <dxf>
      <font>
        <b val="0"/>
      </font>
      <alignment horizontal="center"/>
    </dxf>
    <dxf>
      <font>
        <b val="0"/>
      </font>
      <numFmt numFmtId="19" formatCode="m/d/yyyy"/>
      <alignment horizontal="center"/>
    </dxf>
    <dxf>
      <font>
        <b val="0"/>
      </font>
      <numFmt numFmtId="171" formatCode="_([$€-2]\ * #,##0.00_);_([$€-2]\ * \(#,##0.00\);_([$€-2]\ * &quot;-&quot;??_);_(@_)"/>
    </dxf>
    <dxf>
      <font>
        <b val="0"/>
      </font>
      <alignment horizontal="general"/>
    </dxf>
    <dxf>
      <font>
        <b val="0"/>
      </font>
    </dxf>
    <dxf>
      <font>
        <b val="0"/>
      </font>
    </dxf>
    <dxf>
      <font>
        <b val="0"/>
      </font>
    </dxf>
    <dxf>
      <font>
        <b val="0"/>
        <i/>
        <sz val="9"/>
      </font>
    </dxf>
    <dxf>
      <font>
        <b/>
      </font>
    </dxf>
    <dxf>
      <font>
        <b/>
      </font>
      <numFmt numFmtId="172" formatCode="mm/dd/yy;@"/>
    </dxf>
    <dxf>
      <font>
        <b/>
      </font>
      <border>
        <left style="thin">
          <color rgb="FF000000"/>
        </left>
      </border>
    </dxf>
    <dxf>
      <font>
        <b/>
      </font>
    </dxf>
    <dxf>
      <alignment horizontal="center" vertical="center" textRotation="0" wrapText="1" indent="0" justifyLastLine="0" shrinkToFit="0" readingOrder="0"/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8" formatCode="[$-40C]d\-mmm\-yyyy;@"/>
      <alignment horizontal="center" vertical="center" textRotation="0" wrapText="0" indent="0" justifyLastLine="0" shrinkToFit="0" readingOrder="0"/>
    </dxf>
    <dxf>
      <numFmt numFmtId="168" formatCode="[$-40C]d\-mmm\-yy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wrapTex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center" wrapText="0"/>
    </dxf>
    <dxf>
      <alignment horizontal="left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left"/>
    </dxf>
    <dxf>
      <font>
        <sz val="14"/>
        <color theme="8" tint="-0.499984740745262"/>
      </font>
      <alignment horizontal="center" vertical="center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7CE"/>
      <color rgb="FFEDC5FC"/>
      <color rgb="FFA51006"/>
      <color rgb="FFB974DB"/>
      <color rgb="FFFFBB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ice Devulder" id="{A8B39A9C-7F7D-42F5-B548-B95151D57144}" userId="S::alice@sarani.studio::af36e512-afec-4932-80b4-29f92e4bc3d5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6E12D2-2997-4058-8C06-2181C27B81D8}" name="Tableau1" displayName="Tableau1" ref="A2:Q113" totalsRowShown="0" headerRowDxfId="78">
  <autoFilter ref="A2:Q113" xr:uid="{876E12D2-2997-4058-8C06-2181C27B81D8}"/>
  <sortState xmlns:xlrd2="http://schemas.microsoft.com/office/spreadsheetml/2017/richdata2" ref="A3:Q113">
    <sortCondition ref="C2:C113"/>
  </sortState>
  <tableColumns count="17">
    <tableColumn id="1" xr3:uid="{16289450-6D99-483E-B14B-5D3B7E69BCFF}" name="Customer" dataDxfId="77"/>
    <tableColumn id="2" xr3:uid="{2EC382A2-AC39-4CD0-B3E6-09D976011D83}" name="Division"/>
    <tableColumn id="3" xr3:uid="{39ED5359-BB57-4AD4-AB6F-694969928F0A}" name="Date"/>
    <tableColumn id="4" xr3:uid="{118229F8-5397-4810-A7E5-B53768171487}" name="Project" dataDxfId="76"/>
    <tableColumn id="5" xr3:uid="{AEE9A5EF-5BCE-4727-9488-CB29633939A7}" name="Contact" dataDxfId="75"/>
    <tableColumn id="6" xr3:uid="{E42E72AB-DCAA-471F-898A-16EF288E8C31}" name="Status" dataDxfId="74"/>
    <tableColumn id="7" xr3:uid="{216BCA28-8DED-4B4C-8F8D-69A45F7121C0}" name="Category" dataDxfId="73"/>
    <tableColumn id="8" xr3:uid="{A0D720E9-7EF5-4FD2-B04F-BD53A04F64BE}" name="Link"/>
    <tableColumn id="9" xr3:uid="{987905A1-DDF9-4CE0-8728-3BD6DC09BD78}" name="Assets" dataDxfId="72"/>
    <tableColumn id="10" xr3:uid="{40A9DA88-4C78-4BB9-94BB-492CF6DF781B}" name="Total Value" dataDxfId="71"/>
    <tableColumn id="11" xr3:uid="{51084CDF-6EEA-4028-889E-6C3F719758AD}" name="Quote" dataDxfId="70"/>
    <tableColumn id="12" xr3:uid="{E94B92CC-2AB9-49BE-A5F9-8D239DA0D393}" name="PO" dataDxfId="69"/>
    <tableColumn id="13" xr3:uid="{12E92DE5-A734-4987-9AF0-3944A7E285B3}" name="Invoice" dataDxfId="68"/>
    <tableColumn id="14" xr3:uid="{B27DE6E5-10FF-42E0-BD95-EDEE26DED702}" name="N° invoice" dataDxfId="67"/>
    <tableColumn id="15" xr3:uid="{B6F87AD3-4245-4CBB-A806-EE3D86C2985C}" name="Status2" dataDxfId="66"/>
    <tableColumn id="16" xr3:uid="{0C343B71-7FBA-466D-8E62-9A1ED8B994BF}" name="Echéance" dataDxfId="65"/>
    <tableColumn id="17" xr3:uid="{15281155-9C6A-44DA-8D78-7FDFC960BCD9}" name="Colonne3" dataDxfId="6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E5D479-5894-4B5B-8579-04D3AC769896}" name="Tableau4" displayName="Tableau4" ref="A1:AU149" totalsRowShown="0" headerRowDxfId="52" dataDxfId="51">
  <autoFilter ref="A1:AU149" xr:uid="{D8E5D479-5894-4B5B-8579-04D3AC769896}">
    <filterColumn colId="12">
      <filters blank="1"/>
    </filterColumn>
  </autoFilter>
  <sortState xmlns:xlrd2="http://schemas.microsoft.com/office/spreadsheetml/2017/richdata2" ref="A2:AU132">
    <sortCondition ref="A1:A132"/>
  </sortState>
  <tableColumns count="47">
    <tableColumn id="1" xr3:uid="{FD437157-58DD-4E88-B912-8CE59FF3CE3B}" name="Customer" dataDxfId="50"/>
    <tableColumn id="3" xr3:uid="{14A8E884-EAA7-46C0-AC95-C8AA7747623A}" name="Date" dataDxfId="49"/>
    <tableColumn id="4" xr3:uid="{DE1C965B-C1FB-4F57-AA20-D84694E394CD}" name="Project" dataDxfId="48"/>
    <tableColumn id="5" xr3:uid="{C0515450-50DB-4A56-AFD1-A993DAE1D857}" name="Contact" dataDxfId="47"/>
    <tableColumn id="6" xr3:uid="{5CDFFD5A-3EB9-41DC-B8ED-E95C15FA6162}" name="Status" dataDxfId="46"/>
    <tableColumn id="7" xr3:uid="{F544754A-63BB-48D3-902E-1F23CF6536F1}" name="Category" dataDxfId="45"/>
    <tableColumn id="8" xr3:uid="{E65DCA2F-B025-4A90-A903-2C8117EB34B2}" name="Link" dataDxfId="44"/>
    <tableColumn id="9" xr3:uid="{381E15E1-569E-48BC-9940-FFF560A5F595}" name="Assets" dataDxfId="43"/>
    <tableColumn id="10" xr3:uid="{EC44E585-EAAB-4738-8662-6A2B62695741}" name="Total Value" dataDxfId="42"/>
    <tableColumn id="11" xr3:uid="{7C617A92-95C5-47AB-80DC-99DC1E6A7DBD}" name="Quote" dataDxfId="41"/>
    <tableColumn id="12" xr3:uid="{C0F06599-6C3D-40EE-BB0B-72FF8D153743}" name="PO" dataDxfId="40"/>
    <tableColumn id="13" xr3:uid="{47723884-2D09-4D5D-ACB8-4F12EAE7943B}" name="Invoice" dataDxfId="39"/>
    <tableColumn id="14" xr3:uid="{D3670E04-217B-43BA-85BA-CF9B43551766}" name="N° invoice" dataDxfId="38"/>
    <tableColumn id="15" xr3:uid="{5F215724-8E35-4153-B809-34F6E9F5AF4B}" name="Status inv." dataDxfId="37"/>
    <tableColumn id="16" xr3:uid="{209A5CDB-71B1-4124-83DD-47DEA7D110DA}" name="Echéance" dataDxfId="36"/>
    <tableColumn id="17" xr3:uid="{A5A427EE-7759-4467-AD17-8DD1981A47DE}" name="Commentaire" dataDxfId="35"/>
    <tableColumn id="18" xr3:uid="{A4E4356E-7B14-4EBA-B8F8-6ED545DD19FD}" name="Banner creation (static) 135" dataDxfId="34"/>
    <tableColumn id="19" xr3:uid="{E8D23894-7168-4E02-9C7C-9EFB3CE606BB}" name="Banner adaptation (static) 30" dataDxfId="33"/>
    <tableColumn id="20" xr3:uid="{FF4F58E4-E865-4EC6-B4E3-2DAA8867F08B}" name="Banner creation (animated) 220" dataDxfId="32"/>
    <tableColumn id="21" xr3:uid="{43E1C325-22DB-4B2D-B667-2EA2CEBBABD0}" name="Banner adaptation (animated) 50" dataDxfId="31"/>
    <tableColumn id="22" xr3:uid="{AE9F59F0-3E53-45A6-9F21-81FC947209B7}" name="Branding pack 2000" dataDxfId="30"/>
    <tableColumn id="23" xr3:uid="{9E7AC260-24B2-4926-A591-076C450DEDAC}" name="Logo 250" dataDxfId="29"/>
    <tableColumn id="24" xr3:uid="{21EDA0F8-7023-4A1E-BBBE-089ADFDF5635}" name="Lifestyle Picture 400" dataDxfId="28"/>
    <tableColumn id="25" xr3:uid="{6571E0BC-5A0F-45EB-A1CB-30ED81B48912}" name="Wallpapers 85" dataDxfId="27"/>
    <tableColumn id="26" xr3:uid="{D6CEAADC-2B7A-406F-A889-403E1384CC56}" name="Offline creation (standard) 135" dataDxfId="26"/>
    <tableColumn id="27" xr3:uid="{2B81229E-32D7-4DBF-9ED2-54BCD0DC22EE}" name="Offline creation (adaptation) 30" dataDxfId="25"/>
    <tableColumn id="28" xr3:uid="{473D3F34-28DC-42BC-94DB-B06B4BE7540E}" name="Leaflet_x000a_(1 page) 180" dataDxfId="24"/>
    <tableColumn id="29" xr3:uid="{5ED1921B-F182-4736-B1D2-4BB88C74EC1D}" name="Leaflet_x000a_(2 pages) 260" dataDxfId="23"/>
    <tableColumn id="30" xr3:uid="{E0D09804-555E-4E4D-88A4-F2E0F8D848A0}" name="Roll-up / Wall creation 180" dataDxfId="22"/>
    <tableColumn id="31" xr3:uid="{2A349B99-0A94-44FF-BAB2-32B270DEDF30}" name="Chart 400" dataDxfId="21"/>
    <tableColumn id="32" xr3:uid="{0AA63FE0-5D35-47DA-AD3A-D23D79CBEAE7}" name="Brochure_x000a_(20 pages) 2200" dataDxfId="20"/>
    <tableColumn id="33" xr3:uid="{57D9E68B-72B8-470F-A927-7843FAFB7C10}" name="Slide 40" dataDxfId="19"/>
    <tableColumn id="34" xr3:uid="{CE9BA141-23E4-4DA0-9FA7-F1E59585D4F8}" name="Landing page (design only) 300" dataDxfId="18"/>
    <tableColumn id="35" xr3:uid="{7C93948C-A884-4DBB-8C57-E33990A0095A}" name="Landing page_x000a_(complete) 700" dataDxfId="17"/>
    <tableColumn id="36" xr3:uid="{E1E784E3-AA41-4B35-BEF0-CE861C4829EE}" name="Website_x000a_(design only) 5000" dataDxfId="16"/>
    <tableColumn id="37" xr3:uid="{AB001BCB-2734-427C-9C2F-86F8C0A236E8}" name="Website_x000a_(complete) 7000" dataDxfId="15"/>
    <tableColumn id="38" xr3:uid="{2E4AB602-CBC0-4433-AF29-63F2F4D5C20C}" name="Video Edition 80" dataDxfId="14"/>
    <tableColumn id="39" xr3:uid="{17E476CE-798E-44BE-9586-E48B8AC3D8B6}" name="Video Subtitles 150" dataDxfId="13"/>
    <tableColumn id="40" xr3:uid="{1FA3D37E-333E-4A46-9303-F5EE10859AD5}" name="Social Media Video_x000a_(up to 30s) 260" dataDxfId="12"/>
    <tableColumn id="41" xr3:uid="{A91F7B75-7B70-4A17-8178-E39C88BC3C1C}" name="Social Media Video_x000a_(up to 1 min) 560" dataDxfId="11"/>
    <tableColumn id="42" xr3:uid="{32CEAB2F-685F-467A-82FF-C256AB8D11B9}" name="Promotional Video_x000a_(up to 1 min) 4000" dataDxfId="10"/>
    <tableColumn id="43" xr3:uid="{8E866079-DCC2-4A9A-B716-60C6192F8B1C}" name="2D Video _x000a_(up to 3mn) 5000" dataDxfId="9"/>
    <tableColumn id="44" xr3:uid="{3127DBBA-3817-4C30-BC4C-E7DF6DE19D6C}" name="3D Video _x000a_(up to 3min) 10000" dataDxfId="8"/>
    <tableColumn id="45" xr3:uid="{FDCAAEBC-DFDD-43CB-86AA-FE43BE8F9103}" name="Virtual space 2500" dataDxfId="7"/>
    <tableColumn id="46" xr3:uid="{F85D117D-D949-4F52-87B0-78B0B2887C14}" name="Virtual showroom 10000" dataDxfId="6"/>
    <tableColumn id="47" xr3:uid="{58CA6B5C-B344-4687-8FA7-A31E298F8763}" name="Translation _x000a_(per word) 0.1" dataDxfId="5"/>
    <tableColumn id="48" xr3:uid="{9B52FB03-1F25-4F36-981E-83CF79CA910A}" name="Copywrite_x000a_(per word) 0.25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0" dT="2024-05-17T09:39:48.48" personId="{A8B39A9C-7F7D-42F5-B548-B95151D57144}" id="{467CFE05-0DEE-44C7-B442-C973F0773A3E}">
    <text xml:space="preserve">aseechurnduranton@francechimie.fr
</text>
    <extLst>
      <x:ext xmlns:xltc2="http://schemas.microsoft.com/office/spreadsheetml/2020/threadedcomments2" uri="{F7C98A9C-CBB3-438F-8F68-D28B6AF4A901}">
        <xltc2:checksum>1782431385</xltc2:checksum>
        <xltc2:hyperlink startIndex="0" length="33" url="mailto:aseechurnduranton@francechimie.fr"/>
      </x:ext>
    </extLst>
  </threadedComment>
  <threadedComment ref="E30" dT="2024-05-17T09:39:13.22" personId="{A8B39A9C-7F7D-42F5-B548-B95151D57144}" id="{8FB9FCD1-DFB2-4AB5-9514-0A192BAB54CF}">
    <text>jjudel@francechimie.fr
cferiaux@francechimie.fr</text>
    <extLst>
      <x:ext xmlns:xltc2="http://schemas.microsoft.com/office/spreadsheetml/2020/threadedcomments2" uri="{F7C98A9C-CBB3-438F-8F68-D28B6AF4A901}">
        <xltc2:checksum>2323506684</xltc2:checksum>
        <xltc2:hyperlink startIndex="0" length="22" url="mailto:jjudel@francechimie.fr"/>
        <xltc2:hyperlink startIndex="23" length="24" url="mailto:cferiaux@francechimie.fr"/>
      </x:ext>
    </extLs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3" dT="2024-05-17T09:10:56.48" personId="{A8B39A9C-7F7D-42F5-B548-B95151D57144}" id="{A3D3058F-C227-4E09-9708-0D3384843EDD}">
    <text>Acompte de 10% à demander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D21A844-4B04-4292-96AB-CE1F0FC31CD2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saranistudio.sharepoint.com/:f:/s/SaraniAssets/EoYgzzkVsL1FkM-EyORt1s8BrQ211V90DMBMiNgXpK74Bg?e=u62Pry" TargetMode="External"/><Relationship Id="rId21" Type="http://schemas.openxmlformats.org/officeDocument/2006/relationships/hyperlink" Target="https://saranistudio.sharepoint.com/:f:/s/SaraniAssets/EuPIBC8QCwxKojTQkcK2azEBU99lZ2dbLp_H2hlcoMODlQ?e=nbpDqx" TargetMode="External"/><Relationship Id="rId42" Type="http://schemas.openxmlformats.org/officeDocument/2006/relationships/hyperlink" Target="mailto:teamvbacontact@gmail.com" TargetMode="External"/><Relationship Id="rId47" Type="http://schemas.openxmlformats.org/officeDocument/2006/relationships/hyperlink" Target="mailto:teamvbacontact@gmail.com" TargetMode="External"/><Relationship Id="rId63" Type="http://schemas.openxmlformats.org/officeDocument/2006/relationships/hyperlink" Target="https://saranistudio.sharepoint.com/:f:/s/SaraniAssets/EuLY4pGxhHZJo7jav321tlkBP3PIBszrKfmPAOBVg4UXFA?e=CMYAyg" TargetMode="External"/><Relationship Id="rId68" Type="http://schemas.openxmlformats.org/officeDocument/2006/relationships/hyperlink" Target="https://saranistudio.sharepoint.com/:f:/s/SaraniAssets/ElH3s30bREtHlkv4usxEPugBAH5-0g6JsvQ3hlDtBqu9Hw?e=AAJqbj" TargetMode="External"/><Relationship Id="rId2" Type="http://schemas.openxmlformats.org/officeDocument/2006/relationships/hyperlink" Target="https://saranistudio.sharepoint.com/:f:/s/SaraniAssets/ErmhsGB8kgRAuBYr4yIhwroBiQEACi2aakOTS93vHVWT1A?e=Xu2JTN" TargetMode="External"/><Relationship Id="rId16" Type="http://schemas.openxmlformats.org/officeDocument/2006/relationships/hyperlink" Target="https://saranistudio.sharepoint.com/:f:/s/SaraniAssets/Eg0HynoMQ5JNqHNwzuRwbRgBYPOQHLg4gp94gVDlox5nCA?e=d3PMN5" TargetMode="External"/><Relationship Id="rId29" Type="http://schemas.openxmlformats.org/officeDocument/2006/relationships/hyperlink" Target="https://saranistudio.sharepoint.com/:f:/s/SaraniAssets/ElPp5mW6snVPkxY9NQODX8gBi-KvemB7RD5tsSss8uMiPg?e=O9fR1q" TargetMode="External"/><Relationship Id="rId11" Type="http://schemas.openxmlformats.org/officeDocument/2006/relationships/hyperlink" Target="https://saranistudio.sharepoint.com/:f:/s/SaraniAssets/EoNIo5JGichNm6_RXrv8dEQBilHwAUZF81WudIE4jMTUlQ?e=h5OWme" TargetMode="External"/><Relationship Id="rId24" Type="http://schemas.openxmlformats.org/officeDocument/2006/relationships/hyperlink" Target="https://saranistudio.sharepoint.com/:f:/s/SaraniAssets/ErbThV3AGv1CsZvziFM8Bl8BlpFAdpVNHAykNs8SfpdTwg?e=CKOR5u" TargetMode="External"/><Relationship Id="rId32" Type="http://schemas.openxmlformats.org/officeDocument/2006/relationships/hyperlink" Target="https://saranistudio.sharepoint.com/:f:/s/SaraniAssets/Em7MqsyASsVLla4mcuNMiO4BmSqJk8wGvf9XCHoqAw4SjA?e=EcxUZT" TargetMode="External"/><Relationship Id="rId37" Type="http://schemas.openxmlformats.org/officeDocument/2006/relationships/hyperlink" Target="https://saranistudio.sharepoint.com/:f:/s/SaraniAssets/EhU6wLctzXJKt_8sMzwM9NUBPmBZ1_Fm3jbQ6uqHz9CnEw?e=xGUzV5" TargetMode="External"/><Relationship Id="rId40" Type="http://schemas.openxmlformats.org/officeDocument/2006/relationships/hyperlink" Target="https://saranistudio.sharepoint.com/:f:/s/SaraniAssets/Ejw2A7_2BQ5Ls_kuVAXmRukB2UPyyvDQ8riaAcYAx6WiQg?e=4HlAOp" TargetMode="External"/><Relationship Id="rId45" Type="http://schemas.openxmlformats.org/officeDocument/2006/relationships/hyperlink" Target="mailto:teamvbacontact@gmail.com" TargetMode="External"/><Relationship Id="rId53" Type="http://schemas.openxmlformats.org/officeDocument/2006/relationships/hyperlink" Target="https://saranistudio.sharepoint.com/:f:/s/SaraniAssets/EmG1lrbAzhJJgHLbYMYQpBUBFeqMMIxpDwcKPmuevHU1ww?e=c1EYRM" TargetMode="External"/><Relationship Id="rId58" Type="http://schemas.openxmlformats.org/officeDocument/2006/relationships/hyperlink" Target="mailto:brianna@maaiven.com" TargetMode="External"/><Relationship Id="rId66" Type="http://schemas.openxmlformats.org/officeDocument/2006/relationships/hyperlink" Target="mailto:brianna@maaiven.com" TargetMode="External"/><Relationship Id="rId74" Type="http://schemas.openxmlformats.org/officeDocument/2006/relationships/comments" Target="../comments1.xml"/><Relationship Id="rId5" Type="http://schemas.openxmlformats.org/officeDocument/2006/relationships/hyperlink" Target="https://saranistudio.sharepoint.com/:f:/s/SaraniAssets/EmRcIT6D4cxGl8o_DjWi9wcB_aDUY7-whHxFK_E3rlYFFw?e=aG6faZ" TargetMode="External"/><Relationship Id="rId61" Type="http://schemas.openxmlformats.org/officeDocument/2006/relationships/hyperlink" Target="https://saranistudio.sharepoint.com/:f:/s/SaraniAssets/EiWd6-vsJXhFgOdewn1zcxUBN6Cfa2B1z__PavzWNaKUIQ?e=w4RgiB" TargetMode="External"/><Relationship Id="rId19" Type="http://schemas.openxmlformats.org/officeDocument/2006/relationships/hyperlink" Target="https://saranistudio.sharepoint.com/:f:/s/SaraniAssets/Eua-_81w5EdIhg2LjwbaZeUBQ_gp3HghWcHndDEDCIwrSg?e=TRyyQC" TargetMode="External"/><Relationship Id="rId14" Type="http://schemas.openxmlformats.org/officeDocument/2006/relationships/hyperlink" Target="https://saranistudio.sharepoint.com/:f:/s/SaraniAssets/EpLFm-Ryfg5LirKpuYZqX6IBW6BRaDZWa7vLEWJstShnIg?e=XkPfBa" TargetMode="External"/><Relationship Id="rId22" Type="http://schemas.openxmlformats.org/officeDocument/2006/relationships/hyperlink" Target="https://saranistudio.sharepoint.com/:f:/s/SaraniAssets/ErcFJXVHZaBAsUGzvvi-UlIBD5VWdHTCZfU07bdrQpkiaQ?e=5IVH10" TargetMode="External"/><Relationship Id="rId27" Type="http://schemas.openxmlformats.org/officeDocument/2006/relationships/hyperlink" Target="https://saranistudio.sharepoint.com/:f:/s/SaraniAssets/Em7MqsyASsVLla4mcuNMiO4BmSqJk8wGvf9XCHoqAw4SjA?e=EcxUZT" TargetMode="External"/><Relationship Id="rId30" Type="http://schemas.openxmlformats.org/officeDocument/2006/relationships/hyperlink" Target="https://saranistudio.sharepoint.com/:f:/s/SaraniAssets/Ehc8_JcD7K9Lr__dI4C6ebwB1zaV9l9WO3KTicPNFSi4mA?e=yALMH1" TargetMode="External"/><Relationship Id="rId35" Type="http://schemas.openxmlformats.org/officeDocument/2006/relationships/hyperlink" Target="https://saranistudio.sharepoint.com/:f:/s/SaraniAssets/EoWsDsVDb_pNgjp9DUmyA74BghxTpVGQNRVRgEVHTuNPAQ?e=1XaRqt" TargetMode="External"/><Relationship Id="rId43" Type="http://schemas.openxmlformats.org/officeDocument/2006/relationships/hyperlink" Target="https://saranistudio.sharepoint.com/:f:/s/SaraniAssets/EkYws8HeiG5BgPWiC6ym1HYBbbvXmXpDISJDqWCkAdEizg?e=QKPCmz" TargetMode="External"/><Relationship Id="rId48" Type="http://schemas.openxmlformats.org/officeDocument/2006/relationships/hyperlink" Target="mailto:teamvbacontact@gmail.com" TargetMode="External"/><Relationship Id="rId56" Type="http://schemas.openxmlformats.org/officeDocument/2006/relationships/hyperlink" Target="mailto:brianna@maaiven.com" TargetMode="External"/><Relationship Id="rId64" Type="http://schemas.openxmlformats.org/officeDocument/2006/relationships/hyperlink" Target="https://saranistudio.sharepoint.com/:f:/s/SaraniAssets/EgmZgPqV7PVDv6AfnXl6H-AB510Ylf5qr3eGdafNE4hlmA?e=ytiYB6" TargetMode="External"/><Relationship Id="rId69" Type="http://schemas.openxmlformats.org/officeDocument/2006/relationships/hyperlink" Target="https://saranistudio.sharepoint.com/:f:/s/SaraniAssets/Embud19gMslAifNkMnrTOxoB6Tcocl6FCwIPDkvimGmGUA?e=jU2oW1" TargetMode="External"/><Relationship Id="rId8" Type="http://schemas.openxmlformats.org/officeDocument/2006/relationships/hyperlink" Target="https://saranistudio.sharepoint.com/:f:/s/SaraniAssets/ElcfhiK7aLhJhiN2ZjA7EwYB_oX3cVCbpCW7693MDQnjtA?e=wHOvMb" TargetMode="External"/><Relationship Id="rId51" Type="http://schemas.openxmlformats.org/officeDocument/2006/relationships/hyperlink" Target="mailto:teamvbacontact@gmail.com" TargetMode="External"/><Relationship Id="rId72" Type="http://schemas.openxmlformats.org/officeDocument/2006/relationships/vmlDrawing" Target="../drawings/vmlDrawing1.vml"/><Relationship Id="rId3" Type="http://schemas.openxmlformats.org/officeDocument/2006/relationships/hyperlink" Target="https://saranistudio.sharepoint.com/:f:/s/SaraniAssets/ErmhsGB8kgRAuBYr4yIhwroBiQEACi2aakOTS93vHVWT1A?e=Xu2JTN" TargetMode="External"/><Relationship Id="rId12" Type="http://schemas.openxmlformats.org/officeDocument/2006/relationships/hyperlink" Target="https://saranistudio.sharepoint.com/:f:/s/SaraniAssets/EiKHBnr1-t1CkBJ2177ZVvsBaPQVNA_ojPNwV7zWuLyKkg?e=joXBaP" TargetMode="External"/><Relationship Id="rId17" Type="http://schemas.openxmlformats.org/officeDocument/2006/relationships/hyperlink" Target="https://saranistudio.sharepoint.com/:f:/s/SaraniAssets/Es6AULA5FudOt1R1_1-euw4B3HacbDZoLWcvmDh1JceL8A?e=JzZ5yq" TargetMode="External"/><Relationship Id="rId25" Type="http://schemas.openxmlformats.org/officeDocument/2006/relationships/hyperlink" Target="https://saranistudio.sharepoint.com/:f:/s/SaraniAssets/EohyeXpT9tNJkqHXbxykHC8BQoRf3Zf1kZ3UMprn3fHnXw?e=fXzyGP" TargetMode="External"/><Relationship Id="rId33" Type="http://schemas.openxmlformats.org/officeDocument/2006/relationships/hyperlink" Target="https://saranistudio.sharepoint.com/:f:/s/SaraniAssets/EkKwYFxmBgdBr2xwdR-0FvABIx4KhxTT0ytpTn_2vX7TQg?e=G4teic" TargetMode="External"/><Relationship Id="rId38" Type="http://schemas.openxmlformats.org/officeDocument/2006/relationships/hyperlink" Target="https://saranistudio.sharepoint.com/:f:/s/SaraniAssets/EqeCIQ3kIshNrNlMpQ9Q3q0BgBa3Ojva9oyfp4wNjTBjnw?e=nkRTSM" TargetMode="External"/><Relationship Id="rId46" Type="http://schemas.openxmlformats.org/officeDocument/2006/relationships/hyperlink" Target="mailto:teamvbacontact@gmail.com" TargetMode="External"/><Relationship Id="rId59" Type="http://schemas.openxmlformats.org/officeDocument/2006/relationships/hyperlink" Target="https://saranistudio.sharepoint.com/:f:/r/sites/SaraniAssets/Shared%20Documents/03.%20Customers/01.%20Single%20Projects/Air%20Corsica/03.%20Projects/20250813_Ouvertures%20de%20lignes%20Munich%E2%80%93Corse%20et%20Vienne-Corse?csf=1&amp;web=1&amp;e=MPJ90g" TargetMode="External"/><Relationship Id="rId67" Type="http://schemas.openxmlformats.org/officeDocument/2006/relationships/hyperlink" Target="mailto:brianna@maaiven.com" TargetMode="External"/><Relationship Id="rId20" Type="http://schemas.openxmlformats.org/officeDocument/2006/relationships/hyperlink" Target="https://saranistudio.sharepoint.com/:f:/s/SaraniAssets/EonRiqSACwRLgM2Ebh95ajkB1jHzD-uHtvaFaRpF1aHVzQ?e=6bMic8" TargetMode="External"/><Relationship Id="rId41" Type="http://schemas.openxmlformats.org/officeDocument/2006/relationships/hyperlink" Target="https://saranistudio.sharepoint.com/:f:/s/SaraniAssets/EqeCIQ3kIshNrNlMpQ9Q3q0BgBa3Ojva9oyfp4wNjTBjnw?e=9t4588" TargetMode="External"/><Relationship Id="rId54" Type="http://schemas.openxmlformats.org/officeDocument/2006/relationships/hyperlink" Target="https://saranistudio.sharepoint.com/:f:/s/SaraniAssets/Es6UYuZoPJ1AvlKExKinjAoBOFSPecXz7K4QxIhX3PDpOQ?e=dCkmCs" TargetMode="External"/><Relationship Id="rId62" Type="http://schemas.openxmlformats.org/officeDocument/2006/relationships/hyperlink" Target="mailto:antoinebulot3@gmail.com" TargetMode="External"/><Relationship Id="rId70" Type="http://schemas.openxmlformats.org/officeDocument/2006/relationships/hyperlink" Target="https://saranistudio.sharepoint.com/:f:/s/SaraniAssets/EiQpB_y6CGdKgpzTQ-cMPK8Bx_gggUxkPanlyb-23JYBkg?e=JLcaWf" TargetMode="External"/><Relationship Id="rId75" Type="http://schemas.microsoft.com/office/2017/10/relationships/threadedComment" Target="../threadedComments/threadedComment1.xml"/><Relationship Id="rId1" Type="http://schemas.openxmlformats.org/officeDocument/2006/relationships/hyperlink" Target="https://saranistudio.sharepoint.com/:f:/s/SaraniAssets/EnbyF5acw11EjdYGvMP5nx0B0d70LzvZ1gHbTGcqlFjbGA?e=zcD1fD" TargetMode="External"/><Relationship Id="rId6" Type="http://schemas.openxmlformats.org/officeDocument/2006/relationships/hyperlink" Target="https://b2b.sarani.studio" TargetMode="External"/><Relationship Id="rId15" Type="http://schemas.openxmlformats.org/officeDocument/2006/relationships/hyperlink" Target="https://saranistudio.sharepoint.com/:f:/s/SaraniAssets/EiKHBnr1-t1CkBJ2177ZVvsBaPQVNA_ojPNwV7zWuLyKkg?e=Vg5xgJ" TargetMode="External"/><Relationship Id="rId23" Type="http://schemas.openxmlformats.org/officeDocument/2006/relationships/hyperlink" Target="https://saranistudio.sharepoint.com/:f:/s/SaraniAssets/Es6AULA5FudOt1R1_1-euw4B3HacbDZoLWcvmDh1JceL8A?e=JzZ5yq" TargetMode="External"/><Relationship Id="rId28" Type="http://schemas.openxmlformats.org/officeDocument/2006/relationships/hyperlink" Target="https://saranistudio.sharepoint.com/:f:/s/SaraniAssets/Em7MqsyASsVLla4mcuNMiO4BmSqJk8wGvf9XCHoqAw4SjA?e=EcxUZT" TargetMode="External"/><Relationship Id="rId36" Type="http://schemas.openxmlformats.org/officeDocument/2006/relationships/hyperlink" Target="https://saranistudio.sharepoint.com/:f:/s/SaraniAssets/EpTwgabtzGJBvE1QvzC9JVgBLcfZppAhj82LlolZKx4ZIw?e=bEEke8" TargetMode="External"/><Relationship Id="rId49" Type="http://schemas.openxmlformats.org/officeDocument/2006/relationships/hyperlink" Target="mailto:teamvbacontact@gmail.com" TargetMode="External"/><Relationship Id="rId57" Type="http://schemas.openxmlformats.org/officeDocument/2006/relationships/hyperlink" Target="https://saranistudio.sharepoint.com/:f:/s/SaraniAssets/EubSg9PUiIhInKr6pDjILtsBMi-lVwyFfrwYf5zsOE6jIA?e=zHgXsE" TargetMode="External"/><Relationship Id="rId10" Type="http://schemas.openxmlformats.org/officeDocument/2006/relationships/hyperlink" Target="https://saranistudio.sharepoint.com/:f:/s/SaraniAssets/Enio61zAkRdIiTwwA4OUlJAB1q9huiVoANamy9aNSgxszQ?e=7meLYd" TargetMode="External"/><Relationship Id="rId31" Type="http://schemas.openxmlformats.org/officeDocument/2006/relationships/hyperlink" Target="https://saranistudio.sharepoint.com/:f:/s/SaraniAssets/EvHoVoMfnQxBvCchiRxOMYEB1k4U6oosr16J3x5a0jNZMQ?e=YyhrtN" TargetMode="External"/><Relationship Id="rId44" Type="http://schemas.openxmlformats.org/officeDocument/2006/relationships/hyperlink" Target="https://saranistudio.sharepoint.com/:f:/s/SaraniAssets/EiOSFJyScHNAvCo8LOwvcNABKYjg6Ggvzl9J41YOGNKhTg?e=cYpZGh" TargetMode="External"/><Relationship Id="rId52" Type="http://schemas.openxmlformats.org/officeDocument/2006/relationships/hyperlink" Target="https://saranistudio.sharepoint.com/:f:/s/SaraniAssets/EubSg9PUiIhInKr6pDjILtsBMi-lVwyFfrwYf5zsOE6jIA?e=zHgXsE" TargetMode="External"/><Relationship Id="rId60" Type="http://schemas.openxmlformats.org/officeDocument/2006/relationships/hyperlink" Target="mailto:teamvbacontact@gmail.com" TargetMode="External"/><Relationship Id="rId65" Type="http://schemas.openxmlformats.org/officeDocument/2006/relationships/hyperlink" Target="mailto:brianna@maaiven.com" TargetMode="External"/><Relationship Id="rId73" Type="http://schemas.openxmlformats.org/officeDocument/2006/relationships/table" Target="../tables/table1.xml"/><Relationship Id="rId4" Type="http://schemas.openxmlformats.org/officeDocument/2006/relationships/hyperlink" Target="https://saranistudio.sharepoint.com/:f:/s/SaraniAssets/EkTN4p5LGHFGhELydt5HB-oB0aFtmnCCp7LOSYR9hymHGw?e=QPJaAL" TargetMode="External"/><Relationship Id="rId9" Type="http://schemas.openxmlformats.org/officeDocument/2006/relationships/hyperlink" Target="https://saranistudio.sharepoint.com/:f:/s/SaraniAssets/Eqwntg4GF4xHs_lcP9At1-0BUwZloYyi4fg05MClpbZ17w?e=DtySqI" TargetMode="External"/><Relationship Id="rId13" Type="http://schemas.openxmlformats.org/officeDocument/2006/relationships/hyperlink" Target="https://saranistudio.sharepoint.com/sites/SaraniAssets/Shared%20Documents/Forms/AllItems.aspx?ga=1&amp;id=%2Fsites%2FSaraniAssets%2FShared%20Documents%2F03%2E%20Customers%2F01%2E%20Single%20Projects%2FQuentin%20Carnaille&amp;viewid=2c2e4824%2D3cb1%2D4619%2Db7c6%2D219dce795204" TargetMode="External"/><Relationship Id="rId18" Type="http://schemas.openxmlformats.org/officeDocument/2006/relationships/hyperlink" Target="https://saranistudio.sharepoint.com/:f:/s/SaraniAssets/Ejkw9C61XThBu9TztcQMdBcBkuMj-_UTBfAZ3H11pl5-Rw?e=wok4jA" TargetMode="External"/><Relationship Id="rId39" Type="http://schemas.openxmlformats.org/officeDocument/2006/relationships/hyperlink" Target="https://saranistudio.sharepoint.com/:f:/s/SaraniAssets/Evu3AwE3YHpBreauZ0Kej2QB9GcsjLq_eoDkRPLfA6q3wQ?e=c3mMLw" TargetMode="External"/><Relationship Id="rId34" Type="http://schemas.openxmlformats.org/officeDocument/2006/relationships/hyperlink" Target="https://saranistudio.sharepoint.com/:f:/s/SaraniAssets/ElPp5mW6snVPkxY9NQODX8gBi-KvemB7RD5tsSss8uMiPg?e=OVTue9" TargetMode="External"/><Relationship Id="rId50" Type="http://schemas.openxmlformats.org/officeDocument/2006/relationships/hyperlink" Target="mailto:teamvbacontact@gmail.com" TargetMode="External"/><Relationship Id="rId55" Type="http://schemas.openxmlformats.org/officeDocument/2006/relationships/hyperlink" Target="https://saranistudio.sharepoint.com/:f:/s/SaraniAssets/ElwvVy1ks1xHmX4vMMfIrekBA_koR8ZENvG07Pw8xQt1Sw?e=v7iC3d" TargetMode="External"/><Relationship Id="rId7" Type="http://schemas.openxmlformats.org/officeDocument/2006/relationships/hyperlink" Target="https://saranistudio.sharepoint.com/sites/SaraniAssets/Shared%20Documents/Forms/AllItems.aspx?ga=1&amp;id=%2Fsites%2FSaraniAssets%2FShared%20Documents%2F03%2E%20Customers%2F09%2E%20Pernod%20Ricard%2F01%2E%20Press%20Release&amp;viewid=2c2e4824%2D3cb1%2D4619%2Db7c6%2D219dce795204" TargetMode="External"/><Relationship Id="rId71" Type="http://schemas.openxmlformats.org/officeDocument/2006/relationships/hyperlink" Target="https://saranistudio.sharepoint.com/:f:/s/SaraniAssets/ErINq5DS2rtKrevRpEGoIKMBN67ZysX2zoakyP1NQp6gDw?e=3hs9EJ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saranistudio.sharepoint.com/:f:/s/SaraniAssets/IgDlTqanN_NsQ7RJxbtht_0DAXjG-SrNqfzVt9Ffgp965CQ?e=llAMmD" TargetMode="External"/><Relationship Id="rId13" Type="http://schemas.openxmlformats.org/officeDocument/2006/relationships/hyperlink" Target="https://saranistudio.sharepoint.com/:f:/s/SaraniAssets/IgBwDZ03AXwQTqVl_o_aTyJ3AaD9-YzfFEzrzSXt8joDj9s?e=Azd0HA" TargetMode="External"/><Relationship Id="rId3" Type="http://schemas.openxmlformats.org/officeDocument/2006/relationships/hyperlink" Target="https://saranistudio.sharepoint.com/:f:/s/SaraniAssets/ErDr7oisSdFAj2H1m7SJMbIBFFpFbirZahckKdNM_CfoZQ?e=ueQXaZ" TargetMode="External"/><Relationship Id="rId7" Type="http://schemas.openxmlformats.org/officeDocument/2006/relationships/hyperlink" Target="https://saranistudio.sharepoint.com/:f:/s/SaraniAssets/IgBh0T6dSKKZT4gu4mn4TX5QAWXo60qQVRUX0XmoZn8ISX4?e=XdDkgZ" TargetMode="External"/><Relationship Id="rId12" Type="http://schemas.openxmlformats.org/officeDocument/2006/relationships/hyperlink" Target="https://saranistudio.sharepoint.com/:f:/s/SaraniAssets/IgA-TFLpCzSwQLEjZ6WMYiSMAROiuMNMN-aQs_qwlLJqNU4?e=WCaS5w" TargetMode="External"/><Relationship Id="rId2" Type="http://schemas.openxmlformats.org/officeDocument/2006/relationships/hyperlink" Target="https://saranistudio.sharepoint.com/:f:/s/SaraniAssets/ElfVtFxm2RtIonWXkRgr_GIBjiGep4NOz8wKly5_AkdUVw?e=FnHwcs" TargetMode="External"/><Relationship Id="rId16" Type="http://schemas.openxmlformats.org/officeDocument/2006/relationships/table" Target="../tables/table2.xml"/><Relationship Id="rId1" Type="http://schemas.openxmlformats.org/officeDocument/2006/relationships/hyperlink" Target="https://saranistudio.sharepoint.com/:f:/s/SaraniAssets/En9_pE0vqmdElSsMB6kzC-0Ba1QZsfxac7H_3kE15be0Mg?e=JWGzMZ" TargetMode="External"/><Relationship Id="rId6" Type="http://schemas.openxmlformats.org/officeDocument/2006/relationships/hyperlink" Target="https://saranistudio.sharepoint.com/:f:/s/SaraniAssets/IgCgWwTcCYafSJiJeCj1A3N1AYNmufkAM24v41ehTtkeRPk?e=rEGlp0" TargetMode="External"/><Relationship Id="rId11" Type="http://schemas.openxmlformats.org/officeDocument/2006/relationships/hyperlink" Target="https://saranistudio.sharepoint.com/:f:/s/SaraniAssets/IgC076E5vIsxTKfAkZUqVzq5ATITA1YV6h21czMMDeBoeKk?e=OAaKwr" TargetMode="External"/><Relationship Id="rId5" Type="http://schemas.openxmlformats.org/officeDocument/2006/relationships/hyperlink" Target="https://saranistudio.sharepoint.com/:f:/s/SaraniAssets/EgXwzNzeI8pKkntqRsDmTLYBNUbVvuNfwxaGH1S6B9BY2w?e=N3ikS1" TargetMode="External"/><Relationship Id="rId15" Type="http://schemas.openxmlformats.org/officeDocument/2006/relationships/hyperlink" Target="https://saranistudio.sharepoint.com/:b:/s/SaraniAssets/IQBHD6cSEoYVR6lJP85-cSNgAd5UEqDJ86tlCkImQCfhquA?e=waZxfx" TargetMode="External"/><Relationship Id="rId10" Type="http://schemas.openxmlformats.org/officeDocument/2006/relationships/hyperlink" Target="https://saranistudio.sharepoint.com/:f:/s/SaraniAssets/IgAFbmPyBNtET6zi41Yfubs4AVi5vhACe1_nX_0Fx_1tzlg?e=hxmN8T" TargetMode="External"/><Relationship Id="rId4" Type="http://schemas.openxmlformats.org/officeDocument/2006/relationships/hyperlink" Target="https://saranistudio.sharepoint.com/:b:/s/SaraniAssets/ESj-XS7Hzg5OiFkYYP1Lvr8BkeTRkZ5HP1l6iI6WoQDM0w?e=6ELNlB" TargetMode="External"/><Relationship Id="rId9" Type="http://schemas.openxmlformats.org/officeDocument/2006/relationships/hyperlink" Target="https://saranistudio.sharepoint.com/:b:/s/SaraniAssets/IQBVFJA2GlW5RoCqFwcScpVfAUiBuSv1wRqXRW-DbjH8Y4s?e=pwbnf0" TargetMode="External"/><Relationship Id="rId14" Type="http://schemas.openxmlformats.org/officeDocument/2006/relationships/hyperlink" Target="https://saranistudio.sharepoint.com/:f:/s/SaraniAssets/IgDpevFzqBduT6MXAs2ymGkRAY7iJdUEFAsv2m5jH1zO10Q?e=1G5t8a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saranistudio.sharepoint.com/:f:/s/SaraniAssets/Emy3u7ejASZFj5Jcaa1iVEQBNe9UIDykjz4C3EU1cCdxoA?e=9FEPAh" TargetMode="External"/><Relationship Id="rId2" Type="http://schemas.openxmlformats.org/officeDocument/2006/relationships/hyperlink" Target="https://saranistudio.sharepoint.com/:f:/s/SaraniAssets/ErjOFrbH7FVHjPw1NvubUJgBfYN8x0t0vXyReRCLIlouZA?e=tNdaWa" TargetMode="External"/><Relationship Id="rId1" Type="http://schemas.openxmlformats.org/officeDocument/2006/relationships/hyperlink" Target="https://saranistudio.sharepoint.com/:f:/s/SaraniAssets/EpyzWx2RoxlDk2mb6W9Ul8MBg1Ms8d2tY2OQ8wXNLUA4ZA?e=3jQi7b" TargetMode="External"/><Relationship Id="rId4" Type="http://schemas.openxmlformats.org/officeDocument/2006/relationships/hyperlink" Target="https://saranistudio.sharepoint.com/:f:/s/SaraniAssets/EuHNcWVhPKFImvd2XDHEUtwBtNbHSJEFRnTZoXyuk68DKw?e=gwaCz7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saranistudio.sharepoint.com/:f:/s/SaraniAssets/Em7maMHM86dCkPVmsTFA8f4BCvzO-_7n0PY5M3gDjoDOmw?e=CKRhOK" TargetMode="External"/><Relationship Id="rId18" Type="http://schemas.openxmlformats.org/officeDocument/2006/relationships/hyperlink" Target="https://saranistudio.sharepoint.com/:f:/s/SaraniAssets/Em7maMHM86dCkPVmsTFA8f4BCvzO-_7n0PY5M3gDjoDOmw?e=CKRhOK" TargetMode="External"/><Relationship Id="rId26" Type="http://schemas.openxmlformats.org/officeDocument/2006/relationships/hyperlink" Target="https://saranistudio.sharepoint.com/:f:/s/SaraniAssets/Em7maMHM86dCkPVmsTFA8f4BCvzO-_7n0PY5M3gDjoDOmw?e=CKRhOK" TargetMode="External"/><Relationship Id="rId39" Type="http://schemas.openxmlformats.org/officeDocument/2006/relationships/hyperlink" Target="https://saranistudio.sharepoint.com/:f:/s/SaraniAssets/Em7maMHM86dCkPVmsTFA8f4BCvzO-_7n0PY5M3gDjoDOmw?e=CKRhOK" TargetMode="External"/><Relationship Id="rId21" Type="http://schemas.openxmlformats.org/officeDocument/2006/relationships/hyperlink" Target="https://saranistudio.sharepoint.com/:f:/s/SaraniAssets/Em7maMHM86dCkPVmsTFA8f4BCvzO-_7n0PY5M3gDjoDOmw?e=CKRhOK" TargetMode="External"/><Relationship Id="rId34" Type="http://schemas.openxmlformats.org/officeDocument/2006/relationships/hyperlink" Target="https://saranistudio.sharepoint.com/:f:/s/SaraniAssets/Em7maMHM86dCkPVmsTFA8f4BCvzO-_7n0PY5M3gDjoDOmw?e=CKRhOK" TargetMode="External"/><Relationship Id="rId42" Type="http://schemas.openxmlformats.org/officeDocument/2006/relationships/hyperlink" Target="https://saranistudio.sharepoint.com/:f:/s/SaraniAssets/Em7maMHM86dCkPVmsTFA8f4BCvzO-_7n0PY5M3gDjoDOmw?e=CKRhOK" TargetMode="External"/><Relationship Id="rId7" Type="http://schemas.openxmlformats.org/officeDocument/2006/relationships/hyperlink" Target="https://saranistudio.sharepoint.com/:f:/s/SaraniAssets/Em7maMHM86dCkPVmsTFA8f4BCvzO-_7n0PY5M3gDjoDOmw?e=CKRhOK" TargetMode="External"/><Relationship Id="rId2" Type="http://schemas.openxmlformats.org/officeDocument/2006/relationships/hyperlink" Target="https://saranistudio.sharepoint.com/:f:/s/SaraniAssets/EiEq_tcCAl5KpCw6Csa44nIBnD3l21MpG9vmZPK0gR_UoA?e=nwN5Xt" TargetMode="External"/><Relationship Id="rId16" Type="http://schemas.openxmlformats.org/officeDocument/2006/relationships/hyperlink" Target="https://saranistudio.sharepoint.com/:f:/s/SaraniAssets/Em7maMHM86dCkPVmsTFA8f4BCvzO-_7n0PY5M3gDjoDOmw?e=CKRhOK" TargetMode="External"/><Relationship Id="rId20" Type="http://schemas.openxmlformats.org/officeDocument/2006/relationships/hyperlink" Target="https://saranistudio.sharepoint.com/:f:/s/SaraniAssets/Em7maMHM86dCkPVmsTFA8f4BCvzO-_7n0PY5M3gDjoDOmw?e=CKRhOK" TargetMode="External"/><Relationship Id="rId29" Type="http://schemas.openxmlformats.org/officeDocument/2006/relationships/hyperlink" Target="https://saranistudio.sharepoint.com/:f:/s/SaraniAssets/Em7maMHM86dCkPVmsTFA8f4BCvzO-_7n0PY5M3gDjoDOmw?e=CKRhOK" TargetMode="External"/><Relationship Id="rId41" Type="http://schemas.openxmlformats.org/officeDocument/2006/relationships/hyperlink" Target="https://saranistudio.sharepoint.com/:f:/s/SaraniAssets/Em7maMHM86dCkPVmsTFA8f4BCvzO-_7n0PY5M3gDjoDOmw?e=CKRhOK" TargetMode="External"/><Relationship Id="rId1" Type="http://schemas.openxmlformats.org/officeDocument/2006/relationships/hyperlink" Target="https://saranistudio.sharepoint.com/:f:/s/SaraniAssets/EiEq_tcCAl5KpCw6Csa44nIBnD3l21MpG9vmZPK0gR_UoA?e=nwN5Xt" TargetMode="External"/><Relationship Id="rId6" Type="http://schemas.openxmlformats.org/officeDocument/2006/relationships/hyperlink" Target="https://saranistudio.sharepoint.com/:f:/s/SaraniAssets/Em7maMHM86dCkPVmsTFA8f4BCvzO-_7n0PY5M3gDjoDOmw?e=CKRhOK" TargetMode="External"/><Relationship Id="rId11" Type="http://schemas.openxmlformats.org/officeDocument/2006/relationships/hyperlink" Target="https://saranistudio.sharepoint.com/:f:/s/SaraniAssets/Em7maMHM86dCkPVmsTFA8f4BCvzO-_7n0PY5M3gDjoDOmw?e=CKRhOK" TargetMode="External"/><Relationship Id="rId24" Type="http://schemas.openxmlformats.org/officeDocument/2006/relationships/hyperlink" Target="https://saranistudio.sharepoint.com/:f:/s/SaraniAssets/Em7maMHM86dCkPVmsTFA8f4BCvzO-_7n0PY5M3gDjoDOmw?e=CKRhOK" TargetMode="External"/><Relationship Id="rId32" Type="http://schemas.openxmlformats.org/officeDocument/2006/relationships/hyperlink" Target="https://saranistudio.sharepoint.com/:f:/s/SaraniAssets/Em7maMHM86dCkPVmsTFA8f4BCvzO-_7n0PY5M3gDjoDOmw?e=CKRhOK" TargetMode="External"/><Relationship Id="rId37" Type="http://schemas.openxmlformats.org/officeDocument/2006/relationships/hyperlink" Target="https://saranistudio.sharepoint.com/:f:/s/SaraniAssets/Em7maMHM86dCkPVmsTFA8f4BCvzO-_7n0PY5M3gDjoDOmw?e=CKRhOK" TargetMode="External"/><Relationship Id="rId40" Type="http://schemas.openxmlformats.org/officeDocument/2006/relationships/hyperlink" Target="https://saranistudio.sharepoint.com/:f:/s/SaraniAssets/Em7maMHM86dCkPVmsTFA8f4BCvzO-_7n0PY5M3gDjoDOmw?e=CKRhOK" TargetMode="External"/><Relationship Id="rId5" Type="http://schemas.openxmlformats.org/officeDocument/2006/relationships/hyperlink" Target="https://saranistudio.sharepoint.com/:f:/s/SaraniAssets/Em7maMHM86dCkPVmsTFA8f4BCvzO-_7n0PY5M3gDjoDOmw?e=CKRhOK" TargetMode="External"/><Relationship Id="rId15" Type="http://schemas.openxmlformats.org/officeDocument/2006/relationships/hyperlink" Target="https://saranistudio.sharepoint.com/:f:/s/SaraniAssets/Em7maMHM86dCkPVmsTFA8f4BCvzO-_7n0PY5M3gDjoDOmw?e=CKRhOK" TargetMode="External"/><Relationship Id="rId23" Type="http://schemas.openxmlformats.org/officeDocument/2006/relationships/hyperlink" Target="https://saranistudio.sharepoint.com/:f:/s/SaraniAssets/Em7maMHM86dCkPVmsTFA8f4BCvzO-_7n0PY5M3gDjoDOmw?e=CKRhOK" TargetMode="External"/><Relationship Id="rId28" Type="http://schemas.openxmlformats.org/officeDocument/2006/relationships/hyperlink" Target="https://saranistudio.sharepoint.com/:f:/s/SaraniAssets/Em7maMHM86dCkPVmsTFA8f4BCvzO-_7n0PY5M3gDjoDOmw?e=CKRhOK" TargetMode="External"/><Relationship Id="rId36" Type="http://schemas.openxmlformats.org/officeDocument/2006/relationships/hyperlink" Target="https://saranistudio.sharepoint.com/:f:/s/SaraniAssets/Em7maMHM86dCkPVmsTFA8f4BCvzO-_7n0PY5M3gDjoDOmw?e=CKRhOK" TargetMode="External"/><Relationship Id="rId10" Type="http://schemas.openxmlformats.org/officeDocument/2006/relationships/hyperlink" Target="https://saranistudio.sharepoint.com/:f:/s/SaraniAssets/Em7maMHM86dCkPVmsTFA8f4BCvzO-_7n0PY5M3gDjoDOmw?e=CKRhOK" TargetMode="External"/><Relationship Id="rId19" Type="http://schemas.openxmlformats.org/officeDocument/2006/relationships/hyperlink" Target="https://saranistudio.sharepoint.com/:f:/s/SaraniAssets/Em7maMHM86dCkPVmsTFA8f4BCvzO-_7n0PY5M3gDjoDOmw?e=CKRhOK" TargetMode="External"/><Relationship Id="rId31" Type="http://schemas.openxmlformats.org/officeDocument/2006/relationships/hyperlink" Target="https://saranistudio.sharepoint.com/:f:/s/SaraniAssets/Em7maMHM86dCkPVmsTFA8f4BCvzO-_7n0PY5M3gDjoDOmw?e=CKRhOK" TargetMode="External"/><Relationship Id="rId44" Type="http://schemas.openxmlformats.org/officeDocument/2006/relationships/hyperlink" Target="https://saranistudio.sharepoint.com/:f:/s/SaraniAssets/Em7maMHM86dCkPVmsTFA8f4BCvzO-_7n0PY5M3gDjoDOmw?e=CKRhOK" TargetMode="External"/><Relationship Id="rId4" Type="http://schemas.openxmlformats.org/officeDocument/2006/relationships/hyperlink" Target="https://saranistudio.sharepoint.com/:f:/s/SaraniAssets/Em7maMHM86dCkPVmsTFA8f4BCvzO-_7n0PY5M3gDjoDOmw?e=CKRhOK" TargetMode="External"/><Relationship Id="rId9" Type="http://schemas.openxmlformats.org/officeDocument/2006/relationships/hyperlink" Target="https://saranistudio.sharepoint.com/:f:/s/SaraniAssets/Em7maMHM86dCkPVmsTFA8f4BCvzO-_7n0PY5M3gDjoDOmw?e=CKRhOK" TargetMode="External"/><Relationship Id="rId14" Type="http://schemas.openxmlformats.org/officeDocument/2006/relationships/hyperlink" Target="https://saranistudio.sharepoint.com/:f:/s/SaraniAssets/Em7maMHM86dCkPVmsTFA8f4BCvzO-_7n0PY5M3gDjoDOmw?e=CKRhOK" TargetMode="External"/><Relationship Id="rId22" Type="http://schemas.openxmlformats.org/officeDocument/2006/relationships/hyperlink" Target="https://saranistudio.sharepoint.com/:f:/s/SaraniAssets/Em7maMHM86dCkPVmsTFA8f4BCvzO-_7n0PY5M3gDjoDOmw?e=CKRhOK" TargetMode="External"/><Relationship Id="rId27" Type="http://schemas.openxmlformats.org/officeDocument/2006/relationships/hyperlink" Target="https://saranistudio.sharepoint.com/:f:/s/SaraniAssets/Em7maMHM86dCkPVmsTFA8f4BCvzO-_7n0PY5M3gDjoDOmw?e=CKRhOK" TargetMode="External"/><Relationship Id="rId30" Type="http://schemas.openxmlformats.org/officeDocument/2006/relationships/hyperlink" Target="https://saranistudio.sharepoint.com/:f:/s/SaraniAssets/Em7maMHM86dCkPVmsTFA8f4BCvzO-_7n0PY5M3gDjoDOmw?e=CKRhOK" TargetMode="External"/><Relationship Id="rId35" Type="http://schemas.openxmlformats.org/officeDocument/2006/relationships/hyperlink" Target="https://saranistudio.sharepoint.com/:f:/s/SaraniAssets/Em7maMHM86dCkPVmsTFA8f4BCvzO-_7n0PY5M3gDjoDOmw?e=CKRhOK" TargetMode="External"/><Relationship Id="rId43" Type="http://schemas.openxmlformats.org/officeDocument/2006/relationships/hyperlink" Target="https://saranistudio.sharepoint.com/:f:/s/SaraniAssets/Em7maMHM86dCkPVmsTFA8f4BCvzO-_7n0PY5M3gDjoDOmw?e=CKRhOK" TargetMode="External"/><Relationship Id="rId8" Type="http://schemas.openxmlformats.org/officeDocument/2006/relationships/hyperlink" Target="https://saranistudio.sharepoint.com/:f:/s/SaraniAssets/Em7maMHM86dCkPVmsTFA8f4BCvzO-_7n0PY5M3gDjoDOmw?e=CKRhOK" TargetMode="External"/><Relationship Id="rId3" Type="http://schemas.openxmlformats.org/officeDocument/2006/relationships/hyperlink" Target="https://saranistudio.sharepoint.com/:f:/s/SaraniAssets/ElyDhkMX8e9Drf1O87TrczoBfIqrNLIXuGs6SSFYIK4xug?e=XQkOyj" TargetMode="External"/><Relationship Id="rId12" Type="http://schemas.openxmlformats.org/officeDocument/2006/relationships/hyperlink" Target="https://saranistudio.sharepoint.com/:f:/s/SaraniAssets/Em7maMHM86dCkPVmsTFA8f4BCvzO-_7n0PY5M3gDjoDOmw?e=CKRhOK" TargetMode="External"/><Relationship Id="rId17" Type="http://schemas.openxmlformats.org/officeDocument/2006/relationships/hyperlink" Target="https://saranistudio.sharepoint.com/:f:/s/SaraniAssets/Em7maMHM86dCkPVmsTFA8f4BCvzO-_7n0PY5M3gDjoDOmw?e=CKRhOK" TargetMode="External"/><Relationship Id="rId25" Type="http://schemas.openxmlformats.org/officeDocument/2006/relationships/hyperlink" Target="https://saranistudio.sharepoint.com/:f:/s/SaraniAssets/Em7maMHM86dCkPVmsTFA8f4BCvzO-_7n0PY5M3gDjoDOmw?e=CKRhOK" TargetMode="External"/><Relationship Id="rId33" Type="http://schemas.openxmlformats.org/officeDocument/2006/relationships/hyperlink" Target="https://saranistudio.sharepoint.com/:f:/s/SaraniAssets/Em7maMHM86dCkPVmsTFA8f4BCvzO-_7n0PY5M3gDjoDOmw?e=CKRhOK" TargetMode="External"/><Relationship Id="rId38" Type="http://schemas.openxmlformats.org/officeDocument/2006/relationships/hyperlink" Target="https://saranistudio.sharepoint.com/:f:/s/SaraniAssets/Em7maMHM86dCkPVmsTFA8f4BCvzO-_7n0PY5M3gDjoDOmw?e=CKRhO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2991A-4A2F-42F2-8DD1-825765DDCD58}">
  <sheetPr>
    <tabColor rgb="FF0070C0"/>
  </sheetPr>
  <dimension ref="A1:U25"/>
  <sheetViews>
    <sheetView workbookViewId="0">
      <pane ySplit="4" topLeftCell="A5" activePane="bottomLeft" state="frozen"/>
      <selection pane="bottomLeft" activeCell="P21" sqref="P21"/>
    </sheetView>
  </sheetViews>
  <sheetFormatPr defaultRowHeight="15"/>
  <cols>
    <col min="1" max="1" width="28.5703125" style="163" customWidth="1"/>
    <col min="2" max="21" width="16.140625" customWidth="1"/>
  </cols>
  <sheetData>
    <row r="1" spans="1:21" ht="18" customHeight="1">
      <c r="A1" s="411" t="s">
        <v>0</v>
      </c>
      <c r="B1" s="411"/>
      <c r="C1" s="411"/>
      <c r="D1" s="411"/>
      <c r="E1" s="411"/>
      <c r="F1" s="411"/>
      <c r="G1" s="411"/>
      <c r="H1" s="411"/>
      <c r="I1" s="411"/>
      <c r="J1" s="411"/>
      <c r="K1" s="411"/>
      <c r="L1" s="411"/>
      <c r="M1" s="411"/>
      <c r="N1" s="411"/>
      <c r="O1" s="411"/>
      <c r="P1" s="411"/>
      <c r="Q1" s="411"/>
      <c r="R1" s="411"/>
      <c r="S1" s="411"/>
      <c r="T1" s="411"/>
      <c r="U1" s="411"/>
    </row>
    <row r="2" spans="1:21" ht="12" customHeight="1">
      <c r="A2" s="396"/>
      <c r="B2" s="397"/>
      <c r="C2" s="397"/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</row>
    <row r="3" spans="1:21" ht="18" customHeight="1">
      <c r="A3" s="386" t="s">
        <v>1</v>
      </c>
      <c r="B3" s="412">
        <v>2022</v>
      </c>
      <c r="C3" s="412"/>
      <c r="D3" s="412"/>
      <c r="E3" s="412"/>
      <c r="F3" s="412">
        <v>2023</v>
      </c>
      <c r="G3" s="412"/>
      <c r="H3" s="412"/>
      <c r="I3" s="412"/>
      <c r="J3" s="412">
        <v>2024</v>
      </c>
      <c r="K3" s="412"/>
      <c r="L3" s="412"/>
      <c r="M3" s="412"/>
      <c r="N3" s="412">
        <v>2025</v>
      </c>
      <c r="O3" s="412"/>
      <c r="P3" s="412"/>
      <c r="Q3" s="412"/>
      <c r="R3" s="412">
        <v>2026</v>
      </c>
      <c r="S3" s="412"/>
      <c r="T3" s="412"/>
      <c r="U3" s="412"/>
    </row>
    <row r="4" spans="1:21" ht="18" customHeight="1">
      <c r="A4" s="384"/>
      <c r="B4" s="385" t="s">
        <v>2</v>
      </c>
      <c r="C4" s="385" t="s">
        <v>3</v>
      </c>
      <c r="D4" s="385" t="s">
        <v>4</v>
      </c>
      <c r="E4" s="385" t="s">
        <v>5</v>
      </c>
      <c r="F4" s="385" t="s">
        <v>2</v>
      </c>
      <c r="G4" s="385" t="s">
        <v>3</v>
      </c>
      <c r="H4" s="385" t="s">
        <v>4</v>
      </c>
      <c r="I4" s="385" t="s">
        <v>5</v>
      </c>
      <c r="J4" s="385" t="s">
        <v>2</v>
      </c>
      <c r="K4" s="385" t="s">
        <v>3</v>
      </c>
      <c r="L4" s="385" t="s">
        <v>4</v>
      </c>
      <c r="M4" s="385" t="s">
        <v>5</v>
      </c>
      <c r="N4" s="385" t="s">
        <v>2</v>
      </c>
      <c r="O4" s="385" t="s">
        <v>3</v>
      </c>
      <c r="P4" s="385" t="s">
        <v>4</v>
      </c>
      <c r="Q4" s="385" t="s">
        <v>5</v>
      </c>
      <c r="R4" s="385" t="s">
        <v>2</v>
      </c>
      <c r="S4" s="385" t="s">
        <v>3</v>
      </c>
      <c r="T4" s="385" t="s">
        <v>4</v>
      </c>
      <c r="U4" s="385" t="s">
        <v>5</v>
      </c>
    </row>
    <row r="5" spans="1:21" s="304" customFormat="1" ht="18" customHeight="1">
      <c r="A5" s="398" t="s">
        <v>6</v>
      </c>
      <c r="B5" s="399">
        <f>SUMIFS('All projects'!I$2:I$1000,'All projects'!B$2:B$1000,"&gt;="&amp;DATE(2022,1,1),'All projects'!B$2:B$1000,"&lt;="&amp;DATE(2022,3+1,0))</f>
        <v>0</v>
      </c>
      <c r="C5" s="399">
        <f>SUMIFS('All projects'!I$2:I$1000,'All projects'!B$2:B$1000,"&gt;="&amp;DATE(2022,4,1),'All projects'!B$2:B$1000,"&lt;="&amp;DATE(2022,6+1,0))</f>
        <v>0</v>
      </c>
      <c r="D5" s="399">
        <f>SUMIFS('All projects'!I$2:I$1000,'All projects'!B$2:B$1000,"&gt;="&amp;DATE(2022,7,1),'All projects'!B$2:B$1000,"&lt;="&amp;DATE(2022,9+1,0))</f>
        <v>5000</v>
      </c>
      <c r="E5" s="399">
        <f>SUMIFS('All projects'!I$2:I$1000,'All projects'!B$2:B$1000,"&gt;="&amp;DATE(2022,10,1),'All projects'!B$2:B$1000,"&lt;="&amp;DATE(2022,12+1,0))</f>
        <v>0</v>
      </c>
      <c r="F5" s="399">
        <f>SUMIFS('All projects'!I$2:I$1000,'All projects'!B$2:B$1000,"&gt;="&amp;DATE(2023,1,1),'All projects'!B$2:B$1000,"&lt;="&amp;DATE(2023,3+1,0))</f>
        <v>0</v>
      </c>
      <c r="G5" s="399">
        <f>SUMIFS('All projects'!I$2:I$1000,'All projects'!B$2:B$1000,"&gt;="&amp;DATE(2023,4,1),'All projects'!B$2:B$1000,"&lt;="&amp;DATE(2023,6+1,0))</f>
        <v>8650</v>
      </c>
      <c r="H5" s="399">
        <f>SUMIFS('All projects'!I$2:I$1000,'All projects'!B$2:B$1000,"&gt;="&amp;DATE(2023,7,1),'All projects'!B$2:B$1000,"&lt;="&amp;DATE(2023,9+1,0))</f>
        <v>1950</v>
      </c>
      <c r="I5" s="399">
        <f>SUMIFS('All projects'!I$2:I$1000,'All projects'!B$2:B$1000,"&gt;="&amp;DATE(2023,10,1),'All projects'!B$2:B$1000,"&lt;="&amp;DATE(2023,12+1,0))</f>
        <v>3080</v>
      </c>
      <c r="J5" s="399">
        <f>SUMIFS('All projects'!I$2:I$1000,'All projects'!B$2:B$1000,"&gt;="&amp;DATE(2024,1,1),'All projects'!B$2:B$1000,"&lt;="&amp;DATE(2024,3+1,0))</f>
        <v>2840</v>
      </c>
      <c r="K5" s="399">
        <f>SUMIFS('All projects'!I$2:I$1000,'All projects'!B$2:B$1000,"&gt;="&amp;DATE(2024,4,1),'All projects'!B$2:B$1000,"&lt;="&amp;DATE(2024,6+1,0))</f>
        <v>42371</v>
      </c>
      <c r="L5" s="399">
        <f>SUMIFS('All projects'!I$2:I$1000,'All projects'!B$2:B$1000,"&gt;="&amp;DATE(2024,7,1),'All projects'!B$2:B$1000,"&lt;="&amp;DATE(2024,9+1,0))</f>
        <v>122955</v>
      </c>
      <c r="M5" s="399">
        <f>SUMIFS('All projects'!I$2:I$1000,'All projects'!B$2:B$1000,"&gt;="&amp;DATE(2024,10,1),'All projects'!B$2:B$1000,"&lt;="&amp;DATE(2024,12+1,0))</f>
        <v>3490</v>
      </c>
      <c r="N5" s="399">
        <f>SUMIFS('All projects'!I$2:I$1000,'All projects'!B$2:B$1000,"&gt;="&amp;DATE(2025,1,1),'All projects'!B$2:B$1000,"&lt;="&amp;DATE(2025,3+1,0))</f>
        <v>11105</v>
      </c>
      <c r="O5" s="399">
        <f>SUMIFS('All projects'!I$2:I$1000,'All projects'!B$2:B$1000,"&gt;="&amp;DATE(2025,4,1),'All projects'!B$2:B$1000,"&lt;="&amp;DATE(2025,6+1,0))</f>
        <v>63830</v>
      </c>
      <c r="P5" s="399">
        <f>SUMIFS('All projects'!I$2:I$1000,'All projects'!B$2:B$1000,"&gt;="&amp;DATE(2025,7,1),'All projects'!B$2:B$1000,"&lt;="&amp;DATE(2025,9+1,0))</f>
        <v>29620</v>
      </c>
      <c r="Q5" s="399">
        <f>SUMIFS('All projects'!I$2:I$1000,'All projects'!B$2:B$1000,"&gt;="&amp;DATE(2025,10,1),'All projects'!B$2:B$1000,"&lt;="&amp;DATE(2025,12+1,0))</f>
        <v>19506.169999999998</v>
      </c>
      <c r="R5" s="399">
        <f>SUMIFS('All projects'!I$2:I$1000,'All projects'!B$2:B$1000,"&gt;="&amp;DATE(2026,1,1),'All projects'!B$2:B$1000,"&lt;="&amp;DATE(2026,3+1,0))</f>
        <v>19630</v>
      </c>
      <c r="S5" s="399">
        <f>SUMIFS('All projects'!I$2:I$1000,'All projects'!B$2:B$1000,"&gt;="&amp;DATE(2026,4,1),'All projects'!B$2:B$1000,"&lt;="&amp;DATE(2026,6+1,0))</f>
        <v>0</v>
      </c>
      <c r="T5" s="399">
        <f>SUMIFS('All projects'!I$2:I$1000,'All projects'!B$2:B$1000,"&gt;="&amp;DATE(2026,7,1),'All projects'!B$2:B$1000,"&lt;="&amp;DATE(2026,9+1,0))</f>
        <v>0</v>
      </c>
      <c r="U5" s="399">
        <f>SUMIFS('All projects'!I$2:I$1000,'All projects'!B$2:B$1000,"&gt;="&amp;DATE(2026,10,1),'All projects'!B$2:B$1000,"&lt;="&amp;DATE(2026,12+1,0))</f>
        <v>3428</v>
      </c>
    </row>
    <row r="6" spans="1:21" s="304" customFormat="1" ht="18" customHeight="1">
      <c r="A6" s="389" t="s">
        <v>7</v>
      </c>
      <c r="B6" s="390">
        <f>SUMIFS(ProcessOut!J$4:J$1000,ProcessOut!C$4:C$1000,"&gt;="&amp;DATE(2022,1,1),ProcessOut!C$4:C$1000,"&lt;="&amp;DATE(2022,3+1,0))</f>
        <v>0</v>
      </c>
      <c r="C6" s="390">
        <f>SUMIFS(ProcessOut!J$4:J$1000,ProcessOut!C$4:C$1000,"&gt;="&amp;DATE(2022,4,1),ProcessOut!C$4:C$1000,"&lt;="&amp;DATE(2022,6+1,0))</f>
        <v>0</v>
      </c>
      <c r="D6" s="390">
        <f>SUMIFS(ProcessOut!J$4:J$1000,ProcessOut!C$4:C$1000,"&gt;="&amp;DATE(2022,7,1),ProcessOut!C$4:C$1000,"&lt;="&amp;DATE(2022,9+1,0))</f>
        <v>0</v>
      </c>
      <c r="E6" s="390">
        <f>SUMIFS(ProcessOut!J$4:J$1000,ProcessOut!C$4:C$1000,"&gt;="&amp;DATE(2022,10,1),ProcessOut!C$4:C$1000,"&lt;="&amp;DATE(2022,12+1,0))</f>
        <v>0</v>
      </c>
      <c r="F6" s="390">
        <f>SUMIFS(ProcessOut!J$4:J$1000,ProcessOut!C$4:C$1000,"&gt;="&amp;DATE(2023,1,1),ProcessOut!C$4:C$1000,"&lt;="&amp;DATE(2023,3+1,0))</f>
        <v>0</v>
      </c>
      <c r="G6" s="390">
        <f>SUMIFS(ProcessOut!J$4:J$1000,ProcessOut!C$4:C$1000,"&gt;="&amp;DATE(2023,4,1),ProcessOut!C$4:C$1000,"&lt;="&amp;DATE(2023,6+1,0))</f>
        <v>0</v>
      </c>
      <c r="H6" s="390">
        <f>SUMIFS(ProcessOut!J$4:J$1000,ProcessOut!C$4:C$1000,"&gt;="&amp;DATE(2023,7,1),ProcessOut!C$4:C$1000,"&lt;="&amp;DATE(2023,9+1,0))</f>
        <v>0</v>
      </c>
      <c r="I6" s="390">
        <f>SUMIFS(ProcessOut!J$4:J$1000,ProcessOut!C$4:C$1000,"&gt;="&amp;DATE(2023,10,1),ProcessOut!C$4:C$1000,"&lt;="&amp;DATE(2023,12+1,0))</f>
        <v>0</v>
      </c>
      <c r="J6" s="390">
        <f>SUMIFS(ProcessOut!J$4:J$1000,ProcessOut!C$4:C$1000,"&gt;="&amp;DATE(2024,1,1),ProcessOut!C$4:C$1000,"&lt;="&amp;DATE(2024,3+1,0))</f>
        <v>0</v>
      </c>
      <c r="K6" s="390">
        <f>SUMIFS(ProcessOut!J$4:J$1000,ProcessOut!C$4:C$1000,"&gt;="&amp;DATE(2024,4,1),ProcessOut!C$4:C$1000,"&lt;="&amp;DATE(2024,6+1,0))</f>
        <v>900</v>
      </c>
      <c r="L6" s="390">
        <f>SUMIFS(ProcessOut!J$4:J$1000,ProcessOut!C$4:C$1000,"&gt;="&amp;DATE(2024,7,1),ProcessOut!C$4:C$1000,"&lt;="&amp;DATE(2024,9+1,0))</f>
        <v>3600</v>
      </c>
      <c r="M6" s="390">
        <f>SUMIFS(ProcessOut!J$4:J$1000,ProcessOut!C$4:C$1000,"&gt;="&amp;DATE(2024,10,1),ProcessOut!C$4:C$1000,"&lt;="&amp;DATE(2024,12+1,0))</f>
        <v>5400</v>
      </c>
      <c r="N6" s="390">
        <f>SUMIFS(ProcessOut!J$4:J$1000,ProcessOut!C$4:C$1000,"&gt;="&amp;DATE(2025,1,1),ProcessOut!C$4:C$1000,"&lt;="&amp;DATE(2025,3+1,0))</f>
        <v>10600</v>
      </c>
      <c r="O6" s="390">
        <f>SUMIFS(ProcessOut!J$4:J$1000,ProcessOut!C$4:C$1000,"&gt;="&amp;DATE(2025,4,1),ProcessOut!C$4:C$1000,"&lt;="&amp;DATE(2025,6+1,0))</f>
        <v>21000</v>
      </c>
      <c r="P6" s="390">
        <f>SUMIFS(ProcessOut!J$4:J$1000,ProcessOut!C$4:C$1000,"&gt;="&amp;DATE(2025,7,1),ProcessOut!C$4:C$1000,"&lt;="&amp;DATE(2025,9+1,0))</f>
        <v>42900</v>
      </c>
      <c r="Q6" s="390">
        <f>SUMIFS(ProcessOut!J$4:J$1000,ProcessOut!C$4:C$1000,"&gt;="&amp;DATE(2025,10,1),ProcessOut!C$4:C$1000,"&lt;="&amp;DATE(2025,12+1,0))</f>
        <v>0</v>
      </c>
      <c r="R6" s="390">
        <f>SUMIFS(ProcessOut!J$4:J$1000,ProcessOut!C$4:C$1000,"&gt;="&amp;DATE(2026,1,1),ProcessOut!C$4:C$1000,"&lt;="&amp;DATE(2026,3+1,0))</f>
        <v>22350</v>
      </c>
      <c r="S6" s="390">
        <f>SUMIFS(ProcessOut!J$4:J$1000,ProcessOut!C$4:C$1000,"&gt;="&amp;DATE(2026,4,1),ProcessOut!C$4:C$1000,"&lt;="&amp;DATE(2026,6+1,0))</f>
        <v>22350</v>
      </c>
      <c r="T6" s="390">
        <f>SUMIFS(ProcessOut!J$4:J$1000,ProcessOut!C$4:C$1000,"&gt;="&amp;DATE(2026,7,1),ProcessOut!C$4:C$1000,"&lt;="&amp;DATE(2026,9+1,0))</f>
        <v>22350</v>
      </c>
      <c r="U6" s="390">
        <f>SUMIFS(ProcessOut!J$4:J$1000,ProcessOut!C$4:C$1000,"&gt;="&amp;DATE(2026,10,1),ProcessOut!C$4:C$1000,"&lt;="&amp;DATE(2026,12+1,0))</f>
        <v>22350</v>
      </c>
    </row>
    <row r="7" spans="1:21" s="304" customFormat="1" ht="18" customHeight="1">
      <c r="A7" s="398" t="s">
        <v>8</v>
      </c>
      <c r="B7" s="399">
        <f>SUMIFS(Connect!J$4:J$1000,Connect!C$4:C$1000,"&gt;="&amp;DATE(2022,1,1),Connect!C$4:C$1000,"&lt;="&amp;DATE(2022,3+1,0))/$B$25</f>
        <v>0</v>
      </c>
      <c r="C7" s="399">
        <f>SUMIFS(Connect!J$4:J$1000,Connect!C$4:C$1000,"&gt;="&amp;DATE(2022,4,1),Connect!C$4:C$1000,"&lt;="&amp;DATE(2022,6+1,0))/$B$25</f>
        <v>0</v>
      </c>
      <c r="D7" s="399">
        <f>SUMIFS(Connect!J$4:J$1000,Connect!C$4:C$1000,"&gt;="&amp;DATE(2022,7,1),Connect!C$4:C$1000,"&lt;="&amp;DATE(2022,9+1,0))/$B$25</f>
        <v>0</v>
      </c>
      <c r="E7" s="399">
        <f>SUMIFS(Connect!J$4:J$1000,Connect!C$4:C$1000,"&gt;="&amp;DATE(2022,10,1),Connect!C$4:C$1000,"&lt;="&amp;DATE(2022,12+1,0))/$B$25</f>
        <v>0</v>
      </c>
      <c r="F7" s="399">
        <f>SUMIFS(Connect!J$4:J$1000,Connect!C$4:C$1000,"&gt;="&amp;DATE(2023,1,1),Connect!C$4:C$1000,"&lt;="&amp;DATE(2023,3+1,0))/$B$25</f>
        <v>0</v>
      </c>
      <c r="G7" s="399">
        <f>SUMIFS(Connect!J$4:J$1000,Connect!C$4:C$1000,"&gt;="&amp;DATE(2023,4,1),Connect!C$4:C$1000,"&lt;="&amp;DATE(2023,6+1,0))/$B$25</f>
        <v>0</v>
      </c>
      <c r="H7" s="399">
        <f>SUMIFS(Connect!J$4:J$1000,Connect!C$4:C$1000,"&gt;="&amp;DATE(2023,7,1),Connect!C$4:C$1000,"&lt;="&amp;DATE(2023,9+1,0))/$B$25</f>
        <v>0</v>
      </c>
      <c r="I7" s="399">
        <f>SUMIFS(Connect!J$4:J$1000,Connect!C$4:C$1000,"&gt;="&amp;DATE(2023,10,1),Connect!C$4:C$1000,"&lt;="&amp;DATE(2023,12+1,0))/$B$25</f>
        <v>0</v>
      </c>
      <c r="J7" s="399">
        <f>SUMIFS(Connect!J$4:J$1000,Connect!C$4:C$1000,"&gt;="&amp;DATE(2024,1,1),Connect!C$4:C$1000,"&lt;="&amp;DATE(2024,3+1,0))/$B$25</f>
        <v>0</v>
      </c>
      <c r="K7" s="399">
        <f>SUMIFS(Connect!J$4:J$1000,Connect!C$4:C$1000,"&gt;="&amp;DATE(2024,4,1),Connect!C$4:C$1000,"&lt;="&amp;DATE(2024,6+1,0))/$B$25</f>
        <v>0</v>
      </c>
      <c r="L7" s="399">
        <f>SUMIFS(Connect!J$4:J$1000,Connect!C$4:C$1000,"&gt;="&amp;DATE(2024,7,1),Connect!C$4:C$1000,"&lt;="&amp;DATE(2024,9+1,0))/$B$25</f>
        <v>3913.04347826087</v>
      </c>
      <c r="M7" s="399">
        <f>SUMIFS(Connect!J$4:J$1000,Connect!C$4:C$1000,"&gt;="&amp;DATE(2024,10,1),Connect!C$4:C$1000,"&lt;="&amp;DATE(2024,12+1,0))/$B$25</f>
        <v>1304.3478260869567</v>
      </c>
      <c r="N7" s="399">
        <f>SUMIFS(Connect!J$4:J$1000,Connect!C$4:C$1000,"&gt;="&amp;DATE(2025,1,1),Connect!C$4:C$1000,"&lt;="&amp;DATE(2025,3+1,0))/$B$25</f>
        <v>739.13043478260875</v>
      </c>
      <c r="O7" s="399">
        <f>SUMIFS(Connect!J$4:J$1000,Connect!C$4:C$1000,"&gt;="&amp;DATE(2025,4,1),Connect!C$4:C$1000,"&lt;="&amp;DATE(2025,6+1,0))/$B$25</f>
        <v>478.26086956521743</v>
      </c>
      <c r="P7" s="399">
        <f>SUMIFS(Connect!J$4:J$1000,Connect!C$4:C$1000,"&gt;="&amp;DATE(2025,7,1),Connect!C$4:C$1000,"&lt;="&amp;DATE(2025,9+1,0))/$B$25</f>
        <v>1630.4347826086957</v>
      </c>
      <c r="Q7" s="399">
        <f>SUMIFS(Connect!J$4:J$1000,Connect!C$4:C$1000,"&gt;="&amp;DATE(2025,10,1),Connect!C$4:C$1000,"&lt;="&amp;DATE(2025,12+1,0))/$B$25</f>
        <v>0</v>
      </c>
      <c r="R7" s="399">
        <f>SUMIFS(Connect!J$4:J$1000,Connect!C$4:C$1000,"&gt;="&amp;DATE(2026,1,1),Connect!C$4:C$1000,"&lt;="&amp;DATE(2026,3+1,0))/$B$25</f>
        <v>0</v>
      </c>
      <c r="S7" s="399">
        <f>SUMIFS(Connect!J$4:J$1000,Connect!C$4:C$1000,"&gt;="&amp;DATE(2026,4,1),Connect!C$4:C$1000,"&lt;="&amp;DATE(2026,6+1,0))/$B$25</f>
        <v>0</v>
      </c>
      <c r="T7" s="399">
        <f>SUMIFS(Connect!J$4:J$1000,Connect!C$4:C$1000,"&gt;="&amp;DATE(2026,7,1),Connect!C$4:C$1000,"&lt;="&amp;DATE(2026,9+1,0))/$B$25</f>
        <v>0</v>
      </c>
      <c r="U7" s="399">
        <f>SUMIFS(Connect!J$4:J$1000,Connect!C$4:C$1000,"&gt;="&amp;DATE(2026,10,1),Connect!C$4:C$1000,"&lt;="&amp;DATE(2026,12+1,0))/$B$25</f>
        <v>0</v>
      </c>
    </row>
    <row r="8" spans="1:21" s="304" customFormat="1" ht="18" customHeight="1">
      <c r="A8" s="389" t="s">
        <v>9</v>
      </c>
      <c r="B8" s="390">
        <f>SUMIFS(Oneov!H$4:H$1000,Oneov!A$4:A$1000,"&gt;="&amp;DATE(2022,1,1),Oneov!A$4:A$1000,"&lt;="&amp;DATE(2022,3+1,0))</f>
        <v>0</v>
      </c>
      <c r="C8" s="390">
        <f>SUMIFS(Oneov!H$4:H$1000,Oneov!A$4:A$1000,"&gt;="&amp;DATE(2022,4,1),Oneov!A$4:A$1000,"&lt;="&amp;DATE(2022,6+1,0))</f>
        <v>0</v>
      </c>
      <c r="D8" s="390">
        <f>SUMIFS(Oneov!H$4:H$1000,Oneov!A$4:A$1000,"&gt;="&amp;DATE(2022,7,1),Oneov!A$4:A$1000,"&lt;="&amp;DATE(2022,9+1,0))</f>
        <v>0</v>
      </c>
      <c r="E8" s="390">
        <f>SUMIFS(Oneov!H$4:H$1000,Oneov!A$4:A$1000,"&gt;="&amp;DATE(2022,10,1),Oneov!A$4:A$1000,"&lt;="&amp;DATE(2022,12+1,0))</f>
        <v>0</v>
      </c>
      <c r="F8" s="390">
        <f>SUMIFS(Oneov!H$4:H$1000,Oneov!A$4:A$1000,"&gt;="&amp;DATE(2023,1,1),Oneov!A$4:A$1000,"&lt;="&amp;DATE(2023,3+1,0))</f>
        <v>0</v>
      </c>
      <c r="G8" s="390">
        <f>SUMIFS(Oneov!H$4:H$1000,Oneov!A$4:A$1000,"&gt;="&amp;DATE(2023,4,1),Oneov!A$4:A$1000,"&lt;="&amp;DATE(2023,6+1,0))</f>
        <v>0</v>
      </c>
      <c r="H8" s="390">
        <f>SUMIFS(Oneov!H$4:H$1000,Oneov!A$4:A$1000,"&gt;="&amp;DATE(2023,7,1),Oneov!A$4:A$1000,"&lt;="&amp;DATE(2023,9+1,0))</f>
        <v>0</v>
      </c>
      <c r="I8" s="390">
        <f>SUMIFS(Oneov!H$4:H$1000,Oneov!A$4:A$1000,"&gt;="&amp;DATE(2023,10,1),Oneov!A$4:A$1000,"&lt;="&amp;DATE(2023,12+1,0))</f>
        <v>0</v>
      </c>
      <c r="J8" s="390">
        <f>SUMIFS(Oneov!H$4:H$1000,Oneov!A$4:A$1000,"&gt;="&amp;DATE(2024,1,1),Oneov!A$4:A$1000,"&lt;="&amp;DATE(2024,3+1,0))</f>
        <v>13150</v>
      </c>
      <c r="K8" s="390">
        <f>SUMIFS(Oneov!H$4:H$1000,Oneov!A$4:A$1000,"&gt;="&amp;DATE(2024,4,1),Oneov!A$4:A$1000,"&lt;="&amp;DATE(2024,6+1,0))</f>
        <v>0</v>
      </c>
      <c r="L8" s="390">
        <f>SUMIFS(Oneov!H$4:H$1000,Oneov!A$4:A$1000,"&gt;="&amp;DATE(2024,7,1),Oneov!A$4:A$1000,"&lt;="&amp;DATE(2024,9+1,0))</f>
        <v>0</v>
      </c>
      <c r="M8" s="390">
        <f>SUMIFS(Oneov!H$4:H$1000,Oneov!A$4:A$1000,"&gt;="&amp;DATE(2024,10,1),Oneov!A$4:A$1000,"&lt;="&amp;DATE(2024,12+1,0))</f>
        <v>0</v>
      </c>
      <c r="N8" s="390">
        <f>SUMIFS(Oneov!H$4:H$1000,Oneov!A$4:A$1000,"&gt;="&amp;DATE(2025,1,1),Oneov!A$4:A$1000,"&lt;="&amp;DATE(2025,3+1,0))</f>
        <v>0</v>
      </c>
      <c r="O8" s="390">
        <f>SUMIFS(Oneov!H$4:H$1000,Oneov!A$4:A$1000,"&gt;="&amp;DATE(2025,4,1),Oneov!A$4:A$1000,"&lt;="&amp;DATE(2025,6+1,0))</f>
        <v>0</v>
      </c>
      <c r="P8" s="390">
        <f>SUMIFS(Oneov!H$4:H$1000,Oneov!A$4:A$1000,"&gt;="&amp;DATE(2025,7,1),Oneov!A$4:A$1000,"&lt;="&amp;DATE(2025,9+1,0))</f>
        <v>0</v>
      </c>
      <c r="Q8" s="390">
        <f>SUMIFS(Oneov!H$4:H$1000,Oneov!A$4:A$1000,"&gt;="&amp;DATE(2025,10,1),Oneov!A$4:A$1000,"&lt;="&amp;DATE(2025,12+1,0))</f>
        <v>0</v>
      </c>
      <c r="R8" s="390">
        <f>SUMIFS(Oneov!H$4:H$1000,Oneov!A$4:A$1000,"&gt;="&amp;DATE(2026,1,1),Oneov!A$4:A$1000,"&lt;="&amp;DATE(2026,3+1,0))</f>
        <v>0</v>
      </c>
      <c r="S8" s="390">
        <f>SUMIFS(Oneov!H$4:H$1000,Oneov!A$4:A$1000,"&gt;="&amp;DATE(2026,4,1),Oneov!A$4:A$1000,"&lt;="&amp;DATE(2026,6+1,0))</f>
        <v>0</v>
      </c>
      <c r="T8" s="390">
        <f>SUMIFS(Oneov!H$4:H$1000,Oneov!A$4:A$1000,"&gt;="&amp;DATE(2026,7,1),Oneov!A$4:A$1000,"&lt;="&amp;DATE(2026,9+1,0))</f>
        <v>0</v>
      </c>
      <c r="U8" s="390">
        <f>SUMIFS(Oneov!H$4:H$1000,Oneov!A$4:A$1000,"&gt;="&amp;DATE(2026,10,1),Oneov!A$4:A$1000,"&lt;="&amp;DATE(2026,12+1,0))</f>
        <v>0</v>
      </c>
    </row>
    <row r="9" spans="1:21" s="304" customFormat="1" ht="18" customHeight="1">
      <c r="A9" s="387" t="s">
        <v>10</v>
      </c>
      <c r="B9" s="388">
        <f>SUM(B5:B8)</f>
        <v>0</v>
      </c>
      <c r="C9" s="388">
        <f>SUM(C5:C8)</f>
        <v>0</v>
      </c>
      <c r="D9" s="388">
        <f>SUM(D5:D8)</f>
        <v>5000</v>
      </c>
      <c r="E9" s="388">
        <f>SUM(E5:E8)</f>
        <v>0</v>
      </c>
      <c r="F9" s="388">
        <f>SUM(F5:F8)</f>
        <v>0</v>
      </c>
      <c r="G9" s="388">
        <f>SUM(G5:G8)</f>
        <v>8650</v>
      </c>
      <c r="H9" s="388">
        <f>SUM(H5:H8)</f>
        <v>1950</v>
      </c>
      <c r="I9" s="388">
        <f>SUM(I5:I8)</f>
        <v>3080</v>
      </c>
      <c r="J9" s="388">
        <f>SUM(J5:J8)</f>
        <v>15990</v>
      </c>
      <c r="K9" s="388">
        <f>SUM(K5:K8)</f>
        <v>43271</v>
      </c>
      <c r="L9" s="388">
        <f>SUM(L5:L8)</f>
        <v>130468.04347826086</v>
      </c>
      <c r="M9" s="388">
        <f>SUM(M5:M8)</f>
        <v>10194.347826086956</v>
      </c>
      <c r="N9" s="388">
        <f>SUM(N5:N8)</f>
        <v>22444.130434782608</v>
      </c>
      <c r="O9" s="388">
        <f>SUM(O5:O8)</f>
        <v>85308.260869565216</v>
      </c>
      <c r="P9" s="388">
        <f>SUM(P5:P8)</f>
        <v>74150.434782608689</v>
      </c>
      <c r="Q9" s="388">
        <f>SUM(Q5:Q8)</f>
        <v>19506.169999999998</v>
      </c>
      <c r="R9" s="388">
        <f>SUM(R5:R8)</f>
        <v>41980</v>
      </c>
      <c r="S9" s="388">
        <f>SUM(S5:S8)</f>
        <v>22350</v>
      </c>
      <c r="T9" s="388">
        <f>SUM(T5:T8)</f>
        <v>22350</v>
      </c>
      <c r="U9" s="388">
        <f>SUM(U5:U8)</f>
        <v>25778</v>
      </c>
    </row>
    <row r="10" spans="1:21" ht="12" customHeight="1">
      <c r="A10" s="396"/>
      <c r="B10" s="397"/>
      <c r="C10" s="397"/>
      <c r="D10" s="397"/>
      <c r="E10" s="397"/>
      <c r="F10" s="397"/>
      <c r="G10" s="397"/>
      <c r="H10" s="397"/>
      <c r="I10" s="397"/>
      <c r="J10" s="397"/>
      <c r="K10" s="397"/>
      <c r="L10" s="397"/>
      <c r="M10" s="397"/>
      <c r="N10" s="397"/>
      <c r="O10" s="397"/>
      <c r="P10" s="397"/>
      <c r="Q10" s="397"/>
      <c r="R10" s="397"/>
      <c r="S10" s="397"/>
      <c r="T10" s="397"/>
      <c r="U10" s="397"/>
    </row>
    <row r="11" spans="1:21" ht="18" customHeight="1">
      <c r="A11" s="386" t="s">
        <v>11</v>
      </c>
      <c r="B11" s="412">
        <v>2022</v>
      </c>
      <c r="C11" s="412"/>
      <c r="D11" s="412"/>
      <c r="E11" s="412"/>
      <c r="F11" s="412">
        <v>2023</v>
      </c>
      <c r="G11" s="412"/>
      <c r="H11" s="412"/>
      <c r="I11" s="412"/>
      <c r="J11" s="412">
        <v>2024</v>
      </c>
      <c r="K11" s="412"/>
      <c r="L11" s="412"/>
      <c r="M11" s="412"/>
      <c r="N11" s="412">
        <v>2025</v>
      </c>
      <c r="O11" s="412"/>
      <c r="P11" s="412"/>
      <c r="Q11" s="412"/>
      <c r="R11" s="412">
        <v>2026</v>
      </c>
      <c r="S11" s="412"/>
      <c r="T11" s="412"/>
      <c r="U11" s="412"/>
    </row>
    <row r="12" spans="1:21" ht="18" customHeight="1">
      <c r="A12" s="384"/>
      <c r="B12" s="385" t="s">
        <v>2</v>
      </c>
      <c r="C12" s="385" t="s">
        <v>3</v>
      </c>
      <c r="D12" s="385" t="s">
        <v>4</v>
      </c>
      <c r="E12" s="385" t="s">
        <v>5</v>
      </c>
      <c r="F12" s="385" t="s">
        <v>2</v>
      </c>
      <c r="G12" s="385" t="s">
        <v>3</v>
      </c>
      <c r="H12" s="385" t="s">
        <v>4</v>
      </c>
      <c r="I12" s="385" t="s">
        <v>5</v>
      </c>
      <c r="J12" s="385" t="s">
        <v>2</v>
      </c>
      <c r="K12" s="385" t="s">
        <v>3</v>
      </c>
      <c r="L12" s="385" t="s">
        <v>4</v>
      </c>
      <c r="M12" s="385" t="s">
        <v>5</v>
      </c>
      <c r="N12" s="385" t="s">
        <v>2</v>
      </c>
      <c r="O12" s="385" t="s">
        <v>3</v>
      </c>
      <c r="P12" s="385" t="s">
        <v>4</v>
      </c>
      <c r="Q12" s="385" t="s">
        <v>5</v>
      </c>
      <c r="R12" s="385" t="s">
        <v>2</v>
      </c>
      <c r="S12" s="385" t="s">
        <v>3</v>
      </c>
      <c r="T12" s="385" t="s">
        <v>4</v>
      </c>
      <c r="U12" s="385" t="s">
        <v>5</v>
      </c>
    </row>
    <row r="13" spans="1:21" ht="18" customHeight="1">
      <c r="A13" s="400" t="s">
        <v>6</v>
      </c>
      <c r="B13" s="401">
        <f>COUNTIFS('All projects'!B$2:B$1000,"&gt;="&amp;DATE(2022,1,1),'All projects'!B$2:B$1000,"&lt;="&amp;DATE(2022,3+1,0))</f>
        <v>0</v>
      </c>
      <c r="C13" s="401">
        <f>COUNTIFS('All projects'!B$2:B$1000,"&gt;="&amp;DATE(2022,4,1),'All projects'!B$2:B$1000,"&lt;="&amp;DATE(2022,6+1,0))</f>
        <v>0</v>
      </c>
      <c r="D13" s="401">
        <f>COUNTIFS('All projects'!B$2:B$1000,"&gt;="&amp;DATE(2022,7,1),'All projects'!B$2:B$1000,"&lt;="&amp;DATE(2022,9+1,0))</f>
        <v>1</v>
      </c>
      <c r="E13" s="401">
        <f>COUNTIFS('All projects'!B$2:B$1000,"&gt;="&amp;DATE(2022,10,1),'All projects'!B$2:B$1000,"&lt;="&amp;DATE(2022,12+1,0))</f>
        <v>0</v>
      </c>
      <c r="F13" s="401">
        <f>COUNTIFS('All projects'!B$2:B$1000,"&gt;="&amp;DATE(2023,1,1),'All projects'!B$2:B$1000,"&lt;="&amp;DATE(2023,3+1,0))</f>
        <v>0</v>
      </c>
      <c r="G13" s="401">
        <f>COUNTIFS('All projects'!B$2:B$1000,"&gt;="&amp;DATE(2023,4,1),'All projects'!B$2:B$1000,"&lt;="&amp;DATE(2023,6+1,0))</f>
        <v>4</v>
      </c>
      <c r="H13" s="401">
        <f>COUNTIFS('All projects'!B$2:B$1000,"&gt;="&amp;DATE(2023,7,1),'All projects'!B$2:B$1000,"&lt;="&amp;DATE(2023,9+1,0))</f>
        <v>2</v>
      </c>
      <c r="I13" s="401">
        <f>COUNTIFS('All projects'!B$2:B$1000,"&gt;="&amp;DATE(2023,10,1),'All projects'!B$2:B$1000,"&lt;="&amp;DATE(2023,12+1,0))</f>
        <v>4</v>
      </c>
      <c r="J13" s="401">
        <f>COUNTIFS('All projects'!B$2:B$1000,"&gt;="&amp;DATE(2024,1,1),'All projects'!B$2:B$1000,"&lt;="&amp;DATE(2024,3+1,0))</f>
        <v>7</v>
      </c>
      <c r="K13" s="401">
        <f>COUNTIFS('All projects'!B$2:B$1000,"&gt;="&amp;DATE(2024,4,1),'All projects'!B$2:B$1000,"&lt;="&amp;DATE(2024,6+1,0))</f>
        <v>15</v>
      </c>
      <c r="L13" s="401">
        <f>COUNTIFS('All projects'!B$2:B$1000,"&gt;="&amp;DATE(2024,7,1),'All projects'!B$2:B$1000,"&lt;="&amp;DATE(2024,9+1,0))</f>
        <v>28</v>
      </c>
      <c r="M13" s="401">
        <f>COUNTIFS('All projects'!B$2:B$1000,"&gt;="&amp;DATE(2024,10,1),'All projects'!B$2:B$1000,"&lt;="&amp;DATE(2024,12+1,0))</f>
        <v>8</v>
      </c>
      <c r="N13" s="401">
        <f>COUNTIFS('All projects'!B$2:B$1000,"&gt;="&amp;DATE(2025,1,1),'All projects'!B$2:B$1000,"&lt;="&amp;DATE(2025,3+1,0))</f>
        <v>16</v>
      </c>
      <c r="O13" s="401">
        <f>COUNTIFS('All projects'!B$2:B$1000,"&gt;="&amp;DATE(2025,4,1),'All projects'!B$2:B$1000,"&lt;="&amp;DATE(2025,6+1,0))</f>
        <v>16</v>
      </c>
      <c r="P13" s="401">
        <f>COUNTIFS('All projects'!B$2:B$1000,"&gt;="&amp;DATE(2025,7,1),'All projects'!B$2:B$1000,"&lt;="&amp;DATE(2025,9+1,0))</f>
        <v>13</v>
      </c>
      <c r="Q13" s="401">
        <f>COUNTIFS('All projects'!B$2:B$1000,"&gt;="&amp;DATE(2025,10,1),'All projects'!B$2:B$1000,"&lt;="&amp;DATE(2025,12+1,0))</f>
        <v>12</v>
      </c>
      <c r="R13" s="401">
        <f>COUNTIFS('All projects'!B$2:B$1000,"&gt;="&amp;DATE(2026,1,1),'All projects'!B$2:B$1000,"&lt;="&amp;DATE(2026,3+1,0))</f>
        <v>11</v>
      </c>
      <c r="S13" s="401">
        <f>COUNTIFS('All projects'!B$2:B$1000,"&gt;="&amp;DATE(2026,4,1),'All projects'!B$2:B$1000,"&lt;="&amp;DATE(2026,6+1,0))</f>
        <v>0</v>
      </c>
      <c r="T13" s="401">
        <f>COUNTIFS('All projects'!B$2:B$1000,"&gt;="&amp;DATE(2026,7,1),'All projects'!B$2:B$1000,"&lt;="&amp;DATE(2026,9+1,0))</f>
        <v>0</v>
      </c>
      <c r="U13" s="401">
        <f>COUNTIFS('All projects'!B$2:B$1000,"&gt;="&amp;DATE(2026,10,1),'All projects'!B$2:B$1000,"&lt;="&amp;DATE(2026,12+1,0))</f>
        <v>2</v>
      </c>
    </row>
    <row r="14" spans="1:21" ht="18" customHeight="1">
      <c r="A14" s="393" t="s">
        <v>7</v>
      </c>
      <c r="B14" s="394">
        <f>COUNTIFS(ProcessOut!C$4:C$1000,"&gt;="&amp;DATE(2022,1,1),ProcessOut!C$4:C$1000,"&lt;="&amp;DATE(2022,3+1,0))</f>
        <v>0</v>
      </c>
      <c r="C14" s="394">
        <f>COUNTIFS(ProcessOut!C$4:C$1000,"&gt;="&amp;DATE(2022,4,1),ProcessOut!C$4:C$1000,"&lt;="&amp;DATE(2022,6+1,0))</f>
        <v>0</v>
      </c>
      <c r="D14" s="394">
        <f>COUNTIFS(ProcessOut!C$4:C$1000,"&gt;="&amp;DATE(2022,7,1),ProcessOut!C$4:C$1000,"&lt;="&amp;DATE(2022,9+1,0))</f>
        <v>0</v>
      </c>
      <c r="E14" s="394">
        <f>COUNTIFS(ProcessOut!C$4:C$1000,"&gt;="&amp;DATE(2022,10,1),ProcessOut!C$4:C$1000,"&lt;="&amp;DATE(2022,12+1,0))</f>
        <v>0</v>
      </c>
      <c r="F14" s="394">
        <f>COUNTIFS(ProcessOut!C$4:C$1000,"&gt;="&amp;DATE(2023,1,1),ProcessOut!C$4:C$1000,"&lt;="&amp;DATE(2023,3+1,0))</f>
        <v>0</v>
      </c>
      <c r="G14" s="394">
        <f>COUNTIFS(ProcessOut!C$4:C$1000,"&gt;="&amp;DATE(2023,4,1),ProcessOut!C$4:C$1000,"&lt;="&amp;DATE(2023,6+1,0))</f>
        <v>0</v>
      </c>
      <c r="H14" s="394">
        <f>COUNTIFS(ProcessOut!C$4:C$1000,"&gt;="&amp;DATE(2023,7,1),ProcessOut!C$4:C$1000,"&lt;="&amp;DATE(2023,9+1,0))</f>
        <v>0</v>
      </c>
      <c r="I14" s="394">
        <f>COUNTIFS(ProcessOut!C$4:C$1000,"&gt;="&amp;DATE(2023,10,1),ProcessOut!C$4:C$1000,"&lt;="&amp;DATE(2023,12+1,0))</f>
        <v>0</v>
      </c>
      <c r="J14" s="394">
        <f>COUNTIFS(ProcessOut!C$4:C$1000,"&gt;="&amp;DATE(2024,1,1),ProcessOut!C$4:C$1000,"&lt;="&amp;DATE(2024,3+1,0))</f>
        <v>0</v>
      </c>
      <c r="K14" s="394">
        <f>COUNTIFS(ProcessOut!C$4:C$1000,"&gt;="&amp;DATE(2024,4,1),ProcessOut!C$4:C$1000,"&lt;="&amp;DATE(2024,6+1,0))</f>
        <v>3</v>
      </c>
      <c r="L14" s="394">
        <f>COUNTIFS(ProcessOut!C$4:C$1000,"&gt;="&amp;DATE(2024,7,1),ProcessOut!C$4:C$1000,"&lt;="&amp;DATE(2024,9+1,0))</f>
        <v>3</v>
      </c>
      <c r="M14" s="394">
        <f>COUNTIFS(ProcessOut!C$4:C$1000,"&gt;="&amp;DATE(2024,10,1),ProcessOut!C$4:C$1000,"&lt;="&amp;DATE(2024,12+1,0))</f>
        <v>3</v>
      </c>
      <c r="N14" s="394">
        <f>COUNTIFS(ProcessOut!C$4:C$1000,"&gt;="&amp;DATE(2025,1,1),ProcessOut!C$4:C$1000,"&lt;="&amp;DATE(2025,3+1,0))</f>
        <v>3</v>
      </c>
      <c r="O14" s="394">
        <f>COUNTIFS(ProcessOut!C$4:C$1000,"&gt;="&amp;DATE(2025,4,1),ProcessOut!C$4:C$1000,"&lt;="&amp;DATE(2025,6+1,0))</f>
        <v>3</v>
      </c>
      <c r="P14" s="394">
        <f>COUNTIFS(ProcessOut!C$4:C$1000,"&gt;="&amp;DATE(2025,7,1),ProcessOut!C$4:C$1000,"&lt;="&amp;DATE(2025,9+1,0))</f>
        <v>8</v>
      </c>
      <c r="Q14" s="394">
        <f>COUNTIFS(ProcessOut!C$4:C$1000,"&gt;="&amp;DATE(2025,10,1),ProcessOut!C$4:C$1000,"&lt;="&amp;DATE(2025,12+1,0))</f>
        <v>0</v>
      </c>
      <c r="R14" s="394">
        <f>COUNTIFS(ProcessOut!C$4:C$1000,"&gt;="&amp;DATE(2026,1,1),ProcessOut!C$4:C$1000,"&lt;="&amp;DATE(2026,3+1,0))</f>
        <v>6</v>
      </c>
      <c r="S14" s="394">
        <f>COUNTIFS(ProcessOut!C$4:C$1000,"&gt;="&amp;DATE(2026,4,1),ProcessOut!C$4:C$1000,"&lt;="&amp;DATE(2026,6+1,0))</f>
        <v>6</v>
      </c>
      <c r="T14" s="394">
        <f>COUNTIFS(ProcessOut!C$4:C$1000,"&gt;="&amp;DATE(2026,7,1),ProcessOut!C$4:C$1000,"&lt;="&amp;DATE(2026,9+1,0))</f>
        <v>6</v>
      </c>
      <c r="U14" s="394">
        <f>COUNTIFS(ProcessOut!C$4:C$1000,"&gt;="&amp;DATE(2026,10,1),ProcessOut!C$4:C$1000,"&lt;="&amp;DATE(2026,12+1,0))</f>
        <v>6</v>
      </c>
    </row>
    <row r="15" spans="1:21" ht="18" customHeight="1">
      <c r="A15" s="400" t="s">
        <v>8</v>
      </c>
      <c r="B15" s="401">
        <f>COUNTIFS(Connect!C$4:C$1000,"&gt;="&amp;DATE(2022,1,1),Connect!C$4:C$1000,"&lt;="&amp;DATE(2022,3+1,0))</f>
        <v>0</v>
      </c>
      <c r="C15" s="401">
        <f>COUNTIFS(Connect!C$4:C$1000,"&gt;="&amp;DATE(2022,4,1),Connect!C$4:C$1000,"&lt;="&amp;DATE(2022,6+1,0))</f>
        <v>0</v>
      </c>
      <c r="D15" s="401">
        <f>COUNTIFS(Connect!C$4:C$1000,"&gt;="&amp;DATE(2022,7,1),Connect!C$4:C$1000,"&lt;="&amp;DATE(2022,9+1,0))</f>
        <v>0</v>
      </c>
      <c r="E15" s="401">
        <f>COUNTIFS(Connect!C$4:C$1000,"&gt;="&amp;DATE(2022,10,1),Connect!C$4:C$1000,"&lt;="&amp;DATE(2022,12+1,0))</f>
        <v>0</v>
      </c>
      <c r="F15" s="401">
        <f>COUNTIFS(Connect!C$4:C$1000,"&gt;="&amp;DATE(2023,1,1),Connect!C$4:C$1000,"&lt;="&amp;DATE(2023,3+1,0))</f>
        <v>0</v>
      </c>
      <c r="G15" s="401">
        <f>COUNTIFS(Connect!C$4:C$1000,"&gt;="&amp;DATE(2023,4,1),Connect!C$4:C$1000,"&lt;="&amp;DATE(2023,6+1,0))</f>
        <v>0</v>
      </c>
      <c r="H15" s="401">
        <f>COUNTIFS(Connect!C$4:C$1000,"&gt;="&amp;DATE(2023,7,1),Connect!C$4:C$1000,"&lt;="&amp;DATE(2023,9+1,0))</f>
        <v>0</v>
      </c>
      <c r="I15" s="401">
        <f>COUNTIFS(Connect!C$4:C$1000,"&gt;="&amp;DATE(2023,10,1),Connect!C$4:C$1000,"&lt;="&amp;DATE(2023,12+1,0))</f>
        <v>0</v>
      </c>
      <c r="J15" s="401">
        <f>COUNTIFS(Connect!C$4:C$1000,"&gt;="&amp;DATE(2024,1,1),Connect!C$4:C$1000,"&lt;="&amp;DATE(2024,3+1,0))</f>
        <v>0</v>
      </c>
      <c r="K15" s="401">
        <f>COUNTIFS(Connect!C$4:C$1000,"&gt;="&amp;DATE(2024,4,1),Connect!C$4:C$1000,"&lt;="&amp;DATE(2024,6+1,0))</f>
        <v>0</v>
      </c>
      <c r="L15" s="401">
        <f>COUNTIFS(Connect!C$4:C$1000,"&gt;="&amp;DATE(2024,7,1),Connect!C$4:C$1000,"&lt;="&amp;DATE(2024,9+1,0))</f>
        <v>3</v>
      </c>
      <c r="M15" s="401">
        <f>COUNTIFS(Connect!C$4:C$1000,"&gt;="&amp;DATE(2024,10,1),Connect!C$4:C$1000,"&lt;="&amp;DATE(2024,12+1,0))</f>
        <v>1</v>
      </c>
      <c r="N15" s="401">
        <f>COUNTIFS(Connect!C$4:C$1000,"&gt;="&amp;DATE(2025,1,1),Connect!C$4:C$1000,"&lt;="&amp;DATE(2025,3+1,0))</f>
        <v>2</v>
      </c>
      <c r="O15" s="401">
        <f>COUNTIFS(Connect!C$4:C$1000,"&gt;="&amp;DATE(2025,4,1),Connect!C$4:C$1000,"&lt;="&amp;DATE(2025,6+1,0))</f>
        <v>1</v>
      </c>
      <c r="P15" s="401">
        <f>COUNTIFS(Connect!C$4:C$1000,"&gt;="&amp;DATE(2025,7,1),Connect!C$4:C$1000,"&lt;="&amp;DATE(2025,9+1,0))</f>
        <v>1</v>
      </c>
      <c r="Q15" s="401">
        <f>COUNTIFS(Connect!C$4:C$1000,"&gt;="&amp;DATE(2025,10,1),Connect!C$4:C$1000,"&lt;="&amp;DATE(2025,12+1,0))</f>
        <v>0</v>
      </c>
      <c r="R15" s="401">
        <f>COUNTIFS(Connect!C$4:C$1000,"&gt;="&amp;DATE(2026,1,1),Connect!C$4:C$1000,"&lt;="&amp;DATE(2026,3+1,0))</f>
        <v>0</v>
      </c>
      <c r="S15" s="401">
        <f>COUNTIFS(Connect!C$4:C$1000,"&gt;="&amp;DATE(2026,4,1),Connect!C$4:C$1000,"&lt;="&amp;DATE(2026,6+1,0))</f>
        <v>0</v>
      </c>
      <c r="T15" s="401">
        <f>COUNTIFS(Connect!C$4:C$1000,"&gt;="&amp;DATE(2026,7,1),Connect!C$4:C$1000,"&lt;="&amp;DATE(2026,9+1,0))</f>
        <v>0</v>
      </c>
      <c r="U15" s="401">
        <f>COUNTIFS(Connect!C$4:C$1000,"&gt;="&amp;DATE(2026,10,1),Connect!C$4:C$1000,"&lt;="&amp;DATE(2026,12+1,0))</f>
        <v>0</v>
      </c>
    </row>
    <row r="16" spans="1:21" ht="18" customHeight="1">
      <c r="A16" s="393" t="s">
        <v>9</v>
      </c>
      <c r="B16" s="394">
        <f>COUNTIFS(Oneov!A$4:A$1000,"&gt;="&amp;DATE(2022,1,1),Oneov!A$4:A$1000,"&lt;="&amp;DATE(2022,3+1,0))</f>
        <v>0</v>
      </c>
      <c r="C16" s="394">
        <f>COUNTIFS(Oneov!A$4:A$1000,"&gt;="&amp;DATE(2022,4,1),Oneov!A$4:A$1000,"&lt;="&amp;DATE(2022,6+1,0))</f>
        <v>0</v>
      </c>
      <c r="D16" s="394">
        <f>COUNTIFS(Oneov!A$4:A$1000,"&gt;="&amp;DATE(2022,7,1),Oneov!A$4:A$1000,"&lt;="&amp;DATE(2022,9+1,0))</f>
        <v>0</v>
      </c>
      <c r="E16" s="394">
        <f>COUNTIFS(Oneov!A$4:A$1000,"&gt;="&amp;DATE(2022,10,1),Oneov!A$4:A$1000,"&lt;="&amp;DATE(2022,12+1,0))</f>
        <v>0</v>
      </c>
      <c r="F16" s="394">
        <f>COUNTIFS(Oneov!A$4:A$1000,"&gt;="&amp;DATE(2023,1,1),Oneov!A$4:A$1000,"&lt;="&amp;DATE(2023,3+1,0))</f>
        <v>0</v>
      </c>
      <c r="G16" s="394">
        <f>COUNTIFS(Oneov!A$4:A$1000,"&gt;="&amp;DATE(2023,4,1),Oneov!A$4:A$1000,"&lt;="&amp;DATE(2023,6+1,0))</f>
        <v>0</v>
      </c>
      <c r="H16" s="394">
        <f>COUNTIFS(Oneov!A$4:A$1000,"&gt;="&amp;DATE(2023,7,1),Oneov!A$4:A$1000,"&lt;="&amp;DATE(2023,9+1,0))</f>
        <v>0</v>
      </c>
      <c r="I16" s="394">
        <f>COUNTIFS(Oneov!A$4:A$1000,"&gt;="&amp;DATE(2023,10,1),Oneov!A$4:A$1000,"&lt;="&amp;DATE(2023,12+1,0))</f>
        <v>0</v>
      </c>
      <c r="J16" s="394">
        <f>COUNTIFS(Oneov!A$4:A$1000,"&gt;="&amp;DATE(2024,1,1),Oneov!A$4:A$1000,"&lt;="&amp;DATE(2024,3+1,0))</f>
        <v>7</v>
      </c>
      <c r="K16" s="394">
        <f>COUNTIFS(Oneov!A$4:A$1000,"&gt;="&amp;DATE(2024,4,1),Oneov!A$4:A$1000,"&lt;="&amp;DATE(2024,6+1,0))</f>
        <v>0</v>
      </c>
      <c r="L16" s="394">
        <f>COUNTIFS(Oneov!A$4:A$1000,"&gt;="&amp;DATE(2024,7,1),Oneov!A$4:A$1000,"&lt;="&amp;DATE(2024,9+1,0))</f>
        <v>0</v>
      </c>
      <c r="M16" s="394">
        <f>COUNTIFS(Oneov!A$4:A$1000,"&gt;="&amp;DATE(2024,10,1),Oneov!A$4:A$1000,"&lt;="&amp;DATE(2024,12+1,0))</f>
        <v>0</v>
      </c>
      <c r="N16" s="394">
        <f>COUNTIFS(Oneov!A$4:A$1000,"&gt;="&amp;DATE(2025,1,1),Oneov!A$4:A$1000,"&lt;="&amp;DATE(2025,3+1,0))</f>
        <v>0</v>
      </c>
      <c r="O16" s="394">
        <f>COUNTIFS(Oneov!A$4:A$1000,"&gt;="&amp;DATE(2025,4,1),Oneov!A$4:A$1000,"&lt;="&amp;DATE(2025,6+1,0))</f>
        <v>0</v>
      </c>
      <c r="P16" s="394">
        <f>COUNTIFS(Oneov!A$4:A$1000,"&gt;="&amp;DATE(2025,7,1),Oneov!A$4:A$1000,"&lt;="&amp;DATE(2025,9+1,0))</f>
        <v>0</v>
      </c>
      <c r="Q16" s="394">
        <f>COUNTIFS(Oneov!A$4:A$1000,"&gt;="&amp;DATE(2025,10,1),Oneov!A$4:A$1000,"&lt;="&amp;DATE(2025,12+1,0))</f>
        <v>0</v>
      </c>
      <c r="R16" s="394">
        <f>COUNTIFS(Oneov!A$4:A$1000,"&gt;="&amp;DATE(2026,1,1),Oneov!A$4:A$1000,"&lt;="&amp;DATE(2026,3+1,0))</f>
        <v>0</v>
      </c>
      <c r="S16" s="394">
        <f>COUNTIFS(Oneov!A$4:A$1000,"&gt;="&amp;DATE(2026,4,1),Oneov!A$4:A$1000,"&lt;="&amp;DATE(2026,6+1,0))</f>
        <v>0</v>
      </c>
      <c r="T16" s="394">
        <f>COUNTIFS(Oneov!A$4:A$1000,"&gt;="&amp;DATE(2026,7,1),Oneov!A$4:A$1000,"&lt;="&amp;DATE(2026,9+1,0))</f>
        <v>0</v>
      </c>
      <c r="U16" s="394">
        <f>COUNTIFS(Oneov!A$4:A$1000,"&gt;="&amp;DATE(2026,10,1),Oneov!A$4:A$1000,"&lt;="&amp;DATE(2026,12+1,0))</f>
        <v>0</v>
      </c>
    </row>
    <row r="17" spans="1:21" ht="18" customHeight="1">
      <c r="A17" s="391" t="s">
        <v>10</v>
      </c>
      <c r="B17" s="392">
        <f>SUM(B13:B16)</f>
        <v>0</v>
      </c>
      <c r="C17" s="392">
        <f>SUM(C13:C16)</f>
        <v>0</v>
      </c>
      <c r="D17" s="392">
        <f>SUM(D13:D16)</f>
        <v>1</v>
      </c>
      <c r="E17" s="392">
        <f>SUM(E13:E16)</f>
        <v>0</v>
      </c>
      <c r="F17" s="392">
        <f>SUM(F13:F16)</f>
        <v>0</v>
      </c>
      <c r="G17" s="392">
        <f>SUM(G13:G16)</f>
        <v>4</v>
      </c>
      <c r="H17" s="392">
        <f>SUM(H13:H16)</f>
        <v>2</v>
      </c>
      <c r="I17" s="392">
        <f>SUM(I13:I16)</f>
        <v>4</v>
      </c>
      <c r="J17" s="392">
        <f>SUM(J13:J16)</f>
        <v>14</v>
      </c>
      <c r="K17" s="392">
        <f>SUM(K13:K16)</f>
        <v>18</v>
      </c>
      <c r="L17" s="392">
        <f>SUM(L13:L16)</f>
        <v>34</v>
      </c>
      <c r="M17" s="392">
        <f>SUM(M13:M16)</f>
        <v>12</v>
      </c>
      <c r="N17" s="392">
        <f>SUM(N13:N16)</f>
        <v>21</v>
      </c>
      <c r="O17" s="392">
        <f>SUM(O13:O16)</f>
        <v>20</v>
      </c>
      <c r="P17" s="392">
        <f>SUM(P13:P16)</f>
        <v>22</v>
      </c>
      <c r="Q17" s="392">
        <f>SUM(Q13:Q16)</f>
        <v>12</v>
      </c>
      <c r="R17" s="392">
        <f>SUM(R13:R16)</f>
        <v>17</v>
      </c>
      <c r="S17" s="392">
        <f>SUM(S13:S16)</f>
        <v>6</v>
      </c>
      <c r="T17" s="392">
        <f>SUM(T13:T16)</f>
        <v>6</v>
      </c>
      <c r="U17" s="392">
        <f>SUM(U13:U16)</f>
        <v>8</v>
      </c>
    </row>
    <row r="18" spans="1:21" ht="12" customHeight="1">
      <c r="A18" s="396"/>
      <c r="B18" s="397"/>
      <c r="C18" s="397"/>
      <c r="D18" s="397"/>
      <c r="E18" s="397"/>
      <c r="F18" s="397"/>
      <c r="G18" s="397"/>
      <c r="H18" s="397"/>
      <c r="I18" s="397"/>
      <c r="J18" s="397"/>
      <c r="K18" s="397"/>
      <c r="L18" s="397"/>
      <c r="M18" s="397"/>
      <c r="N18" s="397"/>
      <c r="O18" s="397"/>
      <c r="P18" s="397"/>
      <c r="Q18" s="397"/>
      <c r="R18" s="397"/>
      <c r="S18" s="397"/>
      <c r="T18" s="397"/>
      <c r="U18" s="397"/>
    </row>
    <row r="19" spans="1:21" ht="18" customHeight="1">
      <c r="A19" s="383" t="s">
        <v>12</v>
      </c>
      <c r="B19" s="408">
        <v>2022</v>
      </c>
      <c r="C19" s="408">
        <v>2023</v>
      </c>
      <c r="D19" s="408">
        <v>2024</v>
      </c>
      <c r="E19" s="408">
        <v>2025</v>
      </c>
      <c r="F19" s="408">
        <v>2026</v>
      </c>
      <c r="G19" s="395"/>
      <c r="H19" s="395"/>
      <c r="I19" s="395"/>
      <c r="J19" s="395"/>
      <c r="K19" s="395"/>
      <c r="L19" s="395"/>
      <c r="M19" s="395"/>
      <c r="N19" s="395"/>
      <c r="O19" s="395"/>
      <c r="P19" s="395"/>
      <c r="Q19" s="395"/>
      <c r="R19" s="395"/>
      <c r="S19" s="395"/>
      <c r="T19" s="395"/>
      <c r="U19" s="395"/>
    </row>
    <row r="20" spans="1:21" s="304" customFormat="1" ht="18" customHeight="1">
      <c r="A20" s="398" t="s">
        <v>13</v>
      </c>
      <c r="B20" s="399">
        <f>SUM(B9:E9)</f>
        <v>5000</v>
      </c>
      <c r="C20" s="399">
        <f>SUM(F9:I9)</f>
        <v>13680</v>
      </c>
      <c r="D20" s="399">
        <f>SUM(J9:M9)</f>
        <v>199923.39130434781</v>
      </c>
      <c r="E20" s="399">
        <f>SUM(N9:Q9)</f>
        <v>201408.99608695653</v>
      </c>
      <c r="F20" s="399">
        <f>SUM(R9:U9)</f>
        <v>112458</v>
      </c>
      <c r="G20" s="399"/>
      <c r="H20" s="399"/>
      <c r="I20" s="399"/>
      <c r="J20" s="399"/>
      <c r="K20" s="399"/>
      <c r="L20" s="399"/>
      <c r="M20" s="399"/>
      <c r="N20" s="399"/>
      <c r="O20" s="399"/>
      <c r="P20" s="399"/>
      <c r="Q20" s="399"/>
      <c r="R20" s="399"/>
      <c r="S20" s="399"/>
      <c r="T20" s="399"/>
      <c r="U20" s="399"/>
    </row>
    <row r="21" spans="1:21" ht="18" customHeight="1">
      <c r="A21" s="393" t="s">
        <v>14</v>
      </c>
      <c r="B21" s="394">
        <f>SUM(B17:E17)</f>
        <v>1</v>
      </c>
      <c r="C21" s="394">
        <f>SUM(F17:I17)</f>
        <v>10</v>
      </c>
      <c r="D21" s="394">
        <f>SUM(J17:M17)</f>
        <v>78</v>
      </c>
      <c r="E21" s="394">
        <f>SUM(N17:Q17)</f>
        <v>75</v>
      </c>
      <c r="F21" s="394">
        <f>SUM(R17:U17)</f>
        <v>37</v>
      </c>
      <c r="G21" s="394"/>
      <c r="H21" s="394"/>
      <c r="I21" s="394"/>
      <c r="J21" s="394"/>
      <c r="K21" s="394"/>
      <c r="L21" s="394"/>
      <c r="M21" s="394"/>
      <c r="N21" s="394"/>
      <c r="O21" s="394"/>
      <c r="P21" s="394"/>
      <c r="Q21" s="394"/>
      <c r="R21" s="394"/>
      <c r="S21" s="394"/>
      <c r="T21" s="394"/>
      <c r="U21" s="394"/>
    </row>
    <row r="22" spans="1:21" s="304" customFormat="1" ht="18" customHeight="1">
      <c r="A22" s="402" t="s">
        <v>15</v>
      </c>
      <c r="B22" s="403">
        <f>IFERROR(B20/B21,"—")</f>
        <v>5000</v>
      </c>
      <c r="C22" s="403">
        <f>IFERROR(C20/C21,"—")</f>
        <v>1368</v>
      </c>
      <c r="D22" s="403">
        <f>IFERROR(D20/D21,"—")</f>
        <v>2563.1204013377924</v>
      </c>
      <c r="E22" s="403">
        <f>IFERROR(E20/E21,"—")</f>
        <v>2685.4532811594204</v>
      </c>
      <c r="F22" s="403">
        <f>IFERROR(F20/F21,"—")</f>
        <v>3039.4054054054054</v>
      </c>
      <c r="G22" s="403"/>
      <c r="H22" s="403"/>
      <c r="I22" s="403"/>
      <c r="J22" s="403"/>
      <c r="K22" s="403"/>
      <c r="L22" s="403"/>
      <c r="M22" s="403"/>
      <c r="N22" s="403"/>
      <c r="O22" s="403"/>
      <c r="P22" s="403"/>
      <c r="Q22" s="403"/>
      <c r="R22" s="403"/>
      <c r="S22" s="403"/>
      <c r="T22" s="403"/>
      <c r="U22" s="403"/>
    </row>
    <row r="23" spans="1:21" ht="12" customHeight="1">
      <c r="A23" s="396"/>
      <c r="B23" s="397"/>
      <c r="C23" s="397"/>
      <c r="D23" s="397"/>
      <c r="E23" s="397"/>
      <c r="F23" s="397"/>
      <c r="G23" s="397"/>
      <c r="H23" s="397"/>
      <c r="I23" s="397"/>
      <c r="J23" s="397"/>
      <c r="K23" s="397"/>
      <c r="L23" s="397"/>
      <c r="M23" s="397"/>
      <c r="N23" s="397"/>
      <c r="O23" s="397"/>
      <c r="P23" s="397"/>
      <c r="Q23" s="397"/>
      <c r="R23" s="397"/>
      <c r="S23" s="397"/>
      <c r="T23" s="397"/>
      <c r="U23" s="397"/>
    </row>
    <row r="24" spans="1:21" ht="18" customHeight="1">
      <c r="A24" s="383" t="s">
        <v>16</v>
      </c>
      <c r="B24" s="395"/>
      <c r="C24" s="395"/>
      <c r="D24" s="395"/>
      <c r="E24" s="395"/>
      <c r="F24" s="395"/>
      <c r="G24" s="395"/>
      <c r="H24" s="395"/>
      <c r="I24" s="395"/>
      <c r="J24" s="395"/>
      <c r="K24" s="395"/>
      <c r="L24" s="395"/>
      <c r="M24" s="395"/>
      <c r="N24" s="395"/>
      <c r="O24" s="395"/>
      <c r="P24" s="395"/>
      <c r="Q24" s="395"/>
      <c r="R24" s="395"/>
      <c r="S24" s="395"/>
      <c r="T24" s="395"/>
      <c r="U24" s="395"/>
    </row>
    <row r="25" spans="1:21" ht="18" customHeight="1">
      <c r="A25" s="404" t="s">
        <v>17</v>
      </c>
      <c r="B25" s="405">
        <v>1.1499999999999999</v>
      </c>
      <c r="C25" s="406"/>
      <c r="D25" s="406"/>
      <c r="E25" s="406"/>
      <c r="F25" s="406"/>
      <c r="G25" s="407"/>
      <c r="H25" s="407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</row>
  </sheetData>
  <mergeCells count="11">
    <mergeCell ref="B11:E11"/>
    <mergeCell ref="F11:I11"/>
    <mergeCell ref="J11:M11"/>
    <mergeCell ref="N11:Q11"/>
    <mergeCell ref="R11:U11"/>
    <mergeCell ref="A1:U1"/>
    <mergeCell ref="B3:E3"/>
    <mergeCell ref="F3:I3"/>
    <mergeCell ref="J3:M3"/>
    <mergeCell ref="N3:Q3"/>
    <mergeCell ref="R3:U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A0C70-7171-4F7B-B9F2-4746BC96BA03}">
  <dimension ref="A1:CP125"/>
  <sheetViews>
    <sheetView workbookViewId="0">
      <pane xSplit="4" ySplit="2" topLeftCell="E118" activePane="bottomRight" state="frozen"/>
      <selection pane="bottomRight" activeCell="J101" sqref="J101"/>
      <selection pane="bottomLeft" activeCell="A4" sqref="A4"/>
      <selection pane="topRight" activeCell="E1" sqref="E1"/>
    </sheetView>
  </sheetViews>
  <sheetFormatPr defaultColWidth="11.42578125" defaultRowHeight="15" customHeight="1" outlineLevelRow="1"/>
  <cols>
    <col min="1" max="1" width="24.7109375" style="174" customWidth="1"/>
    <col min="2" max="2" width="10.28515625" style="101" customWidth="1"/>
    <col min="3" max="3" width="11.5703125" style="101" customWidth="1"/>
    <col min="4" max="4" width="30.7109375" style="147" customWidth="1"/>
    <col min="5" max="5" width="30.7109375" style="174" customWidth="1"/>
    <col min="6" max="6" width="18.7109375" style="260" customWidth="1"/>
    <col min="7" max="7" width="11.42578125" style="101" bestFit="1" customWidth="1"/>
    <col min="8" max="8" width="26.42578125" style="101" customWidth="1"/>
    <col min="9" max="9" width="9.28515625" style="101" bestFit="1" customWidth="1"/>
    <col min="10" max="10" width="14.28515625" style="182" bestFit="1" customWidth="1"/>
    <col min="11" max="11" width="17.7109375" style="174" customWidth="1"/>
    <col min="12" max="12" width="13" style="101" bestFit="1" customWidth="1"/>
    <col min="13" max="13" width="27.42578125" style="101" customWidth="1"/>
    <col min="14" max="14" width="12.28515625" style="101" bestFit="1" customWidth="1"/>
    <col min="15" max="15" width="22.5703125" style="101" bestFit="1" customWidth="1"/>
    <col min="16" max="16" width="14" style="125" bestFit="1" customWidth="1"/>
    <col min="17" max="17" width="55.140625" style="173" customWidth="1"/>
    <col min="18" max="18" width="15.42578125" style="116" customWidth="1"/>
    <col min="19" max="20" width="15.42578125" style="101" customWidth="1"/>
    <col min="21" max="21" width="19.7109375" style="101" customWidth="1"/>
    <col min="22" max="22" width="12.140625" style="101" customWidth="1"/>
    <col min="23" max="25" width="12" style="101" customWidth="1"/>
    <col min="26" max="26" width="12" style="116" customWidth="1"/>
    <col min="27" max="32" width="12" style="101" customWidth="1"/>
    <col min="33" max="34" width="12" style="116" customWidth="1"/>
    <col min="35" max="37" width="12" style="101" customWidth="1"/>
    <col min="38" max="38" width="12" style="116" customWidth="1"/>
    <col min="39" max="39" width="12" style="101" customWidth="1"/>
    <col min="40" max="40" width="12.85546875" style="101" customWidth="1"/>
    <col min="41" max="41" width="13.140625" style="101" customWidth="1"/>
    <col min="42" max="42" width="14" style="101" customWidth="1"/>
    <col min="43" max="44" width="12" style="101" customWidth="1"/>
    <col min="45" max="45" width="12" style="116" customWidth="1"/>
    <col min="46" max="46" width="12" style="101" customWidth="1"/>
    <col min="47" max="47" width="12" style="116" customWidth="1"/>
    <col min="48" max="48" width="12" style="101" customWidth="1"/>
    <col min="49" max="49" width="16.42578125" style="116" customWidth="1"/>
    <col min="50" max="50" width="16.42578125" style="101" customWidth="1"/>
    <col min="51" max="16384" width="11.42578125" style="101"/>
  </cols>
  <sheetData>
    <row r="1" spans="1:49" s="237" customFormat="1" ht="103.5">
      <c r="A1" s="413" t="s">
        <v>18</v>
      </c>
      <c r="B1" s="413"/>
      <c r="C1" s="413"/>
      <c r="D1" s="413"/>
      <c r="E1" s="413" t="s">
        <v>19</v>
      </c>
      <c r="F1" s="413"/>
      <c r="G1" s="413"/>
      <c r="H1" s="413"/>
      <c r="I1" s="413"/>
      <c r="J1" s="414"/>
      <c r="K1" s="413"/>
      <c r="L1" s="413"/>
      <c r="M1" s="413"/>
      <c r="N1" s="413"/>
      <c r="O1" s="415"/>
      <c r="P1" s="231"/>
      <c r="Q1" s="232"/>
      <c r="R1" s="233" t="s">
        <v>20</v>
      </c>
      <c r="S1" s="230" t="s">
        <v>21</v>
      </c>
      <c r="T1" s="230" t="s">
        <v>22</v>
      </c>
      <c r="U1" s="230" t="s">
        <v>23</v>
      </c>
      <c r="V1" s="230" t="s">
        <v>24</v>
      </c>
      <c r="W1" s="230" t="s">
        <v>25</v>
      </c>
      <c r="X1" s="230" t="s">
        <v>26</v>
      </c>
      <c r="Y1" s="230" t="s">
        <v>27</v>
      </c>
      <c r="Z1" s="234" t="s">
        <v>28</v>
      </c>
      <c r="AA1" s="230" t="s">
        <v>29</v>
      </c>
      <c r="AB1" s="230" t="s">
        <v>30</v>
      </c>
      <c r="AC1" s="230" t="s">
        <v>31</v>
      </c>
      <c r="AD1" s="230" t="s">
        <v>32</v>
      </c>
      <c r="AE1" s="230" t="s">
        <v>33</v>
      </c>
      <c r="AF1" s="230" t="s">
        <v>34</v>
      </c>
      <c r="AG1" s="233" t="s">
        <v>35</v>
      </c>
      <c r="AH1" s="233" t="s">
        <v>36</v>
      </c>
      <c r="AI1" s="230" t="s">
        <v>37</v>
      </c>
      <c r="AJ1" s="230" t="s">
        <v>38</v>
      </c>
      <c r="AK1" s="230" t="s">
        <v>39</v>
      </c>
      <c r="AL1" s="233" t="s">
        <v>40</v>
      </c>
      <c r="AM1" s="235" t="s">
        <v>41</v>
      </c>
      <c r="AN1" s="235" t="s">
        <v>42</v>
      </c>
      <c r="AO1" s="235" t="s">
        <v>43</v>
      </c>
      <c r="AP1" s="235" t="s">
        <v>44</v>
      </c>
      <c r="AQ1" s="230" t="s">
        <v>45</v>
      </c>
      <c r="AR1" s="230" t="s">
        <v>46</v>
      </c>
      <c r="AS1" s="233" t="s">
        <v>47</v>
      </c>
      <c r="AT1" s="230" t="s">
        <v>48</v>
      </c>
      <c r="AU1" s="233" t="s">
        <v>49</v>
      </c>
      <c r="AV1" s="230" t="s">
        <v>50</v>
      </c>
      <c r="AW1" s="236"/>
    </row>
    <row r="2" spans="1:49" s="229" customFormat="1" ht="18.75">
      <c r="A2" s="218" t="s">
        <v>51</v>
      </c>
      <c r="B2" s="218" t="s">
        <v>52</v>
      </c>
      <c r="C2" s="218" t="s">
        <v>53</v>
      </c>
      <c r="D2" s="219" t="s">
        <v>18</v>
      </c>
      <c r="E2" s="218" t="s">
        <v>54</v>
      </c>
      <c r="F2" s="258" t="s">
        <v>55</v>
      </c>
      <c r="G2" s="218" t="s">
        <v>56</v>
      </c>
      <c r="H2" s="218" t="s">
        <v>57</v>
      </c>
      <c r="I2" s="218" t="s">
        <v>58</v>
      </c>
      <c r="J2" s="220" t="s">
        <v>59</v>
      </c>
      <c r="K2" s="244" t="s">
        <v>60</v>
      </c>
      <c r="L2" s="218" t="s">
        <v>61</v>
      </c>
      <c r="M2" s="218" t="s">
        <v>62</v>
      </c>
      <c r="N2" s="218" t="s">
        <v>63</v>
      </c>
      <c r="O2" s="218" t="s">
        <v>64</v>
      </c>
      <c r="P2" s="221" t="s">
        <v>65</v>
      </c>
      <c r="Q2" s="222" t="s">
        <v>66</v>
      </c>
      <c r="R2" s="223">
        <v>135</v>
      </c>
      <c r="S2" s="224">
        <v>30</v>
      </c>
      <c r="T2" s="224">
        <v>220</v>
      </c>
      <c r="U2" s="224">
        <v>50</v>
      </c>
      <c r="V2" s="224">
        <v>2000</v>
      </c>
      <c r="W2" s="224">
        <v>250</v>
      </c>
      <c r="X2" s="224">
        <v>400</v>
      </c>
      <c r="Y2" s="224">
        <v>85</v>
      </c>
      <c r="Z2" s="223">
        <v>135</v>
      </c>
      <c r="AA2" s="225">
        <v>30</v>
      </c>
      <c r="AB2" s="223">
        <v>180</v>
      </c>
      <c r="AC2" s="224">
        <v>260</v>
      </c>
      <c r="AD2" s="224">
        <v>180</v>
      </c>
      <c r="AE2" s="224">
        <v>400</v>
      </c>
      <c r="AF2" s="224">
        <v>2200</v>
      </c>
      <c r="AG2" s="223">
        <v>40</v>
      </c>
      <c r="AH2" s="223">
        <v>300</v>
      </c>
      <c r="AI2" s="224">
        <v>700</v>
      </c>
      <c r="AJ2" s="224">
        <v>5000</v>
      </c>
      <c r="AK2" s="224">
        <v>7000</v>
      </c>
      <c r="AL2" s="223">
        <v>80</v>
      </c>
      <c r="AM2" s="225">
        <v>150</v>
      </c>
      <c r="AN2" s="225">
        <v>260</v>
      </c>
      <c r="AO2" s="225">
        <v>560</v>
      </c>
      <c r="AP2" s="224">
        <v>4000</v>
      </c>
      <c r="AQ2" s="224">
        <v>5000</v>
      </c>
      <c r="AR2" s="224">
        <v>10000</v>
      </c>
      <c r="AS2" s="223">
        <v>2500</v>
      </c>
      <c r="AT2" s="224">
        <v>10000</v>
      </c>
      <c r="AU2" s="226">
        <v>0.1</v>
      </c>
      <c r="AV2" s="227">
        <v>0.25</v>
      </c>
      <c r="AW2" s="228"/>
    </row>
    <row r="3" spans="1:49" customFormat="1">
      <c r="A3" s="163" t="s">
        <v>67</v>
      </c>
      <c r="B3" s="35" t="s">
        <v>68</v>
      </c>
      <c r="C3" s="11">
        <v>44743</v>
      </c>
      <c r="D3" s="33" t="s">
        <v>69</v>
      </c>
      <c r="E3" s="163" t="s">
        <v>70</v>
      </c>
      <c r="F3" s="259" t="s">
        <v>71</v>
      </c>
      <c r="G3" s="2" t="s">
        <v>72</v>
      </c>
      <c r="H3" s="68" t="s">
        <v>68</v>
      </c>
      <c r="I3" s="2">
        <f>IF(SUM(R3:AV3)=0,"-",SUM(R3:AV3))</f>
        <v>2</v>
      </c>
      <c r="J3" s="178">
        <f>IF(SUMPRODUCT($R$2:$AV$2,R3:AV3)=0,"-",SUMPRODUCT($R$2:$AV$2,R3:AV3))</f>
        <v>5000</v>
      </c>
      <c r="K3" s="245">
        <v>45084</v>
      </c>
      <c r="L3" s="48" t="s">
        <v>68</v>
      </c>
      <c r="M3" s="48" t="s">
        <v>73</v>
      </c>
      <c r="N3" s="48" t="s">
        <v>74</v>
      </c>
      <c r="O3" s="168" t="s">
        <v>75</v>
      </c>
      <c r="P3" s="168"/>
      <c r="Q3" s="171"/>
      <c r="R3" s="2"/>
      <c r="S3" s="2"/>
      <c r="T3" s="2"/>
      <c r="U3" s="2"/>
      <c r="V3" s="2"/>
      <c r="W3" s="2"/>
      <c r="X3" s="2"/>
      <c r="Y3" s="2"/>
      <c r="Z3" s="7"/>
      <c r="AA3" s="2"/>
      <c r="AB3" s="2"/>
      <c r="AC3" s="2"/>
      <c r="AD3" s="2"/>
      <c r="AE3" s="2"/>
      <c r="AF3" s="2"/>
      <c r="AG3" s="7"/>
      <c r="AH3" s="7"/>
      <c r="AI3" s="2"/>
      <c r="AJ3" s="2"/>
      <c r="AK3" s="2"/>
      <c r="AL3" s="28"/>
      <c r="AM3" s="30"/>
      <c r="AN3" s="2"/>
      <c r="AO3" s="2"/>
      <c r="AP3" s="2"/>
      <c r="AQ3" s="2"/>
      <c r="AR3" s="2"/>
      <c r="AS3" s="7">
        <v>2</v>
      </c>
      <c r="AT3" s="2"/>
      <c r="AU3" s="29"/>
      <c r="AV3" s="2"/>
      <c r="AW3" s="10"/>
    </row>
    <row r="4" spans="1:49" customFormat="1">
      <c r="A4" s="163" t="s">
        <v>76</v>
      </c>
      <c r="B4" t="s">
        <v>68</v>
      </c>
      <c r="C4" s="11">
        <v>45083</v>
      </c>
      <c r="D4" s="33" t="s">
        <v>77</v>
      </c>
      <c r="E4" s="163" t="s">
        <v>78</v>
      </c>
      <c r="F4" s="259" t="s">
        <v>71</v>
      </c>
      <c r="G4" s="2" t="s">
        <v>72</v>
      </c>
      <c r="H4" t="s">
        <v>79</v>
      </c>
      <c r="I4" s="2">
        <v>1</v>
      </c>
      <c r="J4" s="178">
        <f>IF(SUMPRODUCT($R$2:$AV$2,R4:AV4)=0,"-",SUMPRODUCT($R$2:$AV$2,R4:AV4))</f>
        <v>4000</v>
      </c>
      <c r="K4" s="246">
        <v>45084</v>
      </c>
      <c r="L4" s="48" t="s">
        <v>68</v>
      </c>
      <c r="M4" s="48" t="s">
        <v>73</v>
      </c>
      <c r="N4" s="48" t="s">
        <v>80</v>
      </c>
      <c r="O4" s="183" t="s">
        <v>81</v>
      </c>
      <c r="P4" s="186"/>
      <c r="Q4" s="171"/>
      <c r="R4" s="2"/>
      <c r="S4" s="2"/>
      <c r="T4" s="2"/>
      <c r="U4" s="2"/>
      <c r="V4" s="2"/>
      <c r="W4" s="2"/>
      <c r="X4" s="2"/>
      <c r="Y4" s="2"/>
      <c r="Z4" s="7"/>
      <c r="AA4" s="2"/>
      <c r="AB4" s="2"/>
      <c r="AC4" s="2"/>
      <c r="AD4" s="2"/>
      <c r="AE4" s="2"/>
      <c r="AF4" s="2"/>
      <c r="AG4" s="7"/>
      <c r="AH4" s="7"/>
      <c r="AI4" s="2"/>
      <c r="AJ4" s="2"/>
      <c r="AK4" s="2">
        <f>4000/7000</f>
        <v>0.5714285714285714</v>
      </c>
      <c r="AL4" s="7"/>
      <c r="AM4" s="2"/>
      <c r="AN4" s="2"/>
      <c r="AO4" s="2"/>
      <c r="AP4" s="2"/>
      <c r="AQ4" s="2"/>
      <c r="AR4" s="2"/>
      <c r="AS4" s="7"/>
      <c r="AT4" s="2"/>
      <c r="AU4" s="7"/>
      <c r="AV4" s="2"/>
      <c r="AW4" s="10"/>
    </row>
    <row r="5" spans="1:49" customFormat="1" ht="15" customHeight="1">
      <c r="A5" s="163" t="s">
        <v>82</v>
      </c>
      <c r="B5" s="35" t="s">
        <v>68</v>
      </c>
      <c r="C5" s="11">
        <v>45083</v>
      </c>
      <c r="D5" s="33" t="s">
        <v>83</v>
      </c>
      <c r="E5" s="163" t="s">
        <v>84</v>
      </c>
      <c r="F5" s="259" t="s">
        <v>71</v>
      </c>
      <c r="G5" s="2" t="s">
        <v>72</v>
      </c>
      <c r="H5" s="34" t="s">
        <v>85</v>
      </c>
      <c r="I5" s="30">
        <f>IF(SUM(R5:AV5)=0,"-",SUM(R5:AV5))</f>
        <v>4.3759999999999994</v>
      </c>
      <c r="J5" s="178">
        <v>2000</v>
      </c>
      <c r="K5" s="245">
        <v>45084</v>
      </c>
      <c r="L5" s="48" t="s">
        <v>68</v>
      </c>
      <c r="M5" s="48" t="s">
        <v>73</v>
      </c>
      <c r="N5" s="48" t="s">
        <v>86</v>
      </c>
      <c r="O5" s="168" t="s">
        <v>87</v>
      </c>
      <c r="P5" s="168"/>
      <c r="Q5" s="171"/>
      <c r="R5" s="2"/>
      <c r="S5" s="2"/>
      <c r="T5" s="2"/>
      <c r="U5" s="2"/>
      <c r="V5" s="2">
        <v>1</v>
      </c>
      <c r="W5" s="2"/>
      <c r="X5" s="2"/>
      <c r="Y5" s="2"/>
      <c r="Z5" s="7"/>
      <c r="AA5" s="2"/>
      <c r="AB5" s="2"/>
      <c r="AC5" s="2"/>
      <c r="AD5" s="2"/>
      <c r="AE5" s="2"/>
      <c r="AF5" s="2"/>
      <c r="AG5" s="7"/>
      <c r="AH5" s="7"/>
      <c r="AI5" s="2"/>
      <c r="AJ5" s="37">
        <f>1500/AJ2</f>
        <v>0.3</v>
      </c>
      <c r="AK5" s="2"/>
      <c r="AL5" s="7"/>
      <c r="AM5" s="2"/>
      <c r="AN5" s="2"/>
      <c r="AO5" s="2">
        <v>2</v>
      </c>
      <c r="AP5" s="2"/>
      <c r="AQ5" s="36">
        <f>5380/AQ2</f>
        <v>1.0760000000000001</v>
      </c>
      <c r="AR5" s="2"/>
      <c r="AS5" s="7"/>
      <c r="AT5" s="2"/>
      <c r="AU5" s="7"/>
      <c r="AV5" s="2"/>
      <c r="AW5" s="10"/>
    </row>
    <row r="6" spans="1:49" customFormat="1" ht="15" customHeight="1">
      <c r="A6" s="163" t="s">
        <v>82</v>
      </c>
      <c r="B6" s="35" t="s">
        <v>68</v>
      </c>
      <c r="C6" s="11">
        <v>45083</v>
      </c>
      <c r="D6" s="33" t="s">
        <v>88</v>
      </c>
      <c r="E6" s="163" t="s">
        <v>84</v>
      </c>
      <c r="F6" s="259" t="s">
        <v>71</v>
      </c>
      <c r="G6" s="2" t="s">
        <v>72</v>
      </c>
      <c r="H6" s="34" t="s">
        <v>89</v>
      </c>
      <c r="I6" s="30">
        <v>1</v>
      </c>
      <c r="J6" s="178">
        <v>1800</v>
      </c>
      <c r="K6" s="246"/>
      <c r="L6" s="48" t="s">
        <v>68</v>
      </c>
      <c r="M6" s="48" t="s">
        <v>73</v>
      </c>
      <c r="N6" s="48" t="s">
        <v>90</v>
      </c>
      <c r="O6" s="168" t="s">
        <v>91</v>
      </c>
      <c r="P6" s="168"/>
      <c r="Q6" s="171"/>
      <c r="R6" s="2"/>
      <c r="S6" s="2"/>
      <c r="T6" s="2"/>
      <c r="U6" s="2"/>
      <c r="V6" s="2">
        <v>1</v>
      </c>
      <c r="W6" s="2"/>
      <c r="X6" s="2"/>
      <c r="Y6" s="2"/>
      <c r="Z6" s="7"/>
      <c r="AA6" s="2"/>
      <c r="AB6" s="2"/>
      <c r="AC6" s="2"/>
      <c r="AD6" s="2"/>
      <c r="AE6" s="2"/>
      <c r="AF6" s="2"/>
      <c r="AG6" s="7"/>
      <c r="AH6" s="7"/>
      <c r="AI6" s="2"/>
      <c r="AJ6" s="37" t="e">
        <f>1500/AJ4</f>
        <v>#DIV/0!</v>
      </c>
      <c r="AK6" s="2"/>
      <c r="AL6" s="7"/>
      <c r="AM6" s="2"/>
      <c r="AN6" s="2"/>
      <c r="AO6" s="2">
        <v>2</v>
      </c>
      <c r="AP6" s="2"/>
      <c r="AQ6" s="36" t="e">
        <f>5380/AQ4</f>
        <v>#DIV/0!</v>
      </c>
      <c r="AR6" s="2"/>
      <c r="AS6" s="7"/>
      <c r="AT6" s="2"/>
      <c r="AU6" s="7"/>
      <c r="AV6" s="2"/>
      <c r="AW6" s="10"/>
    </row>
    <row r="7" spans="1:49" customFormat="1" ht="15" customHeight="1">
      <c r="A7" s="163" t="s">
        <v>82</v>
      </c>
      <c r="B7" s="35" t="s">
        <v>68</v>
      </c>
      <c r="C7" s="11">
        <v>45083</v>
      </c>
      <c r="D7" s="6" t="s">
        <v>92</v>
      </c>
      <c r="E7" s="163" t="s">
        <v>84</v>
      </c>
      <c r="F7" s="259" t="s">
        <v>71</v>
      </c>
      <c r="G7" s="2" t="s">
        <v>72</v>
      </c>
      <c r="H7" s="34" t="s">
        <v>93</v>
      </c>
      <c r="I7" s="2">
        <v>1</v>
      </c>
      <c r="J7" s="178">
        <v>850</v>
      </c>
      <c r="K7" s="246"/>
      <c r="L7" s="48" t="s">
        <v>68</v>
      </c>
      <c r="M7" s="48" t="s">
        <v>73</v>
      </c>
      <c r="N7" s="48" t="s">
        <v>94</v>
      </c>
      <c r="O7" s="168" t="s">
        <v>95</v>
      </c>
      <c r="P7" s="168"/>
      <c r="Q7" s="171"/>
      <c r="R7" s="2"/>
      <c r="S7" s="2"/>
      <c r="T7" s="2"/>
      <c r="U7" s="2"/>
      <c r="V7" s="2"/>
      <c r="W7" s="2"/>
      <c r="X7" s="2"/>
      <c r="Y7" s="2"/>
      <c r="Z7" s="7"/>
      <c r="AA7" s="2"/>
      <c r="AB7" s="2"/>
      <c r="AC7" s="2"/>
      <c r="AD7" s="2"/>
      <c r="AE7" s="2"/>
      <c r="AF7" s="2"/>
      <c r="AG7" s="7"/>
      <c r="AH7" s="7"/>
      <c r="AI7" s="2"/>
      <c r="AJ7" s="2"/>
      <c r="AK7" s="2"/>
      <c r="AL7" s="7"/>
      <c r="AM7" s="2"/>
      <c r="AN7" s="2"/>
      <c r="AO7" s="2"/>
      <c r="AP7" s="2"/>
      <c r="AQ7" s="2"/>
      <c r="AR7" s="2"/>
      <c r="AS7" s="7"/>
      <c r="AT7" s="2"/>
      <c r="AU7" s="7"/>
      <c r="AV7" s="2"/>
      <c r="AW7" s="10"/>
    </row>
    <row r="8" spans="1:49" customFormat="1" ht="15" customHeight="1">
      <c r="A8" s="163" t="s">
        <v>82</v>
      </c>
      <c r="B8" s="35" t="s">
        <v>68</v>
      </c>
      <c r="C8" s="11">
        <v>45184</v>
      </c>
      <c r="D8" s="6" t="s">
        <v>96</v>
      </c>
      <c r="E8" s="163" t="s">
        <v>84</v>
      </c>
      <c r="F8" s="259" t="s">
        <v>71</v>
      </c>
      <c r="G8" s="2" t="s">
        <v>72</v>
      </c>
      <c r="H8" s="34" t="s">
        <v>89</v>
      </c>
      <c r="I8" s="2">
        <v>10</v>
      </c>
      <c r="J8" s="178">
        <v>1500</v>
      </c>
      <c r="K8" s="246"/>
      <c r="L8" s="48"/>
      <c r="M8" s="48" t="s">
        <v>73</v>
      </c>
      <c r="N8" s="48" t="s">
        <v>97</v>
      </c>
      <c r="O8" s="168" t="s">
        <v>98</v>
      </c>
      <c r="P8" s="168"/>
      <c r="Q8" s="171"/>
      <c r="R8" s="2"/>
      <c r="S8" s="2"/>
      <c r="T8" s="2"/>
      <c r="U8" s="2"/>
      <c r="V8" s="2"/>
      <c r="W8" s="2"/>
      <c r="X8" s="2"/>
      <c r="Y8" s="2"/>
      <c r="Z8" s="7"/>
      <c r="AA8" s="2"/>
      <c r="AB8" s="2"/>
      <c r="AC8" s="2"/>
      <c r="AD8" s="2"/>
      <c r="AE8" s="2"/>
      <c r="AF8" s="2"/>
      <c r="AG8" s="7"/>
      <c r="AH8" s="7"/>
      <c r="AI8" s="2"/>
      <c r="AJ8" s="2"/>
      <c r="AK8" s="2"/>
      <c r="AL8" s="7"/>
      <c r="AM8" s="2"/>
      <c r="AN8" s="2"/>
      <c r="AO8" s="2"/>
      <c r="AP8" s="2"/>
      <c r="AQ8" s="2"/>
      <c r="AR8" s="2"/>
      <c r="AS8" s="7"/>
      <c r="AT8" s="2"/>
      <c r="AU8" s="7"/>
      <c r="AV8" s="2"/>
      <c r="AW8" s="10"/>
    </row>
    <row r="9" spans="1:49" customFormat="1" ht="15" customHeight="1">
      <c r="A9" s="163" t="s">
        <v>82</v>
      </c>
      <c r="B9" s="35" t="s">
        <v>68</v>
      </c>
      <c r="C9" s="63">
        <v>45185</v>
      </c>
      <c r="D9" s="6" t="s">
        <v>99</v>
      </c>
      <c r="E9" s="163" t="s">
        <v>84</v>
      </c>
      <c r="F9" s="259" t="s">
        <v>71</v>
      </c>
      <c r="G9" s="2" t="s">
        <v>72</v>
      </c>
      <c r="H9" s="34" t="s">
        <v>100</v>
      </c>
      <c r="I9" s="2">
        <v>1</v>
      </c>
      <c r="J9" s="178">
        <v>450</v>
      </c>
      <c r="K9" s="246"/>
      <c r="L9" s="48"/>
      <c r="M9" s="48" t="s">
        <v>73</v>
      </c>
      <c r="N9" s="48" t="s">
        <v>101</v>
      </c>
      <c r="O9" s="168" t="s">
        <v>102</v>
      </c>
      <c r="P9" s="168"/>
      <c r="Q9" s="171"/>
      <c r="R9" s="2"/>
      <c r="S9" s="2"/>
      <c r="T9" s="2"/>
      <c r="U9" s="2"/>
      <c r="V9" s="2"/>
      <c r="W9" s="2"/>
      <c r="X9" s="2"/>
      <c r="Y9" s="2"/>
      <c r="Z9" s="7"/>
      <c r="AA9" s="2"/>
      <c r="AB9" s="2"/>
      <c r="AC9" s="2"/>
      <c r="AD9" s="2"/>
      <c r="AE9" s="2"/>
      <c r="AF9" s="2"/>
      <c r="AG9" s="7"/>
      <c r="AH9" s="7"/>
      <c r="AI9" s="2"/>
      <c r="AJ9" s="2"/>
      <c r="AK9" s="2"/>
      <c r="AL9" s="7"/>
      <c r="AM9" s="2"/>
      <c r="AN9" s="2"/>
      <c r="AO9" s="2"/>
      <c r="AP9" s="2"/>
      <c r="AQ9" s="2"/>
      <c r="AR9" s="2"/>
      <c r="AS9" s="7"/>
      <c r="AT9" s="2"/>
      <c r="AU9" s="7"/>
      <c r="AV9" s="2"/>
      <c r="AW9" s="10"/>
    </row>
    <row r="10" spans="1:49" customFormat="1" ht="15" customHeight="1">
      <c r="A10" s="163" t="s">
        <v>103</v>
      </c>
      <c r="C10" s="11">
        <v>45211</v>
      </c>
      <c r="D10" s="6" t="s">
        <v>104</v>
      </c>
      <c r="E10" s="163" t="s">
        <v>105</v>
      </c>
      <c r="F10" s="259" t="s">
        <v>71</v>
      </c>
      <c r="G10" s="2" t="s">
        <v>72</v>
      </c>
      <c r="H10" s="34" t="s">
        <v>106</v>
      </c>
      <c r="I10" s="2">
        <v>1</v>
      </c>
      <c r="J10" s="178">
        <v>40</v>
      </c>
      <c r="K10" s="246"/>
      <c r="L10" s="48"/>
      <c r="M10" s="48" t="s">
        <v>73</v>
      </c>
      <c r="N10" s="48" t="s">
        <v>107</v>
      </c>
      <c r="O10" s="168" t="s">
        <v>108</v>
      </c>
      <c r="P10" s="168"/>
      <c r="Q10" s="171"/>
      <c r="R10" s="2"/>
      <c r="S10" s="2"/>
      <c r="T10" s="2"/>
      <c r="U10" s="2"/>
      <c r="V10" s="2"/>
      <c r="W10" s="2"/>
      <c r="X10" s="2"/>
      <c r="Y10" s="2"/>
      <c r="Z10" s="7"/>
      <c r="AA10" s="2"/>
      <c r="AB10" s="2"/>
      <c r="AC10" s="2"/>
      <c r="AD10" s="2"/>
      <c r="AE10" s="2"/>
      <c r="AF10" s="2"/>
      <c r="AG10" s="7"/>
      <c r="AH10" s="7"/>
      <c r="AI10" s="2"/>
      <c r="AJ10" s="2"/>
      <c r="AK10" s="2"/>
      <c r="AL10" s="7"/>
      <c r="AM10" s="2"/>
      <c r="AN10" s="2"/>
      <c r="AO10" s="2"/>
      <c r="AP10" s="2"/>
      <c r="AQ10" s="2"/>
      <c r="AR10" s="2"/>
      <c r="AS10" s="7"/>
      <c r="AT10" s="2"/>
      <c r="AU10" s="7"/>
      <c r="AV10" s="2"/>
      <c r="AW10" s="10"/>
    </row>
    <row r="11" spans="1:49" customFormat="1" ht="15" customHeight="1">
      <c r="A11" s="163" t="s">
        <v>82</v>
      </c>
      <c r="B11" s="35" t="s">
        <v>68</v>
      </c>
      <c r="C11" s="63">
        <v>45214</v>
      </c>
      <c r="D11" s="33" t="s">
        <v>109</v>
      </c>
      <c r="E11" s="163" t="s">
        <v>84</v>
      </c>
      <c r="F11" s="259" t="s">
        <v>71</v>
      </c>
      <c r="G11" s="2" t="s">
        <v>72</v>
      </c>
      <c r="H11" s="34" t="s">
        <v>110</v>
      </c>
      <c r="I11" s="2">
        <v>5</v>
      </c>
      <c r="J11" s="178">
        <v>250</v>
      </c>
      <c r="K11" s="246"/>
      <c r="L11" s="48"/>
      <c r="M11" s="48" t="s">
        <v>73</v>
      </c>
      <c r="N11" s="48" t="s">
        <v>111</v>
      </c>
      <c r="O11" s="168" t="s">
        <v>112</v>
      </c>
      <c r="P11" s="168"/>
      <c r="Q11" s="171"/>
      <c r="R11" s="116"/>
      <c r="S11" s="101"/>
      <c r="T11" s="101"/>
      <c r="U11" s="101"/>
      <c r="V11" s="101"/>
      <c r="W11" s="101"/>
      <c r="X11" s="101"/>
      <c r="Y11" s="101"/>
      <c r="Z11" s="116"/>
      <c r="AA11" s="101"/>
      <c r="AB11" s="101"/>
      <c r="AC11" s="101"/>
      <c r="AD11" s="101"/>
      <c r="AE11" s="101"/>
      <c r="AF11" s="101"/>
      <c r="AG11" s="116"/>
      <c r="AH11" s="116"/>
      <c r="AI11" s="101"/>
      <c r="AJ11" s="101"/>
      <c r="AK11" s="101"/>
      <c r="AL11" s="116"/>
      <c r="AM11" s="101"/>
      <c r="AN11" s="101"/>
      <c r="AO11" s="101"/>
      <c r="AP11" s="101"/>
      <c r="AQ11" s="101"/>
      <c r="AR11" s="101"/>
      <c r="AS11" s="116"/>
      <c r="AT11" s="101"/>
      <c r="AU11" s="116"/>
      <c r="AV11" s="101"/>
      <c r="AW11" s="116"/>
    </row>
    <row r="12" spans="1:49" customFormat="1" ht="15" customHeight="1">
      <c r="A12" s="163" t="s">
        <v>103</v>
      </c>
      <c r="C12" s="11">
        <v>45274</v>
      </c>
      <c r="D12" s="33" t="s">
        <v>113</v>
      </c>
      <c r="E12" s="163" t="s">
        <v>105</v>
      </c>
      <c r="F12" s="259" t="s">
        <v>71</v>
      </c>
      <c r="G12" s="2" t="s">
        <v>72</v>
      </c>
      <c r="H12" s="34" t="s">
        <v>106</v>
      </c>
      <c r="I12" s="2">
        <v>1</v>
      </c>
      <c r="J12" s="178">
        <v>40</v>
      </c>
      <c r="K12" s="246"/>
      <c r="L12" s="48"/>
      <c r="M12" s="48" t="s">
        <v>73</v>
      </c>
      <c r="N12" s="48" t="s">
        <v>114</v>
      </c>
      <c r="O12" s="168" t="s">
        <v>108</v>
      </c>
      <c r="P12" s="168"/>
      <c r="Q12" s="171"/>
      <c r="R12" s="2"/>
      <c r="S12" s="2"/>
      <c r="T12" s="2"/>
      <c r="U12" s="2"/>
      <c r="V12" s="2"/>
      <c r="W12" s="2"/>
      <c r="X12" s="2"/>
      <c r="Y12" s="2"/>
      <c r="Z12" s="7"/>
      <c r="AA12" s="2"/>
      <c r="AB12" s="2"/>
      <c r="AC12" s="2"/>
      <c r="AD12" s="2"/>
      <c r="AE12" s="2"/>
      <c r="AF12" s="2"/>
      <c r="AG12" s="7"/>
      <c r="AH12" s="7"/>
      <c r="AI12" s="2"/>
      <c r="AJ12" s="2"/>
      <c r="AK12" s="2"/>
      <c r="AL12" s="7"/>
      <c r="AM12" s="2"/>
      <c r="AN12" s="2"/>
      <c r="AO12" s="2"/>
      <c r="AP12" s="2"/>
      <c r="AQ12" s="2"/>
      <c r="AR12" s="2"/>
      <c r="AS12" s="7"/>
      <c r="AT12" s="2"/>
      <c r="AU12" s="7"/>
      <c r="AV12" s="2"/>
      <c r="AW12" s="10"/>
    </row>
    <row r="13" spans="1:49" customFormat="1" ht="15" customHeight="1">
      <c r="A13" s="174" t="s">
        <v>115</v>
      </c>
      <c r="B13" s="101"/>
      <c r="C13" s="138">
        <v>45290</v>
      </c>
      <c r="D13" s="166" t="s">
        <v>116</v>
      </c>
      <c r="E13" s="174"/>
      <c r="F13" s="259" t="s">
        <v>71</v>
      </c>
      <c r="G13" s="101" t="s">
        <v>72</v>
      </c>
      <c r="H13" s="167" t="s">
        <v>117</v>
      </c>
      <c r="I13" s="101" t="str">
        <f>IF(SUM(R13:AV13)=0,"-",SUM(R13:AV13))</f>
        <v>-</v>
      </c>
      <c r="J13" s="178">
        <v>2750</v>
      </c>
      <c r="K13" s="246"/>
      <c r="L13" s="48"/>
      <c r="M13" s="48" t="s">
        <v>73</v>
      </c>
      <c r="N13" s="48" t="s">
        <v>118</v>
      </c>
      <c r="O13" s="168" t="s">
        <v>119</v>
      </c>
      <c r="P13" s="168"/>
      <c r="Q13" s="171"/>
      <c r="R13" s="2"/>
      <c r="S13" s="2"/>
      <c r="T13" s="2"/>
      <c r="U13" s="2"/>
      <c r="V13" s="2"/>
      <c r="W13" s="2"/>
      <c r="X13" s="2"/>
      <c r="Y13" s="2"/>
      <c r="Z13" s="7"/>
      <c r="AA13" s="2"/>
      <c r="AB13" s="2"/>
      <c r="AC13" s="2"/>
      <c r="AD13" s="2"/>
      <c r="AE13" s="2"/>
      <c r="AF13" s="2"/>
      <c r="AG13" s="7"/>
      <c r="AH13" s="7"/>
      <c r="AI13" s="2"/>
      <c r="AJ13" s="2"/>
      <c r="AK13" s="2"/>
      <c r="AL13" s="7"/>
      <c r="AM13" s="2"/>
      <c r="AN13" s="2"/>
      <c r="AO13" s="2"/>
      <c r="AP13" s="2"/>
      <c r="AQ13" s="2"/>
      <c r="AR13" s="2"/>
      <c r="AS13" s="7"/>
      <c r="AT13" s="2"/>
      <c r="AU13" s="7"/>
      <c r="AV13" s="2"/>
      <c r="AW13" s="10"/>
    </row>
    <row r="14" spans="1:49" ht="15" customHeight="1">
      <c r="A14" s="163" t="s">
        <v>120</v>
      </c>
      <c r="B14"/>
      <c r="C14" s="11">
        <v>45292</v>
      </c>
      <c r="D14" s="33" t="s">
        <v>121</v>
      </c>
      <c r="E14" s="163"/>
      <c r="F14" s="259" t="s">
        <v>71</v>
      </c>
      <c r="G14" s="2" t="s">
        <v>72</v>
      </c>
      <c r="H14" s="34" t="s">
        <v>122</v>
      </c>
      <c r="I14" s="2">
        <v>1</v>
      </c>
      <c r="J14" s="178">
        <v>600</v>
      </c>
      <c r="K14" s="246" t="s">
        <v>68</v>
      </c>
      <c r="L14" s="48" t="s">
        <v>68</v>
      </c>
      <c r="M14" s="48" t="s">
        <v>73</v>
      </c>
      <c r="N14" s="48" t="s">
        <v>123</v>
      </c>
      <c r="O14" s="87" t="s">
        <v>124</v>
      </c>
      <c r="P14" s="51"/>
      <c r="Q14" s="171"/>
      <c r="R14" s="101"/>
    </row>
    <row r="15" spans="1:49" customFormat="1">
      <c r="A15" s="163" t="s">
        <v>125</v>
      </c>
      <c r="C15" s="11">
        <v>45314</v>
      </c>
      <c r="D15" s="33" t="s">
        <v>126</v>
      </c>
      <c r="E15" s="163" t="s">
        <v>127</v>
      </c>
      <c r="F15" s="259" t="s">
        <v>71</v>
      </c>
      <c r="G15" s="2" t="s">
        <v>72</v>
      </c>
      <c r="H15" s="2" t="s">
        <v>68</v>
      </c>
      <c r="I15" s="2" t="str">
        <f>IF(SUM(R15:AV15)=0,"-",SUM(R15:AV15))</f>
        <v>-</v>
      </c>
      <c r="J15" s="178">
        <v>135</v>
      </c>
      <c r="K15" s="246" t="s">
        <v>128</v>
      </c>
      <c r="L15" s="48" t="s">
        <v>68</v>
      </c>
      <c r="M15" s="48" t="s">
        <v>73</v>
      </c>
      <c r="N15" s="48" t="s">
        <v>129</v>
      </c>
      <c r="O15" s="170" t="s">
        <v>130</v>
      </c>
      <c r="P15" s="51"/>
      <c r="Q15" s="171"/>
      <c r="R15" s="2"/>
      <c r="S15" s="2"/>
      <c r="T15" s="2"/>
      <c r="U15" s="2"/>
      <c r="V15" s="2"/>
      <c r="W15" s="2"/>
      <c r="X15" s="2"/>
      <c r="Y15" s="2"/>
      <c r="Z15" s="7"/>
      <c r="AA15" s="2"/>
      <c r="AB15" s="2"/>
      <c r="AC15" s="2"/>
      <c r="AD15" s="2"/>
      <c r="AE15" s="2"/>
      <c r="AF15" s="2"/>
      <c r="AG15" s="7"/>
      <c r="AH15" s="7"/>
      <c r="AI15" s="2"/>
      <c r="AJ15" s="2"/>
      <c r="AK15" s="2"/>
      <c r="AL15" s="7"/>
      <c r="AM15" s="2"/>
      <c r="AN15" s="2"/>
      <c r="AO15" s="2"/>
      <c r="AP15" s="2"/>
      <c r="AQ15" s="2"/>
      <c r="AR15" s="2"/>
      <c r="AS15" s="7"/>
      <c r="AT15" s="2"/>
      <c r="AU15" s="7"/>
      <c r="AV15" s="2"/>
      <c r="AW15" s="10"/>
    </row>
    <row r="16" spans="1:49" customFormat="1" ht="15" customHeight="1">
      <c r="A16" s="163" t="s">
        <v>125</v>
      </c>
      <c r="C16" s="11">
        <v>45314</v>
      </c>
      <c r="D16" s="33" t="s">
        <v>131</v>
      </c>
      <c r="E16" s="163" t="s">
        <v>127</v>
      </c>
      <c r="F16" s="259" t="s">
        <v>71</v>
      </c>
      <c r="G16" s="2" t="s">
        <v>72</v>
      </c>
      <c r="H16" s="2" t="s">
        <v>68</v>
      </c>
      <c r="I16" s="2" t="str">
        <f>IF(SUM(R16:AV16)=0,"-",SUM(R16:AV16))</f>
        <v>-</v>
      </c>
      <c r="J16" s="46">
        <v>135</v>
      </c>
      <c r="K16" s="246" t="s">
        <v>128</v>
      </c>
      <c r="L16" s="48" t="s">
        <v>68</v>
      </c>
      <c r="M16" s="48" t="s">
        <v>68</v>
      </c>
      <c r="N16" s="48" t="s">
        <v>68</v>
      </c>
      <c r="O16" s="48" t="s">
        <v>68</v>
      </c>
      <c r="P16" s="168" t="s">
        <v>68</v>
      </c>
      <c r="Q16" s="171"/>
      <c r="R16" s="2"/>
      <c r="S16" s="2"/>
      <c r="T16" s="2"/>
      <c r="U16" s="2"/>
      <c r="V16" s="2"/>
      <c r="W16" s="2"/>
      <c r="X16" s="2"/>
      <c r="Y16" s="2"/>
      <c r="Z16" s="7"/>
      <c r="AA16" s="2"/>
      <c r="AB16" s="2"/>
      <c r="AC16" s="2"/>
      <c r="AD16" s="2"/>
      <c r="AE16" s="2"/>
      <c r="AF16" s="2"/>
      <c r="AG16" s="7"/>
      <c r="AH16" s="7"/>
      <c r="AI16" s="2"/>
      <c r="AJ16" s="2"/>
      <c r="AK16" s="2"/>
      <c r="AL16" s="7"/>
      <c r="AM16" s="2"/>
      <c r="AN16" s="2"/>
      <c r="AO16" s="2"/>
      <c r="AP16" s="2"/>
      <c r="AQ16" s="2"/>
      <c r="AR16" s="2"/>
      <c r="AS16" s="7"/>
      <c r="AT16" s="2"/>
      <c r="AU16" s="7"/>
      <c r="AV16" s="2"/>
      <c r="AW16" s="10"/>
    </row>
    <row r="17" spans="1:94" customFormat="1">
      <c r="A17" s="163" t="s">
        <v>132</v>
      </c>
      <c r="C17" s="11">
        <v>45331</v>
      </c>
      <c r="D17" s="192" t="s">
        <v>133</v>
      </c>
      <c r="E17" s="163" t="s">
        <v>134</v>
      </c>
      <c r="F17" s="259" t="s">
        <v>71</v>
      </c>
      <c r="G17" s="2" t="s">
        <v>72</v>
      </c>
      <c r="H17" s="67" t="s">
        <v>135</v>
      </c>
      <c r="I17" s="2">
        <v>1</v>
      </c>
      <c r="J17" s="179">
        <f>150*5</f>
        <v>750</v>
      </c>
      <c r="K17" s="243"/>
      <c r="L17" s="87" t="s">
        <v>136</v>
      </c>
      <c r="M17" s="87" t="s">
        <v>137</v>
      </c>
      <c r="N17" s="87" t="s">
        <v>138</v>
      </c>
      <c r="O17" s="87" t="s">
        <v>139</v>
      </c>
      <c r="P17" s="184"/>
      <c r="Q17" s="171"/>
      <c r="R17" s="7"/>
      <c r="S17" s="2"/>
      <c r="T17" s="2"/>
      <c r="U17" s="2"/>
      <c r="V17" s="2"/>
      <c r="W17" s="2"/>
      <c r="X17" s="2"/>
      <c r="Y17" s="2"/>
      <c r="Z17" s="7"/>
      <c r="AA17" s="2"/>
      <c r="AB17" s="2"/>
      <c r="AC17" s="2"/>
      <c r="AD17" s="2"/>
      <c r="AE17" s="2"/>
      <c r="AF17" s="2"/>
      <c r="AG17" s="7"/>
      <c r="AH17" s="7"/>
      <c r="AI17" s="2"/>
      <c r="AJ17" s="2"/>
      <c r="AK17" s="2"/>
      <c r="AL17" s="7"/>
      <c r="AM17" s="2"/>
      <c r="AN17" s="2"/>
      <c r="AO17" s="2"/>
      <c r="AP17" s="2"/>
      <c r="AQ17" s="2"/>
      <c r="AR17" s="2"/>
      <c r="AS17" s="7"/>
      <c r="AT17" s="2"/>
      <c r="AU17" s="7"/>
      <c r="AV17" s="2"/>
      <c r="AW17" s="10"/>
    </row>
    <row r="18" spans="1:94" customFormat="1">
      <c r="A18" s="163" t="s">
        <v>140</v>
      </c>
      <c r="C18" s="11">
        <v>45331</v>
      </c>
      <c r="D18" s="6" t="s">
        <v>126</v>
      </c>
      <c r="E18" s="163" t="s">
        <v>141</v>
      </c>
      <c r="F18" s="259" t="s">
        <v>71</v>
      </c>
      <c r="G18" s="2" t="s">
        <v>72</v>
      </c>
      <c r="H18" s="2" t="s">
        <v>68</v>
      </c>
      <c r="I18" s="2" t="str">
        <f>IF(SUM(R18:AV18)=0,"-",SUM(R18:AV18))</f>
        <v>-</v>
      </c>
      <c r="J18" s="178">
        <v>180</v>
      </c>
      <c r="K18" s="246"/>
      <c r="L18" s="48" t="s">
        <v>68</v>
      </c>
      <c r="M18" s="48" t="s">
        <v>73</v>
      </c>
      <c r="N18" s="48" t="s">
        <v>142</v>
      </c>
      <c r="O18" s="48" t="s">
        <v>143</v>
      </c>
      <c r="P18" s="51"/>
      <c r="Q18" s="171"/>
      <c r="R18" s="7"/>
      <c r="S18" s="2"/>
      <c r="T18" s="2"/>
      <c r="U18" s="2"/>
      <c r="V18" s="2"/>
      <c r="W18" s="2"/>
      <c r="X18" s="2"/>
      <c r="Y18" s="2"/>
      <c r="Z18" s="7"/>
      <c r="AA18" s="2"/>
      <c r="AB18" s="2"/>
      <c r="AC18" s="2"/>
      <c r="AD18" s="2"/>
      <c r="AE18" s="2"/>
      <c r="AF18" s="2"/>
      <c r="AG18" s="7"/>
      <c r="AH18" s="7"/>
      <c r="AI18" s="2"/>
      <c r="AJ18" s="2"/>
      <c r="AK18" s="2"/>
      <c r="AL18" s="7"/>
      <c r="AM18" s="2"/>
      <c r="AN18" s="2"/>
      <c r="AO18" s="2"/>
      <c r="AP18" s="2"/>
      <c r="AQ18" s="2"/>
      <c r="AR18" s="2"/>
      <c r="AS18" s="7"/>
      <c r="AT18" s="2"/>
      <c r="AU18" s="7"/>
      <c r="AV18" s="2"/>
      <c r="AW18" s="10"/>
    </row>
    <row r="19" spans="1:94" customFormat="1" ht="15" customHeight="1">
      <c r="A19" s="163" t="s">
        <v>144</v>
      </c>
      <c r="C19" s="11">
        <v>45331</v>
      </c>
      <c r="D19" s="6" t="s">
        <v>145</v>
      </c>
      <c r="E19" s="163" t="s">
        <v>146</v>
      </c>
      <c r="F19" s="259" t="s">
        <v>71</v>
      </c>
      <c r="G19" s="2" t="s">
        <v>147</v>
      </c>
      <c r="H19" s="2" t="s">
        <v>68</v>
      </c>
      <c r="I19" s="2">
        <v>1</v>
      </c>
      <c r="J19" s="178">
        <v>550</v>
      </c>
      <c r="K19" s="246"/>
      <c r="L19" s="48" t="s">
        <v>68</v>
      </c>
      <c r="M19" s="48" t="s">
        <v>148</v>
      </c>
      <c r="N19" s="48" t="s">
        <v>149</v>
      </c>
      <c r="O19" s="48" t="s">
        <v>150</v>
      </c>
      <c r="P19" s="168"/>
      <c r="Q19" s="171"/>
      <c r="R19" s="7"/>
      <c r="S19" s="2"/>
      <c r="T19" s="2"/>
      <c r="U19" s="2"/>
      <c r="V19" s="2"/>
      <c r="W19" s="2"/>
      <c r="X19" s="2"/>
      <c r="Y19" s="2"/>
      <c r="Z19" s="7"/>
      <c r="AA19" s="2"/>
      <c r="AB19" s="2"/>
      <c r="AC19" s="2"/>
      <c r="AD19" s="2"/>
      <c r="AE19" s="2"/>
      <c r="AF19" s="2"/>
      <c r="AG19" s="7"/>
      <c r="AH19" s="7"/>
      <c r="AI19" s="2"/>
      <c r="AJ19" s="2"/>
      <c r="AK19" s="2"/>
      <c r="AL19" s="7"/>
      <c r="AM19" s="2"/>
      <c r="AN19" s="2"/>
      <c r="AO19" s="2"/>
      <c r="AP19" s="2"/>
      <c r="AQ19" s="2"/>
      <c r="AR19" s="2"/>
      <c r="AS19" s="7"/>
      <c r="AT19" s="2"/>
      <c r="AU19" s="7"/>
      <c r="AV19" s="2"/>
      <c r="AW19" s="10"/>
    </row>
    <row r="20" spans="1:94" customFormat="1">
      <c r="A20" s="163" t="s">
        <v>151</v>
      </c>
      <c r="C20" s="11">
        <v>45343</v>
      </c>
      <c r="D20" s="33" t="s">
        <v>152</v>
      </c>
      <c r="E20" s="163" t="s">
        <v>153</v>
      </c>
      <c r="F20" s="259" t="s">
        <v>71</v>
      </c>
      <c r="G20" s="2" t="s">
        <v>72</v>
      </c>
      <c r="H20" s="2" t="s">
        <v>68</v>
      </c>
      <c r="I20" s="2"/>
      <c r="J20" s="178">
        <v>490</v>
      </c>
      <c r="K20" s="246" t="s">
        <v>68</v>
      </c>
      <c r="L20" s="48" t="s">
        <v>68</v>
      </c>
      <c r="M20" s="48" t="s">
        <v>154</v>
      </c>
      <c r="N20" s="48" t="s">
        <v>155</v>
      </c>
      <c r="O20" s="48" t="s">
        <v>156</v>
      </c>
      <c r="P20" s="187"/>
      <c r="Q20" s="171"/>
      <c r="R20" s="2"/>
      <c r="S20" s="2"/>
      <c r="T20" s="2"/>
      <c r="U20" s="2"/>
      <c r="V20" s="2"/>
      <c r="W20" s="2"/>
      <c r="X20" s="2"/>
      <c r="Y20" s="2"/>
      <c r="Z20" s="7"/>
      <c r="AA20" s="2"/>
      <c r="AB20" s="2"/>
      <c r="AC20" s="2"/>
      <c r="AD20" s="2"/>
      <c r="AE20" s="2"/>
      <c r="AF20" s="2"/>
      <c r="AG20" s="7"/>
      <c r="AH20" s="7"/>
      <c r="AI20" s="2"/>
      <c r="AJ20" s="2"/>
      <c r="AK20" s="2"/>
      <c r="AL20" s="7"/>
      <c r="AM20" s="2"/>
      <c r="AN20" s="2"/>
      <c r="AO20" s="2"/>
      <c r="AP20" s="2"/>
      <c r="AQ20" s="2"/>
      <c r="AR20" s="2"/>
      <c r="AS20" s="7"/>
      <c r="AT20" s="2"/>
      <c r="AU20" s="7"/>
      <c r="AV20" s="2"/>
      <c r="AW20" s="10"/>
    </row>
    <row r="21" spans="1:94" customFormat="1" ht="15" customHeight="1">
      <c r="A21" s="163" t="s">
        <v>103</v>
      </c>
      <c r="C21" s="11">
        <v>45400</v>
      </c>
      <c r="D21" s="54" t="s">
        <v>157</v>
      </c>
      <c r="E21" s="163" t="s">
        <v>105</v>
      </c>
      <c r="F21" s="259" t="s">
        <v>71</v>
      </c>
      <c r="G21" s="2" t="s">
        <v>72</v>
      </c>
      <c r="H21" s="2" t="s">
        <v>68</v>
      </c>
      <c r="I21" s="2">
        <v>1</v>
      </c>
      <c r="J21" s="179">
        <v>40</v>
      </c>
      <c r="K21" s="243"/>
      <c r="L21" s="87"/>
      <c r="M21" s="87" t="s">
        <v>73</v>
      </c>
      <c r="N21" s="87" t="s">
        <v>158</v>
      </c>
      <c r="O21" s="184" t="s">
        <v>108</v>
      </c>
      <c r="P21" s="188"/>
      <c r="Q21" s="171"/>
      <c r="R21" s="2"/>
      <c r="S21" s="2"/>
      <c r="T21" s="2"/>
      <c r="U21" s="2"/>
      <c r="V21" s="2"/>
      <c r="W21" s="2"/>
      <c r="X21" s="2"/>
      <c r="Y21" s="2"/>
      <c r="Z21" s="7"/>
      <c r="AA21" s="2"/>
      <c r="AB21" s="2"/>
      <c r="AC21" s="2"/>
      <c r="AD21" s="2"/>
      <c r="AE21" s="2"/>
      <c r="AF21" s="2"/>
      <c r="AG21" s="7"/>
      <c r="AH21" s="7"/>
      <c r="AI21" s="2"/>
      <c r="AJ21" s="2"/>
      <c r="AK21" s="2"/>
      <c r="AL21" s="7"/>
      <c r="AM21" s="2"/>
      <c r="AN21" s="2"/>
      <c r="AO21" s="2"/>
      <c r="AP21" s="2"/>
      <c r="AQ21" s="2"/>
      <c r="AR21" s="2"/>
      <c r="AS21" s="7"/>
      <c r="AT21" s="2"/>
      <c r="AU21" s="7"/>
      <c r="AV21" s="2"/>
      <c r="AW21" s="10"/>
    </row>
    <row r="22" spans="1:94" s="50" customFormat="1">
      <c r="A22" s="163" t="s">
        <v>103</v>
      </c>
      <c r="B22"/>
      <c r="C22" s="11">
        <v>45400</v>
      </c>
      <c r="D22" s="54" t="s">
        <v>159</v>
      </c>
      <c r="E22" s="163" t="s">
        <v>105</v>
      </c>
      <c r="F22" s="259" t="s">
        <v>71</v>
      </c>
      <c r="G22" s="2" t="s">
        <v>72</v>
      </c>
      <c r="H22" s="2" t="s">
        <v>68</v>
      </c>
      <c r="I22" s="2">
        <v>1</v>
      </c>
      <c r="J22" s="179">
        <v>40</v>
      </c>
      <c r="K22" s="243"/>
      <c r="L22" s="87"/>
      <c r="M22" s="87" t="s">
        <v>73</v>
      </c>
      <c r="N22" s="87" t="s">
        <v>160</v>
      </c>
      <c r="O22" s="184" t="s">
        <v>108</v>
      </c>
      <c r="P22" s="188"/>
      <c r="Q22" s="171"/>
      <c r="R22" s="72"/>
      <c r="S22" s="72"/>
      <c r="T22" s="72"/>
      <c r="U22" s="72"/>
      <c r="V22" s="72"/>
      <c r="W22" s="72"/>
      <c r="X22" s="72"/>
      <c r="Y22" s="72"/>
      <c r="Z22" s="83"/>
      <c r="AA22" s="72"/>
      <c r="AB22" s="72"/>
      <c r="AC22" s="72"/>
      <c r="AD22" s="72"/>
      <c r="AE22" s="72"/>
      <c r="AF22" s="72"/>
      <c r="AG22" s="83">
        <v>14</v>
      </c>
      <c r="AH22" s="83"/>
      <c r="AI22" s="72"/>
      <c r="AJ22" s="72"/>
      <c r="AK22" s="72"/>
      <c r="AL22" s="83"/>
      <c r="AM22" s="72"/>
      <c r="AN22" s="72"/>
      <c r="AO22" s="72"/>
      <c r="AP22" s="72"/>
      <c r="AQ22" s="72"/>
      <c r="AR22" s="72"/>
      <c r="AS22" s="83"/>
      <c r="AT22" s="72"/>
      <c r="AU22" s="83"/>
      <c r="AV22" s="72"/>
      <c r="AW22" s="84"/>
    </row>
    <row r="23" spans="1:94" customFormat="1" ht="15" customHeight="1">
      <c r="A23" s="175" t="s">
        <v>140</v>
      </c>
      <c r="C23" s="80">
        <v>45405</v>
      </c>
      <c r="D23" s="81" t="s">
        <v>161</v>
      </c>
      <c r="E23" s="175" t="s">
        <v>141</v>
      </c>
      <c r="F23" s="206" t="s">
        <v>71</v>
      </c>
      <c r="G23" s="72" t="s">
        <v>72</v>
      </c>
      <c r="H23" s="82" t="s">
        <v>162</v>
      </c>
      <c r="I23" s="72" t="str">
        <f>IF(SUM(R23:AV23)=0,"-",SUM(R23:AV23))</f>
        <v>-</v>
      </c>
      <c r="J23" s="179" t="str">
        <f>IF(SUMPRODUCT($R$2:$AV$2,R23:AV23)=0,"-",SUMPRODUCT($R$2:$AV$2,R23:AV23))</f>
        <v>-</v>
      </c>
      <c r="K23" s="243"/>
      <c r="L23" s="87"/>
      <c r="M23" s="87" t="s">
        <v>73</v>
      </c>
      <c r="N23" s="87" t="s">
        <v>163</v>
      </c>
      <c r="O23" s="48" t="s">
        <v>164</v>
      </c>
      <c r="P23" s="171"/>
      <c r="Q23" s="171"/>
      <c r="R23" s="2"/>
      <c r="S23" s="2"/>
      <c r="T23" s="2"/>
      <c r="U23" s="2"/>
      <c r="V23" s="2"/>
      <c r="W23" s="2"/>
      <c r="X23" s="2"/>
      <c r="Y23" s="2"/>
      <c r="Z23" s="7"/>
      <c r="AA23" s="2"/>
      <c r="AB23" s="2"/>
      <c r="AC23" s="2"/>
      <c r="AD23" s="2"/>
      <c r="AE23" s="2"/>
      <c r="AF23" s="2"/>
      <c r="AG23" s="7"/>
      <c r="AH23" s="7"/>
      <c r="AI23" s="2"/>
      <c r="AJ23" s="2"/>
      <c r="AK23" s="2"/>
      <c r="AL23" s="7"/>
      <c r="AM23" s="2"/>
      <c r="AN23" s="2"/>
      <c r="AO23" s="2"/>
      <c r="AP23" s="2"/>
      <c r="AQ23" s="2"/>
      <c r="AR23" s="2"/>
      <c r="AS23" s="7"/>
      <c r="AT23" s="2"/>
      <c r="AU23" s="7"/>
      <c r="AV23" s="2"/>
      <c r="AW23" s="10"/>
    </row>
    <row r="24" spans="1:94" customFormat="1" ht="15" customHeight="1">
      <c r="A24" s="163" t="s">
        <v>103</v>
      </c>
      <c r="C24" s="11">
        <v>45405</v>
      </c>
      <c r="D24" s="47" t="s">
        <v>165</v>
      </c>
      <c r="E24" s="163" t="s">
        <v>105</v>
      </c>
      <c r="F24" s="259" t="s">
        <v>71</v>
      </c>
      <c r="G24" s="2" t="s">
        <v>72</v>
      </c>
      <c r="H24" s="2" t="s">
        <v>68</v>
      </c>
      <c r="I24" s="2">
        <v>1</v>
      </c>
      <c r="J24" s="178">
        <v>40</v>
      </c>
      <c r="K24" s="246"/>
      <c r="L24" s="48"/>
      <c r="M24" s="48" t="s">
        <v>73</v>
      </c>
      <c r="N24" s="48" t="s">
        <v>166</v>
      </c>
      <c r="O24" s="170" t="s">
        <v>81</v>
      </c>
      <c r="P24" s="51"/>
      <c r="Q24" s="171"/>
      <c r="R24" s="2"/>
      <c r="S24" s="2"/>
      <c r="T24" s="2"/>
      <c r="U24" s="2"/>
      <c r="V24" s="2"/>
      <c r="W24" s="2"/>
      <c r="X24" s="2"/>
      <c r="Y24" s="2"/>
      <c r="Z24" s="7"/>
      <c r="AA24" s="2"/>
      <c r="AB24" s="2"/>
      <c r="AC24" s="2"/>
      <c r="AD24" s="2"/>
      <c r="AE24" s="2"/>
      <c r="AF24" s="2"/>
      <c r="AG24" s="7"/>
      <c r="AH24" s="7"/>
      <c r="AI24" s="2"/>
      <c r="AJ24" s="2"/>
      <c r="AK24" s="2"/>
      <c r="AL24" s="7"/>
      <c r="AM24" s="2"/>
      <c r="AN24" s="2"/>
      <c r="AO24" s="2"/>
      <c r="AP24" s="2"/>
      <c r="AQ24" s="2"/>
      <c r="AR24" s="2"/>
      <c r="AS24" s="7"/>
      <c r="AT24" s="2"/>
      <c r="AU24" s="7"/>
      <c r="AW24" s="10"/>
      <c r="AX24" s="39"/>
      <c r="AY24" s="6"/>
      <c r="BA24" s="22"/>
      <c r="BB24" s="2"/>
      <c r="BC24" s="34"/>
      <c r="BD24" s="2"/>
      <c r="BE24" s="46"/>
      <c r="BF24" s="38"/>
      <c r="BG24" s="40"/>
      <c r="BH24" s="40"/>
      <c r="BI24" s="40"/>
      <c r="BJ24" s="40"/>
      <c r="BK24" s="44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</row>
    <row r="25" spans="1:94" customFormat="1" ht="15" customHeight="1">
      <c r="A25" s="163" t="s">
        <v>82</v>
      </c>
      <c r="B25" s="39"/>
      <c r="C25" s="11">
        <v>45405</v>
      </c>
      <c r="D25" s="33" t="s">
        <v>167</v>
      </c>
      <c r="E25" s="175" t="s">
        <v>84</v>
      </c>
      <c r="F25" s="259" t="s">
        <v>71</v>
      </c>
      <c r="G25" s="2" t="s">
        <v>72</v>
      </c>
      <c r="H25" s="2" t="s">
        <v>68</v>
      </c>
      <c r="I25" s="2">
        <v>1</v>
      </c>
      <c r="J25" s="178">
        <v>500</v>
      </c>
      <c r="K25" s="246"/>
      <c r="L25" s="48"/>
      <c r="M25" s="48" t="s">
        <v>73</v>
      </c>
      <c r="N25" s="48" t="s">
        <v>168</v>
      </c>
      <c r="O25" s="168" t="s">
        <v>169</v>
      </c>
      <c r="P25" s="187"/>
      <c r="Q25" s="171"/>
      <c r="R25" s="7"/>
      <c r="S25" s="2"/>
      <c r="T25" s="2"/>
      <c r="U25" s="2"/>
      <c r="V25" s="2"/>
      <c r="W25" s="2"/>
      <c r="X25" s="2"/>
      <c r="Y25" s="2"/>
      <c r="Z25" s="7"/>
      <c r="AA25" s="2"/>
      <c r="AB25" s="2"/>
      <c r="AC25" s="2"/>
      <c r="AD25" s="2"/>
      <c r="AE25" s="2"/>
      <c r="AF25" s="2"/>
      <c r="AG25" s="7"/>
      <c r="AH25" s="7"/>
      <c r="AI25" s="2"/>
      <c r="AJ25" s="2"/>
      <c r="AK25" s="2"/>
      <c r="AL25" s="7"/>
      <c r="AM25" s="2"/>
      <c r="AN25" s="2"/>
      <c r="AO25" s="2"/>
      <c r="AP25" s="2"/>
      <c r="AQ25" s="2"/>
      <c r="AR25" s="2"/>
      <c r="AS25" s="7"/>
      <c r="AT25" s="2"/>
      <c r="AU25" s="7"/>
      <c r="AV25" s="2"/>
      <c r="AW25" s="10"/>
    </row>
    <row r="26" spans="1:94" customFormat="1" ht="15" customHeight="1">
      <c r="A26" s="163" t="s">
        <v>170</v>
      </c>
      <c r="C26" s="11">
        <v>45405</v>
      </c>
      <c r="D26" s="33" t="s">
        <v>171</v>
      </c>
      <c r="E26" s="163" t="s">
        <v>172</v>
      </c>
      <c r="F26" s="206" t="s">
        <v>71</v>
      </c>
      <c r="G26" s="2" t="s">
        <v>72</v>
      </c>
      <c r="H26" s="2" t="s">
        <v>68</v>
      </c>
      <c r="I26" s="2">
        <v>3</v>
      </c>
      <c r="J26" s="178">
        <v>1500</v>
      </c>
      <c r="K26" s="246" t="s">
        <v>68</v>
      </c>
      <c r="L26" s="48" t="s">
        <v>68</v>
      </c>
      <c r="M26" s="48" t="s">
        <v>173</v>
      </c>
      <c r="N26" s="48" t="s">
        <v>174</v>
      </c>
      <c r="O26" s="48" t="s">
        <v>175</v>
      </c>
      <c r="P26" s="168"/>
      <c r="Q26" s="171"/>
      <c r="R26" s="7"/>
      <c r="S26" s="2"/>
      <c r="T26" s="2"/>
      <c r="U26" s="2"/>
      <c r="V26" s="2"/>
      <c r="W26" s="2"/>
      <c r="X26" s="2"/>
      <c r="Y26" s="2"/>
      <c r="Z26" s="7"/>
      <c r="AA26" s="2"/>
      <c r="AB26" s="2"/>
      <c r="AC26" s="2"/>
      <c r="AD26" s="2"/>
      <c r="AE26" s="2"/>
      <c r="AF26" s="2"/>
      <c r="AG26" s="7"/>
      <c r="AH26" s="7"/>
      <c r="AI26" s="2"/>
      <c r="AJ26" s="2"/>
      <c r="AK26" s="2"/>
      <c r="AL26" s="7"/>
      <c r="AM26" s="2"/>
      <c r="AN26" s="2"/>
      <c r="AO26" s="2"/>
      <c r="AP26" s="2"/>
      <c r="AQ26" s="2"/>
      <c r="AR26" s="2"/>
      <c r="AS26" s="7"/>
      <c r="AT26" s="2"/>
      <c r="AU26" s="7"/>
      <c r="AV26" s="2"/>
      <c r="AW26" s="10"/>
    </row>
    <row r="27" spans="1:94" customFormat="1" ht="15" customHeight="1">
      <c r="A27" s="163" t="s">
        <v>170</v>
      </c>
      <c r="C27" s="11">
        <v>45405</v>
      </c>
      <c r="D27" s="33" t="s">
        <v>176</v>
      </c>
      <c r="E27" s="163" t="s">
        <v>172</v>
      </c>
      <c r="F27" s="260" t="s">
        <v>177</v>
      </c>
      <c r="G27" s="2" t="s">
        <v>72</v>
      </c>
      <c r="H27" s="2" t="s">
        <v>68</v>
      </c>
      <c r="I27" s="2">
        <v>1</v>
      </c>
      <c r="J27" s="53">
        <v>3000</v>
      </c>
      <c r="K27" s="174"/>
      <c r="L27" s="101"/>
      <c r="M27" s="101"/>
      <c r="N27" s="101"/>
      <c r="O27" s="101"/>
      <c r="P27" s="125"/>
      <c r="Q27" s="125"/>
      <c r="R27" s="7"/>
      <c r="S27" s="2"/>
      <c r="T27" s="2"/>
      <c r="U27" s="2"/>
      <c r="V27" s="2"/>
      <c r="W27" s="2"/>
      <c r="X27" s="2"/>
      <c r="Y27" s="2"/>
      <c r="Z27" s="7"/>
      <c r="AA27" s="2"/>
      <c r="AB27" s="2"/>
      <c r="AC27" s="2"/>
      <c r="AD27" s="2"/>
      <c r="AE27" s="2"/>
      <c r="AF27" s="2"/>
      <c r="AG27" s="7"/>
      <c r="AH27" s="7"/>
      <c r="AI27" s="2"/>
      <c r="AJ27" s="2"/>
      <c r="AK27" s="2"/>
      <c r="AL27" s="7"/>
      <c r="AM27" s="2"/>
      <c r="AN27" s="2"/>
      <c r="AO27" s="2"/>
      <c r="AP27" s="2"/>
      <c r="AQ27" s="2"/>
      <c r="AR27" s="2"/>
      <c r="AS27" s="7"/>
      <c r="AT27" s="2"/>
      <c r="AU27" s="7"/>
      <c r="AV27" s="2"/>
      <c r="AW27" s="10"/>
    </row>
    <row r="28" spans="1:94" customFormat="1" ht="15" customHeight="1">
      <c r="A28" s="163" t="s">
        <v>178</v>
      </c>
      <c r="C28" s="11">
        <v>45413</v>
      </c>
      <c r="D28" s="33" t="s">
        <v>179</v>
      </c>
      <c r="E28" s="163" t="s">
        <v>180</v>
      </c>
      <c r="F28" s="206" t="s">
        <v>71</v>
      </c>
      <c r="G28" s="2" t="s">
        <v>72</v>
      </c>
      <c r="H28" s="2" t="s">
        <v>68</v>
      </c>
      <c r="I28" s="2"/>
      <c r="J28" s="178">
        <v>500</v>
      </c>
      <c r="K28" s="246" t="s">
        <v>68</v>
      </c>
      <c r="L28" s="48" t="s">
        <v>68</v>
      </c>
      <c r="M28" s="48" t="s">
        <v>68</v>
      </c>
      <c r="N28" s="48" t="s">
        <v>68</v>
      </c>
      <c r="O28" s="168" t="s">
        <v>68</v>
      </c>
      <c r="P28" s="168" t="s">
        <v>68</v>
      </c>
      <c r="Q28" s="168" t="s">
        <v>68</v>
      </c>
      <c r="R28" s="7"/>
      <c r="S28" s="2"/>
      <c r="T28" s="2"/>
      <c r="U28" s="2"/>
      <c r="V28" s="2"/>
      <c r="W28" s="2"/>
      <c r="X28" s="2"/>
      <c r="Y28" s="2"/>
      <c r="Z28" s="7"/>
      <c r="AA28" s="2"/>
      <c r="AB28" s="2"/>
      <c r="AC28" s="2"/>
      <c r="AD28" s="2">
        <v>9</v>
      </c>
      <c r="AE28" s="2"/>
      <c r="AF28" s="2"/>
      <c r="AG28" s="7"/>
      <c r="AH28" s="7"/>
      <c r="AI28" s="2"/>
      <c r="AJ28" s="2"/>
      <c r="AK28" s="2"/>
      <c r="AL28" s="7"/>
      <c r="AM28" s="2"/>
      <c r="AN28" s="2"/>
      <c r="AO28" s="2"/>
      <c r="AP28" s="2"/>
      <c r="AQ28" s="2"/>
      <c r="AR28" s="2"/>
      <c r="AS28" s="7"/>
      <c r="AT28" s="2"/>
      <c r="AU28" s="7"/>
      <c r="AV28" s="2"/>
      <c r="AW28" s="10"/>
    </row>
    <row r="29" spans="1:94" customFormat="1" ht="14.25" customHeight="1">
      <c r="A29" s="163" t="s">
        <v>140</v>
      </c>
      <c r="B29" s="39">
        <v>45405</v>
      </c>
      <c r="C29" s="11">
        <v>45415</v>
      </c>
      <c r="D29" s="33" t="s">
        <v>181</v>
      </c>
      <c r="E29" s="163"/>
      <c r="F29" s="206" t="s">
        <v>71</v>
      </c>
      <c r="G29" s="2" t="s">
        <v>72</v>
      </c>
      <c r="H29" s="34" t="s">
        <v>182</v>
      </c>
      <c r="I29" s="2">
        <v>9</v>
      </c>
      <c r="J29" s="178">
        <f>220*9</f>
        <v>1980</v>
      </c>
      <c r="K29" s="246" t="s">
        <v>68</v>
      </c>
      <c r="L29" s="48" t="s">
        <v>183</v>
      </c>
      <c r="M29" s="48" t="s">
        <v>73</v>
      </c>
      <c r="N29" s="48" t="s">
        <v>184</v>
      </c>
      <c r="O29" s="48" t="s">
        <v>185</v>
      </c>
      <c r="P29" s="189"/>
      <c r="Q29" s="171"/>
      <c r="R29" s="2"/>
      <c r="S29" s="2"/>
      <c r="T29" s="2"/>
      <c r="U29" s="2"/>
      <c r="V29" s="2"/>
      <c r="W29" s="2"/>
      <c r="X29" s="2"/>
      <c r="Y29" s="2"/>
      <c r="Z29" s="7"/>
      <c r="AA29" s="2"/>
      <c r="AB29" s="2"/>
      <c r="AC29" s="2"/>
      <c r="AD29" s="2"/>
      <c r="AE29" s="2"/>
      <c r="AF29" s="2"/>
      <c r="AG29" s="7"/>
      <c r="AH29" s="7"/>
      <c r="AI29" s="2"/>
      <c r="AJ29" s="2"/>
      <c r="AK29" s="2"/>
      <c r="AL29" s="7"/>
      <c r="AM29" s="2"/>
      <c r="AN29" s="2"/>
      <c r="AO29" s="2"/>
      <c r="AP29" s="2"/>
      <c r="AQ29" s="2"/>
      <c r="AR29" s="2"/>
      <c r="AS29" s="7"/>
      <c r="AT29" s="2"/>
      <c r="AU29" s="7"/>
      <c r="AV29" s="2"/>
      <c r="AW29" s="10"/>
    </row>
    <row r="30" spans="1:94" customFormat="1" ht="15" customHeight="1">
      <c r="A30" s="163" t="s">
        <v>151</v>
      </c>
      <c r="C30" s="11">
        <v>45415</v>
      </c>
      <c r="D30" s="33" t="s">
        <v>186</v>
      </c>
      <c r="E30" s="163" t="s">
        <v>187</v>
      </c>
      <c r="F30" s="259" t="s">
        <v>71</v>
      </c>
      <c r="G30" s="2" t="s">
        <v>72</v>
      </c>
      <c r="H30" s="2" t="s">
        <v>68</v>
      </c>
      <c r="I30" s="2"/>
      <c r="J30" s="178">
        <v>891</v>
      </c>
      <c r="K30" s="246" t="s">
        <v>68</v>
      </c>
      <c r="L30" s="48" t="s">
        <v>68</v>
      </c>
      <c r="M30" s="48" t="s">
        <v>154</v>
      </c>
      <c r="N30" s="48" t="s">
        <v>188</v>
      </c>
      <c r="O30" s="48" t="s">
        <v>156</v>
      </c>
      <c r="P30" s="187"/>
      <c r="Q30" s="171"/>
      <c r="R30" s="2"/>
      <c r="S30" s="2"/>
      <c r="T30" s="2"/>
      <c r="U30" s="2"/>
      <c r="V30" s="2"/>
      <c r="W30" s="2"/>
      <c r="X30" s="2"/>
      <c r="Y30" s="2"/>
      <c r="Z30" s="7"/>
      <c r="AA30" s="2"/>
      <c r="AB30" s="2"/>
      <c r="AC30" s="2"/>
      <c r="AD30" s="2"/>
      <c r="AE30" s="2"/>
      <c r="AF30" s="2"/>
      <c r="AG30" s="7"/>
      <c r="AH30" s="7"/>
      <c r="AI30" s="2"/>
      <c r="AJ30" s="2"/>
      <c r="AK30" s="2"/>
      <c r="AL30" s="7"/>
      <c r="AM30" s="2"/>
      <c r="AN30" s="2"/>
      <c r="AO30" s="2"/>
      <c r="AP30" s="2"/>
      <c r="AQ30" s="2"/>
      <c r="AR30" s="2"/>
      <c r="AS30" s="7"/>
      <c r="AT30" s="2"/>
      <c r="AU30" s="7"/>
      <c r="AV30" s="2"/>
      <c r="AW30" s="10"/>
    </row>
    <row r="31" spans="1:94" customFormat="1" ht="15" customHeight="1">
      <c r="A31" s="163" t="s">
        <v>144</v>
      </c>
      <c r="C31" s="11">
        <v>45444</v>
      </c>
      <c r="D31" s="47" t="s">
        <v>189</v>
      </c>
      <c r="E31" s="163" t="s">
        <v>146</v>
      </c>
      <c r="F31" s="259" t="s">
        <v>71</v>
      </c>
      <c r="G31" s="2" t="s">
        <v>147</v>
      </c>
      <c r="H31" s="2" t="s">
        <v>68</v>
      </c>
      <c r="I31" s="2">
        <v>15</v>
      </c>
      <c r="J31" s="178">
        <v>1080</v>
      </c>
      <c r="K31" s="246"/>
      <c r="L31" s="48" t="s">
        <v>68</v>
      </c>
      <c r="M31" s="48" t="s">
        <v>148</v>
      </c>
      <c r="N31" s="48" t="s">
        <v>190</v>
      </c>
      <c r="O31" s="48" t="s">
        <v>191</v>
      </c>
      <c r="P31" s="168"/>
      <c r="Q31" s="194"/>
      <c r="R31" s="2"/>
      <c r="S31" s="2"/>
      <c r="T31" s="2"/>
      <c r="U31" s="2"/>
      <c r="V31" s="2"/>
      <c r="W31" s="2"/>
      <c r="X31" s="2"/>
      <c r="Y31" s="2"/>
      <c r="Z31" s="7"/>
      <c r="AA31" s="2"/>
      <c r="AB31" s="2"/>
      <c r="AC31" s="2"/>
      <c r="AD31" s="2"/>
      <c r="AE31" s="2"/>
      <c r="AF31" s="2"/>
      <c r="AG31" s="7"/>
      <c r="AH31" s="7"/>
      <c r="AI31" s="2"/>
      <c r="AJ31" s="2"/>
      <c r="AK31" s="2"/>
      <c r="AL31" s="7"/>
      <c r="AM31" s="2"/>
      <c r="AN31" s="2"/>
      <c r="AO31" s="2"/>
      <c r="AP31" s="2"/>
      <c r="AQ31" s="2"/>
      <c r="AR31" s="2"/>
      <c r="AS31" s="7"/>
      <c r="AT31" s="2"/>
      <c r="AU31" s="7"/>
      <c r="AV31" s="2"/>
      <c r="AW31" s="10"/>
    </row>
    <row r="32" spans="1:94" customFormat="1" ht="15" customHeight="1">
      <c r="A32" s="163" t="s">
        <v>192</v>
      </c>
      <c r="B32" s="85"/>
      <c r="C32" s="11">
        <v>45453</v>
      </c>
      <c r="D32" s="33" t="s">
        <v>193</v>
      </c>
      <c r="E32" s="163" t="s">
        <v>194</v>
      </c>
      <c r="F32" s="261" t="s">
        <v>71</v>
      </c>
      <c r="G32" s="2" t="s">
        <v>72</v>
      </c>
      <c r="H32" s="2" t="s">
        <v>68</v>
      </c>
      <c r="I32" s="2">
        <v>1</v>
      </c>
      <c r="J32" s="178">
        <v>950</v>
      </c>
      <c r="K32" s="246" t="s">
        <v>68</v>
      </c>
      <c r="L32" s="48" t="s">
        <v>68</v>
      </c>
      <c r="M32" s="48" t="s">
        <v>73</v>
      </c>
      <c r="N32" s="48" t="s">
        <v>195</v>
      </c>
      <c r="O32" s="48" t="s">
        <v>196</v>
      </c>
      <c r="P32" s="168"/>
      <c r="Q32" s="193"/>
      <c r="R32" s="7"/>
      <c r="S32" s="2"/>
      <c r="T32" s="2"/>
      <c r="U32" s="2"/>
      <c r="V32" s="2"/>
      <c r="W32" s="2"/>
      <c r="X32" s="2"/>
      <c r="Y32" s="2"/>
      <c r="Z32" s="7"/>
      <c r="AA32" s="2"/>
      <c r="AB32" s="2"/>
      <c r="AC32" s="2"/>
      <c r="AD32" s="2"/>
      <c r="AE32" s="2"/>
      <c r="AF32" s="2"/>
      <c r="AG32" s="7"/>
      <c r="AH32" s="7"/>
      <c r="AI32" s="2"/>
      <c r="AJ32" s="2"/>
      <c r="AK32" s="2"/>
      <c r="AL32" s="7"/>
      <c r="AM32" s="2"/>
      <c r="AN32" s="2"/>
      <c r="AO32" s="2"/>
      <c r="AP32" s="2"/>
      <c r="AQ32" s="2"/>
      <c r="AR32" s="2"/>
      <c r="AS32" s="7"/>
      <c r="AT32" s="2"/>
      <c r="AU32" s="7"/>
      <c r="AV32" s="2"/>
      <c r="AW32" s="10"/>
    </row>
    <row r="33" spans="1:49">
      <c r="A33" s="163" t="s">
        <v>178</v>
      </c>
      <c r="B33"/>
      <c r="C33" s="11">
        <v>45454</v>
      </c>
      <c r="D33" s="6" t="s">
        <v>197</v>
      </c>
      <c r="E33" s="163" t="s">
        <v>198</v>
      </c>
      <c r="F33" s="261" t="s">
        <v>71</v>
      </c>
      <c r="G33" s="2" t="s">
        <v>72</v>
      </c>
      <c r="H33" s="2" t="s">
        <v>68</v>
      </c>
      <c r="I33" s="2"/>
      <c r="J33" s="178">
        <v>30500</v>
      </c>
      <c r="K33" s="246"/>
      <c r="L33" s="48" t="s">
        <v>199</v>
      </c>
      <c r="M33" s="48" t="s">
        <v>73</v>
      </c>
      <c r="N33" s="48" t="s">
        <v>200</v>
      </c>
      <c r="O33" s="48" t="s">
        <v>201</v>
      </c>
      <c r="P33" s="168"/>
      <c r="Q33" s="171"/>
      <c r="R33" s="101"/>
    </row>
    <row r="34" spans="1:49" customFormat="1" ht="15" customHeight="1">
      <c r="A34" s="174" t="s">
        <v>115</v>
      </c>
      <c r="B34" s="101"/>
      <c r="C34" s="138">
        <v>45458</v>
      </c>
      <c r="D34" s="240" t="s">
        <v>202</v>
      </c>
      <c r="E34" s="174" t="s">
        <v>203</v>
      </c>
      <c r="F34" s="259" t="s">
        <v>71</v>
      </c>
      <c r="G34" s="101" t="s">
        <v>72</v>
      </c>
      <c r="H34" s="101" t="s">
        <v>68</v>
      </c>
      <c r="I34" s="101"/>
      <c r="J34" s="178">
        <v>900</v>
      </c>
      <c r="K34" s="246" t="s">
        <v>204</v>
      </c>
      <c r="L34" s="48"/>
      <c r="M34" s="48" t="s">
        <v>73</v>
      </c>
      <c r="N34" s="48" t="s">
        <v>205</v>
      </c>
      <c r="O34" s="170" t="s">
        <v>206</v>
      </c>
      <c r="P34" s="168"/>
      <c r="Q34" s="171"/>
      <c r="R34" s="7"/>
      <c r="S34" s="2"/>
      <c r="T34" s="2"/>
      <c r="U34" s="2"/>
      <c r="V34" s="2"/>
      <c r="W34" s="2"/>
      <c r="X34" s="2"/>
      <c r="Y34" s="2"/>
      <c r="Z34" s="7"/>
      <c r="AA34" s="2"/>
      <c r="AB34" s="2"/>
      <c r="AC34" s="2"/>
      <c r="AD34" s="2"/>
      <c r="AE34" s="2"/>
      <c r="AF34" s="2"/>
      <c r="AG34" s="7"/>
      <c r="AH34" s="7"/>
      <c r="AI34" s="2"/>
      <c r="AJ34" s="2"/>
      <c r="AK34" s="2"/>
      <c r="AL34" s="7"/>
      <c r="AM34" s="2"/>
      <c r="AN34" s="2"/>
      <c r="AO34" s="2"/>
      <c r="AP34" s="2"/>
      <c r="AQ34" s="2"/>
      <c r="AR34" s="2"/>
      <c r="AS34" s="7"/>
      <c r="AT34" s="2"/>
      <c r="AU34" s="7"/>
      <c r="AV34" s="2"/>
      <c r="AW34" s="10"/>
    </row>
    <row r="35" spans="1:49" customFormat="1" ht="15" customHeight="1" outlineLevel="1">
      <c r="A35" s="174" t="s">
        <v>115</v>
      </c>
      <c r="B35" s="101"/>
      <c r="C35" s="138">
        <v>45463</v>
      </c>
      <c r="D35" s="240" t="s">
        <v>207</v>
      </c>
      <c r="E35" s="174" t="s">
        <v>203</v>
      </c>
      <c r="F35" s="259" t="s">
        <v>71</v>
      </c>
      <c r="G35" s="101" t="s">
        <v>72</v>
      </c>
      <c r="H35" s="101" t="s">
        <v>68</v>
      </c>
      <c r="I35" s="101"/>
      <c r="J35" s="178">
        <v>450</v>
      </c>
      <c r="K35" s="246"/>
      <c r="L35" s="48"/>
      <c r="M35" s="48" t="s">
        <v>73</v>
      </c>
      <c r="N35" s="48" t="s">
        <v>208</v>
      </c>
      <c r="O35" s="168" t="s">
        <v>191</v>
      </c>
      <c r="P35" s="172"/>
      <c r="Q35" s="193"/>
      <c r="R35" s="2"/>
      <c r="S35" s="2"/>
      <c r="T35" s="2"/>
      <c r="U35" s="2"/>
      <c r="V35" s="2"/>
      <c r="W35" s="2"/>
      <c r="X35" s="2"/>
      <c r="Y35" s="2"/>
      <c r="Z35" s="7"/>
      <c r="AA35" s="2"/>
      <c r="AB35" s="2"/>
      <c r="AC35" s="2"/>
      <c r="AD35" s="2"/>
      <c r="AE35" s="2"/>
      <c r="AF35" s="2"/>
      <c r="AG35" s="7"/>
      <c r="AH35" s="7"/>
      <c r="AI35" s="2"/>
      <c r="AJ35" s="2"/>
      <c r="AK35" s="2"/>
      <c r="AL35" s="7"/>
      <c r="AM35" s="2"/>
      <c r="AN35" s="2"/>
      <c r="AO35" s="2"/>
      <c r="AP35" s="2"/>
      <c r="AQ35" s="2"/>
      <c r="AR35" s="2"/>
      <c r="AS35" s="7"/>
      <c r="AT35" s="2"/>
      <c r="AU35" s="7"/>
      <c r="AV35" s="2"/>
      <c r="AW35" s="10"/>
    </row>
    <row r="36" spans="1:49" customFormat="1" ht="32.25" customHeight="1" outlineLevel="1">
      <c r="A36" s="163" t="s">
        <v>209</v>
      </c>
      <c r="C36" s="11">
        <v>45477</v>
      </c>
      <c r="D36" s="6" t="s">
        <v>210</v>
      </c>
      <c r="E36" s="163" t="s">
        <v>211</v>
      </c>
      <c r="F36" s="261" t="s">
        <v>71</v>
      </c>
      <c r="G36" s="2" t="s">
        <v>72</v>
      </c>
      <c r="H36" s="2" t="s">
        <v>68</v>
      </c>
      <c r="I36" s="2">
        <v>1</v>
      </c>
      <c r="J36" s="178">
        <v>12500</v>
      </c>
      <c r="K36" s="246"/>
      <c r="L36" s="48">
        <v>2410067</v>
      </c>
      <c r="M36" s="48" t="s">
        <v>73</v>
      </c>
      <c r="N36" s="48" t="s">
        <v>212</v>
      </c>
      <c r="O36" s="185" t="s">
        <v>213</v>
      </c>
      <c r="P36" s="168"/>
      <c r="Q36" s="194"/>
      <c r="R36" s="2"/>
      <c r="S36" s="2"/>
      <c r="T36" s="2"/>
      <c r="U36" s="2"/>
      <c r="V36" s="2"/>
      <c r="W36" s="2"/>
      <c r="X36" s="2"/>
      <c r="Y36" s="2"/>
      <c r="Z36" s="7"/>
      <c r="AA36" s="2"/>
      <c r="AB36" s="2"/>
      <c r="AC36" s="2"/>
      <c r="AD36" s="2"/>
      <c r="AE36" s="2"/>
      <c r="AF36" s="2"/>
      <c r="AG36" s="7"/>
      <c r="AH36" s="7"/>
      <c r="AI36" s="2"/>
      <c r="AJ36" s="2"/>
      <c r="AK36" s="2"/>
      <c r="AL36" s="7"/>
      <c r="AM36" s="2"/>
      <c r="AN36" s="2"/>
      <c r="AO36" s="2"/>
      <c r="AP36" s="2"/>
      <c r="AQ36" s="2"/>
      <c r="AR36" s="2"/>
      <c r="AS36" s="7"/>
      <c r="AT36" s="2"/>
      <c r="AU36" s="7"/>
      <c r="AV36" s="2"/>
      <c r="AW36" s="10"/>
    </row>
    <row r="37" spans="1:49" customFormat="1" ht="15" customHeight="1" outlineLevel="1">
      <c r="A37" s="163" t="s">
        <v>209</v>
      </c>
      <c r="C37" s="11">
        <v>45477</v>
      </c>
      <c r="D37" s="6" t="s">
        <v>214</v>
      </c>
      <c r="E37" s="163" t="s">
        <v>211</v>
      </c>
      <c r="F37" s="261" t="s">
        <v>71</v>
      </c>
      <c r="G37" s="2" t="s">
        <v>72</v>
      </c>
      <c r="H37" s="2" t="s">
        <v>68</v>
      </c>
      <c r="I37" s="2">
        <v>1</v>
      </c>
      <c r="J37" s="178">
        <v>7500</v>
      </c>
      <c r="K37" s="246"/>
      <c r="L37" s="48">
        <v>2410066</v>
      </c>
      <c r="M37" s="48" t="s">
        <v>73</v>
      </c>
      <c r="N37" s="48" t="s">
        <v>215</v>
      </c>
      <c r="O37" s="185" t="s">
        <v>213</v>
      </c>
      <c r="P37" s="168"/>
      <c r="Q37" s="242"/>
      <c r="R37" s="2"/>
      <c r="S37" s="2"/>
      <c r="T37" s="2"/>
      <c r="U37" s="2"/>
      <c r="V37" s="2"/>
      <c r="W37" s="2"/>
      <c r="X37" s="2"/>
      <c r="Y37" s="2"/>
      <c r="Z37" s="7"/>
      <c r="AA37" s="2"/>
      <c r="AB37" s="2"/>
      <c r="AC37" s="2"/>
      <c r="AD37" s="2"/>
      <c r="AE37" s="2"/>
      <c r="AF37" s="2"/>
      <c r="AG37" s="7"/>
      <c r="AH37" s="7"/>
      <c r="AI37" s="2"/>
      <c r="AJ37" s="2"/>
      <c r="AK37" s="2"/>
      <c r="AL37" s="7"/>
      <c r="AM37" s="2"/>
      <c r="AN37" s="2"/>
      <c r="AO37" s="2"/>
      <c r="AP37" s="2"/>
      <c r="AQ37" s="2"/>
      <c r="AR37" s="2"/>
      <c r="AS37" s="7"/>
      <c r="AT37" s="2"/>
      <c r="AU37" s="7"/>
      <c r="AV37" s="2"/>
      <c r="AW37" s="10"/>
    </row>
    <row r="38" spans="1:49" customFormat="1" ht="15" customHeight="1">
      <c r="A38" s="163" t="s">
        <v>103</v>
      </c>
      <c r="C38" s="11">
        <v>45483</v>
      </c>
      <c r="D38" s="52" t="s">
        <v>216</v>
      </c>
      <c r="E38" s="163" t="s">
        <v>105</v>
      </c>
      <c r="F38" s="259" t="s">
        <v>71</v>
      </c>
      <c r="G38" s="2" t="s">
        <v>72</v>
      </c>
      <c r="H38" s="2" t="s">
        <v>68</v>
      </c>
      <c r="I38" s="2">
        <v>1</v>
      </c>
      <c r="J38" s="178">
        <v>40</v>
      </c>
      <c r="K38" s="246"/>
      <c r="L38" s="48"/>
      <c r="M38" s="48" t="s">
        <v>73</v>
      </c>
      <c r="N38" s="48" t="s">
        <v>217</v>
      </c>
      <c r="O38" s="168" t="s">
        <v>218</v>
      </c>
      <c r="P38" s="172"/>
      <c r="Q38" s="171"/>
      <c r="R38" s="2"/>
      <c r="S38" s="2"/>
      <c r="T38" s="2"/>
      <c r="U38" s="2"/>
      <c r="V38" s="2"/>
      <c r="W38" s="2"/>
      <c r="X38" s="2"/>
      <c r="Y38" s="2"/>
      <c r="Z38" s="7"/>
      <c r="AA38" s="2"/>
      <c r="AB38" s="2"/>
      <c r="AC38" s="2"/>
      <c r="AD38" s="2"/>
      <c r="AE38" s="2"/>
      <c r="AF38" s="2"/>
      <c r="AG38" s="7"/>
      <c r="AH38" s="7"/>
      <c r="AI38" s="2"/>
      <c r="AJ38" s="2"/>
      <c r="AK38" s="2"/>
      <c r="AL38" s="7"/>
      <c r="AM38" s="2"/>
      <c r="AN38" s="2"/>
      <c r="AO38" s="2"/>
      <c r="AP38" s="2"/>
      <c r="AQ38" s="2"/>
      <c r="AR38" s="2"/>
      <c r="AS38" s="7"/>
      <c r="AT38" s="2"/>
      <c r="AU38" s="7"/>
      <c r="AV38" s="2"/>
      <c r="AW38" s="10"/>
    </row>
    <row r="39" spans="1:49" customFormat="1" ht="15" customHeight="1">
      <c r="A39" s="163" t="s">
        <v>103</v>
      </c>
      <c r="C39" s="11">
        <v>45483</v>
      </c>
      <c r="D39" s="52" t="s">
        <v>219</v>
      </c>
      <c r="E39" s="163" t="s">
        <v>105</v>
      </c>
      <c r="F39" s="259" t="s">
        <v>71</v>
      </c>
      <c r="G39" s="2" t="s">
        <v>72</v>
      </c>
      <c r="H39" s="2" t="s">
        <v>68</v>
      </c>
      <c r="I39" s="2">
        <v>1</v>
      </c>
      <c r="J39" s="178">
        <v>40</v>
      </c>
      <c r="K39" s="246"/>
      <c r="L39" s="48"/>
      <c r="M39" s="48" t="s">
        <v>73</v>
      </c>
      <c r="N39" s="48" t="s">
        <v>220</v>
      </c>
      <c r="O39" s="168" t="s">
        <v>218</v>
      </c>
      <c r="P39" s="172"/>
      <c r="Q39" s="171"/>
      <c r="R39" s="2"/>
      <c r="S39" s="2"/>
      <c r="T39" s="2"/>
      <c r="U39" s="2"/>
      <c r="V39" s="2"/>
      <c r="W39" s="2"/>
      <c r="X39" s="2"/>
      <c r="Y39" s="2"/>
      <c r="Z39" s="7"/>
      <c r="AA39" s="2"/>
      <c r="AB39" s="2"/>
      <c r="AC39" s="2"/>
      <c r="AD39" s="2"/>
      <c r="AE39" s="2"/>
      <c r="AF39" s="2"/>
      <c r="AG39" s="7"/>
      <c r="AH39" s="7"/>
      <c r="AI39" s="2"/>
      <c r="AJ39" s="2"/>
      <c r="AK39" s="2"/>
      <c r="AL39" s="7"/>
      <c r="AM39" s="2"/>
      <c r="AN39" s="2"/>
      <c r="AO39" s="2"/>
      <c r="AP39" s="2"/>
      <c r="AQ39" s="2"/>
      <c r="AR39" s="2"/>
      <c r="AS39" s="7"/>
      <c r="AT39" s="2"/>
      <c r="AU39" s="7"/>
      <c r="AV39" s="2"/>
      <c r="AW39" s="10"/>
    </row>
    <row r="40" spans="1:49" customFormat="1">
      <c r="A40" s="163" t="s">
        <v>221</v>
      </c>
      <c r="C40" s="11">
        <v>45488</v>
      </c>
      <c r="D40" s="52" t="s">
        <v>222</v>
      </c>
      <c r="E40" s="163" t="s">
        <v>223</v>
      </c>
      <c r="F40" s="259" t="s">
        <v>71</v>
      </c>
      <c r="G40" s="2" t="s">
        <v>72</v>
      </c>
      <c r="H40" s="2" t="s">
        <v>224</v>
      </c>
      <c r="I40" s="2">
        <v>1</v>
      </c>
      <c r="J40" s="180" t="s">
        <v>225</v>
      </c>
      <c r="K40" s="246" t="s">
        <v>68</v>
      </c>
      <c r="L40" s="48" t="s">
        <v>68</v>
      </c>
      <c r="M40" s="48" t="s">
        <v>73</v>
      </c>
      <c r="N40" s="48" t="s">
        <v>226</v>
      </c>
      <c r="O40" s="168" t="s">
        <v>227</v>
      </c>
      <c r="P40" s="172"/>
      <c r="Q40" s="171"/>
      <c r="R40" s="2"/>
      <c r="S40" s="2"/>
      <c r="T40" s="2"/>
      <c r="U40" s="2"/>
      <c r="V40" s="2"/>
      <c r="W40" s="2"/>
      <c r="X40" s="2"/>
      <c r="Y40" s="2"/>
      <c r="Z40" s="7"/>
      <c r="AA40" s="2"/>
      <c r="AB40" s="2"/>
      <c r="AC40" s="2"/>
      <c r="AD40" s="2"/>
      <c r="AE40" s="2"/>
      <c r="AF40" s="2"/>
      <c r="AG40" s="7"/>
      <c r="AH40" s="7"/>
      <c r="AI40" s="2"/>
      <c r="AJ40" s="2"/>
      <c r="AK40" s="2"/>
      <c r="AL40" s="7"/>
      <c r="AM40" s="2"/>
      <c r="AN40" s="2"/>
      <c r="AO40" s="2"/>
      <c r="AP40" s="2"/>
      <c r="AQ40" s="2"/>
      <c r="AR40" s="2"/>
      <c r="AS40" s="7"/>
      <c r="AT40" s="2"/>
      <c r="AU40" s="7"/>
      <c r="AV40" s="2"/>
      <c r="AW40" s="10"/>
    </row>
    <row r="41" spans="1:49" customFormat="1" ht="15" customHeight="1">
      <c r="A41" s="163" t="s">
        <v>228</v>
      </c>
      <c r="C41" s="11">
        <v>45498</v>
      </c>
      <c r="D41" s="33" t="s">
        <v>229</v>
      </c>
      <c r="E41" s="163" t="s">
        <v>230</v>
      </c>
      <c r="F41" s="259" t="s">
        <v>71</v>
      </c>
      <c r="G41" s="2" t="s">
        <v>72</v>
      </c>
      <c r="H41" s="34" t="s">
        <v>231</v>
      </c>
      <c r="I41" s="2">
        <v>16</v>
      </c>
      <c r="J41" s="178">
        <f>35*16</f>
        <v>560</v>
      </c>
      <c r="K41" s="246"/>
      <c r="L41" s="48"/>
      <c r="M41" s="48" t="s">
        <v>73</v>
      </c>
      <c r="N41" s="48" t="s">
        <v>232</v>
      </c>
      <c r="O41" s="168" t="s">
        <v>233</v>
      </c>
      <c r="P41" s="172"/>
      <c r="Q41" s="171"/>
      <c r="R41" s="2"/>
      <c r="S41" s="2">
        <v>16</v>
      </c>
      <c r="T41" s="2"/>
      <c r="U41" s="2"/>
      <c r="V41" s="2"/>
      <c r="W41" s="2"/>
      <c r="X41" s="2"/>
      <c r="Y41" s="2"/>
      <c r="Z41" s="7"/>
      <c r="AA41" s="2"/>
      <c r="AB41" s="2"/>
      <c r="AC41" s="2"/>
      <c r="AD41" s="2"/>
      <c r="AE41" s="2"/>
      <c r="AF41" s="2"/>
      <c r="AG41" s="7"/>
      <c r="AH41" s="7"/>
      <c r="AI41" s="2"/>
      <c r="AJ41" s="2"/>
      <c r="AK41" s="2"/>
      <c r="AL41" s="7"/>
      <c r="AM41" s="2"/>
      <c r="AN41" s="2"/>
      <c r="AO41" s="2"/>
      <c r="AP41" s="2"/>
      <c r="AQ41" s="2"/>
      <c r="AR41" s="2"/>
      <c r="AS41" s="7"/>
      <c r="AT41" s="2"/>
      <c r="AU41" s="7"/>
      <c r="AV41" s="2"/>
      <c r="AW41" s="10"/>
    </row>
    <row r="42" spans="1:49" customFormat="1" ht="15" customHeight="1">
      <c r="A42" s="163" t="s">
        <v>144</v>
      </c>
      <c r="C42" s="11">
        <v>45503</v>
      </c>
      <c r="D42" s="33" t="s">
        <v>234</v>
      </c>
      <c r="E42" s="163" t="s">
        <v>146</v>
      </c>
      <c r="F42" s="259" t="s">
        <v>71</v>
      </c>
      <c r="G42" s="2" t="s">
        <v>72</v>
      </c>
      <c r="H42" s="34" t="s">
        <v>235</v>
      </c>
      <c r="I42" s="2">
        <v>1</v>
      </c>
      <c r="J42" s="178">
        <v>180</v>
      </c>
      <c r="K42" s="246"/>
      <c r="L42" s="48" t="s">
        <v>68</v>
      </c>
      <c r="M42" s="48" t="s">
        <v>148</v>
      </c>
      <c r="N42" s="48" t="s">
        <v>236</v>
      </c>
      <c r="O42" s="48" t="s">
        <v>191</v>
      </c>
      <c r="P42" s="168"/>
      <c r="Q42" s="171"/>
      <c r="R42" s="2"/>
      <c r="S42" s="2"/>
      <c r="T42" s="2"/>
      <c r="U42" s="2"/>
      <c r="V42" s="2"/>
      <c r="W42" s="2"/>
      <c r="X42" s="2"/>
      <c r="Y42" s="2"/>
      <c r="Z42" s="7"/>
      <c r="AA42" s="2"/>
      <c r="AB42" s="2"/>
      <c r="AC42" s="2"/>
      <c r="AD42" s="2"/>
      <c r="AE42" s="2"/>
      <c r="AF42" s="2"/>
      <c r="AG42" s="7"/>
      <c r="AH42" s="7"/>
      <c r="AI42" s="2"/>
      <c r="AJ42" s="2"/>
      <c r="AK42" s="2"/>
      <c r="AL42" s="7"/>
      <c r="AM42" s="2"/>
      <c r="AN42" s="2"/>
      <c r="AO42" s="2"/>
      <c r="AP42" s="2"/>
      <c r="AQ42" s="2"/>
      <c r="AR42" s="2"/>
      <c r="AS42" s="7"/>
      <c r="AT42" s="2"/>
      <c r="AU42" s="7"/>
      <c r="AV42" s="2"/>
      <c r="AW42" s="10"/>
    </row>
    <row r="43" spans="1:49" ht="15" customHeight="1">
      <c r="A43" s="163" t="s">
        <v>237</v>
      </c>
      <c r="B43" s="165"/>
      <c r="C43" s="200">
        <v>45504</v>
      </c>
      <c r="D43" s="239" t="s">
        <v>238</v>
      </c>
      <c r="E43" s="165" t="s">
        <v>239</v>
      </c>
      <c r="F43" s="260" t="s">
        <v>177</v>
      </c>
      <c r="G43" s="165" t="s">
        <v>72</v>
      </c>
      <c r="H43" s="165" t="s">
        <v>68</v>
      </c>
      <c r="I43" s="165">
        <v>1</v>
      </c>
      <c r="J43" s="201">
        <v>34000</v>
      </c>
      <c r="K43" s="247" t="s">
        <v>240</v>
      </c>
      <c r="L43" s="195" t="s">
        <v>68</v>
      </c>
      <c r="M43" s="195" t="s">
        <v>68</v>
      </c>
      <c r="N43" s="195" t="s">
        <v>68</v>
      </c>
      <c r="O43" s="196" t="s">
        <v>68</v>
      </c>
      <c r="P43" s="197" t="s">
        <v>68</v>
      </c>
      <c r="Q43" s="197" t="s">
        <v>68</v>
      </c>
      <c r="R43" s="101"/>
    </row>
    <row r="44" spans="1:49" customFormat="1" ht="15" customHeight="1">
      <c r="A44" s="163" t="s">
        <v>237</v>
      </c>
      <c r="B44" s="165"/>
      <c r="C44" s="200">
        <v>45504</v>
      </c>
      <c r="D44" s="239" t="s">
        <v>238</v>
      </c>
      <c r="E44" s="165"/>
      <c r="F44" s="260"/>
      <c r="G44" s="165"/>
      <c r="H44" s="165"/>
      <c r="I44" s="165"/>
      <c r="J44" s="202">
        <v>6800</v>
      </c>
      <c r="K44" s="243" t="s">
        <v>241</v>
      </c>
      <c r="L44" s="183" t="s">
        <v>68</v>
      </c>
      <c r="M44" s="183" t="s">
        <v>242</v>
      </c>
      <c r="N44" s="183" t="s">
        <v>243</v>
      </c>
      <c r="O44" s="170" t="s">
        <v>244</v>
      </c>
      <c r="P44" s="198"/>
      <c r="Q44" s="199"/>
      <c r="R44" s="7"/>
      <c r="S44" s="2"/>
      <c r="T44" s="2"/>
      <c r="U44" s="2"/>
      <c r="V44" s="2"/>
      <c r="W44" s="2"/>
      <c r="X44" s="2"/>
      <c r="Y44" s="2"/>
      <c r="Z44" s="7"/>
      <c r="AA44" s="2"/>
      <c r="AB44" s="2"/>
      <c r="AC44" s="2"/>
      <c r="AD44" s="2"/>
      <c r="AE44" s="2"/>
      <c r="AF44" s="2"/>
      <c r="AG44" s="7"/>
      <c r="AH44" s="7"/>
      <c r="AI44" s="2"/>
      <c r="AJ44" s="2"/>
      <c r="AK44" s="2"/>
      <c r="AL44" s="7"/>
      <c r="AM44" s="2"/>
      <c r="AN44" s="2"/>
      <c r="AO44" s="2"/>
      <c r="AP44" s="2"/>
      <c r="AQ44" s="2"/>
      <c r="AR44" s="2"/>
      <c r="AS44" s="7"/>
      <c r="AT44" s="2"/>
      <c r="AU44" s="7"/>
      <c r="AV44" s="2"/>
      <c r="AW44" s="10"/>
    </row>
    <row r="45" spans="1:49" customFormat="1" ht="15" customHeight="1">
      <c r="A45" s="275" t="s">
        <v>237</v>
      </c>
      <c r="B45" s="276"/>
      <c r="C45" s="277">
        <v>45504</v>
      </c>
      <c r="D45" s="274" t="s">
        <v>238</v>
      </c>
      <c r="E45" s="276"/>
      <c r="F45" s="278"/>
      <c r="G45" s="276"/>
      <c r="H45" s="276"/>
      <c r="I45" s="276"/>
      <c r="J45" s="279">
        <v>13750</v>
      </c>
      <c r="K45" s="280" t="s">
        <v>245</v>
      </c>
      <c r="L45" t="s">
        <v>246</v>
      </c>
      <c r="M45" s="281" t="s">
        <v>148</v>
      </c>
      <c r="N45" s="281" t="s">
        <v>247</v>
      </c>
      <c r="O45" s="276" t="s">
        <v>248</v>
      </c>
      <c r="P45" s="276" t="s">
        <v>249</v>
      </c>
      <c r="Q45" s="282"/>
      <c r="R45" s="7"/>
      <c r="S45" s="2"/>
      <c r="T45" s="2"/>
      <c r="U45" s="2"/>
      <c r="V45" s="2"/>
      <c r="W45" s="2"/>
      <c r="X45" s="2"/>
      <c r="Y45" s="2"/>
      <c r="Z45" s="7"/>
      <c r="AA45" s="2"/>
      <c r="AB45" s="2"/>
      <c r="AC45" s="2"/>
      <c r="AD45" s="2"/>
      <c r="AE45" s="2"/>
      <c r="AF45" s="2"/>
      <c r="AG45" s="7"/>
      <c r="AH45" s="7"/>
      <c r="AI45" s="2"/>
      <c r="AJ45" s="2"/>
      <c r="AK45" s="2"/>
      <c r="AL45" s="7"/>
      <c r="AM45" s="2"/>
      <c r="AN45" s="2"/>
      <c r="AO45" s="2"/>
      <c r="AP45" s="2"/>
      <c r="AQ45" s="2"/>
      <c r="AR45" s="2"/>
      <c r="AS45" s="7"/>
      <c r="AT45" s="2"/>
      <c r="AU45" s="7"/>
      <c r="AV45" s="2"/>
      <c r="AW45" s="10"/>
    </row>
    <row r="46" spans="1:49" customFormat="1" ht="15" customHeight="1">
      <c r="A46" s="163" t="s">
        <v>237</v>
      </c>
      <c r="C46" s="11">
        <v>45504</v>
      </c>
      <c r="D46" s="239" t="s">
        <v>238</v>
      </c>
      <c r="E46" s="163"/>
      <c r="F46" s="260"/>
      <c r="G46" s="2"/>
      <c r="H46" s="2"/>
      <c r="I46" s="2"/>
      <c r="J46" s="295">
        <f>J43-J44-J45</f>
        <v>13450</v>
      </c>
      <c r="K46" s="296" t="s">
        <v>250</v>
      </c>
      <c r="L46" s="297" t="s">
        <v>251</v>
      </c>
      <c r="M46" s="298"/>
      <c r="N46" s="298"/>
      <c r="O46" s="299"/>
      <c r="P46" s="300"/>
      <c r="Q46" s="301"/>
      <c r="R46" s="7"/>
      <c r="S46" s="2"/>
      <c r="T46" s="2"/>
      <c r="U46" s="2"/>
      <c r="V46" s="2"/>
      <c r="W46" s="2"/>
      <c r="X46" s="2"/>
      <c r="Y46" s="2"/>
      <c r="Z46" s="7"/>
      <c r="AA46" s="2"/>
      <c r="AB46" s="2"/>
      <c r="AC46" s="2"/>
      <c r="AD46" s="2"/>
      <c r="AE46" s="2"/>
      <c r="AF46" s="2"/>
      <c r="AG46" s="7"/>
      <c r="AH46" s="7"/>
      <c r="AI46" s="2"/>
      <c r="AJ46" s="2"/>
      <c r="AK46" s="2"/>
      <c r="AL46" s="7"/>
      <c r="AM46" s="2"/>
      <c r="AN46" s="2"/>
      <c r="AO46" s="2"/>
      <c r="AP46" s="2"/>
      <c r="AQ46" s="2"/>
      <c r="AR46" s="2"/>
      <c r="AS46" s="7"/>
      <c r="AT46" s="2"/>
      <c r="AU46" s="7"/>
      <c r="AV46" s="2"/>
      <c r="AW46" s="10"/>
    </row>
    <row r="47" spans="1:49" customFormat="1">
      <c r="A47" s="163" t="s">
        <v>237</v>
      </c>
      <c r="C47" s="11">
        <v>45504</v>
      </c>
      <c r="D47" s="54" t="s">
        <v>252</v>
      </c>
      <c r="E47" s="163" t="s">
        <v>239</v>
      </c>
      <c r="F47" s="260" t="s">
        <v>177</v>
      </c>
      <c r="G47" s="2" t="s">
        <v>72</v>
      </c>
      <c r="H47" s="2" t="s">
        <v>68</v>
      </c>
      <c r="I47" s="2">
        <v>1</v>
      </c>
      <c r="J47" s="3">
        <v>5000</v>
      </c>
      <c r="K47" s="174" t="s">
        <v>253</v>
      </c>
      <c r="L47" s="101" t="s">
        <v>251</v>
      </c>
      <c r="M47" s="101"/>
      <c r="N47" s="101"/>
      <c r="O47" s="143"/>
      <c r="P47" s="125"/>
      <c r="Q47" s="169"/>
      <c r="R47" s="7"/>
      <c r="S47" s="2"/>
      <c r="T47" s="2"/>
      <c r="U47" s="2"/>
      <c r="V47" s="2"/>
      <c r="W47" s="2"/>
      <c r="X47" s="2"/>
      <c r="Y47" s="2"/>
      <c r="Z47" s="7"/>
      <c r="AA47" s="2"/>
      <c r="AB47" s="2"/>
      <c r="AC47" s="2"/>
      <c r="AD47" s="2"/>
      <c r="AE47" s="2"/>
      <c r="AF47" s="2"/>
      <c r="AG47" s="7"/>
      <c r="AH47" s="7"/>
      <c r="AI47" s="2"/>
      <c r="AJ47" s="2"/>
      <c r="AK47" s="2"/>
      <c r="AL47" s="7"/>
      <c r="AM47" s="2"/>
      <c r="AN47" s="2"/>
      <c r="AO47" s="2"/>
      <c r="AP47" s="2"/>
      <c r="AQ47" s="2"/>
      <c r="AR47" s="2"/>
      <c r="AS47" s="7"/>
      <c r="AT47" s="2"/>
      <c r="AU47" s="7"/>
      <c r="AV47" s="2"/>
      <c r="AW47" s="10"/>
    </row>
    <row r="48" spans="1:49" customFormat="1">
      <c r="A48" s="163" t="s">
        <v>237</v>
      </c>
      <c r="C48" s="11">
        <v>45504</v>
      </c>
      <c r="D48" s="54" t="s">
        <v>254</v>
      </c>
      <c r="E48" s="163" t="s">
        <v>239</v>
      </c>
      <c r="F48" s="259" t="s">
        <v>71</v>
      </c>
      <c r="G48" s="2" t="s">
        <v>72</v>
      </c>
      <c r="H48" s="2" t="s">
        <v>68</v>
      </c>
      <c r="I48" s="2">
        <v>1</v>
      </c>
      <c r="J48" s="179">
        <v>3336</v>
      </c>
      <c r="K48" s="243" t="s">
        <v>255</v>
      </c>
      <c r="L48" s="87" t="s">
        <v>68</v>
      </c>
      <c r="M48" s="183" t="s">
        <v>242</v>
      </c>
      <c r="N48" s="183" t="s">
        <v>256</v>
      </c>
      <c r="O48" s="170" t="s">
        <v>244</v>
      </c>
      <c r="P48" s="77"/>
      <c r="Q48" s="194"/>
      <c r="R48" s="2"/>
      <c r="S48" s="2"/>
      <c r="T48" s="2"/>
      <c r="U48" s="2"/>
      <c r="V48" s="2"/>
      <c r="W48" s="2"/>
      <c r="X48" s="2"/>
      <c r="Y48" s="2"/>
      <c r="Z48" s="7"/>
      <c r="AA48" s="2"/>
      <c r="AB48" s="2"/>
      <c r="AC48" s="2"/>
      <c r="AD48" s="2"/>
      <c r="AE48" s="2"/>
      <c r="AF48" s="2"/>
      <c r="AG48" s="7"/>
      <c r="AH48" s="7"/>
      <c r="AI48" s="2"/>
      <c r="AJ48" s="2"/>
      <c r="AK48" s="2"/>
      <c r="AL48" s="7"/>
      <c r="AM48" s="2"/>
      <c r="AN48" s="2"/>
      <c r="AO48" s="2"/>
      <c r="AP48" s="2"/>
      <c r="AQ48" s="2"/>
      <c r="AR48" s="2"/>
      <c r="AS48" s="7"/>
      <c r="AT48" s="2"/>
      <c r="AU48" s="7"/>
      <c r="AV48" s="2"/>
      <c r="AW48" s="10"/>
    </row>
    <row r="49" spans="1:49" customFormat="1" ht="15" customHeight="1">
      <c r="A49" s="163" t="s">
        <v>237</v>
      </c>
      <c r="C49" s="11">
        <v>45504</v>
      </c>
      <c r="D49" s="54" t="s">
        <v>257</v>
      </c>
      <c r="E49" s="163" t="s">
        <v>239</v>
      </c>
      <c r="F49" s="259" t="s">
        <v>71</v>
      </c>
      <c r="G49" s="2" t="s">
        <v>72</v>
      </c>
      <c r="H49" s="2" t="s">
        <v>68</v>
      </c>
      <c r="I49" s="2">
        <v>1</v>
      </c>
      <c r="J49" s="179">
        <v>13344</v>
      </c>
      <c r="K49" s="243" t="s">
        <v>258</v>
      </c>
      <c r="L49" s="87" t="s">
        <v>259</v>
      </c>
      <c r="M49" s="183" t="s">
        <v>148</v>
      </c>
      <c r="N49" s="183" t="s">
        <v>260</v>
      </c>
      <c r="O49" s="170" t="s">
        <v>261</v>
      </c>
      <c r="P49" s="77"/>
      <c r="Q49" s="193"/>
      <c r="R49" s="7"/>
      <c r="S49" s="2"/>
      <c r="T49" s="2"/>
      <c r="U49" s="2"/>
      <c r="V49" s="2"/>
      <c r="W49" s="2"/>
      <c r="X49" s="2"/>
      <c r="Y49" s="2"/>
      <c r="Z49" s="7"/>
      <c r="AA49" s="2"/>
      <c r="AB49" s="2"/>
      <c r="AC49" s="2"/>
      <c r="AD49" s="2"/>
      <c r="AE49" s="2"/>
      <c r="AF49" s="2"/>
      <c r="AG49" s="7"/>
      <c r="AH49" s="7"/>
      <c r="AI49" s="2"/>
      <c r="AJ49" s="2"/>
      <c r="AK49" s="2"/>
      <c r="AL49" s="7"/>
      <c r="AM49" s="2"/>
      <c r="AN49" s="2"/>
      <c r="AO49" s="2"/>
      <c r="AP49" s="2"/>
      <c r="AQ49" s="2"/>
      <c r="AR49" s="2"/>
      <c r="AS49" s="7"/>
      <c r="AT49" s="2"/>
      <c r="AU49" s="7"/>
      <c r="AV49" s="2"/>
      <c r="AW49" s="10"/>
    </row>
    <row r="50" spans="1:49" customFormat="1" ht="15" customHeight="1">
      <c r="A50" s="163" t="s">
        <v>237</v>
      </c>
      <c r="C50" s="11">
        <v>45504</v>
      </c>
      <c r="D50" s="54" t="s">
        <v>262</v>
      </c>
      <c r="E50" s="163" t="s">
        <v>239</v>
      </c>
      <c r="F50" s="259" t="s">
        <v>71</v>
      </c>
      <c r="G50" s="2" t="s">
        <v>72</v>
      </c>
      <c r="H50" s="2" t="s">
        <v>68</v>
      </c>
      <c r="I50" s="2">
        <v>1</v>
      </c>
      <c r="J50" s="179">
        <v>8000</v>
      </c>
      <c r="K50" s="243" t="s">
        <v>263</v>
      </c>
      <c r="L50" s="87" t="s">
        <v>264</v>
      </c>
      <c r="M50" s="87" t="s">
        <v>265</v>
      </c>
      <c r="N50" s="87" t="s">
        <v>266</v>
      </c>
      <c r="O50" s="48" t="s">
        <v>244</v>
      </c>
      <c r="P50" s="77"/>
      <c r="Q50" s="171"/>
      <c r="R50" s="2"/>
      <c r="S50" s="2"/>
      <c r="T50" s="2"/>
      <c r="U50" s="2"/>
      <c r="V50" s="2"/>
      <c r="W50" s="2"/>
      <c r="X50" s="2"/>
      <c r="Y50" s="2"/>
      <c r="Z50" s="7"/>
      <c r="AA50" s="2"/>
      <c r="AB50" s="2"/>
      <c r="AC50" s="2"/>
      <c r="AD50" s="2"/>
      <c r="AE50" s="2"/>
      <c r="AF50" s="2"/>
      <c r="AG50" s="7"/>
      <c r="AH50" s="7"/>
      <c r="AI50" s="2"/>
      <c r="AJ50" s="2"/>
      <c r="AK50" s="2"/>
      <c r="AL50" s="7"/>
      <c r="AM50" s="2"/>
      <c r="AN50" s="2"/>
      <c r="AO50" s="2"/>
      <c r="AP50" s="2"/>
      <c r="AQ50" s="2"/>
      <c r="AR50" s="2"/>
      <c r="AS50" s="7"/>
      <c r="AT50" s="2"/>
      <c r="AU50" s="7"/>
      <c r="AV50" s="2"/>
      <c r="AW50" s="10"/>
    </row>
    <row r="51" spans="1:49" customFormat="1" ht="15" customHeight="1">
      <c r="A51" s="174" t="s">
        <v>115</v>
      </c>
      <c r="B51" s="101"/>
      <c r="C51" s="138">
        <v>45504</v>
      </c>
      <c r="D51" s="166" t="s">
        <v>267</v>
      </c>
      <c r="E51" s="174" t="s">
        <v>203</v>
      </c>
      <c r="F51" s="259" t="s">
        <v>71</v>
      </c>
      <c r="G51" s="101" t="s">
        <v>72</v>
      </c>
      <c r="H51" s="167" t="s">
        <v>117</v>
      </c>
      <c r="I51" s="101" t="str">
        <f>IF(SUM(R51:AV51)=0,"-",SUM(R51:AV51))</f>
        <v>-</v>
      </c>
      <c r="J51" s="178">
        <v>2750</v>
      </c>
      <c r="K51" s="246"/>
      <c r="L51" s="48"/>
      <c r="M51" s="48" t="s">
        <v>73</v>
      </c>
      <c r="N51" s="48" t="s">
        <v>268</v>
      </c>
      <c r="O51" s="168" t="s">
        <v>191</v>
      </c>
      <c r="P51" s="172"/>
      <c r="Q51" s="193"/>
      <c r="R51" s="2"/>
      <c r="S51" s="2"/>
      <c r="T51" s="2"/>
      <c r="U51" s="2"/>
      <c r="V51" s="2"/>
      <c r="W51" s="2"/>
      <c r="X51" s="2"/>
      <c r="Y51" s="2"/>
      <c r="Z51" s="7"/>
      <c r="AA51" s="2"/>
      <c r="AB51" s="2"/>
      <c r="AC51" s="2"/>
      <c r="AD51" s="2"/>
      <c r="AE51" s="2"/>
      <c r="AF51" s="2"/>
      <c r="AG51" s="7"/>
      <c r="AH51" s="7"/>
      <c r="AI51" s="2"/>
      <c r="AJ51" s="2"/>
      <c r="AK51" s="2"/>
      <c r="AL51" s="7"/>
      <c r="AM51" s="2"/>
      <c r="AN51" s="2"/>
      <c r="AO51" s="2"/>
      <c r="AP51" s="2"/>
      <c r="AQ51" s="2"/>
      <c r="AR51" s="2"/>
      <c r="AS51" s="7"/>
      <c r="AT51" s="2"/>
      <c r="AU51" s="7"/>
      <c r="AV51" s="2"/>
      <c r="AW51" s="10"/>
    </row>
    <row r="52" spans="1:49" ht="15" customHeight="1">
      <c r="A52" s="163" t="s">
        <v>144</v>
      </c>
      <c r="B52"/>
      <c r="C52" s="11">
        <v>45508</v>
      </c>
      <c r="D52" s="6" t="s">
        <v>269</v>
      </c>
      <c r="E52" s="163" t="s">
        <v>270</v>
      </c>
      <c r="F52" s="259" t="s">
        <v>71</v>
      </c>
      <c r="G52" s="2" t="s">
        <v>72</v>
      </c>
      <c r="H52" s="65" t="s">
        <v>271</v>
      </c>
      <c r="I52" s="2">
        <v>1</v>
      </c>
      <c r="J52" s="178">
        <v>135</v>
      </c>
      <c r="K52" s="246"/>
      <c r="L52" s="48" t="s">
        <v>68</v>
      </c>
      <c r="M52" s="48" t="s">
        <v>148</v>
      </c>
      <c r="N52" s="48" t="s">
        <v>272</v>
      </c>
      <c r="O52" s="48" t="s">
        <v>191</v>
      </c>
      <c r="P52" s="168"/>
      <c r="Q52" s="194"/>
      <c r="R52" s="101"/>
    </row>
    <row r="53" spans="1:49" customFormat="1" ht="15" customHeight="1">
      <c r="A53" s="163" t="s">
        <v>103</v>
      </c>
      <c r="C53" s="11">
        <v>45513</v>
      </c>
      <c r="D53" s="6" t="s">
        <v>273</v>
      </c>
      <c r="E53" s="163" t="s">
        <v>105</v>
      </c>
      <c r="F53" s="259" t="s">
        <v>71</v>
      </c>
      <c r="G53" s="2" t="s">
        <v>72</v>
      </c>
      <c r="H53" s="2" t="s">
        <v>68</v>
      </c>
      <c r="I53" s="2">
        <v>1</v>
      </c>
      <c r="J53" s="178">
        <v>40</v>
      </c>
      <c r="K53" s="246"/>
      <c r="L53" s="48"/>
      <c r="M53" s="48" t="s">
        <v>73</v>
      </c>
      <c r="N53" s="48" t="s">
        <v>274</v>
      </c>
      <c r="O53" s="168" t="s">
        <v>275</v>
      </c>
      <c r="P53" s="172"/>
      <c r="Q53" s="171"/>
      <c r="R53" s="7"/>
      <c r="S53" s="2"/>
      <c r="T53" s="2"/>
      <c r="U53" s="2"/>
      <c r="V53" s="2"/>
      <c r="W53" s="2"/>
      <c r="X53" s="2"/>
      <c r="Y53" s="2"/>
      <c r="Z53" s="7"/>
      <c r="AA53" s="2"/>
      <c r="AB53" s="2"/>
      <c r="AC53" s="2"/>
      <c r="AD53" s="2"/>
      <c r="AE53" s="2"/>
      <c r="AF53" s="2"/>
      <c r="AG53" s="7"/>
      <c r="AH53" s="7"/>
      <c r="AI53" s="2"/>
      <c r="AJ53" s="2"/>
      <c r="AK53" s="2"/>
      <c r="AL53" s="7"/>
      <c r="AM53" s="2"/>
      <c r="AN53" s="2"/>
      <c r="AO53" s="2"/>
      <c r="AP53" s="2"/>
      <c r="AQ53" s="2"/>
      <c r="AR53" s="2"/>
      <c r="AS53" s="7"/>
      <c r="AT53" s="2"/>
      <c r="AU53" s="7"/>
      <c r="AV53" s="2"/>
      <c r="AW53" s="10"/>
    </row>
    <row r="54" spans="1:49" customFormat="1" ht="15" customHeight="1">
      <c r="A54" s="163" t="s">
        <v>276</v>
      </c>
      <c r="C54" s="11">
        <v>45532</v>
      </c>
      <c r="D54" s="241" t="s">
        <v>277</v>
      </c>
      <c r="E54" s="163" t="s">
        <v>278</v>
      </c>
      <c r="F54" s="261" t="s">
        <v>71</v>
      </c>
      <c r="G54" s="2" t="s">
        <v>72</v>
      </c>
      <c r="H54" s="2" t="s">
        <v>68</v>
      </c>
      <c r="I54" s="2">
        <v>1</v>
      </c>
      <c r="J54" s="178">
        <v>2500</v>
      </c>
      <c r="K54" s="246" t="s">
        <v>68</v>
      </c>
      <c r="L54" s="48" t="s">
        <v>68</v>
      </c>
      <c r="M54" s="48" t="s">
        <v>279</v>
      </c>
      <c r="N54" s="48" t="s">
        <v>280</v>
      </c>
      <c r="O54" s="48" t="s">
        <v>281</v>
      </c>
      <c r="P54" s="168"/>
      <c r="Q54" s="171"/>
      <c r="R54" s="7"/>
      <c r="S54" s="2"/>
      <c r="T54" s="2"/>
      <c r="U54" s="2"/>
      <c r="V54" s="2"/>
      <c r="W54" s="2"/>
      <c r="X54" s="2"/>
      <c r="Y54" s="2"/>
      <c r="Z54" s="7"/>
      <c r="AA54" s="2"/>
      <c r="AB54" s="2"/>
      <c r="AC54" s="2"/>
      <c r="AD54" s="2"/>
      <c r="AE54" s="2"/>
      <c r="AF54" s="2"/>
      <c r="AG54" s="7"/>
      <c r="AH54" s="7"/>
      <c r="AI54" s="2"/>
      <c r="AJ54" s="2"/>
      <c r="AK54" s="2"/>
      <c r="AL54" s="7"/>
      <c r="AM54" s="2"/>
      <c r="AN54" s="2"/>
      <c r="AO54" s="2"/>
      <c r="AP54" s="2"/>
      <c r="AQ54" s="2"/>
      <c r="AR54" s="2"/>
      <c r="AS54" s="7"/>
      <c r="AT54" s="2"/>
      <c r="AU54" s="7"/>
      <c r="AV54" s="2"/>
      <c r="AW54" s="10"/>
    </row>
    <row r="55" spans="1:49" customFormat="1" ht="15" customHeight="1">
      <c r="A55" s="163" t="s">
        <v>132</v>
      </c>
      <c r="C55" s="11">
        <v>45532</v>
      </c>
      <c r="D55" s="241" t="s">
        <v>282</v>
      </c>
      <c r="E55" s="163" t="s">
        <v>134</v>
      </c>
      <c r="F55" s="259" t="s">
        <v>71</v>
      </c>
      <c r="G55" s="2" t="s">
        <v>72</v>
      </c>
      <c r="H55" s="67" t="s">
        <v>283</v>
      </c>
      <c r="I55" s="2">
        <v>1</v>
      </c>
      <c r="J55" s="179">
        <v>150</v>
      </c>
      <c r="K55" s="243"/>
      <c r="L55" s="87" t="s">
        <v>136</v>
      </c>
      <c r="M55" s="87" t="s">
        <v>137</v>
      </c>
      <c r="N55" s="87" t="s">
        <v>138</v>
      </c>
      <c r="O55" s="87" t="s">
        <v>139</v>
      </c>
      <c r="P55" s="184"/>
      <c r="Q55" s="171"/>
      <c r="R55" s="7"/>
      <c r="S55" s="2"/>
      <c r="T55" s="2"/>
      <c r="U55" s="2"/>
      <c r="V55" s="2"/>
      <c r="W55" s="2"/>
      <c r="X55" s="2"/>
      <c r="Y55" s="2"/>
      <c r="Z55" s="7"/>
      <c r="AA55" s="2"/>
      <c r="AB55" s="2"/>
      <c r="AC55" s="2"/>
      <c r="AD55" s="2"/>
      <c r="AE55" s="2"/>
      <c r="AF55" s="2"/>
      <c r="AG55" s="7"/>
      <c r="AH55" s="7"/>
      <c r="AI55" s="2"/>
      <c r="AJ55" s="2"/>
      <c r="AK55" s="2"/>
      <c r="AL55" s="7"/>
      <c r="AM55" s="2"/>
      <c r="AN55" s="2"/>
      <c r="AO55" s="2"/>
      <c r="AP55" s="2"/>
      <c r="AQ55" s="2"/>
      <c r="AR55" s="2"/>
      <c r="AS55" s="7"/>
      <c r="AT55" s="2"/>
      <c r="AU55" s="7"/>
      <c r="AV55" s="2"/>
      <c r="AW55" s="10"/>
    </row>
    <row r="56" spans="1:49" customFormat="1" ht="15" customHeight="1">
      <c r="A56" s="163" t="s">
        <v>132</v>
      </c>
      <c r="C56" s="11">
        <v>45537</v>
      </c>
      <c r="D56" s="241" t="s">
        <v>284</v>
      </c>
      <c r="E56" s="163" t="s">
        <v>134</v>
      </c>
      <c r="F56" s="259" t="s">
        <v>71</v>
      </c>
      <c r="G56" s="2" t="s">
        <v>72</v>
      </c>
      <c r="H56" s="67" t="s">
        <v>135</v>
      </c>
      <c r="I56" s="2">
        <v>1</v>
      </c>
      <c r="J56" s="179">
        <v>150</v>
      </c>
      <c r="K56" s="243"/>
      <c r="L56" s="87" t="s">
        <v>136</v>
      </c>
      <c r="M56" s="87" t="s">
        <v>137</v>
      </c>
      <c r="N56" s="87" t="s">
        <v>138</v>
      </c>
      <c r="O56" s="87" t="s">
        <v>285</v>
      </c>
      <c r="P56" s="184"/>
      <c r="Q56" s="171"/>
      <c r="R56" s="7"/>
      <c r="S56" s="2"/>
      <c r="T56" s="2"/>
      <c r="U56" s="2"/>
      <c r="V56" s="2"/>
      <c r="W56" s="2"/>
      <c r="X56" s="2"/>
      <c r="Y56" s="2"/>
      <c r="Z56" s="7"/>
      <c r="AA56" s="2"/>
      <c r="AB56" s="2"/>
      <c r="AC56" s="2"/>
      <c r="AD56" s="2"/>
      <c r="AE56" s="2"/>
      <c r="AF56" s="2"/>
      <c r="AG56" s="7">
        <v>43</v>
      </c>
      <c r="AH56" s="7"/>
      <c r="AI56" s="2"/>
      <c r="AJ56" s="2"/>
      <c r="AK56" s="2"/>
      <c r="AL56" s="7"/>
      <c r="AM56" s="2"/>
      <c r="AN56" s="2"/>
      <c r="AO56" s="2"/>
      <c r="AP56" s="2"/>
      <c r="AQ56" s="2"/>
      <c r="AR56" s="2"/>
      <c r="AS56" s="7"/>
      <c r="AT56" s="2"/>
      <c r="AU56" s="7"/>
      <c r="AV56" s="2"/>
      <c r="AW56" s="10"/>
    </row>
    <row r="57" spans="1:49" customFormat="1" ht="15" customHeight="1">
      <c r="A57" s="163" t="s">
        <v>144</v>
      </c>
      <c r="C57" s="11">
        <v>45538</v>
      </c>
      <c r="D57" s="192" t="s">
        <v>286</v>
      </c>
      <c r="E57" s="163" t="s">
        <v>287</v>
      </c>
      <c r="F57" s="259" t="s">
        <v>71</v>
      </c>
      <c r="G57" s="2" t="s">
        <v>72</v>
      </c>
      <c r="H57" s="34" t="s">
        <v>288</v>
      </c>
      <c r="I57" s="2">
        <v>43</v>
      </c>
      <c r="J57" s="181">
        <f>30*I57</f>
        <v>1290</v>
      </c>
      <c r="K57" s="246" t="s">
        <v>68</v>
      </c>
      <c r="L57" s="48" t="s">
        <v>68</v>
      </c>
      <c r="M57" s="48" t="s">
        <v>73</v>
      </c>
      <c r="N57" s="48" t="s">
        <v>289</v>
      </c>
      <c r="O57" s="48" t="s">
        <v>290</v>
      </c>
      <c r="P57" s="168"/>
      <c r="Q57" s="171"/>
      <c r="R57" s="7"/>
      <c r="S57" s="2"/>
      <c r="T57" s="2"/>
      <c r="U57" s="2"/>
      <c r="V57" s="2"/>
      <c r="W57" s="2"/>
      <c r="X57" s="2"/>
      <c r="Y57" s="2"/>
      <c r="Z57" s="7"/>
      <c r="AA57" s="2"/>
      <c r="AB57" s="2"/>
      <c r="AC57" s="2"/>
      <c r="AD57" s="2"/>
      <c r="AE57" s="2"/>
      <c r="AF57" s="2"/>
      <c r="AG57" s="7"/>
      <c r="AH57" s="7"/>
      <c r="AI57" s="2"/>
      <c r="AJ57" s="2"/>
      <c r="AK57" s="2"/>
      <c r="AL57" s="7"/>
      <c r="AM57" s="2"/>
      <c r="AN57" s="2"/>
      <c r="AO57" s="2"/>
      <c r="AP57" s="2"/>
      <c r="AQ57" s="2"/>
      <c r="AR57" s="2"/>
      <c r="AS57" s="7"/>
      <c r="AT57" s="2"/>
      <c r="AU57" s="7"/>
      <c r="AV57" s="2"/>
      <c r="AW57" s="10"/>
    </row>
    <row r="58" spans="1:49" customFormat="1" ht="15" customHeight="1">
      <c r="A58" s="163" t="s">
        <v>144</v>
      </c>
      <c r="C58" s="11">
        <v>45539</v>
      </c>
      <c r="D58" s="33" t="s">
        <v>291</v>
      </c>
      <c r="E58" s="176" t="s">
        <v>146</v>
      </c>
      <c r="F58" s="259" t="s">
        <v>71</v>
      </c>
      <c r="G58" s="2" t="s">
        <v>147</v>
      </c>
      <c r="H58" s="34" t="s">
        <v>292</v>
      </c>
      <c r="I58" s="2" t="s">
        <v>68</v>
      </c>
      <c r="J58" s="178">
        <v>250</v>
      </c>
      <c r="K58" s="246"/>
      <c r="L58" s="48" t="s">
        <v>68</v>
      </c>
      <c r="M58" s="48" t="s">
        <v>137</v>
      </c>
      <c r="N58" s="48" t="s">
        <v>293</v>
      </c>
      <c r="O58" s="48" t="s">
        <v>294</v>
      </c>
      <c r="P58" s="168"/>
      <c r="Q58" s="171"/>
      <c r="R58" s="7"/>
      <c r="S58" s="2"/>
      <c r="T58" s="2"/>
      <c r="U58" s="2"/>
      <c r="V58" s="2"/>
      <c r="W58" s="2"/>
      <c r="X58" s="2"/>
      <c r="Y58" s="2"/>
      <c r="Z58" s="7"/>
      <c r="AA58" s="2"/>
      <c r="AB58" s="2"/>
      <c r="AC58" s="2"/>
      <c r="AD58" s="2"/>
      <c r="AE58" s="2"/>
      <c r="AF58" s="2"/>
      <c r="AG58" s="7"/>
      <c r="AH58" s="7"/>
      <c r="AI58" s="2"/>
      <c r="AJ58" s="2"/>
      <c r="AK58" s="2"/>
      <c r="AL58" s="7"/>
      <c r="AM58" s="2"/>
      <c r="AN58" s="2"/>
      <c r="AO58" s="2"/>
      <c r="AP58" s="2"/>
      <c r="AQ58" s="2"/>
      <c r="AR58" s="2"/>
      <c r="AS58" s="7"/>
      <c r="AT58" s="2"/>
      <c r="AU58" s="7"/>
      <c r="AV58" s="2"/>
      <c r="AW58" s="10"/>
    </row>
    <row r="59" spans="1:49" customFormat="1" ht="15" customHeight="1">
      <c r="A59" s="163" t="s">
        <v>144</v>
      </c>
      <c r="C59" s="11">
        <v>45539</v>
      </c>
      <c r="D59" s="33" t="s">
        <v>295</v>
      </c>
      <c r="E59" s="176" t="s">
        <v>296</v>
      </c>
      <c r="F59" s="259" t="s">
        <v>71</v>
      </c>
      <c r="G59" s="2" t="s">
        <v>147</v>
      </c>
      <c r="H59" s="34" t="s">
        <v>297</v>
      </c>
      <c r="I59" s="2" t="s">
        <v>68</v>
      </c>
      <c r="J59" s="178">
        <v>250</v>
      </c>
      <c r="K59" s="246"/>
      <c r="L59" s="48" t="s">
        <v>68</v>
      </c>
      <c r="M59" s="48" t="s">
        <v>137</v>
      </c>
      <c r="N59" s="48" t="s">
        <v>298</v>
      </c>
      <c r="O59" s="48" t="s">
        <v>294</v>
      </c>
      <c r="P59" s="168"/>
      <c r="Q59" s="171"/>
      <c r="R59" s="7"/>
      <c r="S59" s="2"/>
      <c r="T59" s="2"/>
      <c r="U59" s="2"/>
      <c r="V59" s="2"/>
      <c r="W59" s="2"/>
      <c r="X59" s="2"/>
      <c r="Y59" s="2"/>
      <c r="Z59" s="7"/>
      <c r="AA59" s="2"/>
      <c r="AB59" s="2"/>
      <c r="AC59" s="2"/>
      <c r="AD59" s="2"/>
      <c r="AE59" s="2"/>
      <c r="AF59" s="2"/>
      <c r="AG59" s="7"/>
      <c r="AH59" s="7"/>
      <c r="AI59" s="2"/>
      <c r="AJ59" s="2"/>
      <c r="AK59" s="2"/>
      <c r="AL59" s="7"/>
      <c r="AM59" s="2"/>
      <c r="AN59" s="2"/>
      <c r="AO59" s="2"/>
      <c r="AP59" s="2"/>
      <c r="AQ59" s="2"/>
      <c r="AR59" s="2"/>
      <c r="AS59" s="7"/>
      <c r="AT59" s="2"/>
      <c r="AU59" s="7"/>
      <c r="AV59" s="2"/>
      <c r="AW59" s="10"/>
    </row>
    <row r="60" spans="1:49" customFormat="1" ht="15" customHeight="1">
      <c r="A60" s="163" t="s">
        <v>103</v>
      </c>
      <c r="C60" s="11">
        <v>45541</v>
      </c>
      <c r="D60" s="33" t="s">
        <v>299</v>
      </c>
      <c r="E60" s="163" t="s">
        <v>105</v>
      </c>
      <c r="F60" s="259" t="s">
        <v>71</v>
      </c>
      <c r="G60" s="2" t="s">
        <v>72</v>
      </c>
      <c r="H60" s="2" t="s">
        <v>68</v>
      </c>
      <c r="I60" s="2">
        <v>1</v>
      </c>
      <c r="J60" s="178">
        <v>40</v>
      </c>
      <c r="K60" s="246"/>
      <c r="L60" s="48"/>
      <c r="M60" s="48" t="s">
        <v>73</v>
      </c>
      <c r="N60" s="48" t="s">
        <v>300</v>
      </c>
      <c r="O60" s="168" t="s">
        <v>108</v>
      </c>
      <c r="P60" s="168"/>
      <c r="Q60" s="171"/>
      <c r="R60" s="7"/>
      <c r="S60" s="2"/>
      <c r="T60" s="2"/>
      <c r="U60" s="2"/>
      <c r="V60" s="2"/>
      <c r="W60" s="2"/>
      <c r="X60" s="2"/>
      <c r="Y60" s="2"/>
      <c r="Z60" s="7"/>
      <c r="AA60" s="2"/>
      <c r="AB60" s="2"/>
      <c r="AC60" s="2"/>
      <c r="AD60" s="2"/>
      <c r="AE60" s="2"/>
      <c r="AF60" s="2"/>
      <c r="AG60" s="7"/>
      <c r="AH60" s="7"/>
      <c r="AI60" s="2"/>
      <c r="AJ60" s="2"/>
      <c r="AK60" s="2"/>
      <c r="AL60" s="7"/>
      <c r="AM60" s="2"/>
      <c r="AN60" s="2"/>
      <c r="AO60" s="2"/>
      <c r="AP60" s="2"/>
      <c r="AQ60" s="2"/>
      <c r="AR60" s="2"/>
      <c r="AS60" s="7"/>
      <c r="AT60" s="2"/>
      <c r="AU60" s="7"/>
      <c r="AV60" s="2"/>
      <c r="AW60" s="10"/>
    </row>
    <row r="61" spans="1:49" customFormat="1" ht="15" customHeight="1">
      <c r="A61" s="163" t="s">
        <v>144</v>
      </c>
      <c r="C61" s="11">
        <v>45548</v>
      </c>
      <c r="D61" s="33" t="s">
        <v>301</v>
      </c>
      <c r="E61" s="163" t="s">
        <v>302</v>
      </c>
      <c r="F61" s="259" t="s">
        <v>71</v>
      </c>
      <c r="G61" s="2" t="s">
        <v>147</v>
      </c>
      <c r="H61" s="34" t="s">
        <v>303</v>
      </c>
      <c r="I61" s="2">
        <v>1</v>
      </c>
      <c r="J61" s="178">
        <f>18*40</f>
        <v>720</v>
      </c>
      <c r="K61" s="246"/>
      <c r="L61" s="48" t="s">
        <v>68</v>
      </c>
      <c r="M61" s="48" t="s">
        <v>137</v>
      </c>
      <c r="N61" s="48" t="s">
        <v>304</v>
      </c>
      <c r="O61" s="48" t="s">
        <v>294</v>
      </c>
      <c r="P61" s="168"/>
      <c r="Q61" s="171"/>
      <c r="R61" s="7"/>
      <c r="S61" s="2"/>
      <c r="T61" s="2"/>
      <c r="U61" s="2"/>
      <c r="V61" s="2"/>
      <c r="W61" s="2"/>
      <c r="X61" s="2"/>
      <c r="Y61" s="2"/>
      <c r="Z61" s="7"/>
      <c r="AA61" s="2"/>
      <c r="AB61" s="2"/>
      <c r="AC61" s="2"/>
      <c r="AD61" s="2"/>
      <c r="AE61" s="2"/>
      <c r="AF61" s="2"/>
      <c r="AG61" s="7">
        <v>18</v>
      </c>
      <c r="AH61" s="7"/>
      <c r="AI61" s="2"/>
      <c r="AJ61" s="2"/>
      <c r="AK61" s="2"/>
      <c r="AL61" s="7"/>
      <c r="AM61" s="2"/>
      <c r="AN61" s="2"/>
      <c r="AO61" s="2"/>
      <c r="AP61" s="2"/>
      <c r="AQ61" s="2"/>
      <c r="AR61" s="2"/>
      <c r="AS61" s="7"/>
      <c r="AT61" s="2"/>
      <c r="AU61" s="7"/>
      <c r="AV61" s="2"/>
      <c r="AW61" s="10"/>
    </row>
    <row r="62" spans="1:49" customFormat="1" ht="15" customHeight="1">
      <c r="A62" s="163" t="s">
        <v>178</v>
      </c>
      <c r="C62" s="11">
        <v>45552</v>
      </c>
      <c r="D62" s="33" t="s">
        <v>305</v>
      </c>
      <c r="E62" s="176" t="s">
        <v>306</v>
      </c>
      <c r="F62" s="259" t="s">
        <v>71</v>
      </c>
      <c r="G62" s="2" t="s">
        <v>72</v>
      </c>
      <c r="I62" s="2">
        <v>1</v>
      </c>
      <c r="J62" s="178">
        <v>450</v>
      </c>
      <c r="K62" s="246" t="s">
        <v>68</v>
      </c>
      <c r="L62" s="48" t="s">
        <v>68</v>
      </c>
      <c r="M62" s="48" t="s">
        <v>73</v>
      </c>
      <c r="N62" s="48" t="s">
        <v>307</v>
      </c>
      <c r="O62" s="48" t="s">
        <v>308</v>
      </c>
      <c r="P62" s="168"/>
      <c r="Q62" s="171"/>
      <c r="R62" s="7"/>
      <c r="S62" s="2"/>
      <c r="T62" s="2"/>
      <c r="U62" s="2"/>
      <c r="V62" s="2"/>
      <c r="W62" s="2"/>
      <c r="X62" s="2"/>
      <c r="Y62" s="2"/>
      <c r="Z62" s="7"/>
      <c r="AA62" s="2"/>
      <c r="AB62" s="2"/>
      <c r="AC62" s="2"/>
      <c r="AD62" s="2"/>
      <c r="AE62" s="2"/>
      <c r="AF62" s="2"/>
      <c r="AG62" s="7"/>
      <c r="AH62" s="7"/>
      <c r="AI62" s="2"/>
      <c r="AJ62" s="2"/>
      <c r="AK62" s="2"/>
      <c r="AL62" s="7"/>
      <c r="AM62" s="2"/>
      <c r="AN62" s="2"/>
      <c r="AO62" s="2"/>
      <c r="AP62" s="2"/>
      <c r="AQ62" s="2"/>
      <c r="AR62" s="2"/>
      <c r="AS62" s="7"/>
      <c r="AT62" s="2"/>
      <c r="AU62" s="7"/>
      <c r="AV62" s="2"/>
      <c r="AW62" s="10"/>
    </row>
    <row r="63" spans="1:49" customFormat="1" ht="15" customHeight="1">
      <c r="A63" s="163" t="s">
        <v>178</v>
      </c>
      <c r="C63" s="11">
        <v>45552</v>
      </c>
      <c r="D63" s="33" t="s">
        <v>309</v>
      </c>
      <c r="E63" s="176" t="s">
        <v>306</v>
      </c>
      <c r="F63" s="259" t="s">
        <v>71</v>
      </c>
      <c r="G63" s="2" t="s">
        <v>72</v>
      </c>
      <c r="H63" s="34" t="s">
        <v>310</v>
      </c>
      <c r="I63" s="2">
        <v>1</v>
      </c>
      <c r="J63" s="178">
        <v>450</v>
      </c>
      <c r="K63" s="246"/>
      <c r="L63" s="48"/>
      <c r="M63" s="48" t="s">
        <v>73</v>
      </c>
      <c r="N63" s="48" t="s">
        <v>311</v>
      </c>
      <c r="O63" s="48" t="s">
        <v>308</v>
      </c>
      <c r="P63" s="168"/>
      <c r="Q63" s="171"/>
      <c r="R63" s="7"/>
      <c r="S63" s="2"/>
      <c r="T63" s="2"/>
      <c r="U63" s="2"/>
      <c r="V63" s="2"/>
      <c r="W63" s="2"/>
      <c r="X63" s="2"/>
      <c r="Y63" s="2"/>
      <c r="Z63" s="7"/>
      <c r="AA63" s="2"/>
      <c r="AB63" s="2"/>
      <c r="AC63" s="2"/>
      <c r="AD63" s="2"/>
      <c r="AE63" s="2"/>
      <c r="AF63" s="2"/>
      <c r="AG63" s="7"/>
      <c r="AH63" s="7"/>
      <c r="AI63" s="2"/>
      <c r="AJ63" s="2"/>
      <c r="AK63" s="2"/>
      <c r="AL63" s="7"/>
      <c r="AM63" s="2"/>
      <c r="AN63" s="2"/>
      <c r="AO63" s="2"/>
      <c r="AP63" s="2"/>
      <c r="AQ63" s="2"/>
      <c r="AR63" s="2"/>
      <c r="AS63" s="7"/>
      <c r="AT63" s="2"/>
      <c r="AU63" s="7"/>
      <c r="AV63" s="2"/>
      <c r="AW63" s="10"/>
    </row>
    <row r="64" spans="1:49" customFormat="1" ht="15" customHeight="1">
      <c r="A64" s="163" t="s">
        <v>103</v>
      </c>
      <c r="C64" s="11">
        <v>45552</v>
      </c>
      <c r="D64" s="33" t="s">
        <v>312</v>
      </c>
      <c r="E64" s="163" t="s">
        <v>105</v>
      </c>
      <c r="F64" s="259" t="s">
        <v>71</v>
      </c>
      <c r="G64" s="2" t="s">
        <v>72</v>
      </c>
      <c r="H64" s="2" t="s">
        <v>68</v>
      </c>
      <c r="I64" s="2">
        <v>1</v>
      </c>
      <c r="J64" s="178">
        <v>40</v>
      </c>
      <c r="K64" s="246"/>
      <c r="L64" s="48"/>
      <c r="M64" s="48" t="s">
        <v>73</v>
      </c>
      <c r="N64" s="48" t="s">
        <v>313</v>
      </c>
      <c r="O64" s="168" t="s">
        <v>244</v>
      </c>
      <c r="P64" s="172"/>
      <c r="Q64" s="171"/>
      <c r="R64" s="7"/>
      <c r="S64" s="2">
        <v>8</v>
      </c>
      <c r="T64" s="2"/>
      <c r="U64" s="2"/>
      <c r="V64" s="2"/>
      <c r="W64" s="2"/>
      <c r="X64" s="2"/>
      <c r="Y64" s="2"/>
      <c r="Z64" s="7"/>
      <c r="AA64" s="2"/>
      <c r="AB64" s="2"/>
      <c r="AC64" s="2"/>
      <c r="AD64" s="2"/>
      <c r="AE64" s="2"/>
      <c r="AF64" s="2"/>
      <c r="AG64" s="7"/>
      <c r="AH64" s="7"/>
      <c r="AI64" s="2"/>
      <c r="AJ64" s="2"/>
      <c r="AK64" s="2"/>
      <c r="AL64" s="7"/>
      <c r="AM64" s="2"/>
      <c r="AN64" s="2"/>
      <c r="AO64" s="2"/>
      <c r="AP64" s="2"/>
      <c r="AQ64" s="2"/>
      <c r="AR64" s="2"/>
      <c r="AS64" s="7"/>
      <c r="AT64" s="2"/>
      <c r="AU64" s="7"/>
      <c r="AV64" s="2"/>
      <c r="AW64" s="10"/>
    </row>
    <row r="65" spans="1:49" customFormat="1" ht="15" customHeight="1">
      <c r="A65" s="163" t="s">
        <v>144</v>
      </c>
      <c r="C65" s="11">
        <v>45562</v>
      </c>
      <c r="D65" s="6" t="s">
        <v>314</v>
      </c>
      <c r="E65" s="163" t="s">
        <v>270</v>
      </c>
      <c r="F65" s="259" t="s">
        <v>71</v>
      </c>
      <c r="G65" s="2" t="s">
        <v>147</v>
      </c>
      <c r="H65" s="34" t="s">
        <v>315</v>
      </c>
      <c r="I65" s="2">
        <v>8</v>
      </c>
      <c r="J65" s="178">
        <f>8*30</f>
        <v>240</v>
      </c>
      <c r="K65" s="246"/>
      <c r="L65" s="48"/>
      <c r="M65" s="48" t="s">
        <v>73</v>
      </c>
      <c r="N65" s="48" t="s">
        <v>316</v>
      </c>
      <c r="O65" s="48" t="s">
        <v>290</v>
      </c>
      <c r="P65" s="168"/>
      <c r="Q65" s="171"/>
      <c r="R65" s="7"/>
      <c r="S65" s="2"/>
      <c r="T65" s="2"/>
      <c r="U65" s="2"/>
      <c r="V65" s="2"/>
      <c r="W65" s="2"/>
      <c r="X65" s="2"/>
      <c r="Y65" s="2"/>
      <c r="Z65" s="7"/>
      <c r="AA65" s="2"/>
      <c r="AB65" s="2"/>
      <c r="AC65" s="2"/>
      <c r="AD65" s="2"/>
      <c r="AE65" s="2"/>
      <c r="AF65" s="2"/>
      <c r="AG65" s="7"/>
      <c r="AH65" s="7"/>
      <c r="AI65" s="2"/>
      <c r="AJ65" s="2"/>
      <c r="AK65" s="2"/>
      <c r="AL65" s="7"/>
      <c r="AM65" s="2"/>
      <c r="AN65" s="2"/>
      <c r="AO65" s="2"/>
      <c r="AP65" s="2"/>
      <c r="AQ65" s="2"/>
      <c r="AR65" s="2"/>
      <c r="AS65" s="7"/>
      <c r="AT65" s="2"/>
      <c r="AU65" s="7"/>
      <c r="AV65" s="2"/>
      <c r="AW65" s="10"/>
    </row>
    <row r="66" spans="1:49" customFormat="1" ht="15" customHeight="1">
      <c r="A66" s="163" t="s">
        <v>144</v>
      </c>
      <c r="C66" s="11">
        <v>45573</v>
      </c>
      <c r="D66" s="33" t="s">
        <v>317</v>
      </c>
      <c r="E66" s="176" t="s">
        <v>296</v>
      </c>
      <c r="F66" s="259" t="s">
        <v>71</v>
      </c>
      <c r="G66" s="2" t="s">
        <v>147</v>
      </c>
      <c r="H66" s="34" t="s">
        <v>318</v>
      </c>
      <c r="I66" s="2">
        <v>2</v>
      </c>
      <c r="J66" s="178">
        <v>700</v>
      </c>
      <c r="K66" s="246"/>
      <c r="L66" s="48"/>
      <c r="M66" s="48" t="s">
        <v>73</v>
      </c>
      <c r="N66" s="48" t="s">
        <v>319</v>
      </c>
      <c r="O66" s="48" t="s">
        <v>290</v>
      </c>
      <c r="P66" s="168"/>
      <c r="Q66" s="171"/>
      <c r="R66" s="7"/>
      <c r="S66" s="2">
        <v>20</v>
      </c>
      <c r="T66" s="2"/>
      <c r="U66" s="2"/>
      <c r="V66" s="2"/>
      <c r="W66" s="2"/>
      <c r="X66" s="2"/>
      <c r="Y66" s="2"/>
      <c r="Z66" s="7"/>
      <c r="AA66" s="2"/>
      <c r="AB66" s="2"/>
      <c r="AC66" s="2"/>
      <c r="AD66" s="2"/>
      <c r="AE66" s="2"/>
      <c r="AF66" s="2"/>
      <c r="AG66" s="7"/>
      <c r="AH66" s="7"/>
      <c r="AI66" s="2"/>
      <c r="AJ66" s="2"/>
      <c r="AK66" s="2"/>
      <c r="AL66" s="7"/>
      <c r="AM66" s="2"/>
      <c r="AN66" s="2"/>
      <c r="AO66" s="2"/>
      <c r="AP66" s="2"/>
      <c r="AQ66" s="2"/>
      <c r="AR66" s="2"/>
      <c r="AS66" s="7"/>
      <c r="AT66" s="2"/>
      <c r="AU66" s="7"/>
      <c r="AV66" s="2"/>
      <c r="AW66" s="10"/>
    </row>
    <row r="67" spans="1:49" customFormat="1" ht="15" customHeight="1">
      <c r="A67" s="163" t="s">
        <v>103</v>
      </c>
      <c r="C67" s="11">
        <v>45580</v>
      </c>
      <c r="D67" s="33" t="s">
        <v>320</v>
      </c>
      <c r="E67" s="163" t="s">
        <v>105</v>
      </c>
      <c r="F67" s="259" t="s">
        <v>71</v>
      </c>
      <c r="G67" s="2" t="s">
        <v>72</v>
      </c>
      <c r="H67" s="2" t="s">
        <v>68</v>
      </c>
      <c r="I67" s="2">
        <v>1</v>
      </c>
      <c r="J67" s="178">
        <v>40</v>
      </c>
      <c r="K67" s="246"/>
      <c r="L67" s="48"/>
      <c r="M67" s="48" t="s">
        <v>73</v>
      </c>
      <c r="N67" s="48" t="s">
        <v>321</v>
      </c>
      <c r="O67" s="48" t="s">
        <v>108</v>
      </c>
      <c r="P67" s="168"/>
      <c r="Q67" s="194"/>
      <c r="R67" s="2"/>
      <c r="S67" s="2"/>
      <c r="T67" s="2"/>
      <c r="U67" s="2"/>
      <c r="V67" s="2"/>
      <c r="W67" s="2"/>
      <c r="X67" s="2"/>
      <c r="Y67" s="7"/>
      <c r="Z67" s="2"/>
      <c r="AA67" s="2"/>
      <c r="AB67" s="2"/>
      <c r="AC67" s="2"/>
      <c r="AD67" s="2"/>
      <c r="AE67" s="2"/>
      <c r="AF67" s="7"/>
      <c r="AG67" s="7">
        <v>17</v>
      </c>
      <c r="AH67" s="2"/>
      <c r="AI67" s="2"/>
      <c r="AJ67" s="2"/>
      <c r="AK67" s="7"/>
      <c r="AL67" s="2"/>
      <c r="AM67" s="2"/>
      <c r="AN67" s="2"/>
      <c r="AO67" s="2"/>
      <c r="AP67" s="2"/>
      <c r="AQ67" s="2"/>
      <c r="AR67" s="2"/>
      <c r="AS67" s="7"/>
      <c r="AT67" s="2"/>
      <c r="AU67" s="7"/>
      <c r="AV67" s="2"/>
      <c r="AW67" s="10"/>
    </row>
    <row r="68" spans="1:49" customFormat="1" ht="15" customHeight="1">
      <c r="A68" s="163" t="s">
        <v>103</v>
      </c>
      <c r="C68" s="11">
        <v>45580</v>
      </c>
      <c r="D68" s="33" t="s">
        <v>322</v>
      </c>
      <c r="E68" s="163" t="s">
        <v>105</v>
      </c>
      <c r="F68" s="259" t="s">
        <v>71</v>
      </c>
      <c r="G68" s="2" t="s">
        <v>72</v>
      </c>
      <c r="H68" s="2" t="s">
        <v>68</v>
      </c>
      <c r="I68" s="2">
        <v>1</v>
      </c>
      <c r="J68" s="178">
        <v>60</v>
      </c>
      <c r="K68" s="246"/>
      <c r="L68" s="48"/>
      <c r="M68" s="48" t="s">
        <v>73</v>
      </c>
      <c r="N68" s="48" t="s">
        <v>323</v>
      </c>
      <c r="O68" s="48" t="s">
        <v>108</v>
      </c>
      <c r="P68" s="168"/>
      <c r="Q68" s="171"/>
      <c r="R68" s="7"/>
      <c r="S68" s="2"/>
      <c r="T68" s="2"/>
      <c r="U68" s="2"/>
      <c r="V68" s="2"/>
      <c r="W68" s="2"/>
      <c r="X68" s="2"/>
      <c r="Y68" s="2"/>
      <c r="Z68" s="7"/>
      <c r="AA68" s="2"/>
      <c r="AB68" s="2"/>
      <c r="AC68" s="2"/>
      <c r="AD68" s="2"/>
      <c r="AE68" s="2"/>
      <c r="AF68" s="2"/>
      <c r="AG68" s="7"/>
      <c r="AH68" s="7"/>
      <c r="AI68" s="2"/>
      <c r="AJ68" s="2"/>
      <c r="AK68" s="2"/>
      <c r="AL68" s="7"/>
      <c r="AM68" s="2"/>
      <c r="AN68" s="2"/>
      <c r="AO68" s="2"/>
      <c r="AP68" s="2"/>
      <c r="AQ68" s="2"/>
      <c r="AR68" s="2"/>
      <c r="AS68" s="7"/>
      <c r="AT68" s="2"/>
      <c r="AU68" s="7"/>
      <c r="AV68" s="2"/>
      <c r="AW68" s="10"/>
    </row>
    <row r="69" spans="1:49" customFormat="1" ht="15" customHeight="1">
      <c r="A69" s="163" t="s">
        <v>103</v>
      </c>
      <c r="C69" s="11">
        <v>45580</v>
      </c>
      <c r="D69" s="33" t="s">
        <v>324</v>
      </c>
      <c r="E69" s="163" t="s">
        <v>105</v>
      </c>
      <c r="F69" s="259" t="s">
        <v>71</v>
      </c>
      <c r="G69" s="2" t="s">
        <v>72</v>
      </c>
      <c r="H69" s="2" t="s">
        <v>68</v>
      </c>
      <c r="I69" s="2">
        <v>1</v>
      </c>
      <c r="J69" s="178">
        <v>40</v>
      </c>
      <c r="K69" s="246"/>
      <c r="L69" s="48"/>
      <c r="M69" s="48" t="s">
        <v>73</v>
      </c>
      <c r="N69" s="48" t="s">
        <v>325</v>
      </c>
      <c r="O69" s="48" t="s">
        <v>108</v>
      </c>
      <c r="P69" s="168"/>
      <c r="Q69" s="171"/>
      <c r="R69" s="7"/>
      <c r="S69" s="2"/>
      <c r="T69" s="2"/>
      <c r="U69" s="2"/>
      <c r="V69" s="2"/>
      <c r="W69" s="2"/>
      <c r="X69" s="2"/>
      <c r="Y69" s="2"/>
      <c r="Z69" s="7"/>
      <c r="AA69" s="2"/>
      <c r="AB69" s="2"/>
      <c r="AC69" s="2"/>
      <c r="AD69" s="2"/>
      <c r="AE69" s="2"/>
      <c r="AF69" s="2"/>
      <c r="AG69" s="7"/>
      <c r="AH69" s="7"/>
      <c r="AI69" s="2"/>
      <c r="AJ69" s="2"/>
      <c r="AK69" s="2"/>
      <c r="AL69" s="7"/>
      <c r="AM69" s="2"/>
      <c r="AN69" s="2"/>
      <c r="AO69" s="2"/>
      <c r="AP69" s="2"/>
      <c r="AQ69" s="2"/>
      <c r="AR69" s="2"/>
      <c r="AS69" s="7"/>
      <c r="AT69" s="2"/>
      <c r="AU69" s="7"/>
      <c r="AV69" s="2"/>
      <c r="AW69" s="10"/>
    </row>
    <row r="70" spans="1:49" customFormat="1" ht="15" customHeight="1">
      <c r="A70" s="163" t="s">
        <v>237</v>
      </c>
      <c r="C70" s="11">
        <v>45606</v>
      </c>
      <c r="D70" s="54" t="s">
        <v>326</v>
      </c>
      <c r="E70" s="163" t="s">
        <v>239</v>
      </c>
      <c r="F70" s="259" t="s">
        <v>71</v>
      </c>
      <c r="G70" s="2" t="s">
        <v>72</v>
      </c>
      <c r="H70" s="2" t="s">
        <v>68</v>
      </c>
      <c r="I70" s="2">
        <v>1</v>
      </c>
      <c r="J70" s="179">
        <v>1600</v>
      </c>
      <c r="K70" s="243" t="s">
        <v>327</v>
      </c>
      <c r="L70" s="87" t="s">
        <v>328</v>
      </c>
      <c r="M70" s="87" t="s">
        <v>329</v>
      </c>
      <c r="N70" s="87" t="s">
        <v>330</v>
      </c>
      <c r="O70" s="48" t="s">
        <v>331</v>
      </c>
      <c r="P70" s="77"/>
      <c r="Q70" s="193"/>
      <c r="R70" s="7"/>
      <c r="S70" s="2"/>
      <c r="T70" s="2"/>
      <c r="U70" s="2"/>
      <c r="V70" s="2"/>
      <c r="W70" s="2"/>
      <c r="X70" s="2"/>
      <c r="Y70" s="2"/>
      <c r="Z70" s="7"/>
      <c r="AA70" s="2"/>
      <c r="AB70" s="2"/>
      <c r="AC70" s="2"/>
      <c r="AD70" s="2"/>
      <c r="AE70" s="2"/>
      <c r="AF70" s="2"/>
      <c r="AG70" s="7"/>
      <c r="AH70" s="7"/>
      <c r="AI70" s="2"/>
      <c r="AJ70" s="2"/>
      <c r="AK70" s="2"/>
      <c r="AL70" s="7"/>
      <c r="AM70" s="2"/>
      <c r="AN70" s="2"/>
      <c r="AO70" s="2"/>
      <c r="AP70" s="2"/>
      <c r="AQ70" s="2"/>
      <c r="AR70" s="2"/>
      <c r="AS70" s="7"/>
      <c r="AT70" s="2"/>
      <c r="AU70" s="7"/>
      <c r="AV70" s="2"/>
      <c r="AW70" s="10"/>
    </row>
    <row r="71" spans="1:49" customFormat="1" ht="15" customHeight="1">
      <c r="A71" s="163" t="s">
        <v>103</v>
      </c>
      <c r="C71" s="11">
        <v>45618</v>
      </c>
      <c r="D71" s="33" t="s">
        <v>332</v>
      </c>
      <c r="E71" s="163" t="s">
        <v>105</v>
      </c>
      <c r="F71" s="259" t="s">
        <v>71</v>
      </c>
      <c r="G71" s="2" t="s">
        <v>72</v>
      </c>
      <c r="H71" s="2" t="s">
        <v>68</v>
      </c>
      <c r="I71" s="2">
        <v>1</v>
      </c>
      <c r="J71" s="178">
        <v>40</v>
      </c>
      <c r="K71" s="246"/>
      <c r="L71" s="48"/>
      <c r="M71" s="48" t="s">
        <v>73</v>
      </c>
      <c r="N71" s="48" t="s">
        <v>333</v>
      </c>
      <c r="O71" s="48" t="s">
        <v>334</v>
      </c>
      <c r="P71" s="168"/>
      <c r="Q71" s="171"/>
      <c r="R71" s="7"/>
      <c r="S71" s="2"/>
      <c r="T71" s="2"/>
      <c r="U71" s="2"/>
      <c r="V71" s="2"/>
      <c r="W71" s="2"/>
      <c r="X71" s="2"/>
      <c r="Y71" s="2"/>
      <c r="Z71" s="7"/>
      <c r="AA71" s="2"/>
      <c r="AB71" s="2"/>
      <c r="AC71" s="2"/>
      <c r="AD71" s="2"/>
      <c r="AE71" s="2"/>
      <c r="AF71" s="2"/>
      <c r="AG71" s="7"/>
      <c r="AH71" s="7"/>
      <c r="AI71" s="2"/>
      <c r="AJ71" s="2"/>
      <c r="AK71" s="2"/>
      <c r="AL71" s="7"/>
      <c r="AM71" s="2"/>
      <c r="AN71" s="2"/>
      <c r="AO71" s="2"/>
      <c r="AP71" s="2"/>
      <c r="AQ71" s="2"/>
      <c r="AR71" s="2"/>
      <c r="AS71" s="7"/>
      <c r="AT71" s="2"/>
      <c r="AU71" s="7"/>
      <c r="AV71" s="2"/>
      <c r="AW71" s="10"/>
    </row>
    <row r="72" spans="1:49" customFormat="1" ht="15" customHeight="1">
      <c r="A72" s="163" t="s">
        <v>178</v>
      </c>
      <c r="C72" s="11">
        <v>45628</v>
      </c>
      <c r="D72" s="6" t="s">
        <v>335</v>
      </c>
      <c r="E72" s="176" t="s">
        <v>306</v>
      </c>
      <c r="F72" s="259" t="s">
        <v>71</v>
      </c>
      <c r="G72" s="2" t="s">
        <v>72</v>
      </c>
      <c r="H72" s="34" t="s">
        <v>336</v>
      </c>
      <c r="I72" s="2">
        <v>1</v>
      </c>
      <c r="J72" s="178">
        <f>450+260</f>
        <v>710</v>
      </c>
      <c r="K72" s="246"/>
      <c r="L72" s="48"/>
      <c r="M72" s="48" t="s">
        <v>73</v>
      </c>
      <c r="N72" s="48" t="s">
        <v>337</v>
      </c>
      <c r="O72" s="48" t="s">
        <v>338</v>
      </c>
      <c r="P72" s="168"/>
      <c r="Q72" s="184"/>
      <c r="R72" s="7"/>
      <c r="S72" s="2"/>
      <c r="T72" s="2"/>
      <c r="U72" s="2"/>
      <c r="V72" s="2"/>
      <c r="W72" s="2"/>
      <c r="X72" s="2"/>
      <c r="Y72" s="2"/>
      <c r="Z72" s="7"/>
      <c r="AA72" s="2"/>
      <c r="AB72" s="2"/>
      <c r="AC72" s="2"/>
      <c r="AD72" s="2"/>
      <c r="AE72" s="2"/>
      <c r="AF72" s="2"/>
      <c r="AG72" s="7"/>
      <c r="AH72" s="7"/>
      <c r="AI72" s="2"/>
      <c r="AJ72" s="2"/>
      <c r="AK72" s="2"/>
      <c r="AL72" s="7"/>
      <c r="AM72" s="2"/>
      <c r="AN72" s="2"/>
      <c r="AO72" s="2"/>
      <c r="AP72" s="2"/>
      <c r="AQ72" s="2"/>
      <c r="AR72" s="2"/>
      <c r="AS72" s="7"/>
      <c r="AT72" s="2"/>
      <c r="AU72" s="7"/>
      <c r="AV72" s="2"/>
      <c r="AW72" s="10"/>
    </row>
    <row r="73" spans="1:49" customFormat="1" ht="15" customHeight="1">
      <c r="A73" s="163" t="s">
        <v>209</v>
      </c>
      <c r="C73" s="11">
        <v>45630</v>
      </c>
      <c r="D73" s="33" t="s">
        <v>339</v>
      </c>
      <c r="E73" s="163" t="s">
        <v>211</v>
      </c>
      <c r="F73" s="259" t="s">
        <v>71</v>
      </c>
      <c r="G73" s="2" t="s">
        <v>72</v>
      </c>
      <c r="H73" s="2" t="s">
        <v>68</v>
      </c>
      <c r="I73" s="2">
        <v>1</v>
      </c>
      <c r="J73" s="178">
        <v>300</v>
      </c>
      <c r="K73" s="246" t="s">
        <v>68</v>
      </c>
      <c r="L73" s="48">
        <v>2412020</v>
      </c>
      <c r="M73" s="48" t="s">
        <v>73</v>
      </c>
      <c r="N73" s="48" t="s">
        <v>340</v>
      </c>
      <c r="O73" s="48" t="s">
        <v>164</v>
      </c>
      <c r="P73" s="168"/>
      <c r="Q73" s="171"/>
      <c r="R73" s="7"/>
      <c r="S73" s="2"/>
      <c r="T73" s="2"/>
      <c r="U73" s="2"/>
      <c r="V73" s="2"/>
      <c r="W73" s="2"/>
      <c r="X73" s="2"/>
      <c r="Y73" s="2"/>
      <c r="Z73" s="7"/>
      <c r="AA73" s="2"/>
      <c r="AB73" s="2"/>
      <c r="AC73" s="2"/>
      <c r="AD73" s="2"/>
      <c r="AE73" s="2"/>
      <c r="AF73" s="2"/>
      <c r="AG73" s="7"/>
      <c r="AH73" s="7"/>
      <c r="AI73" s="2"/>
      <c r="AJ73" s="2"/>
      <c r="AK73" s="2"/>
      <c r="AL73" s="7"/>
      <c r="AM73" s="2"/>
      <c r="AN73" s="2">
        <v>1</v>
      </c>
      <c r="AO73" s="2"/>
      <c r="AP73" s="2"/>
      <c r="AQ73" s="2"/>
      <c r="AR73" s="2"/>
      <c r="AS73" s="7"/>
      <c r="AT73" s="2"/>
      <c r="AU73" s="7"/>
      <c r="AV73" s="2"/>
      <c r="AW73" s="10"/>
    </row>
    <row r="74" spans="1:49" customFormat="1" ht="15" customHeight="1">
      <c r="A74" s="163" t="s">
        <v>144</v>
      </c>
      <c r="C74" s="11">
        <v>45660</v>
      </c>
      <c r="D74" s="33" t="s">
        <v>341</v>
      </c>
      <c r="E74" s="163" t="s">
        <v>342</v>
      </c>
      <c r="F74" s="259" t="s">
        <v>71</v>
      </c>
      <c r="G74" s="2" t="s">
        <v>147</v>
      </c>
      <c r="H74" s="34" t="s">
        <v>343</v>
      </c>
      <c r="I74" s="2">
        <v>4</v>
      </c>
      <c r="J74" s="178">
        <v>435</v>
      </c>
      <c r="K74" s="246"/>
      <c r="L74" s="48"/>
      <c r="M74" s="48" t="s">
        <v>73</v>
      </c>
      <c r="N74" s="48" t="s">
        <v>344</v>
      </c>
      <c r="O74" s="48" t="s">
        <v>345</v>
      </c>
      <c r="P74" s="168"/>
      <c r="Q74" s="184"/>
      <c r="R74" s="7">
        <v>3</v>
      </c>
      <c r="S74" s="2">
        <v>1</v>
      </c>
      <c r="T74" s="2"/>
      <c r="U74" s="2"/>
      <c r="V74" s="2"/>
      <c r="W74" s="2"/>
      <c r="X74" s="2"/>
      <c r="Y74" s="2"/>
      <c r="Z74" s="7"/>
      <c r="AA74" s="2"/>
      <c r="AB74" s="2"/>
      <c r="AC74" s="2"/>
      <c r="AD74" s="2"/>
      <c r="AE74" s="2"/>
      <c r="AF74" s="2"/>
      <c r="AG74" s="7"/>
      <c r="AH74" s="7"/>
      <c r="AI74" s="2"/>
      <c r="AJ74" s="2"/>
      <c r="AK74" s="2"/>
      <c r="AL74" s="7"/>
      <c r="AM74" s="2"/>
      <c r="AN74" s="2"/>
      <c r="AO74" s="2"/>
      <c r="AP74" s="2"/>
      <c r="AQ74" s="2"/>
      <c r="AR74" s="2"/>
      <c r="AS74" s="7"/>
      <c r="AT74" s="2"/>
      <c r="AU74" s="7"/>
      <c r="AV74" s="2"/>
      <c r="AW74" s="10"/>
    </row>
    <row r="75" spans="1:49" customFormat="1" ht="15" customHeight="1">
      <c r="A75" s="163" t="s">
        <v>144</v>
      </c>
      <c r="C75" s="11">
        <v>45670</v>
      </c>
      <c r="D75" s="33" t="s">
        <v>346</v>
      </c>
      <c r="E75" s="163" t="s">
        <v>342</v>
      </c>
      <c r="F75" s="259" t="s">
        <v>71</v>
      </c>
      <c r="G75" s="2" t="s">
        <v>147</v>
      </c>
      <c r="H75" s="34" t="s">
        <v>343</v>
      </c>
      <c r="I75" s="2">
        <v>12</v>
      </c>
      <c r="J75" s="178">
        <v>360</v>
      </c>
      <c r="K75" s="246"/>
      <c r="L75" s="48"/>
      <c r="M75" s="48" t="s">
        <v>73</v>
      </c>
      <c r="N75" s="48" t="s">
        <v>347</v>
      </c>
      <c r="O75" s="48" t="s">
        <v>345</v>
      </c>
      <c r="P75" s="168"/>
      <c r="Q75" s="184"/>
      <c r="R75" s="7"/>
      <c r="S75" s="2"/>
      <c r="T75" s="2"/>
      <c r="U75" s="2"/>
      <c r="V75" s="2"/>
      <c r="W75" s="2"/>
      <c r="X75" s="2"/>
      <c r="Y75" s="2"/>
      <c r="Z75" s="7"/>
      <c r="AA75" s="2">
        <v>12</v>
      </c>
      <c r="AB75" s="2"/>
      <c r="AC75" s="2"/>
      <c r="AD75" s="2"/>
      <c r="AE75" s="2"/>
      <c r="AF75" s="2"/>
      <c r="AG75" s="7"/>
      <c r="AH75" s="7"/>
      <c r="AI75" s="2"/>
      <c r="AJ75" s="2"/>
      <c r="AK75" s="2"/>
      <c r="AL75" s="7"/>
      <c r="AM75" s="2"/>
      <c r="AN75" s="2"/>
      <c r="AO75" s="2"/>
      <c r="AP75" s="2"/>
      <c r="AQ75" s="2"/>
      <c r="AR75" s="2"/>
      <c r="AS75" s="7"/>
      <c r="AT75" s="2"/>
      <c r="AU75" s="7"/>
      <c r="AV75" s="2"/>
      <c r="AW75" s="10"/>
    </row>
    <row r="76" spans="1:49" customFormat="1" ht="15" customHeight="1">
      <c r="A76" s="163" t="s">
        <v>178</v>
      </c>
      <c r="C76" s="11">
        <v>45674</v>
      </c>
      <c r="D76" s="33" t="s">
        <v>348</v>
      </c>
      <c r="E76" s="176" t="s">
        <v>306</v>
      </c>
      <c r="F76" s="259" t="s">
        <v>71</v>
      </c>
      <c r="G76" s="2" t="s">
        <v>72</v>
      </c>
      <c r="H76" s="34" t="s">
        <v>349</v>
      </c>
      <c r="I76" s="2" t="s">
        <v>68</v>
      </c>
      <c r="J76" s="178">
        <v>2850</v>
      </c>
      <c r="K76" s="246"/>
      <c r="L76" s="48"/>
      <c r="M76" s="48" t="s">
        <v>73</v>
      </c>
      <c r="N76" s="48" t="s">
        <v>350</v>
      </c>
      <c r="O76" s="48" t="s">
        <v>351</v>
      </c>
      <c r="P76" s="168"/>
      <c r="Q76" s="184"/>
      <c r="R76" s="7">
        <v>2</v>
      </c>
      <c r="S76" s="2">
        <v>3</v>
      </c>
      <c r="T76" s="2">
        <v>1</v>
      </c>
      <c r="U76" s="2"/>
      <c r="V76" s="2"/>
      <c r="W76" s="2"/>
      <c r="X76" s="2"/>
      <c r="Y76" s="2"/>
      <c r="Z76" s="7"/>
      <c r="AA76" s="2"/>
      <c r="AB76" s="2"/>
      <c r="AC76" s="2"/>
      <c r="AD76" s="2"/>
      <c r="AE76" s="2"/>
      <c r="AF76" s="2"/>
      <c r="AG76" s="7"/>
      <c r="AH76" s="7"/>
      <c r="AI76" s="2"/>
      <c r="AJ76" s="2"/>
      <c r="AK76" s="2"/>
      <c r="AL76" s="7"/>
      <c r="AM76" s="2"/>
      <c r="AN76" s="2"/>
      <c r="AO76" s="2"/>
      <c r="AP76" s="2"/>
      <c r="AQ76" s="2"/>
      <c r="AR76" s="2"/>
      <c r="AS76" s="7"/>
      <c r="AT76" s="2"/>
      <c r="AU76" s="7"/>
      <c r="AV76" s="2"/>
      <c r="AW76" s="10"/>
    </row>
    <row r="77" spans="1:49" customFormat="1" ht="15" customHeight="1">
      <c r="A77" s="163" t="s">
        <v>144</v>
      </c>
      <c r="C77" s="11">
        <v>45674</v>
      </c>
      <c r="D77" s="33" t="s">
        <v>352</v>
      </c>
      <c r="E77" s="176" t="s">
        <v>353</v>
      </c>
      <c r="F77" s="259" t="s">
        <v>71</v>
      </c>
      <c r="G77" s="2" t="s">
        <v>147</v>
      </c>
      <c r="H77" s="34" t="s">
        <v>354</v>
      </c>
      <c r="I77" s="2">
        <v>6</v>
      </c>
      <c r="J77" s="178" t="str">
        <f>IF(SUMPRODUCT($R$2:$AV$2,R77:AV77)=0,"-",SUMPRODUCT($R$2:$AV$2,R77:AV77))</f>
        <v>-</v>
      </c>
      <c r="K77" s="246" t="s">
        <v>68</v>
      </c>
      <c r="L77" s="48" t="s">
        <v>68</v>
      </c>
      <c r="M77" s="48" t="s">
        <v>137</v>
      </c>
      <c r="N77" s="48" t="s">
        <v>355</v>
      </c>
      <c r="O77" s="48" t="s">
        <v>356</v>
      </c>
      <c r="P77" s="168"/>
      <c r="Q77" s="184"/>
      <c r="R77" s="7"/>
      <c r="S77" s="2"/>
      <c r="T77" s="2"/>
      <c r="U77" s="2"/>
      <c r="V77" s="2"/>
      <c r="W77" s="2"/>
      <c r="X77" s="2"/>
      <c r="Y77" s="2"/>
      <c r="Z77" s="7"/>
      <c r="AA77" s="2"/>
      <c r="AB77" s="2"/>
      <c r="AC77" s="2"/>
      <c r="AD77" s="2"/>
      <c r="AE77" s="2"/>
      <c r="AF77" s="2"/>
      <c r="AG77" s="7"/>
      <c r="AH77" s="7"/>
      <c r="AI77" s="2"/>
      <c r="AJ77" s="2"/>
      <c r="AK77" s="2"/>
      <c r="AL77" s="7"/>
      <c r="AM77" s="2"/>
      <c r="AN77" s="2"/>
      <c r="AO77" s="2"/>
      <c r="AP77" s="2"/>
      <c r="AQ77" s="2"/>
      <c r="AR77" s="2"/>
      <c r="AS77" s="7"/>
      <c r="AT77" s="2"/>
      <c r="AU77" s="7"/>
      <c r="AV77" s="2"/>
      <c r="AW77" s="10"/>
    </row>
    <row r="78" spans="1:49" customFormat="1" ht="15" customHeight="1">
      <c r="A78" s="163" t="s">
        <v>357</v>
      </c>
      <c r="C78" s="11">
        <v>45680</v>
      </c>
      <c r="D78" s="33" t="s">
        <v>358</v>
      </c>
      <c r="E78" s="163" t="s">
        <v>359</v>
      </c>
      <c r="F78" s="261" t="s">
        <v>71</v>
      </c>
      <c r="G78" s="2" t="s">
        <v>72</v>
      </c>
      <c r="H78" s="34" t="s">
        <v>360</v>
      </c>
      <c r="I78" s="2">
        <v>2</v>
      </c>
      <c r="J78" s="178">
        <v>2800</v>
      </c>
      <c r="K78" s="246"/>
      <c r="L78" s="48"/>
      <c r="M78" s="48" t="s">
        <v>173</v>
      </c>
      <c r="N78" s="48" t="s">
        <v>361</v>
      </c>
      <c r="O78" s="48" t="s">
        <v>362</v>
      </c>
      <c r="P78" s="168"/>
      <c r="Q78" s="184"/>
      <c r="R78" s="7"/>
      <c r="S78" s="2"/>
      <c r="T78" s="2"/>
      <c r="U78" s="2"/>
      <c r="V78" s="2"/>
      <c r="W78" s="2"/>
      <c r="X78" s="2"/>
      <c r="Y78" s="2"/>
      <c r="Z78" s="7"/>
      <c r="AA78" s="2"/>
      <c r="AB78" s="2"/>
      <c r="AC78" s="2"/>
      <c r="AD78" s="2"/>
      <c r="AE78" s="2"/>
      <c r="AF78" s="2"/>
      <c r="AG78" s="7"/>
      <c r="AH78" s="7"/>
      <c r="AI78" s="2"/>
      <c r="AJ78" s="2"/>
      <c r="AK78" s="2"/>
      <c r="AL78" s="7"/>
      <c r="AM78" s="2"/>
      <c r="AN78" s="2"/>
      <c r="AO78" s="2"/>
      <c r="AP78" s="2"/>
      <c r="AQ78" s="2"/>
      <c r="AR78" s="2"/>
      <c r="AS78" s="7"/>
      <c r="AT78" s="2"/>
      <c r="AU78" s="7"/>
      <c r="AV78" s="2"/>
      <c r="AW78" s="10"/>
    </row>
    <row r="79" spans="1:49" customFormat="1" ht="15" customHeight="1">
      <c r="A79" s="163" t="s">
        <v>144</v>
      </c>
      <c r="C79" s="11">
        <v>45688</v>
      </c>
      <c r="D79" s="33" t="s">
        <v>363</v>
      </c>
      <c r="E79" s="163" t="s">
        <v>342</v>
      </c>
      <c r="F79" s="259" t="s">
        <v>71</v>
      </c>
      <c r="G79" s="2" t="s">
        <v>72</v>
      </c>
      <c r="H79" s="34" t="s">
        <v>343</v>
      </c>
      <c r="I79" s="2">
        <v>1</v>
      </c>
      <c r="J79" s="178">
        <v>30</v>
      </c>
      <c r="K79" s="246" t="s">
        <v>68</v>
      </c>
      <c r="L79" s="48" t="s">
        <v>68</v>
      </c>
      <c r="M79" s="48" t="s">
        <v>137</v>
      </c>
      <c r="N79" s="48" t="s">
        <v>355</v>
      </c>
      <c r="O79" s="48" t="s">
        <v>356</v>
      </c>
      <c r="P79" s="168"/>
      <c r="Q79" s="184"/>
      <c r="R79" s="7"/>
      <c r="S79" s="2"/>
      <c r="T79" s="2"/>
      <c r="U79" s="2"/>
      <c r="V79" s="2"/>
      <c r="W79" s="2"/>
      <c r="X79" s="2"/>
      <c r="Y79" s="2"/>
      <c r="Z79" s="7"/>
      <c r="AA79" s="2">
        <v>1</v>
      </c>
      <c r="AB79" s="2"/>
      <c r="AC79" s="2"/>
      <c r="AD79" s="2"/>
      <c r="AE79" s="2"/>
      <c r="AF79" s="2"/>
      <c r="AG79" s="7"/>
      <c r="AH79" s="7"/>
      <c r="AI79" s="2"/>
      <c r="AJ79" s="2"/>
      <c r="AK79" s="2"/>
      <c r="AL79" s="7"/>
      <c r="AM79" s="2"/>
      <c r="AN79" s="2"/>
      <c r="AO79" s="2"/>
      <c r="AP79" s="2"/>
      <c r="AQ79" s="2"/>
      <c r="AR79" s="2"/>
      <c r="AS79" s="7"/>
      <c r="AT79" s="2"/>
      <c r="AU79" s="7"/>
      <c r="AV79" s="2"/>
      <c r="AW79" s="10"/>
    </row>
    <row r="80" spans="1:49" customFormat="1" ht="15" customHeight="1">
      <c r="A80" s="163" t="s">
        <v>144</v>
      </c>
      <c r="C80" s="11">
        <v>45688</v>
      </c>
      <c r="D80" s="33" t="s">
        <v>364</v>
      </c>
      <c r="E80" s="163" t="s">
        <v>342</v>
      </c>
      <c r="F80" s="259" t="s">
        <v>71</v>
      </c>
      <c r="G80" s="2" t="s">
        <v>72</v>
      </c>
      <c r="H80" s="34" t="s">
        <v>365</v>
      </c>
      <c r="I80" s="2">
        <v>1</v>
      </c>
      <c r="J80" s="178">
        <v>220</v>
      </c>
      <c r="K80" s="246" t="s">
        <v>68</v>
      </c>
      <c r="L80" s="48" t="s">
        <v>68</v>
      </c>
      <c r="M80" s="48" t="s">
        <v>137</v>
      </c>
      <c r="N80" s="48" t="s">
        <v>355</v>
      </c>
      <c r="O80" s="48" t="s">
        <v>356</v>
      </c>
      <c r="P80" s="168"/>
      <c r="Q80" s="184"/>
      <c r="R80" s="7"/>
      <c r="S80" s="2"/>
      <c r="T80" s="2">
        <v>1</v>
      </c>
      <c r="U80" s="2"/>
      <c r="V80" s="2"/>
      <c r="W80" s="2"/>
      <c r="X80" s="2"/>
      <c r="Y80" s="2"/>
      <c r="Z80" s="7"/>
      <c r="AA80" s="2"/>
      <c r="AB80" s="2"/>
      <c r="AC80" s="2"/>
      <c r="AD80" s="2"/>
      <c r="AE80" s="2"/>
      <c r="AF80" s="2"/>
      <c r="AG80" s="7"/>
      <c r="AH80" s="7"/>
      <c r="AI80" s="2"/>
      <c r="AJ80" s="2"/>
      <c r="AK80" s="2"/>
      <c r="AL80" s="7"/>
      <c r="AM80" s="2"/>
      <c r="AN80" s="2"/>
      <c r="AO80" s="2"/>
      <c r="AP80" s="2"/>
      <c r="AQ80" s="2"/>
      <c r="AR80" s="2"/>
      <c r="AS80" s="7"/>
      <c r="AT80" s="2"/>
      <c r="AU80" s="7"/>
      <c r="AV80" s="2"/>
      <c r="AW80" s="10"/>
    </row>
    <row r="81" spans="1:49" customFormat="1" ht="15" customHeight="1">
      <c r="A81" s="163" t="s">
        <v>144</v>
      </c>
      <c r="C81" s="11">
        <v>45709</v>
      </c>
      <c r="D81" s="33" t="s">
        <v>366</v>
      </c>
      <c r="E81" s="163" t="s">
        <v>342</v>
      </c>
      <c r="F81" s="259" t="s">
        <v>71</v>
      </c>
      <c r="G81" s="2" t="s">
        <v>147</v>
      </c>
      <c r="H81" s="34" t="s">
        <v>354</v>
      </c>
      <c r="I81" s="2">
        <v>4</v>
      </c>
      <c r="J81" s="178">
        <v>215</v>
      </c>
      <c r="K81" s="246" t="s">
        <v>68</v>
      </c>
      <c r="L81" s="48" t="s">
        <v>68</v>
      </c>
      <c r="M81" s="48" t="s">
        <v>137</v>
      </c>
      <c r="N81" s="48" t="s">
        <v>355</v>
      </c>
      <c r="O81" s="48" t="s">
        <v>356</v>
      </c>
      <c r="P81" s="168"/>
      <c r="Q81" s="184"/>
      <c r="R81" s="7">
        <v>1</v>
      </c>
      <c r="S81" s="2">
        <v>2</v>
      </c>
      <c r="T81" s="2"/>
      <c r="U81" s="2">
        <v>1</v>
      </c>
      <c r="V81" s="2"/>
      <c r="W81" s="2"/>
      <c r="X81" s="2"/>
      <c r="Y81" s="2"/>
      <c r="Z81" s="7"/>
      <c r="AA81" s="2"/>
      <c r="AB81" s="2"/>
      <c r="AC81" s="2"/>
      <c r="AD81" s="2"/>
      <c r="AE81" s="2"/>
      <c r="AF81" s="2"/>
      <c r="AG81" s="7"/>
      <c r="AH81" s="7"/>
      <c r="AI81" s="2"/>
      <c r="AJ81" s="2"/>
      <c r="AK81" s="2"/>
      <c r="AL81" s="7"/>
      <c r="AM81" s="2"/>
      <c r="AN81" s="2"/>
      <c r="AO81" s="2"/>
      <c r="AP81" s="2"/>
      <c r="AQ81" s="2"/>
      <c r="AR81" s="2"/>
      <c r="AS81" s="7"/>
      <c r="AT81" s="2"/>
      <c r="AU81" s="7"/>
      <c r="AV81" s="2"/>
      <c r="AW81" s="10"/>
    </row>
    <row r="82" spans="1:49" customFormat="1" ht="15" customHeight="1">
      <c r="A82" s="163" t="s">
        <v>144</v>
      </c>
      <c r="C82" s="11">
        <v>45719</v>
      </c>
      <c r="D82" s="33" t="s">
        <v>367</v>
      </c>
      <c r="E82" s="163" t="s">
        <v>342</v>
      </c>
      <c r="F82" s="259" t="s">
        <v>71</v>
      </c>
      <c r="G82" s="2" t="s">
        <v>147</v>
      </c>
      <c r="I82" s="2">
        <v>3</v>
      </c>
      <c r="J82" s="178">
        <f>IF(SUMPRODUCT($R$2:$AV$2,R82:AV82)=0,"-",SUMPRODUCT($R$2:$AV$2,R82:AV82))</f>
        <v>405</v>
      </c>
      <c r="K82" s="246" t="s">
        <v>68</v>
      </c>
      <c r="L82" s="48" t="s">
        <v>68</v>
      </c>
      <c r="M82" s="48" t="s">
        <v>137</v>
      </c>
      <c r="N82" s="48" t="s">
        <v>355</v>
      </c>
      <c r="O82" s="48" t="s">
        <v>356</v>
      </c>
      <c r="P82" s="168"/>
      <c r="Q82" s="184"/>
      <c r="R82" s="7">
        <v>1</v>
      </c>
      <c r="S82" s="2"/>
      <c r="T82" s="2"/>
      <c r="U82" s="2"/>
      <c r="V82" s="2"/>
      <c r="W82" s="2"/>
      <c r="X82" s="2"/>
      <c r="Y82" s="2"/>
      <c r="Z82" s="7">
        <v>2</v>
      </c>
      <c r="AA82" s="2"/>
      <c r="AB82" s="2"/>
      <c r="AC82" s="2"/>
      <c r="AD82" s="2"/>
      <c r="AE82" s="2"/>
      <c r="AF82" s="2"/>
      <c r="AG82" s="7"/>
      <c r="AH82" s="7"/>
      <c r="AI82" s="2"/>
      <c r="AJ82" s="2"/>
      <c r="AK82" s="2"/>
      <c r="AL82" s="7"/>
      <c r="AM82" s="2"/>
      <c r="AN82" s="2"/>
      <c r="AO82" s="2"/>
      <c r="AP82" s="2"/>
      <c r="AQ82" s="2"/>
      <c r="AR82" s="2"/>
      <c r="AS82" s="7"/>
      <c r="AT82" s="2"/>
      <c r="AU82" s="7"/>
      <c r="AV82" s="2"/>
      <c r="AW82" s="10"/>
    </row>
    <row r="83" spans="1:49" customFormat="1" ht="15" customHeight="1">
      <c r="A83" s="163" t="s">
        <v>103</v>
      </c>
      <c r="C83" s="11">
        <v>45722</v>
      </c>
      <c r="D83" s="33" t="s">
        <v>368</v>
      </c>
      <c r="E83" s="163" t="s">
        <v>105</v>
      </c>
      <c r="F83" s="259" t="s">
        <v>71</v>
      </c>
      <c r="G83" s="2" t="s">
        <v>72</v>
      </c>
      <c r="H83" t="s">
        <v>68</v>
      </c>
      <c r="I83" s="2">
        <v>1</v>
      </c>
      <c r="J83" s="178">
        <v>40</v>
      </c>
      <c r="K83" s="246"/>
      <c r="L83" s="48"/>
      <c r="M83" s="48" t="s">
        <v>73</v>
      </c>
      <c r="N83" s="48" t="s">
        <v>369</v>
      </c>
      <c r="O83" s="48" t="s">
        <v>370</v>
      </c>
      <c r="P83" s="168"/>
      <c r="Q83" s="184"/>
      <c r="R83" s="7"/>
      <c r="S83" s="2"/>
      <c r="T83" s="2"/>
      <c r="U83" s="2"/>
      <c r="V83" s="2"/>
      <c r="W83" s="2"/>
      <c r="X83" s="2"/>
      <c r="Y83" s="2"/>
      <c r="Z83" s="7"/>
      <c r="AA83" s="2"/>
      <c r="AB83" s="2"/>
      <c r="AC83" s="2"/>
      <c r="AD83" s="2"/>
      <c r="AE83" s="2"/>
      <c r="AF83" s="2"/>
      <c r="AG83" s="7"/>
      <c r="AH83" s="7"/>
      <c r="AI83" s="2"/>
      <c r="AJ83" s="2"/>
      <c r="AK83" s="2"/>
      <c r="AL83" s="7"/>
      <c r="AM83" s="2"/>
      <c r="AN83" s="2"/>
      <c r="AO83" s="2"/>
      <c r="AP83" s="2"/>
      <c r="AQ83" s="2"/>
      <c r="AR83" s="2"/>
      <c r="AS83" s="7"/>
      <c r="AT83" s="2"/>
      <c r="AU83" s="7"/>
      <c r="AV83" s="2"/>
      <c r="AW83" s="10"/>
    </row>
    <row r="84" spans="1:49" customFormat="1" ht="15" customHeight="1">
      <c r="A84" s="163" t="s">
        <v>103</v>
      </c>
      <c r="C84" s="11">
        <v>45722</v>
      </c>
      <c r="D84" s="33" t="s">
        <v>371</v>
      </c>
      <c r="E84" s="177" t="s">
        <v>105</v>
      </c>
      <c r="F84" s="261" t="s">
        <v>71</v>
      </c>
      <c r="G84" s="2" t="s">
        <v>72</v>
      </c>
      <c r="H84" t="s">
        <v>68</v>
      </c>
      <c r="I84" s="2">
        <v>1</v>
      </c>
      <c r="J84" s="46">
        <v>40</v>
      </c>
      <c r="K84" s="246"/>
      <c r="L84" s="48"/>
      <c r="M84" s="48" t="s">
        <v>73</v>
      </c>
      <c r="N84" s="48" t="s">
        <v>372</v>
      </c>
      <c r="O84" s="48" t="s">
        <v>373</v>
      </c>
      <c r="P84" s="168"/>
      <c r="Q84" s="184"/>
      <c r="R84" s="7">
        <v>2</v>
      </c>
      <c r="S84" s="2">
        <v>2</v>
      </c>
      <c r="T84" s="2"/>
      <c r="U84" s="2"/>
      <c r="V84" s="2"/>
      <c r="W84" s="2"/>
      <c r="X84" s="2"/>
      <c r="Y84" s="2"/>
      <c r="Z84" s="7"/>
      <c r="AA84" s="2"/>
      <c r="AB84" s="2"/>
      <c r="AC84" s="2"/>
      <c r="AD84" s="2"/>
      <c r="AE84" s="2"/>
      <c r="AF84" s="2"/>
      <c r="AG84" s="7"/>
      <c r="AH84" s="7"/>
      <c r="AI84" s="2"/>
      <c r="AJ84" s="2"/>
      <c r="AK84" s="2"/>
      <c r="AL84" s="7"/>
      <c r="AM84" s="2"/>
      <c r="AN84" s="2"/>
      <c r="AO84" s="2"/>
      <c r="AP84" s="2"/>
      <c r="AQ84" s="2"/>
      <c r="AR84" s="2"/>
      <c r="AS84" s="7"/>
      <c r="AT84" s="2"/>
      <c r="AU84" s="7"/>
      <c r="AV84" s="2"/>
      <c r="AW84" s="10"/>
    </row>
    <row r="85" spans="1:49" ht="15" customHeight="1">
      <c r="A85" s="163" t="s">
        <v>144</v>
      </c>
      <c r="B85"/>
      <c r="C85" s="11">
        <v>45723</v>
      </c>
      <c r="D85" s="6" t="s">
        <v>374</v>
      </c>
      <c r="E85" s="163" t="s">
        <v>342</v>
      </c>
      <c r="F85" s="259" t="s">
        <v>71</v>
      </c>
      <c r="G85" s="2" t="s">
        <v>147</v>
      </c>
      <c r="H85" s="34" t="s">
        <v>375</v>
      </c>
      <c r="I85" s="2">
        <v>3</v>
      </c>
      <c r="J85" s="178" t="str">
        <f>IF(SUMPRODUCT($R$2:$AV$2,R85:AV85)=0,"-",SUMPRODUCT($R$2:$AV$2,R85:AV85))</f>
        <v>-</v>
      </c>
      <c r="K85" s="246" t="s">
        <v>68</v>
      </c>
      <c r="L85" s="48" t="s">
        <v>68</v>
      </c>
      <c r="M85" s="48" t="s">
        <v>137</v>
      </c>
      <c r="N85" s="48" t="s">
        <v>355</v>
      </c>
      <c r="O85" s="48" t="s">
        <v>356</v>
      </c>
      <c r="P85" s="168"/>
      <c r="Q85" s="207"/>
      <c r="R85" s="101"/>
    </row>
    <row r="86" spans="1:49" customFormat="1" ht="15" customHeight="1">
      <c r="A86" s="174" t="s">
        <v>115</v>
      </c>
      <c r="B86" s="101"/>
      <c r="C86" s="138">
        <v>45728</v>
      </c>
      <c r="D86" s="191" t="s">
        <v>376</v>
      </c>
      <c r="E86" s="174" t="s">
        <v>203</v>
      </c>
      <c r="F86" s="259" t="s">
        <v>71</v>
      </c>
      <c r="G86" s="101" t="s">
        <v>72</v>
      </c>
      <c r="H86" s="101"/>
      <c r="I86" s="101"/>
      <c r="J86" s="178">
        <v>2300</v>
      </c>
      <c r="K86" s="246" t="s">
        <v>377</v>
      </c>
      <c r="L86" s="48"/>
      <c r="M86" s="48" t="s">
        <v>73</v>
      </c>
      <c r="N86" s="48" t="s">
        <v>378</v>
      </c>
      <c r="O86" s="168" t="s">
        <v>379</v>
      </c>
      <c r="P86" s="172"/>
      <c r="Q86" s="193"/>
      <c r="R86" s="7"/>
      <c r="S86" s="2"/>
      <c r="T86" s="2"/>
      <c r="U86" s="2"/>
      <c r="V86" s="2"/>
      <c r="W86" s="2"/>
      <c r="X86" s="2"/>
      <c r="Y86" s="2"/>
      <c r="Z86" s="7"/>
      <c r="AA86" s="2"/>
      <c r="AB86" s="2"/>
      <c r="AC86" s="2"/>
      <c r="AD86" s="2"/>
      <c r="AE86" s="2"/>
      <c r="AF86" s="2"/>
      <c r="AG86" s="7"/>
      <c r="AH86" s="7"/>
      <c r="AI86" s="2"/>
      <c r="AJ86" s="2"/>
      <c r="AK86" s="2"/>
      <c r="AL86" s="7"/>
      <c r="AM86" s="2"/>
      <c r="AN86" s="2"/>
      <c r="AO86" s="2"/>
      <c r="AP86" s="2"/>
      <c r="AQ86" s="2"/>
      <c r="AR86" s="2"/>
      <c r="AS86" s="7"/>
      <c r="AT86" s="2"/>
      <c r="AU86" s="7"/>
      <c r="AV86" s="2"/>
      <c r="AW86" s="10"/>
    </row>
    <row r="87" spans="1:49" customFormat="1">
      <c r="A87" s="163" t="s">
        <v>380</v>
      </c>
      <c r="C87" s="11">
        <v>45730</v>
      </c>
      <c r="D87" s="33" t="s">
        <v>381</v>
      </c>
      <c r="E87" s="163" t="s">
        <v>382</v>
      </c>
      <c r="F87" s="261" t="s">
        <v>71</v>
      </c>
      <c r="G87" s="2" t="s">
        <v>72</v>
      </c>
      <c r="H87" s="34" t="s">
        <v>383</v>
      </c>
      <c r="I87" s="2">
        <v>3</v>
      </c>
      <c r="J87" s="178">
        <v>850</v>
      </c>
      <c r="K87" s="246" t="s">
        <v>68</v>
      </c>
      <c r="L87" s="48" t="s">
        <v>68</v>
      </c>
      <c r="M87" s="48" t="s">
        <v>173</v>
      </c>
      <c r="N87" s="48" t="s">
        <v>384</v>
      </c>
      <c r="O87" s="48" t="s">
        <v>385</v>
      </c>
      <c r="P87" s="168"/>
      <c r="Q87" s="184"/>
      <c r="R87" s="7"/>
      <c r="S87" s="2"/>
      <c r="T87" s="2"/>
      <c r="U87" s="2"/>
      <c r="V87" s="2"/>
      <c r="W87" s="2"/>
      <c r="X87" s="2"/>
      <c r="Y87" s="2"/>
      <c r="Z87" s="7"/>
      <c r="AA87" s="2"/>
      <c r="AB87" s="2"/>
      <c r="AC87" s="2"/>
      <c r="AD87" s="2"/>
      <c r="AE87" s="2"/>
      <c r="AF87" s="2"/>
      <c r="AG87" s="7"/>
      <c r="AH87" s="7"/>
      <c r="AI87" s="2"/>
      <c r="AJ87" s="2"/>
      <c r="AK87" s="2"/>
      <c r="AL87" s="7"/>
      <c r="AM87" s="2">
        <v>2</v>
      </c>
      <c r="AN87" s="2">
        <v>1</v>
      </c>
      <c r="AO87" s="2"/>
      <c r="AP87" s="2"/>
      <c r="AQ87" s="2"/>
      <c r="AR87" s="2"/>
      <c r="AS87" s="7"/>
      <c r="AT87" s="2"/>
      <c r="AU87" s="7"/>
      <c r="AV87" s="2"/>
      <c r="AW87" s="10"/>
    </row>
    <row r="88" spans="1:49" customFormat="1" ht="15" customHeight="1">
      <c r="A88" s="203" t="s">
        <v>178</v>
      </c>
      <c r="B88" s="6"/>
      <c r="C88" s="204">
        <v>45736</v>
      </c>
      <c r="D88" s="6" t="s">
        <v>386</v>
      </c>
      <c r="E88" s="176" t="s">
        <v>306</v>
      </c>
      <c r="F88" s="261" t="s">
        <v>71</v>
      </c>
      <c r="G88" s="2" t="s">
        <v>72</v>
      </c>
      <c r="H88" s="34" t="s">
        <v>387</v>
      </c>
      <c r="I88" s="2">
        <v>3</v>
      </c>
      <c r="J88" s="178">
        <f>260+150*2</f>
        <v>560</v>
      </c>
      <c r="K88" s="246"/>
      <c r="L88" s="48"/>
      <c r="M88" s="48" t="s">
        <v>73</v>
      </c>
      <c r="N88" s="48" t="s">
        <v>388</v>
      </c>
      <c r="O88" s="48" t="s">
        <v>351</v>
      </c>
      <c r="P88" s="168"/>
      <c r="Q88" s="184"/>
      <c r="R88" s="7"/>
      <c r="S88" s="2"/>
      <c r="T88" s="2"/>
      <c r="U88" s="2"/>
      <c r="V88" s="2"/>
      <c r="W88" s="2"/>
      <c r="X88" s="2"/>
      <c r="Y88" s="2"/>
      <c r="Z88" s="7"/>
      <c r="AA88" s="2"/>
      <c r="AB88" s="2"/>
      <c r="AC88" s="2"/>
      <c r="AD88" s="2"/>
      <c r="AE88" s="2"/>
      <c r="AF88" s="2"/>
      <c r="AG88" s="7"/>
      <c r="AH88" s="7"/>
      <c r="AI88" s="2"/>
      <c r="AJ88" s="2"/>
      <c r="AK88" s="2"/>
      <c r="AL88" s="7"/>
      <c r="AM88" s="2"/>
      <c r="AN88" s="2"/>
      <c r="AO88" s="2"/>
      <c r="AP88" s="2"/>
      <c r="AQ88" s="2"/>
      <c r="AR88" s="2"/>
      <c r="AS88" s="7"/>
      <c r="AT88" s="2"/>
      <c r="AU88" s="7"/>
      <c r="AV88" s="2"/>
      <c r="AW88" s="10"/>
    </row>
    <row r="89" spans="1:49" customFormat="1" ht="15" customHeight="1">
      <c r="A89" s="163" t="s">
        <v>144</v>
      </c>
      <c r="C89" s="11">
        <v>45757</v>
      </c>
      <c r="D89" s="33" t="s">
        <v>389</v>
      </c>
      <c r="E89" s="163" t="s">
        <v>342</v>
      </c>
      <c r="F89" s="259" t="s">
        <v>71</v>
      </c>
      <c r="G89" s="2" t="s">
        <v>147</v>
      </c>
      <c r="H89" s="34" t="s">
        <v>390</v>
      </c>
      <c r="I89" s="2">
        <v>54</v>
      </c>
      <c r="J89" s="46">
        <f>IF(SUMPRODUCT($R$2:$AV$2,R89:AV89)=0,"-",SUMPRODUCT($R$2:$AV$2,R89:AV89))</f>
        <v>1080</v>
      </c>
      <c r="K89" s="246" t="s">
        <v>68</v>
      </c>
      <c r="L89" s="48" t="s">
        <v>68</v>
      </c>
      <c r="M89" s="48" t="s">
        <v>137</v>
      </c>
      <c r="N89" s="48" t="s">
        <v>355</v>
      </c>
      <c r="O89" s="48" t="s">
        <v>356</v>
      </c>
      <c r="P89" s="168"/>
      <c r="Q89" s="184"/>
      <c r="R89" s="7"/>
      <c r="S89" s="2">
        <f>54/1.5</f>
        <v>36</v>
      </c>
      <c r="T89" s="2"/>
      <c r="U89" s="2"/>
      <c r="V89" s="2"/>
      <c r="W89" s="2"/>
      <c r="X89" s="2"/>
      <c r="Y89" s="2"/>
      <c r="Z89" s="7"/>
      <c r="AA89" s="2"/>
      <c r="AB89" s="2"/>
      <c r="AC89" s="2"/>
      <c r="AD89" s="2"/>
      <c r="AE89" s="2"/>
      <c r="AF89" s="2"/>
      <c r="AG89" s="7"/>
      <c r="AH89" s="7"/>
      <c r="AI89" s="2"/>
      <c r="AJ89" s="2"/>
      <c r="AK89" s="2"/>
      <c r="AL89" s="7"/>
      <c r="AM89" s="2"/>
      <c r="AN89" s="2"/>
      <c r="AO89" s="2"/>
      <c r="AP89" s="2"/>
      <c r="AQ89" s="2"/>
      <c r="AR89" s="2"/>
      <c r="AS89" s="7"/>
      <c r="AT89" s="2"/>
      <c r="AU89" s="7"/>
      <c r="AV89" s="2"/>
      <c r="AW89" s="10"/>
    </row>
    <row r="90" spans="1:49" customFormat="1" ht="15" customHeight="1">
      <c r="A90" s="203" t="s">
        <v>178</v>
      </c>
      <c r="B90" s="6"/>
      <c r="C90" s="204">
        <v>45761</v>
      </c>
      <c r="D90" s="33" t="s">
        <v>391</v>
      </c>
      <c r="E90" s="176" t="s">
        <v>306</v>
      </c>
      <c r="F90" s="259" t="s">
        <v>71</v>
      </c>
      <c r="G90" s="2" t="s">
        <v>72</v>
      </c>
      <c r="H90" s="34" t="s">
        <v>392</v>
      </c>
      <c r="I90" s="2"/>
      <c r="J90" s="178">
        <v>350</v>
      </c>
      <c r="K90" s="246"/>
      <c r="L90" s="48"/>
      <c r="M90" s="48" t="s">
        <v>73</v>
      </c>
      <c r="N90" s="48" t="s">
        <v>388</v>
      </c>
      <c r="O90" s="48" t="s">
        <v>351</v>
      </c>
      <c r="P90" s="168"/>
      <c r="Q90" s="184"/>
      <c r="R90" s="7"/>
      <c r="S90" s="2"/>
      <c r="T90" s="2"/>
      <c r="U90" s="2"/>
      <c r="V90" s="2"/>
      <c r="W90" s="2"/>
      <c r="X90" s="2"/>
      <c r="Y90" s="2"/>
      <c r="Z90" s="7"/>
      <c r="AA90" s="2"/>
      <c r="AB90" s="2"/>
      <c r="AC90" s="2"/>
      <c r="AD90" s="2"/>
      <c r="AE90" s="2"/>
      <c r="AF90" s="2"/>
      <c r="AG90" s="7"/>
      <c r="AH90" s="7"/>
      <c r="AI90" s="2"/>
      <c r="AJ90" s="2"/>
      <c r="AK90" s="2"/>
      <c r="AL90" s="7"/>
      <c r="AM90" s="2"/>
      <c r="AN90" s="2"/>
      <c r="AO90" s="2"/>
      <c r="AP90" s="2"/>
      <c r="AQ90" s="2"/>
      <c r="AR90" s="2"/>
      <c r="AS90" s="7"/>
      <c r="AT90" s="2"/>
      <c r="AU90" s="7"/>
      <c r="AV90" s="2"/>
      <c r="AW90" s="10"/>
    </row>
    <row r="91" spans="1:49" customFormat="1" ht="15" customHeight="1">
      <c r="A91" s="163" t="s">
        <v>144</v>
      </c>
      <c r="C91" s="11">
        <v>45762</v>
      </c>
      <c r="D91" s="33" t="s">
        <v>393</v>
      </c>
      <c r="E91" s="163" t="s">
        <v>342</v>
      </c>
      <c r="F91" s="259" t="s">
        <v>71</v>
      </c>
      <c r="G91" s="2" t="s">
        <v>147</v>
      </c>
      <c r="H91" s="34" t="s">
        <v>394</v>
      </c>
      <c r="I91" s="2">
        <v>2</v>
      </c>
      <c r="J91" s="46">
        <f>IF(SUMPRODUCT($R$2:$AV$2,R91:AV91)=0,"-",SUMPRODUCT($R$2:$AV$2,R91:AV91))</f>
        <v>80</v>
      </c>
      <c r="K91" s="246" t="s">
        <v>68</v>
      </c>
      <c r="L91" s="48" t="s">
        <v>68</v>
      </c>
      <c r="M91" s="48" t="s">
        <v>137</v>
      </c>
      <c r="N91" s="48" t="s">
        <v>355</v>
      </c>
      <c r="O91" s="48" t="s">
        <v>356</v>
      </c>
      <c r="P91" s="168"/>
      <c r="Q91" s="184"/>
      <c r="R91" s="7"/>
      <c r="S91" s="2">
        <v>1</v>
      </c>
      <c r="T91" s="2"/>
      <c r="U91" s="2">
        <v>1</v>
      </c>
      <c r="V91" s="2"/>
      <c r="W91" s="2"/>
      <c r="X91" s="2"/>
      <c r="Y91" s="2"/>
      <c r="Z91" s="7"/>
      <c r="AA91" s="2"/>
      <c r="AB91" s="2"/>
      <c r="AC91" s="2"/>
      <c r="AD91" s="2"/>
      <c r="AE91" s="2"/>
      <c r="AF91" s="2"/>
      <c r="AG91" s="7"/>
      <c r="AH91" s="7"/>
      <c r="AI91" s="2"/>
      <c r="AJ91" s="2"/>
      <c r="AK91" s="2"/>
      <c r="AL91" s="7"/>
      <c r="AM91" s="2"/>
      <c r="AN91" s="2"/>
      <c r="AO91" s="2"/>
      <c r="AP91" s="2"/>
      <c r="AQ91" s="2"/>
      <c r="AR91" s="2"/>
      <c r="AS91" s="7"/>
      <c r="AT91" s="2"/>
      <c r="AU91" s="7"/>
      <c r="AV91" s="2"/>
      <c r="AW91" s="10"/>
    </row>
    <row r="92" spans="1:49" ht="15" customHeight="1">
      <c r="A92" s="174" t="s">
        <v>115</v>
      </c>
      <c r="C92" s="138">
        <v>45770</v>
      </c>
      <c r="D92" s="166" t="s">
        <v>395</v>
      </c>
      <c r="E92" s="174" t="s">
        <v>203</v>
      </c>
      <c r="F92" s="261" t="s">
        <v>71</v>
      </c>
      <c r="G92" s="101" t="s">
        <v>72</v>
      </c>
      <c r="J92" s="49">
        <v>5000</v>
      </c>
      <c r="K92" s="246"/>
      <c r="L92" s="48"/>
      <c r="M92" s="48" t="s">
        <v>73</v>
      </c>
      <c r="N92" s="48" t="s">
        <v>396</v>
      </c>
      <c r="O92" s="168" t="s">
        <v>379</v>
      </c>
      <c r="P92" s="172"/>
      <c r="Q92" s="242"/>
    </row>
    <row r="93" spans="1:49" customFormat="1" ht="15" customHeight="1">
      <c r="A93" s="203" t="s">
        <v>178</v>
      </c>
      <c r="B93" s="6"/>
      <c r="C93" s="204">
        <v>45774</v>
      </c>
      <c r="D93" s="33" t="s">
        <v>397</v>
      </c>
      <c r="E93" s="176" t="s">
        <v>306</v>
      </c>
      <c r="F93" s="259" t="s">
        <v>71</v>
      </c>
      <c r="G93" s="101" t="s">
        <v>72</v>
      </c>
      <c r="I93" s="2">
        <v>3</v>
      </c>
      <c r="J93" s="178">
        <v>1500</v>
      </c>
      <c r="K93" s="246"/>
      <c r="L93" s="48"/>
      <c r="M93" s="48" t="s">
        <v>73</v>
      </c>
      <c r="N93" s="48" t="s">
        <v>388</v>
      </c>
      <c r="O93" s="48" t="s">
        <v>351</v>
      </c>
      <c r="P93" s="168"/>
      <c r="Q93" s="184"/>
      <c r="R93" s="7"/>
      <c r="S93" s="2"/>
      <c r="T93" s="2"/>
      <c r="U93" s="2"/>
      <c r="V93" s="2"/>
      <c r="W93" s="2"/>
      <c r="X93" s="2"/>
      <c r="Y93" s="2"/>
      <c r="Z93" s="7"/>
      <c r="AA93" s="2"/>
      <c r="AB93" s="2"/>
      <c r="AC93" s="2"/>
      <c r="AD93" s="2"/>
      <c r="AE93" s="2"/>
      <c r="AF93" s="2"/>
      <c r="AG93" s="7"/>
      <c r="AH93" s="7"/>
      <c r="AI93" s="2"/>
      <c r="AJ93" s="2"/>
      <c r="AK93" s="2"/>
      <c r="AL93" s="7"/>
      <c r="AM93" s="2"/>
      <c r="AN93" s="2"/>
      <c r="AO93" s="2"/>
      <c r="AP93" s="2"/>
      <c r="AQ93" s="2"/>
      <c r="AR93" s="2"/>
      <c r="AS93" s="7"/>
      <c r="AT93" s="2"/>
      <c r="AU93" s="7"/>
      <c r="AV93" s="2"/>
      <c r="AW93" s="10"/>
    </row>
    <row r="94" spans="1:49" customFormat="1" ht="15" customHeight="1">
      <c r="A94" s="163" t="s">
        <v>398</v>
      </c>
      <c r="C94" s="11">
        <v>45782</v>
      </c>
      <c r="D94" s="33" t="s">
        <v>399</v>
      </c>
      <c r="E94" s="177" t="s">
        <v>400</v>
      </c>
      <c r="F94" s="261" t="s">
        <v>401</v>
      </c>
      <c r="G94" s="2" t="s">
        <v>72</v>
      </c>
      <c r="I94" s="2"/>
      <c r="J94" s="46">
        <v>1400</v>
      </c>
      <c r="K94" s="246" t="s">
        <v>68</v>
      </c>
      <c r="L94" s="48" t="s">
        <v>68</v>
      </c>
      <c r="M94" s="48" t="s">
        <v>73</v>
      </c>
      <c r="N94" s="48" t="s">
        <v>402</v>
      </c>
      <c r="O94" s="48" t="s">
        <v>403</v>
      </c>
      <c r="P94" s="168"/>
      <c r="Q94" s="168"/>
      <c r="R94" s="7"/>
      <c r="S94" s="2">
        <v>20</v>
      </c>
      <c r="T94" s="2"/>
      <c r="U94" s="2"/>
      <c r="V94" s="2"/>
      <c r="W94" s="2"/>
      <c r="X94" s="2"/>
      <c r="Y94" s="2"/>
      <c r="Z94" s="7"/>
      <c r="AA94" s="2"/>
      <c r="AB94" s="2"/>
      <c r="AC94" s="2"/>
      <c r="AD94" s="2"/>
      <c r="AE94" s="2"/>
      <c r="AF94" s="2"/>
      <c r="AG94" s="7"/>
      <c r="AH94" s="7"/>
      <c r="AI94" s="2"/>
      <c r="AJ94" s="2"/>
      <c r="AK94" s="2"/>
      <c r="AL94" s="7"/>
      <c r="AM94" s="2"/>
      <c r="AN94" s="2"/>
      <c r="AO94" s="2"/>
      <c r="AP94" s="2"/>
      <c r="AQ94" s="2"/>
      <c r="AR94" s="2"/>
      <c r="AS94" s="7"/>
      <c r="AT94" s="2"/>
      <c r="AU94" s="7"/>
      <c r="AV94" s="2"/>
      <c r="AW94" s="10"/>
    </row>
    <row r="95" spans="1:49" customFormat="1" ht="15" customHeight="1">
      <c r="A95" s="163" t="s">
        <v>144</v>
      </c>
      <c r="C95" s="11">
        <v>45785</v>
      </c>
      <c r="D95" s="33" t="s">
        <v>404</v>
      </c>
      <c r="E95" s="163" t="s">
        <v>342</v>
      </c>
      <c r="F95" s="259" t="s">
        <v>71</v>
      </c>
      <c r="G95" s="2" t="s">
        <v>147</v>
      </c>
      <c r="H95" s="34" t="s">
        <v>390</v>
      </c>
      <c r="I95" s="2">
        <v>20</v>
      </c>
      <c r="J95" s="46" t="str">
        <f>IF(SUMPRODUCT($R$2:$AV$2,R95:AV95)=0,"-",SUMPRODUCT($R$2:$AV$2,R95:AV95))</f>
        <v>-</v>
      </c>
      <c r="K95" s="246" t="s">
        <v>68</v>
      </c>
      <c r="L95" s="48" t="s">
        <v>68</v>
      </c>
      <c r="M95" s="48" t="s">
        <v>137</v>
      </c>
      <c r="N95" s="48" t="s">
        <v>405</v>
      </c>
      <c r="O95" s="48" t="s">
        <v>406</v>
      </c>
      <c r="P95" s="168"/>
      <c r="Q95" s="184"/>
      <c r="R95" s="7"/>
      <c r="S95" s="2"/>
      <c r="T95" s="2"/>
      <c r="U95" s="2"/>
      <c r="V95" s="2"/>
      <c r="W95" s="2"/>
      <c r="X95" s="2"/>
      <c r="Y95" s="2"/>
      <c r="Z95" s="7"/>
      <c r="AA95" s="2"/>
      <c r="AB95" s="2"/>
      <c r="AC95" s="2"/>
      <c r="AD95" s="2"/>
      <c r="AE95" s="2"/>
      <c r="AF95" s="2"/>
      <c r="AG95" s="7"/>
      <c r="AH95" s="7"/>
      <c r="AI95" s="2"/>
      <c r="AJ95" s="2"/>
      <c r="AK95" s="2"/>
      <c r="AL95" s="7"/>
      <c r="AM95" s="2"/>
      <c r="AN95" s="2"/>
      <c r="AO95" s="2"/>
      <c r="AP95" s="2"/>
      <c r="AQ95" s="2"/>
      <c r="AR95" s="2"/>
      <c r="AS95" s="7"/>
      <c r="AT95" s="2"/>
      <c r="AU95" s="7"/>
      <c r="AV95" s="2"/>
      <c r="AW95" s="10"/>
    </row>
    <row r="96" spans="1:49" customFormat="1" ht="15" customHeight="1">
      <c r="A96" s="163" t="s">
        <v>144</v>
      </c>
      <c r="C96" s="11">
        <v>45792</v>
      </c>
      <c r="D96" s="190" t="s">
        <v>407</v>
      </c>
      <c r="E96" s="163" t="s">
        <v>342</v>
      </c>
      <c r="F96" s="259" t="s">
        <v>71</v>
      </c>
      <c r="G96" s="2" t="s">
        <v>147</v>
      </c>
      <c r="H96" s="34" t="s">
        <v>408</v>
      </c>
      <c r="I96" s="2">
        <v>17</v>
      </c>
      <c r="J96" s="46" t="str">
        <f>IF(SUMPRODUCT($R$2:$AV$2,R96:AV96)=0,"-",SUMPRODUCT($R$2:$AV$2,R96:AV96))</f>
        <v>-</v>
      </c>
      <c r="K96" s="246" t="s">
        <v>68</v>
      </c>
      <c r="L96" s="48" t="s">
        <v>68</v>
      </c>
      <c r="M96" s="48" t="s">
        <v>137</v>
      </c>
      <c r="N96" s="48" t="s">
        <v>405</v>
      </c>
      <c r="O96" s="48" t="s">
        <v>406</v>
      </c>
      <c r="P96" s="168"/>
      <c r="Q96" s="184"/>
      <c r="R96" s="7"/>
      <c r="S96" s="2"/>
      <c r="T96" s="2"/>
      <c r="U96" s="2"/>
      <c r="V96" s="2"/>
      <c r="W96" s="2"/>
      <c r="X96" s="2"/>
      <c r="Y96" s="2"/>
      <c r="Z96" s="7"/>
      <c r="AA96" s="2"/>
      <c r="AB96" s="2"/>
      <c r="AC96" s="2"/>
      <c r="AD96" s="2"/>
      <c r="AE96" s="2"/>
      <c r="AF96" s="2"/>
      <c r="AG96" s="7"/>
      <c r="AH96" s="7"/>
      <c r="AI96" s="2"/>
      <c r="AJ96" s="2"/>
      <c r="AK96" s="2"/>
      <c r="AL96" s="7"/>
      <c r="AM96" s="2"/>
      <c r="AN96" s="2"/>
      <c r="AO96" s="2"/>
      <c r="AP96" s="2"/>
      <c r="AQ96" s="2"/>
      <c r="AR96" s="2"/>
      <c r="AS96" s="7"/>
      <c r="AT96" s="2"/>
      <c r="AU96" s="7"/>
      <c r="AV96" s="2"/>
      <c r="AW96" s="10"/>
    </row>
    <row r="97" spans="1:49" customFormat="1" ht="15" customHeight="1">
      <c r="A97" s="175" t="s">
        <v>357</v>
      </c>
      <c r="B97" s="50"/>
      <c r="C97" s="80">
        <v>45796</v>
      </c>
      <c r="D97" s="81" t="s">
        <v>409</v>
      </c>
      <c r="E97" s="175" t="s">
        <v>410</v>
      </c>
      <c r="F97" s="294" t="s">
        <v>71</v>
      </c>
      <c r="G97" s="72" t="s">
        <v>72</v>
      </c>
      <c r="H97" s="82" t="s">
        <v>411</v>
      </c>
      <c r="I97" s="72">
        <v>1</v>
      </c>
      <c r="J97" s="70">
        <v>2250</v>
      </c>
      <c r="K97" s="243"/>
      <c r="L97" s="87"/>
      <c r="M97" s="87" t="s">
        <v>173</v>
      </c>
      <c r="N97" s="87" t="s">
        <v>412</v>
      </c>
      <c r="O97" s="87" t="s">
        <v>413</v>
      </c>
      <c r="P97" s="184"/>
      <c r="Q97" s="184"/>
      <c r="R97" s="7"/>
      <c r="S97" s="2"/>
      <c r="T97" s="2"/>
      <c r="U97" s="2"/>
      <c r="V97" s="2"/>
      <c r="W97" s="2"/>
      <c r="X97" s="2"/>
      <c r="Y97" s="2"/>
      <c r="Z97" s="7"/>
      <c r="AA97" s="2"/>
      <c r="AB97" s="2"/>
      <c r="AC97" s="2"/>
      <c r="AD97" s="2"/>
      <c r="AE97" s="2"/>
      <c r="AF97" s="2"/>
      <c r="AG97" s="7"/>
      <c r="AH97" s="7"/>
      <c r="AI97" s="2"/>
      <c r="AJ97" s="2"/>
      <c r="AK97" s="2"/>
      <c r="AL97" s="7"/>
      <c r="AM97" s="2"/>
      <c r="AN97" s="2"/>
      <c r="AO97" s="2"/>
      <c r="AP97" s="2"/>
      <c r="AQ97" s="2"/>
      <c r="AR97" s="2"/>
      <c r="AS97" s="7"/>
      <c r="AT97" s="2"/>
      <c r="AU97" s="7"/>
      <c r="AV97" s="2"/>
      <c r="AW97" s="10"/>
    </row>
    <row r="98" spans="1:49" ht="15" customHeight="1">
      <c r="A98" s="163" t="s">
        <v>209</v>
      </c>
      <c r="B98"/>
      <c r="C98" s="11">
        <v>45804</v>
      </c>
      <c r="D98" s="33" t="s">
        <v>414</v>
      </c>
      <c r="E98" s="163" t="s">
        <v>211</v>
      </c>
      <c r="F98" s="259" t="s">
        <v>71</v>
      </c>
      <c r="G98" s="2" t="s">
        <v>72</v>
      </c>
      <c r="H98" s="2" t="s">
        <v>68</v>
      </c>
      <c r="I98" s="2">
        <v>1</v>
      </c>
      <c r="J98" s="178">
        <v>24250</v>
      </c>
      <c r="K98" s="246" t="s">
        <v>68</v>
      </c>
      <c r="L98" s="48">
        <v>2505065</v>
      </c>
      <c r="M98" s="48" t="s">
        <v>73</v>
      </c>
      <c r="N98" s="48" t="s">
        <v>415</v>
      </c>
      <c r="O98" s="48" t="s">
        <v>416</v>
      </c>
      <c r="P98" s="168"/>
      <c r="Q98" s="171"/>
      <c r="R98" s="7"/>
      <c r="S98" s="2"/>
      <c r="T98" s="2"/>
      <c r="U98" s="2"/>
      <c r="V98" s="2"/>
      <c r="W98" s="2"/>
      <c r="X98" s="2"/>
      <c r="Y98" s="2"/>
      <c r="Z98" s="7"/>
      <c r="AA98" s="2"/>
      <c r="AB98" s="2"/>
      <c r="AC98" s="2"/>
      <c r="AD98" s="2"/>
      <c r="AE98" s="2"/>
      <c r="AF98" s="2"/>
      <c r="AG98" s="7"/>
      <c r="AH98" s="7"/>
      <c r="AI98" s="2"/>
      <c r="AJ98" s="2"/>
      <c r="AK98" s="2"/>
      <c r="AL98" s="7"/>
      <c r="AM98" s="2"/>
      <c r="AN98" s="2"/>
      <c r="AO98" s="2"/>
      <c r="AP98" s="2"/>
      <c r="AQ98" s="2"/>
      <c r="AR98" s="2"/>
      <c r="AS98" s="7"/>
      <c r="AT98" s="2"/>
      <c r="AU98" s="7"/>
      <c r="AV98" s="2"/>
      <c r="AW98" s="10"/>
    </row>
    <row r="99" spans="1:49" ht="15" customHeight="1">
      <c r="A99" s="163" t="s">
        <v>417</v>
      </c>
      <c r="B99"/>
      <c r="C99" s="11">
        <v>45810</v>
      </c>
      <c r="D99" s="33" t="s">
        <v>418</v>
      </c>
      <c r="E99" s="177" t="s">
        <v>419</v>
      </c>
      <c r="F99" s="259" t="s">
        <v>71</v>
      </c>
      <c r="G99" s="2" t="s">
        <v>72</v>
      </c>
      <c r="H99" t="s">
        <v>420</v>
      </c>
      <c r="I99" s="2" t="s">
        <v>68</v>
      </c>
      <c r="J99" s="46">
        <v>2900</v>
      </c>
      <c r="K99" s="246"/>
      <c r="L99" s="48"/>
      <c r="M99" s="48" t="s">
        <v>73</v>
      </c>
      <c r="N99" s="48" t="s">
        <v>421</v>
      </c>
      <c r="O99" s="48" t="s">
        <v>422</v>
      </c>
      <c r="P99" s="168"/>
      <c r="Q99" s="184"/>
      <c r="R99" s="7"/>
      <c r="S99" s="2"/>
      <c r="T99" s="2"/>
      <c r="U99" s="2"/>
      <c r="V99" s="2"/>
      <c r="W99" s="2"/>
      <c r="X99" s="2"/>
      <c r="Y99" s="2"/>
      <c r="Z99" s="7"/>
      <c r="AA99" s="2"/>
      <c r="AB99" s="2"/>
      <c r="AC99" s="2"/>
      <c r="AD99" s="2"/>
      <c r="AE99" s="2"/>
      <c r="AF99" s="2"/>
      <c r="AG99" s="7"/>
      <c r="AH99" s="7"/>
      <c r="AI99" s="2"/>
      <c r="AJ99" s="2"/>
      <c r="AK99" s="2"/>
      <c r="AL99" s="7"/>
      <c r="AM99" s="2"/>
      <c r="AN99" s="2"/>
      <c r="AO99" s="2"/>
      <c r="AP99" s="2"/>
      <c r="AQ99" s="2"/>
      <c r="AR99" s="2"/>
      <c r="AS99" s="7"/>
      <c r="AT99" s="2"/>
      <c r="AU99" s="7"/>
      <c r="AV99" s="2"/>
      <c r="AW99" s="10"/>
    </row>
    <row r="100" spans="1:49" ht="15" customHeight="1">
      <c r="A100" s="163" t="s">
        <v>423</v>
      </c>
      <c r="B100"/>
      <c r="C100" s="11">
        <v>45810</v>
      </c>
      <c r="D100" s="33" t="s">
        <v>424</v>
      </c>
      <c r="E100" s="163" t="s">
        <v>419</v>
      </c>
      <c r="F100" s="259" t="s">
        <v>71</v>
      </c>
      <c r="G100" s="2"/>
      <c r="H100" s="34" t="s">
        <v>425</v>
      </c>
      <c r="I100" s="2" t="str">
        <f>IF(SUM(R100:AV100)=0,"-",SUM(R100:AV100))</f>
        <v>-</v>
      </c>
      <c r="J100" s="178" t="s">
        <v>426</v>
      </c>
      <c r="K100" s="246" t="s">
        <v>68</v>
      </c>
      <c r="L100" s="48" t="s">
        <v>68</v>
      </c>
      <c r="M100" s="48" t="s">
        <v>68</v>
      </c>
      <c r="N100" s="48" t="s">
        <v>68</v>
      </c>
      <c r="O100" s="48" t="s">
        <v>68</v>
      </c>
      <c r="P100" s="168" t="s">
        <v>68</v>
      </c>
      <c r="Q100" s="184" t="s">
        <v>68</v>
      </c>
      <c r="R100" s="7"/>
      <c r="S100" s="2"/>
      <c r="T100" s="2"/>
      <c r="U100" s="2"/>
      <c r="V100" s="2"/>
      <c r="W100" s="2"/>
      <c r="X100" s="2"/>
      <c r="Y100" s="2"/>
      <c r="Z100" s="7"/>
      <c r="AA100" s="2"/>
      <c r="AB100" s="2"/>
      <c r="AC100" s="2"/>
      <c r="AD100" s="2"/>
      <c r="AE100" s="2"/>
      <c r="AF100" s="2"/>
      <c r="AG100" s="7"/>
      <c r="AH100" s="7"/>
      <c r="AI100" s="2"/>
      <c r="AJ100" s="2"/>
      <c r="AK100" s="2"/>
      <c r="AL100" s="7"/>
      <c r="AM100" s="2"/>
      <c r="AN100" s="2"/>
      <c r="AO100" s="2"/>
      <c r="AP100" s="2"/>
      <c r="AQ100" s="2"/>
      <c r="AR100" s="2"/>
      <c r="AS100" s="7"/>
      <c r="AT100" s="2"/>
      <c r="AU100" s="7"/>
      <c r="AV100" s="2"/>
      <c r="AW100" s="10"/>
    </row>
    <row r="101" spans="1:49" ht="15" customHeight="1">
      <c r="A101" s="163" t="s">
        <v>427</v>
      </c>
      <c r="B101"/>
      <c r="C101" s="11">
        <v>45810</v>
      </c>
      <c r="D101" s="33" t="s">
        <v>428</v>
      </c>
      <c r="E101" s="177" t="s">
        <v>429</v>
      </c>
      <c r="F101" s="259" t="s">
        <v>71</v>
      </c>
      <c r="G101" s="2" t="s">
        <v>430</v>
      </c>
      <c r="H101" t="s">
        <v>431</v>
      </c>
      <c r="I101" s="2">
        <v>1</v>
      </c>
      <c r="J101" s="205">
        <v>500</v>
      </c>
      <c r="K101" s="243" t="s">
        <v>68</v>
      </c>
      <c r="L101" s="87" t="s">
        <v>68</v>
      </c>
      <c r="M101" s="87" t="s">
        <v>73</v>
      </c>
      <c r="N101" s="87" t="s">
        <v>432</v>
      </c>
      <c r="O101" s="87" t="s">
        <v>433</v>
      </c>
      <c r="P101" s="184"/>
      <c r="Q101" s="184"/>
      <c r="R101" s="7"/>
      <c r="S101" s="2"/>
      <c r="T101" s="2"/>
      <c r="U101" s="2"/>
      <c r="V101" s="2"/>
      <c r="W101" s="2"/>
      <c r="X101" s="2"/>
      <c r="Y101" s="2"/>
      <c r="Z101" s="7"/>
      <c r="AA101" s="2"/>
      <c r="AB101" s="2"/>
      <c r="AC101" s="2"/>
      <c r="AD101" s="2"/>
      <c r="AE101" s="2"/>
      <c r="AF101" s="2"/>
      <c r="AG101" s="7"/>
      <c r="AH101" s="7"/>
      <c r="AI101" s="2"/>
      <c r="AJ101" s="2"/>
      <c r="AK101" s="2"/>
      <c r="AL101" s="7"/>
      <c r="AM101" s="2"/>
      <c r="AN101" s="2"/>
      <c r="AO101" s="2"/>
      <c r="AP101" s="2"/>
      <c r="AQ101" s="2"/>
      <c r="AR101" s="2"/>
      <c r="AS101" s="7"/>
      <c r="AT101" s="2"/>
      <c r="AU101" s="7"/>
      <c r="AV101" s="2"/>
      <c r="AW101" s="10"/>
    </row>
    <row r="102" spans="1:49" ht="15" customHeight="1">
      <c r="A102" s="163" t="s">
        <v>398</v>
      </c>
      <c r="B102"/>
      <c r="C102" s="11">
        <v>45813</v>
      </c>
      <c r="D102" s="33" t="s">
        <v>434</v>
      </c>
      <c r="E102" s="177" t="s">
        <v>400</v>
      </c>
      <c r="F102" s="261" t="s">
        <v>401</v>
      </c>
      <c r="G102" s="2" t="s">
        <v>72</v>
      </c>
      <c r="H102"/>
      <c r="I102" s="2"/>
      <c r="J102" s="46">
        <v>1400</v>
      </c>
      <c r="K102" s="246" t="s">
        <v>68</v>
      </c>
      <c r="L102" s="48" t="s">
        <v>68</v>
      </c>
      <c r="M102" s="48" t="s">
        <v>73</v>
      </c>
      <c r="N102" s="48" t="s">
        <v>435</v>
      </c>
      <c r="O102" s="48" t="s">
        <v>403</v>
      </c>
      <c r="P102" s="168"/>
      <c r="Q102" s="168"/>
      <c r="R102" s="7"/>
      <c r="S102" s="2"/>
      <c r="T102" s="2"/>
      <c r="U102" s="2"/>
      <c r="V102" s="2"/>
      <c r="W102" s="2"/>
      <c r="X102" s="2"/>
      <c r="Y102" s="2"/>
      <c r="Z102" s="7"/>
      <c r="AA102" s="2"/>
      <c r="AB102" s="2"/>
      <c r="AC102" s="2"/>
      <c r="AD102" s="2"/>
      <c r="AE102" s="2"/>
      <c r="AF102" s="2"/>
      <c r="AG102" s="7"/>
      <c r="AH102" s="7"/>
      <c r="AI102" s="2"/>
      <c r="AJ102" s="2"/>
      <c r="AK102" s="2"/>
      <c r="AL102" s="7"/>
      <c r="AM102" s="2"/>
      <c r="AN102" s="2"/>
      <c r="AO102" s="2"/>
      <c r="AP102" s="2"/>
      <c r="AQ102" s="2"/>
      <c r="AR102" s="2"/>
      <c r="AS102" s="7"/>
      <c r="AT102" s="2"/>
      <c r="AU102" s="7"/>
      <c r="AV102" s="2"/>
      <c r="AW102" s="10"/>
    </row>
    <row r="103" spans="1:49" ht="15" customHeight="1">
      <c r="A103" s="163" t="s">
        <v>436</v>
      </c>
      <c r="B103"/>
      <c r="C103" s="11">
        <v>45813</v>
      </c>
      <c r="D103" s="33" t="s">
        <v>437</v>
      </c>
      <c r="E103" s="177" t="s">
        <v>438</v>
      </c>
      <c r="F103" s="260" t="s">
        <v>439</v>
      </c>
      <c r="G103" s="2" t="s">
        <v>72</v>
      </c>
      <c r="H103"/>
      <c r="I103" s="2"/>
      <c r="J103" s="3">
        <v>15800</v>
      </c>
      <c r="Q103" s="216" t="s">
        <v>440</v>
      </c>
      <c r="R103" s="7"/>
      <c r="S103" s="2"/>
      <c r="T103" s="2"/>
      <c r="U103" s="2"/>
      <c r="V103" s="2"/>
      <c r="W103" s="2"/>
      <c r="X103" s="2"/>
      <c r="Y103" s="2"/>
      <c r="Z103" s="7"/>
      <c r="AA103" s="2"/>
      <c r="AB103" s="2"/>
      <c r="AC103" s="2"/>
      <c r="AD103" s="2"/>
      <c r="AE103" s="2"/>
      <c r="AF103" s="2"/>
      <c r="AG103" s="7"/>
      <c r="AH103" s="7"/>
      <c r="AI103" s="2"/>
      <c r="AJ103" s="2"/>
      <c r="AK103" s="2"/>
      <c r="AL103" s="7"/>
      <c r="AM103" s="2"/>
      <c r="AN103" s="2"/>
      <c r="AO103" s="2"/>
      <c r="AP103" s="2"/>
      <c r="AQ103" s="2"/>
      <c r="AR103" s="2"/>
      <c r="AS103" s="7"/>
      <c r="AT103" s="2"/>
      <c r="AU103" s="7"/>
      <c r="AV103" s="2"/>
      <c r="AW103" s="10"/>
    </row>
    <row r="104" spans="1:49" ht="15" customHeight="1">
      <c r="A104" s="174" t="s">
        <v>115</v>
      </c>
      <c r="B104"/>
      <c r="C104" s="11">
        <v>45831</v>
      </c>
      <c r="D104" s="33" t="s">
        <v>441</v>
      </c>
      <c r="E104" s="163" t="s">
        <v>419</v>
      </c>
      <c r="F104" s="262" t="s">
        <v>177</v>
      </c>
      <c r="G104" s="2" t="s">
        <v>72</v>
      </c>
      <c r="H104" s="34" t="s">
        <v>442</v>
      </c>
      <c r="I104" s="2" t="str">
        <f>IF(SUM(R104:AV104)=0,"-",SUM(R104:AV104))</f>
        <v>-</v>
      </c>
      <c r="J104" s="208" t="str">
        <f>IF(SUMPRODUCT($R$2:$AV$2,R104:AV104)=0,"-",SUMPRODUCT($R$2:$AV$2,R104:AV104))</f>
        <v>-</v>
      </c>
      <c r="R104" s="7"/>
      <c r="S104" s="2"/>
      <c r="T104" s="2"/>
      <c r="U104" s="2"/>
      <c r="V104" s="2"/>
      <c r="W104" s="2"/>
      <c r="X104" s="2"/>
      <c r="Y104" s="2"/>
      <c r="Z104" s="7"/>
      <c r="AA104" s="2"/>
      <c r="AB104" s="2"/>
      <c r="AC104" s="2"/>
      <c r="AD104" s="2"/>
      <c r="AE104" s="2"/>
      <c r="AF104" s="2"/>
      <c r="AG104" s="7"/>
      <c r="AH104" s="7"/>
      <c r="AI104" s="2"/>
      <c r="AJ104" s="2"/>
      <c r="AK104" s="2"/>
      <c r="AL104" s="7"/>
      <c r="AM104" s="2"/>
      <c r="AN104" s="2"/>
      <c r="AO104" s="2"/>
      <c r="AP104" s="2"/>
      <c r="AQ104" s="2"/>
      <c r="AR104" s="2"/>
      <c r="AS104" s="7"/>
      <c r="AT104" s="2"/>
      <c r="AU104" s="7"/>
      <c r="AV104" s="2"/>
      <c r="AW104" s="10"/>
    </row>
    <row r="105" spans="1:49" ht="15" customHeight="1">
      <c r="A105" s="163" t="s">
        <v>103</v>
      </c>
      <c r="B105"/>
      <c r="C105" s="11">
        <v>45842</v>
      </c>
      <c r="D105" s="238" t="s">
        <v>443</v>
      </c>
      <c r="E105" s="163" t="s">
        <v>105</v>
      </c>
      <c r="F105" s="259" t="s">
        <v>71</v>
      </c>
      <c r="G105" s="2" t="s">
        <v>72</v>
      </c>
      <c r="H105" t="s">
        <v>68</v>
      </c>
      <c r="I105" s="2">
        <v>1</v>
      </c>
      <c r="J105" s="178">
        <v>40</v>
      </c>
      <c r="K105" s="246"/>
      <c r="L105" s="48"/>
      <c r="M105" s="48" t="s">
        <v>73</v>
      </c>
      <c r="N105" s="48" t="s">
        <v>444</v>
      </c>
      <c r="O105" s="48" t="s">
        <v>445</v>
      </c>
      <c r="P105" s="168"/>
      <c r="Q105" s="184"/>
      <c r="R105" s="7"/>
      <c r="S105" s="2"/>
      <c r="T105" s="2"/>
      <c r="U105" s="2"/>
      <c r="V105" s="2"/>
      <c r="W105" s="2"/>
      <c r="X105" s="2"/>
      <c r="Y105" s="2"/>
      <c r="Z105" s="7"/>
      <c r="AA105" s="2"/>
      <c r="AB105" s="2"/>
      <c r="AC105" s="2"/>
      <c r="AD105" s="2"/>
      <c r="AE105" s="2"/>
      <c r="AF105" s="2"/>
      <c r="AG105" s="7"/>
      <c r="AH105" s="7"/>
      <c r="AI105" s="2"/>
      <c r="AJ105" s="2"/>
      <c r="AK105" s="2"/>
      <c r="AL105" s="7"/>
      <c r="AM105" s="2"/>
      <c r="AN105" s="2"/>
      <c r="AO105" s="2"/>
      <c r="AP105" s="2"/>
      <c r="AQ105" s="2"/>
      <c r="AR105" s="2"/>
      <c r="AS105" s="7"/>
      <c r="AT105" s="2"/>
      <c r="AU105" s="7"/>
      <c r="AV105" s="2"/>
      <c r="AW105" s="10"/>
    </row>
    <row r="106" spans="1:49" ht="15" customHeight="1">
      <c r="A106" s="163" t="s">
        <v>398</v>
      </c>
      <c r="B106"/>
      <c r="C106" s="11">
        <v>45843</v>
      </c>
      <c r="D106" s="33" t="s">
        <v>446</v>
      </c>
      <c r="E106" s="177" t="s">
        <v>400</v>
      </c>
      <c r="F106" s="261" t="s">
        <v>401</v>
      </c>
      <c r="G106" s="2" t="s">
        <v>72</v>
      </c>
      <c r="H106"/>
      <c r="I106" s="2"/>
      <c r="J106" s="46">
        <v>1400</v>
      </c>
      <c r="K106" s="246" t="s">
        <v>68</v>
      </c>
      <c r="L106" s="48" t="s">
        <v>68</v>
      </c>
      <c r="M106" s="48" t="s">
        <v>73</v>
      </c>
      <c r="N106" s="48" t="s">
        <v>447</v>
      </c>
      <c r="O106" s="48" t="s">
        <v>448</v>
      </c>
      <c r="P106" s="168"/>
      <c r="Q106" s="168"/>
      <c r="R106" s="7"/>
      <c r="S106" s="2"/>
      <c r="T106" s="2"/>
      <c r="U106" s="2"/>
      <c r="V106" s="2"/>
      <c r="W106" s="2"/>
      <c r="X106" s="2"/>
      <c r="Y106" s="2"/>
      <c r="Z106" s="7"/>
      <c r="AA106" s="2"/>
      <c r="AB106" s="2"/>
      <c r="AC106" s="2"/>
      <c r="AD106" s="2"/>
      <c r="AE106" s="2"/>
      <c r="AF106" s="2"/>
      <c r="AG106" s="7"/>
      <c r="AH106" s="7"/>
      <c r="AI106" s="2"/>
      <c r="AJ106" s="2"/>
      <c r="AK106" s="2"/>
      <c r="AL106" s="7"/>
      <c r="AM106" s="2"/>
      <c r="AN106" s="2"/>
      <c r="AO106" s="2"/>
      <c r="AP106" s="2"/>
      <c r="AQ106" s="2"/>
      <c r="AR106" s="2"/>
      <c r="AS106" s="7"/>
      <c r="AT106" s="2"/>
      <c r="AU106" s="7"/>
      <c r="AV106" s="2"/>
      <c r="AW106" s="10"/>
    </row>
    <row r="107" spans="1:49" ht="15" customHeight="1">
      <c r="A107" s="275" t="s">
        <v>398</v>
      </c>
      <c r="B107" s="284"/>
      <c r="C107" s="285">
        <v>45874</v>
      </c>
      <c r="D107" s="283" t="s">
        <v>449</v>
      </c>
      <c r="E107" s="286" t="s">
        <v>400</v>
      </c>
      <c r="F107" s="278" t="s">
        <v>401</v>
      </c>
      <c r="G107" s="287" t="s">
        <v>72</v>
      </c>
      <c r="H107" s="284"/>
      <c r="I107" s="287"/>
      <c r="J107" s="288">
        <v>1400</v>
      </c>
      <c r="K107" s="280"/>
      <c r="L107" s="289"/>
      <c r="M107" s="289" t="s">
        <v>73</v>
      </c>
      <c r="N107" s="289" t="s">
        <v>450</v>
      </c>
      <c r="O107" s="289" t="s">
        <v>248</v>
      </c>
      <c r="P107" s="290">
        <v>45900</v>
      </c>
      <c r="Q107" s="282"/>
      <c r="R107" s="7"/>
      <c r="S107" s="2"/>
      <c r="T107" s="2"/>
      <c r="U107" s="2"/>
      <c r="V107" s="2"/>
      <c r="W107" s="2"/>
      <c r="X107" s="2"/>
      <c r="Y107" s="2"/>
      <c r="Z107" s="7"/>
      <c r="AA107" s="2"/>
      <c r="AB107" s="2"/>
      <c r="AC107" s="2"/>
      <c r="AD107" s="2"/>
      <c r="AE107" s="2"/>
      <c r="AF107" s="2"/>
      <c r="AG107" s="7"/>
      <c r="AH107" s="7"/>
      <c r="AI107" s="2"/>
      <c r="AJ107" s="2"/>
      <c r="AK107" s="2"/>
      <c r="AL107" s="7"/>
      <c r="AM107" s="2"/>
      <c r="AN107" s="2"/>
      <c r="AO107" s="2"/>
      <c r="AP107" s="2"/>
      <c r="AQ107" s="2"/>
      <c r="AR107" s="2"/>
      <c r="AS107" s="7"/>
      <c r="AT107" s="2"/>
      <c r="AU107" s="7"/>
      <c r="AV107" s="2"/>
      <c r="AW107" s="10"/>
    </row>
    <row r="108" spans="1:49" ht="15" customHeight="1">
      <c r="A108" s="163" t="s">
        <v>451</v>
      </c>
      <c r="B108"/>
      <c r="C108" s="11">
        <v>45905</v>
      </c>
      <c r="D108" s="47" t="s">
        <v>452</v>
      </c>
      <c r="E108" s="177" t="s">
        <v>400</v>
      </c>
      <c r="F108" s="261" t="s">
        <v>401</v>
      </c>
      <c r="G108" s="2" t="s">
        <v>72</v>
      </c>
      <c r="H108"/>
      <c r="I108" s="2"/>
      <c r="J108" s="46">
        <v>1400</v>
      </c>
      <c r="K108" s="246"/>
      <c r="L108" s="48"/>
      <c r="M108" s="48" t="s">
        <v>73</v>
      </c>
      <c r="N108" s="48" t="s">
        <v>453</v>
      </c>
      <c r="O108" s="101" t="s">
        <v>248</v>
      </c>
      <c r="P108" s="125">
        <v>45928</v>
      </c>
      <c r="Q108" s="216"/>
      <c r="R108" s="7"/>
      <c r="S108" s="2"/>
      <c r="T108" s="2"/>
      <c r="U108" s="2"/>
      <c r="V108" s="2"/>
      <c r="W108" s="2"/>
      <c r="X108" s="2"/>
      <c r="Y108" s="2"/>
      <c r="Z108" s="7"/>
      <c r="AA108" s="2"/>
      <c r="AB108" s="2"/>
      <c r="AC108" s="2"/>
      <c r="AD108" s="2"/>
      <c r="AE108" s="2"/>
      <c r="AF108" s="2"/>
      <c r="AG108" s="7"/>
      <c r="AH108" s="7"/>
      <c r="AI108" s="2"/>
      <c r="AJ108" s="2"/>
      <c r="AK108" s="2"/>
      <c r="AL108" s="7"/>
      <c r="AM108" s="2"/>
      <c r="AN108" s="2"/>
      <c r="AO108" s="2"/>
      <c r="AP108" s="2"/>
      <c r="AQ108" s="2"/>
      <c r="AR108" s="2"/>
      <c r="AS108" s="7"/>
      <c r="AT108" s="2"/>
      <c r="AU108" s="7"/>
      <c r="AV108" s="2"/>
      <c r="AW108" s="10"/>
    </row>
    <row r="109" spans="1:49" ht="15" customHeight="1">
      <c r="A109" s="163" t="s">
        <v>451</v>
      </c>
      <c r="B109"/>
      <c r="C109" s="11">
        <v>45935</v>
      </c>
      <c r="D109" s="47" t="s">
        <v>454</v>
      </c>
      <c r="E109" s="177" t="s">
        <v>400</v>
      </c>
      <c r="F109" s="261" t="s">
        <v>401</v>
      </c>
      <c r="G109" s="2" t="s">
        <v>72</v>
      </c>
      <c r="H109"/>
      <c r="I109" s="2"/>
      <c r="J109" s="252">
        <v>1400</v>
      </c>
      <c r="K109" s="248"/>
      <c r="L109" s="210"/>
      <c r="M109" s="210"/>
      <c r="N109" s="210"/>
      <c r="O109" s="210"/>
      <c r="P109" s="211"/>
      <c r="Q109" s="217"/>
      <c r="R109" s="7"/>
      <c r="S109" s="2"/>
      <c r="T109" s="2"/>
      <c r="U109" s="2"/>
      <c r="V109" s="2"/>
      <c r="W109" s="2"/>
      <c r="X109" s="2"/>
      <c r="Y109" s="2"/>
      <c r="Z109" s="7"/>
      <c r="AA109" s="2"/>
      <c r="AB109" s="2"/>
      <c r="AC109" s="2"/>
      <c r="AD109" s="2"/>
      <c r="AE109" s="2"/>
      <c r="AF109" s="2"/>
      <c r="AG109" s="7"/>
      <c r="AH109" s="7"/>
      <c r="AI109" s="2"/>
      <c r="AJ109" s="2"/>
      <c r="AK109" s="2"/>
      <c r="AL109" s="7"/>
      <c r="AM109" s="2"/>
      <c r="AN109" s="2"/>
      <c r="AO109" s="2"/>
      <c r="AP109" s="2"/>
      <c r="AQ109" s="2"/>
      <c r="AR109" s="2"/>
      <c r="AS109" s="7"/>
      <c r="AT109" s="2"/>
      <c r="AU109" s="7"/>
      <c r="AV109" s="2"/>
      <c r="AW109" s="10"/>
    </row>
    <row r="110" spans="1:49" ht="15" customHeight="1">
      <c r="A110" s="163" t="s">
        <v>451</v>
      </c>
      <c r="B110"/>
      <c r="C110" s="11">
        <v>45966</v>
      </c>
      <c r="D110" s="47" t="s">
        <v>455</v>
      </c>
      <c r="E110" s="177" t="s">
        <v>400</v>
      </c>
      <c r="F110" s="261" t="s">
        <v>401</v>
      </c>
      <c r="G110" s="2" t="s">
        <v>72</v>
      </c>
      <c r="H110"/>
      <c r="I110" s="2"/>
      <c r="J110" s="252">
        <v>1400</v>
      </c>
      <c r="K110" s="248"/>
      <c r="L110" s="210"/>
      <c r="M110" s="210"/>
      <c r="N110" s="210"/>
      <c r="O110" s="210"/>
      <c r="P110" s="211"/>
      <c r="Q110" s="217"/>
      <c r="R110" s="7"/>
      <c r="S110" s="2"/>
      <c r="T110" s="2"/>
      <c r="U110" s="2"/>
      <c r="V110" s="2"/>
      <c r="W110" s="2"/>
      <c r="X110" s="2"/>
      <c r="Y110" s="2"/>
      <c r="Z110" s="7"/>
      <c r="AA110" s="2"/>
      <c r="AB110" s="2"/>
      <c r="AC110" s="2"/>
      <c r="AD110" s="2"/>
      <c r="AE110" s="2"/>
      <c r="AF110" s="2"/>
      <c r="AG110" s="7"/>
      <c r="AH110" s="7"/>
      <c r="AI110" s="2"/>
      <c r="AJ110" s="2"/>
      <c r="AK110" s="2"/>
      <c r="AL110" s="7"/>
      <c r="AM110" s="2"/>
      <c r="AN110" s="2"/>
      <c r="AO110" s="2"/>
      <c r="AP110" s="2"/>
      <c r="AQ110" s="2"/>
      <c r="AR110" s="2"/>
      <c r="AS110" s="7"/>
      <c r="AT110" s="2"/>
      <c r="AU110" s="7"/>
      <c r="AV110" s="2"/>
      <c r="AW110" s="10"/>
    </row>
    <row r="111" spans="1:49" ht="15" customHeight="1">
      <c r="A111" s="163" t="s">
        <v>451</v>
      </c>
      <c r="B111"/>
      <c r="C111" s="11">
        <v>45996</v>
      </c>
      <c r="D111" s="47" t="s">
        <v>456</v>
      </c>
      <c r="E111" s="177" t="s">
        <v>400</v>
      </c>
      <c r="F111" s="261" t="s">
        <v>401</v>
      </c>
      <c r="G111" s="2" t="s">
        <v>72</v>
      </c>
      <c r="H111"/>
      <c r="I111" s="2"/>
      <c r="J111" s="252">
        <v>1400</v>
      </c>
      <c r="K111" s="248"/>
      <c r="L111" s="210"/>
      <c r="M111" s="210"/>
      <c r="N111" s="210"/>
      <c r="O111" s="210"/>
      <c r="P111" s="211"/>
      <c r="Q111" s="217"/>
      <c r="R111" s="7"/>
      <c r="S111" s="2"/>
      <c r="T111" s="2"/>
      <c r="U111" s="2"/>
      <c r="V111" s="2"/>
      <c r="W111" s="2"/>
      <c r="X111" s="2"/>
      <c r="Y111" s="2"/>
      <c r="Z111" s="7"/>
      <c r="AA111" s="2"/>
      <c r="AB111" s="2"/>
      <c r="AC111" s="2"/>
      <c r="AD111" s="2"/>
      <c r="AE111" s="2"/>
      <c r="AF111" s="2"/>
      <c r="AG111" s="7"/>
      <c r="AH111" s="7"/>
      <c r="AI111" s="2"/>
      <c r="AJ111" s="2"/>
      <c r="AK111" s="2"/>
      <c r="AL111" s="7"/>
      <c r="AM111" s="2"/>
      <c r="AN111" s="2"/>
      <c r="AO111" s="2"/>
      <c r="AP111" s="2"/>
      <c r="AQ111" s="2"/>
      <c r="AR111" s="2"/>
      <c r="AS111" s="7"/>
      <c r="AT111" s="2"/>
      <c r="AU111" s="7"/>
      <c r="AV111" s="2"/>
      <c r="AW111" s="10"/>
    </row>
    <row r="112" spans="1:49" ht="15" customHeight="1">
      <c r="A112" s="163" t="s">
        <v>178</v>
      </c>
      <c r="B112"/>
      <c r="C112" s="11" t="s">
        <v>457</v>
      </c>
      <c r="D112" s="33" t="s">
        <v>458</v>
      </c>
      <c r="E112" s="176" t="s">
        <v>306</v>
      </c>
      <c r="F112" s="259" t="s">
        <v>71</v>
      </c>
      <c r="G112" s="2" t="s">
        <v>72</v>
      </c>
      <c r="H112"/>
      <c r="I112" s="2"/>
      <c r="J112" s="46">
        <v>250</v>
      </c>
      <c r="K112" s="246"/>
      <c r="L112" s="48"/>
      <c r="M112" s="48" t="s">
        <v>73</v>
      </c>
      <c r="N112" s="48" t="s">
        <v>459</v>
      </c>
      <c r="O112" s="48" t="s">
        <v>460</v>
      </c>
      <c r="P112" s="168">
        <v>45869</v>
      </c>
      <c r="Q112" s="184"/>
      <c r="R112" s="7"/>
      <c r="S112" s="2"/>
      <c r="T112" s="2"/>
      <c r="U112" s="2"/>
      <c r="V112" s="2"/>
      <c r="W112" s="2"/>
      <c r="X112" s="2"/>
      <c r="Y112" s="2"/>
      <c r="Z112" s="7"/>
      <c r="AA112" s="2">
        <v>6</v>
      </c>
      <c r="AB112" s="2"/>
      <c r="AC112" s="2"/>
      <c r="AD112" s="2"/>
      <c r="AE112" s="2"/>
      <c r="AF112" s="2"/>
      <c r="AG112" s="7"/>
      <c r="AH112" s="7"/>
      <c r="AI112" s="2"/>
      <c r="AJ112" s="2"/>
      <c r="AK112" s="2"/>
      <c r="AL112" s="7"/>
      <c r="AM112" s="2"/>
      <c r="AN112" s="2"/>
      <c r="AO112" s="2"/>
      <c r="AP112" s="2"/>
      <c r="AQ112" s="2"/>
      <c r="AR112" s="2"/>
      <c r="AS112" s="7"/>
      <c r="AT112" s="2"/>
      <c r="AU112" s="7"/>
      <c r="AV112" s="2"/>
      <c r="AW112" s="10"/>
    </row>
    <row r="113" spans="1:49" ht="15" customHeight="1">
      <c r="A113" s="163" t="s">
        <v>451</v>
      </c>
      <c r="C113" s="11">
        <v>45874</v>
      </c>
      <c r="D113" s="251" t="s">
        <v>461</v>
      </c>
      <c r="E113" s="177" t="s">
        <v>400</v>
      </c>
      <c r="F113" s="206" t="s">
        <v>71</v>
      </c>
      <c r="G113" s="101" t="s">
        <v>72</v>
      </c>
      <c r="J113" s="178">
        <v>330</v>
      </c>
      <c r="K113" s="246"/>
      <c r="L113" s="48"/>
      <c r="M113" s="48" t="s">
        <v>73</v>
      </c>
      <c r="N113" s="48" t="s">
        <v>462</v>
      </c>
      <c r="O113" s="101" t="s">
        <v>248</v>
      </c>
      <c r="P113" s="125">
        <v>45928</v>
      </c>
      <c r="Q113" s="216"/>
      <c r="R113" s="7"/>
      <c r="S113" s="2"/>
      <c r="T113" s="2"/>
      <c r="U113" s="2"/>
      <c r="V113" s="2"/>
      <c r="W113" s="2"/>
      <c r="X113" s="2"/>
      <c r="Y113" s="2"/>
      <c r="Z113" s="7"/>
      <c r="AA113" s="2"/>
      <c r="AB113" s="2"/>
      <c r="AC113" s="2"/>
      <c r="AD113" s="2"/>
      <c r="AE113" s="2"/>
      <c r="AF113" s="2"/>
      <c r="AG113" s="7"/>
      <c r="AH113" s="7"/>
      <c r="AI113" s="2"/>
      <c r="AJ113" s="2"/>
      <c r="AK113" s="2"/>
      <c r="AL113" s="7"/>
      <c r="AM113" s="2"/>
      <c r="AN113" s="2"/>
      <c r="AO113" s="2"/>
      <c r="AP113" s="2"/>
      <c r="AQ113" s="2"/>
      <c r="AR113" s="2"/>
      <c r="AS113" s="7"/>
      <c r="AT113" s="2"/>
      <c r="AU113" s="7"/>
      <c r="AV113" s="2"/>
      <c r="AW113" s="10"/>
    </row>
    <row r="114" spans="1:49" ht="15" customHeight="1">
      <c r="A114" s="163" t="s">
        <v>427</v>
      </c>
      <c r="B114"/>
      <c r="C114" s="11">
        <v>45840</v>
      </c>
      <c r="D114" s="33" t="s">
        <v>463</v>
      </c>
      <c r="E114" s="177" t="s">
        <v>429</v>
      </c>
      <c r="F114" s="263" t="s">
        <v>71</v>
      </c>
      <c r="G114" s="2" t="s">
        <v>430</v>
      </c>
      <c r="H114" t="s">
        <v>431</v>
      </c>
      <c r="I114" s="254">
        <v>2</v>
      </c>
      <c r="J114" s="205">
        <v>1000</v>
      </c>
      <c r="K114" s="249" t="s">
        <v>68</v>
      </c>
      <c r="L114" s="212" t="s">
        <v>68</v>
      </c>
      <c r="M114" s="212" t="s">
        <v>73</v>
      </c>
      <c r="N114" s="48" t="s">
        <v>464</v>
      </c>
      <c r="O114" s="48" t="s">
        <v>465</v>
      </c>
      <c r="P114" s="168"/>
      <c r="Q114" s="184"/>
      <c r="R114" s="7"/>
      <c r="S114" s="2"/>
      <c r="T114" s="2"/>
      <c r="U114" s="2"/>
      <c r="V114" s="2"/>
      <c r="W114" s="2"/>
      <c r="X114" s="2"/>
      <c r="Y114" s="2"/>
      <c r="Z114" s="7"/>
      <c r="AA114" s="2"/>
      <c r="AB114" s="2"/>
      <c r="AC114" s="2"/>
      <c r="AD114" s="2"/>
      <c r="AE114" s="2"/>
      <c r="AF114" s="2"/>
      <c r="AG114" s="7"/>
      <c r="AH114" s="7"/>
      <c r="AI114" s="2"/>
      <c r="AJ114" s="2"/>
      <c r="AK114" s="2"/>
      <c r="AL114" s="7"/>
      <c r="AM114" s="2"/>
      <c r="AN114" s="2"/>
      <c r="AO114" s="2"/>
      <c r="AP114" s="2"/>
      <c r="AQ114" s="2"/>
      <c r="AR114" s="2"/>
      <c r="AS114" s="7"/>
      <c r="AT114" s="2"/>
      <c r="AU114" s="7"/>
      <c r="AV114" s="2"/>
      <c r="AW114" s="10"/>
    </row>
    <row r="115" spans="1:49" ht="15" customHeight="1">
      <c r="A115" s="213" t="s">
        <v>178</v>
      </c>
      <c r="B115" s="214"/>
      <c r="C115" s="215" t="s">
        <v>466</v>
      </c>
      <c r="D115" s="271" t="s">
        <v>467</v>
      </c>
      <c r="E115" s="214" t="s">
        <v>306</v>
      </c>
      <c r="F115" s="265" t="s">
        <v>177</v>
      </c>
      <c r="G115" s="213" t="s">
        <v>72</v>
      </c>
      <c r="H115" s="214" t="s">
        <v>468</v>
      </c>
      <c r="I115" s="255">
        <v>5</v>
      </c>
      <c r="J115" s="269">
        <v>1250</v>
      </c>
      <c r="K115" s="250"/>
      <c r="L115" s="215"/>
      <c r="M115" s="213"/>
      <c r="N115" s="214"/>
      <c r="O115" s="215"/>
      <c r="P115" s="213"/>
      <c r="Q115" s="214"/>
    </row>
    <row r="116" spans="1:49" ht="15" customHeight="1">
      <c r="A116" s="268" t="s">
        <v>178</v>
      </c>
      <c r="C116" s="11">
        <v>45882</v>
      </c>
      <c r="D116" s="33" t="s">
        <v>469</v>
      </c>
      <c r="E116" s="174" t="s">
        <v>306</v>
      </c>
      <c r="F116" s="264" t="s">
        <v>177</v>
      </c>
      <c r="G116" s="254" t="s">
        <v>72</v>
      </c>
      <c r="I116" s="254"/>
      <c r="J116" s="270">
        <f>12000+8000</f>
        <v>20000</v>
      </c>
      <c r="K116" s="101"/>
      <c r="P116" s="101"/>
      <c r="Q116" s="101"/>
    </row>
    <row r="117" spans="1:49" ht="15" customHeight="1">
      <c r="A117" s="213" t="s">
        <v>470</v>
      </c>
      <c r="B117" s="213"/>
      <c r="C117" s="11">
        <v>45666</v>
      </c>
      <c r="D117" s="266" t="s">
        <v>471</v>
      </c>
      <c r="E117" s="214" t="s">
        <v>472</v>
      </c>
      <c r="F117" s="265" t="s">
        <v>177</v>
      </c>
      <c r="G117" s="255" t="s">
        <v>72</v>
      </c>
      <c r="H117" s="214" t="s">
        <v>473</v>
      </c>
      <c r="I117" s="255">
        <v>1</v>
      </c>
      <c r="J117" s="269">
        <f t="shared" ref="J117:J118" si="0">IF(SUMPRODUCT($R$2:$AV$2,R117:AV117)=0,"-",SUMPRODUCT($R$2:$AV$2,R117:AV117))</f>
        <v>135</v>
      </c>
      <c r="K117" s="213"/>
      <c r="L117" s="213"/>
      <c r="M117" s="213"/>
      <c r="N117" s="213"/>
      <c r="O117" s="213"/>
      <c r="P117" s="213"/>
      <c r="Q117" s="213"/>
      <c r="R117" s="116">
        <v>1</v>
      </c>
    </row>
    <row r="118" spans="1:49" ht="15" customHeight="1">
      <c r="A118" s="268" t="s">
        <v>474</v>
      </c>
      <c r="B118" s="268"/>
      <c r="C118" s="138">
        <v>45896</v>
      </c>
      <c r="D118" s="267" t="s">
        <v>475</v>
      </c>
      <c r="E118" s="174" t="s">
        <v>476</v>
      </c>
      <c r="F118" s="264" t="s">
        <v>71</v>
      </c>
      <c r="G118" s="254" t="s">
        <v>72</v>
      </c>
      <c r="H118" s="257" t="s">
        <v>477</v>
      </c>
      <c r="I118" s="254">
        <v>1</v>
      </c>
      <c r="J118" s="273">
        <v>250</v>
      </c>
      <c r="K118" s="272"/>
      <c r="L118" s="272"/>
      <c r="M118" s="272"/>
      <c r="N118" s="272"/>
      <c r="O118" s="272"/>
      <c r="P118" s="272"/>
      <c r="Q118" s="272"/>
    </row>
    <row r="119" spans="1:49" ht="15" customHeight="1">
      <c r="A119" s="213" t="s">
        <v>478</v>
      </c>
      <c r="B119" s="213"/>
      <c r="C119" s="138">
        <v>45904</v>
      </c>
      <c r="D119" s="266" t="s">
        <v>479</v>
      </c>
      <c r="E119" s="214" t="s">
        <v>472</v>
      </c>
      <c r="F119" s="265" t="s">
        <v>177</v>
      </c>
      <c r="G119" s="255" t="s">
        <v>72</v>
      </c>
      <c r="H119" s="214" t="s">
        <v>480</v>
      </c>
      <c r="I119" s="255">
        <v>3</v>
      </c>
      <c r="J119" s="269">
        <f>IF(SUMPRODUCT($R$2:$AV$2,R119:AV119)=0,"-",SUMPRODUCT($R$2:$AV$2,R119:AV119))</f>
        <v>300</v>
      </c>
      <c r="K119" s="213"/>
      <c r="L119" s="213"/>
      <c r="M119" s="213"/>
      <c r="N119" s="213"/>
      <c r="O119" s="213"/>
      <c r="P119" s="213"/>
      <c r="Q119" s="213"/>
      <c r="R119" s="116">
        <v>1</v>
      </c>
      <c r="S119" s="101">
        <v>1</v>
      </c>
      <c r="Z119" s="116">
        <v>1</v>
      </c>
    </row>
    <row r="120" spans="1:49" ht="15" customHeight="1">
      <c r="A120" s="268" t="s">
        <v>481</v>
      </c>
      <c r="B120" s="268"/>
      <c r="C120" s="138">
        <v>45908</v>
      </c>
      <c r="D120" s="267" t="s">
        <v>482</v>
      </c>
      <c r="E120" s="174" t="s">
        <v>429</v>
      </c>
      <c r="F120" s="264" t="s">
        <v>71</v>
      </c>
      <c r="G120" s="254" t="s">
        <v>430</v>
      </c>
      <c r="H120" s="257" t="s">
        <v>483</v>
      </c>
      <c r="I120" s="254">
        <v>2</v>
      </c>
      <c r="J120" s="291">
        <v>1000</v>
      </c>
      <c r="K120" s="292" t="s">
        <v>68</v>
      </c>
      <c r="L120" s="293" t="s">
        <v>68</v>
      </c>
      <c r="M120" s="292" t="s">
        <v>148</v>
      </c>
      <c r="N120" s="292" t="s">
        <v>484</v>
      </c>
      <c r="O120" s="292" t="s">
        <v>485</v>
      </c>
      <c r="P120" s="292"/>
      <c r="Q120" s="292"/>
      <c r="AQ120" s="101">
        <v>2</v>
      </c>
    </row>
    <row r="121" spans="1:49" ht="15" customHeight="1">
      <c r="A121" s="213" t="s">
        <v>481</v>
      </c>
      <c r="B121" s="213"/>
      <c r="C121" s="138">
        <v>45908</v>
      </c>
      <c r="D121" s="266" t="s">
        <v>486</v>
      </c>
      <c r="E121" s="214" t="s">
        <v>429</v>
      </c>
      <c r="F121" s="265" t="s">
        <v>71</v>
      </c>
      <c r="G121" s="255" t="s">
        <v>430</v>
      </c>
      <c r="H121" s="214" t="s">
        <v>487</v>
      </c>
      <c r="I121" s="256">
        <v>1</v>
      </c>
      <c r="J121" s="291">
        <v>700</v>
      </c>
      <c r="K121" s="292" t="s">
        <v>68</v>
      </c>
      <c r="L121" s="293" t="s">
        <v>68</v>
      </c>
      <c r="M121" s="292" t="s">
        <v>148</v>
      </c>
      <c r="N121" s="292" t="s">
        <v>484</v>
      </c>
      <c r="O121" s="292" t="s">
        <v>485</v>
      </c>
      <c r="P121" s="292"/>
      <c r="Q121" s="292"/>
      <c r="AQ121" s="101">
        <v>1</v>
      </c>
    </row>
    <row r="122" spans="1:49" ht="15" customHeight="1">
      <c r="A122" s="268" t="s">
        <v>481</v>
      </c>
      <c r="B122" s="268"/>
      <c r="C122" s="138">
        <v>45908</v>
      </c>
      <c r="D122" s="267" t="s">
        <v>488</v>
      </c>
      <c r="E122" s="174" t="s">
        <v>429</v>
      </c>
      <c r="F122" s="264" t="s">
        <v>71</v>
      </c>
      <c r="G122" s="254" t="s">
        <v>430</v>
      </c>
      <c r="H122" s="257" t="s">
        <v>489</v>
      </c>
      <c r="I122" s="254">
        <v>1</v>
      </c>
      <c r="J122" s="291">
        <v>300</v>
      </c>
      <c r="K122" s="292" t="s">
        <v>68</v>
      </c>
      <c r="L122" s="293" t="s">
        <v>68</v>
      </c>
      <c r="M122" s="292" t="s">
        <v>148</v>
      </c>
      <c r="N122" s="292" t="s">
        <v>484</v>
      </c>
      <c r="O122" s="292" t="s">
        <v>485</v>
      </c>
      <c r="P122" s="292"/>
      <c r="Q122" s="292"/>
      <c r="AP122" s="101">
        <v>1</v>
      </c>
    </row>
    <row r="123" spans="1:49" ht="15" customHeight="1">
      <c r="A123" s="213" t="s">
        <v>178</v>
      </c>
      <c r="B123" s="213"/>
      <c r="C123" s="138">
        <v>45909</v>
      </c>
      <c r="D123" s="266" t="s">
        <v>490</v>
      </c>
      <c r="E123" s="214" t="s">
        <v>306</v>
      </c>
      <c r="F123" s="265" t="s">
        <v>177</v>
      </c>
      <c r="G123" s="255" t="s">
        <v>72</v>
      </c>
      <c r="H123" s="214" t="s">
        <v>491</v>
      </c>
      <c r="I123" s="255">
        <v>19</v>
      </c>
      <c r="J123" s="269">
        <f>IF(SUMPRODUCT($R$2:$AV$2,R123:AV123)=0,"-",SUMPRODUCT($R$2:$AV$2,R123:AV123))</f>
        <v>1070</v>
      </c>
      <c r="K123" s="213"/>
      <c r="L123" s="213"/>
      <c r="M123" s="213"/>
      <c r="N123" s="213"/>
      <c r="O123" s="213"/>
      <c r="P123" s="213"/>
      <c r="Q123" s="213"/>
      <c r="AA123" s="210">
        <v>9</v>
      </c>
      <c r="AL123" s="253">
        <v>10</v>
      </c>
    </row>
    <row r="124" spans="1:49" ht="15" customHeight="1">
      <c r="H124" s="257"/>
      <c r="I124" s="254"/>
      <c r="J124" s="101"/>
      <c r="K124" s="101"/>
      <c r="P124" s="101"/>
      <c r="Q124" s="101"/>
    </row>
    <row r="125" spans="1:49" ht="15" customHeight="1">
      <c r="J125" s="213"/>
      <c r="K125" s="213"/>
      <c r="L125" s="213"/>
      <c r="M125" s="213"/>
      <c r="N125" s="213"/>
      <c r="O125" s="213"/>
      <c r="P125" s="213"/>
      <c r="Q125" s="213"/>
    </row>
  </sheetData>
  <mergeCells count="2">
    <mergeCell ref="A1:D1"/>
    <mergeCell ref="E1:O1"/>
  </mergeCells>
  <conditionalFormatting sqref="Q31">
    <cfRule type="cellIs" dxfId="93" priority="17" operator="greaterThan">
      <formula>0</formula>
    </cfRule>
  </conditionalFormatting>
  <conditionalFormatting sqref="Q31">
    <cfRule type="cellIs" dxfId="92" priority="16" operator="lessThan">
      <formula>0</formula>
    </cfRule>
  </conditionalFormatting>
  <conditionalFormatting sqref="Q36:Q37">
    <cfRule type="cellIs" dxfId="91" priority="13" operator="greaterThan">
      <formula>0</formula>
    </cfRule>
  </conditionalFormatting>
  <conditionalFormatting sqref="Q36:Q37">
    <cfRule type="cellIs" dxfId="90" priority="12" operator="lessThan">
      <formula>0</formula>
    </cfRule>
  </conditionalFormatting>
  <conditionalFormatting sqref="Q67">
    <cfRule type="cellIs" dxfId="89" priority="11" operator="greaterThan">
      <formula>0</formula>
    </cfRule>
  </conditionalFormatting>
  <conditionalFormatting sqref="Q67">
    <cfRule type="cellIs" dxfId="88" priority="10" operator="lessThan">
      <formula>0</formula>
    </cfRule>
  </conditionalFormatting>
  <conditionalFormatting sqref="Q48">
    <cfRule type="cellIs" dxfId="87" priority="9" operator="greaterThan">
      <formula>0</formula>
    </cfRule>
  </conditionalFormatting>
  <conditionalFormatting sqref="Q48">
    <cfRule type="cellIs" dxfId="86" priority="8" operator="lessThan">
      <formula>0</formula>
    </cfRule>
  </conditionalFormatting>
  <conditionalFormatting sqref="Q52">
    <cfRule type="cellIs" dxfId="85" priority="7" operator="greaterThan">
      <formula>0</formula>
    </cfRule>
  </conditionalFormatting>
  <conditionalFormatting sqref="Q52">
    <cfRule type="cellIs" dxfId="84" priority="6" operator="lessThan">
      <formula>0</formula>
    </cfRule>
  </conditionalFormatting>
  <conditionalFormatting sqref="Q85">
    <cfRule type="cellIs" dxfId="83" priority="5" operator="greaterThan">
      <formula>0</formula>
    </cfRule>
  </conditionalFormatting>
  <conditionalFormatting sqref="Q85">
    <cfRule type="cellIs" dxfId="82" priority="4" operator="lessThan">
      <formula>0</formula>
    </cfRule>
  </conditionalFormatting>
  <conditionalFormatting sqref="Q92">
    <cfRule type="cellIs" dxfId="81" priority="3" operator="greaterThan">
      <formula>0</formula>
    </cfRule>
  </conditionalFormatting>
  <conditionalFormatting sqref="Q92">
    <cfRule type="cellIs" dxfId="80" priority="2" operator="lessThan">
      <formula>0</formula>
    </cfRule>
  </conditionalFormatting>
  <conditionalFormatting sqref="F1:F1048576">
    <cfRule type="containsText" dxfId="79" priority="1" operator="containsText" text="Delivered">
      <formula>NOT(ISERROR(SEARCH("Delivered",F1)))</formula>
    </cfRule>
  </conditionalFormatting>
  <hyperlinks>
    <hyperlink ref="H5" r:id="rId1" xr:uid="{31FE2DD5-5B55-4938-8751-6F6F36906543}"/>
    <hyperlink ref="H6" r:id="rId2" xr:uid="{30548393-31D9-4C1A-A63B-F0FEC59D3F52}"/>
    <hyperlink ref="H8" r:id="rId3" xr:uid="{BA6AE5E0-5ECE-4C25-B3E9-F1CA4E58395E}"/>
    <hyperlink ref="H9" r:id="rId4" xr:uid="{CCB408E5-BADF-4F3C-8E40-087BCBF35B71}"/>
    <hyperlink ref="H7" r:id="rId5" xr:uid="{4F99B1B1-2A0A-4D15-9B82-192E2EB8781D}"/>
    <hyperlink ref="H4" r:id="rId6" xr:uid="{8E1027C3-CC77-4BBD-955A-4C66E87A8529}"/>
    <hyperlink ref="H10" r:id="rId7" display="https://saranistudio.sharepoint.com/sites/SaraniAssets/Shared%20Documents/Forms/AllItems.aspx?ga=1&amp;id=%2Fsites%2FSaraniAssets%2FShared%20Documents%2F03%2E%20Customers%2F09%2E%20Pernod%20Ricard%2F01%2E%20Press%20Release&amp;viewid=2c2e4824%2D3cb1%2D4619%2Db7c6%2D219dce795204" xr:uid="{77C6ABEF-F4F5-410A-A2FC-A335690D5199}"/>
    <hyperlink ref="H11" r:id="rId8" xr:uid="{04735BC5-99B6-4E0A-A3F2-F4CF2E06B657}"/>
    <hyperlink ref="H23" r:id="rId9" xr:uid="{90CF54BB-5CA8-4340-9D3C-C126F5A27B01}"/>
    <hyperlink ref="H29" r:id="rId10" xr:uid="{097E5BE8-5BD1-4F19-834B-14FDA15338FF}"/>
    <hyperlink ref="H41" r:id="rId11" xr:uid="{119ACC15-2D26-44A8-AE92-4D65803D62C5}"/>
    <hyperlink ref="H42" r:id="rId12" xr:uid="{307B8BBC-63B5-48D2-A210-82BFBD7700F2}"/>
    <hyperlink ref="H40" r:id="rId13" display="https://saranistudio.sharepoint.com/sites/SaraniAssets/Shared%20Documents/Forms/AllItems.aspx?ga=1&amp;id=%2Fsites%2FSaraniAssets%2FShared%20Documents%2F03%2E%20Customers%2F01%2E%20Single%20Projects%2FQuentin%20Carnaille&amp;viewid=2c2e4824%2D3cb1%2D4619%2Db7c6%2D219dce795204" xr:uid="{7461AE57-7B0E-4709-9D2B-CB128A223358}"/>
    <hyperlink ref="H51" r:id="rId14" xr:uid="{95AB5D08-2CAA-4E3B-9B55-28DC18F81885}"/>
    <hyperlink ref="H52" r:id="rId15" xr:uid="{F3529CD2-148A-46E3-8E05-3D34E39BC643}"/>
    <hyperlink ref="H55" r:id="rId16" xr:uid="{90333889-6681-4B77-89E0-104CF6908DB9}"/>
    <hyperlink ref="H17" r:id="rId17" xr:uid="{B3FA8E1A-1C5A-46C6-A5FF-21728572AA9B}"/>
    <hyperlink ref="H58" r:id="rId18" xr:uid="{305EA4C3-B731-4186-BF1D-15241E5D0B5A}"/>
    <hyperlink ref="H59" r:id="rId19" xr:uid="{FEDDAE81-3A00-42A1-AE24-546E6DC67AF0}"/>
    <hyperlink ref="H57" r:id="rId20" xr:uid="{A098985C-9617-46A1-B0F5-477976553AD8}"/>
    <hyperlink ref="H61" r:id="rId21" xr:uid="{8823BDB0-D9D2-4617-9C12-6F10F91401D1}"/>
    <hyperlink ref="H65" r:id="rId22" xr:uid="{B8A5C754-E0BB-4D63-8F73-E6E54BDEBD02}"/>
    <hyperlink ref="H56" r:id="rId23" xr:uid="{12BFEDDB-3DDE-4A99-911D-0410711AF4AE}"/>
    <hyperlink ref="H66" r:id="rId24" xr:uid="{7209F520-94CF-4CA8-886F-F9BEBF5EB469}"/>
    <hyperlink ref="H63" r:id="rId25" xr:uid="{8E9FF2B2-55C2-4884-A298-CE745E93E0D3}"/>
    <hyperlink ref="H72" r:id="rId26" xr:uid="{825AD969-45A1-4692-8BB4-4D9A4A250D85}"/>
    <hyperlink ref="H74" r:id="rId27" xr:uid="{15312DA7-A31D-4A0C-8EEC-F2C7CDB258A2}"/>
    <hyperlink ref="H75" r:id="rId28" xr:uid="{CC5FE009-FA51-492D-B070-B9D5206AEF2D}"/>
    <hyperlink ref="H77" r:id="rId29" xr:uid="{04A0381A-F4D9-4860-AAEC-AA6B6F3326ED}"/>
    <hyperlink ref="H78" r:id="rId30" xr:uid="{F9B3F282-B781-4C64-B1BC-39834190FCED}"/>
    <hyperlink ref="H76" r:id="rId31" xr:uid="{C56120B0-5478-480C-8606-3FE308E7285D}"/>
    <hyperlink ref="H79" r:id="rId32" xr:uid="{B1F9F4EB-D709-445D-93A1-707B0C16FFD1}"/>
    <hyperlink ref="H80" r:id="rId33" xr:uid="{DE033483-EE95-4544-988E-C1B7DA422553}"/>
    <hyperlink ref="H81" r:id="rId34" xr:uid="{534DFEA4-E671-432E-853D-0422AC91DE13}"/>
    <hyperlink ref="H85" r:id="rId35" xr:uid="{231A8479-43F2-49A6-9C76-1DFDBED9D809}"/>
    <hyperlink ref="H87" r:id="rId36" xr:uid="{E8FCA734-7C20-47B7-A752-D4567F2799A6}"/>
    <hyperlink ref="H88" r:id="rId37" xr:uid="{2C78ED62-5D2F-4AB2-A375-63B7E12707AB}"/>
    <hyperlink ref="H89" r:id="rId38" xr:uid="{0DACC5B3-5B4E-47C9-AA0C-2FCB65052DBE}"/>
    <hyperlink ref="H90" r:id="rId39" xr:uid="{C9439B29-6DE0-44FF-8043-BF3DB5B37396}"/>
    <hyperlink ref="H91" r:id="rId40" xr:uid="{3BFC5611-0E49-40D1-A437-E56E8642E088}"/>
    <hyperlink ref="H95" r:id="rId41" xr:uid="{22B850C9-BB2C-4D8C-B867-7FD84F5A37A1}"/>
    <hyperlink ref="E94" r:id="rId42" xr:uid="{FD8B731F-993F-492F-B640-DE56F0BB24CE}"/>
    <hyperlink ref="H96" r:id="rId43" xr:uid="{4BB61EAA-1787-4F0A-8300-0F42AE446A59}"/>
    <hyperlink ref="H97" r:id="rId44" xr:uid="{3EA630C5-C001-4463-83FE-CD35BB06330F}"/>
    <hyperlink ref="E102" r:id="rId45" xr:uid="{055C1628-F79A-4BA9-A862-C02933D9A1DB}"/>
    <hyperlink ref="E106" r:id="rId46" xr:uid="{F6C78485-D0F8-4F52-BFE9-00E2A31BC3FA}"/>
    <hyperlink ref="E107" r:id="rId47" xr:uid="{66C62DF1-F074-4D4F-BE59-10DE1AD482A9}"/>
    <hyperlink ref="E108" r:id="rId48" xr:uid="{E84AEEB3-23DE-420A-92D1-067678EF6819}"/>
    <hyperlink ref="E109" r:id="rId49" xr:uid="{D5903FA3-4869-496E-B1B3-EB45833ED78E}"/>
    <hyperlink ref="E110" r:id="rId50" xr:uid="{B66D4E02-F62C-4AB1-8C2D-29EF14FE06A1}"/>
    <hyperlink ref="E111" r:id="rId51" xr:uid="{91FA9B63-225C-4C05-AFF8-146B9003E164}"/>
    <hyperlink ref="H101" r:id="rId52" xr:uid="{9116AF13-7EE9-49B0-81AE-742100CD7C1C}"/>
    <hyperlink ref="H99" r:id="rId53" xr:uid="{58F08FBD-278C-4784-AC00-46E7BB3150CC}"/>
    <hyperlink ref="H100" r:id="rId54" xr:uid="{3C88D2FD-48EC-47A0-9957-45448C88DFCB}"/>
    <hyperlink ref="H104" r:id="rId55" xr:uid="{2E078294-97D4-4705-8C4F-19E8C80B4162}"/>
    <hyperlink ref="E101" r:id="rId56" xr:uid="{1BA8BBF0-26A8-465E-8B09-698142944C51}"/>
    <hyperlink ref="H114" r:id="rId57" xr:uid="{15AB67B8-4271-406F-A11A-5C955E4F18AA}"/>
    <hyperlink ref="E114" r:id="rId58" xr:uid="{FB9F6C76-A9CA-4554-8A8B-9449A78938D8}"/>
    <hyperlink ref="H115" r:id="rId59" xr:uid="{94BAE25C-27EC-448A-B99D-F028E664B2CB}"/>
    <hyperlink ref="E113" r:id="rId60" xr:uid="{B7C75B0C-682E-4CAC-BAD1-97FE22B99278}"/>
    <hyperlink ref="H117" r:id="rId61" xr:uid="{1EAA3729-E399-436B-B88E-AF2736D89CB0}"/>
    <hyperlink ref="E103" r:id="rId62" xr:uid="{B142C289-0039-45B3-A122-D81E1FED4C1D}"/>
    <hyperlink ref="H118" r:id="rId63" xr:uid="{68E172BB-6A0C-44BC-A141-160E577F6EC7}"/>
    <hyperlink ref="H119" r:id="rId64" xr:uid="{7800C73C-551F-4A20-9A30-18A689A14AC8}"/>
    <hyperlink ref="E120" r:id="rId65" xr:uid="{1F6D0089-CBEB-47FC-9ECE-82A5C578125B}"/>
    <hyperlink ref="E121" r:id="rId66" xr:uid="{5A9707F9-FC73-4DE9-954A-E65FDEF67167}"/>
    <hyperlink ref="E122" r:id="rId67" xr:uid="{BB26750B-0C2E-40DE-A19B-35E696FB1A11}"/>
    <hyperlink ref="H120" r:id="rId68" xr:uid="{DCD60E21-0354-43D8-A532-C53365FB50B4}"/>
    <hyperlink ref="H121" r:id="rId69" xr:uid="{1352F587-3140-4E42-9E7A-E78E980D0E80}"/>
    <hyperlink ref="H122" r:id="rId70" xr:uid="{4225589D-C491-4BC6-8052-0AF1DCF252EE}"/>
    <hyperlink ref="H123" r:id="rId71" xr:uid="{338FC595-A837-4542-8893-AD4EB2BD160C}"/>
  </hyperlinks>
  <pageMargins left="0.7" right="0.7" top="0.75" bottom="0.75" header="0.3" footer="0.3"/>
  <pageSetup paperSize="9" orientation="portrait"/>
  <legacyDrawing r:id="rId72"/>
  <tableParts count="1">
    <tablePart r:id="rId7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D4157-7E02-409D-A974-32BDCB0A0E5D}">
  <dimension ref="A1:AU149"/>
  <sheetViews>
    <sheetView workbookViewId="0">
      <pane ySplit="1" topLeftCell="A26" activePane="bottomLeft" state="frozen"/>
      <selection pane="bottomLeft" activeCell="G160" sqref="G160"/>
    </sheetView>
  </sheetViews>
  <sheetFormatPr defaultRowHeight="15" outlineLevelRow="1"/>
  <cols>
    <col min="1" max="1" width="17.5703125" customWidth="1"/>
    <col min="2" max="2" width="11.140625" style="306" bestFit="1" customWidth="1"/>
    <col min="3" max="3" width="71.140625" customWidth="1"/>
    <col min="4" max="4" width="17.85546875" style="305" customWidth="1"/>
    <col min="5" max="5" width="29" customWidth="1"/>
    <col min="6" max="6" width="11.140625" bestFit="1" customWidth="1"/>
    <col min="7" max="7" width="19.28515625" customWidth="1"/>
    <col min="9" max="9" width="17.85546875" style="304" customWidth="1"/>
    <col min="10" max="10" width="16.85546875" style="303" customWidth="1"/>
    <col min="11" max="11" width="15.85546875" style="2" bestFit="1" customWidth="1"/>
    <col min="12" max="12" width="26.85546875" style="2" bestFit="1" customWidth="1"/>
    <col min="13" max="13" width="12" bestFit="1" customWidth="1"/>
    <col min="14" max="14" width="30.7109375" style="2" bestFit="1" customWidth="1"/>
    <col min="15" max="15" width="25.28515625" style="307" bestFit="1" customWidth="1"/>
    <col min="16" max="16" width="43.7109375" style="302" customWidth="1"/>
    <col min="17" max="17" width="27.7109375" bestFit="1" customWidth="1"/>
    <col min="18" max="18" width="29.140625" bestFit="1" customWidth="1"/>
    <col min="19" max="20" width="30.7109375" bestFit="1" customWidth="1"/>
    <col min="21" max="21" width="20.5703125" bestFit="1" customWidth="1"/>
    <col min="22" max="22" width="11.140625" bestFit="1" customWidth="1"/>
    <col min="23" max="23" width="21.140625" bestFit="1" customWidth="1"/>
    <col min="24" max="24" width="15.85546875" bestFit="1" customWidth="1"/>
    <col min="25" max="25" width="30.5703125" bestFit="1" customWidth="1"/>
    <col min="26" max="26" width="30.7109375" bestFit="1" customWidth="1"/>
    <col min="27" max="28" width="11.42578125" bestFit="1" customWidth="1"/>
    <col min="29" max="29" width="27" bestFit="1" customWidth="1"/>
    <col min="30" max="30" width="11.7109375" bestFit="1" customWidth="1"/>
    <col min="31" max="31" width="11.42578125" bestFit="1" customWidth="1"/>
    <col min="32" max="32" width="10.140625" bestFit="1" customWidth="1"/>
    <col min="33" max="33" width="30.5703125" bestFit="1" customWidth="1"/>
    <col min="34" max="36" width="11.42578125" bestFit="1" customWidth="1"/>
    <col min="37" max="37" width="17.7109375" bestFit="1" customWidth="1"/>
    <col min="38" max="38" width="20.28515625" bestFit="1" customWidth="1"/>
    <col min="39" max="43" width="11.42578125" bestFit="1" customWidth="1"/>
    <col min="44" max="44" width="19.5703125" bestFit="1" customWidth="1"/>
    <col min="45" max="45" width="25.140625" bestFit="1" customWidth="1"/>
    <col min="46" max="47" width="11.42578125" bestFit="1" customWidth="1"/>
  </cols>
  <sheetData>
    <row r="1" spans="1:47" s="101" customFormat="1" ht="76.5">
      <c r="A1" s="308" t="s">
        <v>51</v>
      </c>
      <c r="B1" s="309" t="s">
        <v>53</v>
      </c>
      <c r="C1" s="101" t="s">
        <v>18</v>
      </c>
      <c r="D1" s="310" t="s">
        <v>54</v>
      </c>
      <c r="E1" s="101" t="s">
        <v>55</v>
      </c>
      <c r="F1" s="101" t="s">
        <v>56</v>
      </c>
      <c r="G1" s="101" t="s">
        <v>57</v>
      </c>
      <c r="H1" s="260" t="s">
        <v>58</v>
      </c>
      <c r="I1" s="270" t="s">
        <v>59</v>
      </c>
      <c r="J1" s="138" t="s">
        <v>60</v>
      </c>
      <c r="K1" s="101" t="s">
        <v>61</v>
      </c>
      <c r="L1" s="101" t="s">
        <v>62</v>
      </c>
      <c r="M1" s="101" t="s">
        <v>63</v>
      </c>
      <c r="N1" s="101" t="s">
        <v>492</v>
      </c>
      <c r="O1" s="311" t="s">
        <v>65</v>
      </c>
      <c r="P1" s="312" t="s">
        <v>493</v>
      </c>
      <c r="Q1" s="101" t="s">
        <v>494</v>
      </c>
      <c r="R1" s="101" t="s">
        <v>495</v>
      </c>
      <c r="S1" s="101" t="s">
        <v>496</v>
      </c>
      <c r="T1" s="101" t="s">
        <v>497</v>
      </c>
      <c r="U1" s="101" t="s">
        <v>498</v>
      </c>
      <c r="V1" s="101" t="s">
        <v>499</v>
      </c>
      <c r="W1" s="101" t="s">
        <v>500</v>
      </c>
      <c r="X1" s="101" t="s">
        <v>501</v>
      </c>
      <c r="Y1" s="101" t="s">
        <v>502</v>
      </c>
      <c r="Z1" s="101" t="s">
        <v>503</v>
      </c>
      <c r="AA1" s="165" t="s">
        <v>504</v>
      </c>
      <c r="AB1" s="165" t="s">
        <v>505</v>
      </c>
      <c r="AC1" s="101" t="s">
        <v>506</v>
      </c>
      <c r="AD1" s="101" t="s">
        <v>507</v>
      </c>
      <c r="AE1" s="165" t="s">
        <v>508</v>
      </c>
      <c r="AF1" s="101" t="s">
        <v>509</v>
      </c>
      <c r="AG1" s="101" t="s">
        <v>510</v>
      </c>
      <c r="AH1" s="165" t="s">
        <v>511</v>
      </c>
      <c r="AI1" s="165" t="s">
        <v>512</v>
      </c>
      <c r="AJ1" s="165" t="s">
        <v>513</v>
      </c>
      <c r="AK1" s="101" t="s">
        <v>514</v>
      </c>
      <c r="AL1" s="101" t="s">
        <v>515</v>
      </c>
      <c r="AM1" s="165" t="s">
        <v>516</v>
      </c>
      <c r="AN1" s="165" t="s">
        <v>517</v>
      </c>
      <c r="AO1" s="165" t="s">
        <v>518</v>
      </c>
      <c r="AP1" s="165" t="s">
        <v>519</v>
      </c>
      <c r="AQ1" s="165" t="s">
        <v>520</v>
      </c>
      <c r="AR1" s="101" t="s">
        <v>521</v>
      </c>
      <c r="AS1" s="101" t="s">
        <v>522</v>
      </c>
      <c r="AT1" s="165" t="s">
        <v>523</v>
      </c>
      <c r="AU1" s="165" t="s">
        <v>524</v>
      </c>
    </row>
    <row r="2" spans="1:47" hidden="1">
      <c r="A2" s="314" t="s">
        <v>67</v>
      </c>
      <c r="B2" s="315">
        <v>44743</v>
      </c>
      <c r="C2" s="6" t="s">
        <v>69</v>
      </c>
      <c r="D2" s="305" t="s">
        <v>70</v>
      </c>
      <c r="E2" t="s">
        <v>71</v>
      </c>
      <c r="F2" t="s">
        <v>72</v>
      </c>
      <c r="G2" t="s">
        <v>68</v>
      </c>
      <c r="H2">
        <v>2</v>
      </c>
      <c r="I2" s="304">
        <v>5000</v>
      </c>
      <c r="J2" s="330">
        <v>45084</v>
      </c>
      <c r="K2" s="40" t="s">
        <v>68</v>
      </c>
      <c r="L2" s="2" t="s">
        <v>73</v>
      </c>
      <c r="M2" s="38" t="s">
        <v>74</v>
      </c>
      <c r="N2" s="40" t="s">
        <v>75</v>
      </c>
      <c r="O2" s="321"/>
      <c r="P2" s="322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>
        <v>2</v>
      </c>
      <c r="AS2" s="6"/>
      <c r="AT2" s="6"/>
      <c r="AU2" s="6"/>
    </row>
    <row r="3" spans="1:47" hidden="1">
      <c r="A3" s="314" t="s">
        <v>82</v>
      </c>
      <c r="B3" s="315">
        <v>45083</v>
      </c>
      <c r="C3" s="6" t="s">
        <v>83</v>
      </c>
      <c r="D3" s="305" t="s">
        <v>84</v>
      </c>
      <c r="E3" t="s">
        <v>71</v>
      </c>
      <c r="F3" t="s">
        <v>72</v>
      </c>
      <c r="G3" t="s">
        <v>85</v>
      </c>
      <c r="H3">
        <v>4.3759999999999994</v>
      </c>
      <c r="I3" s="304">
        <v>2000</v>
      </c>
      <c r="J3" s="330">
        <v>45084</v>
      </c>
      <c r="K3" s="40" t="s">
        <v>68</v>
      </c>
      <c r="L3" s="2" t="s">
        <v>73</v>
      </c>
      <c r="M3" s="38" t="s">
        <v>86</v>
      </c>
      <c r="N3" s="40" t="s">
        <v>87</v>
      </c>
      <c r="O3" s="321"/>
      <c r="P3" s="322"/>
      <c r="Q3" s="6"/>
      <c r="R3" s="6"/>
      <c r="S3" s="6"/>
      <c r="T3" s="6"/>
      <c r="U3" s="6">
        <v>1</v>
      </c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>
        <v>0.3</v>
      </c>
      <c r="AJ3" s="6"/>
      <c r="AK3" s="6"/>
      <c r="AL3" s="6"/>
      <c r="AM3" s="6"/>
      <c r="AN3" s="6">
        <v>2</v>
      </c>
      <c r="AO3" s="6"/>
      <c r="AP3" s="6">
        <v>1.0760000000000001</v>
      </c>
      <c r="AQ3" s="6"/>
      <c r="AR3" s="6"/>
      <c r="AS3" s="6"/>
      <c r="AT3" s="6"/>
      <c r="AU3" s="6"/>
    </row>
    <row r="4" spans="1:47" hidden="1">
      <c r="A4" s="314" t="s">
        <v>82</v>
      </c>
      <c r="B4" s="315">
        <v>45083</v>
      </c>
      <c r="C4" s="6" t="s">
        <v>88</v>
      </c>
      <c r="D4" s="305" t="s">
        <v>84</v>
      </c>
      <c r="E4" t="s">
        <v>71</v>
      </c>
      <c r="F4" t="s">
        <v>72</v>
      </c>
      <c r="G4" t="s">
        <v>89</v>
      </c>
      <c r="H4">
        <v>1</v>
      </c>
      <c r="I4" s="304">
        <v>1800</v>
      </c>
      <c r="J4" s="330" t="s">
        <v>68</v>
      </c>
      <c r="K4" s="40" t="s">
        <v>68</v>
      </c>
      <c r="L4" s="2" t="s">
        <v>73</v>
      </c>
      <c r="M4" s="38" t="s">
        <v>90</v>
      </c>
      <c r="N4" s="40" t="s">
        <v>91</v>
      </c>
      <c r="O4" s="321"/>
      <c r="P4" s="322"/>
      <c r="Q4" s="6"/>
      <c r="R4" s="6"/>
      <c r="S4" s="6"/>
      <c r="T4" s="6"/>
      <c r="U4" s="6">
        <v>1</v>
      </c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 t="e">
        <v>#DIV/0!</v>
      </c>
      <c r="AJ4" s="6"/>
      <c r="AK4" s="6"/>
      <c r="AL4" s="6"/>
      <c r="AM4" s="6"/>
      <c r="AN4" s="6">
        <v>2</v>
      </c>
      <c r="AO4" s="6"/>
      <c r="AP4" s="6" t="e">
        <v>#DIV/0!</v>
      </c>
      <c r="AQ4" s="6"/>
      <c r="AR4" s="6"/>
      <c r="AS4" s="6"/>
      <c r="AT4" s="6"/>
      <c r="AU4" s="6"/>
    </row>
    <row r="5" spans="1:47" hidden="1">
      <c r="A5" s="314" t="s">
        <v>76</v>
      </c>
      <c r="B5" s="315">
        <v>45083</v>
      </c>
      <c r="C5" s="6" t="s">
        <v>77</v>
      </c>
      <c r="D5" s="305" t="s">
        <v>78</v>
      </c>
      <c r="E5" t="s">
        <v>71</v>
      </c>
      <c r="F5" t="s">
        <v>72</v>
      </c>
      <c r="G5" t="s">
        <v>79</v>
      </c>
      <c r="H5">
        <v>1</v>
      </c>
      <c r="I5" s="304">
        <v>4000</v>
      </c>
      <c r="J5" s="330">
        <v>45084</v>
      </c>
      <c r="K5" s="40" t="s">
        <v>68</v>
      </c>
      <c r="L5" s="2" t="s">
        <v>73</v>
      </c>
      <c r="M5" s="38" t="s">
        <v>80</v>
      </c>
      <c r="N5" s="40" t="s">
        <v>81</v>
      </c>
      <c r="O5" s="321"/>
      <c r="P5" s="322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>
        <v>0.5714285714285714</v>
      </c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</row>
    <row r="6" spans="1:47" hidden="1">
      <c r="A6" s="314" t="s">
        <v>82</v>
      </c>
      <c r="B6" s="315">
        <v>45083</v>
      </c>
      <c r="C6" s="6" t="s">
        <v>92</v>
      </c>
      <c r="D6" s="305" t="s">
        <v>84</v>
      </c>
      <c r="E6" t="s">
        <v>71</v>
      </c>
      <c r="F6" t="s">
        <v>72</v>
      </c>
      <c r="G6" t="s">
        <v>93</v>
      </c>
      <c r="H6">
        <v>1</v>
      </c>
      <c r="I6" s="304">
        <v>850</v>
      </c>
      <c r="J6" s="330" t="s">
        <v>68</v>
      </c>
      <c r="K6" s="40" t="s">
        <v>68</v>
      </c>
      <c r="L6" s="2" t="s">
        <v>73</v>
      </c>
      <c r="M6" s="38" t="s">
        <v>94</v>
      </c>
      <c r="N6" s="40" t="s">
        <v>95</v>
      </c>
      <c r="O6" s="321"/>
      <c r="P6" s="322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</row>
    <row r="7" spans="1:47" hidden="1">
      <c r="A7" s="314" t="s">
        <v>82</v>
      </c>
      <c r="B7" s="315">
        <v>45184</v>
      </c>
      <c r="C7" s="6" t="s">
        <v>96</v>
      </c>
      <c r="D7" s="305" t="s">
        <v>84</v>
      </c>
      <c r="E7" t="s">
        <v>71</v>
      </c>
      <c r="F7" t="s">
        <v>72</v>
      </c>
      <c r="G7" t="s">
        <v>89</v>
      </c>
      <c r="H7">
        <v>10</v>
      </c>
      <c r="I7" s="304">
        <v>1500</v>
      </c>
      <c r="J7" s="330" t="s">
        <v>68</v>
      </c>
      <c r="K7" s="40" t="s">
        <v>68</v>
      </c>
      <c r="L7" s="2" t="s">
        <v>73</v>
      </c>
      <c r="M7" s="38" t="s">
        <v>97</v>
      </c>
      <c r="N7" s="40" t="s">
        <v>98</v>
      </c>
      <c r="O7" s="321"/>
      <c r="P7" s="322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</row>
    <row r="8" spans="1:47" hidden="1">
      <c r="A8" s="314" t="s">
        <v>82</v>
      </c>
      <c r="B8" s="315">
        <v>45185</v>
      </c>
      <c r="C8" s="6" t="s">
        <v>99</v>
      </c>
      <c r="D8" s="305" t="s">
        <v>84</v>
      </c>
      <c r="E8" t="s">
        <v>71</v>
      </c>
      <c r="F8" t="s">
        <v>72</v>
      </c>
      <c r="G8" t="s">
        <v>100</v>
      </c>
      <c r="H8">
        <v>1</v>
      </c>
      <c r="I8" s="304">
        <v>450</v>
      </c>
      <c r="J8" s="330" t="s">
        <v>68</v>
      </c>
      <c r="K8" s="40" t="s">
        <v>68</v>
      </c>
      <c r="L8" s="2" t="s">
        <v>73</v>
      </c>
      <c r="M8" s="38" t="s">
        <v>101</v>
      </c>
      <c r="N8" s="40" t="s">
        <v>102</v>
      </c>
      <c r="O8" s="321"/>
      <c r="P8" s="322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</row>
    <row r="9" spans="1:47" hidden="1">
      <c r="A9" s="314" t="s">
        <v>103</v>
      </c>
      <c r="B9" s="315">
        <v>45211</v>
      </c>
      <c r="C9" s="6" t="s">
        <v>104</v>
      </c>
      <c r="D9" s="305" t="s">
        <v>105</v>
      </c>
      <c r="E9" t="s">
        <v>71</v>
      </c>
      <c r="F9" t="s">
        <v>72</v>
      </c>
      <c r="G9" t="s">
        <v>106</v>
      </c>
      <c r="H9">
        <v>1</v>
      </c>
      <c r="I9" s="304">
        <v>40</v>
      </c>
      <c r="J9" s="330" t="s">
        <v>68</v>
      </c>
      <c r="K9" s="40" t="s">
        <v>68</v>
      </c>
      <c r="L9" s="2" t="s">
        <v>73</v>
      </c>
      <c r="M9" s="38" t="s">
        <v>107</v>
      </c>
      <c r="N9" s="40" t="s">
        <v>108</v>
      </c>
      <c r="O9" s="321"/>
      <c r="P9" s="322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</row>
    <row r="10" spans="1:47" hidden="1">
      <c r="A10" s="314" t="s">
        <v>82</v>
      </c>
      <c r="B10" s="315">
        <v>45214</v>
      </c>
      <c r="C10" s="6" t="s">
        <v>109</v>
      </c>
      <c r="D10" s="305" t="s">
        <v>84</v>
      </c>
      <c r="E10" t="s">
        <v>71</v>
      </c>
      <c r="F10" t="s">
        <v>72</v>
      </c>
      <c r="G10" t="s">
        <v>110</v>
      </c>
      <c r="H10">
        <v>5</v>
      </c>
      <c r="I10" s="304">
        <v>250</v>
      </c>
      <c r="J10" s="330" t="s">
        <v>68</v>
      </c>
      <c r="K10" s="40" t="s">
        <v>68</v>
      </c>
      <c r="L10" s="2" t="s">
        <v>73</v>
      </c>
      <c r="M10" s="38" t="s">
        <v>111</v>
      </c>
      <c r="N10" s="40" t="s">
        <v>112</v>
      </c>
      <c r="O10" s="321"/>
      <c r="P10" s="322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</row>
    <row r="11" spans="1:47" hidden="1">
      <c r="A11" s="314" t="s">
        <v>103</v>
      </c>
      <c r="B11" s="315">
        <v>45274</v>
      </c>
      <c r="C11" s="6" t="s">
        <v>113</v>
      </c>
      <c r="D11" s="305" t="s">
        <v>105</v>
      </c>
      <c r="E11" t="s">
        <v>71</v>
      </c>
      <c r="F11" t="s">
        <v>72</v>
      </c>
      <c r="G11" t="s">
        <v>106</v>
      </c>
      <c r="H11">
        <v>1</v>
      </c>
      <c r="I11" s="304">
        <v>40</v>
      </c>
      <c r="J11" s="330" t="s">
        <v>68</v>
      </c>
      <c r="K11" s="40" t="s">
        <v>68</v>
      </c>
      <c r="L11" s="2" t="s">
        <v>73</v>
      </c>
      <c r="M11" s="38" t="s">
        <v>114</v>
      </c>
      <c r="N11" s="40" t="s">
        <v>108</v>
      </c>
      <c r="O11" s="321"/>
      <c r="P11" s="322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</row>
    <row r="12" spans="1:47" hidden="1">
      <c r="A12" s="314" t="s">
        <v>115</v>
      </c>
      <c r="B12" s="315">
        <v>45290</v>
      </c>
      <c r="C12" s="6" t="s">
        <v>116</v>
      </c>
      <c r="E12" t="s">
        <v>71</v>
      </c>
      <c r="F12" t="s">
        <v>72</v>
      </c>
      <c r="G12" t="s">
        <v>117</v>
      </c>
      <c r="H12" t="s">
        <v>68</v>
      </c>
      <c r="I12" s="304">
        <v>2750</v>
      </c>
      <c r="J12" s="330" t="s">
        <v>68</v>
      </c>
      <c r="K12" s="40" t="s">
        <v>68</v>
      </c>
      <c r="L12" s="2" t="s">
        <v>73</v>
      </c>
      <c r="M12" s="38" t="s">
        <v>118</v>
      </c>
      <c r="N12" s="40" t="s">
        <v>119</v>
      </c>
      <c r="O12" s="321"/>
      <c r="P12" s="322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</row>
    <row r="13" spans="1:47" hidden="1">
      <c r="A13" s="314" t="s">
        <v>120</v>
      </c>
      <c r="B13" s="315">
        <v>45292</v>
      </c>
      <c r="C13" s="6" t="s">
        <v>121</v>
      </c>
      <c r="E13" t="s">
        <v>71</v>
      </c>
      <c r="F13" t="s">
        <v>72</v>
      </c>
      <c r="G13" t="s">
        <v>122</v>
      </c>
      <c r="H13">
        <v>1</v>
      </c>
      <c r="I13" s="304">
        <v>600</v>
      </c>
      <c r="J13" s="330" t="s">
        <v>68</v>
      </c>
      <c r="K13" s="40" t="s">
        <v>68</v>
      </c>
      <c r="L13" s="2" t="s">
        <v>73</v>
      </c>
      <c r="M13" s="38" t="s">
        <v>123</v>
      </c>
      <c r="N13" s="40" t="s">
        <v>124</v>
      </c>
      <c r="O13" s="321"/>
      <c r="P13" s="322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</row>
    <row r="14" spans="1:47" hidden="1">
      <c r="A14" s="314" t="s">
        <v>125</v>
      </c>
      <c r="B14" s="315">
        <v>45314</v>
      </c>
      <c r="C14" s="6" t="s">
        <v>126</v>
      </c>
      <c r="D14" s="305" t="s">
        <v>127</v>
      </c>
      <c r="E14" t="s">
        <v>71</v>
      </c>
      <c r="F14" t="s">
        <v>72</v>
      </c>
      <c r="G14" t="s">
        <v>68</v>
      </c>
      <c r="H14" t="s">
        <v>68</v>
      </c>
      <c r="I14" s="304">
        <v>135</v>
      </c>
      <c r="J14" s="330" t="s">
        <v>128</v>
      </c>
      <c r="K14" s="40" t="s">
        <v>68</v>
      </c>
      <c r="L14" s="2" t="s">
        <v>73</v>
      </c>
      <c r="M14" s="38" t="s">
        <v>129</v>
      </c>
      <c r="N14" s="40" t="s">
        <v>130</v>
      </c>
      <c r="O14" s="321"/>
      <c r="P14" s="322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</row>
    <row r="15" spans="1:47" hidden="1">
      <c r="A15" s="314" t="s">
        <v>125</v>
      </c>
      <c r="B15" s="315">
        <v>45314</v>
      </c>
      <c r="C15" s="6" t="s">
        <v>131</v>
      </c>
      <c r="D15" s="305" t="s">
        <v>127</v>
      </c>
      <c r="E15" t="s">
        <v>71</v>
      </c>
      <c r="F15" t="s">
        <v>72</v>
      </c>
      <c r="G15" t="s">
        <v>68</v>
      </c>
      <c r="H15" t="s">
        <v>68</v>
      </c>
      <c r="I15" s="304">
        <v>135</v>
      </c>
      <c r="J15" s="330" t="s">
        <v>128</v>
      </c>
      <c r="K15" s="40" t="s">
        <v>68</v>
      </c>
      <c r="L15" s="40" t="s">
        <v>68</v>
      </c>
      <c r="M15" s="38" t="s">
        <v>68</v>
      </c>
      <c r="N15" s="40" t="s">
        <v>68</v>
      </c>
      <c r="O15" s="321" t="s">
        <v>68</v>
      </c>
      <c r="P15" s="322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</row>
    <row r="16" spans="1:47" hidden="1">
      <c r="A16" s="314" t="s">
        <v>132</v>
      </c>
      <c r="B16" s="315">
        <v>45331</v>
      </c>
      <c r="C16" s="6" t="s">
        <v>133</v>
      </c>
      <c r="D16" s="305" t="s">
        <v>134</v>
      </c>
      <c r="E16" t="s">
        <v>71</v>
      </c>
      <c r="F16" t="s">
        <v>72</v>
      </c>
      <c r="G16" t="s">
        <v>135</v>
      </c>
      <c r="H16">
        <v>1</v>
      </c>
      <c r="I16" s="304">
        <v>750</v>
      </c>
      <c r="J16" s="330" t="s">
        <v>68</v>
      </c>
      <c r="K16" s="40" t="s">
        <v>136</v>
      </c>
      <c r="L16" s="2" t="s">
        <v>137</v>
      </c>
      <c r="M16" s="38" t="s">
        <v>138</v>
      </c>
      <c r="N16" s="40" t="s">
        <v>139</v>
      </c>
      <c r="O16" s="321"/>
      <c r="P16" s="322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</row>
    <row r="17" spans="1:47" hidden="1">
      <c r="A17" s="314" t="s">
        <v>140</v>
      </c>
      <c r="B17" s="315">
        <v>45331</v>
      </c>
      <c r="C17" s="6" t="s">
        <v>126</v>
      </c>
      <c r="D17" s="305" t="s">
        <v>141</v>
      </c>
      <c r="E17" t="s">
        <v>71</v>
      </c>
      <c r="F17" t="s">
        <v>72</v>
      </c>
      <c r="G17" t="s">
        <v>68</v>
      </c>
      <c r="H17" t="s">
        <v>68</v>
      </c>
      <c r="I17" s="304">
        <v>180</v>
      </c>
      <c r="J17" s="330" t="s">
        <v>68</v>
      </c>
      <c r="K17" s="40" t="s">
        <v>68</v>
      </c>
      <c r="L17" s="2" t="s">
        <v>73</v>
      </c>
      <c r="M17" s="38" t="s">
        <v>142</v>
      </c>
      <c r="N17" s="40" t="s">
        <v>143</v>
      </c>
      <c r="O17" s="321"/>
      <c r="P17" s="322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</row>
    <row r="18" spans="1:47" hidden="1">
      <c r="A18" s="314" t="s">
        <v>144</v>
      </c>
      <c r="B18" s="315">
        <v>45331</v>
      </c>
      <c r="C18" s="6" t="s">
        <v>145</v>
      </c>
      <c r="D18" s="305" t="s">
        <v>146</v>
      </c>
      <c r="E18" t="s">
        <v>71</v>
      </c>
      <c r="F18" t="s">
        <v>147</v>
      </c>
      <c r="G18" t="s">
        <v>68</v>
      </c>
      <c r="H18">
        <v>1</v>
      </c>
      <c r="I18" s="304">
        <v>550</v>
      </c>
      <c r="J18" s="330" t="s">
        <v>68</v>
      </c>
      <c r="K18" s="40" t="s">
        <v>68</v>
      </c>
      <c r="L18" s="2" t="s">
        <v>148</v>
      </c>
      <c r="M18" s="38" t="s">
        <v>149</v>
      </c>
      <c r="N18" s="40" t="s">
        <v>150</v>
      </c>
      <c r="O18" s="321"/>
      <c r="P18" s="322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</row>
    <row r="19" spans="1:47" hidden="1">
      <c r="A19" s="314" t="s">
        <v>151</v>
      </c>
      <c r="B19" s="315">
        <v>45343</v>
      </c>
      <c r="C19" s="6" t="s">
        <v>152</v>
      </c>
      <c r="D19" s="305" t="s">
        <v>153</v>
      </c>
      <c r="E19" t="s">
        <v>71</v>
      </c>
      <c r="F19" t="s">
        <v>72</v>
      </c>
      <c r="G19" t="s">
        <v>68</v>
      </c>
      <c r="I19" s="304">
        <v>490</v>
      </c>
      <c r="J19" s="330" t="s">
        <v>68</v>
      </c>
      <c r="K19" s="40" t="s">
        <v>68</v>
      </c>
      <c r="L19" s="2" t="s">
        <v>154</v>
      </c>
      <c r="M19" s="38" t="s">
        <v>155</v>
      </c>
      <c r="N19" s="40" t="s">
        <v>156</v>
      </c>
      <c r="O19" s="321"/>
      <c r="P19" s="322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</row>
    <row r="20" spans="1:47" hidden="1">
      <c r="A20" s="314" t="s">
        <v>103</v>
      </c>
      <c r="B20" s="315">
        <v>45400</v>
      </c>
      <c r="C20" s="6" t="s">
        <v>157</v>
      </c>
      <c r="D20" s="305" t="s">
        <v>105</v>
      </c>
      <c r="E20" t="s">
        <v>71</v>
      </c>
      <c r="F20" t="s">
        <v>72</v>
      </c>
      <c r="G20" t="s">
        <v>68</v>
      </c>
      <c r="H20">
        <v>1</v>
      </c>
      <c r="I20" s="304">
        <v>40</v>
      </c>
      <c r="J20" s="330" t="s">
        <v>68</v>
      </c>
      <c r="K20" s="40" t="s">
        <v>68</v>
      </c>
      <c r="L20" s="2" t="s">
        <v>73</v>
      </c>
      <c r="M20" s="38" t="s">
        <v>158</v>
      </c>
      <c r="N20" s="40" t="s">
        <v>108</v>
      </c>
      <c r="O20" s="321"/>
      <c r="P20" s="322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</row>
    <row r="21" spans="1:47" hidden="1">
      <c r="A21" s="314" t="s">
        <v>103</v>
      </c>
      <c r="B21" s="315">
        <v>45400</v>
      </c>
      <c r="C21" s="6" t="s">
        <v>159</v>
      </c>
      <c r="D21" s="305" t="s">
        <v>105</v>
      </c>
      <c r="E21" t="s">
        <v>71</v>
      </c>
      <c r="F21" t="s">
        <v>72</v>
      </c>
      <c r="G21" t="s">
        <v>68</v>
      </c>
      <c r="H21">
        <v>1</v>
      </c>
      <c r="I21" s="304">
        <v>40</v>
      </c>
      <c r="J21" s="330" t="s">
        <v>68</v>
      </c>
      <c r="K21" s="40" t="s">
        <v>68</v>
      </c>
      <c r="L21" s="2" t="s">
        <v>73</v>
      </c>
      <c r="M21" s="38" t="s">
        <v>160</v>
      </c>
      <c r="N21" s="40" t="s">
        <v>108</v>
      </c>
      <c r="O21" s="321"/>
      <c r="P21" s="322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>
        <v>14</v>
      </c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</row>
    <row r="22" spans="1:47" hidden="1">
      <c r="A22" s="314" t="s">
        <v>140</v>
      </c>
      <c r="B22" s="315">
        <v>45405</v>
      </c>
      <c r="C22" s="6" t="s">
        <v>161</v>
      </c>
      <c r="D22" s="305" t="s">
        <v>141</v>
      </c>
      <c r="E22" t="s">
        <v>71</v>
      </c>
      <c r="F22" t="s">
        <v>72</v>
      </c>
      <c r="G22" t="s">
        <v>162</v>
      </c>
      <c r="H22" t="s">
        <v>68</v>
      </c>
      <c r="I22" s="304" t="s">
        <v>68</v>
      </c>
      <c r="J22" s="330" t="s">
        <v>68</v>
      </c>
      <c r="K22" s="40" t="s">
        <v>68</v>
      </c>
      <c r="L22" s="2" t="s">
        <v>73</v>
      </c>
      <c r="M22" s="38" t="s">
        <v>163</v>
      </c>
      <c r="N22" s="40" t="s">
        <v>164</v>
      </c>
      <c r="O22" s="321"/>
      <c r="P22" s="322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</row>
    <row r="23" spans="1:47" hidden="1">
      <c r="A23" s="314" t="s">
        <v>103</v>
      </c>
      <c r="B23" s="315">
        <v>45405</v>
      </c>
      <c r="C23" s="6" t="s">
        <v>165</v>
      </c>
      <c r="D23" s="305" t="s">
        <v>105</v>
      </c>
      <c r="E23" t="s">
        <v>71</v>
      </c>
      <c r="F23" t="s">
        <v>72</v>
      </c>
      <c r="G23" t="s">
        <v>68</v>
      </c>
      <c r="H23">
        <v>1</v>
      </c>
      <c r="I23" s="304">
        <v>40</v>
      </c>
      <c r="J23" s="330" t="s">
        <v>68</v>
      </c>
      <c r="K23" s="40" t="s">
        <v>68</v>
      </c>
      <c r="L23" s="2" t="s">
        <v>73</v>
      </c>
      <c r="M23" s="38" t="s">
        <v>166</v>
      </c>
      <c r="N23" s="40" t="s">
        <v>81</v>
      </c>
      <c r="O23" s="321"/>
      <c r="P23" s="322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</row>
    <row r="24" spans="1:47" hidden="1">
      <c r="A24" s="314" t="s">
        <v>82</v>
      </c>
      <c r="B24" s="315">
        <v>45405</v>
      </c>
      <c r="C24" s="6" t="s">
        <v>167</v>
      </c>
      <c r="D24" s="305" t="s">
        <v>84</v>
      </c>
      <c r="E24" t="s">
        <v>71</v>
      </c>
      <c r="F24" t="s">
        <v>72</v>
      </c>
      <c r="G24" t="s">
        <v>68</v>
      </c>
      <c r="H24">
        <v>1</v>
      </c>
      <c r="I24" s="304">
        <v>500</v>
      </c>
      <c r="J24" s="330" t="s">
        <v>68</v>
      </c>
      <c r="K24" s="40" t="s">
        <v>68</v>
      </c>
      <c r="L24" s="2" t="s">
        <v>73</v>
      </c>
      <c r="M24" s="38" t="s">
        <v>168</v>
      </c>
      <c r="N24" s="40" t="s">
        <v>169</v>
      </c>
      <c r="O24" s="321"/>
      <c r="P24" s="322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</row>
    <row r="25" spans="1:47" hidden="1">
      <c r="A25" s="314" t="s">
        <v>170</v>
      </c>
      <c r="B25" s="315">
        <v>45405</v>
      </c>
      <c r="C25" s="6" t="s">
        <v>171</v>
      </c>
      <c r="D25" s="305" t="s">
        <v>172</v>
      </c>
      <c r="E25" t="s">
        <v>71</v>
      </c>
      <c r="F25" t="s">
        <v>72</v>
      </c>
      <c r="G25" t="s">
        <v>68</v>
      </c>
      <c r="H25">
        <v>3</v>
      </c>
      <c r="I25" s="304">
        <v>1500</v>
      </c>
      <c r="J25" s="330" t="s">
        <v>68</v>
      </c>
      <c r="K25" s="40" t="s">
        <v>68</v>
      </c>
      <c r="L25" s="2" t="s">
        <v>173</v>
      </c>
      <c r="M25" s="38" t="s">
        <v>174</v>
      </c>
      <c r="N25" s="40" t="s">
        <v>175</v>
      </c>
      <c r="O25" s="321"/>
      <c r="P25" s="322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</row>
    <row r="26" spans="1:47">
      <c r="A26" s="314" t="s">
        <v>178</v>
      </c>
      <c r="B26" s="315">
        <v>45882</v>
      </c>
      <c r="C26" s="6" t="s">
        <v>469</v>
      </c>
      <c r="D26" s="305" t="s">
        <v>306</v>
      </c>
      <c r="E26" t="s">
        <v>177</v>
      </c>
      <c r="F26" t="s">
        <v>72</v>
      </c>
      <c r="I26" s="304">
        <v>20000</v>
      </c>
      <c r="J26" s="303" t="s">
        <v>68</v>
      </c>
      <c r="K26" s="2" t="s">
        <v>68</v>
      </c>
      <c r="P26" s="325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</row>
    <row r="27" spans="1:47" hidden="1">
      <c r="A27" s="314" t="s">
        <v>178</v>
      </c>
      <c r="B27" s="315">
        <v>45413</v>
      </c>
      <c r="C27" s="6" t="s">
        <v>179</v>
      </c>
      <c r="D27" s="305" t="s">
        <v>180</v>
      </c>
      <c r="E27" t="s">
        <v>71</v>
      </c>
      <c r="F27" t="s">
        <v>72</v>
      </c>
      <c r="G27" t="s">
        <v>68</v>
      </c>
      <c r="I27" s="304">
        <v>500</v>
      </c>
      <c r="J27" s="330" t="s">
        <v>68</v>
      </c>
      <c r="K27" s="40" t="s">
        <v>68</v>
      </c>
      <c r="L27" s="40" t="s">
        <v>68</v>
      </c>
      <c r="M27" s="38" t="s">
        <v>68</v>
      </c>
      <c r="N27" s="40" t="s">
        <v>68</v>
      </c>
      <c r="O27" s="321" t="s">
        <v>68</v>
      </c>
      <c r="P27" s="322" t="s">
        <v>68</v>
      </c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9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</row>
    <row r="28" spans="1:47" hidden="1">
      <c r="A28" s="314" t="s">
        <v>140</v>
      </c>
      <c r="B28" s="315">
        <v>45415</v>
      </c>
      <c r="C28" s="6" t="s">
        <v>181</v>
      </c>
      <c r="E28" t="s">
        <v>71</v>
      </c>
      <c r="F28" t="s">
        <v>72</v>
      </c>
      <c r="G28" t="s">
        <v>182</v>
      </c>
      <c r="H28">
        <v>9</v>
      </c>
      <c r="I28" s="304">
        <v>1980</v>
      </c>
      <c r="J28" s="330" t="s">
        <v>68</v>
      </c>
      <c r="K28" s="40" t="s">
        <v>183</v>
      </c>
      <c r="L28" s="2" t="s">
        <v>73</v>
      </c>
      <c r="M28" s="38" t="s">
        <v>184</v>
      </c>
      <c r="N28" s="40" t="s">
        <v>185</v>
      </c>
      <c r="O28" s="321"/>
      <c r="P28" s="322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</row>
    <row r="29" spans="1:47" hidden="1">
      <c r="A29" s="314" t="s">
        <v>151</v>
      </c>
      <c r="B29" s="315">
        <v>45415</v>
      </c>
      <c r="C29" s="6" t="s">
        <v>186</v>
      </c>
      <c r="D29" s="305" t="s">
        <v>187</v>
      </c>
      <c r="E29" t="s">
        <v>71</v>
      </c>
      <c r="F29" t="s">
        <v>72</v>
      </c>
      <c r="G29" t="s">
        <v>68</v>
      </c>
      <c r="I29" s="304">
        <v>891</v>
      </c>
      <c r="J29" s="330" t="s">
        <v>68</v>
      </c>
      <c r="K29" s="40" t="s">
        <v>68</v>
      </c>
      <c r="L29" s="2" t="s">
        <v>154</v>
      </c>
      <c r="M29" s="38" t="s">
        <v>188</v>
      </c>
      <c r="N29" s="40" t="s">
        <v>156</v>
      </c>
      <c r="O29" s="321"/>
      <c r="P29" s="322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</row>
    <row r="30" spans="1:47" hidden="1">
      <c r="A30" s="314" t="s">
        <v>144</v>
      </c>
      <c r="B30" s="315">
        <v>45444</v>
      </c>
      <c r="C30" s="6" t="s">
        <v>189</v>
      </c>
      <c r="D30" s="305" t="s">
        <v>146</v>
      </c>
      <c r="E30" t="s">
        <v>71</v>
      </c>
      <c r="F30" t="s">
        <v>147</v>
      </c>
      <c r="G30" t="s">
        <v>68</v>
      </c>
      <c r="H30">
        <v>15</v>
      </c>
      <c r="I30" s="304">
        <v>1080</v>
      </c>
      <c r="J30" s="330" t="s">
        <v>68</v>
      </c>
      <c r="K30" s="40" t="s">
        <v>68</v>
      </c>
      <c r="L30" s="2" t="s">
        <v>148</v>
      </c>
      <c r="M30" s="38" t="s">
        <v>190</v>
      </c>
      <c r="N30" s="40" t="s">
        <v>191</v>
      </c>
      <c r="O30" s="321"/>
      <c r="P30" s="322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</row>
    <row r="31" spans="1:47" hidden="1">
      <c r="A31" s="314" t="s">
        <v>192</v>
      </c>
      <c r="B31" s="315">
        <v>45453</v>
      </c>
      <c r="C31" s="6" t="s">
        <v>193</v>
      </c>
      <c r="D31" s="305" t="s">
        <v>194</v>
      </c>
      <c r="E31" t="s">
        <v>71</v>
      </c>
      <c r="F31" t="s">
        <v>72</v>
      </c>
      <c r="G31" t="s">
        <v>68</v>
      </c>
      <c r="H31">
        <v>1</v>
      </c>
      <c r="I31" s="304">
        <v>950</v>
      </c>
      <c r="J31" s="330" t="s">
        <v>68</v>
      </c>
      <c r="K31" s="40" t="s">
        <v>68</v>
      </c>
      <c r="L31" s="2" t="s">
        <v>73</v>
      </c>
      <c r="M31" s="38" t="s">
        <v>195</v>
      </c>
      <c r="N31" s="40" t="s">
        <v>196</v>
      </c>
      <c r="O31" s="321"/>
      <c r="P31" s="322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</row>
    <row r="32" spans="1:47" hidden="1">
      <c r="A32" s="314" t="s">
        <v>178</v>
      </c>
      <c r="B32" s="315">
        <v>45454</v>
      </c>
      <c r="C32" s="6" t="s">
        <v>197</v>
      </c>
      <c r="D32" s="305" t="s">
        <v>198</v>
      </c>
      <c r="E32" t="s">
        <v>71</v>
      </c>
      <c r="F32" t="s">
        <v>72</v>
      </c>
      <c r="G32" t="s">
        <v>68</v>
      </c>
      <c r="I32" s="304">
        <v>30500</v>
      </c>
      <c r="J32" s="330" t="s">
        <v>68</v>
      </c>
      <c r="K32" s="40" t="s">
        <v>199</v>
      </c>
      <c r="L32" s="2" t="s">
        <v>73</v>
      </c>
      <c r="M32" s="38" t="s">
        <v>200</v>
      </c>
      <c r="N32" s="40" t="s">
        <v>201</v>
      </c>
      <c r="O32" s="321"/>
      <c r="P32" s="322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</row>
    <row r="33" spans="1:47" ht="76.5" hidden="1" outlineLevel="1">
      <c r="A33" s="314" t="s">
        <v>115</v>
      </c>
      <c r="B33" s="315">
        <v>45458</v>
      </c>
      <c r="C33" s="6" t="s">
        <v>202</v>
      </c>
      <c r="D33" s="305" t="s">
        <v>203</v>
      </c>
      <c r="E33" t="s">
        <v>71</v>
      </c>
      <c r="F33" t="s">
        <v>72</v>
      </c>
      <c r="G33" t="s">
        <v>68</v>
      </c>
      <c r="I33" s="304">
        <v>900</v>
      </c>
      <c r="J33" s="330" t="s">
        <v>68</v>
      </c>
      <c r="K33" s="40" t="s">
        <v>68</v>
      </c>
      <c r="L33" s="2" t="s">
        <v>73</v>
      </c>
      <c r="M33" s="38" t="s">
        <v>205</v>
      </c>
      <c r="N33" s="40" t="s">
        <v>206</v>
      </c>
      <c r="O33" s="321"/>
      <c r="P33" s="323" t="s">
        <v>204</v>
      </c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</row>
    <row r="34" spans="1:47" hidden="1" outlineLevel="1">
      <c r="A34" s="314" t="s">
        <v>115</v>
      </c>
      <c r="B34" s="315">
        <v>45463</v>
      </c>
      <c r="C34" s="6" t="s">
        <v>207</v>
      </c>
      <c r="D34" s="305" t="s">
        <v>203</v>
      </c>
      <c r="E34" t="s">
        <v>71</v>
      </c>
      <c r="F34" t="s">
        <v>72</v>
      </c>
      <c r="G34" t="s">
        <v>68</v>
      </c>
      <c r="I34" s="304">
        <v>450</v>
      </c>
      <c r="J34" s="330" t="s">
        <v>68</v>
      </c>
      <c r="K34" s="40" t="s">
        <v>68</v>
      </c>
      <c r="L34" s="2" t="s">
        <v>73</v>
      </c>
      <c r="M34" s="38" t="s">
        <v>208</v>
      </c>
      <c r="N34" s="40" t="s">
        <v>191</v>
      </c>
      <c r="O34" s="321"/>
      <c r="P34" s="322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</row>
    <row r="35" spans="1:47" hidden="1" outlineLevel="1">
      <c r="A35" s="314" t="s">
        <v>209</v>
      </c>
      <c r="B35" s="315">
        <v>45477</v>
      </c>
      <c r="C35" s="6" t="s">
        <v>210</v>
      </c>
      <c r="D35" s="305" t="s">
        <v>211</v>
      </c>
      <c r="E35" t="s">
        <v>71</v>
      </c>
      <c r="F35" t="s">
        <v>72</v>
      </c>
      <c r="G35" t="s">
        <v>68</v>
      </c>
      <c r="H35">
        <v>1</v>
      </c>
      <c r="I35" s="304">
        <v>12500</v>
      </c>
      <c r="J35" s="330" t="s">
        <v>68</v>
      </c>
      <c r="K35" s="40">
        <v>2410067</v>
      </c>
      <c r="L35" s="2" t="s">
        <v>73</v>
      </c>
      <c r="M35" s="38" t="s">
        <v>212</v>
      </c>
      <c r="N35" s="40" t="s">
        <v>213</v>
      </c>
      <c r="O35" s="321"/>
      <c r="P35" s="322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</row>
    <row r="36" spans="1:47" hidden="1" collapsed="1">
      <c r="A36" s="314" t="s">
        <v>209</v>
      </c>
      <c r="B36" s="315">
        <v>45477</v>
      </c>
      <c r="C36" s="6" t="s">
        <v>214</v>
      </c>
      <c r="D36" s="305" t="s">
        <v>211</v>
      </c>
      <c r="E36" t="s">
        <v>71</v>
      </c>
      <c r="F36" t="s">
        <v>72</v>
      </c>
      <c r="G36" t="s">
        <v>68</v>
      </c>
      <c r="H36">
        <v>1</v>
      </c>
      <c r="I36" s="304">
        <v>7500</v>
      </c>
      <c r="J36" s="330" t="s">
        <v>68</v>
      </c>
      <c r="K36" s="40">
        <v>2410066</v>
      </c>
      <c r="L36" s="2" t="s">
        <v>73</v>
      </c>
      <c r="M36" s="38" t="s">
        <v>215</v>
      </c>
      <c r="N36" s="40" t="s">
        <v>213</v>
      </c>
      <c r="O36" s="321"/>
      <c r="P36" s="322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</row>
    <row r="37" spans="1:47" hidden="1" outlineLevel="1">
      <c r="A37" s="314" t="s">
        <v>103</v>
      </c>
      <c r="B37" s="315">
        <v>45483</v>
      </c>
      <c r="C37" s="6" t="s">
        <v>216</v>
      </c>
      <c r="D37" s="305" t="s">
        <v>105</v>
      </c>
      <c r="E37" t="s">
        <v>71</v>
      </c>
      <c r="F37" t="s">
        <v>72</v>
      </c>
      <c r="G37" t="s">
        <v>68</v>
      </c>
      <c r="H37">
        <v>1</v>
      </c>
      <c r="I37" s="304">
        <v>40</v>
      </c>
      <c r="J37" s="330" t="s">
        <v>68</v>
      </c>
      <c r="K37" s="40" t="s">
        <v>68</v>
      </c>
      <c r="L37" s="2" t="s">
        <v>73</v>
      </c>
      <c r="M37" s="38" t="s">
        <v>217</v>
      </c>
      <c r="N37" s="40" t="s">
        <v>218</v>
      </c>
      <c r="O37" s="321"/>
      <c r="P37" s="322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</row>
    <row r="38" spans="1:47" hidden="1" outlineLevel="1">
      <c r="A38" s="314" t="s">
        <v>103</v>
      </c>
      <c r="B38" s="315">
        <v>45483</v>
      </c>
      <c r="C38" s="6" t="s">
        <v>219</v>
      </c>
      <c r="D38" s="305" t="s">
        <v>105</v>
      </c>
      <c r="E38" t="s">
        <v>71</v>
      </c>
      <c r="F38" t="s">
        <v>72</v>
      </c>
      <c r="G38" t="s">
        <v>68</v>
      </c>
      <c r="H38">
        <v>1</v>
      </c>
      <c r="I38" s="304">
        <v>40</v>
      </c>
      <c r="J38" s="330" t="s">
        <v>68</v>
      </c>
      <c r="K38" s="40" t="s">
        <v>68</v>
      </c>
      <c r="L38" s="2" t="s">
        <v>73</v>
      </c>
      <c r="M38" s="38" t="s">
        <v>220</v>
      </c>
      <c r="N38" s="40" t="s">
        <v>218</v>
      </c>
      <c r="O38" s="321"/>
      <c r="P38" s="322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</row>
    <row r="39" spans="1:47" hidden="1" collapsed="1">
      <c r="A39" s="314" t="s">
        <v>221</v>
      </c>
      <c r="B39" s="315">
        <v>45488</v>
      </c>
      <c r="C39" s="6" t="s">
        <v>222</v>
      </c>
      <c r="D39" s="305" t="s">
        <v>223</v>
      </c>
      <c r="E39" t="s">
        <v>71</v>
      </c>
      <c r="F39" t="s">
        <v>72</v>
      </c>
      <c r="G39" t="s">
        <v>224</v>
      </c>
      <c r="H39">
        <v>1</v>
      </c>
      <c r="I39" s="304" t="s">
        <v>225</v>
      </c>
      <c r="J39" s="330" t="s">
        <v>68</v>
      </c>
      <c r="K39" s="40" t="s">
        <v>68</v>
      </c>
      <c r="L39" s="2" t="s">
        <v>73</v>
      </c>
      <c r="M39" s="38" t="s">
        <v>226</v>
      </c>
      <c r="N39" s="40" t="s">
        <v>227</v>
      </c>
      <c r="O39" s="321"/>
      <c r="P39" s="322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</row>
    <row r="40" spans="1:47" hidden="1">
      <c r="A40" s="314" t="s">
        <v>228</v>
      </c>
      <c r="B40" s="315">
        <v>45498</v>
      </c>
      <c r="C40" s="6" t="s">
        <v>229</v>
      </c>
      <c r="D40" s="305" t="s">
        <v>230</v>
      </c>
      <c r="E40" t="s">
        <v>71</v>
      </c>
      <c r="F40" t="s">
        <v>72</v>
      </c>
      <c r="G40" t="s">
        <v>231</v>
      </c>
      <c r="H40">
        <v>16</v>
      </c>
      <c r="I40" s="304">
        <v>560</v>
      </c>
      <c r="J40" s="330" t="s">
        <v>68</v>
      </c>
      <c r="K40" s="40" t="s">
        <v>68</v>
      </c>
      <c r="L40" s="2" t="s">
        <v>73</v>
      </c>
      <c r="M40" s="38" t="s">
        <v>232</v>
      </c>
      <c r="N40" s="40" t="s">
        <v>233</v>
      </c>
      <c r="O40" s="321"/>
      <c r="P40" s="322"/>
      <c r="Q40" s="6"/>
      <c r="R40" s="6">
        <v>16</v>
      </c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</row>
    <row r="41" spans="1:47" hidden="1">
      <c r="A41" s="314" t="s">
        <v>144</v>
      </c>
      <c r="B41" s="315">
        <v>45503</v>
      </c>
      <c r="C41" s="6" t="s">
        <v>234</v>
      </c>
      <c r="D41" s="305" t="s">
        <v>146</v>
      </c>
      <c r="E41" t="s">
        <v>71</v>
      </c>
      <c r="F41" t="s">
        <v>72</v>
      </c>
      <c r="G41" t="s">
        <v>235</v>
      </c>
      <c r="H41">
        <v>1</v>
      </c>
      <c r="I41" s="304">
        <v>180</v>
      </c>
      <c r="J41" s="330" t="s">
        <v>68</v>
      </c>
      <c r="K41" s="40" t="s">
        <v>68</v>
      </c>
      <c r="L41" s="2" t="s">
        <v>148</v>
      </c>
      <c r="M41" s="38" t="s">
        <v>236</v>
      </c>
      <c r="N41" s="40" t="s">
        <v>191</v>
      </c>
      <c r="O41" s="321"/>
      <c r="P41" s="322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</row>
    <row r="42" spans="1:47" hidden="1">
      <c r="A42" s="314" t="s">
        <v>237</v>
      </c>
      <c r="B42" s="315">
        <v>45504</v>
      </c>
      <c r="C42" s="6" t="s">
        <v>238</v>
      </c>
      <c r="D42" s="305" t="s">
        <v>239</v>
      </c>
      <c r="E42" t="s">
        <v>71</v>
      </c>
      <c r="F42" t="s">
        <v>72</v>
      </c>
      <c r="G42" t="s">
        <v>68</v>
      </c>
      <c r="H42">
        <v>1</v>
      </c>
      <c r="I42" s="304">
        <v>34000</v>
      </c>
      <c r="J42" s="330" t="s">
        <v>68</v>
      </c>
      <c r="K42" s="40" t="s">
        <v>68</v>
      </c>
      <c r="L42" s="40" t="s">
        <v>68</v>
      </c>
      <c r="M42" s="38" t="s">
        <v>68</v>
      </c>
      <c r="N42" s="40" t="s">
        <v>68</v>
      </c>
      <c r="O42" s="321" t="s">
        <v>68</v>
      </c>
      <c r="P42" s="323" t="s">
        <v>240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</row>
    <row r="43" spans="1:47" ht="45.75" hidden="1">
      <c r="A43" s="314" t="s">
        <v>237</v>
      </c>
      <c r="B43" s="315">
        <v>45504</v>
      </c>
      <c r="C43" s="6" t="s">
        <v>238</v>
      </c>
      <c r="D43" s="305" t="s">
        <v>239</v>
      </c>
      <c r="E43" t="s">
        <v>71</v>
      </c>
      <c r="F43" t="s">
        <v>72</v>
      </c>
      <c r="G43" t="s">
        <v>68</v>
      </c>
      <c r="H43">
        <v>1</v>
      </c>
      <c r="I43" s="304">
        <v>6800</v>
      </c>
      <c r="J43" s="330" t="s">
        <v>68</v>
      </c>
      <c r="K43" s="40" t="s">
        <v>68</v>
      </c>
      <c r="L43" s="2" t="s">
        <v>242</v>
      </c>
      <c r="M43" s="38" t="s">
        <v>243</v>
      </c>
      <c r="N43" s="40" t="s">
        <v>244</v>
      </c>
      <c r="O43" s="321"/>
      <c r="P43" s="323" t="s">
        <v>241</v>
      </c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</row>
    <row r="44" spans="1:47" hidden="1">
      <c r="A44" s="314" t="s">
        <v>237</v>
      </c>
      <c r="B44" s="315">
        <v>45504</v>
      </c>
      <c r="C44" s="6" t="s">
        <v>238</v>
      </c>
      <c r="D44" s="305" t="s">
        <v>239</v>
      </c>
      <c r="E44" t="s">
        <v>71</v>
      </c>
      <c r="F44" t="s">
        <v>72</v>
      </c>
      <c r="G44" t="s">
        <v>68</v>
      </c>
      <c r="I44" s="304">
        <f>13750+13450</f>
        <v>27200</v>
      </c>
      <c r="J44" s="330" t="s">
        <v>68</v>
      </c>
      <c r="K44" s="40" t="s">
        <v>251</v>
      </c>
      <c r="L44" s="2" t="s">
        <v>148</v>
      </c>
      <c r="M44" s="38" t="s">
        <v>525</v>
      </c>
      <c r="N44" s="40" t="s">
        <v>526</v>
      </c>
      <c r="O44" s="321"/>
      <c r="P44" s="323" t="s">
        <v>527</v>
      </c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</row>
    <row r="45" spans="1:47" ht="30.75" hidden="1">
      <c r="A45" s="314" t="s">
        <v>237</v>
      </c>
      <c r="B45" s="315">
        <v>45504</v>
      </c>
      <c r="C45" s="6" t="s">
        <v>254</v>
      </c>
      <c r="D45" s="305" t="s">
        <v>239</v>
      </c>
      <c r="E45" t="s">
        <v>71</v>
      </c>
      <c r="F45" t="s">
        <v>72</v>
      </c>
      <c r="G45" t="s">
        <v>68</v>
      </c>
      <c r="H45">
        <v>1</v>
      </c>
      <c r="I45" s="304">
        <v>3336</v>
      </c>
      <c r="J45" s="330" t="s">
        <v>68</v>
      </c>
      <c r="K45" s="40" t="s">
        <v>68</v>
      </c>
      <c r="L45" s="2" t="s">
        <v>242</v>
      </c>
      <c r="M45" s="38" t="s">
        <v>256</v>
      </c>
      <c r="N45" s="40" t="s">
        <v>244</v>
      </c>
      <c r="O45" s="321"/>
      <c r="P45" s="323" t="s">
        <v>255</v>
      </c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</row>
    <row r="46" spans="1:47" hidden="1">
      <c r="A46" s="314" t="s">
        <v>237</v>
      </c>
      <c r="B46" s="315">
        <v>45504</v>
      </c>
      <c r="C46" s="6" t="s">
        <v>257</v>
      </c>
      <c r="D46" s="305" t="s">
        <v>239</v>
      </c>
      <c r="E46" t="s">
        <v>71</v>
      </c>
      <c r="F46" t="s">
        <v>72</v>
      </c>
      <c r="G46" t="s">
        <v>68</v>
      </c>
      <c r="H46">
        <v>1</v>
      </c>
      <c r="I46" s="304">
        <v>13344</v>
      </c>
      <c r="J46" s="330" t="s">
        <v>68</v>
      </c>
      <c r="K46" s="40" t="s">
        <v>259</v>
      </c>
      <c r="L46" s="2" t="s">
        <v>148</v>
      </c>
      <c r="M46" s="38" t="s">
        <v>260</v>
      </c>
      <c r="N46" s="40" t="s">
        <v>261</v>
      </c>
      <c r="O46" s="321"/>
      <c r="P46" s="323" t="s">
        <v>258</v>
      </c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</row>
    <row r="47" spans="1:47" ht="45.75" hidden="1">
      <c r="A47" s="314" t="s">
        <v>237</v>
      </c>
      <c r="B47" s="315">
        <v>45504</v>
      </c>
      <c r="C47" s="6" t="s">
        <v>262</v>
      </c>
      <c r="D47" s="305" t="s">
        <v>239</v>
      </c>
      <c r="E47" t="s">
        <v>71</v>
      </c>
      <c r="F47" t="s">
        <v>72</v>
      </c>
      <c r="G47" t="s">
        <v>68</v>
      </c>
      <c r="H47">
        <v>1</v>
      </c>
      <c r="I47" s="304">
        <v>8000</v>
      </c>
      <c r="J47" s="330" t="s">
        <v>68</v>
      </c>
      <c r="K47" s="40" t="s">
        <v>264</v>
      </c>
      <c r="L47" s="40" t="s">
        <v>265</v>
      </c>
      <c r="M47" s="38" t="s">
        <v>266</v>
      </c>
      <c r="N47" s="40" t="s">
        <v>244</v>
      </c>
      <c r="O47" s="321"/>
      <c r="P47" s="323" t="s">
        <v>263</v>
      </c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</row>
    <row r="48" spans="1:47" hidden="1">
      <c r="A48" s="314" t="s">
        <v>115</v>
      </c>
      <c r="B48" s="315">
        <v>45504</v>
      </c>
      <c r="C48" s="6" t="s">
        <v>267</v>
      </c>
      <c r="D48" s="305" t="s">
        <v>203</v>
      </c>
      <c r="E48" t="s">
        <v>71</v>
      </c>
      <c r="F48" t="s">
        <v>72</v>
      </c>
      <c r="G48" t="s">
        <v>117</v>
      </c>
      <c r="H48" t="s">
        <v>68</v>
      </c>
      <c r="I48" s="304">
        <v>2750</v>
      </c>
      <c r="J48" s="330" t="s">
        <v>68</v>
      </c>
      <c r="K48" s="40" t="s">
        <v>68</v>
      </c>
      <c r="L48" s="2" t="s">
        <v>73</v>
      </c>
      <c r="M48" s="38" t="s">
        <v>268</v>
      </c>
      <c r="N48" s="40" t="s">
        <v>191</v>
      </c>
      <c r="O48" s="321"/>
      <c r="P48" s="322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</row>
    <row r="49" spans="1:47" hidden="1">
      <c r="A49" s="314" t="s">
        <v>144</v>
      </c>
      <c r="B49" s="315">
        <v>45508</v>
      </c>
      <c r="C49" s="6" t="s">
        <v>269</v>
      </c>
      <c r="D49" s="305" t="s">
        <v>270</v>
      </c>
      <c r="E49" t="s">
        <v>71</v>
      </c>
      <c r="F49" t="s">
        <v>72</v>
      </c>
      <c r="G49" t="s">
        <v>271</v>
      </c>
      <c r="H49">
        <v>1</v>
      </c>
      <c r="I49" s="304">
        <v>135</v>
      </c>
      <c r="J49" s="330" t="s">
        <v>68</v>
      </c>
      <c r="K49" s="40" t="s">
        <v>68</v>
      </c>
      <c r="L49" s="2" t="s">
        <v>148</v>
      </c>
      <c r="M49" s="38" t="s">
        <v>272</v>
      </c>
      <c r="N49" s="40" t="s">
        <v>191</v>
      </c>
      <c r="O49" s="321"/>
      <c r="P49" s="322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</row>
    <row r="50" spans="1:47" hidden="1">
      <c r="A50" s="314" t="s">
        <v>103</v>
      </c>
      <c r="B50" s="315">
        <v>45513</v>
      </c>
      <c r="C50" s="6" t="s">
        <v>273</v>
      </c>
      <c r="D50" s="305" t="s">
        <v>105</v>
      </c>
      <c r="E50" t="s">
        <v>71</v>
      </c>
      <c r="F50" t="s">
        <v>72</v>
      </c>
      <c r="G50" t="s">
        <v>68</v>
      </c>
      <c r="H50">
        <v>1</v>
      </c>
      <c r="I50" s="304">
        <v>40</v>
      </c>
      <c r="J50" s="330" t="s">
        <v>68</v>
      </c>
      <c r="K50" s="40" t="s">
        <v>68</v>
      </c>
      <c r="L50" s="2" t="s">
        <v>73</v>
      </c>
      <c r="M50" s="38" t="s">
        <v>274</v>
      </c>
      <c r="N50" s="40" t="s">
        <v>275</v>
      </c>
      <c r="O50" s="321"/>
      <c r="P50" s="322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</row>
    <row r="51" spans="1:47" hidden="1">
      <c r="A51" s="314" t="s">
        <v>276</v>
      </c>
      <c r="B51" s="315">
        <v>45532</v>
      </c>
      <c r="C51" s="6" t="s">
        <v>277</v>
      </c>
      <c r="D51" s="305" t="s">
        <v>278</v>
      </c>
      <c r="E51" t="s">
        <v>71</v>
      </c>
      <c r="F51" t="s">
        <v>72</v>
      </c>
      <c r="G51" t="s">
        <v>68</v>
      </c>
      <c r="H51">
        <v>1</v>
      </c>
      <c r="I51" s="304">
        <v>2500</v>
      </c>
      <c r="J51" s="330" t="s">
        <v>68</v>
      </c>
      <c r="K51" s="40" t="s">
        <v>68</v>
      </c>
      <c r="L51" s="2" t="s">
        <v>279</v>
      </c>
      <c r="M51" s="38" t="s">
        <v>280</v>
      </c>
      <c r="N51" s="40" t="s">
        <v>281</v>
      </c>
      <c r="O51" s="321"/>
      <c r="P51" s="322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</row>
    <row r="52" spans="1:47" hidden="1">
      <c r="A52" s="314" t="s">
        <v>132</v>
      </c>
      <c r="B52" s="315">
        <v>45532</v>
      </c>
      <c r="C52" s="6" t="s">
        <v>282</v>
      </c>
      <c r="D52" s="305" t="s">
        <v>134</v>
      </c>
      <c r="E52" t="s">
        <v>71</v>
      </c>
      <c r="F52" t="s">
        <v>72</v>
      </c>
      <c r="G52" t="s">
        <v>283</v>
      </c>
      <c r="H52">
        <v>1</v>
      </c>
      <c r="I52" s="304">
        <v>150</v>
      </c>
      <c r="J52" s="330" t="s">
        <v>68</v>
      </c>
      <c r="K52" s="40" t="s">
        <v>136</v>
      </c>
      <c r="L52" s="2" t="s">
        <v>137</v>
      </c>
      <c r="M52" s="38" t="s">
        <v>138</v>
      </c>
      <c r="N52" s="40" t="s">
        <v>139</v>
      </c>
      <c r="O52" s="321"/>
      <c r="P52" s="322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</row>
    <row r="53" spans="1:47" hidden="1">
      <c r="A53" s="314" t="s">
        <v>132</v>
      </c>
      <c r="B53" s="315">
        <v>45537</v>
      </c>
      <c r="C53" s="6" t="s">
        <v>284</v>
      </c>
      <c r="D53" s="305" t="s">
        <v>134</v>
      </c>
      <c r="E53" t="s">
        <v>71</v>
      </c>
      <c r="F53" t="s">
        <v>72</v>
      </c>
      <c r="G53" t="s">
        <v>135</v>
      </c>
      <c r="H53">
        <v>1</v>
      </c>
      <c r="I53" s="304">
        <v>150</v>
      </c>
      <c r="J53" s="330" t="s">
        <v>68</v>
      </c>
      <c r="K53" s="40" t="s">
        <v>136</v>
      </c>
      <c r="L53" s="2" t="s">
        <v>137</v>
      </c>
      <c r="M53" s="38" t="s">
        <v>138</v>
      </c>
      <c r="N53" s="40" t="s">
        <v>285</v>
      </c>
      <c r="O53" s="321"/>
      <c r="P53" s="322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>
        <v>43</v>
      </c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</row>
    <row r="54" spans="1:47" hidden="1">
      <c r="A54" s="314" t="s">
        <v>144</v>
      </c>
      <c r="B54" s="315">
        <v>45538</v>
      </c>
      <c r="C54" s="6" t="s">
        <v>286</v>
      </c>
      <c r="D54" s="305" t="s">
        <v>287</v>
      </c>
      <c r="E54" t="s">
        <v>71</v>
      </c>
      <c r="F54" t="s">
        <v>72</v>
      </c>
      <c r="G54" t="s">
        <v>288</v>
      </c>
      <c r="H54">
        <v>43</v>
      </c>
      <c r="I54" s="304">
        <v>1290</v>
      </c>
      <c r="J54" s="330" t="s">
        <v>68</v>
      </c>
      <c r="K54" s="40" t="s">
        <v>68</v>
      </c>
      <c r="L54" s="2" t="s">
        <v>73</v>
      </c>
      <c r="M54" s="38" t="s">
        <v>289</v>
      </c>
      <c r="N54" s="40" t="s">
        <v>290</v>
      </c>
      <c r="O54" s="321"/>
      <c r="P54" s="322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</row>
    <row r="55" spans="1:47" hidden="1">
      <c r="A55" s="314" t="s">
        <v>144</v>
      </c>
      <c r="B55" s="315">
        <v>45539</v>
      </c>
      <c r="C55" s="6" t="s">
        <v>291</v>
      </c>
      <c r="D55" s="305" t="s">
        <v>146</v>
      </c>
      <c r="E55" t="s">
        <v>71</v>
      </c>
      <c r="F55" t="s">
        <v>147</v>
      </c>
      <c r="G55" t="s">
        <v>292</v>
      </c>
      <c r="H55" t="s">
        <v>68</v>
      </c>
      <c r="I55" s="304">
        <v>250</v>
      </c>
      <c r="J55" s="330" t="s">
        <v>68</v>
      </c>
      <c r="K55" s="40" t="s">
        <v>68</v>
      </c>
      <c r="L55" s="2" t="s">
        <v>137</v>
      </c>
      <c r="M55" s="38" t="s">
        <v>293</v>
      </c>
      <c r="N55" s="40" t="s">
        <v>294</v>
      </c>
      <c r="O55" s="321"/>
      <c r="P55" s="322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</row>
    <row r="56" spans="1:47" hidden="1">
      <c r="A56" s="314" t="s">
        <v>144</v>
      </c>
      <c r="B56" s="315">
        <v>45539</v>
      </c>
      <c r="C56" s="6" t="s">
        <v>295</v>
      </c>
      <c r="D56" s="305" t="s">
        <v>296</v>
      </c>
      <c r="E56" t="s">
        <v>71</v>
      </c>
      <c r="F56" t="s">
        <v>147</v>
      </c>
      <c r="G56" t="s">
        <v>297</v>
      </c>
      <c r="H56" t="s">
        <v>68</v>
      </c>
      <c r="I56" s="304">
        <v>250</v>
      </c>
      <c r="J56" s="330" t="s">
        <v>68</v>
      </c>
      <c r="K56" s="40" t="s">
        <v>68</v>
      </c>
      <c r="L56" s="2" t="s">
        <v>137</v>
      </c>
      <c r="M56" s="38" t="s">
        <v>298</v>
      </c>
      <c r="N56" s="40" t="s">
        <v>294</v>
      </c>
      <c r="O56" s="321"/>
      <c r="P56" s="322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</row>
    <row r="57" spans="1:47" hidden="1">
      <c r="A57" s="314" t="s">
        <v>103</v>
      </c>
      <c r="B57" s="315">
        <v>45541</v>
      </c>
      <c r="C57" s="6" t="s">
        <v>299</v>
      </c>
      <c r="D57" s="305" t="s">
        <v>105</v>
      </c>
      <c r="E57" t="s">
        <v>71</v>
      </c>
      <c r="F57" t="s">
        <v>72</v>
      </c>
      <c r="G57" t="s">
        <v>68</v>
      </c>
      <c r="H57">
        <v>1</v>
      </c>
      <c r="I57" s="304">
        <v>40</v>
      </c>
      <c r="J57" s="330" t="s">
        <v>68</v>
      </c>
      <c r="K57" s="40" t="s">
        <v>68</v>
      </c>
      <c r="L57" s="2" t="s">
        <v>73</v>
      </c>
      <c r="M57" s="38" t="s">
        <v>300</v>
      </c>
      <c r="N57" s="40" t="s">
        <v>108</v>
      </c>
      <c r="O57" s="321"/>
      <c r="P57" s="322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</row>
    <row r="58" spans="1:47" hidden="1">
      <c r="A58" s="314" t="s">
        <v>144</v>
      </c>
      <c r="B58" s="315">
        <v>45548</v>
      </c>
      <c r="C58" s="6" t="s">
        <v>301</v>
      </c>
      <c r="D58" s="305" t="s">
        <v>302</v>
      </c>
      <c r="E58" t="s">
        <v>71</v>
      </c>
      <c r="F58" t="s">
        <v>147</v>
      </c>
      <c r="G58" t="s">
        <v>303</v>
      </c>
      <c r="H58">
        <v>1</v>
      </c>
      <c r="I58" s="304">
        <v>720</v>
      </c>
      <c r="J58" s="330" t="s">
        <v>68</v>
      </c>
      <c r="K58" s="40" t="s">
        <v>68</v>
      </c>
      <c r="L58" s="2" t="s">
        <v>137</v>
      </c>
      <c r="M58" s="38" t="s">
        <v>304</v>
      </c>
      <c r="N58" s="40" t="s">
        <v>294</v>
      </c>
      <c r="O58" s="321"/>
      <c r="P58" s="322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>
        <v>18</v>
      </c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</row>
    <row r="59" spans="1:47" hidden="1">
      <c r="A59" s="314" t="s">
        <v>178</v>
      </c>
      <c r="B59" s="315">
        <v>45552</v>
      </c>
      <c r="C59" s="6" t="s">
        <v>305</v>
      </c>
      <c r="D59" s="305" t="s">
        <v>306</v>
      </c>
      <c r="E59" t="s">
        <v>71</v>
      </c>
      <c r="F59" t="s">
        <v>72</v>
      </c>
      <c r="H59">
        <v>1</v>
      </c>
      <c r="I59" s="304">
        <v>450</v>
      </c>
      <c r="J59" s="330" t="s">
        <v>68</v>
      </c>
      <c r="K59" s="40" t="s">
        <v>68</v>
      </c>
      <c r="L59" s="2" t="s">
        <v>73</v>
      </c>
      <c r="M59" s="38" t="s">
        <v>307</v>
      </c>
      <c r="N59" s="40" t="s">
        <v>308</v>
      </c>
      <c r="O59" s="321"/>
      <c r="P59" s="322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</row>
    <row r="60" spans="1:47" hidden="1">
      <c r="A60" s="314" t="s">
        <v>178</v>
      </c>
      <c r="B60" s="315">
        <v>45552</v>
      </c>
      <c r="C60" s="6" t="s">
        <v>309</v>
      </c>
      <c r="D60" s="305" t="s">
        <v>306</v>
      </c>
      <c r="E60" t="s">
        <v>71</v>
      </c>
      <c r="F60" t="s">
        <v>72</v>
      </c>
      <c r="G60" t="s">
        <v>310</v>
      </c>
      <c r="H60">
        <v>1</v>
      </c>
      <c r="I60" s="304">
        <v>450</v>
      </c>
      <c r="J60" s="330" t="s">
        <v>68</v>
      </c>
      <c r="K60" s="40" t="s">
        <v>68</v>
      </c>
      <c r="L60" s="2" t="s">
        <v>73</v>
      </c>
      <c r="M60" s="38" t="s">
        <v>311</v>
      </c>
      <c r="N60" s="40" t="s">
        <v>308</v>
      </c>
      <c r="O60" s="321"/>
      <c r="P60" s="322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</row>
    <row r="61" spans="1:47" hidden="1">
      <c r="A61" s="314" t="s">
        <v>103</v>
      </c>
      <c r="B61" s="315">
        <v>45552</v>
      </c>
      <c r="C61" s="6" t="s">
        <v>312</v>
      </c>
      <c r="D61" s="305" t="s">
        <v>105</v>
      </c>
      <c r="E61" t="s">
        <v>71</v>
      </c>
      <c r="F61" t="s">
        <v>72</v>
      </c>
      <c r="G61" t="s">
        <v>68</v>
      </c>
      <c r="H61">
        <v>1</v>
      </c>
      <c r="I61" s="304">
        <v>40</v>
      </c>
      <c r="J61" s="330" t="s">
        <v>68</v>
      </c>
      <c r="K61" s="40" t="s">
        <v>68</v>
      </c>
      <c r="L61" s="2" t="s">
        <v>73</v>
      </c>
      <c r="M61" s="38" t="s">
        <v>313</v>
      </c>
      <c r="N61" s="40" t="s">
        <v>244</v>
      </c>
      <c r="O61" s="321"/>
      <c r="P61" s="322"/>
      <c r="Q61" s="6"/>
      <c r="R61" s="6">
        <v>8</v>
      </c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</row>
    <row r="62" spans="1:47" hidden="1">
      <c r="A62" s="314" t="s">
        <v>144</v>
      </c>
      <c r="B62" s="315">
        <v>45562</v>
      </c>
      <c r="C62" s="6" t="s">
        <v>314</v>
      </c>
      <c r="D62" s="305" t="s">
        <v>270</v>
      </c>
      <c r="E62" t="s">
        <v>71</v>
      </c>
      <c r="F62" t="s">
        <v>147</v>
      </c>
      <c r="G62" t="s">
        <v>315</v>
      </c>
      <c r="H62">
        <v>8</v>
      </c>
      <c r="I62" s="304">
        <v>240</v>
      </c>
      <c r="J62" s="330" t="s">
        <v>68</v>
      </c>
      <c r="K62" s="40" t="s">
        <v>68</v>
      </c>
      <c r="L62" s="2" t="s">
        <v>73</v>
      </c>
      <c r="M62" s="38" t="s">
        <v>316</v>
      </c>
      <c r="N62" s="40" t="s">
        <v>290</v>
      </c>
      <c r="O62" s="321"/>
      <c r="P62" s="322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</row>
    <row r="63" spans="1:47" hidden="1">
      <c r="A63" s="314" t="s">
        <v>144</v>
      </c>
      <c r="B63" s="315">
        <v>45573</v>
      </c>
      <c r="C63" s="6" t="s">
        <v>317</v>
      </c>
      <c r="D63" s="305" t="s">
        <v>296</v>
      </c>
      <c r="E63" t="s">
        <v>71</v>
      </c>
      <c r="F63" t="s">
        <v>147</v>
      </c>
      <c r="G63" t="s">
        <v>318</v>
      </c>
      <c r="H63">
        <v>2</v>
      </c>
      <c r="I63" s="304">
        <v>700</v>
      </c>
      <c r="J63" s="330" t="s">
        <v>68</v>
      </c>
      <c r="K63" s="40" t="s">
        <v>68</v>
      </c>
      <c r="L63" s="2" t="s">
        <v>73</v>
      </c>
      <c r="M63" s="38" t="s">
        <v>319</v>
      </c>
      <c r="N63" s="40" t="s">
        <v>290</v>
      </c>
      <c r="O63" s="321"/>
      <c r="P63" s="322"/>
      <c r="Q63" s="6"/>
      <c r="R63" s="6">
        <v>20</v>
      </c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</row>
    <row r="64" spans="1:47" hidden="1">
      <c r="A64" s="314" t="s">
        <v>103</v>
      </c>
      <c r="B64" s="315">
        <v>45580</v>
      </c>
      <c r="C64" s="6" t="s">
        <v>320</v>
      </c>
      <c r="D64" s="305" t="s">
        <v>105</v>
      </c>
      <c r="E64" t="s">
        <v>71</v>
      </c>
      <c r="F64" t="s">
        <v>72</v>
      </c>
      <c r="G64" t="s">
        <v>68</v>
      </c>
      <c r="H64">
        <v>1</v>
      </c>
      <c r="I64" s="304">
        <v>40</v>
      </c>
      <c r="J64" s="330" t="s">
        <v>68</v>
      </c>
      <c r="K64" s="40" t="s">
        <v>68</v>
      </c>
      <c r="L64" s="2" t="s">
        <v>73</v>
      </c>
      <c r="M64" s="38" t="s">
        <v>321</v>
      </c>
      <c r="N64" s="40" t="s">
        <v>108</v>
      </c>
      <c r="O64" s="321"/>
      <c r="P64" s="322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>
        <v>17</v>
      </c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</row>
    <row r="65" spans="1:47" hidden="1">
      <c r="A65" s="314" t="s">
        <v>103</v>
      </c>
      <c r="B65" s="315">
        <v>45580</v>
      </c>
      <c r="C65" s="6" t="s">
        <v>322</v>
      </c>
      <c r="D65" s="305" t="s">
        <v>105</v>
      </c>
      <c r="E65" t="s">
        <v>71</v>
      </c>
      <c r="F65" t="s">
        <v>72</v>
      </c>
      <c r="G65" t="s">
        <v>68</v>
      </c>
      <c r="H65">
        <v>1</v>
      </c>
      <c r="I65" s="304">
        <v>60</v>
      </c>
      <c r="J65" s="330" t="s">
        <v>68</v>
      </c>
      <c r="K65" s="40" t="s">
        <v>68</v>
      </c>
      <c r="L65" s="2" t="s">
        <v>73</v>
      </c>
      <c r="M65" s="38" t="s">
        <v>323</v>
      </c>
      <c r="N65" s="40" t="s">
        <v>108</v>
      </c>
      <c r="O65" s="321"/>
      <c r="P65" s="322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</row>
    <row r="66" spans="1:47" hidden="1">
      <c r="A66" s="314" t="s">
        <v>103</v>
      </c>
      <c r="B66" s="315">
        <v>45580</v>
      </c>
      <c r="C66" s="6" t="s">
        <v>324</v>
      </c>
      <c r="D66" s="305" t="s">
        <v>105</v>
      </c>
      <c r="E66" t="s">
        <v>71</v>
      </c>
      <c r="F66" t="s">
        <v>72</v>
      </c>
      <c r="G66" t="s">
        <v>68</v>
      </c>
      <c r="H66">
        <v>1</v>
      </c>
      <c r="I66" s="304">
        <v>40</v>
      </c>
      <c r="J66" s="330" t="s">
        <v>68</v>
      </c>
      <c r="K66" s="40" t="s">
        <v>68</v>
      </c>
      <c r="L66" s="2" t="s">
        <v>73</v>
      </c>
      <c r="M66" s="38" t="s">
        <v>325</v>
      </c>
      <c r="N66" s="40" t="s">
        <v>108</v>
      </c>
      <c r="O66" s="321"/>
      <c r="P66" s="322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</row>
    <row r="67" spans="1:47" ht="30.75" hidden="1">
      <c r="A67" s="314" t="s">
        <v>237</v>
      </c>
      <c r="B67" s="315">
        <v>45606</v>
      </c>
      <c r="C67" s="6" t="s">
        <v>326</v>
      </c>
      <c r="D67" s="305" t="s">
        <v>239</v>
      </c>
      <c r="E67" t="s">
        <v>71</v>
      </c>
      <c r="F67" t="s">
        <v>72</v>
      </c>
      <c r="G67" t="s">
        <v>68</v>
      </c>
      <c r="H67">
        <v>1</v>
      </c>
      <c r="I67" s="304">
        <v>1600</v>
      </c>
      <c r="J67" s="330" t="s">
        <v>68</v>
      </c>
      <c r="K67" s="40" t="s">
        <v>328</v>
      </c>
      <c r="L67" s="40" t="s">
        <v>329</v>
      </c>
      <c r="M67" s="38" t="s">
        <v>330</v>
      </c>
      <c r="N67" s="40" t="s">
        <v>331</v>
      </c>
      <c r="O67" s="321"/>
      <c r="P67" s="323" t="s">
        <v>327</v>
      </c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</row>
    <row r="68" spans="1:47" hidden="1">
      <c r="A68" s="314" t="s">
        <v>103</v>
      </c>
      <c r="B68" s="315">
        <v>45618</v>
      </c>
      <c r="C68" s="6" t="s">
        <v>332</v>
      </c>
      <c r="D68" s="305" t="s">
        <v>105</v>
      </c>
      <c r="E68" t="s">
        <v>71</v>
      </c>
      <c r="F68" t="s">
        <v>72</v>
      </c>
      <c r="G68" t="s">
        <v>68</v>
      </c>
      <c r="H68">
        <v>1</v>
      </c>
      <c r="I68" s="304">
        <v>40</v>
      </c>
      <c r="J68" s="330" t="s">
        <v>68</v>
      </c>
      <c r="K68" s="40" t="s">
        <v>68</v>
      </c>
      <c r="L68" s="40" t="s">
        <v>73</v>
      </c>
      <c r="M68" s="38" t="s">
        <v>333</v>
      </c>
      <c r="N68" s="40" t="s">
        <v>334</v>
      </c>
      <c r="O68" s="321"/>
      <c r="P68" s="322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</row>
    <row r="69" spans="1:47" hidden="1">
      <c r="A69" s="314" t="s">
        <v>178</v>
      </c>
      <c r="B69" s="315">
        <v>45628</v>
      </c>
      <c r="C69" s="6" t="s">
        <v>335</v>
      </c>
      <c r="D69" s="305" t="s">
        <v>306</v>
      </c>
      <c r="E69" t="s">
        <v>71</v>
      </c>
      <c r="F69" t="s">
        <v>72</v>
      </c>
      <c r="G69" t="s">
        <v>336</v>
      </c>
      <c r="H69">
        <v>1</v>
      </c>
      <c r="I69" s="304">
        <v>710</v>
      </c>
      <c r="J69" s="330" t="s">
        <v>68</v>
      </c>
      <c r="K69" s="40" t="s">
        <v>68</v>
      </c>
      <c r="L69" s="40" t="s">
        <v>73</v>
      </c>
      <c r="M69" s="38" t="s">
        <v>337</v>
      </c>
      <c r="N69" s="40" t="s">
        <v>338</v>
      </c>
      <c r="O69" s="321"/>
      <c r="P69" s="322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</row>
    <row r="70" spans="1:47" hidden="1">
      <c r="A70" s="314" t="s">
        <v>209</v>
      </c>
      <c r="B70" s="315">
        <v>45630</v>
      </c>
      <c r="C70" s="6" t="s">
        <v>339</v>
      </c>
      <c r="D70" s="305" t="s">
        <v>211</v>
      </c>
      <c r="E70" t="s">
        <v>71</v>
      </c>
      <c r="F70" t="s">
        <v>72</v>
      </c>
      <c r="G70" t="s">
        <v>68</v>
      </c>
      <c r="H70">
        <v>1</v>
      </c>
      <c r="I70" s="304">
        <v>300</v>
      </c>
      <c r="J70" s="330" t="s">
        <v>68</v>
      </c>
      <c r="K70" s="40">
        <v>2412020</v>
      </c>
      <c r="L70" s="40" t="s">
        <v>73</v>
      </c>
      <c r="M70" s="38" t="s">
        <v>340</v>
      </c>
      <c r="N70" s="40" t="s">
        <v>164</v>
      </c>
      <c r="O70" s="321"/>
      <c r="P70" s="322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>
        <v>1</v>
      </c>
      <c r="AN70" s="6"/>
      <c r="AO70" s="6"/>
      <c r="AP70" s="6"/>
      <c r="AQ70" s="6"/>
      <c r="AR70" s="6"/>
      <c r="AS70" s="6"/>
      <c r="AT70" s="6"/>
      <c r="AU70" s="6"/>
    </row>
    <row r="71" spans="1:47" hidden="1">
      <c r="A71" s="314" t="s">
        <v>144</v>
      </c>
      <c r="B71" s="315">
        <v>45660</v>
      </c>
      <c r="C71" s="6" t="s">
        <v>341</v>
      </c>
      <c r="D71" s="305" t="s">
        <v>342</v>
      </c>
      <c r="E71" t="s">
        <v>71</v>
      </c>
      <c r="F71" t="s">
        <v>147</v>
      </c>
      <c r="G71" t="s">
        <v>343</v>
      </c>
      <c r="H71">
        <v>4</v>
      </c>
      <c r="I71" s="304">
        <v>435</v>
      </c>
      <c r="J71" s="330" t="s">
        <v>68</v>
      </c>
      <c r="K71" s="40" t="s">
        <v>68</v>
      </c>
      <c r="L71" s="40" t="s">
        <v>73</v>
      </c>
      <c r="M71" s="38" t="s">
        <v>344</v>
      </c>
      <c r="N71" s="40" t="s">
        <v>345</v>
      </c>
      <c r="O71" s="321"/>
      <c r="P71" s="322"/>
      <c r="Q71" s="6">
        <v>3</v>
      </c>
      <c r="R71" s="6">
        <v>1</v>
      </c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</row>
    <row r="72" spans="1:47" ht="45.75" hidden="1">
      <c r="A72" s="314" t="s">
        <v>178</v>
      </c>
      <c r="B72" s="315">
        <v>45951</v>
      </c>
      <c r="C72" s="6" t="s">
        <v>528</v>
      </c>
      <c r="D72" s="305" t="s">
        <v>529</v>
      </c>
      <c r="E72" t="s">
        <v>71</v>
      </c>
      <c r="F72" t="s">
        <v>72</v>
      </c>
      <c r="H72">
        <v>21</v>
      </c>
      <c r="I72" s="304">
        <v>1450</v>
      </c>
      <c r="J72" s="339" t="s">
        <v>68</v>
      </c>
      <c r="K72" s="71" t="s">
        <v>68</v>
      </c>
      <c r="L72" s="71" t="s">
        <v>73</v>
      </c>
      <c r="M72" s="64" t="s">
        <v>530</v>
      </c>
      <c r="N72" s="71" t="s">
        <v>531</v>
      </c>
      <c r="O72" s="336" t="s">
        <v>68</v>
      </c>
      <c r="P72" s="340" t="s">
        <v>532</v>
      </c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</row>
    <row r="73" spans="1:47" hidden="1">
      <c r="A73" s="314" t="s">
        <v>144</v>
      </c>
      <c r="B73" s="315">
        <v>45670</v>
      </c>
      <c r="C73" s="6" t="s">
        <v>346</v>
      </c>
      <c r="D73" s="305" t="s">
        <v>342</v>
      </c>
      <c r="E73" t="s">
        <v>71</v>
      </c>
      <c r="F73" t="s">
        <v>147</v>
      </c>
      <c r="G73" t="s">
        <v>343</v>
      </c>
      <c r="H73">
        <v>12</v>
      </c>
      <c r="I73" s="304">
        <v>360</v>
      </c>
      <c r="J73" s="330" t="s">
        <v>68</v>
      </c>
      <c r="K73" s="40" t="s">
        <v>68</v>
      </c>
      <c r="L73" s="40" t="s">
        <v>73</v>
      </c>
      <c r="M73" s="38" t="s">
        <v>347</v>
      </c>
      <c r="N73" s="40" t="s">
        <v>345</v>
      </c>
      <c r="O73" s="321"/>
      <c r="P73" s="322"/>
      <c r="Q73" s="6"/>
      <c r="R73" s="6"/>
      <c r="S73" s="6"/>
      <c r="T73" s="6"/>
      <c r="U73" s="6"/>
      <c r="V73" s="6"/>
      <c r="W73" s="6"/>
      <c r="X73" s="6"/>
      <c r="Y73" s="6"/>
      <c r="Z73" s="6">
        <v>12</v>
      </c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</row>
    <row r="74" spans="1:47" hidden="1">
      <c r="A74" s="314" t="s">
        <v>178</v>
      </c>
      <c r="B74" s="315">
        <v>45674</v>
      </c>
      <c r="C74" s="6" t="s">
        <v>348</v>
      </c>
      <c r="D74" s="305" t="s">
        <v>306</v>
      </c>
      <c r="E74" t="s">
        <v>71</v>
      </c>
      <c r="F74" t="s">
        <v>72</v>
      </c>
      <c r="G74" t="s">
        <v>349</v>
      </c>
      <c r="H74" t="s">
        <v>68</v>
      </c>
      <c r="I74" s="304">
        <v>2850</v>
      </c>
      <c r="J74" s="330" t="s">
        <v>68</v>
      </c>
      <c r="K74" s="40" t="s">
        <v>68</v>
      </c>
      <c r="L74" s="40" t="s">
        <v>73</v>
      </c>
      <c r="M74" s="38" t="s">
        <v>350</v>
      </c>
      <c r="N74" s="40" t="s">
        <v>351</v>
      </c>
      <c r="O74" s="321"/>
      <c r="P74" s="322"/>
      <c r="Q74" s="6">
        <v>2</v>
      </c>
      <c r="R74" s="6">
        <v>3</v>
      </c>
      <c r="S74" s="6">
        <v>1</v>
      </c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</row>
    <row r="75" spans="1:47" hidden="1">
      <c r="A75" s="314" t="s">
        <v>144</v>
      </c>
      <c r="B75" s="315">
        <v>45674</v>
      </c>
      <c r="C75" s="6" t="s">
        <v>352</v>
      </c>
      <c r="D75" s="305" t="s">
        <v>353</v>
      </c>
      <c r="E75" t="s">
        <v>71</v>
      </c>
      <c r="F75" t="s">
        <v>147</v>
      </c>
      <c r="G75" t="s">
        <v>354</v>
      </c>
      <c r="H75">
        <v>6</v>
      </c>
      <c r="I75" s="304" t="s">
        <v>68</v>
      </c>
      <c r="J75" s="330" t="s">
        <v>68</v>
      </c>
      <c r="K75" s="40" t="s">
        <v>68</v>
      </c>
      <c r="L75" s="40" t="s">
        <v>137</v>
      </c>
      <c r="M75" s="38" t="s">
        <v>355</v>
      </c>
      <c r="N75" s="40" t="s">
        <v>356</v>
      </c>
      <c r="O75" s="321"/>
      <c r="P75" s="322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</row>
    <row r="76" spans="1:47" hidden="1">
      <c r="A76" s="314" t="s">
        <v>357</v>
      </c>
      <c r="B76" s="315">
        <v>45680</v>
      </c>
      <c r="C76" s="6" t="s">
        <v>358</v>
      </c>
      <c r="D76" s="305" t="s">
        <v>359</v>
      </c>
      <c r="E76" t="s">
        <v>71</v>
      </c>
      <c r="F76" t="s">
        <v>72</v>
      </c>
      <c r="G76" t="s">
        <v>360</v>
      </c>
      <c r="H76">
        <v>2</v>
      </c>
      <c r="I76" s="304">
        <v>2800</v>
      </c>
      <c r="J76" s="330" t="s">
        <v>68</v>
      </c>
      <c r="K76" s="40" t="s">
        <v>68</v>
      </c>
      <c r="L76" s="40" t="s">
        <v>173</v>
      </c>
      <c r="M76" s="38" t="s">
        <v>361</v>
      </c>
      <c r="N76" s="40" t="s">
        <v>362</v>
      </c>
      <c r="O76" s="321"/>
      <c r="P76" s="322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</row>
    <row r="77" spans="1:47" hidden="1">
      <c r="A77" s="314" t="s">
        <v>144</v>
      </c>
      <c r="B77" s="315">
        <v>45688</v>
      </c>
      <c r="C77" s="6" t="s">
        <v>363</v>
      </c>
      <c r="D77" s="305" t="s">
        <v>342</v>
      </c>
      <c r="E77" t="s">
        <v>71</v>
      </c>
      <c r="F77" t="s">
        <v>72</v>
      </c>
      <c r="G77" t="s">
        <v>343</v>
      </c>
      <c r="H77">
        <v>1</v>
      </c>
      <c r="I77" s="304">
        <v>30</v>
      </c>
      <c r="J77" s="330" t="s">
        <v>68</v>
      </c>
      <c r="K77" s="40" t="s">
        <v>68</v>
      </c>
      <c r="L77" s="40" t="s">
        <v>137</v>
      </c>
      <c r="M77" s="38" t="s">
        <v>355</v>
      </c>
      <c r="N77" s="40" t="s">
        <v>356</v>
      </c>
      <c r="O77" s="321"/>
      <c r="P77" s="322"/>
      <c r="Q77" s="6"/>
      <c r="R77" s="6"/>
      <c r="S77" s="6"/>
      <c r="T77" s="6"/>
      <c r="U77" s="6"/>
      <c r="V77" s="6"/>
      <c r="W77" s="6"/>
      <c r="X77" s="6"/>
      <c r="Y77" s="6"/>
      <c r="Z77" s="6">
        <v>1</v>
      </c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</row>
    <row r="78" spans="1:47" hidden="1">
      <c r="A78" s="314" t="s">
        <v>144</v>
      </c>
      <c r="B78" s="315">
        <v>45688</v>
      </c>
      <c r="C78" s="6" t="s">
        <v>364</v>
      </c>
      <c r="D78" s="305" t="s">
        <v>342</v>
      </c>
      <c r="E78" t="s">
        <v>71</v>
      </c>
      <c r="F78" t="s">
        <v>72</v>
      </c>
      <c r="G78" t="s">
        <v>365</v>
      </c>
      <c r="H78">
        <v>1</v>
      </c>
      <c r="I78" s="304">
        <v>220</v>
      </c>
      <c r="J78" s="330" t="s">
        <v>68</v>
      </c>
      <c r="K78" s="40" t="s">
        <v>68</v>
      </c>
      <c r="L78" s="40" t="s">
        <v>137</v>
      </c>
      <c r="M78" s="38" t="s">
        <v>355</v>
      </c>
      <c r="N78" s="40" t="s">
        <v>356</v>
      </c>
      <c r="O78" s="321"/>
      <c r="P78" s="322"/>
      <c r="Q78" s="6"/>
      <c r="R78" s="6"/>
      <c r="S78" s="6">
        <v>1</v>
      </c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</row>
    <row r="79" spans="1:47" hidden="1">
      <c r="A79" s="314" t="s">
        <v>144</v>
      </c>
      <c r="B79" s="315">
        <v>45709</v>
      </c>
      <c r="C79" s="6" t="s">
        <v>366</v>
      </c>
      <c r="D79" s="305" t="s">
        <v>342</v>
      </c>
      <c r="E79" t="s">
        <v>71</v>
      </c>
      <c r="F79" t="s">
        <v>147</v>
      </c>
      <c r="G79" t="s">
        <v>354</v>
      </c>
      <c r="H79">
        <v>4</v>
      </c>
      <c r="I79" s="304">
        <v>215</v>
      </c>
      <c r="J79" s="330" t="s">
        <v>68</v>
      </c>
      <c r="K79" s="40" t="s">
        <v>68</v>
      </c>
      <c r="L79" s="40" t="s">
        <v>137</v>
      </c>
      <c r="M79" s="38" t="s">
        <v>355</v>
      </c>
      <c r="N79" s="40" t="s">
        <v>356</v>
      </c>
      <c r="O79" s="321"/>
      <c r="P79" s="322"/>
      <c r="Q79" s="6">
        <v>1</v>
      </c>
      <c r="R79" s="6">
        <v>2</v>
      </c>
      <c r="S79" s="6"/>
      <c r="T79" s="6">
        <v>1</v>
      </c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</row>
    <row r="80" spans="1:47" hidden="1">
      <c r="A80" s="314" t="s">
        <v>144</v>
      </c>
      <c r="B80" s="315">
        <v>45719</v>
      </c>
      <c r="C80" s="6" t="s">
        <v>367</v>
      </c>
      <c r="D80" s="305" t="s">
        <v>342</v>
      </c>
      <c r="E80" t="s">
        <v>71</v>
      </c>
      <c r="F80" t="s">
        <v>147</v>
      </c>
      <c r="H80">
        <v>3</v>
      </c>
      <c r="I80" s="304">
        <v>405</v>
      </c>
      <c r="J80" s="330" t="s">
        <v>68</v>
      </c>
      <c r="K80" s="40" t="s">
        <v>68</v>
      </c>
      <c r="L80" s="40" t="s">
        <v>137</v>
      </c>
      <c r="M80" s="38" t="s">
        <v>355</v>
      </c>
      <c r="N80" s="40" t="s">
        <v>356</v>
      </c>
      <c r="O80" s="321"/>
      <c r="P80" s="322"/>
      <c r="Q80" s="6">
        <v>1</v>
      </c>
      <c r="R80" s="6"/>
      <c r="S80" s="6"/>
      <c r="T80" s="6"/>
      <c r="U80" s="6"/>
      <c r="V80" s="6"/>
      <c r="W80" s="6"/>
      <c r="X80" s="6"/>
      <c r="Y80" s="6">
        <v>2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</row>
    <row r="81" spans="1:47" hidden="1">
      <c r="A81" s="314" t="s">
        <v>103</v>
      </c>
      <c r="B81" s="315">
        <v>45722</v>
      </c>
      <c r="C81" s="6" t="s">
        <v>368</v>
      </c>
      <c r="D81" s="305" t="s">
        <v>105</v>
      </c>
      <c r="E81" t="s">
        <v>71</v>
      </c>
      <c r="F81" t="s">
        <v>72</v>
      </c>
      <c r="G81" t="s">
        <v>68</v>
      </c>
      <c r="H81">
        <v>1</v>
      </c>
      <c r="I81" s="304">
        <v>40</v>
      </c>
      <c r="J81" s="330" t="s">
        <v>68</v>
      </c>
      <c r="K81" s="40" t="s">
        <v>68</v>
      </c>
      <c r="L81" s="40" t="s">
        <v>73</v>
      </c>
      <c r="M81" s="38" t="s">
        <v>369</v>
      </c>
      <c r="N81" s="40" t="s">
        <v>370</v>
      </c>
      <c r="O81" s="321"/>
      <c r="P81" s="322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</row>
    <row r="82" spans="1:47" hidden="1">
      <c r="A82" s="314" t="s">
        <v>103</v>
      </c>
      <c r="B82" s="315">
        <v>45722</v>
      </c>
      <c r="C82" s="6" t="s">
        <v>533</v>
      </c>
      <c r="D82" s="305" t="s">
        <v>105</v>
      </c>
      <c r="E82" t="s">
        <v>71</v>
      </c>
      <c r="F82" t="s">
        <v>72</v>
      </c>
      <c r="G82" t="s">
        <v>68</v>
      </c>
      <c r="H82">
        <v>1</v>
      </c>
      <c r="I82" s="304">
        <v>40</v>
      </c>
      <c r="J82" s="330" t="s">
        <v>68</v>
      </c>
      <c r="K82" s="40" t="s">
        <v>68</v>
      </c>
      <c r="L82" s="40" t="s">
        <v>73</v>
      </c>
      <c r="M82" s="38" t="s">
        <v>372</v>
      </c>
      <c r="N82" s="40" t="s">
        <v>373</v>
      </c>
      <c r="O82" s="321"/>
      <c r="P82" s="322"/>
      <c r="Q82" s="6">
        <v>2</v>
      </c>
      <c r="R82" s="6">
        <v>2</v>
      </c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</row>
    <row r="83" spans="1:47" hidden="1">
      <c r="A83" s="314" t="s">
        <v>144</v>
      </c>
      <c r="B83" s="315">
        <v>45723</v>
      </c>
      <c r="C83" s="6" t="s">
        <v>374</v>
      </c>
      <c r="D83" s="305" t="s">
        <v>342</v>
      </c>
      <c r="E83" t="s">
        <v>71</v>
      </c>
      <c r="F83" t="s">
        <v>147</v>
      </c>
      <c r="G83" t="s">
        <v>375</v>
      </c>
      <c r="H83">
        <v>3</v>
      </c>
      <c r="I83" s="304" t="s">
        <v>68</v>
      </c>
      <c r="J83" s="330" t="s">
        <v>68</v>
      </c>
      <c r="K83" s="40" t="s">
        <v>68</v>
      </c>
      <c r="L83" s="40" t="s">
        <v>137</v>
      </c>
      <c r="M83" s="38" t="s">
        <v>355</v>
      </c>
      <c r="N83" s="40" t="s">
        <v>356</v>
      </c>
      <c r="O83" s="321"/>
      <c r="P83" s="322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</row>
    <row r="84" spans="1:47" hidden="1">
      <c r="A84" s="314" t="s">
        <v>115</v>
      </c>
      <c r="B84" s="315">
        <v>45728</v>
      </c>
      <c r="C84" s="6" t="s">
        <v>376</v>
      </c>
      <c r="D84" s="305" t="s">
        <v>203</v>
      </c>
      <c r="E84" t="s">
        <v>71</v>
      </c>
      <c r="F84" t="s">
        <v>72</v>
      </c>
      <c r="I84" s="304">
        <v>2300</v>
      </c>
      <c r="J84" s="330" t="s">
        <v>68</v>
      </c>
      <c r="K84" s="40" t="s">
        <v>68</v>
      </c>
      <c r="L84" s="40" t="s">
        <v>73</v>
      </c>
      <c r="M84" s="38" t="s">
        <v>378</v>
      </c>
      <c r="N84" s="40" t="s">
        <v>379</v>
      </c>
      <c r="O84" s="321"/>
      <c r="P84" s="323" t="s">
        <v>377</v>
      </c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</row>
    <row r="85" spans="1:47" hidden="1">
      <c r="A85" s="314" t="s">
        <v>380</v>
      </c>
      <c r="B85" s="315">
        <v>45730</v>
      </c>
      <c r="C85" s="6" t="s">
        <v>381</v>
      </c>
      <c r="D85" s="305" t="s">
        <v>382</v>
      </c>
      <c r="E85" t="s">
        <v>71</v>
      </c>
      <c r="F85" t="s">
        <v>72</v>
      </c>
      <c r="G85" t="s">
        <v>383</v>
      </c>
      <c r="H85">
        <v>3</v>
      </c>
      <c r="I85" s="304">
        <v>850</v>
      </c>
      <c r="J85" s="330" t="s">
        <v>68</v>
      </c>
      <c r="K85" s="40" t="s">
        <v>68</v>
      </c>
      <c r="L85" s="40" t="s">
        <v>173</v>
      </c>
      <c r="M85" s="38" t="s">
        <v>384</v>
      </c>
      <c r="N85" s="40" t="s">
        <v>385</v>
      </c>
      <c r="O85" s="321"/>
      <c r="P85" s="322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>
        <v>2</v>
      </c>
      <c r="AM85" s="6">
        <v>1</v>
      </c>
      <c r="AN85" s="6"/>
      <c r="AO85" s="6"/>
      <c r="AP85" s="6"/>
      <c r="AQ85" s="6"/>
      <c r="AR85" s="6"/>
      <c r="AS85" s="6"/>
      <c r="AT85" s="6"/>
      <c r="AU85" s="6"/>
    </row>
    <row r="86" spans="1:47" hidden="1">
      <c r="A86" s="314" t="s">
        <v>178</v>
      </c>
      <c r="B86" s="315">
        <v>45736</v>
      </c>
      <c r="C86" s="6" t="s">
        <v>386</v>
      </c>
      <c r="D86" s="305" t="s">
        <v>306</v>
      </c>
      <c r="E86" t="s">
        <v>71</v>
      </c>
      <c r="F86" t="s">
        <v>72</v>
      </c>
      <c r="G86" t="s">
        <v>387</v>
      </c>
      <c r="H86">
        <v>3</v>
      </c>
      <c r="I86" s="304">
        <v>560</v>
      </c>
      <c r="J86" s="330" t="s">
        <v>68</v>
      </c>
      <c r="K86" s="40" t="s">
        <v>68</v>
      </c>
      <c r="L86" s="40" t="s">
        <v>73</v>
      </c>
      <c r="M86" s="38" t="s">
        <v>388</v>
      </c>
      <c r="N86" s="40" t="s">
        <v>351</v>
      </c>
      <c r="O86" s="321"/>
      <c r="P86" s="322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</row>
    <row r="87" spans="1:47" hidden="1">
      <c r="A87" s="314" t="s">
        <v>144</v>
      </c>
      <c r="B87" s="315">
        <v>45757</v>
      </c>
      <c r="C87" s="6" t="s">
        <v>389</v>
      </c>
      <c r="D87" s="305" t="s">
        <v>342</v>
      </c>
      <c r="E87" t="s">
        <v>71</v>
      </c>
      <c r="F87" t="s">
        <v>147</v>
      </c>
      <c r="G87" t="s">
        <v>390</v>
      </c>
      <c r="H87">
        <v>54</v>
      </c>
      <c r="I87" s="304">
        <v>1080</v>
      </c>
      <c r="J87" s="330" t="s">
        <v>68</v>
      </c>
      <c r="K87" s="40" t="s">
        <v>68</v>
      </c>
      <c r="L87" s="40" t="s">
        <v>137</v>
      </c>
      <c r="M87" s="38" t="s">
        <v>355</v>
      </c>
      <c r="N87" s="40" t="s">
        <v>356</v>
      </c>
      <c r="O87" s="321"/>
      <c r="P87" s="322"/>
      <c r="Q87" s="6"/>
      <c r="R87" s="6">
        <v>36</v>
      </c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</row>
    <row r="88" spans="1:47" hidden="1">
      <c r="A88" s="314" t="s">
        <v>178</v>
      </c>
      <c r="B88" s="315">
        <v>45761</v>
      </c>
      <c r="C88" s="6" t="s">
        <v>391</v>
      </c>
      <c r="D88" s="305" t="s">
        <v>306</v>
      </c>
      <c r="E88" t="s">
        <v>71</v>
      </c>
      <c r="F88" t="s">
        <v>72</v>
      </c>
      <c r="G88" t="s">
        <v>392</v>
      </c>
      <c r="I88" s="304">
        <v>350</v>
      </c>
      <c r="J88" s="330" t="s">
        <v>68</v>
      </c>
      <c r="K88" s="40" t="s">
        <v>68</v>
      </c>
      <c r="L88" s="40" t="s">
        <v>73</v>
      </c>
      <c r="M88" s="38" t="s">
        <v>388</v>
      </c>
      <c r="N88" s="40" t="s">
        <v>351</v>
      </c>
      <c r="O88" s="321"/>
      <c r="P88" s="322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</row>
    <row r="89" spans="1:47" hidden="1">
      <c r="A89" s="314" t="s">
        <v>144</v>
      </c>
      <c r="B89" s="315">
        <v>45762</v>
      </c>
      <c r="C89" s="6" t="s">
        <v>393</v>
      </c>
      <c r="D89" s="305" t="s">
        <v>342</v>
      </c>
      <c r="E89" t="s">
        <v>71</v>
      </c>
      <c r="F89" t="s">
        <v>147</v>
      </c>
      <c r="G89" t="s">
        <v>394</v>
      </c>
      <c r="H89">
        <v>2</v>
      </c>
      <c r="I89" s="304">
        <v>80</v>
      </c>
      <c r="J89" s="330" t="s">
        <v>68</v>
      </c>
      <c r="K89" s="40" t="s">
        <v>68</v>
      </c>
      <c r="L89" s="40" t="s">
        <v>137</v>
      </c>
      <c r="M89" s="38" t="s">
        <v>355</v>
      </c>
      <c r="N89" s="40" t="s">
        <v>356</v>
      </c>
      <c r="O89" s="321"/>
      <c r="P89" s="322"/>
      <c r="Q89" s="6"/>
      <c r="R89" s="6">
        <v>1</v>
      </c>
      <c r="S89" s="6"/>
      <c r="T89" s="6">
        <v>1</v>
      </c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</row>
    <row r="90" spans="1:47" hidden="1">
      <c r="A90" s="314" t="s">
        <v>115</v>
      </c>
      <c r="B90" s="315">
        <v>45770</v>
      </c>
      <c r="C90" s="6" t="s">
        <v>395</v>
      </c>
      <c r="D90" s="305" t="s">
        <v>203</v>
      </c>
      <c r="E90" t="s">
        <v>71</v>
      </c>
      <c r="F90" t="s">
        <v>72</v>
      </c>
      <c r="I90" s="304">
        <v>5000</v>
      </c>
      <c r="J90" s="330" t="s">
        <v>68</v>
      </c>
      <c r="K90" s="40" t="s">
        <v>68</v>
      </c>
      <c r="L90" s="40" t="s">
        <v>73</v>
      </c>
      <c r="M90" s="38" t="s">
        <v>396</v>
      </c>
      <c r="N90" s="40" t="s">
        <v>379</v>
      </c>
      <c r="O90" s="321"/>
      <c r="P90" s="322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</row>
    <row r="91" spans="1:47" hidden="1">
      <c r="A91" s="314" t="s">
        <v>178</v>
      </c>
      <c r="B91" s="315">
        <v>45774</v>
      </c>
      <c r="C91" s="6" t="s">
        <v>397</v>
      </c>
      <c r="D91" s="305" t="s">
        <v>306</v>
      </c>
      <c r="E91" t="s">
        <v>71</v>
      </c>
      <c r="F91" t="s">
        <v>72</v>
      </c>
      <c r="H91">
        <v>3</v>
      </c>
      <c r="I91" s="304">
        <v>1500</v>
      </c>
      <c r="J91" s="330" t="s">
        <v>68</v>
      </c>
      <c r="K91" s="40" t="s">
        <v>68</v>
      </c>
      <c r="L91" s="40" t="s">
        <v>73</v>
      </c>
      <c r="M91" s="38" t="s">
        <v>388</v>
      </c>
      <c r="N91" s="40" t="s">
        <v>351</v>
      </c>
      <c r="O91" s="321"/>
      <c r="P91" s="322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</row>
    <row r="92" spans="1:47" hidden="1">
      <c r="A92" s="314" t="s">
        <v>451</v>
      </c>
      <c r="B92" s="315">
        <v>45782</v>
      </c>
      <c r="C92" s="6" t="s">
        <v>399</v>
      </c>
      <c r="D92" s="305" t="s">
        <v>400</v>
      </c>
      <c r="E92" s="38" t="s">
        <v>401</v>
      </c>
      <c r="F92" t="s">
        <v>72</v>
      </c>
      <c r="I92" s="304">
        <v>1400</v>
      </c>
      <c r="J92" s="330" t="s">
        <v>68</v>
      </c>
      <c r="K92" s="40" t="s">
        <v>68</v>
      </c>
      <c r="L92" s="40" t="s">
        <v>73</v>
      </c>
      <c r="M92" s="38" t="s">
        <v>402</v>
      </c>
      <c r="N92" s="40" t="s">
        <v>403</v>
      </c>
      <c r="O92" s="321"/>
      <c r="P92" s="322"/>
      <c r="Q92" s="6"/>
      <c r="R92" s="6">
        <v>20</v>
      </c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</row>
    <row r="93" spans="1:47" hidden="1">
      <c r="A93" s="314" t="s">
        <v>144</v>
      </c>
      <c r="B93" s="315">
        <v>45785</v>
      </c>
      <c r="C93" s="6" t="s">
        <v>404</v>
      </c>
      <c r="D93" s="305" t="s">
        <v>342</v>
      </c>
      <c r="E93" t="s">
        <v>71</v>
      </c>
      <c r="F93" t="s">
        <v>147</v>
      </c>
      <c r="G93" t="s">
        <v>390</v>
      </c>
      <c r="H93">
        <v>20</v>
      </c>
      <c r="I93" s="304" t="s">
        <v>68</v>
      </c>
      <c r="J93" s="330" t="s">
        <v>68</v>
      </c>
      <c r="K93" s="40" t="s">
        <v>68</v>
      </c>
      <c r="L93" s="40" t="s">
        <v>137</v>
      </c>
      <c r="M93" s="38" t="s">
        <v>405</v>
      </c>
      <c r="N93" s="40" t="s">
        <v>406</v>
      </c>
      <c r="O93" s="321"/>
      <c r="P93" s="322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</row>
    <row r="94" spans="1:47" hidden="1">
      <c r="A94" s="314" t="s">
        <v>144</v>
      </c>
      <c r="B94" s="315">
        <v>45792</v>
      </c>
      <c r="C94" s="6" t="s">
        <v>407</v>
      </c>
      <c r="D94" s="305" t="s">
        <v>342</v>
      </c>
      <c r="E94" t="s">
        <v>71</v>
      </c>
      <c r="F94" t="s">
        <v>147</v>
      </c>
      <c r="G94" t="s">
        <v>408</v>
      </c>
      <c r="H94">
        <v>17</v>
      </c>
      <c r="I94" s="304" t="s">
        <v>68</v>
      </c>
      <c r="J94" s="330" t="s">
        <v>68</v>
      </c>
      <c r="K94" s="40" t="s">
        <v>68</v>
      </c>
      <c r="L94" s="40" t="s">
        <v>137</v>
      </c>
      <c r="M94" s="38" t="s">
        <v>405</v>
      </c>
      <c r="N94" s="40" t="s">
        <v>406</v>
      </c>
      <c r="O94" s="321"/>
      <c r="P94" s="322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</row>
    <row r="95" spans="1:47" hidden="1">
      <c r="A95" s="314" t="s">
        <v>357</v>
      </c>
      <c r="B95" s="315">
        <v>45796</v>
      </c>
      <c r="C95" s="6" t="s">
        <v>409</v>
      </c>
      <c r="D95" s="305" t="s">
        <v>410</v>
      </c>
      <c r="E95" t="s">
        <v>71</v>
      </c>
      <c r="F95" t="s">
        <v>72</v>
      </c>
      <c r="G95" t="s">
        <v>411</v>
      </c>
      <c r="H95">
        <v>1</v>
      </c>
      <c r="I95" s="304">
        <v>2250</v>
      </c>
      <c r="J95" s="330" t="s">
        <v>68</v>
      </c>
      <c r="K95" s="40" t="s">
        <v>68</v>
      </c>
      <c r="L95" s="40" t="s">
        <v>173</v>
      </c>
      <c r="M95" s="38" t="s">
        <v>412</v>
      </c>
      <c r="N95" s="40" t="s">
        <v>413</v>
      </c>
      <c r="O95" s="321"/>
      <c r="P95" s="322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</row>
    <row r="96" spans="1:47" hidden="1">
      <c r="A96" s="314" t="s">
        <v>209</v>
      </c>
      <c r="B96" s="315">
        <v>45804</v>
      </c>
      <c r="C96" s="6" t="s">
        <v>414</v>
      </c>
      <c r="D96" s="305" t="s">
        <v>211</v>
      </c>
      <c r="E96" t="s">
        <v>71</v>
      </c>
      <c r="F96" t="s">
        <v>72</v>
      </c>
      <c r="G96" t="s">
        <v>68</v>
      </c>
      <c r="H96">
        <v>1</v>
      </c>
      <c r="I96" s="304">
        <v>24250</v>
      </c>
      <c r="J96" s="330" t="s">
        <v>68</v>
      </c>
      <c r="K96" s="40">
        <v>2505065</v>
      </c>
      <c r="L96" s="40" t="s">
        <v>73</v>
      </c>
      <c r="M96" s="38" t="s">
        <v>415</v>
      </c>
      <c r="N96" s="40" t="s">
        <v>416</v>
      </c>
      <c r="O96" s="321"/>
      <c r="P96" s="322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</row>
    <row r="97" spans="1:47" ht="30.75" hidden="1">
      <c r="A97" s="316" t="s">
        <v>534</v>
      </c>
      <c r="B97" s="315">
        <v>45810</v>
      </c>
      <c r="C97" s="6" t="s">
        <v>428</v>
      </c>
      <c r="D97" s="305" t="s">
        <v>429</v>
      </c>
      <c r="E97" t="s">
        <v>71</v>
      </c>
      <c r="F97" t="s">
        <v>430</v>
      </c>
      <c r="G97" t="s">
        <v>431</v>
      </c>
      <c r="H97">
        <v>1</v>
      </c>
      <c r="I97" s="324">
        <v>500</v>
      </c>
      <c r="J97" s="330" t="s">
        <v>68</v>
      </c>
      <c r="K97" s="40" t="s">
        <v>68</v>
      </c>
      <c r="L97" s="40" t="s">
        <v>73</v>
      </c>
      <c r="M97" s="38" t="s">
        <v>432</v>
      </c>
      <c r="N97" s="40" t="s">
        <v>433</v>
      </c>
      <c r="O97" s="321"/>
      <c r="P97" s="322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</row>
    <row r="98" spans="1:47" hidden="1">
      <c r="A98" s="314" t="s">
        <v>417</v>
      </c>
      <c r="B98" s="315">
        <v>45810</v>
      </c>
      <c r="C98" s="6" t="s">
        <v>418</v>
      </c>
      <c r="D98" s="305" t="s">
        <v>419</v>
      </c>
      <c r="E98" t="s">
        <v>71</v>
      </c>
      <c r="F98" t="s">
        <v>72</v>
      </c>
      <c r="G98" t="s">
        <v>420</v>
      </c>
      <c r="H98" t="s">
        <v>68</v>
      </c>
      <c r="I98" s="304">
        <v>2900</v>
      </c>
      <c r="J98" s="330" t="s">
        <v>68</v>
      </c>
      <c r="K98" s="40" t="s">
        <v>68</v>
      </c>
      <c r="L98" s="40" t="s">
        <v>73</v>
      </c>
      <c r="M98" s="38" t="s">
        <v>421</v>
      </c>
      <c r="N98" s="40" t="s">
        <v>422</v>
      </c>
      <c r="O98" s="321"/>
      <c r="P98" s="322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</row>
    <row r="99" spans="1:47" hidden="1">
      <c r="A99" s="314" t="s">
        <v>423</v>
      </c>
      <c r="B99" s="315">
        <v>45810</v>
      </c>
      <c r="C99" s="6" t="s">
        <v>424</v>
      </c>
      <c r="D99" s="305" t="s">
        <v>419</v>
      </c>
      <c r="E99" t="s">
        <v>71</v>
      </c>
      <c r="G99" t="s">
        <v>425</v>
      </c>
      <c r="H99" t="s">
        <v>68</v>
      </c>
      <c r="I99" s="304" t="s">
        <v>426</v>
      </c>
      <c r="J99" s="330" t="s">
        <v>68</v>
      </c>
      <c r="K99" s="40" t="s">
        <v>68</v>
      </c>
      <c r="L99" s="40" t="s">
        <v>68</v>
      </c>
      <c r="M99" s="38" t="s">
        <v>68</v>
      </c>
      <c r="N99" s="40" t="s">
        <v>68</v>
      </c>
      <c r="O99" s="321" t="s">
        <v>68</v>
      </c>
      <c r="P99" s="322" t="s">
        <v>68</v>
      </c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</row>
    <row r="100" spans="1:47" ht="60.75" hidden="1">
      <c r="A100" s="314" t="s">
        <v>436</v>
      </c>
      <c r="B100" s="315">
        <v>45813</v>
      </c>
      <c r="C100" s="6" t="s">
        <v>437</v>
      </c>
      <c r="D100" s="305" t="s">
        <v>438</v>
      </c>
      <c r="E100" t="s">
        <v>71</v>
      </c>
      <c r="F100" t="s">
        <v>72</v>
      </c>
      <c r="I100" s="304">
        <f>400+800+(32*340)</f>
        <v>12080</v>
      </c>
      <c r="J100" s="330" t="s">
        <v>68</v>
      </c>
      <c r="K100" s="40" t="s">
        <v>68</v>
      </c>
      <c r="L100" s="40" t="s">
        <v>73</v>
      </c>
      <c r="M100" s="38" t="s">
        <v>535</v>
      </c>
      <c r="N100" s="40" t="s">
        <v>536</v>
      </c>
      <c r="O100" s="321"/>
      <c r="P100" s="322" t="s">
        <v>440</v>
      </c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</row>
    <row r="101" spans="1:47" hidden="1">
      <c r="A101" s="314" t="s">
        <v>178</v>
      </c>
      <c r="B101" s="315">
        <v>45980</v>
      </c>
      <c r="C101" s="6" t="s">
        <v>537</v>
      </c>
      <c r="D101" s="305" t="s">
        <v>538</v>
      </c>
      <c r="E101" t="s">
        <v>71</v>
      </c>
      <c r="F101" t="s">
        <v>72</v>
      </c>
      <c r="G101" s="34" t="s">
        <v>539</v>
      </c>
      <c r="H101">
        <v>2</v>
      </c>
      <c r="I101" s="304">
        <f>260+90</f>
        <v>350</v>
      </c>
      <c r="J101" s="330"/>
      <c r="K101" s="40"/>
      <c r="L101" s="40" t="s">
        <v>73</v>
      </c>
      <c r="M101" s="38" t="s">
        <v>540</v>
      </c>
      <c r="N101" s="40" t="s">
        <v>531</v>
      </c>
      <c r="O101" s="321"/>
      <c r="P101" s="322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>
        <v>2</v>
      </c>
      <c r="AN101" s="6"/>
      <c r="AO101" s="6"/>
      <c r="AP101" s="6"/>
      <c r="AQ101" s="6"/>
      <c r="AR101" s="6"/>
      <c r="AS101" s="6"/>
      <c r="AT101" s="6"/>
      <c r="AU101" s="6"/>
    </row>
    <row r="102" spans="1:47" hidden="1">
      <c r="A102" s="314" t="s">
        <v>451</v>
      </c>
      <c r="B102" s="315">
        <v>45813</v>
      </c>
      <c r="C102" s="6" t="s">
        <v>434</v>
      </c>
      <c r="D102" s="305" t="s">
        <v>400</v>
      </c>
      <c r="E102" s="38" t="s">
        <v>401</v>
      </c>
      <c r="F102" t="s">
        <v>72</v>
      </c>
      <c r="I102" s="304">
        <v>1400</v>
      </c>
      <c r="J102" s="330" t="s">
        <v>68</v>
      </c>
      <c r="K102" s="40" t="s">
        <v>68</v>
      </c>
      <c r="L102" s="40" t="s">
        <v>73</v>
      </c>
      <c r="M102" s="38" t="s">
        <v>435</v>
      </c>
      <c r="N102" s="40" t="s">
        <v>403</v>
      </c>
      <c r="O102" s="321"/>
      <c r="P102" s="322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</row>
    <row r="103" spans="1:47" ht="30.75" hidden="1">
      <c r="A103" s="314" t="s">
        <v>478</v>
      </c>
      <c r="B103" s="315">
        <v>45904</v>
      </c>
      <c r="C103" s="6" t="s">
        <v>541</v>
      </c>
      <c r="D103" s="305" t="s">
        <v>472</v>
      </c>
      <c r="E103" t="s">
        <v>71</v>
      </c>
      <c r="F103" t="s">
        <v>72</v>
      </c>
      <c r="G103" t="s">
        <v>542</v>
      </c>
      <c r="H103">
        <v>3</v>
      </c>
      <c r="I103" s="304">
        <v>1500</v>
      </c>
      <c r="J103" s="330" t="s">
        <v>68</v>
      </c>
      <c r="K103" s="40" t="s">
        <v>68</v>
      </c>
      <c r="L103" s="40" t="s">
        <v>543</v>
      </c>
      <c r="M103" s="38" t="s">
        <v>544</v>
      </c>
      <c r="N103" s="40" t="s">
        <v>545</v>
      </c>
      <c r="O103" s="321"/>
      <c r="P103" s="322" t="s">
        <v>546</v>
      </c>
      <c r="Q103" s="6">
        <v>1</v>
      </c>
      <c r="R103" s="6">
        <v>1</v>
      </c>
      <c r="S103" s="6"/>
      <c r="T103" s="6"/>
      <c r="U103" s="6"/>
      <c r="V103" s="6"/>
      <c r="W103" s="6"/>
      <c r="X103" s="6"/>
      <c r="Y103" s="6">
        <v>1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</row>
    <row r="104" spans="1:47" ht="30.75" hidden="1">
      <c r="A104" s="316" t="s">
        <v>534</v>
      </c>
      <c r="B104" s="315">
        <v>45840</v>
      </c>
      <c r="C104" s="6" t="s">
        <v>463</v>
      </c>
      <c r="D104" s="305" t="s">
        <v>429</v>
      </c>
      <c r="E104" t="s">
        <v>71</v>
      </c>
      <c r="F104" t="s">
        <v>430</v>
      </c>
      <c r="G104" t="s">
        <v>431</v>
      </c>
      <c r="H104">
        <v>2</v>
      </c>
      <c r="I104" s="324">
        <v>1000</v>
      </c>
      <c r="J104" s="330" t="s">
        <v>68</v>
      </c>
      <c r="K104" s="40" t="s">
        <v>68</v>
      </c>
      <c r="L104" s="2" t="s">
        <v>73</v>
      </c>
      <c r="M104" s="38" t="s">
        <v>464</v>
      </c>
      <c r="N104" s="40" t="s">
        <v>465</v>
      </c>
      <c r="O104" s="321"/>
      <c r="P104" s="322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</row>
    <row r="105" spans="1:47" hidden="1">
      <c r="A105" s="314" t="s">
        <v>103</v>
      </c>
      <c r="B105" s="315">
        <v>45842</v>
      </c>
      <c r="C105" s="6" t="s">
        <v>443</v>
      </c>
      <c r="D105" s="305" t="s">
        <v>105</v>
      </c>
      <c r="E105" t="s">
        <v>71</v>
      </c>
      <c r="F105" t="s">
        <v>72</v>
      </c>
      <c r="G105" t="s">
        <v>68</v>
      </c>
      <c r="H105">
        <v>1</v>
      </c>
      <c r="I105" s="304">
        <v>40</v>
      </c>
      <c r="J105" s="330" t="s">
        <v>68</v>
      </c>
      <c r="K105" s="40" t="s">
        <v>68</v>
      </c>
      <c r="L105" s="40" t="s">
        <v>73</v>
      </c>
      <c r="M105" s="38" t="s">
        <v>444</v>
      </c>
      <c r="N105" s="40" t="s">
        <v>445</v>
      </c>
      <c r="O105" s="321"/>
      <c r="P105" s="322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</row>
    <row r="106" spans="1:47" hidden="1">
      <c r="A106" s="314" t="s">
        <v>451</v>
      </c>
      <c r="B106" s="315">
        <v>45843</v>
      </c>
      <c r="C106" s="6" t="s">
        <v>446</v>
      </c>
      <c r="D106" s="305" t="s">
        <v>400</v>
      </c>
      <c r="E106" s="38" t="s">
        <v>401</v>
      </c>
      <c r="F106" t="s">
        <v>72</v>
      </c>
      <c r="I106" s="304">
        <v>1400</v>
      </c>
      <c r="J106" s="330" t="s">
        <v>68</v>
      </c>
      <c r="K106" s="40" t="s">
        <v>68</v>
      </c>
      <c r="L106" s="40" t="s">
        <v>73</v>
      </c>
      <c r="M106" s="38" t="s">
        <v>447</v>
      </c>
      <c r="N106" s="40" t="s">
        <v>448</v>
      </c>
      <c r="O106" s="321"/>
      <c r="P106" s="322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</row>
    <row r="107" spans="1:47" hidden="1">
      <c r="A107" s="314" t="s">
        <v>451</v>
      </c>
      <c r="B107" s="315">
        <v>45874</v>
      </c>
      <c r="C107" s="6" t="s">
        <v>449</v>
      </c>
      <c r="D107" s="305" t="s">
        <v>400</v>
      </c>
      <c r="E107" s="38" t="s">
        <v>401</v>
      </c>
      <c r="F107" t="s">
        <v>72</v>
      </c>
      <c r="I107" s="304">
        <v>1400</v>
      </c>
      <c r="J107" s="330" t="s">
        <v>68</v>
      </c>
      <c r="K107" s="40" t="s">
        <v>68</v>
      </c>
      <c r="L107" s="326" t="s">
        <v>73</v>
      </c>
      <c r="M107" s="38" t="s">
        <v>450</v>
      </c>
      <c r="N107" s="40" t="s">
        <v>547</v>
      </c>
      <c r="O107" s="321"/>
      <c r="P107" s="322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</row>
    <row r="108" spans="1:47" hidden="1">
      <c r="A108" s="314" t="s">
        <v>451</v>
      </c>
      <c r="B108" s="315">
        <v>45874</v>
      </c>
      <c r="C108" s="6" t="s">
        <v>461</v>
      </c>
      <c r="D108" s="305" t="s">
        <v>400</v>
      </c>
      <c r="E108" t="s">
        <v>71</v>
      </c>
      <c r="F108" t="s">
        <v>72</v>
      </c>
      <c r="I108" s="304">
        <v>330</v>
      </c>
      <c r="J108" s="330" t="s">
        <v>68</v>
      </c>
      <c r="K108" s="40" t="s">
        <v>68</v>
      </c>
      <c r="L108" s="71" t="s">
        <v>73</v>
      </c>
      <c r="M108" s="64" t="s">
        <v>462</v>
      </c>
      <c r="N108" s="71" t="s">
        <v>548</v>
      </c>
      <c r="O108" s="336"/>
      <c r="P108" s="33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</row>
    <row r="109" spans="1:47" hidden="1">
      <c r="A109" s="314" t="s">
        <v>549</v>
      </c>
      <c r="B109" s="315">
        <v>45989</v>
      </c>
      <c r="C109" s="6" t="s">
        <v>550</v>
      </c>
      <c r="D109" s="305" t="s">
        <v>551</v>
      </c>
      <c r="E109" t="s">
        <v>439</v>
      </c>
      <c r="F109" t="s">
        <v>552</v>
      </c>
      <c r="G109" s="34" t="s">
        <v>549</v>
      </c>
      <c r="I109" s="304">
        <v>2666.67</v>
      </c>
      <c r="J109" s="348" t="s">
        <v>553</v>
      </c>
      <c r="K109" s="71" t="s">
        <v>68</v>
      </c>
      <c r="L109" s="71" t="s">
        <v>73</v>
      </c>
      <c r="M109" s="64" t="s">
        <v>554</v>
      </c>
      <c r="N109" s="71" t="s">
        <v>555</v>
      </c>
      <c r="O109" s="336"/>
      <c r="P109" s="337" t="s">
        <v>556</v>
      </c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</row>
    <row r="110" spans="1:47" hidden="1">
      <c r="A110" s="314" t="s">
        <v>474</v>
      </c>
      <c r="B110" s="315">
        <v>45896</v>
      </c>
      <c r="C110" s="6" t="s">
        <v>475</v>
      </c>
      <c r="D110" s="305" t="s">
        <v>476</v>
      </c>
      <c r="E110" t="s">
        <v>71</v>
      </c>
      <c r="F110" t="s">
        <v>72</v>
      </c>
      <c r="G110" t="s">
        <v>477</v>
      </c>
      <c r="H110">
        <v>1</v>
      </c>
      <c r="I110" s="304">
        <v>250</v>
      </c>
      <c r="J110" s="330" t="s">
        <v>68</v>
      </c>
      <c r="K110" s="40" t="s">
        <v>68</v>
      </c>
      <c r="L110" s="327" t="s">
        <v>557</v>
      </c>
      <c r="M110" s="38" t="s">
        <v>558</v>
      </c>
      <c r="N110" s="40" t="s">
        <v>559</v>
      </c>
      <c r="O110" s="321"/>
      <c r="P110" s="322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</row>
    <row r="111" spans="1:47" hidden="1">
      <c r="A111" s="314" t="s">
        <v>560</v>
      </c>
      <c r="B111" s="315">
        <v>45947</v>
      </c>
      <c r="C111" s="6" t="s">
        <v>561</v>
      </c>
      <c r="D111" s="305" t="s">
        <v>419</v>
      </c>
      <c r="E111" t="s">
        <v>71</v>
      </c>
      <c r="F111" t="s">
        <v>72</v>
      </c>
      <c r="G111" s="34" t="s">
        <v>562</v>
      </c>
      <c r="I111" s="304">
        <v>800</v>
      </c>
      <c r="J111" s="339"/>
      <c r="K111" s="71" t="s">
        <v>563</v>
      </c>
      <c r="L111" s="71" t="s">
        <v>564</v>
      </c>
      <c r="M111" s="64" t="s">
        <v>565</v>
      </c>
      <c r="N111" s="71" t="s">
        <v>566</v>
      </c>
      <c r="O111" s="336"/>
      <c r="P111" s="337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</row>
    <row r="112" spans="1:47" hidden="1">
      <c r="A112" s="314" t="s">
        <v>451</v>
      </c>
      <c r="B112" s="315">
        <v>45905</v>
      </c>
      <c r="C112" s="6" t="s">
        <v>452</v>
      </c>
      <c r="D112" s="305" t="s">
        <v>400</v>
      </c>
      <c r="E112" s="38" t="s">
        <v>401</v>
      </c>
      <c r="F112" t="s">
        <v>72</v>
      </c>
      <c r="I112" s="304">
        <v>1400</v>
      </c>
      <c r="J112" s="330" t="s">
        <v>68</v>
      </c>
      <c r="K112" s="40" t="s">
        <v>68</v>
      </c>
      <c r="L112" s="40" t="s">
        <v>73</v>
      </c>
      <c r="M112" s="38" t="s">
        <v>453</v>
      </c>
      <c r="N112" s="40" t="s">
        <v>567</v>
      </c>
      <c r="O112" s="321"/>
      <c r="P112" s="322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</row>
    <row r="113" spans="1:47" ht="30.75" hidden="1">
      <c r="A113" s="316" t="s">
        <v>534</v>
      </c>
      <c r="B113" s="315">
        <v>45908</v>
      </c>
      <c r="C113" s="6" t="s">
        <v>486</v>
      </c>
      <c r="D113" s="305" t="s">
        <v>429</v>
      </c>
      <c r="E113" t="s">
        <v>71</v>
      </c>
      <c r="F113" t="s">
        <v>430</v>
      </c>
      <c r="G113" t="s">
        <v>487</v>
      </c>
      <c r="H113">
        <v>1</v>
      </c>
      <c r="I113" s="324">
        <v>700</v>
      </c>
      <c r="J113" s="330" t="s">
        <v>68</v>
      </c>
      <c r="K113" s="40" t="s">
        <v>68</v>
      </c>
      <c r="L113" s="2" t="s">
        <v>148</v>
      </c>
      <c r="M113" s="38" t="s">
        <v>484</v>
      </c>
      <c r="N113" s="40" t="s">
        <v>485</v>
      </c>
      <c r="O113" s="321"/>
      <c r="P113" s="322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>
        <v>1</v>
      </c>
      <c r="AQ113" s="6"/>
      <c r="AR113" s="6"/>
      <c r="AS113" s="6"/>
      <c r="AT113" s="6"/>
      <c r="AU113" s="6"/>
    </row>
    <row r="114" spans="1:47" ht="30.75" hidden="1">
      <c r="A114" s="316" t="s">
        <v>534</v>
      </c>
      <c r="B114" s="315">
        <v>45908</v>
      </c>
      <c r="C114" s="6" t="s">
        <v>482</v>
      </c>
      <c r="D114" s="305" t="s">
        <v>429</v>
      </c>
      <c r="E114" t="s">
        <v>71</v>
      </c>
      <c r="F114" t="s">
        <v>430</v>
      </c>
      <c r="G114" t="s">
        <v>483</v>
      </c>
      <c r="H114">
        <v>2</v>
      </c>
      <c r="I114" s="324">
        <v>1000</v>
      </c>
      <c r="J114" s="330" t="s">
        <v>68</v>
      </c>
      <c r="K114" s="40" t="s">
        <v>68</v>
      </c>
      <c r="L114" s="2" t="s">
        <v>148</v>
      </c>
      <c r="M114" s="38" t="s">
        <v>484</v>
      </c>
      <c r="N114" s="40" t="s">
        <v>485</v>
      </c>
      <c r="O114" s="321"/>
      <c r="P114" s="322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>
        <v>2</v>
      </c>
      <c r="AQ114" s="6"/>
      <c r="AR114" s="6"/>
      <c r="AS114" s="6"/>
      <c r="AT114" s="6"/>
      <c r="AU114" s="6"/>
    </row>
    <row r="115" spans="1:47" ht="30.75" hidden="1">
      <c r="A115" s="316" t="s">
        <v>534</v>
      </c>
      <c r="B115" s="315">
        <v>45908</v>
      </c>
      <c r="C115" s="6" t="s">
        <v>488</v>
      </c>
      <c r="D115" s="305" t="s">
        <v>429</v>
      </c>
      <c r="E115" t="s">
        <v>71</v>
      </c>
      <c r="F115" t="s">
        <v>430</v>
      </c>
      <c r="G115" t="s">
        <v>489</v>
      </c>
      <c r="H115">
        <v>1</v>
      </c>
      <c r="I115" s="324">
        <v>300</v>
      </c>
      <c r="J115" s="330" t="s">
        <v>68</v>
      </c>
      <c r="K115" s="40" t="s">
        <v>68</v>
      </c>
      <c r="L115" s="2" t="s">
        <v>148</v>
      </c>
      <c r="M115" s="38" t="s">
        <v>484</v>
      </c>
      <c r="N115" s="40" t="s">
        <v>485</v>
      </c>
      <c r="O115" s="321"/>
      <c r="P115" s="322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>
        <v>1</v>
      </c>
      <c r="AP115" s="6"/>
      <c r="AQ115" s="6"/>
      <c r="AR115" s="6"/>
      <c r="AS115" s="6"/>
      <c r="AT115" s="6"/>
      <c r="AU115" s="6"/>
    </row>
    <row r="116" spans="1:47" hidden="1">
      <c r="A116" s="314" t="s">
        <v>568</v>
      </c>
      <c r="B116" s="315">
        <v>45932</v>
      </c>
      <c r="C116" s="6" t="s">
        <v>569</v>
      </c>
      <c r="D116" s="305" t="s">
        <v>570</v>
      </c>
      <c r="E116" t="s">
        <v>71</v>
      </c>
      <c r="F116" t="s">
        <v>72</v>
      </c>
      <c r="G116" s="34" t="s">
        <v>571</v>
      </c>
      <c r="H116">
        <v>2</v>
      </c>
      <c r="I116" s="304">
        <f>360+139.5</f>
        <v>499.5</v>
      </c>
      <c r="J116" s="338" t="s">
        <v>572</v>
      </c>
      <c r="K116" s="40" t="s">
        <v>68</v>
      </c>
      <c r="L116" s="327" t="s">
        <v>173</v>
      </c>
      <c r="M116" s="38" t="s">
        <v>573</v>
      </c>
      <c r="N116" s="40" t="s">
        <v>574</v>
      </c>
      <c r="O116" s="321"/>
      <c r="P116" s="322" t="s">
        <v>575</v>
      </c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>
        <v>2</v>
      </c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</row>
    <row r="117" spans="1:47" hidden="1">
      <c r="A117" s="314" t="s">
        <v>568</v>
      </c>
      <c r="B117" s="315">
        <v>45932</v>
      </c>
      <c r="C117" s="6" t="s">
        <v>576</v>
      </c>
      <c r="D117" s="305" t="s">
        <v>570</v>
      </c>
      <c r="E117" t="s">
        <v>71</v>
      </c>
      <c r="F117" t="s">
        <v>72</v>
      </c>
      <c r="G117" s="328" t="s">
        <v>577</v>
      </c>
      <c r="H117">
        <v>1</v>
      </c>
      <c r="I117" s="304">
        <v>500</v>
      </c>
      <c r="J117" s="330"/>
      <c r="K117" s="40"/>
      <c r="L117" s="327" t="s">
        <v>173</v>
      </c>
      <c r="M117" s="38" t="s">
        <v>573</v>
      </c>
      <c r="N117" s="40" t="s">
        <v>574</v>
      </c>
      <c r="O117" s="321"/>
      <c r="P117" s="322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</row>
    <row r="118" spans="1:47" hidden="1">
      <c r="A118" s="314" t="s">
        <v>451</v>
      </c>
      <c r="B118" s="315">
        <v>45935</v>
      </c>
      <c r="C118" s="6" t="s">
        <v>454</v>
      </c>
      <c r="D118" s="305" t="s">
        <v>400</v>
      </c>
      <c r="E118" s="38" t="s">
        <v>401</v>
      </c>
      <c r="F118" t="s">
        <v>72</v>
      </c>
      <c r="I118" s="304">
        <v>1400</v>
      </c>
      <c r="J118" s="330" t="s">
        <v>68</v>
      </c>
      <c r="K118" s="40" t="s">
        <v>68</v>
      </c>
      <c r="L118" s="40" t="s">
        <v>73</v>
      </c>
      <c r="M118" s="38" t="s">
        <v>578</v>
      </c>
      <c r="N118" s="40" t="s">
        <v>579</v>
      </c>
      <c r="O118" s="321"/>
      <c r="P118" s="322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</row>
    <row r="119" spans="1:47" hidden="1">
      <c r="A119" s="314" t="s">
        <v>178</v>
      </c>
      <c r="B119" s="315" t="s">
        <v>466</v>
      </c>
      <c r="C119" s="6" t="s">
        <v>467</v>
      </c>
      <c r="D119" s="305" t="s">
        <v>306</v>
      </c>
      <c r="E119" t="s">
        <v>71</v>
      </c>
      <c r="F119" t="s">
        <v>72</v>
      </c>
      <c r="G119" t="s">
        <v>468</v>
      </c>
      <c r="H119">
        <v>5</v>
      </c>
      <c r="I119" s="304">
        <v>1250</v>
      </c>
      <c r="J119" s="330" t="s">
        <v>68</v>
      </c>
      <c r="K119" s="40" t="s">
        <v>68</v>
      </c>
      <c r="L119" s="40" t="s">
        <v>557</v>
      </c>
      <c r="M119" s="38" t="s">
        <v>580</v>
      </c>
      <c r="N119" s="40" t="s">
        <v>581</v>
      </c>
      <c r="O119" s="321"/>
      <c r="P119" s="322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</row>
    <row r="120" spans="1:47" hidden="1">
      <c r="A120" s="314" t="s">
        <v>178</v>
      </c>
      <c r="B120" s="315" t="s">
        <v>457</v>
      </c>
      <c r="C120" s="6" t="s">
        <v>458</v>
      </c>
      <c r="D120" s="305" t="s">
        <v>306</v>
      </c>
      <c r="E120" t="s">
        <v>71</v>
      </c>
      <c r="F120" t="s">
        <v>72</v>
      </c>
      <c r="I120" s="304">
        <v>250</v>
      </c>
      <c r="J120" s="330" t="s">
        <v>68</v>
      </c>
      <c r="K120" s="40" t="s">
        <v>68</v>
      </c>
      <c r="L120" s="40" t="s">
        <v>73</v>
      </c>
      <c r="M120" s="38" t="s">
        <v>459</v>
      </c>
      <c r="N120" s="40" t="s">
        <v>460</v>
      </c>
      <c r="O120" s="321">
        <v>45869</v>
      </c>
      <c r="P120" s="329"/>
      <c r="Q120" s="6"/>
      <c r="R120" s="6"/>
      <c r="S120" s="6"/>
      <c r="T120" s="6"/>
      <c r="U120" s="6"/>
      <c r="V120" s="6"/>
      <c r="W120" s="6"/>
      <c r="X120" s="6"/>
      <c r="Y120" s="6"/>
      <c r="Z120" s="6">
        <v>6</v>
      </c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</row>
    <row r="121" spans="1:47" hidden="1">
      <c r="A121" s="314" t="s">
        <v>560</v>
      </c>
      <c r="B121" s="315" t="s">
        <v>582</v>
      </c>
      <c r="C121" s="6" t="s">
        <v>583</v>
      </c>
      <c r="D121" s="305" t="s">
        <v>419</v>
      </c>
      <c r="E121" t="s">
        <v>71</v>
      </c>
      <c r="F121" t="s">
        <v>72</v>
      </c>
      <c r="G121" s="34" t="s">
        <v>584</v>
      </c>
      <c r="H121" t="s">
        <v>68</v>
      </c>
      <c r="I121" s="304">
        <v>1500</v>
      </c>
      <c r="J121" s="330"/>
      <c r="K121" s="38" t="s">
        <v>585</v>
      </c>
      <c r="L121" s="71" t="s">
        <v>586</v>
      </c>
      <c r="M121" s="64" t="s">
        <v>587</v>
      </c>
      <c r="N121" s="71" t="s">
        <v>588</v>
      </c>
      <c r="O121" s="336"/>
      <c r="P121" s="337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</row>
    <row r="122" spans="1:47" hidden="1">
      <c r="A122" s="314" t="s">
        <v>237</v>
      </c>
      <c r="B122" s="315" t="s">
        <v>589</v>
      </c>
      <c r="C122" s="6" t="s">
        <v>590</v>
      </c>
      <c r="D122" s="305" t="s">
        <v>239</v>
      </c>
      <c r="E122" t="s">
        <v>71</v>
      </c>
      <c r="F122" t="s">
        <v>72</v>
      </c>
      <c r="G122" t="s">
        <v>68</v>
      </c>
      <c r="H122">
        <v>1</v>
      </c>
      <c r="I122" s="304">
        <v>1800</v>
      </c>
      <c r="J122" s="339" t="s">
        <v>68</v>
      </c>
      <c r="K122" s="71" t="s">
        <v>591</v>
      </c>
      <c r="L122" s="71" t="s">
        <v>73</v>
      </c>
      <c r="M122" s="71" t="s">
        <v>592</v>
      </c>
      <c r="N122" s="71" t="s">
        <v>593</v>
      </c>
      <c r="O122" s="71"/>
      <c r="P122" s="71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</row>
    <row r="123" spans="1:47">
      <c r="A123" s="314" t="s">
        <v>237</v>
      </c>
      <c r="B123" s="315" t="s">
        <v>589</v>
      </c>
      <c r="C123" s="6" t="s">
        <v>594</v>
      </c>
      <c r="D123" s="305" t="s">
        <v>239</v>
      </c>
      <c r="E123" t="s">
        <v>71</v>
      </c>
      <c r="F123" t="s">
        <v>72</v>
      </c>
      <c r="G123" t="s">
        <v>68</v>
      </c>
      <c r="H123">
        <v>1</v>
      </c>
      <c r="I123" s="304">
        <v>1800</v>
      </c>
      <c r="J123" s="362" t="s">
        <v>68</v>
      </c>
      <c r="K123" s="327" t="s">
        <v>595</v>
      </c>
      <c r="L123" s="327"/>
      <c r="M123" s="327"/>
      <c r="N123" s="327"/>
      <c r="O123" s="327"/>
      <c r="P123" s="367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</row>
    <row r="124" spans="1:47">
      <c r="A124" s="314" t="s">
        <v>237</v>
      </c>
      <c r="B124" s="315" t="s">
        <v>589</v>
      </c>
      <c r="C124" s="6" t="s">
        <v>596</v>
      </c>
      <c r="D124" s="305" t="s">
        <v>239</v>
      </c>
      <c r="E124" t="s">
        <v>177</v>
      </c>
      <c r="F124" t="s">
        <v>72</v>
      </c>
      <c r="G124" t="s">
        <v>68</v>
      </c>
      <c r="H124">
        <v>1</v>
      </c>
      <c r="I124" s="304">
        <v>1800</v>
      </c>
      <c r="J124" s="303" t="s">
        <v>68</v>
      </c>
      <c r="K124" s="2" t="s">
        <v>68</v>
      </c>
      <c r="M124" s="2"/>
      <c r="O124" s="2"/>
      <c r="P124" s="2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</row>
    <row r="125" spans="1:47">
      <c r="A125" s="317" t="s">
        <v>237</v>
      </c>
      <c r="B125" s="318" t="s">
        <v>589</v>
      </c>
      <c r="C125" s="319" t="s">
        <v>597</v>
      </c>
      <c r="D125" s="305" t="s">
        <v>239</v>
      </c>
      <c r="E125" s="331" t="s">
        <v>177</v>
      </c>
      <c r="F125" s="331" t="s">
        <v>72</v>
      </c>
      <c r="G125" s="331" t="s">
        <v>68</v>
      </c>
      <c r="H125" s="331">
        <v>1</v>
      </c>
      <c r="I125" s="332">
        <v>1800</v>
      </c>
      <c r="J125" s="333" t="s">
        <v>68</v>
      </c>
      <c r="K125" s="334" t="s">
        <v>68</v>
      </c>
      <c r="L125" s="334"/>
      <c r="M125" s="334"/>
      <c r="N125" s="334"/>
      <c r="O125" s="334"/>
      <c r="P125" s="334"/>
      <c r="Q125" s="319"/>
      <c r="R125" s="319"/>
      <c r="S125" s="319"/>
      <c r="T125" s="319"/>
      <c r="U125" s="319"/>
      <c r="V125" s="319"/>
      <c r="W125" s="319"/>
      <c r="X125" s="319"/>
      <c r="Y125" s="319"/>
      <c r="Z125" s="319"/>
      <c r="AA125" s="319"/>
      <c r="AB125" s="319"/>
      <c r="AC125" s="319"/>
      <c r="AD125" s="319"/>
      <c r="AE125" s="319"/>
      <c r="AF125" s="319"/>
      <c r="AG125" s="319"/>
      <c r="AH125" s="319"/>
      <c r="AI125" s="319"/>
      <c r="AJ125" s="319"/>
      <c r="AK125" s="319"/>
      <c r="AL125" s="319"/>
      <c r="AM125" s="319"/>
      <c r="AN125" s="319"/>
      <c r="AO125" s="319"/>
      <c r="AP125" s="319"/>
      <c r="AQ125" s="319"/>
      <c r="AR125" s="319"/>
      <c r="AS125" s="319"/>
      <c r="AT125" s="319"/>
      <c r="AU125" s="320"/>
    </row>
    <row r="126" spans="1:47" hidden="1">
      <c r="A126" s="314" t="s">
        <v>451</v>
      </c>
      <c r="B126" s="315">
        <v>45966</v>
      </c>
      <c r="C126" s="6" t="s">
        <v>455</v>
      </c>
      <c r="D126" s="305" t="s">
        <v>400</v>
      </c>
      <c r="E126" s="38" t="s">
        <v>401</v>
      </c>
      <c r="F126" t="s">
        <v>72</v>
      </c>
      <c r="I126" s="304">
        <v>1400</v>
      </c>
      <c r="J126" s="330" t="s">
        <v>68</v>
      </c>
      <c r="K126" s="40" t="s">
        <v>68</v>
      </c>
      <c r="L126" s="40" t="s">
        <v>73</v>
      </c>
      <c r="M126" s="38" t="s">
        <v>598</v>
      </c>
      <c r="N126" s="40" t="s">
        <v>599</v>
      </c>
      <c r="O126" s="321"/>
      <c r="P126" s="329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</row>
    <row r="127" spans="1:47" ht="19.5" hidden="1" customHeight="1">
      <c r="A127" s="314" t="s">
        <v>417</v>
      </c>
      <c r="B127" s="315">
        <v>45850</v>
      </c>
      <c r="C127" s="6" t="s">
        <v>600</v>
      </c>
      <c r="D127" s="305" t="s">
        <v>419</v>
      </c>
      <c r="E127" t="s">
        <v>71</v>
      </c>
      <c r="F127" t="s">
        <v>72</v>
      </c>
      <c r="H127" t="s">
        <v>68</v>
      </c>
      <c r="I127" s="304">
        <v>300</v>
      </c>
      <c r="J127" s="339" t="s">
        <v>68</v>
      </c>
      <c r="K127" s="71" t="s">
        <v>68</v>
      </c>
      <c r="L127" s="40" t="s">
        <v>73</v>
      </c>
      <c r="M127" s="71" t="s">
        <v>601</v>
      </c>
      <c r="N127" s="72" t="s">
        <v>602</v>
      </c>
      <c r="O127" s="360">
        <v>46113</v>
      </c>
      <c r="P127" s="72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</row>
    <row r="128" spans="1:47" ht="18.75" customHeight="1">
      <c r="A128" s="314" t="s">
        <v>603</v>
      </c>
      <c r="B128" s="315">
        <v>45980</v>
      </c>
      <c r="C128" s="6" t="s">
        <v>604</v>
      </c>
      <c r="D128" s="305" t="s">
        <v>605</v>
      </c>
      <c r="E128" t="s">
        <v>71</v>
      </c>
      <c r="F128" t="s">
        <v>606</v>
      </c>
      <c r="G128" s="34" t="s">
        <v>607</v>
      </c>
      <c r="I128" s="304">
        <v>3000</v>
      </c>
      <c r="J128" s="362"/>
      <c r="K128" s="327"/>
      <c r="L128" s="327"/>
      <c r="M128" s="363"/>
      <c r="N128" s="327"/>
      <c r="O128" s="364"/>
      <c r="P128" s="365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</row>
    <row r="129" spans="1:47" hidden="1">
      <c r="A129" s="314" t="s">
        <v>470</v>
      </c>
      <c r="B129" s="315">
        <v>45666</v>
      </c>
      <c r="C129" s="6" t="s">
        <v>471</v>
      </c>
      <c r="D129" s="305" t="s">
        <v>472</v>
      </c>
      <c r="E129" t="s">
        <v>71</v>
      </c>
      <c r="F129" t="s">
        <v>72</v>
      </c>
      <c r="G129" t="s">
        <v>473</v>
      </c>
      <c r="H129">
        <v>1</v>
      </c>
      <c r="I129" s="304">
        <v>0</v>
      </c>
      <c r="J129" s="330" t="s">
        <v>608</v>
      </c>
      <c r="K129" s="40" t="s">
        <v>68</v>
      </c>
      <c r="L129" s="40" t="s">
        <v>68</v>
      </c>
      <c r="M129" s="40" t="s">
        <v>68</v>
      </c>
      <c r="N129" s="40" t="s">
        <v>68</v>
      </c>
      <c r="O129" s="40" t="s">
        <v>68</v>
      </c>
      <c r="P129" s="40" t="s">
        <v>68</v>
      </c>
      <c r="Q129" s="6">
        <v>1</v>
      </c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</row>
    <row r="130" spans="1:47" hidden="1">
      <c r="A130" s="314" t="s">
        <v>436</v>
      </c>
      <c r="B130" s="315">
        <v>45813</v>
      </c>
      <c r="C130" s="6" t="s">
        <v>437</v>
      </c>
      <c r="D130" s="305" t="s">
        <v>438</v>
      </c>
      <c r="E130" t="s">
        <v>71</v>
      </c>
      <c r="F130" t="s">
        <v>72</v>
      </c>
      <c r="I130" s="304">
        <f>(340*68)-I100</f>
        <v>11040</v>
      </c>
      <c r="J130" s="344" t="s">
        <v>68</v>
      </c>
      <c r="K130" s="342" t="s">
        <v>68</v>
      </c>
      <c r="L130" s="342" t="s">
        <v>73</v>
      </c>
      <c r="M130" s="342" t="s">
        <v>609</v>
      </c>
      <c r="N130" s="342" t="s">
        <v>602</v>
      </c>
      <c r="O130" s="359">
        <v>46051</v>
      </c>
      <c r="P130" s="342" t="s">
        <v>610</v>
      </c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</row>
    <row r="131" spans="1:47">
      <c r="A131" s="314" t="s">
        <v>170</v>
      </c>
      <c r="B131" s="315">
        <v>45405</v>
      </c>
      <c r="C131" s="6" t="s">
        <v>176</v>
      </c>
      <c r="D131" s="305" t="s">
        <v>172</v>
      </c>
      <c r="E131" t="s">
        <v>177</v>
      </c>
      <c r="F131" t="s">
        <v>72</v>
      </c>
      <c r="G131" t="s">
        <v>68</v>
      </c>
      <c r="H131">
        <v>1</v>
      </c>
      <c r="I131" s="304">
        <v>3000</v>
      </c>
      <c r="J131" s="303" t="s">
        <v>68</v>
      </c>
      <c r="K131" s="2" t="s">
        <v>68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</row>
    <row r="132" spans="1:47" hidden="1">
      <c r="A132" s="314" t="s">
        <v>451</v>
      </c>
      <c r="B132" s="315">
        <v>45996</v>
      </c>
      <c r="C132" s="6" t="s">
        <v>456</v>
      </c>
      <c r="D132" s="305" t="s">
        <v>400</v>
      </c>
      <c r="E132" t="s">
        <v>71</v>
      </c>
      <c r="F132" t="s">
        <v>72</v>
      </c>
      <c r="I132" s="304">
        <v>1400</v>
      </c>
      <c r="J132" s="330" t="s">
        <v>68</v>
      </c>
      <c r="K132" s="40" t="s">
        <v>68</v>
      </c>
      <c r="L132" s="40" t="s">
        <v>73</v>
      </c>
      <c r="M132" s="64" t="s">
        <v>611</v>
      </c>
      <c r="N132" s="71" t="s">
        <v>612</v>
      </c>
      <c r="O132" s="336"/>
      <c r="P132" s="337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</row>
    <row r="133" spans="1:47" hidden="1">
      <c r="A133" s="314" t="s">
        <v>103</v>
      </c>
      <c r="B133" s="315">
        <v>46021</v>
      </c>
      <c r="C133" s="6" t="s">
        <v>613</v>
      </c>
      <c r="D133" s="305" t="s">
        <v>105</v>
      </c>
      <c r="E133" t="s">
        <v>71</v>
      </c>
      <c r="F133" t="s">
        <v>72</v>
      </c>
      <c r="G133" t="s">
        <v>68</v>
      </c>
      <c r="H133">
        <v>1</v>
      </c>
      <c r="I133" s="304">
        <v>40</v>
      </c>
      <c r="J133" s="330" t="s">
        <v>68</v>
      </c>
      <c r="K133" s="40" t="s">
        <v>68</v>
      </c>
      <c r="L133" s="40" t="s">
        <v>73</v>
      </c>
      <c r="M133" s="38" t="s">
        <v>614</v>
      </c>
      <c r="N133" s="40" t="s">
        <v>615</v>
      </c>
      <c r="O133" s="321"/>
      <c r="P133" s="329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</row>
    <row r="134" spans="1:47" hidden="1">
      <c r="A134" s="314" t="s">
        <v>451</v>
      </c>
      <c r="B134" s="315">
        <v>46053</v>
      </c>
      <c r="C134" s="6" t="s">
        <v>616</v>
      </c>
      <c r="D134" s="305" t="s">
        <v>400</v>
      </c>
      <c r="E134" t="s">
        <v>71</v>
      </c>
      <c r="F134" t="s">
        <v>72</v>
      </c>
      <c r="I134" s="304">
        <v>1400</v>
      </c>
      <c r="J134" s="330" t="s">
        <v>68</v>
      </c>
      <c r="K134" s="40" t="s">
        <v>68</v>
      </c>
      <c r="L134" s="40" t="s">
        <v>73</v>
      </c>
      <c r="M134" s="64" t="s">
        <v>617</v>
      </c>
      <c r="N134" s="71" t="s">
        <v>618</v>
      </c>
      <c r="O134" s="336"/>
      <c r="P134" s="337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</row>
    <row r="135" spans="1:47" hidden="1">
      <c r="A135" s="317" t="s">
        <v>237</v>
      </c>
      <c r="B135" s="315">
        <v>46035</v>
      </c>
      <c r="C135" s="6" t="s">
        <v>619</v>
      </c>
      <c r="D135" s="305" t="s">
        <v>620</v>
      </c>
      <c r="E135" t="s">
        <v>71</v>
      </c>
      <c r="F135" t="s">
        <v>72</v>
      </c>
      <c r="G135" t="s">
        <v>68</v>
      </c>
      <c r="H135">
        <v>1</v>
      </c>
      <c r="I135" s="304">
        <v>6000</v>
      </c>
      <c r="J135" s="330"/>
      <c r="K135" s="40" t="s">
        <v>621</v>
      </c>
      <c r="L135" s="40" t="s">
        <v>148</v>
      </c>
      <c r="M135" s="38" t="s">
        <v>622</v>
      </c>
      <c r="N135" s="40" t="s">
        <v>593</v>
      </c>
      <c r="O135" s="321"/>
      <c r="P135" s="361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</row>
    <row r="136" spans="1:47" hidden="1">
      <c r="A136" s="314" t="s">
        <v>623</v>
      </c>
      <c r="B136" s="315">
        <v>46056</v>
      </c>
      <c r="C136" s="6" t="s">
        <v>624</v>
      </c>
      <c r="D136" s="305" t="s">
        <v>625</v>
      </c>
      <c r="E136" t="s">
        <v>71</v>
      </c>
      <c r="F136" t="s">
        <v>72</v>
      </c>
      <c r="H136">
        <v>3</v>
      </c>
      <c r="I136" s="304">
        <v>450</v>
      </c>
      <c r="J136" s="330" t="s">
        <v>68</v>
      </c>
      <c r="K136" s="40" t="s">
        <v>68</v>
      </c>
      <c r="L136" s="40" t="s">
        <v>148</v>
      </c>
      <c r="M136" s="38" t="s">
        <v>626</v>
      </c>
      <c r="N136" s="2" t="s">
        <v>627</v>
      </c>
      <c r="O136" s="307">
        <v>46121</v>
      </c>
      <c r="P136" s="72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</row>
    <row r="137" spans="1:47" ht="30.75" hidden="1">
      <c r="A137" s="314" t="s">
        <v>628</v>
      </c>
      <c r="B137" s="315">
        <v>46058</v>
      </c>
      <c r="C137" s="6" t="s">
        <v>629</v>
      </c>
      <c r="D137" s="305" t="s">
        <v>630</v>
      </c>
      <c r="E137" t="s">
        <v>71</v>
      </c>
      <c r="F137" t="s">
        <v>72</v>
      </c>
      <c r="H137">
        <v>3</v>
      </c>
      <c r="I137" s="304">
        <v>450</v>
      </c>
      <c r="J137" s="330" t="s">
        <v>68</v>
      </c>
      <c r="K137" s="40" t="s">
        <v>68</v>
      </c>
      <c r="L137" s="40" t="s">
        <v>148</v>
      </c>
      <c r="M137" s="38" t="s">
        <v>631</v>
      </c>
      <c r="N137" s="2" t="s">
        <v>627</v>
      </c>
      <c r="O137" s="307">
        <v>46114</v>
      </c>
      <c r="P137" s="302" t="s">
        <v>632</v>
      </c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</row>
    <row r="138" spans="1:47">
      <c r="A138" s="314" t="s">
        <v>633</v>
      </c>
      <c r="B138" s="315">
        <v>46062</v>
      </c>
      <c r="C138" s="6" t="s">
        <v>634</v>
      </c>
      <c r="D138" s="305" t="s">
        <v>635</v>
      </c>
      <c r="E138" t="s">
        <v>177</v>
      </c>
      <c r="F138" t="s">
        <v>72</v>
      </c>
      <c r="G138" s="34" t="s">
        <v>636</v>
      </c>
      <c r="H138">
        <v>1</v>
      </c>
      <c r="I138" s="304">
        <v>700</v>
      </c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</row>
    <row r="139" spans="1:47">
      <c r="A139" s="314" t="s">
        <v>178</v>
      </c>
      <c r="B139" s="315">
        <v>46065</v>
      </c>
      <c r="C139" s="6" t="s">
        <v>637</v>
      </c>
      <c r="D139" s="305" t="s">
        <v>306</v>
      </c>
      <c r="E139" t="s">
        <v>177</v>
      </c>
      <c r="F139" t="s">
        <v>72</v>
      </c>
      <c r="G139" s="34" t="s">
        <v>638</v>
      </c>
      <c r="H139" t="s">
        <v>639</v>
      </c>
      <c r="I139" s="304">
        <v>1420</v>
      </c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</row>
    <row r="140" spans="1:47" hidden="1">
      <c r="A140" s="314" t="s">
        <v>623</v>
      </c>
      <c r="B140" s="315">
        <v>46065</v>
      </c>
      <c r="C140" s="6" t="s">
        <v>640</v>
      </c>
      <c r="D140" s="305" t="s">
        <v>625</v>
      </c>
      <c r="E140" t="s">
        <v>71</v>
      </c>
      <c r="F140" t="s">
        <v>72</v>
      </c>
      <c r="G140" s="34" t="s">
        <v>641</v>
      </c>
      <c r="H140">
        <v>1</v>
      </c>
      <c r="I140" s="304">
        <v>140</v>
      </c>
      <c r="J140" s="330" t="s">
        <v>68</v>
      </c>
      <c r="K140" s="40" t="s">
        <v>68</v>
      </c>
      <c r="L140" s="40" t="s">
        <v>148</v>
      </c>
      <c r="M140" s="38" t="s">
        <v>626</v>
      </c>
      <c r="N140" s="2" t="s">
        <v>627</v>
      </c>
      <c r="O140" s="307">
        <v>46121</v>
      </c>
      <c r="P140" s="72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</row>
    <row r="141" spans="1:47" hidden="1">
      <c r="A141" s="314" t="s">
        <v>623</v>
      </c>
      <c r="B141" s="315">
        <v>46065</v>
      </c>
      <c r="C141" s="6" t="s">
        <v>642</v>
      </c>
      <c r="D141" s="305" t="s">
        <v>625</v>
      </c>
      <c r="E141" t="s">
        <v>71</v>
      </c>
      <c r="F141" t="s">
        <v>72</v>
      </c>
      <c r="H141">
        <v>1</v>
      </c>
      <c r="I141" s="304">
        <v>315</v>
      </c>
      <c r="J141" s="330" t="s">
        <v>68</v>
      </c>
      <c r="K141" s="40" t="s">
        <v>68</v>
      </c>
      <c r="L141" s="40" t="s">
        <v>543</v>
      </c>
      <c r="M141" s="38" t="s">
        <v>643</v>
      </c>
      <c r="N141" s="40" t="s">
        <v>248</v>
      </c>
      <c r="O141" s="409">
        <v>46134</v>
      </c>
      <c r="P141" s="410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</row>
    <row r="142" spans="1:47">
      <c r="A142" s="317" t="s">
        <v>237</v>
      </c>
      <c r="B142" s="318">
        <v>46359</v>
      </c>
      <c r="C142" s="319" t="s">
        <v>644</v>
      </c>
      <c r="D142" s="305" t="s">
        <v>645</v>
      </c>
      <c r="E142" s="331" t="s">
        <v>71</v>
      </c>
      <c r="F142" s="331" t="s">
        <v>72</v>
      </c>
      <c r="G142" s="331" t="s">
        <v>68</v>
      </c>
      <c r="H142" s="331">
        <v>1</v>
      </c>
      <c r="I142" s="332">
        <v>800</v>
      </c>
      <c r="J142" s="368" t="s">
        <v>68</v>
      </c>
      <c r="K142" s="327" t="s">
        <v>595</v>
      </c>
      <c r="L142" s="369"/>
      <c r="M142" s="369"/>
      <c r="N142" s="369"/>
      <c r="O142" s="369"/>
      <c r="P142" s="369" t="s">
        <v>646</v>
      </c>
      <c r="Q142" s="319"/>
      <c r="R142" s="319"/>
      <c r="S142" s="319"/>
      <c r="T142" s="319"/>
      <c r="U142" s="319"/>
      <c r="V142" s="319"/>
      <c r="W142" s="319"/>
      <c r="X142" s="319"/>
      <c r="Y142" s="319"/>
      <c r="Z142" s="319"/>
      <c r="AA142" s="319"/>
      <c r="AB142" s="319"/>
      <c r="AC142" s="319"/>
      <c r="AD142" s="319"/>
      <c r="AE142" s="319"/>
      <c r="AF142" s="319"/>
      <c r="AG142" s="319"/>
      <c r="AH142" s="319"/>
      <c r="AI142" s="319"/>
      <c r="AJ142" s="319"/>
      <c r="AK142" s="319"/>
      <c r="AL142" s="319"/>
      <c r="AM142" s="319"/>
      <c r="AN142" s="319"/>
      <c r="AO142" s="319"/>
      <c r="AP142" s="319"/>
      <c r="AQ142" s="319"/>
      <c r="AR142" s="319"/>
      <c r="AS142" s="319"/>
      <c r="AT142" s="319"/>
      <c r="AU142" s="320"/>
    </row>
    <row r="143" spans="1:47" ht="30.75">
      <c r="A143" s="317" t="s">
        <v>237</v>
      </c>
      <c r="B143" s="318">
        <v>46359</v>
      </c>
      <c r="C143" s="319" t="s">
        <v>647</v>
      </c>
      <c r="D143" s="305" t="s">
        <v>645</v>
      </c>
      <c r="E143" s="331" t="s">
        <v>71</v>
      </c>
      <c r="F143" s="331" t="s">
        <v>72</v>
      </c>
      <c r="G143" s="331" t="s">
        <v>68</v>
      </c>
      <c r="H143" s="331">
        <v>1</v>
      </c>
      <c r="I143" s="332">
        <v>2628</v>
      </c>
      <c r="J143" s="368" t="s">
        <v>68</v>
      </c>
      <c r="K143" s="327" t="s">
        <v>595</v>
      </c>
      <c r="L143" s="369"/>
      <c r="M143" s="369"/>
      <c r="N143" s="369"/>
      <c r="O143" s="370"/>
      <c r="P143" s="371" t="s">
        <v>648</v>
      </c>
      <c r="Q143" s="319"/>
      <c r="R143" s="319"/>
      <c r="S143" s="319"/>
      <c r="T143" s="319"/>
      <c r="U143" s="319"/>
      <c r="V143" s="319"/>
      <c r="W143" s="319"/>
      <c r="X143" s="319"/>
      <c r="Y143" s="319"/>
      <c r="Z143" s="319"/>
      <c r="AA143" s="319"/>
      <c r="AB143" s="319"/>
      <c r="AC143" s="319"/>
      <c r="AD143" s="319"/>
      <c r="AE143" s="319"/>
      <c r="AF143" s="319"/>
      <c r="AG143" s="319"/>
      <c r="AH143" s="319"/>
      <c r="AI143" s="319"/>
      <c r="AJ143" s="319"/>
      <c r="AK143" s="319"/>
      <c r="AL143" s="319"/>
      <c r="AM143" s="319"/>
      <c r="AN143" s="319"/>
      <c r="AO143" s="319"/>
      <c r="AP143" s="319"/>
      <c r="AQ143" s="319"/>
      <c r="AR143" s="319"/>
      <c r="AS143" s="319"/>
      <c r="AT143" s="319"/>
      <c r="AU143" s="320"/>
    </row>
    <row r="144" spans="1:47" hidden="1">
      <c r="A144" s="372" t="s">
        <v>649</v>
      </c>
      <c r="B144" s="349">
        <v>45992</v>
      </c>
      <c r="C144" s="350" t="s">
        <v>650</v>
      </c>
      <c r="D144" s="351" t="s">
        <v>651</v>
      </c>
      <c r="E144" s="331" t="s">
        <v>71</v>
      </c>
      <c r="F144" s="250" t="s">
        <v>606</v>
      </c>
      <c r="G144" s="177" t="s">
        <v>652</v>
      </c>
      <c r="H144">
        <v>12</v>
      </c>
      <c r="I144" s="373">
        <v>6000</v>
      </c>
      <c r="J144" s="358" t="s">
        <v>653</v>
      </c>
      <c r="K144" s="352" t="s">
        <v>68</v>
      </c>
      <c r="L144" s="352" t="s">
        <v>73</v>
      </c>
      <c r="M144" s="352" t="s">
        <v>654</v>
      </c>
      <c r="N144" s="352" t="s">
        <v>655</v>
      </c>
      <c r="O144" s="353"/>
      <c r="P144" s="354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>
        <v>12</v>
      </c>
      <c r="AL144" s="6"/>
      <c r="AM144" s="6"/>
      <c r="AN144" s="6"/>
      <c r="AO144" s="6"/>
      <c r="AP144" s="6"/>
      <c r="AQ144" s="6"/>
      <c r="AR144" s="6"/>
      <c r="AS144" s="6"/>
      <c r="AT144" s="6"/>
      <c r="AU144" s="6"/>
    </row>
    <row r="145" spans="1:47" hidden="1">
      <c r="A145" s="372" t="s">
        <v>649</v>
      </c>
      <c r="B145" s="355" t="s">
        <v>656</v>
      </c>
      <c r="C145" s="356" t="s">
        <v>657</v>
      </c>
      <c r="D145" s="351" t="s">
        <v>651</v>
      </c>
      <c r="E145" s="331" t="s">
        <v>71</v>
      </c>
      <c r="F145" s="250" t="s">
        <v>606</v>
      </c>
      <c r="G145" s="357" t="s">
        <v>658</v>
      </c>
      <c r="H145">
        <v>26</v>
      </c>
      <c r="I145" s="304">
        <v>390</v>
      </c>
      <c r="J145" s="374" t="s">
        <v>68</v>
      </c>
      <c r="K145" s="375" t="s">
        <v>68</v>
      </c>
      <c r="L145" s="375" t="s">
        <v>73</v>
      </c>
      <c r="M145" s="375" t="s">
        <v>659</v>
      </c>
      <c r="N145" s="376" t="s">
        <v>660</v>
      </c>
      <c r="O145" s="377">
        <v>46131</v>
      </c>
      <c r="P145" s="378" t="s">
        <v>661</v>
      </c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</row>
    <row r="146" spans="1:47">
      <c r="A146" s="314" t="s">
        <v>662</v>
      </c>
      <c r="B146" s="315">
        <v>46101</v>
      </c>
      <c r="C146" s="6" t="s">
        <v>663</v>
      </c>
      <c r="D146" s="305" t="s">
        <v>664</v>
      </c>
      <c r="E146" t="s">
        <v>177</v>
      </c>
      <c r="F146" t="s">
        <v>72</v>
      </c>
      <c r="I146" s="304">
        <f>(1500+500+300)*1.1</f>
        <v>2530</v>
      </c>
      <c r="M146" s="163"/>
      <c r="O146" s="379"/>
      <c r="P146" s="380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</row>
    <row r="147" spans="1:47">
      <c r="A147" s="314" t="s">
        <v>665</v>
      </c>
      <c r="B147" s="315">
        <v>46101</v>
      </c>
      <c r="C147" s="6" t="s">
        <v>666</v>
      </c>
      <c r="D147" s="305" t="s">
        <v>667</v>
      </c>
      <c r="E147" t="s">
        <v>177</v>
      </c>
      <c r="F147" t="s">
        <v>72</v>
      </c>
      <c r="I147" s="304">
        <f>3500*1.15</f>
        <v>4024.9999999999995</v>
      </c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</row>
    <row r="148" spans="1:47">
      <c r="A148" s="314" t="s">
        <v>665</v>
      </c>
      <c r="B148" s="315">
        <v>46101</v>
      </c>
      <c r="C148" s="6" t="s">
        <v>668</v>
      </c>
      <c r="D148" s="305" t="s">
        <v>667</v>
      </c>
      <c r="E148" t="s">
        <v>177</v>
      </c>
      <c r="F148" t="s">
        <v>72</v>
      </c>
      <c r="I148" s="270">
        <f>2200</f>
        <v>2200</v>
      </c>
      <c r="K148" s="303"/>
      <c r="M148" s="163"/>
      <c r="O148" s="379"/>
      <c r="P148" s="381"/>
      <c r="Q148" s="382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</row>
    <row r="149" spans="1:47">
      <c r="A149" s="314"/>
      <c r="B149" s="315"/>
      <c r="C149" s="6"/>
      <c r="E149" t="s">
        <v>177</v>
      </c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</row>
  </sheetData>
  <conditionalFormatting sqref="E1:E1048576">
    <cfRule type="cellIs" dxfId="63" priority="13" operator="equal">
      <formula>"Delivered"</formula>
    </cfRule>
  </conditionalFormatting>
  <conditionalFormatting sqref="L1:L127 L132:L143 L146:L147 L149:L1048576">
    <cfRule type="containsText" dxfId="62" priority="12" operator="containsText" text="Sent">
      <formula>NOT(ISERROR(SEARCH("Sent",L1)))</formula>
    </cfRule>
  </conditionalFormatting>
  <conditionalFormatting sqref="M126:P126">
    <cfRule type="containsText" dxfId="61" priority="11" operator="containsText" text="Sent">
      <formula>NOT(ISERROR(SEARCH("Sent",M126)))</formula>
    </cfRule>
  </conditionalFormatting>
  <conditionalFormatting sqref="M124:P124">
    <cfRule type="containsText" dxfId="60" priority="10" operator="containsText" text="Sent">
      <formula>NOT(ISERROR(SEARCH("Sent",M124)))</formula>
    </cfRule>
  </conditionalFormatting>
  <conditionalFormatting sqref="M125:P125">
    <cfRule type="containsText" dxfId="59" priority="9" operator="containsText" text="Sent">
      <formula>NOT(ISERROR(SEARCH("Sent",M125)))</formula>
    </cfRule>
  </conditionalFormatting>
  <conditionalFormatting sqref="L130">
    <cfRule type="containsText" dxfId="58" priority="6" operator="containsText" text="Sent">
      <formula>NOT(ISERROR(SEARCH("Sent",L130)))</formula>
    </cfRule>
  </conditionalFormatting>
  <conditionalFormatting sqref="M142:P142">
    <cfRule type="containsText" dxfId="57" priority="5" operator="containsText" text="Sent">
      <formula>NOT(ISERROR(SEARCH("Sent",M142)))</formula>
    </cfRule>
  </conditionalFormatting>
  <conditionalFormatting sqref="M143:P143">
    <cfRule type="containsText" dxfId="56" priority="4" operator="containsText" text="Sent">
      <formula>NOT(ISERROR(SEARCH("Sent",M143)))</formula>
    </cfRule>
  </conditionalFormatting>
  <conditionalFormatting sqref="L144">
    <cfRule type="containsText" dxfId="55" priority="3" operator="containsText" text="Sent">
      <formula>NOT(ISERROR(SEARCH("Sent",L144)))</formula>
    </cfRule>
  </conditionalFormatting>
  <conditionalFormatting sqref="M148">
    <cfRule type="containsText" dxfId="54" priority="2" operator="containsText" text="Sent">
      <formula>NOT(ISERROR(SEARCH("Sent",M148)))</formula>
    </cfRule>
  </conditionalFormatting>
  <conditionalFormatting sqref="L145">
    <cfRule type="containsText" dxfId="53" priority="1" operator="containsText" text="Sent">
      <formula>NOT(ISERROR(SEARCH("Sent",L145)))</formula>
    </cfRule>
  </conditionalFormatting>
  <hyperlinks>
    <hyperlink ref="G121" r:id="rId1" xr:uid="{B266E962-80E2-47B6-908F-FADB96AC3D8D}"/>
    <hyperlink ref="G116" r:id="rId2" xr:uid="{135ED202-865D-4C20-A7F9-15748EAA9975}"/>
    <hyperlink ref="G117" r:id="rId3" xr:uid="{08B2D5FF-FD42-4F08-873F-0651922C4666}"/>
    <hyperlink ref="J116" r:id="rId4" xr:uid="{761BBCF8-6AD4-4046-AB09-E32A91B3D6B2}"/>
    <hyperlink ref="G111" r:id="rId5" xr:uid="{9F3FA03E-A84E-40BB-9A34-2E3AD7490B18}"/>
    <hyperlink ref="G128" r:id="rId6" xr:uid="{6DD4C989-25F2-4D15-A66D-56FCA4E21170}"/>
    <hyperlink ref="G101" r:id="rId7" xr:uid="{2B29B57E-71C6-4523-BF88-03204AE797B6}"/>
    <hyperlink ref="G109" r:id="rId8" xr:uid="{1FF1EAE1-1FB6-41E0-A062-8906CB414130}"/>
    <hyperlink ref="J109" r:id="rId9" xr:uid="{1C431784-0CCE-4930-B8DD-988E0CFC97B2}"/>
    <hyperlink ref="G138" r:id="rId10" xr:uid="{A611D86C-FD5C-4586-91F6-8AB8808F12B9}"/>
    <hyperlink ref="G139" r:id="rId11" xr:uid="{152B2101-C719-4762-89BA-DCB2F33121F4}"/>
    <hyperlink ref="G140" r:id="rId12" xr:uid="{12CE4820-E037-48F1-AD72-185997515CBD}"/>
    <hyperlink ref="G144" r:id="rId13" xr:uid="{33F7AF81-3D7F-40A8-BD70-9D8E03560144}"/>
    <hyperlink ref="G145" r:id="rId14" xr:uid="{92DCD6A2-E364-49F3-932A-86E688DFD09B}"/>
    <hyperlink ref="J144" r:id="rId15" xr:uid="{86F6599B-583F-4560-8657-A4769886B4E6}"/>
  </hyperlinks>
  <pageMargins left="0.7" right="0.7" top="0.75" bottom="0.75" header="0.3" footer="0.3"/>
  <tableParts count="1">
    <tablePart r:id="rId1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9764D-E1F3-4EC2-9B01-9616412AAA48}">
  <dimension ref="A1:M9"/>
  <sheetViews>
    <sheetView workbookViewId="0">
      <selection activeCell="B9" sqref="B9"/>
    </sheetView>
  </sheetViews>
  <sheetFormatPr defaultRowHeight="15"/>
  <cols>
    <col min="2" max="2" width="36.28515625" customWidth="1"/>
    <col min="3" max="3" width="29.7109375" customWidth="1"/>
    <col min="4" max="8" width="14.140625" customWidth="1"/>
    <col min="9" max="9" width="88.85546875" customWidth="1"/>
    <col min="10" max="10" width="20.5703125" customWidth="1"/>
    <col min="11" max="11" width="18.140625" customWidth="1"/>
    <col min="12" max="12" width="16.42578125" customWidth="1"/>
    <col min="13" max="13" width="19.28515625" customWidth="1"/>
  </cols>
  <sheetData>
    <row r="1" spans="1:13">
      <c r="A1" s="17" t="s">
        <v>51</v>
      </c>
      <c r="B1" s="20" t="s">
        <v>18</v>
      </c>
      <c r="C1" s="17" t="s">
        <v>55</v>
      </c>
      <c r="D1" s="18" t="s">
        <v>669</v>
      </c>
      <c r="E1" s="18" t="s">
        <v>670</v>
      </c>
      <c r="F1" s="18" t="s">
        <v>671</v>
      </c>
      <c r="G1" s="18" t="s">
        <v>672</v>
      </c>
      <c r="H1" s="18" t="s">
        <v>673</v>
      </c>
      <c r="I1" s="17" t="s">
        <v>60</v>
      </c>
      <c r="J1" s="17" t="s">
        <v>61</v>
      </c>
      <c r="K1" s="17" t="s">
        <v>62</v>
      </c>
      <c r="L1" s="17" t="s">
        <v>63</v>
      </c>
      <c r="M1" s="17" t="s">
        <v>55</v>
      </c>
    </row>
    <row r="2" spans="1:13">
      <c r="A2" t="s">
        <v>237</v>
      </c>
      <c r="B2" s="54" t="s">
        <v>238</v>
      </c>
      <c r="C2" t="s">
        <v>177</v>
      </c>
      <c r="D2" s="88">
        <v>34000</v>
      </c>
      <c r="E2" s="88">
        <v>12000</v>
      </c>
      <c r="F2" s="88">
        <v>6000</v>
      </c>
      <c r="G2" s="88">
        <v>8000</v>
      </c>
      <c r="H2" s="70">
        <f t="shared" ref="H2:H5" si="0">D2-E2-F2-G2</f>
        <v>8000</v>
      </c>
      <c r="I2" s="89" t="s">
        <v>674</v>
      </c>
      <c r="J2" s="90" t="s">
        <v>68</v>
      </c>
      <c r="K2" s="90" t="s">
        <v>242</v>
      </c>
      <c r="L2" s="90" t="s">
        <v>243</v>
      </c>
      <c r="M2" s="91" t="s">
        <v>244</v>
      </c>
    </row>
    <row r="3" spans="1:13">
      <c r="A3" t="s">
        <v>237</v>
      </c>
      <c r="B3" s="54" t="s">
        <v>252</v>
      </c>
      <c r="C3" t="s">
        <v>177</v>
      </c>
      <c r="D3" s="3">
        <v>5000</v>
      </c>
      <c r="E3" s="3"/>
      <c r="F3" s="3"/>
      <c r="G3" s="3"/>
      <c r="H3" s="70"/>
      <c r="I3" t="s">
        <v>253</v>
      </c>
      <c r="J3" s="2"/>
      <c r="K3" s="2"/>
      <c r="L3" s="2"/>
      <c r="M3" s="66"/>
    </row>
    <row r="4" spans="1:13">
      <c r="A4" t="s">
        <v>237</v>
      </c>
      <c r="B4" s="54" t="s">
        <v>675</v>
      </c>
      <c r="C4" s="22" t="s">
        <v>71</v>
      </c>
      <c r="D4" s="70">
        <v>16680</v>
      </c>
      <c r="E4" s="70">
        <v>15000</v>
      </c>
      <c r="F4" s="70"/>
      <c r="G4" s="70"/>
      <c r="H4" s="70">
        <f t="shared" si="0"/>
        <v>1680</v>
      </c>
      <c r="I4" s="64" t="s">
        <v>255</v>
      </c>
      <c r="J4" s="71" t="s">
        <v>68</v>
      </c>
      <c r="K4" s="76" t="s">
        <v>242</v>
      </c>
      <c r="L4" s="76" t="s">
        <v>256</v>
      </c>
      <c r="M4" s="86" t="s">
        <v>244</v>
      </c>
    </row>
    <row r="5" spans="1:13">
      <c r="A5" t="s">
        <v>237</v>
      </c>
      <c r="B5" s="54" t="s">
        <v>262</v>
      </c>
      <c r="C5" s="22" t="s">
        <v>71</v>
      </c>
      <c r="D5" s="70">
        <v>8000</v>
      </c>
      <c r="E5" s="70">
        <v>4000</v>
      </c>
      <c r="F5" s="70">
        <v>0</v>
      </c>
      <c r="G5" s="70">
        <v>0</v>
      </c>
      <c r="H5" s="70">
        <f t="shared" si="0"/>
        <v>4000</v>
      </c>
      <c r="I5" s="64" t="s">
        <v>263</v>
      </c>
      <c r="J5" s="64" t="s">
        <v>264</v>
      </c>
      <c r="K5" s="71" t="s">
        <v>265</v>
      </c>
      <c r="L5" s="71" t="s">
        <v>266</v>
      </c>
      <c r="M5" s="40" t="s">
        <v>244</v>
      </c>
    </row>
    <row r="6" spans="1:13">
      <c r="A6" t="s">
        <v>237</v>
      </c>
      <c r="B6" s="54" t="s">
        <v>326</v>
      </c>
      <c r="C6" s="22" t="s">
        <v>71</v>
      </c>
      <c r="D6" s="70">
        <v>1600</v>
      </c>
      <c r="E6" s="70">
        <v>700</v>
      </c>
      <c r="F6" s="70">
        <v>0</v>
      </c>
      <c r="G6" s="70">
        <v>310</v>
      </c>
      <c r="H6" s="70">
        <f>D6-E6-F6-G6</f>
        <v>590</v>
      </c>
      <c r="I6" s="64" t="s">
        <v>327</v>
      </c>
      <c r="J6" s="64" t="s">
        <v>68</v>
      </c>
      <c r="K6" s="71" t="s">
        <v>329</v>
      </c>
      <c r="L6" s="71" t="s">
        <v>330</v>
      </c>
      <c r="M6" s="40" t="s">
        <v>331</v>
      </c>
    </row>
    <row r="7" spans="1:13">
      <c r="A7" t="s">
        <v>237</v>
      </c>
      <c r="B7" s="52" t="s">
        <v>676</v>
      </c>
      <c r="C7" s="22"/>
      <c r="D7" s="70"/>
      <c r="E7" s="70"/>
      <c r="F7" s="70"/>
      <c r="G7" s="70"/>
      <c r="H7" s="70"/>
      <c r="I7" s="64"/>
      <c r="J7" s="64"/>
      <c r="K7" s="71"/>
      <c r="L7" s="71"/>
      <c r="M7" s="40"/>
    </row>
    <row r="8" spans="1:13">
      <c r="A8" t="s">
        <v>237</v>
      </c>
      <c r="B8" s="52" t="s">
        <v>677</v>
      </c>
      <c r="C8" s="22"/>
      <c r="D8" s="70"/>
      <c r="E8" s="70"/>
      <c r="F8" s="70"/>
      <c r="G8" s="70"/>
      <c r="H8" s="70"/>
      <c r="I8" s="64"/>
      <c r="J8" s="64"/>
      <c r="K8" s="71"/>
      <c r="L8" s="71"/>
      <c r="M8" s="40"/>
    </row>
    <row r="9" spans="1:13">
      <c r="A9" t="s">
        <v>237</v>
      </c>
      <c r="B9" t="s">
        <v>10</v>
      </c>
      <c r="D9" s="164">
        <f>SUM(D2:D6)</f>
        <v>65280</v>
      </c>
      <c r="E9" s="164">
        <f>SUM(E2:E6)</f>
        <v>31700</v>
      </c>
      <c r="F9" s="164">
        <f t="shared" ref="F9:H9" si="1">SUM(F2:F6)</f>
        <v>6000</v>
      </c>
      <c r="G9" s="164">
        <f t="shared" si="1"/>
        <v>8310</v>
      </c>
      <c r="H9" s="164">
        <f t="shared" si="1"/>
        <v>14270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15B0E-92B0-4F8E-A987-8CB2214CE11B}">
  <dimension ref="A1:AV50"/>
  <sheetViews>
    <sheetView topLeftCell="A4" workbookViewId="0">
      <selection activeCell="H9" sqref="H9"/>
    </sheetView>
  </sheetViews>
  <sheetFormatPr defaultRowHeight="15"/>
  <cols>
    <col min="1" max="1" width="11.42578125" style="101" bestFit="1" customWidth="1"/>
    <col min="2" max="2" width="67.85546875" style="101" customWidth="1"/>
    <col min="3" max="3" width="9.140625" style="101"/>
    <col min="4" max="4" width="16" style="101" customWidth="1"/>
    <col min="5" max="6" width="9.140625" style="101"/>
    <col min="7" max="7" width="11.28515625" style="101" bestFit="1" customWidth="1"/>
    <col min="8" max="8" width="12.28515625" style="101" bestFit="1" customWidth="1"/>
    <col min="9" max="11" width="9.140625" style="101"/>
    <col min="12" max="12" width="12" style="101" customWidth="1"/>
    <col min="13" max="13" width="22.28515625" style="101" bestFit="1" customWidth="1"/>
    <col min="14" max="14" width="12.28515625" style="101" bestFit="1" customWidth="1"/>
    <col min="15" max="15" width="10.42578125" style="101" hidden="1" customWidth="1"/>
    <col min="16" max="16" width="15.5703125" style="101" bestFit="1" customWidth="1"/>
    <col min="17" max="17" width="24.140625" style="101" customWidth="1"/>
    <col min="18" max="16384" width="9.140625" style="101"/>
  </cols>
  <sheetData>
    <row r="1" spans="1:48">
      <c r="A1" s="96"/>
      <c r="B1" s="97"/>
      <c r="C1" s="96"/>
      <c r="D1" s="96"/>
      <c r="E1" s="96"/>
      <c r="F1" s="96"/>
      <c r="G1" s="96"/>
      <c r="H1" s="98"/>
      <c r="I1" s="96"/>
      <c r="J1" s="96"/>
      <c r="K1" s="96"/>
      <c r="L1" s="96"/>
      <c r="M1" s="96"/>
      <c r="N1" s="99"/>
      <c r="O1" s="99"/>
      <c r="P1" s="99"/>
      <c r="Q1" s="99"/>
      <c r="R1" s="416" t="s">
        <v>678</v>
      </c>
      <c r="S1" s="416"/>
      <c r="T1" s="416"/>
      <c r="U1" s="416"/>
      <c r="V1" s="416"/>
      <c r="W1" s="416"/>
      <c r="X1" s="416"/>
      <c r="Y1" s="416"/>
      <c r="Z1" s="416" t="s">
        <v>679</v>
      </c>
      <c r="AA1" s="416"/>
      <c r="AB1" s="416"/>
      <c r="AC1" s="416"/>
      <c r="AD1" s="416"/>
      <c r="AE1" s="416"/>
      <c r="AF1" s="416"/>
      <c r="AG1" s="100" t="s">
        <v>680</v>
      </c>
      <c r="AH1" s="416" t="s">
        <v>681</v>
      </c>
      <c r="AI1" s="416"/>
      <c r="AJ1" s="416"/>
      <c r="AK1" s="416"/>
      <c r="AL1" s="416" t="s">
        <v>682</v>
      </c>
      <c r="AM1" s="416"/>
      <c r="AN1" s="416"/>
      <c r="AO1" s="416"/>
      <c r="AP1" s="416"/>
      <c r="AQ1" s="416"/>
      <c r="AR1" s="416"/>
      <c r="AS1" s="416" t="s">
        <v>683</v>
      </c>
      <c r="AT1" s="416"/>
      <c r="AU1" s="416" t="s">
        <v>684</v>
      </c>
      <c r="AV1" s="416"/>
    </row>
    <row r="2" spans="1:48" ht="76.5">
      <c r="A2" s="417"/>
      <c r="B2" s="417"/>
      <c r="C2" s="417" t="s">
        <v>685</v>
      </c>
      <c r="D2" s="417"/>
      <c r="E2" s="417"/>
      <c r="F2" s="417"/>
      <c r="G2" s="417"/>
      <c r="H2" s="417"/>
      <c r="I2" s="417"/>
      <c r="J2" s="417"/>
      <c r="K2" s="417"/>
      <c r="L2" s="417"/>
      <c r="M2" s="418"/>
      <c r="N2" s="42"/>
      <c r="O2" s="42"/>
      <c r="P2" s="42"/>
      <c r="Q2" s="42"/>
      <c r="R2" s="23" t="s">
        <v>686</v>
      </c>
      <c r="S2" s="24" t="s">
        <v>687</v>
      </c>
      <c r="T2" s="24" t="s">
        <v>688</v>
      </c>
      <c r="U2" s="24" t="s">
        <v>689</v>
      </c>
      <c r="V2" s="24" t="s">
        <v>24</v>
      </c>
      <c r="W2" s="24" t="s">
        <v>25</v>
      </c>
      <c r="X2" s="24" t="s">
        <v>26</v>
      </c>
      <c r="Y2" s="24" t="s">
        <v>27</v>
      </c>
      <c r="Z2" s="32" t="s">
        <v>690</v>
      </c>
      <c r="AA2" s="24" t="s">
        <v>691</v>
      </c>
      <c r="AB2" s="24" t="s">
        <v>692</v>
      </c>
      <c r="AC2" s="24" t="s">
        <v>693</v>
      </c>
      <c r="AD2" s="24" t="s">
        <v>32</v>
      </c>
      <c r="AE2" s="24" t="s">
        <v>33</v>
      </c>
      <c r="AF2" s="24" t="s">
        <v>694</v>
      </c>
      <c r="AG2" s="23" t="s">
        <v>35</v>
      </c>
      <c r="AH2" s="23" t="s">
        <v>695</v>
      </c>
      <c r="AI2" s="24" t="s">
        <v>696</v>
      </c>
      <c r="AJ2" s="24" t="s">
        <v>697</v>
      </c>
      <c r="AK2" s="24" t="s">
        <v>698</v>
      </c>
      <c r="AL2" s="23" t="s">
        <v>40</v>
      </c>
      <c r="AM2" s="31" t="s">
        <v>41</v>
      </c>
      <c r="AN2" s="31" t="s">
        <v>699</v>
      </c>
      <c r="AO2" s="31" t="s">
        <v>700</v>
      </c>
      <c r="AP2" s="31" t="s">
        <v>701</v>
      </c>
      <c r="AQ2" s="24" t="s">
        <v>702</v>
      </c>
      <c r="AR2" s="24" t="s">
        <v>703</v>
      </c>
      <c r="AS2" s="23" t="s">
        <v>47</v>
      </c>
      <c r="AT2" s="24" t="s">
        <v>48</v>
      </c>
      <c r="AU2" s="23" t="s">
        <v>704</v>
      </c>
      <c r="AV2" s="24" t="s">
        <v>705</v>
      </c>
    </row>
    <row r="3" spans="1:48">
      <c r="A3" s="102" t="s">
        <v>53</v>
      </c>
      <c r="B3" s="103" t="s">
        <v>18</v>
      </c>
      <c r="C3" s="102" t="s">
        <v>54</v>
      </c>
      <c r="D3" s="102" t="s">
        <v>55</v>
      </c>
      <c r="E3" s="102" t="s">
        <v>56</v>
      </c>
      <c r="F3" s="102" t="s">
        <v>57</v>
      </c>
      <c r="G3" s="102" t="s">
        <v>58</v>
      </c>
      <c r="H3" s="104" t="s">
        <v>59</v>
      </c>
      <c r="I3" s="102" t="s">
        <v>60</v>
      </c>
      <c r="J3" s="102" t="s">
        <v>61</v>
      </c>
      <c r="K3" s="102" t="s">
        <v>62</v>
      </c>
      <c r="L3" s="102" t="s">
        <v>63</v>
      </c>
      <c r="M3" s="102" t="s">
        <v>55</v>
      </c>
      <c r="N3" s="105" t="s">
        <v>65</v>
      </c>
      <c r="O3" s="105"/>
      <c r="P3" s="105" t="s">
        <v>706</v>
      </c>
      <c r="Q3" s="105" t="s">
        <v>493</v>
      </c>
      <c r="R3" s="106">
        <v>135</v>
      </c>
      <c r="S3" s="107">
        <v>35</v>
      </c>
      <c r="T3" s="107">
        <v>220</v>
      </c>
      <c r="U3" s="107">
        <v>50</v>
      </c>
      <c r="V3" s="107">
        <v>2000</v>
      </c>
      <c r="W3" s="107">
        <v>250</v>
      </c>
      <c r="X3" s="107">
        <v>400</v>
      </c>
      <c r="Y3" s="107">
        <v>85</v>
      </c>
      <c r="Z3" s="106">
        <v>135</v>
      </c>
      <c r="AA3" s="108">
        <v>40</v>
      </c>
      <c r="AB3" s="106">
        <v>180</v>
      </c>
      <c r="AC3" s="107">
        <v>260</v>
      </c>
      <c r="AD3" s="107">
        <v>180</v>
      </c>
      <c r="AE3" s="107">
        <v>400</v>
      </c>
      <c r="AF3" s="107">
        <v>2200</v>
      </c>
      <c r="AG3" s="106">
        <v>30</v>
      </c>
      <c r="AH3" s="106">
        <v>300</v>
      </c>
      <c r="AI3" s="107">
        <v>700</v>
      </c>
      <c r="AJ3" s="107">
        <v>5000</v>
      </c>
      <c r="AK3" s="107">
        <v>7000</v>
      </c>
      <c r="AL3" s="106">
        <v>80</v>
      </c>
      <c r="AM3" s="108">
        <v>150</v>
      </c>
      <c r="AN3" s="108">
        <v>260</v>
      </c>
      <c r="AO3" s="108">
        <v>560</v>
      </c>
      <c r="AP3" s="107">
        <v>4000</v>
      </c>
      <c r="AQ3" s="107">
        <v>5000</v>
      </c>
      <c r="AR3" s="107">
        <v>10000</v>
      </c>
      <c r="AS3" s="106">
        <v>2500</v>
      </c>
      <c r="AT3" s="107">
        <v>10000</v>
      </c>
      <c r="AU3" s="109">
        <v>0.1</v>
      </c>
      <c r="AV3" s="110">
        <v>0.25</v>
      </c>
    </row>
    <row r="4" spans="1:48" ht="24.75">
      <c r="A4" s="111" t="s">
        <v>68</v>
      </c>
      <c r="B4" s="112" t="s">
        <v>707</v>
      </c>
      <c r="C4" s="113" t="s">
        <v>708</v>
      </c>
      <c r="D4" s="113" t="s">
        <v>71</v>
      </c>
      <c r="E4" s="113" t="s">
        <v>72</v>
      </c>
      <c r="F4" s="113" t="s">
        <v>68</v>
      </c>
      <c r="G4" s="113">
        <v>1</v>
      </c>
      <c r="H4" s="114">
        <v>500</v>
      </c>
      <c r="I4" s="113" t="s">
        <v>68</v>
      </c>
      <c r="J4" s="113" t="s">
        <v>68</v>
      </c>
      <c r="K4" s="113" t="s">
        <v>73</v>
      </c>
      <c r="L4" s="113" t="s">
        <v>709</v>
      </c>
      <c r="M4" s="115" t="s">
        <v>710</v>
      </c>
      <c r="N4" s="92">
        <v>45435</v>
      </c>
      <c r="O4" s="92">
        <f ca="1">TODAY()</f>
        <v>46106</v>
      </c>
      <c r="P4" s="95">
        <f ca="1">_xlfn.DAYS(O4,N4)</f>
        <v>671</v>
      </c>
      <c r="Q4" s="93" t="s">
        <v>711</v>
      </c>
      <c r="R4" s="116"/>
      <c r="Z4" s="116"/>
      <c r="AG4" s="116"/>
      <c r="AH4" s="116"/>
      <c r="AL4" s="116"/>
      <c r="AS4" s="116"/>
      <c r="AU4" s="116"/>
    </row>
    <row r="5" spans="1:48" ht="24.75">
      <c r="A5" s="111" t="s">
        <v>68</v>
      </c>
      <c r="B5" s="112" t="s">
        <v>712</v>
      </c>
      <c r="C5" s="113" t="s">
        <v>708</v>
      </c>
      <c r="D5" s="113" t="s">
        <v>71</v>
      </c>
      <c r="E5" s="113" t="s">
        <v>72</v>
      </c>
      <c r="F5" s="113" t="s">
        <v>68</v>
      </c>
      <c r="G5" s="113">
        <v>1</v>
      </c>
      <c r="H5" s="114">
        <v>500</v>
      </c>
      <c r="I5" s="113" t="s">
        <v>68</v>
      </c>
      <c r="J5" s="113" t="s">
        <v>68</v>
      </c>
      <c r="K5" s="113" t="s">
        <v>73</v>
      </c>
      <c r="L5" s="113" t="s">
        <v>709</v>
      </c>
      <c r="M5" s="115" t="s">
        <v>710</v>
      </c>
      <c r="N5" s="92">
        <v>45435</v>
      </c>
      <c r="O5" s="92">
        <f t="shared" ref="O5:O10" ca="1" si="0">TODAY()</f>
        <v>46106</v>
      </c>
      <c r="P5" s="95">
        <f t="shared" ref="P5:P10" ca="1" si="1">_xlfn.DAYS(O5,N5)</f>
        <v>671</v>
      </c>
      <c r="Q5" s="93" t="s">
        <v>711</v>
      </c>
      <c r="R5" s="116"/>
      <c r="Z5" s="116"/>
      <c r="AG5" s="116"/>
      <c r="AH5" s="116"/>
      <c r="AL5" s="116"/>
      <c r="AS5" s="116"/>
      <c r="AU5" s="116"/>
    </row>
    <row r="6" spans="1:48" ht="24.75">
      <c r="A6" s="111" t="s">
        <v>68</v>
      </c>
      <c r="B6" s="112" t="s">
        <v>713</v>
      </c>
      <c r="C6" s="113" t="s">
        <v>708</v>
      </c>
      <c r="D6" s="113" t="s">
        <v>71</v>
      </c>
      <c r="E6" s="113" t="s">
        <v>72</v>
      </c>
      <c r="F6" s="113" t="s">
        <v>68</v>
      </c>
      <c r="G6" s="113">
        <v>1</v>
      </c>
      <c r="H6" s="114">
        <v>1000</v>
      </c>
      <c r="I6" s="113" t="s">
        <v>68</v>
      </c>
      <c r="J6" s="113" t="s">
        <v>68</v>
      </c>
      <c r="K6" s="113" t="s">
        <v>73</v>
      </c>
      <c r="L6" s="113" t="s">
        <v>709</v>
      </c>
      <c r="M6" s="115" t="s">
        <v>710</v>
      </c>
      <c r="N6" s="92">
        <v>45435</v>
      </c>
      <c r="O6" s="92">
        <f t="shared" ca="1" si="0"/>
        <v>46106</v>
      </c>
      <c r="P6" s="95">
        <f t="shared" ca="1" si="1"/>
        <v>671</v>
      </c>
      <c r="Q6" s="93" t="s">
        <v>711</v>
      </c>
      <c r="R6" s="116"/>
      <c r="Z6" s="116"/>
      <c r="AG6" s="116"/>
      <c r="AH6" s="116"/>
      <c r="AL6" s="116"/>
      <c r="AS6" s="116"/>
      <c r="AU6" s="116"/>
    </row>
    <row r="7" spans="1:48" ht="24.75">
      <c r="A7" s="111" t="s">
        <v>68</v>
      </c>
      <c r="B7" s="112" t="s">
        <v>714</v>
      </c>
      <c r="C7" s="113" t="s">
        <v>708</v>
      </c>
      <c r="D7" s="113" t="s">
        <v>71</v>
      </c>
      <c r="E7" s="113" t="s">
        <v>72</v>
      </c>
      <c r="F7" s="113" t="s">
        <v>68</v>
      </c>
      <c r="G7" s="113">
        <v>1</v>
      </c>
      <c r="H7" s="114">
        <v>2000</v>
      </c>
      <c r="I7" s="113" t="s">
        <v>68</v>
      </c>
      <c r="J7" s="113" t="s">
        <v>68</v>
      </c>
      <c r="K7" s="113" t="s">
        <v>73</v>
      </c>
      <c r="L7" s="113" t="s">
        <v>709</v>
      </c>
      <c r="M7" s="115" t="s">
        <v>710</v>
      </c>
      <c r="N7" s="92">
        <v>45435</v>
      </c>
      <c r="O7" s="92">
        <f t="shared" ca="1" si="0"/>
        <v>46106</v>
      </c>
      <c r="P7" s="95">
        <f t="shared" ca="1" si="1"/>
        <v>671</v>
      </c>
      <c r="Q7" s="93" t="s">
        <v>711</v>
      </c>
      <c r="R7" s="116"/>
      <c r="Z7" s="116"/>
      <c r="AG7" s="116"/>
      <c r="AH7" s="116"/>
      <c r="AL7" s="116"/>
      <c r="AS7" s="116"/>
      <c r="AU7" s="116"/>
    </row>
    <row r="8" spans="1:48" ht="24.75">
      <c r="A8" s="111" t="s">
        <v>68</v>
      </c>
      <c r="B8" s="112" t="s">
        <v>715</v>
      </c>
      <c r="C8" s="113" t="s">
        <v>708</v>
      </c>
      <c r="D8" s="113" t="s">
        <v>71</v>
      </c>
      <c r="E8" s="113" t="s">
        <v>72</v>
      </c>
      <c r="F8" s="113" t="s">
        <v>68</v>
      </c>
      <c r="G8" s="113">
        <v>1</v>
      </c>
      <c r="H8" s="114">
        <v>750</v>
      </c>
      <c r="I8" s="113" t="s">
        <v>68</v>
      </c>
      <c r="J8" s="113" t="s">
        <v>68</v>
      </c>
      <c r="K8" s="113" t="s">
        <v>73</v>
      </c>
      <c r="L8" s="113" t="s">
        <v>716</v>
      </c>
      <c r="M8" s="115" t="s">
        <v>710</v>
      </c>
      <c r="N8" s="92">
        <v>45435</v>
      </c>
      <c r="O8" s="92">
        <f t="shared" ca="1" si="0"/>
        <v>46106</v>
      </c>
      <c r="P8" s="95">
        <f t="shared" ca="1" si="1"/>
        <v>671</v>
      </c>
      <c r="Q8" s="93" t="s">
        <v>711</v>
      </c>
      <c r="R8" s="116"/>
      <c r="Z8" s="116"/>
      <c r="AG8" s="116"/>
      <c r="AH8" s="116"/>
      <c r="AL8" s="116"/>
      <c r="AS8" s="116"/>
      <c r="AU8" s="116"/>
    </row>
    <row r="9" spans="1:48" ht="24.75">
      <c r="A9" s="111" t="s">
        <v>68</v>
      </c>
      <c r="B9" s="112" t="s">
        <v>717</v>
      </c>
      <c r="C9" s="113" t="s">
        <v>708</v>
      </c>
      <c r="D9" s="113" t="s">
        <v>71</v>
      </c>
      <c r="E9" s="113" t="s">
        <v>72</v>
      </c>
      <c r="F9" s="113" t="s">
        <v>68</v>
      </c>
      <c r="G9" s="113">
        <f>IF(SUM(R9:AV9)=0,"-",SUM(R9:AV9))</f>
        <v>3</v>
      </c>
      <c r="H9" s="114">
        <f>IF(SUMPRODUCT($R$3:$AV$3,R9:AV9)=0,"-",SUMPRODUCT($R$3:$AV$3,R9:AV9))</f>
        <v>120</v>
      </c>
      <c r="I9" s="113" t="s">
        <v>68</v>
      </c>
      <c r="J9" s="113" t="s">
        <v>68</v>
      </c>
      <c r="K9" s="113" t="s">
        <v>73</v>
      </c>
      <c r="L9" s="113" t="s">
        <v>718</v>
      </c>
      <c r="M9" s="115" t="s">
        <v>719</v>
      </c>
      <c r="N9" s="92">
        <v>45602</v>
      </c>
      <c r="O9" s="92">
        <f t="shared" ca="1" si="0"/>
        <v>46106</v>
      </c>
      <c r="P9" s="95">
        <f t="shared" ca="1" si="1"/>
        <v>504</v>
      </c>
      <c r="Q9" s="93" t="s">
        <v>711</v>
      </c>
      <c r="R9" s="116"/>
      <c r="Z9" s="116"/>
      <c r="AA9" s="101">
        <v>3</v>
      </c>
      <c r="AG9" s="116"/>
      <c r="AH9" s="116"/>
      <c r="AL9" s="116"/>
      <c r="AS9" s="116"/>
      <c r="AU9" s="116"/>
    </row>
    <row r="10" spans="1:48" ht="24.75">
      <c r="A10" s="111" t="s">
        <v>68</v>
      </c>
      <c r="B10" s="112" t="s">
        <v>720</v>
      </c>
      <c r="C10" s="113" t="s">
        <v>708</v>
      </c>
      <c r="D10" s="113" t="s">
        <v>71</v>
      </c>
      <c r="E10" s="113" t="s">
        <v>72</v>
      </c>
      <c r="F10" s="113"/>
      <c r="G10" s="113">
        <v>2900</v>
      </c>
      <c r="H10" s="114">
        <v>2900</v>
      </c>
      <c r="I10" s="113" t="s">
        <v>68</v>
      </c>
      <c r="J10" s="113" t="s">
        <v>68</v>
      </c>
      <c r="K10" s="113" t="s">
        <v>73</v>
      </c>
      <c r="L10" s="113" t="s">
        <v>721</v>
      </c>
      <c r="M10" s="115" t="s">
        <v>719</v>
      </c>
      <c r="N10" s="92">
        <v>45602</v>
      </c>
      <c r="O10" s="92">
        <f t="shared" ca="1" si="0"/>
        <v>46106</v>
      </c>
      <c r="P10" s="95">
        <f t="shared" ca="1" si="1"/>
        <v>504</v>
      </c>
      <c r="Q10" s="93" t="s">
        <v>711</v>
      </c>
      <c r="R10" s="116"/>
      <c r="Z10" s="116"/>
      <c r="AG10" s="116"/>
      <c r="AH10" s="116"/>
      <c r="AL10" s="116"/>
      <c r="AS10" s="116"/>
      <c r="AU10" s="116"/>
    </row>
    <row r="11" spans="1:48" ht="24.75">
      <c r="A11" s="117" t="s">
        <v>68</v>
      </c>
      <c r="B11" s="118" t="s">
        <v>722</v>
      </c>
      <c r="C11" s="119" t="s">
        <v>708</v>
      </c>
      <c r="D11" s="120" t="s">
        <v>723</v>
      </c>
      <c r="E11" s="119"/>
      <c r="F11" s="119" t="s">
        <v>68</v>
      </c>
      <c r="G11" s="119">
        <v>1</v>
      </c>
      <c r="H11" s="121">
        <v>6000</v>
      </c>
      <c r="I11" s="119"/>
      <c r="J11" s="119"/>
      <c r="K11" s="119"/>
      <c r="L11" s="119"/>
      <c r="M11" s="119"/>
      <c r="N11" s="94"/>
      <c r="O11" s="94"/>
      <c r="P11" s="94"/>
      <c r="Q11" s="94" t="s">
        <v>724</v>
      </c>
      <c r="R11" s="116"/>
      <c r="Z11" s="116"/>
      <c r="AG11" s="116"/>
      <c r="AH11" s="116"/>
      <c r="AL11" s="116"/>
      <c r="AS11" s="116"/>
      <c r="AU11" s="116"/>
    </row>
    <row r="12" spans="1:48" ht="24.75">
      <c r="A12" s="117" t="s">
        <v>68</v>
      </c>
      <c r="B12" s="118" t="s">
        <v>725</v>
      </c>
      <c r="C12" s="119" t="s">
        <v>708</v>
      </c>
      <c r="D12" s="120" t="s">
        <v>723</v>
      </c>
      <c r="E12" s="119"/>
      <c r="F12" s="119" t="s">
        <v>68</v>
      </c>
      <c r="G12" s="119">
        <v>1</v>
      </c>
      <c r="H12" s="121">
        <v>500</v>
      </c>
      <c r="I12" s="119"/>
      <c r="J12" s="119"/>
      <c r="K12" s="119"/>
      <c r="L12" s="119"/>
      <c r="M12" s="119"/>
      <c r="N12" s="94"/>
      <c r="O12" s="94"/>
      <c r="P12" s="94"/>
      <c r="Q12" s="149" t="s">
        <v>724</v>
      </c>
      <c r="Y12" s="116"/>
      <c r="AF12" s="116"/>
      <c r="AG12" s="116"/>
      <c r="AK12" s="116"/>
      <c r="AR12" s="116"/>
      <c r="AT12" s="116"/>
      <c r="AV12" s="116"/>
    </row>
    <row r="13" spans="1:48" ht="24.75">
      <c r="A13" s="122">
        <v>45355</v>
      </c>
      <c r="B13" s="150" t="s">
        <v>726</v>
      </c>
      <c r="C13" s="123" t="s">
        <v>727</v>
      </c>
      <c r="D13" s="123"/>
      <c r="E13" s="123" t="s">
        <v>72</v>
      </c>
      <c r="F13" s="123" t="s">
        <v>68</v>
      </c>
      <c r="G13" s="123"/>
      <c r="H13" s="124">
        <v>8200</v>
      </c>
      <c r="I13" s="124" t="s">
        <v>68</v>
      </c>
      <c r="J13" s="124" t="s">
        <v>68</v>
      </c>
      <c r="K13" s="124"/>
      <c r="L13" s="124"/>
      <c r="M13" s="124"/>
      <c r="N13" s="75"/>
      <c r="O13" s="75"/>
      <c r="P13" s="125"/>
      <c r="Q13" s="126"/>
      <c r="R13" s="116"/>
      <c r="Z13" s="116"/>
      <c r="AG13" s="116"/>
      <c r="AH13" s="116"/>
      <c r="AL13" s="116"/>
      <c r="AS13" s="116"/>
      <c r="AU13" s="116"/>
    </row>
    <row r="14" spans="1:48">
      <c r="A14" s="127"/>
      <c r="B14" s="128" t="s">
        <v>728</v>
      </c>
      <c r="C14" s="129"/>
      <c r="D14" s="129"/>
      <c r="E14" s="129"/>
      <c r="F14" s="129"/>
      <c r="G14" s="129"/>
      <c r="H14" s="130">
        <v>7380</v>
      </c>
      <c r="I14" s="130"/>
      <c r="J14" s="130"/>
      <c r="K14" s="130"/>
      <c r="L14" s="130" t="s">
        <v>729</v>
      </c>
      <c r="M14" s="130"/>
      <c r="N14" s="131"/>
      <c r="O14" s="75"/>
      <c r="P14" s="125"/>
      <c r="Q14" s="126"/>
      <c r="R14" s="116"/>
      <c r="Z14" s="116"/>
      <c r="AG14" s="116"/>
      <c r="AH14" s="116"/>
      <c r="AL14" s="116"/>
      <c r="AS14" s="116"/>
      <c r="AU14" s="116"/>
    </row>
    <row r="15" spans="1:48">
      <c r="A15" s="122"/>
      <c r="B15" s="132" t="s">
        <v>730</v>
      </c>
      <c r="C15" s="123"/>
      <c r="D15" s="123"/>
      <c r="E15" s="123"/>
      <c r="F15" s="123"/>
      <c r="G15" s="123"/>
      <c r="H15" s="124">
        <v>820</v>
      </c>
      <c r="I15" s="124"/>
      <c r="J15" s="124"/>
      <c r="K15" s="124"/>
      <c r="L15" s="124" t="s">
        <v>731</v>
      </c>
      <c r="M15" s="124"/>
      <c r="N15" s="75"/>
      <c r="O15" s="75"/>
      <c r="P15" s="125"/>
      <c r="Q15" s="126"/>
      <c r="R15" s="116"/>
      <c r="Z15" s="116"/>
      <c r="AG15" s="116"/>
      <c r="AH15" s="116"/>
      <c r="AL15" s="116"/>
      <c r="AS15" s="116"/>
      <c r="AU15" s="116"/>
    </row>
    <row r="16" spans="1:48">
      <c r="A16" s="122">
        <v>45355</v>
      </c>
      <c r="B16" s="133" t="s">
        <v>732</v>
      </c>
      <c r="C16" s="123" t="s">
        <v>727</v>
      </c>
      <c r="D16" s="123" t="s">
        <v>71</v>
      </c>
      <c r="E16" s="123" t="s">
        <v>72</v>
      </c>
      <c r="F16" s="123" t="s">
        <v>68</v>
      </c>
      <c r="G16" s="123" t="s">
        <v>68</v>
      </c>
      <c r="H16" s="134">
        <v>2500</v>
      </c>
      <c r="I16" s="135"/>
      <c r="J16" s="123" t="s">
        <v>68</v>
      </c>
      <c r="K16" s="123"/>
      <c r="L16" s="123" t="s">
        <v>733</v>
      </c>
      <c r="M16" s="136" t="s">
        <v>734</v>
      </c>
      <c r="N16" s="75">
        <v>45602</v>
      </c>
      <c r="O16" s="137" t="e">
        <f>_xlfn.DAYS(N16,M16)</f>
        <v>#VALUE!</v>
      </c>
      <c r="P16" s="125"/>
      <c r="Q16" s="126"/>
      <c r="R16" s="116"/>
      <c r="Z16" s="116"/>
      <c r="AG16" s="116"/>
      <c r="AH16" s="116"/>
      <c r="AL16" s="116"/>
      <c r="AS16" s="116"/>
      <c r="AU16" s="116"/>
    </row>
    <row r="17" spans="1:47" s="153" customFormat="1">
      <c r="A17" s="151">
        <v>45355</v>
      </c>
      <c r="B17" s="139" t="s">
        <v>735</v>
      </c>
      <c r="C17" s="152" t="s">
        <v>727</v>
      </c>
      <c r="D17" s="153" t="s">
        <v>177</v>
      </c>
      <c r="E17" s="152" t="s">
        <v>72</v>
      </c>
      <c r="F17" s="152" t="s">
        <v>68</v>
      </c>
      <c r="G17" s="152" t="s">
        <v>68</v>
      </c>
      <c r="H17" s="154">
        <v>1700</v>
      </c>
      <c r="I17" s="155"/>
      <c r="J17" s="152" t="s">
        <v>68</v>
      </c>
      <c r="K17" s="152"/>
      <c r="L17" s="152" t="s">
        <v>733</v>
      </c>
      <c r="M17" s="156" t="s">
        <v>734</v>
      </c>
      <c r="N17" s="157">
        <v>45602</v>
      </c>
      <c r="O17" s="158" t="e">
        <f>_xlfn.DAYS(N17,M17)</f>
        <v>#VALUE!</v>
      </c>
      <c r="P17" s="159"/>
      <c r="Q17" s="160"/>
      <c r="R17" s="161"/>
      <c r="Z17" s="161"/>
      <c r="AG17" s="161"/>
      <c r="AH17" s="161"/>
      <c r="AL17" s="161"/>
      <c r="AS17" s="161"/>
      <c r="AU17" s="161"/>
    </row>
    <row r="18" spans="1:47">
      <c r="A18" s="122">
        <v>45355</v>
      </c>
      <c r="B18" s="133" t="s">
        <v>736</v>
      </c>
      <c r="C18" s="123" t="s">
        <v>727</v>
      </c>
      <c r="D18" s="123" t="s">
        <v>71</v>
      </c>
      <c r="E18" s="123" t="s">
        <v>72</v>
      </c>
      <c r="F18" s="123" t="s">
        <v>68</v>
      </c>
      <c r="G18" s="123" t="s">
        <v>68</v>
      </c>
      <c r="H18" s="134">
        <v>750</v>
      </c>
      <c r="I18" s="135"/>
      <c r="J18" s="123" t="s">
        <v>68</v>
      </c>
      <c r="K18" s="123"/>
      <c r="L18" s="123" t="s">
        <v>733</v>
      </c>
      <c r="M18" s="136" t="s">
        <v>734</v>
      </c>
      <c r="N18" s="75">
        <v>45602</v>
      </c>
      <c r="O18" s="137" t="e">
        <f>_xlfn.DAYS(N18,M18)</f>
        <v>#VALUE!</v>
      </c>
      <c r="P18" s="125"/>
      <c r="Q18" s="126"/>
      <c r="R18" s="116"/>
      <c r="Z18" s="116"/>
      <c r="AG18" s="116"/>
      <c r="AH18" s="116"/>
      <c r="AL18" s="116"/>
      <c r="AS18" s="116"/>
      <c r="AU18" s="116"/>
    </row>
    <row r="19" spans="1:47">
      <c r="A19" s="138">
        <v>45355</v>
      </c>
      <c r="B19" s="139" t="s">
        <v>737</v>
      </c>
      <c r="C19" s="101" t="s">
        <v>727</v>
      </c>
      <c r="D19" s="101" t="s">
        <v>177</v>
      </c>
      <c r="E19" s="101" t="s">
        <v>72</v>
      </c>
      <c r="F19" s="101" t="s">
        <v>68</v>
      </c>
      <c r="G19" s="101" t="s">
        <v>68</v>
      </c>
      <c r="H19" s="140"/>
      <c r="I19" s="141"/>
      <c r="J19" s="142"/>
      <c r="K19" s="142"/>
      <c r="L19" s="142"/>
      <c r="M19" s="143"/>
      <c r="N19" s="144"/>
      <c r="O19" s="137"/>
      <c r="P19" s="125"/>
      <c r="Q19" s="126"/>
      <c r="R19" s="116"/>
      <c r="Z19" s="116"/>
      <c r="AG19" s="116"/>
      <c r="AH19" s="116"/>
      <c r="AL19" s="116"/>
      <c r="AS19" s="116"/>
      <c r="AU19" s="116"/>
    </row>
    <row r="20" spans="1:47">
      <c r="A20" s="138">
        <v>45355</v>
      </c>
      <c r="B20" s="139" t="s">
        <v>738</v>
      </c>
      <c r="C20" s="101" t="s">
        <v>727</v>
      </c>
      <c r="D20" s="101" t="s">
        <v>177</v>
      </c>
      <c r="E20" s="101" t="s">
        <v>72</v>
      </c>
      <c r="F20" s="101" t="s">
        <v>68</v>
      </c>
      <c r="G20" s="101" t="s">
        <v>68</v>
      </c>
      <c r="H20" s="140"/>
      <c r="I20" s="141"/>
      <c r="J20" s="142"/>
      <c r="K20" s="142"/>
      <c r="L20" s="142"/>
      <c r="M20" s="143"/>
      <c r="N20" s="144"/>
      <c r="O20" s="137"/>
      <c r="P20" s="125"/>
      <c r="Q20" s="125"/>
      <c r="R20" s="116"/>
      <c r="Z20" s="116"/>
      <c r="AG20" s="116"/>
      <c r="AH20" s="116"/>
      <c r="AL20" s="116"/>
      <c r="AS20" s="116"/>
      <c r="AU20" s="116"/>
    </row>
    <row r="21" spans="1:47">
      <c r="A21" s="138">
        <v>45355</v>
      </c>
      <c r="B21" s="139" t="s">
        <v>739</v>
      </c>
      <c r="C21" s="101" t="s">
        <v>727</v>
      </c>
      <c r="D21" s="101" t="s">
        <v>177</v>
      </c>
      <c r="E21" s="101" t="s">
        <v>72</v>
      </c>
      <c r="F21" s="101" t="s">
        <v>68</v>
      </c>
      <c r="G21" s="101" t="s">
        <v>68</v>
      </c>
      <c r="H21" s="145"/>
      <c r="N21" s="125"/>
      <c r="O21" s="146"/>
      <c r="P21" s="125"/>
      <c r="Q21" s="125"/>
      <c r="R21" s="116"/>
      <c r="Z21" s="116"/>
      <c r="AG21" s="116"/>
      <c r="AH21" s="116"/>
      <c r="AL21" s="116"/>
      <c r="AS21" s="116"/>
      <c r="AU21" s="116"/>
    </row>
    <row r="22" spans="1:47">
      <c r="B22" s="147"/>
      <c r="H22" s="148"/>
      <c r="N22" s="125"/>
      <c r="O22" s="125"/>
      <c r="P22" s="125"/>
      <c r="Q22" s="125"/>
      <c r="R22" s="116"/>
      <c r="Z22" s="116"/>
      <c r="AG22" s="116"/>
      <c r="AH22" s="116"/>
      <c r="AL22" s="116"/>
      <c r="AS22" s="116"/>
      <c r="AU22" s="116"/>
    </row>
    <row r="23" spans="1:47">
      <c r="B23" s="147"/>
      <c r="H23" s="148"/>
      <c r="N23" s="125"/>
      <c r="O23" s="125"/>
      <c r="P23" s="125"/>
      <c r="Q23" s="125"/>
      <c r="R23" s="116"/>
      <c r="Z23" s="116"/>
      <c r="AG23" s="116"/>
      <c r="AH23" s="116"/>
      <c r="AL23" s="116"/>
      <c r="AS23" s="116"/>
      <c r="AU23" s="116"/>
    </row>
    <row r="24" spans="1:47">
      <c r="B24" s="147"/>
      <c r="H24" s="148"/>
      <c r="N24" s="125"/>
      <c r="O24" s="125"/>
      <c r="P24" s="125"/>
      <c r="Q24" s="125"/>
      <c r="R24" s="116"/>
      <c r="Z24" s="116"/>
      <c r="AG24" s="116"/>
      <c r="AH24" s="116"/>
      <c r="AL24" s="116"/>
      <c r="AS24" s="116"/>
      <c r="AU24" s="116"/>
    </row>
    <row r="25" spans="1:47">
      <c r="B25" s="147"/>
      <c r="H25" s="148"/>
      <c r="N25" s="125"/>
      <c r="O25" s="125"/>
      <c r="P25" s="125"/>
      <c r="Q25" s="125"/>
      <c r="R25" s="116"/>
      <c r="Z25" s="116"/>
      <c r="AG25" s="116"/>
      <c r="AH25" s="116"/>
      <c r="AL25" s="116"/>
      <c r="AS25" s="116"/>
      <c r="AU25" s="116"/>
    </row>
    <row r="26" spans="1:47">
      <c r="B26" s="147"/>
      <c r="H26" s="148"/>
      <c r="N26" s="125"/>
      <c r="O26" s="125"/>
      <c r="P26" s="125"/>
      <c r="Q26" s="125"/>
      <c r="R26" s="116"/>
      <c r="Z26" s="116"/>
      <c r="AG26" s="116"/>
      <c r="AH26" s="116"/>
      <c r="AL26" s="116"/>
      <c r="AS26" s="116"/>
      <c r="AU26" s="116"/>
    </row>
    <row r="27" spans="1:47">
      <c r="B27" s="147"/>
      <c r="H27" s="148"/>
      <c r="N27" s="125"/>
      <c r="O27" s="125"/>
      <c r="P27" s="125"/>
      <c r="Q27" s="125"/>
      <c r="R27" s="116"/>
      <c r="Z27" s="116"/>
      <c r="AG27" s="116"/>
      <c r="AH27" s="116"/>
      <c r="AL27" s="116"/>
      <c r="AS27" s="116"/>
      <c r="AU27" s="116"/>
    </row>
    <row r="28" spans="1:47">
      <c r="B28" s="147"/>
      <c r="H28" s="148"/>
      <c r="N28" s="125"/>
      <c r="O28" s="125"/>
      <c r="P28" s="125"/>
      <c r="Q28" s="125"/>
      <c r="R28" s="116"/>
      <c r="Z28" s="116"/>
      <c r="AG28" s="116"/>
      <c r="AH28" s="116"/>
      <c r="AL28" s="116"/>
      <c r="AS28" s="116"/>
      <c r="AU28" s="116"/>
    </row>
    <row r="29" spans="1:47">
      <c r="B29" s="147"/>
      <c r="H29" s="148"/>
      <c r="N29" s="125"/>
      <c r="O29" s="125"/>
      <c r="P29" s="125"/>
      <c r="Q29" s="125"/>
      <c r="R29" s="116"/>
      <c r="Z29" s="116"/>
      <c r="AG29" s="116"/>
      <c r="AH29" s="116"/>
      <c r="AL29" s="116"/>
      <c r="AS29" s="116"/>
      <c r="AU29" s="116"/>
    </row>
    <row r="30" spans="1:47">
      <c r="B30" s="147"/>
      <c r="H30" s="148"/>
      <c r="N30" s="125"/>
      <c r="O30" s="125"/>
      <c r="P30" s="125"/>
      <c r="Q30" s="125"/>
      <c r="R30" s="116"/>
      <c r="Z30" s="116"/>
      <c r="AG30" s="116"/>
      <c r="AH30" s="116"/>
      <c r="AL30" s="116"/>
      <c r="AS30" s="116"/>
      <c r="AU30" s="116"/>
    </row>
    <row r="31" spans="1:47">
      <c r="B31" s="147"/>
      <c r="H31" s="148"/>
      <c r="N31" s="125"/>
      <c r="O31" s="125"/>
      <c r="P31" s="125"/>
      <c r="Q31" s="125"/>
      <c r="R31" s="116"/>
      <c r="Z31" s="116"/>
      <c r="AG31" s="116"/>
      <c r="AH31" s="116"/>
      <c r="AL31" s="116"/>
      <c r="AS31" s="116"/>
      <c r="AU31" s="116"/>
    </row>
    <row r="32" spans="1:47">
      <c r="B32" s="147"/>
      <c r="H32" s="148"/>
      <c r="N32" s="125"/>
      <c r="O32" s="125"/>
      <c r="P32" s="125"/>
      <c r="Q32" s="125"/>
      <c r="R32" s="116"/>
      <c r="Z32" s="116"/>
      <c r="AG32" s="116"/>
      <c r="AH32" s="116"/>
      <c r="AL32" s="116"/>
      <c r="AS32" s="116"/>
      <c r="AU32" s="116"/>
    </row>
    <row r="33" spans="2:47">
      <c r="B33" s="147"/>
      <c r="H33" s="148"/>
      <c r="N33" s="125"/>
      <c r="O33" s="125"/>
      <c r="P33" s="125"/>
      <c r="Q33" s="125"/>
      <c r="R33" s="116"/>
      <c r="Z33" s="116"/>
      <c r="AG33" s="116"/>
      <c r="AH33" s="116"/>
      <c r="AL33" s="116"/>
      <c r="AS33" s="116"/>
      <c r="AU33" s="116"/>
    </row>
    <row r="34" spans="2:47">
      <c r="B34" s="147"/>
      <c r="H34" s="148"/>
      <c r="N34" s="125"/>
      <c r="O34" s="125"/>
      <c r="P34" s="125"/>
      <c r="Q34" s="125"/>
      <c r="R34" s="116"/>
      <c r="Z34" s="116"/>
      <c r="AG34" s="116"/>
      <c r="AH34" s="116"/>
      <c r="AL34" s="116"/>
      <c r="AS34" s="116"/>
      <c r="AU34" s="116"/>
    </row>
    <row r="35" spans="2:47">
      <c r="B35" s="147"/>
      <c r="H35" s="148"/>
      <c r="N35" s="125"/>
      <c r="O35" s="125"/>
      <c r="P35" s="125"/>
      <c r="Q35" s="125"/>
      <c r="R35" s="116"/>
      <c r="Z35" s="116"/>
      <c r="AG35" s="116"/>
      <c r="AH35" s="116"/>
      <c r="AL35" s="116"/>
      <c r="AS35" s="116"/>
      <c r="AU35" s="116"/>
    </row>
    <row r="36" spans="2:47">
      <c r="B36" s="147"/>
      <c r="H36" s="148"/>
      <c r="N36" s="125"/>
      <c r="O36" s="125"/>
      <c r="P36" s="125"/>
      <c r="Q36" s="125"/>
      <c r="R36" s="116"/>
      <c r="Z36" s="116"/>
      <c r="AG36" s="116"/>
      <c r="AH36" s="116"/>
      <c r="AL36" s="116"/>
      <c r="AS36" s="116"/>
      <c r="AU36" s="116"/>
    </row>
    <row r="37" spans="2:47">
      <c r="B37" s="147"/>
      <c r="H37" s="148"/>
      <c r="N37" s="125"/>
      <c r="O37" s="125"/>
      <c r="P37" s="125"/>
      <c r="Q37" s="125"/>
      <c r="R37" s="116"/>
      <c r="Z37" s="116"/>
      <c r="AG37" s="116"/>
      <c r="AH37" s="116"/>
      <c r="AL37" s="116"/>
      <c r="AS37" s="116"/>
      <c r="AU37" s="116"/>
    </row>
    <row r="38" spans="2:47">
      <c r="B38" s="147"/>
      <c r="H38" s="148"/>
      <c r="N38" s="125"/>
      <c r="O38" s="125"/>
      <c r="P38" s="125"/>
      <c r="Q38" s="125"/>
      <c r="R38" s="116"/>
      <c r="Z38" s="116"/>
      <c r="AG38" s="116"/>
      <c r="AH38" s="116"/>
      <c r="AL38" s="116"/>
      <c r="AS38" s="116"/>
      <c r="AU38" s="116"/>
    </row>
    <row r="39" spans="2:47">
      <c r="B39" s="147"/>
      <c r="H39" s="148"/>
      <c r="N39" s="125"/>
      <c r="O39" s="125"/>
      <c r="P39" s="125"/>
      <c r="Q39" s="125"/>
      <c r="R39" s="116"/>
      <c r="Z39" s="116"/>
      <c r="AG39" s="116"/>
      <c r="AH39" s="116"/>
      <c r="AL39" s="116"/>
      <c r="AS39" s="116"/>
      <c r="AU39" s="116"/>
    </row>
    <row r="40" spans="2:47">
      <c r="B40" s="147"/>
      <c r="H40" s="148"/>
      <c r="N40" s="125"/>
      <c r="O40" s="125"/>
      <c r="P40" s="125"/>
      <c r="Q40" s="125"/>
      <c r="R40" s="116"/>
      <c r="Z40" s="116"/>
      <c r="AG40" s="116"/>
      <c r="AH40" s="116"/>
      <c r="AL40" s="116"/>
      <c r="AS40" s="116"/>
      <c r="AU40" s="116"/>
    </row>
    <row r="41" spans="2:47">
      <c r="B41" s="147"/>
      <c r="H41" s="148"/>
      <c r="N41" s="125"/>
      <c r="O41" s="125"/>
      <c r="P41" s="125"/>
      <c r="Q41" s="125"/>
      <c r="R41" s="116"/>
      <c r="Z41" s="116"/>
      <c r="AG41" s="116"/>
      <c r="AH41" s="116"/>
      <c r="AL41" s="116"/>
      <c r="AS41" s="116"/>
      <c r="AU41" s="116"/>
    </row>
    <row r="42" spans="2:47">
      <c r="B42" s="147"/>
      <c r="H42" s="148"/>
      <c r="N42" s="125"/>
      <c r="O42" s="125"/>
      <c r="P42" s="125"/>
      <c r="Q42" s="125"/>
      <c r="R42" s="116"/>
      <c r="Z42" s="116"/>
      <c r="AG42" s="116"/>
      <c r="AH42" s="116"/>
      <c r="AL42" s="116"/>
      <c r="AS42" s="116"/>
      <c r="AU42" s="116"/>
    </row>
    <row r="43" spans="2:47">
      <c r="B43" s="147"/>
      <c r="H43" s="148"/>
      <c r="N43" s="125"/>
      <c r="O43" s="125"/>
      <c r="P43" s="125"/>
      <c r="Q43" s="125"/>
      <c r="R43" s="116"/>
      <c r="Z43" s="116"/>
      <c r="AG43" s="116"/>
      <c r="AH43" s="116"/>
      <c r="AL43" s="116"/>
      <c r="AS43" s="116"/>
      <c r="AU43" s="116"/>
    </row>
    <row r="44" spans="2:47">
      <c r="B44" s="147"/>
      <c r="H44" s="148"/>
      <c r="N44" s="125"/>
      <c r="O44" s="125"/>
      <c r="P44" s="125"/>
      <c r="Q44" s="125"/>
      <c r="R44" s="116"/>
      <c r="Z44" s="116"/>
      <c r="AG44" s="116"/>
      <c r="AH44" s="116"/>
      <c r="AL44" s="116"/>
      <c r="AS44" s="116"/>
      <c r="AU44" s="116"/>
    </row>
    <row r="45" spans="2:47">
      <c r="B45" s="147"/>
      <c r="H45" s="148"/>
      <c r="N45" s="125"/>
      <c r="O45" s="125"/>
      <c r="P45" s="125"/>
      <c r="Q45" s="125"/>
      <c r="R45" s="116"/>
      <c r="Z45" s="116"/>
      <c r="AG45" s="116"/>
      <c r="AH45" s="116"/>
      <c r="AL45" s="116"/>
      <c r="AS45" s="116"/>
      <c r="AU45" s="116"/>
    </row>
    <row r="46" spans="2:47">
      <c r="B46" s="147"/>
      <c r="H46" s="148"/>
      <c r="N46" s="125"/>
      <c r="O46" s="125"/>
      <c r="P46" s="125"/>
      <c r="Q46" s="125"/>
      <c r="R46" s="116"/>
      <c r="Z46" s="116"/>
      <c r="AG46" s="116"/>
      <c r="AH46" s="116"/>
      <c r="AL46" s="116"/>
      <c r="AS46" s="116"/>
      <c r="AU46" s="116"/>
    </row>
    <row r="47" spans="2:47">
      <c r="B47" s="147"/>
      <c r="H47" s="148"/>
      <c r="N47" s="125"/>
      <c r="O47" s="125"/>
      <c r="P47" s="125"/>
      <c r="Q47" s="125"/>
      <c r="R47" s="116"/>
      <c r="Z47" s="116"/>
      <c r="AG47" s="116"/>
      <c r="AH47" s="116"/>
      <c r="AL47" s="116"/>
      <c r="AS47" s="116"/>
      <c r="AU47" s="116"/>
    </row>
    <row r="48" spans="2:47">
      <c r="B48" s="147"/>
      <c r="H48" s="148"/>
      <c r="N48" s="125"/>
      <c r="O48" s="125"/>
      <c r="P48" s="125"/>
      <c r="Q48" s="125"/>
      <c r="R48" s="116"/>
      <c r="Z48" s="116"/>
      <c r="AG48" s="116"/>
      <c r="AH48" s="116"/>
      <c r="AL48" s="116"/>
      <c r="AS48" s="116"/>
      <c r="AU48" s="116"/>
    </row>
    <row r="49" spans="2:47">
      <c r="B49" s="147"/>
      <c r="H49" s="148"/>
      <c r="N49" s="125"/>
      <c r="O49" s="125"/>
      <c r="P49" s="125"/>
      <c r="Q49" s="125"/>
      <c r="R49" s="116"/>
      <c r="Z49" s="116"/>
      <c r="AG49" s="116"/>
      <c r="AH49" s="116"/>
      <c r="AL49" s="116"/>
      <c r="AS49" s="116"/>
      <c r="AU49" s="116"/>
    </row>
    <row r="50" spans="2:47">
      <c r="B50" s="147"/>
      <c r="H50" s="148"/>
      <c r="N50" s="125"/>
      <c r="O50" s="125"/>
      <c r="P50" s="125"/>
      <c r="Q50" s="125"/>
      <c r="R50" s="116"/>
      <c r="Z50" s="116"/>
      <c r="AG50" s="116"/>
      <c r="AH50" s="116"/>
      <c r="AL50" s="116"/>
      <c r="AS50" s="116"/>
      <c r="AU50" s="116"/>
    </row>
  </sheetData>
  <mergeCells count="8">
    <mergeCell ref="AL1:AR1"/>
    <mergeCell ref="AS1:AT1"/>
    <mergeCell ref="AU1:AV1"/>
    <mergeCell ref="A2:B2"/>
    <mergeCell ref="C2:M2"/>
    <mergeCell ref="R1:Y1"/>
    <mergeCell ref="Z1:AF1"/>
    <mergeCell ref="AH1:AK1"/>
  </mergeCells>
  <conditionalFormatting sqref="O16:O20">
    <cfRule type="cellIs" dxfId="3" priority="2" operator="greaterThan">
      <formula>0</formula>
    </cfRule>
  </conditionalFormatting>
  <conditionalFormatting sqref="O16:O20">
    <cfRule type="cellIs" dxfId="2" priority="1" operator="lessThan">
      <formula>0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4401C-852B-4BA9-B0D8-D2E6ED7DAE0D}">
  <dimension ref="A1:BA12"/>
  <sheetViews>
    <sheetView workbookViewId="0">
      <selection activeCell="J17" sqref="J17:J18"/>
    </sheetView>
  </sheetViews>
  <sheetFormatPr defaultColWidth="11.42578125" defaultRowHeight="15"/>
  <cols>
    <col min="1" max="1" width="17.140625" customWidth="1"/>
    <col min="2" max="2" width="8.7109375" hidden="1" customWidth="1"/>
    <col min="3" max="3" width="11.5703125" customWidth="1"/>
    <col min="4" max="4" width="60.85546875" style="21" customWidth="1"/>
    <col min="5" max="5" width="12" bestFit="1" customWidth="1"/>
    <col min="6" max="6" width="10.85546875" bestFit="1" customWidth="1"/>
    <col min="7" max="7" width="11.42578125" style="2" bestFit="1" customWidth="1"/>
    <col min="8" max="8" width="17.85546875" customWidth="1"/>
    <col min="9" max="9" width="9.140625" style="2"/>
    <col min="10" max="10" width="12.42578125" style="3" bestFit="1" customWidth="1"/>
    <col min="11" max="11" width="11.85546875" customWidth="1"/>
    <col min="12" max="12" width="11.7109375" style="2" bestFit="1" customWidth="1"/>
    <col min="13" max="13" width="9.85546875" style="2" bestFit="1" customWidth="1"/>
    <col min="14" max="14" width="12.7109375" style="2" customWidth="1"/>
    <col min="15" max="15" width="25" style="2" customWidth="1"/>
    <col min="16" max="16" width="15.42578125" style="7" customWidth="1"/>
    <col min="17" max="18" width="15.42578125" style="2" customWidth="1"/>
    <col min="19" max="19" width="19.7109375" style="2" customWidth="1"/>
    <col min="20" max="20" width="12.140625" style="2" customWidth="1"/>
    <col min="21" max="23" width="12" style="2" customWidth="1"/>
    <col min="24" max="24" width="12" style="7" customWidth="1"/>
    <col min="25" max="30" width="12" style="2" customWidth="1"/>
    <col min="31" max="32" width="12" style="7" customWidth="1"/>
    <col min="33" max="35" width="12" style="2" customWidth="1"/>
    <col min="36" max="36" width="12" style="7" customWidth="1"/>
    <col min="37" max="37" width="12" style="2" customWidth="1"/>
    <col min="38" max="38" width="12.85546875" style="2" customWidth="1"/>
    <col min="39" max="39" width="13.140625" style="2" customWidth="1"/>
    <col min="40" max="40" width="14" style="2" customWidth="1"/>
    <col min="41" max="42" width="12" style="2" customWidth="1"/>
    <col min="43" max="43" width="12" style="7" customWidth="1"/>
    <col min="44" max="44" width="12" style="2" customWidth="1"/>
    <col min="45" max="45" width="12" style="7" customWidth="1"/>
    <col min="46" max="46" width="12" style="2" customWidth="1"/>
    <col min="47" max="47" width="16.42578125" style="10" customWidth="1"/>
    <col min="48" max="48" width="16.42578125" customWidth="1"/>
  </cols>
  <sheetData>
    <row r="1" spans="1:53" s="6" customFormat="1">
      <c r="A1" s="4" t="s">
        <v>740</v>
      </c>
      <c r="B1" s="4"/>
      <c r="C1" s="4" t="s">
        <v>741</v>
      </c>
      <c r="D1" s="19" t="s">
        <v>742</v>
      </c>
      <c r="E1" s="4"/>
      <c r="F1" s="4"/>
      <c r="G1" s="1"/>
      <c r="H1" s="4"/>
      <c r="I1" s="1"/>
      <c r="J1" s="5" t="s">
        <v>743</v>
      </c>
      <c r="K1" s="4"/>
      <c r="L1" s="55">
        <v>45489</v>
      </c>
      <c r="M1" s="1"/>
      <c r="N1" s="1"/>
      <c r="O1" s="1"/>
      <c r="P1" s="419" t="s">
        <v>678</v>
      </c>
      <c r="Q1" s="419"/>
      <c r="R1" s="419"/>
      <c r="S1" s="419"/>
      <c r="T1" s="419"/>
      <c r="U1" s="419"/>
      <c r="V1" s="419"/>
      <c r="W1" s="419"/>
      <c r="X1" s="419" t="s">
        <v>679</v>
      </c>
      <c r="Y1" s="419"/>
      <c r="Z1" s="419"/>
      <c r="AA1" s="419"/>
      <c r="AB1" s="419"/>
      <c r="AC1" s="419"/>
      <c r="AD1" s="419"/>
      <c r="AE1" s="8" t="s">
        <v>680</v>
      </c>
      <c r="AF1" s="419" t="s">
        <v>681</v>
      </c>
      <c r="AG1" s="419"/>
      <c r="AH1" s="419"/>
      <c r="AI1" s="419"/>
      <c r="AJ1" s="419" t="s">
        <v>682</v>
      </c>
      <c r="AK1" s="419"/>
      <c r="AL1" s="419"/>
      <c r="AM1" s="419"/>
      <c r="AN1" s="419"/>
      <c r="AO1" s="419"/>
      <c r="AP1" s="419"/>
      <c r="AQ1" s="419" t="s">
        <v>683</v>
      </c>
      <c r="AR1" s="419"/>
      <c r="AS1" s="419" t="s">
        <v>684</v>
      </c>
      <c r="AT1" s="419"/>
      <c r="AU1" s="9"/>
    </row>
    <row r="2" spans="1:53" s="27" customFormat="1" ht="48.75" customHeight="1">
      <c r="A2" s="417" t="s">
        <v>18</v>
      </c>
      <c r="B2" s="417"/>
      <c r="C2" s="417"/>
      <c r="D2" s="417"/>
      <c r="E2" s="417" t="s">
        <v>744</v>
      </c>
      <c r="F2" s="417"/>
      <c r="G2" s="417"/>
      <c r="H2" s="417"/>
      <c r="I2" s="417"/>
      <c r="J2" s="417"/>
      <c r="K2" s="417"/>
      <c r="L2" s="417"/>
      <c r="M2" s="417"/>
      <c r="N2" s="417"/>
      <c r="O2" s="418"/>
      <c r="P2" s="23" t="s">
        <v>686</v>
      </c>
      <c r="Q2" s="24" t="s">
        <v>687</v>
      </c>
      <c r="R2" s="24" t="s">
        <v>688</v>
      </c>
      <c r="S2" s="24" t="s">
        <v>689</v>
      </c>
      <c r="T2" s="24" t="s">
        <v>24</v>
      </c>
      <c r="U2" s="24" t="s">
        <v>25</v>
      </c>
      <c r="V2" s="24" t="s">
        <v>26</v>
      </c>
      <c r="W2" s="24" t="s">
        <v>27</v>
      </c>
      <c r="X2" s="32" t="s">
        <v>690</v>
      </c>
      <c r="Y2" s="24" t="s">
        <v>691</v>
      </c>
      <c r="Z2" s="24" t="s">
        <v>692</v>
      </c>
      <c r="AA2" s="24" t="s">
        <v>693</v>
      </c>
      <c r="AB2" s="24" t="s">
        <v>32</v>
      </c>
      <c r="AC2" s="24" t="s">
        <v>33</v>
      </c>
      <c r="AD2" s="24" t="s">
        <v>694</v>
      </c>
      <c r="AE2" s="23" t="s">
        <v>35</v>
      </c>
      <c r="AF2" s="23" t="s">
        <v>695</v>
      </c>
      <c r="AG2" s="24" t="s">
        <v>696</v>
      </c>
      <c r="AH2" s="24" t="s">
        <v>697</v>
      </c>
      <c r="AI2" s="24" t="s">
        <v>698</v>
      </c>
      <c r="AJ2" s="23" t="s">
        <v>40</v>
      </c>
      <c r="AK2" s="31" t="s">
        <v>41</v>
      </c>
      <c r="AL2" s="31" t="s">
        <v>699</v>
      </c>
      <c r="AM2" s="31" t="s">
        <v>700</v>
      </c>
      <c r="AN2" s="31" t="s">
        <v>701</v>
      </c>
      <c r="AO2" s="24" t="s">
        <v>702</v>
      </c>
      <c r="AP2" s="24" t="s">
        <v>703</v>
      </c>
      <c r="AQ2" s="23" t="s">
        <v>47</v>
      </c>
      <c r="AR2" s="24" t="s">
        <v>48</v>
      </c>
      <c r="AS2" s="23" t="s">
        <v>704</v>
      </c>
      <c r="AT2" s="24" t="s">
        <v>705</v>
      </c>
      <c r="AU2" s="25"/>
      <c r="AV2" s="26"/>
      <c r="AW2" s="26"/>
      <c r="AX2" s="26"/>
      <c r="AY2" s="26"/>
      <c r="AZ2" s="26"/>
      <c r="BA2" s="26"/>
    </row>
    <row r="3" spans="1:53">
      <c r="A3" s="17" t="s">
        <v>51</v>
      </c>
      <c r="B3" s="17" t="s">
        <v>52</v>
      </c>
      <c r="C3" s="17" t="s">
        <v>53</v>
      </c>
      <c r="D3" s="20" t="s">
        <v>18</v>
      </c>
      <c r="E3" s="17" t="s">
        <v>54</v>
      </c>
      <c r="F3" s="17" t="s">
        <v>55</v>
      </c>
      <c r="G3" s="17" t="s">
        <v>56</v>
      </c>
      <c r="H3" s="17" t="s">
        <v>57</v>
      </c>
      <c r="I3" s="17" t="s">
        <v>58</v>
      </c>
      <c r="J3" s="18" t="s">
        <v>59</v>
      </c>
      <c r="K3" s="17" t="s">
        <v>60</v>
      </c>
      <c r="L3" s="17" t="s">
        <v>61</v>
      </c>
      <c r="M3" s="17" t="s">
        <v>62</v>
      </c>
      <c r="N3" s="17" t="s">
        <v>63</v>
      </c>
      <c r="O3" s="17" t="s">
        <v>55</v>
      </c>
      <c r="P3" s="14">
        <v>135</v>
      </c>
      <c r="Q3" s="15">
        <v>30</v>
      </c>
      <c r="R3" s="15">
        <v>220</v>
      </c>
      <c r="S3" s="15">
        <v>50</v>
      </c>
      <c r="T3" s="15">
        <v>2000</v>
      </c>
      <c r="U3" s="15">
        <v>250</v>
      </c>
      <c r="V3" s="15">
        <v>400</v>
      </c>
      <c r="W3" s="15">
        <v>85</v>
      </c>
      <c r="X3" s="14">
        <v>135</v>
      </c>
      <c r="Y3" s="16">
        <v>30</v>
      </c>
      <c r="Z3" s="14">
        <v>180</v>
      </c>
      <c r="AA3" s="15">
        <v>260</v>
      </c>
      <c r="AB3" s="15">
        <v>180</v>
      </c>
      <c r="AC3" s="15">
        <v>400</v>
      </c>
      <c r="AD3" s="15">
        <v>2200</v>
      </c>
      <c r="AE3" s="14">
        <v>40</v>
      </c>
      <c r="AF3" s="14">
        <v>300</v>
      </c>
      <c r="AG3" s="15">
        <v>700</v>
      </c>
      <c r="AH3" s="15">
        <v>5000</v>
      </c>
      <c r="AI3" s="15">
        <v>7000</v>
      </c>
      <c r="AJ3" s="14">
        <v>80</v>
      </c>
      <c r="AK3" s="16">
        <v>150</v>
      </c>
      <c r="AL3" s="16">
        <v>260</v>
      </c>
      <c r="AM3" s="16">
        <v>560</v>
      </c>
      <c r="AN3" s="15">
        <v>4000</v>
      </c>
      <c r="AO3" s="15">
        <v>5000</v>
      </c>
      <c r="AP3" s="15">
        <v>10000</v>
      </c>
      <c r="AQ3" s="14">
        <v>2500</v>
      </c>
      <c r="AR3" s="15">
        <v>10000</v>
      </c>
      <c r="AS3" s="12">
        <v>0.1</v>
      </c>
      <c r="AT3" s="13">
        <v>0.25</v>
      </c>
    </row>
    <row r="4" spans="1:53" ht="15" customHeight="1">
      <c r="A4" t="s">
        <v>8</v>
      </c>
      <c r="C4" s="11">
        <v>45536</v>
      </c>
      <c r="D4" s="6" t="s">
        <v>745</v>
      </c>
      <c r="E4" t="s">
        <v>746</v>
      </c>
      <c r="F4" s="64" t="s">
        <v>71</v>
      </c>
      <c r="G4" s="2" t="s">
        <v>747</v>
      </c>
      <c r="I4" s="2">
        <v>1</v>
      </c>
      <c r="J4" s="313">
        <v>1500</v>
      </c>
      <c r="K4" s="38" t="s">
        <v>68</v>
      </c>
      <c r="L4" s="40" t="s">
        <v>68</v>
      </c>
      <c r="M4" s="40" t="s">
        <v>73</v>
      </c>
      <c r="N4" s="40" t="s">
        <v>748</v>
      </c>
      <c r="O4" s="73" t="s">
        <v>749</v>
      </c>
      <c r="P4" s="2"/>
    </row>
    <row r="5" spans="1:53" ht="15" customHeight="1">
      <c r="A5" t="s">
        <v>8</v>
      </c>
      <c r="C5" s="11">
        <v>45536</v>
      </c>
      <c r="D5" s="33" t="s">
        <v>750</v>
      </c>
      <c r="E5" t="s">
        <v>746</v>
      </c>
      <c r="F5" s="64" t="s">
        <v>71</v>
      </c>
      <c r="G5" s="2" t="s">
        <v>747</v>
      </c>
      <c r="H5" s="34" t="s">
        <v>751</v>
      </c>
      <c r="I5" s="2">
        <v>1</v>
      </c>
      <c r="J5" s="313">
        <v>1500</v>
      </c>
      <c r="K5" s="38" t="s">
        <v>68</v>
      </c>
      <c r="L5" s="40" t="s">
        <v>68</v>
      </c>
      <c r="M5" s="40" t="s">
        <v>73</v>
      </c>
      <c r="N5" s="40" t="s">
        <v>752</v>
      </c>
      <c r="O5" s="73" t="s">
        <v>749</v>
      </c>
    </row>
    <row r="6" spans="1:53">
      <c r="A6" t="s">
        <v>8</v>
      </c>
      <c r="C6" s="11">
        <v>45545</v>
      </c>
      <c r="D6" s="47" t="s">
        <v>753</v>
      </c>
      <c r="E6" t="s">
        <v>746</v>
      </c>
      <c r="F6" s="64" t="s">
        <v>71</v>
      </c>
      <c r="G6" s="2" t="s">
        <v>747</v>
      </c>
      <c r="H6" s="34" t="s">
        <v>754</v>
      </c>
      <c r="I6" s="2">
        <v>1</v>
      </c>
      <c r="J6" s="313">
        <v>1500</v>
      </c>
      <c r="K6" s="38" t="s">
        <v>68</v>
      </c>
      <c r="L6" s="40" t="s">
        <v>68</v>
      </c>
      <c r="M6" s="40" t="s">
        <v>73</v>
      </c>
      <c r="N6" s="40" t="s">
        <v>755</v>
      </c>
      <c r="O6" s="73" t="s">
        <v>749</v>
      </c>
    </row>
    <row r="7" spans="1:53">
      <c r="A7" t="s">
        <v>8</v>
      </c>
      <c r="C7" s="11">
        <v>45567</v>
      </c>
      <c r="D7" s="47" t="s">
        <v>756</v>
      </c>
      <c r="E7" t="s">
        <v>746</v>
      </c>
      <c r="F7" s="64" t="s">
        <v>71</v>
      </c>
      <c r="G7" s="2" t="s">
        <v>747</v>
      </c>
      <c r="H7" s="34" t="s">
        <v>757</v>
      </c>
      <c r="I7" s="2">
        <v>1</v>
      </c>
      <c r="J7" s="313">
        <v>1500</v>
      </c>
      <c r="K7" s="38" t="s">
        <v>68</v>
      </c>
      <c r="L7" s="40" t="s">
        <v>68</v>
      </c>
      <c r="M7" s="40" t="s">
        <v>73</v>
      </c>
      <c r="N7" s="40" t="s">
        <v>758</v>
      </c>
      <c r="O7" s="73" t="s">
        <v>759</v>
      </c>
    </row>
    <row r="8" spans="1:53">
      <c r="A8" t="s">
        <v>8</v>
      </c>
      <c r="C8" s="11">
        <v>45667</v>
      </c>
      <c r="D8" s="33" t="s">
        <v>760</v>
      </c>
      <c r="E8" t="s">
        <v>746</v>
      </c>
      <c r="F8" s="64" t="s">
        <v>71</v>
      </c>
      <c r="G8" s="2" t="s">
        <v>761</v>
      </c>
      <c r="I8" s="2">
        <v>1</v>
      </c>
      <c r="J8" s="313">
        <v>850</v>
      </c>
      <c r="K8" s="38" t="s">
        <v>68</v>
      </c>
      <c r="L8" s="40" t="s">
        <v>68</v>
      </c>
      <c r="M8" s="40" t="s">
        <v>173</v>
      </c>
      <c r="N8" s="40" t="s">
        <v>762</v>
      </c>
      <c r="O8" s="73" t="s">
        <v>763</v>
      </c>
    </row>
    <row r="9" spans="1:53">
      <c r="A9" t="s">
        <v>8</v>
      </c>
      <c r="C9" s="11">
        <v>45667</v>
      </c>
      <c r="D9" s="33" t="s">
        <v>764</v>
      </c>
      <c r="E9" t="s">
        <v>765</v>
      </c>
      <c r="F9" s="64" t="s">
        <v>71</v>
      </c>
      <c r="G9" s="2" t="s">
        <v>766</v>
      </c>
      <c r="J9" s="46" t="s">
        <v>767</v>
      </c>
      <c r="K9" s="38" t="s">
        <v>68</v>
      </c>
      <c r="L9" s="40" t="s">
        <v>68</v>
      </c>
      <c r="M9" s="40" t="s">
        <v>68</v>
      </c>
      <c r="N9" s="40" t="s">
        <v>68</v>
      </c>
      <c r="O9" s="40" t="s">
        <v>68</v>
      </c>
      <c r="Z9" s="2">
        <v>3</v>
      </c>
    </row>
    <row r="10" spans="1:53">
      <c r="A10" t="s">
        <v>8</v>
      </c>
      <c r="C10" s="11">
        <v>45818</v>
      </c>
      <c r="D10" s="33" t="s">
        <v>768</v>
      </c>
      <c r="E10" t="s">
        <v>746</v>
      </c>
      <c r="F10" s="64" t="s">
        <v>71</v>
      </c>
      <c r="G10" s="2" t="s">
        <v>769</v>
      </c>
      <c r="I10" s="2">
        <v>3</v>
      </c>
      <c r="J10" s="313">
        <v>550</v>
      </c>
      <c r="K10" s="38" t="s">
        <v>68</v>
      </c>
      <c r="L10" s="40" t="s">
        <v>68</v>
      </c>
      <c r="M10" s="40" t="s">
        <v>173</v>
      </c>
      <c r="N10" s="40" t="s">
        <v>770</v>
      </c>
      <c r="O10" s="335" t="s">
        <v>771</v>
      </c>
    </row>
    <row r="11" spans="1:53">
      <c r="A11" t="s">
        <v>8</v>
      </c>
      <c r="C11" s="11">
        <v>45852</v>
      </c>
      <c r="D11" s="33" t="s">
        <v>772</v>
      </c>
      <c r="E11" t="s">
        <v>746</v>
      </c>
      <c r="F11" s="64" t="s">
        <v>71</v>
      </c>
      <c r="G11" s="2" t="s">
        <v>769</v>
      </c>
      <c r="H11" s="34" t="s">
        <v>773</v>
      </c>
      <c r="I11" s="2">
        <v>3</v>
      </c>
      <c r="J11" s="313">
        <f>1250*I11*50%</f>
        <v>1875</v>
      </c>
      <c r="K11" s="38" t="s">
        <v>68</v>
      </c>
      <c r="L11" s="40" t="s">
        <v>68</v>
      </c>
      <c r="M11" s="40" t="s">
        <v>173</v>
      </c>
      <c r="N11" s="40" t="s">
        <v>774</v>
      </c>
      <c r="O11" s="335" t="s">
        <v>771</v>
      </c>
    </row>
    <row r="12" spans="1:53">
      <c r="J12" s="209"/>
    </row>
  </sheetData>
  <autoFilter ref="E13" xr:uid="{7AA3775D-17C8-4FC8-93A2-356BD8438367}"/>
  <mergeCells count="8">
    <mergeCell ref="AJ1:AP1"/>
    <mergeCell ref="AQ1:AR1"/>
    <mergeCell ref="AS1:AT1"/>
    <mergeCell ref="A2:D2"/>
    <mergeCell ref="E2:O2"/>
    <mergeCell ref="P1:W1"/>
    <mergeCell ref="X1:AD1"/>
    <mergeCell ref="AF1:AI1"/>
  </mergeCells>
  <hyperlinks>
    <hyperlink ref="H5" r:id="rId1" xr:uid="{D779BF0E-ED8D-457D-8191-37646CF218FC}"/>
    <hyperlink ref="H6" r:id="rId2" xr:uid="{3D958A55-8F5B-4626-AA2C-49B25C1811F6}"/>
    <hyperlink ref="H7" r:id="rId3" xr:uid="{CC2890BB-91E6-417C-9A09-49FE5204FB75}"/>
    <hyperlink ref="H11" r:id="rId4" xr:uid="{6FBEDEE8-60F5-475E-B99C-F9124E6E332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3775D-17C8-4FC8-93A2-356BD8438367}">
  <dimension ref="A1:BD50"/>
  <sheetViews>
    <sheetView tabSelected="1" topLeftCell="D11" workbookViewId="0">
      <selection activeCell="J24" sqref="J24:R24"/>
    </sheetView>
  </sheetViews>
  <sheetFormatPr defaultColWidth="11.42578125" defaultRowHeight="15"/>
  <cols>
    <col min="1" max="1" width="17.140625" customWidth="1"/>
    <col min="2" max="2" width="8.7109375" hidden="1" customWidth="1"/>
    <col min="3" max="3" width="11.5703125" customWidth="1"/>
    <col min="4" max="4" width="60.85546875" style="21" customWidth="1"/>
    <col min="5" max="5" width="12" bestFit="1" customWidth="1"/>
    <col min="6" max="6" width="10.85546875" bestFit="1" customWidth="1"/>
    <col min="7" max="7" width="11.42578125" style="2" bestFit="1" customWidth="1"/>
    <col min="8" max="8" width="17.85546875" customWidth="1"/>
    <col min="9" max="9" width="9.140625" style="2"/>
    <col min="10" max="10" width="12.42578125" style="3" bestFit="1" customWidth="1"/>
    <col min="11" max="11" width="11.85546875" customWidth="1"/>
    <col min="12" max="12" width="13.140625" style="2" bestFit="1" customWidth="1"/>
    <col min="13" max="13" width="16.7109375" style="2" bestFit="1" customWidth="1"/>
    <col min="14" max="14" width="12.28515625" style="2" bestFit="1" customWidth="1"/>
    <col min="15" max="15" width="35.42578125" style="2" bestFit="1" customWidth="1"/>
    <col min="16" max="16" width="13.5703125" style="45" bestFit="1" customWidth="1"/>
    <col min="17" max="17" width="10.42578125" style="59" hidden="1" customWidth="1"/>
    <col min="18" max="18" width="11.42578125" style="30" customWidth="1"/>
    <col min="19" max="19" width="15.42578125" style="7" customWidth="1"/>
    <col min="20" max="21" width="15.42578125" style="2" customWidth="1"/>
    <col min="22" max="22" width="19.7109375" style="2" customWidth="1"/>
    <col min="23" max="23" width="12.140625" style="2" customWidth="1"/>
    <col min="24" max="26" width="12" style="2" customWidth="1"/>
    <col min="27" max="27" width="12" style="7" customWidth="1"/>
    <col min="28" max="33" width="12" style="2" customWidth="1"/>
    <col min="34" max="35" width="12" style="7" customWidth="1"/>
    <col min="36" max="38" width="12" style="2" customWidth="1"/>
    <col min="39" max="39" width="12" style="7" customWidth="1"/>
    <col min="40" max="40" width="12" style="2" customWidth="1"/>
    <col min="41" max="41" width="12.85546875" style="2" customWidth="1"/>
    <col min="42" max="42" width="13.140625" style="2" customWidth="1"/>
    <col min="43" max="43" width="14" style="2" customWidth="1"/>
    <col min="44" max="45" width="12" style="2" customWidth="1"/>
    <col min="46" max="46" width="12" style="7" customWidth="1"/>
    <col min="47" max="47" width="12" style="2" customWidth="1"/>
    <col min="48" max="48" width="12" style="7" customWidth="1"/>
    <col min="49" max="49" width="12" style="2" customWidth="1"/>
    <col min="50" max="50" width="16.42578125" style="10" customWidth="1"/>
    <col min="51" max="51" width="16.42578125" customWidth="1"/>
  </cols>
  <sheetData>
    <row r="1" spans="1:56" s="6" customFormat="1">
      <c r="A1" s="4" t="s">
        <v>740</v>
      </c>
      <c r="B1" s="4"/>
      <c r="C1" s="4" t="s">
        <v>741</v>
      </c>
      <c r="D1" s="19" t="s">
        <v>742</v>
      </c>
      <c r="E1" s="4"/>
      <c r="F1" s="4"/>
      <c r="G1" s="1"/>
      <c r="H1" s="4"/>
      <c r="I1" s="1"/>
      <c r="J1" s="5" t="s">
        <v>743</v>
      </c>
      <c r="K1" s="4"/>
      <c r="L1" s="55">
        <v>45467</v>
      </c>
      <c r="M1" s="1"/>
      <c r="N1" s="1"/>
      <c r="O1" s="1"/>
      <c r="P1" s="41"/>
      <c r="Q1" s="60"/>
      <c r="R1" s="56"/>
      <c r="S1" s="419" t="s">
        <v>678</v>
      </c>
      <c r="T1" s="419"/>
      <c r="U1" s="419"/>
      <c r="V1" s="419"/>
      <c r="W1" s="419"/>
      <c r="X1" s="419"/>
      <c r="Y1" s="419"/>
      <c r="Z1" s="419"/>
      <c r="AA1" s="419" t="s">
        <v>679</v>
      </c>
      <c r="AB1" s="419"/>
      <c r="AC1" s="419"/>
      <c r="AD1" s="419"/>
      <c r="AE1" s="419"/>
      <c r="AF1" s="419"/>
      <c r="AG1" s="419"/>
      <c r="AH1" s="8" t="s">
        <v>680</v>
      </c>
      <c r="AI1" s="419" t="s">
        <v>681</v>
      </c>
      <c r="AJ1" s="419"/>
      <c r="AK1" s="419"/>
      <c r="AL1" s="419"/>
      <c r="AM1" s="419" t="s">
        <v>682</v>
      </c>
      <c r="AN1" s="419"/>
      <c r="AO1" s="419"/>
      <c r="AP1" s="419"/>
      <c r="AQ1" s="419"/>
      <c r="AR1" s="419"/>
      <c r="AS1" s="419"/>
      <c r="AT1" s="419" t="s">
        <v>683</v>
      </c>
      <c r="AU1" s="419"/>
      <c r="AV1" s="419" t="s">
        <v>684</v>
      </c>
      <c r="AW1" s="419"/>
      <c r="AX1" s="9"/>
    </row>
    <row r="2" spans="1:56" s="27" customFormat="1" ht="48.75" customHeight="1">
      <c r="A2" s="417" t="s">
        <v>18</v>
      </c>
      <c r="B2" s="417"/>
      <c r="C2" s="417"/>
      <c r="D2" s="417"/>
      <c r="E2" s="417" t="s">
        <v>775</v>
      </c>
      <c r="F2" s="417"/>
      <c r="G2" s="417"/>
      <c r="H2" s="417"/>
      <c r="I2" s="417"/>
      <c r="J2" s="417"/>
      <c r="K2" s="417"/>
      <c r="L2" s="417"/>
      <c r="M2" s="417"/>
      <c r="N2" s="417"/>
      <c r="O2" s="418"/>
      <c r="P2" s="42"/>
      <c r="Q2" s="61"/>
      <c r="R2" s="57"/>
      <c r="S2" s="23" t="s">
        <v>686</v>
      </c>
      <c r="T2" s="24" t="s">
        <v>687</v>
      </c>
      <c r="U2" s="24" t="s">
        <v>688</v>
      </c>
      <c r="V2" s="24" t="s">
        <v>689</v>
      </c>
      <c r="W2" s="24" t="s">
        <v>24</v>
      </c>
      <c r="X2" s="24" t="s">
        <v>25</v>
      </c>
      <c r="Y2" s="24" t="s">
        <v>26</v>
      </c>
      <c r="Z2" s="24" t="s">
        <v>27</v>
      </c>
      <c r="AA2" s="32" t="s">
        <v>690</v>
      </c>
      <c r="AB2" s="24" t="s">
        <v>691</v>
      </c>
      <c r="AC2" s="24" t="s">
        <v>692</v>
      </c>
      <c r="AD2" s="24" t="s">
        <v>693</v>
      </c>
      <c r="AE2" s="24" t="s">
        <v>32</v>
      </c>
      <c r="AF2" s="24" t="s">
        <v>33</v>
      </c>
      <c r="AG2" s="24" t="s">
        <v>694</v>
      </c>
      <c r="AH2" s="23" t="s">
        <v>35</v>
      </c>
      <c r="AI2" s="23" t="s">
        <v>695</v>
      </c>
      <c r="AJ2" s="24" t="s">
        <v>696</v>
      </c>
      <c r="AK2" s="24" t="s">
        <v>697</v>
      </c>
      <c r="AL2" s="24" t="s">
        <v>698</v>
      </c>
      <c r="AM2" s="23" t="s">
        <v>40</v>
      </c>
      <c r="AN2" s="31" t="s">
        <v>41</v>
      </c>
      <c r="AO2" s="31" t="s">
        <v>699</v>
      </c>
      <c r="AP2" s="31" t="s">
        <v>700</v>
      </c>
      <c r="AQ2" s="31" t="s">
        <v>701</v>
      </c>
      <c r="AR2" s="24" t="s">
        <v>702</v>
      </c>
      <c r="AS2" s="24" t="s">
        <v>703</v>
      </c>
      <c r="AT2" s="23" t="s">
        <v>47</v>
      </c>
      <c r="AU2" s="24" t="s">
        <v>48</v>
      </c>
      <c r="AV2" s="23" t="s">
        <v>704</v>
      </c>
      <c r="AW2" s="24" t="s">
        <v>705</v>
      </c>
      <c r="AX2" s="25"/>
      <c r="AY2" s="26"/>
      <c r="AZ2" s="26"/>
      <c r="BA2" s="26"/>
      <c r="BB2" s="26"/>
      <c r="BC2" s="26"/>
      <c r="BD2" s="26"/>
    </row>
    <row r="3" spans="1:56">
      <c r="A3" s="17" t="s">
        <v>51</v>
      </c>
      <c r="B3" s="17" t="s">
        <v>52</v>
      </c>
      <c r="C3" s="17" t="s">
        <v>53</v>
      </c>
      <c r="D3" s="20" t="s">
        <v>18</v>
      </c>
      <c r="E3" s="17" t="s">
        <v>54</v>
      </c>
      <c r="F3" s="17" t="s">
        <v>55</v>
      </c>
      <c r="G3" s="17" t="s">
        <v>56</v>
      </c>
      <c r="H3" s="17" t="s">
        <v>57</v>
      </c>
      <c r="I3" s="17" t="s">
        <v>58</v>
      </c>
      <c r="J3" s="18" t="s">
        <v>59</v>
      </c>
      <c r="K3" s="17" t="s">
        <v>60</v>
      </c>
      <c r="L3" s="17" t="s">
        <v>61</v>
      </c>
      <c r="M3" s="17" t="s">
        <v>62</v>
      </c>
      <c r="N3" s="17" t="s">
        <v>63</v>
      </c>
      <c r="O3" s="17" t="s">
        <v>55</v>
      </c>
      <c r="P3" s="43" t="s">
        <v>65</v>
      </c>
      <c r="Q3" s="62"/>
      <c r="R3" s="58"/>
      <c r="S3" s="14">
        <v>135</v>
      </c>
      <c r="T3" s="15">
        <v>30</v>
      </c>
      <c r="U3" s="15">
        <v>220</v>
      </c>
      <c r="V3" s="15">
        <v>50</v>
      </c>
      <c r="W3" s="15">
        <v>2000</v>
      </c>
      <c r="X3" s="15">
        <v>250</v>
      </c>
      <c r="Y3" s="15">
        <v>400</v>
      </c>
      <c r="Z3" s="15">
        <v>85</v>
      </c>
      <c r="AA3" s="14">
        <v>135</v>
      </c>
      <c r="AB3" s="16">
        <v>30</v>
      </c>
      <c r="AC3" s="14">
        <v>180</v>
      </c>
      <c r="AD3" s="15">
        <v>260</v>
      </c>
      <c r="AE3" s="15">
        <v>180</v>
      </c>
      <c r="AF3" s="15">
        <v>400</v>
      </c>
      <c r="AG3" s="15">
        <v>2200</v>
      </c>
      <c r="AH3" s="14">
        <v>40</v>
      </c>
      <c r="AI3" s="14">
        <v>300</v>
      </c>
      <c r="AJ3" s="15">
        <v>700</v>
      </c>
      <c r="AK3" s="15">
        <v>5000</v>
      </c>
      <c r="AL3" s="15">
        <v>7000</v>
      </c>
      <c r="AM3" s="14">
        <v>80</v>
      </c>
      <c r="AN3" s="16">
        <v>150</v>
      </c>
      <c r="AO3" s="16">
        <v>260</v>
      </c>
      <c r="AP3" s="16">
        <v>560</v>
      </c>
      <c r="AQ3" s="15">
        <v>4000</v>
      </c>
      <c r="AR3" s="15">
        <v>5000</v>
      </c>
      <c r="AS3" s="15">
        <v>10000</v>
      </c>
      <c r="AT3" s="14">
        <v>2500</v>
      </c>
      <c r="AU3" s="15">
        <v>10000</v>
      </c>
      <c r="AV3" s="12">
        <v>0.1</v>
      </c>
      <c r="AW3" s="13">
        <v>0.25</v>
      </c>
    </row>
    <row r="4" spans="1:56" ht="15" customHeight="1">
      <c r="A4" t="s">
        <v>7</v>
      </c>
      <c r="C4" s="11">
        <v>45463</v>
      </c>
      <c r="D4" s="6" t="s">
        <v>776</v>
      </c>
      <c r="E4" t="s">
        <v>777</v>
      </c>
      <c r="F4" s="64" t="s">
        <v>71</v>
      </c>
      <c r="G4" s="2" t="s">
        <v>72</v>
      </c>
      <c r="H4" s="65" t="s">
        <v>778</v>
      </c>
      <c r="I4" s="2">
        <v>1</v>
      </c>
      <c r="J4" s="46">
        <v>250</v>
      </c>
      <c r="K4" s="38"/>
      <c r="L4" s="40"/>
      <c r="M4" s="40" t="s">
        <v>73</v>
      </c>
      <c r="N4" s="40" t="s">
        <v>779</v>
      </c>
      <c r="O4" s="71" t="s">
        <v>108</v>
      </c>
      <c r="P4" s="78">
        <v>45561</v>
      </c>
      <c r="Q4" s="71">
        <f ca="1">TODAY()</f>
        <v>46106</v>
      </c>
      <c r="R4" s="78"/>
      <c r="S4" s="2"/>
    </row>
    <row r="5" spans="1:56" ht="15" customHeight="1">
      <c r="A5" t="s">
        <v>7</v>
      </c>
      <c r="C5" s="11">
        <v>45463</v>
      </c>
      <c r="D5" s="6" t="s">
        <v>780</v>
      </c>
      <c r="E5" t="s">
        <v>777</v>
      </c>
      <c r="F5" s="64" t="s">
        <v>71</v>
      </c>
      <c r="G5" s="2" t="s">
        <v>72</v>
      </c>
      <c r="H5" s="65" t="s">
        <v>778</v>
      </c>
      <c r="I5" s="2">
        <v>1</v>
      </c>
      <c r="J5" s="46">
        <v>250</v>
      </c>
      <c r="K5" s="38"/>
      <c r="L5" s="40"/>
      <c r="M5" s="40" t="s">
        <v>73</v>
      </c>
      <c r="N5" s="40" t="s">
        <v>781</v>
      </c>
      <c r="O5" s="71" t="s">
        <v>108</v>
      </c>
      <c r="P5" s="78">
        <v>45568</v>
      </c>
      <c r="Q5" s="71">
        <f ca="1">TODAY()</f>
        <v>46106</v>
      </c>
      <c r="R5" s="78"/>
      <c r="S5" s="2"/>
    </row>
    <row r="6" spans="1:56">
      <c r="A6" t="s">
        <v>7</v>
      </c>
      <c r="C6" s="11">
        <v>45504</v>
      </c>
      <c r="D6" s="33" t="s">
        <v>782</v>
      </c>
      <c r="E6" t="s">
        <v>777</v>
      </c>
      <c r="F6" s="64" t="s">
        <v>71</v>
      </c>
      <c r="G6" s="2" t="s">
        <v>72</v>
      </c>
      <c r="I6" s="2">
        <v>1</v>
      </c>
      <c r="J6" s="46">
        <v>1800</v>
      </c>
      <c r="K6" s="38"/>
      <c r="L6" s="40"/>
      <c r="M6" s="40" t="s">
        <v>73</v>
      </c>
      <c r="N6" s="40" t="s">
        <v>783</v>
      </c>
      <c r="O6" s="71" t="s">
        <v>108</v>
      </c>
      <c r="P6" s="78">
        <v>45568</v>
      </c>
      <c r="Q6" s="71">
        <f ca="1">TODAY()</f>
        <v>46106</v>
      </c>
      <c r="R6" s="78"/>
    </row>
    <row r="7" spans="1:56">
      <c r="A7" t="s">
        <v>7</v>
      </c>
      <c r="C7" s="11">
        <v>45535</v>
      </c>
      <c r="D7" s="33" t="s">
        <v>784</v>
      </c>
      <c r="E7" t="s">
        <v>777</v>
      </c>
      <c r="F7" s="64" t="s">
        <v>71</v>
      </c>
      <c r="G7" s="2" t="s">
        <v>72</v>
      </c>
      <c r="I7" s="2">
        <v>1</v>
      </c>
      <c r="J7" s="46">
        <v>1800</v>
      </c>
      <c r="K7" s="38"/>
      <c r="L7" s="40"/>
      <c r="M7" s="40" t="s">
        <v>73</v>
      </c>
      <c r="N7" s="40" t="s">
        <v>785</v>
      </c>
      <c r="O7" s="71" t="s">
        <v>108</v>
      </c>
      <c r="P7" s="78">
        <v>45568</v>
      </c>
      <c r="Q7" s="71">
        <f ca="1">TODAY()</f>
        <v>46106</v>
      </c>
      <c r="R7" s="78"/>
    </row>
    <row r="8" spans="1:56">
      <c r="A8" t="s">
        <v>7</v>
      </c>
      <c r="C8" s="11">
        <v>45463</v>
      </c>
      <c r="D8" s="6" t="s">
        <v>786</v>
      </c>
      <c r="E8" t="s">
        <v>777</v>
      </c>
      <c r="F8" s="64" t="s">
        <v>71</v>
      </c>
      <c r="G8" s="2" t="s">
        <v>72</v>
      </c>
      <c r="H8" s="34" t="s">
        <v>787</v>
      </c>
      <c r="I8" s="2">
        <v>1</v>
      </c>
      <c r="J8" s="46">
        <v>400</v>
      </c>
      <c r="K8" s="38"/>
      <c r="L8" s="40"/>
      <c r="M8" s="40" t="s">
        <v>73</v>
      </c>
      <c r="N8" s="40" t="s">
        <v>788</v>
      </c>
      <c r="O8" s="71" t="s">
        <v>108</v>
      </c>
      <c r="P8" s="78">
        <v>45568</v>
      </c>
      <c r="Q8" s="71">
        <f ca="1">TODAY()</f>
        <v>46106</v>
      </c>
      <c r="R8" s="78"/>
    </row>
    <row r="9" spans="1:56">
      <c r="A9" t="s">
        <v>7</v>
      </c>
      <c r="C9" s="11">
        <v>45565</v>
      </c>
      <c r="D9" s="33" t="s">
        <v>789</v>
      </c>
      <c r="E9" t="s">
        <v>777</v>
      </c>
      <c r="F9" s="64" t="s">
        <v>71</v>
      </c>
      <c r="G9" s="2" t="s">
        <v>72</v>
      </c>
      <c r="I9" s="2">
        <v>1</v>
      </c>
      <c r="J9" s="74" t="s">
        <v>790</v>
      </c>
      <c r="K9" s="38" t="s">
        <v>68</v>
      </c>
      <c r="L9" s="40" t="s">
        <v>68</v>
      </c>
      <c r="M9" s="40" t="s">
        <v>68</v>
      </c>
      <c r="N9" s="40" t="s">
        <v>68</v>
      </c>
      <c r="O9" s="71" t="s">
        <v>68</v>
      </c>
      <c r="P9" s="78" t="s">
        <v>68</v>
      </c>
      <c r="Q9" s="71" t="s">
        <v>68</v>
      </c>
      <c r="R9" s="78"/>
    </row>
    <row r="10" spans="1:56">
      <c r="A10" t="s">
        <v>7</v>
      </c>
      <c r="C10" s="11">
        <v>45597</v>
      </c>
      <c r="D10" s="33" t="s">
        <v>791</v>
      </c>
      <c r="E10" t="s">
        <v>777</v>
      </c>
      <c r="F10" s="64" t="s">
        <v>71</v>
      </c>
      <c r="G10" s="2" t="s">
        <v>72</v>
      </c>
      <c r="H10" s="34" t="s">
        <v>792</v>
      </c>
      <c r="I10" s="2">
        <v>1</v>
      </c>
      <c r="J10" s="70">
        <v>1800</v>
      </c>
      <c r="K10" s="64"/>
      <c r="L10" s="71"/>
      <c r="M10" s="71" t="s">
        <v>73</v>
      </c>
      <c r="N10" s="71" t="s">
        <v>793</v>
      </c>
      <c r="O10" s="71" t="s">
        <v>108</v>
      </c>
      <c r="P10" s="78">
        <v>45639</v>
      </c>
      <c r="Q10" s="69">
        <f t="shared" ref="Q9:Q11" ca="1" si="0">TODAY()</f>
        <v>46106</v>
      </c>
      <c r="R10" s="79"/>
    </row>
    <row r="11" spans="1:56">
      <c r="A11" t="s">
        <v>7</v>
      </c>
      <c r="C11" s="11">
        <v>45627</v>
      </c>
      <c r="D11" s="33" t="s">
        <v>794</v>
      </c>
      <c r="E11" t="s">
        <v>777</v>
      </c>
      <c r="F11" s="64" t="s">
        <v>71</v>
      </c>
      <c r="G11" s="2" t="s">
        <v>72</v>
      </c>
      <c r="H11" s="34" t="s">
        <v>792</v>
      </c>
      <c r="I11" s="2">
        <v>1</v>
      </c>
      <c r="J11" s="70">
        <v>1800</v>
      </c>
      <c r="K11" s="64"/>
      <c r="L11" s="71"/>
      <c r="M11" s="71" t="s">
        <v>73</v>
      </c>
      <c r="N11" s="71" t="s">
        <v>795</v>
      </c>
      <c r="O11" s="71" t="s">
        <v>108</v>
      </c>
      <c r="P11" s="78">
        <v>45639</v>
      </c>
      <c r="Q11" s="78"/>
      <c r="R11" s="79"/>
    </row>
    <row r="12" spans="1:56">
      <c r="A12" t="s">
        <v>7</v>
      </c>
      <c r="C12" s="11">
        <v>45627</v>
      </c>
      <c r="D12" s="33" t="s">
        <v>796</v>
      </c>
      <c r="E12" t="s">
        <v>777</v>
      </c>
      <c r="F12" s="64" t="s">
        <v>71</v>
      </c>
      <c r="G12" s="2" t="s">
        <v>72</v>
      </c>
      <c r="H12" s="34" t="s">
        <v>792</v>
      </c>
      <c r="I12" s="2">
        <v>1</v>
      </c>
      <c r="J12" s="70">
        <v>1800</v>
      </c>
      <c r="K12" s="38"/>
      <c r="L12" s="40"/>
      <c r="M12" s="71" t="s">
        <v>73</v>
      </c>
      <c r="N12" s="40" t="s">
        <v>797</v>
      </c>
      <c r="O12" s="71" t="s">
        <v>108</v>
      </c>
      <c r="P12" s="44">
        <v>45757</v>
      </c>
      <c r="Q12" s="78"/>
      <c r="R12" s="162"/>
    </row>
    <row r="13" spans="1:56">
      <c r="A13" t="s">
        <v>7</v>
      </c>
      <c r="C13" s="11">
        <v>45658</v>
      </c>
      <c r="D13" s="33" t="s">
        <v>798</v>
      </c>
      <c r="E13" t="s">
        <v>777</v>
      </c>
      <c r="F13" s="64" t="s">
        <v>71</v>
      </c>
      <c r="G13" s="2" t="s">
        <v>72</v>
      </c>
      <c r="H13" s="34" t="s">
        <v>792</v>
      </c>
      <c r="I13" s="2">
        <v>1</v>
      </c>
      <c r="J13" s="70">
        <v>1800</v>
      </c>
      <c r="K13" s="38"/>
      <c r="L13" s="40"/>
      <c r="M13" s="71" t="s">
        <v>73</v>
      </c>
      <c r="N13" s="40" t="s">
        <v>797</v>
      </c>
      <c r="O13" s="71" t="s">
        <v>108</v>
      </c>
      <c r="P13" s="44">
        <v>45757</v>
      </c>
      <c r="Q13" s="78"/>
      <c r="R13" s="162"/>
    </row>
    <row r="14" spans="1:56">
      <c r="A14" t="s">
        <v>7</v>
      </c>
      <c r="C14" s="11">
        <v>45689</v>
      </c>
      <c r="D14" s="33" t="s">
        <v>799</v>
      </c>
      <c r="E14" t="s">
        <v>777</v>
      </c>
      <c r="F14" s="64" t="s">
        <v>71</v>
      </c>
      <c r="G14" s="2" t="s">
        <v>72</v>
      </c>
      <c r="H14" s="34" t="s">
        <v>792</v>
      </c>
      <c r="I14" s="2">
        <v>1</v>
      </c>
      <c r="J14" s="46">
        <v>1800</v>
      </c>
      <c r="K14" s="38"/>
      <c r="L14" s="40"/>
      <c r="M14" s="71" t="s">
        <v>73</v>
      </c>
      <c r="N14" s="40" t="s">
        <v>797</v>
      </c>
      <c r="O14" s="71" t="s">
        <v>108</v>
      </c>
      <c r="P14" s="44">
        <v>45757</v>
      </c>
      <c r="Q14" s="78"/>
      <c r="R14" s="162"/>
    </row>
    <row r="15" spans="1:56">
      <c r="A15" t="s">
        <v>7</v>
      </c>
      <c r="C15" s="11">
        <v>45717</v>
      </c>
      <c r="D15" s="33" t="s">
        <v>800</v>
      </c>
      <c r="E15" t="s">
        <v>777</v>
      </c>
      <c r="F15" s="64" t="s">
        <v>71</v>
      </c>
      <c r="G15" s="2" t="s">
        <v>72</v>
      </c>
      <c r="H15" s="34" t="s">
        <v>792</v>
      </c>
      <c r="I15" s="2">
        <v>1</v>
      </c>
      <c r="J15" s="46">
        <v>7000</v>
      </c>
      <c r="K15" s="38"/>
      <c r="L15" s="38" t="s">
        <v>801</v>
      </c>
      <c r="M15" s="40" t="s">
        <v>73</v>
      </c>
      <c r="N15" s="40" t="s">
        <v>802</v>
      </c>
      <c r="O15" s="71" t="s">
        <v>108</v>
      </c>
      <c r="P15" s="44">
        <v>45779</v>
      </c>
      <c r="Q15" s="78"/>
      <c r="R15" s="162"/>
    </row>
    <row r="16" spans="1:56">
      <c r="A16" t="s">
        <v>7</v>
      </c>
      <c r="C16" s="11">
        <v>45778</v>
      </c>
      <c r="D16" s="33" t="s">
        <v>803</v>
      </c>
      <c r="E16" t="s">
        <v>777</v>
      </c>
      <c r="F16" s="64" t="s">
        <v>71</v>
      </c>
      <c r="G16" s="2" t="s">
        <v>72</v>
      </c>
      <c r="H16" s="34" t="s">
        <v>792</v>
      </c>
      <c r="I16" s="2">
        <v>1</v>
      </c>
      <c r="J16" s="70">
        <v>7000</v>
      </c>
      <c r="K16" s="64"/>
      <c r="L16" s="71" t="s">
        <v>801</v>
      </c>
      <c r="M16" s="71" t="s">
        <v>73</v>
      </c>
      <c r="N16" s="71" t="s">
        <v>804</v>
      </c>
      <c r="O16" s="40" t="s">
        <v>108</v>
      </c>
      <c r="P16" s="44">
        <v>45824</v>
      </c>
      <c r="Q16" s="78"/>
      <c r="R16" s="162"/>
    </row>
    <row r="17" spans="1:18">
      <c r="A17" t="s">
        <v>7</v>
      </c>
      <c r="C17" s="11">
        <v>45806</v>
      </c>
      <c r="D17" s="33" t="s">
        <v>805</v>
      </c>
      <c r="E17" t="s">
        <v>777</v>
      </c>
      <c r="F17" s="64" t="s">
        <v>71</v>
      </c>
      <c r="G17" s="2" t="s">
        <v>72</v>
      </c>
      <c r="H17" s="34" t="s">
        <v>792</v>
      </c>
      <c r="I17" s="2">
        <v>1</v>
      </c>
      <c r="J17" s="46">
        <v>7000</v>
      </c>
      <c r="K17" s="38"/>
      <c r="L17" s="71" t="s">
        <v>801</v>
      </c>
      <c r="M17" s="71" t="s">
        <v>73</v>
      </c>
      <c r="N17" s="40" t="s">
        <v>806</v>
      </c>
      <c r="O17" s="40" t="s">
        <v>108</v>
      </c>
      <c r="P17" s="44">
        <v>45842</v>
      </c>
      <c r="Q17" s="78"/>
      <c r="R17" s="162"/>
    </row>
    <row r="18" spans="1:18">
      <c r="A18" t="s">
        <v>7</v>
      </c>
      <c r="C18" s="11">
        <v>45832</v>
      </c>
      <c r="D18" s="33" t="s">
        <v>807</v>
      </c>
      <c r="E18" t="s">
        <v>777</v>
      </c>
      <c r="F18" s="64" t="s">
        <v>71</v>
      </c>
      <c r="G18" s="2" t="s">
        <v>72</v>
      </c>
      <c r="H18" s="34" t="s">
        <v>792</v>
      </c>
      <c r="I18" s="2">
        <v>1</v>
      </c>
      <c r="J18" s="46">
        <v>7000</v>
      </c>
      <c r="K18" s="38"/>
      <c r="L18" s="71" t="s">
        <v>801</v>
      </c>
      <c r="M18" s="71" t="s">
        <v>73</v>
      </c>
      <c r="N18" s="40" t="s">
        <v>808</v>
      </c>
      <c r="O18" s="40" t="s">
        <v>108</v>
      </c>
      <c r="P18" s="44">
        <v>45856</v>
      </c>
      <c r="Q18" s="78"/>
      <c r="R18" s="162"/>
    </row>
    <row r="19" spans="1:18">
      <c r="A19" t="s">
        <v>7</v>
      </c>
      <c r="C19" s="11">
        <v>45862</v>
      </c>
      <c r="D19" s="33" t="s">
        <v>809</v>
      </c>
      <c r="E19" t="s">
        <v>777</v>
      </c>
      <c r="F19" s="64" t="s">
        <v>71</v>
      </c>
      <c r="G19" s="2" t="s">
        <v>72</v>
      </c>
      <c r="H19" s="34" t="s">
        <v>792</v>
      </c>
      <c r="I19" s="2">
        <v>1</v>
      </c>
      <c r="J19" s="46">
        <v>7000</v>
      </c>
      <c r="K19" s="38"/>
      <c r="L19" s="71" t="s">
        <v>801</v>
      </c>
      <c r="M19" s="71" t="s">
        <v>73</v>
      </c>
      <c r="N19" s="40" t="s">
        <v>810</v>
      </c>
      <c r="O19" s="40" t="s">
        <v>108</v>
      </c>
      <c r="P19" s="44">
        <v>45911</v>
      </c>
      <c r="Q19" s="78"/>
      <c r="R19" s="162"/>
    </row>
    <row r="20" spans="1:18">
      <c r="A20" t="s">
        <v>7</v>
      </c>
      <c r="C20" s="11">
        <v>45862</v>
      </c>
      <c r="D20" s="33" t="s">
        <v>811</v>
      </c>
      <c r="E20" t="s">
        <v>777</v>
      </c>
      <c r="F20" s="64" t="s">
        <v>71</v>
      </c>
      <c r="G20" s="2" t="s">
        <v>72</v>
      </c>
      <c r="H20" s="34" t="s">
        <v>792</v>
      </c>
      <c r="I20" s="2">
        <v>1</v>
      </c>
      <c r="J20" s="46">
        <v>7000</v>
      </c>
      <c r="K20" s="38"/>
      <c r="L20" s="71" t="s">
        <v>801</v>
      </c>
      <c r="M20" s="71" t="s">
        <v>73</v>
      </c>
      <c r="N20" s="40" t="s">
        <v>812</v>
      </c>
      <c r="O20" s="40" t="s">
        <v>108</v>
      </c>
      <c r="P20" s="44">
        <v>45940</v>
      </c>
      <c r="Q20" s="78"/>
      <c r="R20" s="162"/>
    </row>
    <row r="21" spans="1:18">
      <c r="A21" t="s">
        <v>7</v>
      </c>
      <c r="C21" s="11">
        <v>45893</v>
      </c>
      <c r="D21" s="33" t="s">
        <v>813</v>
      </c>
      <c r="E21" t="s">
        <v>777</v>
      </c>
      <c r="F21" s="64" t="s">
        <v>71</v>
      </c>
      <c r="G21" s="2" t="s">
        <v>72</v>
      </c>
      <c r="H21" s="34" t="s">
        <v>792</v>
      </c>
      <c r="I21" s="2">
        <v>1</v>
      </c>
      <c r="J21" s="46">
        <v>7000</v>
      </c>
      <c r="K21" s="38"/>
      <c r="L21" s="71" t="s">
        <v>801</v>
      </c>
      <c r="M21" s="71" t="s">
        <v>73</v>
      </c>
      <c r="N21" s="40" t="s">
        <v>814</v>
      </c>
      <c r="O21" s="40" t="s">
        <v>108</v>
      </c>
      <c r="P21" s="44">
        <v>45940</v>
      </c>
      <c r="Q21" s="78"/>
      <c r="R21" s="162"/>
    </row>
    <row r="22" spans="1:18" ht="18" customHeight="1">
      <c r="A22" t="s">
        <v>7</v>
      </c>
      <c r="C22" s="11">
        <v>45924</v>
      </c>
      <c r="D22" s="33" t="s">
        <v>815</v>
      </c>
      <c r="E22" t="s">
        <v>777</v>
      </c>
      <c r="F22" s="64" t="s">
        <v>71</v>
      </c>
      <c r="G22" s="2" t="s">
        <v>72</v>
      </c>
      <c r="H22" s="34" t="s">
        <v>792</v>
      </c>
      <c r="I22" s="2">
        <v>1</v>
      </c>
      <c r="J22" s="46">
        <v>7000</v>
      </c>
      <c r="K22" s="38"/>
      <c r="L22" s="71" t="s">
        <v>801</v>
      </c>
      <c r="M22" s="71" t="s">
        <v>73</v>
      </c>
      <c r="N22" s="40" t="s">
        <v>816</v>
      </c>
      <c r="O22" s="40" t="s">
        <v>817</v>
      </c>
      <c r="P22" s="44">
        <v>45976</v>
      </c>
      <c r="Q22" s="78"/>
      <c r="R22" s="162"/>
    </row>
    <row r="23" spans="1:18">
      <c r="A23" t="s">
        <v>7</v>
      </c>
      <c r="C23" s="11">
        <v>45924</v>
      </c>
      <c r="D23" s="33" t="s">
        <v>818</v>
      </c>
      <c r="E23" t="s">
        <v>777</v>
      </c>
      <c r="F23" s="64" t="s">
        <v>71</v>
      </c>
      <c r="G23" s="2" t="s">
        <v>72</v>
      </c>
      <c r="H23" s="34" t="s">
        <v>792</v>
      </c>
      <c r="I23" s="2">
        <v>1</v>
      </c>
      <c r="J23" s="70">
        <v>7000</v>
      </c>
      <c r="K23" s="64"/>
      <c r="L23" s="71" t="s">
        <v>819</v>
      </c>
      <c r="M23" s="71" t="s">
        <v>73</v>
      </c>
      <c r="N23" s="71" t="s">
        <v>820</v>
      </c>
      <c r="O23" s="71" t="s">
        <v>817</v>
      </c>
      <c r="P23" s="78">
        <v>46031</v>
      </c>
      <c r="Q23" s="78"/>
      <c r="R23" s="341"/>
    </row>
    <row r="24" spans="1:18">
      <c r="A24" t="s">
        <v>7</v>
      </c>
      <c r="C24" s="11">
        <v>45924</v>
      </c>
      <c r="D24" s="33" t="s">
        <v>821</v>
      </c>
      <c r="E24" t="s">
        <v>777</v>
      </c>
      <c r="F24" s="64" t="s">
        <v>71</v>
      </c>
      <c r="G24" s="2" t="s">
        <v>72</v>
      </c>
      <c r="H24" s="34" t="s">
        <v>792</v>
      </c>
      <c r="I24" s="2">
        <v>1</v>
      </c>
      <c r="J24" s="70">
        <v>450</v>
      </c>
      <c r="K24" s="64"/>
      <c r="L24" s="71" t="s">
        <v>819</v>
      </c>
      <c r="M24" s="71" t="s">
        <v>73</v>
      </c>
      <c r="N24" s="71" t="s">
        <v>822</v>
      </c>
      <c r="O24" s="71" t="s">
        <v>817</v>
      </c>
      <c r="P24" s="78">
        <v>46101</v>
      </c>
      <c r="Q24" s="78"/>
      <c r="R24" s="341"/>
    </row>
    <row r="25" spans="1:18">
      <c r="A25" t="s">
        <v>7</v>
      </c>
      <c r="C25" s="11">
        <v>45924</v>
      </c>
      <c r="D25" s="33" t="s">
        <v>823</v>
      </c>
      <c r="E25" t="s">
        <v>777</v>
      </c>
      <c r="F25" s="64" t="s">
        <v>71</v>
      </c>
      <c r="G25" s="2" t="s">
        <v>72</v>
      </c>
      <c r="H25" s="34" t="s">
        <v>792</v>
      </c>
      <c r="I25" s="2">
        <v>1</v>
      </c>
      <c r="J25" s="345">
        <v>7000</v>
      </c>
      <c r="K25" s="343"/>
      <c r="L25" s="342" t="s">
        <v>819</v>
      </c>
      <c r="M25" s="342" t="s">
        <v>73</v>
      </c>
      <c r="N25" s="342" t="s">
        <v>824</v>
      </c>
      <c r="O25" s="342" t="s">
        <v>248</v>
      </c>
      <c r="P25" s="346">
        <v>46037</v>
      </c>
      <c r="Q25" s="346"/>
      <c r="R25" s="347"/>
    </row>
    <row r="26" spans="1:18">
      <c r="A26" t="s">
        <v>7</v>
      </c>
      <c r="C26" s="11">
        <v>45924</v>
      </c>
      <c r="D26" s="33" t="s">
        <v>825</v>
      </c>
      <c r="E26" t="s">
        <v>777</v>
      </c>
      <c r="F26" s="64" t="s">
        <v>71</v>
      </c>
      <c r="G26" s="2" t="s">
        <v>72</v>
      </c>
      <c r="H26" s="34" t="s">
        <v>792</v>
      </c>
      <c r="I26" s="2">
        <v>1</v>
      </c>
      <c r="J26" s="70">
        <v>450</v>
      </c>
      <c r="K26" s="64"/>
      <c r="L26" s="71" t="s">
        <v>819</v>
      </c>
      <c r="M26" s="71" t="s">
        <v>73</v>
      </c>
      <c r="N26" s="71" t="s">
        <v>826</v>
      </c>
      <c r="O26" s="71" t="s">
        <v>817</v>
      </c>
      <c r="P26" s="78">
        <v>46031</v>
      </c>
      <c r="Q26" s="78"/>
      <c r="R26" s="341"/>
    </row>
    <row r="27" spans="1:18">
      <c r="A27" t="s">
        <v>7</v>
      </c>
      <c r="C27" s="11">
        <v>46045</v>
      </c>
      <c r="D27" s="33" t="s">
        <v>827</v>
      </c>
      <c r="E27" t="s">
        <v>777</v>
      </c>
      <c r="F27" s="64" t="s">
        <v>71</v>
      </c>
      <c r="G27" s="2" t="s">
        <v>72</v>
      </c>
      <c r="H27" s="34" t="s">
        <v>792</v>
      </c>
      <c r="I27" s="2">
        <v>1</v>
      </c>
      <c r="J27" s="345">
        <v>7000</v>
      </c>
      <c r="K27" s="343"/>
      <c r="L27" s="342" t="s">
        <v>819</v>
      </c>
      <c r="M27" s="342" t="s">
        <v>73</v>
      </c>
      <c r="N27" s="342" t="s">
        <v>828</v>
      </c>
      <c r="O27" s="342" t="s">
        <v>248</v>
      </c>
      <c r="P27" s="346">
        <v>46075</v>
      </c>
      <c r="R27" s="366"/>
    </row>
    <row r="28" spans="1:18">
      <c r="A28" t="s">
        <v>7</v>
      </c>
      <c r="C28" s="11">
        <v>46045</v>
      </c>
      <c r="D28" s="33" t="s">
        <v>829</v>
      </c>
      <c r="E28" t="s">
        <v>777</v>
      </c>
      <c r="F28" s="64" t="s">
        <v>71</v>
      </c>
      <c r="G28" s="2" t="s">
        <v>72</v>
      </c>
      <c r="H28" s="34" t="s">
        <v>792</v>
      </c>
      <c r="I28" s="2">
        <v>1</v>
      </c>
      <c r="J28" s="345">
        <v>450</v>
      </c>
      <c r="K28" s="343"/>
      <c r="L28" s="342" t="s">
        <v>819</v>
      </c>
      <c r="M28" s="342" t="s">
        <v>73</v>
      </c>
      <c r="N28" s="342" t="s">
        <v>830</v>
      </c>
      <c r="O28" s="342" t="s">
        <v>248</v>
      </c>
      <c r="P28" s="346">
        <v>46075</v>
      </c>
      <c r="R28" s="366"/>
    </row>
    <row r="29" spans="1:18">
      <c r="A29" t="s">
        <v>7</v>
      </c>
      <c r="C29" s="11">
        <v>46068</v>
      </c>
      <c r="D29" s="33" t="s">
        <v>831</v>
      </c>
      <c r="E29" t="s">
        <v>777</v>
      </c>
      <c r="F29" s="64" t="s">
        <v>71</v>
      </c>
      <c r="G29" s="2" t="s">
        <v>72</v>
      </c>
      <c r="H29" s="34" t="s">
        <v>792</v>
      </c>
      <c r="I29" s="2">
        <v>1</v>
      </c>
      <c r="J29" s="46">
        <v>7000</v>
      </c>
      <c r="K29" s="38"/>
      <c r="L29" s="71" t="s">
        <v>819</v>
      </c>
      <c r="M29" s="71" t="s">
        <v>73</v>
      </c>
      <c r="N29" s="40" t="s">
        <v>832</v>
      </c>
      <c r="O29" s="2" t="s">
        <v>248</v>
      </c>
      <c r="P29" s="45">
        <v>46099</v>
      </c>
    </row>
    <row r="30" spans="1:18">
      <c r="A30" t="s">
        <v>7</v>
      </c>
      <c r="C30" s="11">
        <v>46068</v>
      </c>
      <c r="D30" s="33" t="s">
        <v>833</v>
      </c>
      <c r="E30" t="s">
        <v>777</v>
      </c>
      <c r="F30" s="64" t="s">
        <v>71</v>
      </c>
      <c r="G30" s="2" t="s">
        <v>72</v>
      </c>
      <c r="H30" s="34" t="s">
        <v>792</v>
      </c>
      <c r="I30" s="2">
        <v>1</v>
      </c>
      <c r="J30" s="46">
        <v>450</v>
      </c>
      <c r="K30" s="38"/>
      <c r="L30" s="71" t="s">
        <v>819</v>
      </c>
      <c r="M30" s="71" t="s">
        <v>73</v>
      </c>
      <c r="N30" s="40" t="s">
        <v>834</v>
      </c>
      <c r="O30" s="2" t="s">
        <v>248</v>
      </c>
      <c r="P30" s="45">
        <v>46099</v>
      </c>
    </row>
    <row r="31" spans="1:18">
      <c r="A31" t="s">
        <v>7</v>
      </c>
      <c r="C31" s="11">
        <v>46096</v>
      </c>
      <c r="D31" s="33" t="s">
        <v>800</v>
      </c>
      <c r="E31" t="s">
        <v>777</v>
      </c>
      <c r="F31" s="64" t="s">
        <v>71</v>
      </c>
      <c r="G31" s="2" t="s">
        <v>72</v>
      </c>
      <c r="H31" s="34" t="s">
        <v>792</v>
      </c>
      <c r="I31" s="2">
        <v>1</v>
      </c>
      <c r="J31" s="46">
        <v>7000</v>
      </c>
      <c r="K31" s="38"/>
      <c r="L31" s="71" t="s">
        <v>835</v>
      </c>
      <c r="M31" s="71" t="s">
        <v>73</v>
      </c>
      <c r="N31" s="40" t="s">
        <v>836</v>
      </c>
      <c r="O31" s="2" t="s">
        <v>248</v>
      </c>
      <c r="P31" s="45">
        <v>46127</v>
      </c>
    </row>
    <row r="32" spans="1:18">
      <c r="A32" t="s">
        <v>7</v>
      </c>
      <c r="C32" s="11">
        <v>46096</v>
      </c>
      <c r="D32" s="33" t="s">
        <v>837</v>
      </c>
      <c r="E32" t="s">
        <v>777</v>
      </c>
      <c r="F32" s="64" t="s">
        <v>71</v>
      </c>
      <c r="G32" s="2" t="s">
        <v>72</v>
      </c>
      <c r="H32" s="34" t="s">
        <v>792</v>
      </c>
      <c r="I32" s="2">
        <v>1</v>
      </c>
      <c r="J32" s="46">
        <v>450</v>
      </c>
      <c r="K32" s="38"/>
      <c r="L32" s="71" t="s">
        <v>835</v>
      </c>
      <c r="M32" s="71" t="s">
        <v>73</v>
      </c>
      <c r="N32" s="40" t="s">
        <v>838</v>
      </c>
      <c r="O32" s="2" t="s">
        <v>248</v>
      </c>
      <c r="P32" s="45">
        <v>46127</v>
      </c>
    </row>
    <row r="33" spans="1:12">
      <c r="A33" t="s">
        <v>7</v>
      </c>
      <c r="C33" s="11">
        <v>46127</v>
      </c>
      <c r="D33" s="33" t="s">
        <v>803</v>
      </c>
      <c r="E33" t="s">
        <v>777</v>
      </c>
      <c r="F33" s="64" t="s">
        <v>71</v>
      </c>
      <c r="G33" s="2" t="s">
        <v>72</v>
      </c>
      <c r="H33" s="34" t="s">
        <v>792</v>
      </c>
      <c r="I33" s="2">
        <v>1</v>
      </c>
      <c r="J33" s="3">
        <v>7000</v>
      </c>
      <c r="L33" s="72" t="s">
        <v>835</v>
      </c>
    </row>
    <row r="34" spans="1:12">
      <c r="A34" t="s">
        <v>7</v>
      </c>
      <c r="C34" s="11">
        <v>46127</v>
      </c>
      <c r="D34" s="33" t="s">
        <v>839</v>
      </c>
      <c r="E34" t="s">
        <v>777</v>
      </c>
      <c r="F34" s="64" t="s">
        <v>71</v>
      </c>
      <c r="G34" s="2" t="s">
        <v>72</v>
      </c>
      <c r="H34" s="34" t="s">
        <v>792</v>
      </c>
      <c r="I34" s="2">
        <v>1</v>
      </c>
      <c r="J34" s="3">
        <v>450</v>
      </c>
      <c r="L34" s="72" t="s">
        <v>835</v>
      </c>
    </row>
    <row r="35" spans="1:12">
      <c r="A35" t="s">
        <v>7</v>
      </c>
      <c r="C35" s="11">
        <v>46157</v>
      </c>
      <c r="D35" s="33" t="s">
        <v>805</v>
      </c>
      <c r="E35" t="s">
        <v>777</v>
      </c>
      <c r="F35" s="64" t="s">
        <v>71</v>
      </c>
      <c r="G35" s="2" t="s">
        <v>72</v>
      </c>
      <c r="H35" s="34" t="s">
        <v>792</v>
      </c>
      <c r="I35" s="2">
        <v>1</v>
      </c>
      <c r="J35" s="3">
        <v>7000</v>
      </c>
      <c r="L35" s="72" t="s">
        <v>835</v>
      </c>
    </row>
    <row r="36" spans="1:12">
      <c r="A36" t="s">
        <v>7</v>
      </c>
      <c r="C36" s="11">
        <v>46157</v>
      </c>
      <c r="D36" s="33" t="s">
        <v>840</v>
      </c>
      <c r="E36" t="s">
        <v>777</v>
      </c>
      <c r="F36" s="64" t="s">
        <v>71</v>
      </c>
      <c r="G36" s="2" t="s">
        <v>72</v>
      </c>
      <c r="H36" s="34" t="s">
        <v>792</v>
      </c>
      <c r="I36" s="2">
        <v>1</v>
      </c>
      <c r="J36" s="3">
        <v>450</v>
      </c>
      <c r="L36" s="72" t="s">
        <v>835</v>
      </c>
    </row>
    <row r="37" spans="1:12">
      <c r="A37" t="s">
        <v>7</v>
      </c>
      <c r="C37" s="11">
        <v>46188</v>
      </c>
      <c r="D37" s="33" t="s">
        <v>807</v>
      </c>
      <c r="E37" t="s">
        <v>777</v>
      </c>
      <c r="F37" s="64" t="s">
        <v>71</v>
      </c>
      <c r="G37" s="2" t="s">
        <v>72</v>
      </c>
      <c r="H37" s="34" t="s">
        <v>792</v>
      </c>
      <c r="I37" s="2">
        <v>1</v>
      </c>
      <c r="J37" s="3">
        <v>7000</v>
      </c>
      <c r="L37" s="72" t="s">
        <v>835</v>
      </c>
    </row>
    <row r="38" spans="1:12">
      <c r="A38" t="s">
        <v>7</v>
      </c>
      <c r="C38" s="11">
        <v>46188</v>
      </c>
      <c r="D38" s="33" t="s">
        <v>841</v>
      </c>
      <c r="E38" t="s">
        <v>777</v>
      </c>
      <c r="F38" s="64" t="s">
        <v>71</v>
      </c>
      <c r="G38" s="2" t="s">
        <v>72</v>
      </c>
      <c r="H38" s="34" t="s">
        <v>792</v>
      </c>
      <c r="I38" s="2">
        <v>1</v>
      </c>
      <c r="J38" s="3">
        <v>450</v>
      </c>
      <c r="L38" s="72" t="s">
        <v>835</v>
      </c>
    </row>
    <row r="39" spans="1:12">
      <c r="A39" t="s">
        <v>7</v>
      </c>
      <c r="C39" s="11">
        <v>46218</v>
      </c>
      <c r="D39" s="33" t="s">
        <v>809</v>
      </c>
      <c r="E39" t="s">
        <v>777</v>
      </c>
      <c r="F39" s="64" t="s">
        <v>71</v>
      </c>
      <c r="G39" s="2" t="s">
        <v>72</v>
      </c>
      <c r="H39" s="34" t="s">
        <v>792</v>
      </c>
      <c r="I39" s="2">
        <v>1</v>
      </c>
      <c r="J39" s="3">
        <v>7000</v>
      </c>
      <c r="L39" s="72" t="s">
        <v>835</v>
      </c>
    </row>
    <row r="40" spans="1:12">
      <c r="A40" t="s">
        <v>7</v>
      </c>
      <c r="C40" s="11">
        <v>46218</v>
      </c>
      <c r="D40" s="33" t="s">
        <v>842</v>
      </c>
      <c r="E40" t="s">
        <v>777</v>
      </c>
      <c r="F40" s="64" t="s">
        <v>71</v>
      </c>
      <c r="G40" s="2" t="s">
        <v>72</v>
      </c>
      <c r="H40" s="34" t="s">
        <v>792</v>
      </c>
      <c r="I40" s="2">
        <v>1</v>
      </c>
      <c r="J40" s="3">
        <v>450</v>
      </c>
      <c r="L40" s="72" t="s">
        <v>835</v>
      </c>
    </row>
    <row r="41" spans="1:12">
      <c r="A41" t="s">
        <v>7</v>
      </c>
      <c r="C41" s="11">
        <v>46249</v>
      </c>
      <c r="D41" s="33" t="s">
        <v>811</v>
      </c>
      <c r="E41" t="s">
        <v>777</v>
      </c>
      <c r="F41" s="64" t="s">
        <v>71</v>
      </c>
      <c r="G41" s="2" t="s">
        <v>72</v>
      </c>
      <c r="H41" s="34" t="s">
        <v>792</v>
      </c>
      <c r="I41" s="2">
        <v>1</v>
      </c>
      <c r="J41" s="3">
        <v>7000</v>
      </c>
      <c r="L41" s="72" t="s">
        <v>835</v>
      </c>
    </row>
    <row r="42" spans="1:12">
      <c r="A42" t="s">
        <v>7</v>
      </c>
      <c r="C42" s="11">
        <v>46249</v>
      </c>
      <c r="D42" s="33" t="s">
        <v>843</v>
      </c>
      <c r="E42" t="s">
        <v>777</v>
      </c>
      <c r="F42" s="64" t="s">
        <v>71</v>
      </c>
      <c r="G42" s="2" t="s">
        <v>72</v>
      </c>
      <c r="H42" s="34" t="s">
        <v>792</v>
      </c>
      <c r="I42" s="2">
        <v>1</v>
      </c>
      <c r="J42" s="3">
        <v>450</v>
      </c>
      <c r="L42" s="72" t="s">
        <v>835</v>
      </c>
    </row>
    <row r="43" spans="1:12">
      <c r="A43" t="s">
        <v>7</v>
      </c>
      <c r="C43" s="11">
        <v>46280</v>
      </c>
      <c r="D43" s="33" t="s">
        <v>813</v>
      </c>
      <c r="E43" t="s">
        <v>777</v>
      </c>
      <c r="F43" s="64" t="s">
        <v>71</v>
      </c>
      <c r="G43" s="2" t="s">
        <v>72</v>
      </c>
      <c r="H43" s="34" t="s">
        <v>792</v>
      </c>
      <c r="I43" s="2">
        <v>1</v>
      </c>
      <c r="J43" s="3">
        <v>7000</v>
      </c>
      <c r="L43" s="72" t="s">
        <v>835</v>
      </c>
    </row>
    <row r="44" spans="1:12">
      <c r="A44" t="s">
        <v>7</v>
      </c>
      <c r="C44" s="11">
        <v>46280</v>
      </c>
      <c r="D44" s="33" t="s">
        <v>844</v>
      </c>
      <c r="E44" t="s">
        <v>777</v>
      </c>
      <c r="F44" s="64" t="s">
        <v>71</v>
      </c>
      <c r="G44" s="2" t="s">
        <v>72</v>
      </c>
      <c r="H44" s="34" t="s">
        <v>792</v>
      </c>
      <c r="I44" s="2">
        <v>1</v>
      </c>
      <c r="J44" s="3">
        <v>450</v>
      </c>
      <c r="L44" s="72" t="s">
        <v>835</v>
      </c>
    </row>
    <row r="45" spans="1:12">
      <c r="A45" t="s">
        <v>7</v>
      </c>
      <c r="C45" s="11">
        <v>46310</v>
      </c>
      <c r="D45" s="33" t="s">
        <v>815</v>
      </c>
      <c r="E45" t="s">
        <v>777</v>
      </c>
      <c r="F45" s="64" t="s">
        <v>71</v>
      </c>
      <c r="G45" s="2" t="s">
        <v>72</v>
      </c>
      <c r="H45" s="34" t="s">
        <v>792</v>
      </c>
      <c r="I45" s="2">
        <v>1</v>
      </c>
      <c r="J45" s="3">
        <v>7000</v>
      </c>
      <c r="L45" s="72"/>
    </row>
    <row r="46" spans="1:12">
      <c r="A46" t="s">
        <v>7</v>
      </c>
      <c r="C46" s="11">
        <v>46310</v>
      </c>
      <c r="D46" s="33" t="s">
        <v>845</v>
      </c>
      <c r="E46" t="s">
        <v>777</v>
      </c>
      <c r="F46" s="64" t="s">
        <v>71</v>
      </c>
      <c r="G46" s="2" t="s">
        <v>72</v>
      </c>
      <c r="H46" s="34" t="s">
        <v>792</v>
      </c>
      <c r="I46" s="2">
        <v>1</v>
      </c>
      <c r="J46" s="3">
        <v>450</v>
      </c>
      <c r="L46" s="72"/>
    </row>
    <row r="47" spans="1:12">
      <c r="A47" t="s">
        <v>7</v>
      </c>
      <c r="C47" s="11">
        <v>46341</v>
      </c>
      <c r="D47" s="33" t="s">
        <v>818</v>
      </c>
      <c r="E47" t="s">
        <v>777</v>
      </c>
      <c r="F47" s="64" t="s">
        <v>71</v>
      </c>
      <c r="G47" s="2" t="s">
        <v>72</v>
      </c>
      <c r="H47" s="34" t="s">
        <v>792</v>
      </c>
      <c r="I47" s="2">
        <v>1</v>
      </c>
      <c r="J47" s="3">
        <v>7000</v>
      </c>
      <c r="L47" s="72"/>
    </row>
    <row r="48" spans="1:12">
      <c r="A48" t="s">
        <v>7</v>
      </c>
      <c r="C48" s="11">
        <v>46341</v>
      </c>
      <c r="D48" s="33" t="s">
        <v>821</v>
      </c>
      <c r="E48" t="s">
        <v>777</v>
      </c>
      <c r="F48" s="64" t="s">
        <v>71</v>
      </c>
      <c r="G48" s="2" t="s">
        <v>72</v>
      </c>
      <c r="H48" s="34" t="s">
        <v>792</v>
      </c>
      <c r="I48" s="2">
        <v>1</v>
      </c>
      <c r="J48" s="3">
        <v>450</v>
      </c>
      <c r="L48" s="72"/>
    </row>
    <row r="49" spans="1:12">
      <c r="A49" t="s">
        <v>7</v>
      </c>
      <c r="C49" s="11">
        <v>46371</v>
      </c>
      <c r="D49" s="33" t="s">
        <v>823</v>
      </c>
      <c r="E49" t="s">
        <v>777</v>
      </c>
      <c r="F49" s="64" t="s">
        <v>71</v>
      </c>
      <c r="G49" s="2" t="s">
        <v>72</v>
      </c>
      <c r="H49" s="34" t="s">
        <v>792</v>
      </c>
      <c r="I49" s="2">
        <v>1</v>
      </c>
      <c r="J49" s="3">
        <v>7000</v>
      </c>
      <c r="L49" s="72"/>
    </row>
    <row r="50" spans="1:12">
      <c r="A50" t="s">
        <v>7</v>
      </c>
      <c r="C50" s="11">
        <v>46371</v>
      </c>
      <c r="D50" s="33" t="s">
        <v>825</v>
      </c>
      <c r="E50" t="s">
        <v>777</v>
      </c>
      <c r="F50" s="64" t="s">
        <v>71</v>
      </c>
      <c r="G50" s="2" t="s">
        <v>72</v>
      </c>
      <c r="H50" s="34" t="s">
        <v>792</v>
      </c>
      <c r="I50" s="2">
        <v>1</v>
      </c>
      <c r="J50" s="3">
        <v>450</v>
      </c>
      <c r="L50" s="72"/>
    </row>
  </sheetData>
  <autoFilter ref="A3:BD3" xr:uid="{7AA3775D-17C8-4FC8-93A2-356BD8438367}"/>
  <mergeCells count="8">
    <mergeCell ref="AM1:AS1"/>
    <mergeCell ref="AT1:AU1"/>
    <mergeCell ref="AV1:AW1"/>
    <mergeCell ref="A2:D2"/>
    <mergeCell ref="E2:O2"/>
    <mergeCell ref="S1:Z1"/>
    <mergeCell ref="AA1:AG1"/>
    <mergeCell ref="AI1:AL1"/>
  </mergeCells>
  <conditionalFormatting sqref="R1:R3 R10:R1048576">
    <cfRule type="cellIs" dxfId="1" priority="2" operator="greaterThan">
      <formula>0</formula>
    </cfRule>
  </conditionalFormatting>
  <conditionalFormatting sqref="R1:R3 R10:R1048576">
    <cfRule type="cellIs" dxfId="0" priority="1" operator="lessThan">
      <formula>0</formula>
    </cfRule>
  </conditionalFormatting>
  <hyperlinks>
    <hyperlink ref="H4" r:id="rId1" xr:uid="{496E4A21-0D40-45BB-9D43-77B52FA77BC0}"/>
    <hyperlink ref="H5" r:id="rId2" xr:uid="{262E4962-D29B-49EB-872F-C7757A409905}"/>
    <hyperlink ref="H8" r:id="rId3" xr:uid="{024CBFAC-1F7A-4B1D-B495-D935B74DAB09}"/>
    <hyperlink ref="H10" r:id="rId4" xr:uid="{BF343554-CCCE-4151-8284-DD617354AABA}"/>
    <hyperlink ref="H11" r:id="rId5" xr:uid="{8F5F8C13-8C36-4960-9C9C-350C88A22439}"/>
    <hyperlink ref="H12" r:id="rId6" xr:uid="{42429ABE-3FE3-4FE3-BE06-33E2E9DA29D5}"/>
    <hyperlink ref="H13" r:id="rId7" xr:uid="{BF47D9D2-86C7-48EF-8C9A-8FAED8FFE4BC}"/>
    <hyperlink ref="H14" r:id="rId8" xr:uid="{E441B9CF-2C6E-4171-8399-42F57EFA7411}"/>
    <hyperlink ref="H15" r:id="rId9" xr:uid="{2CB7F9C3-AE78-4B9E-BA55-853A32E8995E}"/>
    <hyperlink ref="H16" r:id="rId10" xr:uid="{2423308F-77F6-4CB6-B21C-1D949D0DEDE9}"/>
    <hyperlink ref="H17" r:id="rId11" xr:uid="{9FFE21F2-F42C-4561-AC4D-F864B27A7F49}"/>
    <hyperlink ref="H18" r:id="rId12" xr:uid="{57B1A44B-04A6-4878-BEDE-D4589192FCFC}"/>
    <hyperlink ref="H19" r:id="rId13" xr:uid="{DBC420E8-D65F-4E76-A430-0A4DB7554AD2}"/>
    <hyperlink ref="H20" r:id="rId14" xr:uid="{5D9A0FF6-B530-4BC9-9515-61738C6746C0}"/>
    <hyperlink ref="H21" r:id="rId15" xr:uid="{2FEC8E99-EC3D-46D9-B991-8E5A93ECD156}"/>
    <hyperlink ref="H22" r:id="rId16" xr:uid="{3CF4B073-CEFC-4486-96EB-66950CA8616D}"/>
    <hyperlink ref="H23" r:id="rId17" xr:uid="{9ABEC4AE-74C8-4837-89A1-78BFCDD86FCC}"/>
    <hyperlink ref="H25" r:id="rId18" xr:uid="{FE16F603-5A69-4E41-8EF1-C648E49B3835}"/>
    <hyperlink ref="H24" r:id="rId19" xr:uid="{C6068572-8F2A-4700-A47F-004A3048BB4B}"/>
    <hyperlink ref="H26" r:id="rId20" xr:uid="{0681A940-113E-4E48-8F94-132DE221DF64}"/>
    <hyperlink ref="H27" r:id="rId21" xr:uid="{A4A6B954-F8B2-4964-AAA2-50996656E243}"/>
    <hyperlink ref="H28" r:id="rId22" xr:uid="{0908A449-E186-4CD2-A8CC-62612461D827}"/>
    <hyperlink ref="H29" r:id="rId23" xr:uid="{82DA98AF-D0B7-42C0-9857-BAAB80663CA1}"/>
    <hyperlink ref="H30" r:id="rId24" xr:uid="{23FF72F5-26C2-43FE-9BA1-75756CDB7201}"/>
    <hyperlink ref="H31" r:id="rId25" xr:uid="{58E491F2-9188-4826-9117-CDE94D4344B0}"/>
    <hyperlink ref="H32" r:id="rId26" xr:uid="{2F8757AB-86B7-4EB7-B479-DF5ECA0E37A0}"/>
    <hyperlink ref="H34" r:id="rId27" xr:uid="{6F0F2032-1E1F-4FA3-99E5-F0DE6CBA245D}"/>
    <hyperlink ref="H35" r:id="rId28" xr:uid="{F9ACCA30-8319-4076-BD80-F674822BE585}"/>
    <hyperlink ref="H36" r:id="rId29" xr:uid="{B2EC5152-EF68-4405-AC34-EBB7D885A369}"/>
    <hyperlink ref="H37" r:id="rId30" xr:uid="{AA3D0777-73C7-4433-877E-1E7A7383E891}"/>
    <hyperlink ref="H38" r:id="rId31" xr:uid="{A0574E4A-A13C-466E-ACB9-811ACB1CDB21}"/>
    <hyperlink ref="H39" r:id="rId32" xr:uid="{152618B9-5CFD-46CE-A552-B44489A811AA}"/>
    <hyperlink ref="H40" r:id="rId33" xr:uid="{1CBFB3C2-F5EE-46CF-8466-799CEC48E38E}"/>
    <hyperlink ref="H41" r:id="rId34" xr:uid="{6B6488E0-0E3B-4663-ADFF-07516181A016}"/>
    <hyperlink ref="H42" r:id="rId35" xr:uid="{E78B2117-05CD-45C9-9A55-116421B463E0}"/>
    <hyperlink ref="H43" r:id="rId36" xr:uid="{AA4DDC66-C8B3-42A7-8252-416440C8CC19}"/>
    <hyperlink ref="H44" r:id="rId37" xr:uid="{01B77B28-11A3-427F-B424-A4D30C32A1DF}"/>
    <hyperlink ref="H45" r:id="rId38" xr:uid="{2E682024-DEBB-47D2-A93E-1394B64AAEA0}"/>
    <hyperlink ref="H46" r:id="rId39" xr:uid="{4B293CA7-B849-4247-B37A-7940DFB6046C}"/>
    <hyperlink ref="H47" r:id="rId40" xr:uid="{B2443DBE-1D02-4A63-876F-AA6C09A87113}"/>
    <hyperlink ref="H48" r:id="rId41" xr:uid="{00C71A3B-429B-4700-9D95-2081CB9C6230}"/>
    <hyperlink ref="H49" r:id="rId42" xr:uid="{1A3018A3-A4B0-450D-86DA-B6B4AC934429}"/>
    <hyperlink ref="H50" r:id="rId43" xr:uid="{F5841507-BA0C-4DA2-A3D9-9917A776FC0C}"/>
    <hyperlink ref="H33" r:id="rId44" xr:uid="{8AC58B3B-F071-40BD-8A9C-798CF2BF8A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Emmanuel Gomez</cp:lastModifiedBy>
  <cp:revision/>
  <dcterms:created xsi:type="dcterms:W3CDTF">2022-11-16T23:06:46Z</dcterms:created>
  <dcterms:modified xsi:type="dcterms:W3CDTF">2026-03-25T18:55:41Z</dcterms:modified>
  <cp:category/>
  <cp:contentStatus/>
</cp:coreProperties>
</file>