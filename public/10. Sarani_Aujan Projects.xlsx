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thoma\Downloads\"/>
    </mc:Choice>
  </mc:AlternateContent>
  <xr:revisionPtr revIDLastSave="1018" documentId="6_{5B5553B0-239E-4776-ABB6-AD4AFAF7484B}" xr6:coauthVersionLast="47" xr6:coauthVersionMax="47" xr10:uidLastSave="{1998869B-6A62-4C1D-B34F-691858A89AAC}"/>
  <bookViews>
    <workbookView xWindow="43080" yWindow="-120" windowWidth="29040" windowHeight="15720" firstSheet="1" activeTab="1" xr2:uid="{52449501-E24D-40AE-881F-31457FA434C1}"/>
  </bookViews>
  <sheets>
    <sheet name="Overview" sheetId="2" state="hidden" r:id="rId1"/>
    <sheet name="AUJAN" sheetId="1" r:id="rId2"/>
  </sheets>
  <definedNames>
    <definedName name="_xlnm._FilterDatabase" localSheetId="1" hidden="1">AUJAN!$A$3:$BE$40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C16" i="2"/>
  <c r="D16" i="2"/>
  <c r="E16" i="2"/>
  <c r="F16" i="2"/>
  <c r="G16" i="2"/>
  <c r="H16" i="2"/>
  <c r="I16" i="2"/>
  <c r="B15" i="2"/>
  <c r="C15" i="2"/>
  <c r="D15" i="2"/>
  <c r="E15" i="2"/>
  <c r="F15" i="2"/>
  <c r="G15" i="2"/>
  <c r="H15" i="2"/>
  <c r="I15" i="2"/>
  <c r="B14" i="2"/>
  <c r="C14" i="2"/>
  <c r="D14" i="2"/>
  <c r="E14" i="2"/>
  <c r="F14" i="2"/>
  <c r="G14" i="2"/>
  <c r="H14" i="2"/>
  <c r="I14" i="2"/>
  <c r="B13" i="2"/>
  <c r="B17" i="2" s="1"/>
  <c r="C13" i="2"/>
  <c r="C17" i="2" s="1"/>
  <c r="D13" i="2"/>
  <c r="D17" i="2" s="1"/>
  <c r="E13" i="2"/>
  <c r="E17" i="2" s="1"/>
  <c r="F13" i="2"/>
  <c r="F17" i="2" s="1"/>
  <c r="G13" i="2"/>
  <c r="G17" i="2" s="1"/>
  <c r="H13" i="2"/>
  <c r="H17" i="2" s="1"/>
  <c r="I13" i="2"/>
  <c r="I17" i="2" s="1"/>
  <c r="B8" i="2"/>
  <c r="C8" i="2"/>
  <c r="D8" i="2"/>
  <c r="E8" i="2"/>
  <c r="F8" i="2"/>
  <c r="G8" i="2"/>
  <c r="H8" i="2"/>
  <c r="I8" i="2"/>
  <c r="B7" i="2"/>
  <c r="C7" i="2"/>
  <c r="D7" i="2"/>
  <c r="E7" i="2"/>
  <c r="F7" i="2"/>
  <c r="G7" i="2"/>
  <c r="H7" i="2"/>
  <c r="I7" i="2"/>
  <c r="B6" i="2"/>
  <c r="C6" i="2"/>
  <c r="D6" i="2"/>
  <c r="E6" i="2"/>
  <c r="F6" i="2"/>
  <c r="G6" i="2"/>
  <c r="H6" i="2"/>
  <c r="I6" i="2"/>
  <c r="B5" i="2"/>
  <c r="C5" i="2"/>
  <c r="D5" i="2"/>
  <c r="E5" i="2"/>
  <c r="F5" i="2"/>
  <c r="G5" i="2"/>
  <c r="H5" i="2"/>
  <c r="I5" i="2"/>
  <c r="J42" i="1"/>
  <c r="J41" i="1"/>
  <c r="J31" i="1"/>
  <c r="J33" i="1"/>
  <c r="J34" i="1"/>
  <c r="J38" i="1"/>
  <c r="J32" i="1"/>
  <c r="J29" i="1"/>
  <c r="J37" i="1"/>
  <c r="J30" i="1"/>
  <c r="J36" i="1"/>
  <c r="J35" i="1"/>
  <c r="J27" i="1"/>
  <c r="J28" i="1"/>
  <c r="J26" i="1"/>
  <c r="J19" i="1"/>
  <c r="J25" i="1"/>
  <c r="J18" i="1"/>
  <c r="J40" i="1"/>
  <c r="J24" i="1"/>
  <c r="S10" i="1"/>
  <c r="R10" i="1"/>
  <c r="Q10" i="1"/>
  <c r="J10" i="1"/>
  <c r="AS9" i="1"/>
  <c r="AH4" i="1"/>
  <c r="J4" i="1" s="1"/>
  <c r="J16" i="1"/>
  <c r="J15" i="1"/>
  <c r="J14" i="1"/>
  <c r="J23" i="1"/>
  <c r="J13" i="1"/>
  <c r="J22" i="1"/>
  <c r="J12" i="1"/>
  <c r="J11" i="1"/>
  <c r="J21" i="1"/>
  <c r="J20" i="1"/>
  <c r="J9" i="1"/>
  <c r="J8" i="1"/>
  <c r="J7" i="1"/>
  <c r="J5" i="1"/>
  <c r="J6" i="1"/>
  <c r="H9" i="2" l="1"/>
  <c r="E9" i="2"/>
  <c r="B9" i="2"/>
  <c r="G9" i="2"/>
  <c r="D9" i="2"/>
  <c r="I9" i="2"/>
  <c r="F9" i="2"/>
  <c r="C9" i="2"/>
  <c r="C20" i="2"/>
  <c r="C21" i="2"/>
  <c r="B21" i="2"/>
  <c r="S16" i="1"/>
  <c r="R16" i="1"/>
  <c r="Q16" i="1"/>
  <c r="S15" i="1"/>
  <c r="R15" i="1"/>
  <c r="Q15" i="1"/>
  <c r="S14" i="1"/>
  <c r="R14" i="1"/>
  <c r="Q14" i="1"/>
  <c r="S23" i="1"/>
  <c r="R23" i="1"/>
  <c r="Q23" i="1"/>
  <c r="S13" i="1"/>
  <c r="R13" i="1"/>
  <c r="Q13" i="1"/>
  <c r="S22" i="1"/>
  <c r="R22" i="1"/>
  <c r="Q22" i="1"/>
  <c r="S12" i="1"/>
  <c r="R12" i="1"/>
  <c r="Q12" i="1"/>
  <c r="S11" i="1"/>
  <c r="R11" i="1"/>
  <c r="Q11" i="1"/>
  <c r="S21" i="1"/>
  <c r="R21" i="1"/>
  <c r="Q21" i="1"/>
  <c r="S39" i="1"/>
  <c r="R39" i="1"/>
  <c r="Q39" i="1"/>
  <c r="S20" i="1"/>
  <c r="R20" i="1"/>
  <c r="Q20" i="1"/>
  <c r="S9" i="1"/>
  <c r="R9" i="1"/>
  <c r="Q9" i="1"/>
  <c r="S8" i="1"/>
  <c r="R8" i="1"/>
  <c r="Q8" i="1"/>
  <c r="S7" i="1"/>
  <c r="R7" i="1"/>
  <c r="Q7" i="1"/>
  <c r="S5" i="1"/>
  <c r="R5" i="1"/>
  <c r="Q5" i="1"/>
  <c r="S6" i="1"/>
  <c r="R6" i="1"/>
  <c r="Q6" i="1"/>
  <c r="S4" i="1"/>
  <c r="R4" i="1"/>
  <c r="Q4" i="1"/>
  <c r="BH3" i="1"/>
  <c r="B20" i="2" l="1"/>
  <c r="B22" i="2" s="1"/>
  <c r="C22" i="2"/>
  <c r="K43" i="1"/>
  <c r="K42" i="1"/>
  <c r="K41" i="1"/>
  <c r="K31" i="1"/>
  <c r="K33" i="1"/>
  <c r="K34" i="1"/>
  <c r="K38" i="1"/>
  <c r="K32" i="1"/>
  <c r="K29" i="1"/>
  <c r="K37" i="1"/>
  <c r="K36" i="1"/>
  <c r="K27" i="1"/>
  <c r="K17" i="1"/>
  <c r="K28" i="1"/>
  <c r="K23" i="1"/>
  <c r="K24" i="1"/>
  <c r="K40" i="1"/>
  <c r="K18" i="1"/>
  <c r="K25" i="1"/>
  <c r="K19" i="1"/>
  <c r="K26" i="1"/>
  <c r="K20" i="1"/>
  <c r="K21" i="1"/>
  <c r="K12" i="1"/>
  <c r="K22" i="1"/>
  <c r="K13" i="1"/>
  <c r="K14" i="1"/>
  <c r="K15" i="1"/>
  <c r="K16" i="1"/>
  <c r="K7" i="1"/>
  <c r="K8" i="1"/>
  <c r="K9" i="1"/>
  <c r="K10" i="1"/>
  <c r="K11" i="1"/>
  <c r="K4" i="1"/>
  <c r="K6" i="1"/>
  <c r="K5" i="1"/>
</calcChain>
</file>

<file path=xl/sharedStrings.xml><?xml version="1.0" encoding="utf-8"?>
<sst xmlns="http://schemas.openxmlformats.org/spreadsheetml/2006/main" count="560" uniqueCount="241">
  <si>
    <t>Performance Dashboard — Aujan</t>
  </si>
  <si>
    <t>REVENUS (€)</t>
  </si>
  <si>
    <t>Q1</t>
  </si>
  <si>
    <t>Q2</t>
  </si>
  <si>
    <t>Q3</t>
  </si>
  <si>
    <t>Q4</t>
  </si>
  <si>
    <t>Rani</t>
  </si>
  <si>
    <t>Vimto</t>
  </si>
  <si>
    <t>Barbican</t>
  </si>
  <si>
    <t>Rani-Barbican</t>
  </si>
  <si>
    <t>TOTAL</t>
  </si>
  <si>
    <t>NOMBRE DE PROJETS</t>
  </si>
  <si>
    <t>SYNTHÈSE ANNUELLE</t>
  </si>
  <si>
    <t>Revenus ($)</t>
  </si>
  <si>
    <t>Projets</t>
  </si>
  <si>
    <t>Rev. / Projet ($)</t>
  </si>
  <si>
    <t>Price File</t>
  </si>
  <si>
    <t>Online</t>
  </si>
  <si>
    <t>Offline</t>
  </si>
  <si>
    <t>Presentations</t>
  </si>
  <si>
    <t>Web</t>
  </si>
  <si>
    <t>Videos</t>
  </si>
  <si>
    <t>Virtualization</t>
  </si>
  <si>
    <t>Contentful</t>
  </si>
  <si>
    <t>Copy</t>
  </si>
  <si>
    <t>Project</t>
  </si>
  <si>
    <t>Details</t>
  </si>
  <si>
    <t>Sent to :
 accbc.ap-uae@aujan.com</t>
  </si>
  <si>
    <t>Graphic Design</t>
  </si>
  <si>
    <t>Video</t>
  </si>
  <si>
    <t>Vidéo Production</t>
  </si>
  <si>
    <t>Ads</t>
  </si>
  <si>
    <t>Influence</t>
  </si>
  <si>
    <t>Part-Time Placement</t>
  </si>
  <si>
    <t>Others</t>
  </si>
  <si>
    <r>
      <rPr>
        <b/>
        <sz val="11"/>
        <color rgb="FFFFFFFF"/>
        <rFont val="Aptos Narrow"/>
        <scheme val="minor"/>
      </rPr>
      <t xml:space="preserve">Banner creation </t>
    </r>
    <r>
      <rPr>
        <i/>
        <sz val="11"/>
        <color rgb="FFFFFFFF"/>
        <rFont val="Aptos Narrow"/>
        <scheme val="minor"/>
      </rPr>
      <t>(static)</t>
    </r>
  </si>
  <si>
    <r>
      <rPr>
        <b/>
        <sz val="11"/>
        <color rgb="FFFFFFFF"/>
        <rFont val="Aptos Narrow"/>
        <scheme val="minor"/>
      </rPr>
      <t xml:space="preserve">Banner adaptation </t>
    </r>
    <r>
      <rPr>
        <i/>
        <sz val="11"/>
        <color rgb="FFFFFFFF"/>
        <rFont val="Aptos Narrow"/>
        <scheme val="minor"/>
      </rPr>
      <t>(static)</t>
    </r>
  </si>
  <si>
    <r>
      <rPr>
        <b/>
        <sz val="11"/>
        <color rgb="FFFFFFFF"/>
        <rFont val="Aptos Narrow"/>
        <scheme val="minor"/>
      </rPr>
      <t xml:space="preserve">Banner creation </t>
    </r>
    <r>
      <rPr>
        <i/>
        <sz val="11"/>
        <color rgb="FFFFFFFF"/>
        <rFont val="Aptos Narrow"/>
        <scheme val="minor"/>
      </rPr>
      <t>(animated)</t>
    </r>
  </si>
  <si>
    <r>
      <rPr>
        <b/>
        <sz val="11"/>
        <color rgb="FFFFFFFF"/>
        <rFont val="Aptos Narrow"/>
        <scheme val="minor"/>
      </rPr>
      <t xml:space="preserve">Banner adaptation </t>
    </r>
    <r>
      <rPr>
        <i/>
        <sz val="11"/>
        <color rgb="FFFFFFFF"/>
        <rFont val="Aptos Narrow"/>
        <scheme val="minor"/>
      </rPr>
      <t>(animated)</t>
    </r>
  </si>
  <si>
    <t>Buttons</t>
  </si>
  <si>
    <t>Logo</t>
  </si>
  <si>
    <t>Lifestyle Picture</t>
  </si>
  <si>
    <t>Wallpapers</t>
  </si>
  <si>
    <r>
      <t xml:space="preserve">Offline creation </t>
    </r>
    <r>
      <rPr>
        <i/>
        <sz val="11"/>
        <color theme="0"/>
        <rFont val="Aptos Narrow"/>
        <family val="2"/>
        <scheme val="minor"/>
      </rPr>
      <t>(standard)</t>
    </r>
  </si>
  <si>
    <r>
      <t xml:space="preserve">Offline creation </t>
    </r>
    <r>
      <rPr>
        <i/>
        <sz val="11"/>
        <color theme="0"/>
        <rFont val="Aptos Narrow"/>
        <family val="2"/>
        <scheme val="minor"/>
      </rPr>
      <t>(adaptation)</t>
    </r>
  </si>
  <si>
    <r>
      <t xml:space="preserve">Leaflet
</t>
    </r>
    <r>
      <rPr>
        <i/>
        <sz val="11"/>
        <color theme="0"/>
        <rFont val="Aptos Narrow"/>
        <family val="2"/>
        <scheme val="minor"/>
      </rPr>
      <t>(1 page)</t>
    </r>
  </si>
  <si>
    <r>
      <t xml:space="preserve">Leaflet
</t>
    </r>
    <r>
      <rPr>
        <i/>
        <sz val="11"/>
        <color theme="0"/>
        <rFont val="Aptos Narrow"/>
        <family val="2"/>
        <scheme val="minor"/>
      </rPr>
      <t>(2 pages)</t>
    </r>
  </si>
  <si>
    <t>Roll-up / Wall creation</t>
  </si>
  <si>
    <t>Chart</t>
  </si>
  <si>
    <r>
      <t xml:space="preserve">Brochure
</t>
    </r>
    <r>
      <rPr>
        <i/>
        <sz val="11"/>
        <color theme="0"/>
        <rFont val="Aptos Narrow"/>
        <family val="2"/>
        <scheme val="minor"/>
      </rPr>
      <t>(20 pages)</t>
    </r>
  </si>
  <si>
    <t>Slide</t>
  </si>
  <si>
    <r>
      <t xml:space="preserve">Landing page </t>
    </r>
    <r>
      <rPr>
        <i/>
        <sz val="11"/>
        <color theme="0"/>
        <rFont val="Aptos Narrow"/>
        <family val="2"/>
        <scheme val="minor"/>
      </rPr>
      <t>(design only)</t>
    </r>
  </si>
  <si>
    <r>
      <t xml:space="preserve">Landing page
</t>
    </r>
    <r>
      <rPr>
        <i/>
        <sz val="11"/>
        <color theme="0"/>
        <rFont val="Aptos Narrow"/>
        <family val="2"/>
        <scheme val="minor"/>
      </rPr>
      <t>(complete)</t>
    </r>
  </si>
  <si>
    <r>
      <t xml:space="preserve">Website
</t>
    </r>
    <r>
      <rPr>
        <i/>
        <sz val="11"/>
        <color theme="0"/>
        <rFont val="Aptos Narrow"/>
        <family val="2"/>
        <scheme val="minor"/>
      </rPr>
      <t>(design only)</t>
    </r>
  </si>
  <si>
    <r>
      <t xml:space="preserve">Website
</t>
    </r>
    <r>
      <rPr>
        <i/>
        <sz val="11"/>
        <color theme="0"/>
        <rFont val="Aptos Narrow"/>
        <family val="2"/>
        <scheme val="minor"/>
      </rPr>
      <t>(complete)</t>
    </r>
  </si>
  <si>
    <t>Video Edition</t>
  </si>
  <si>
    <t>Advanced Edition</t>
  </si>
  <si>
    <r>
      <rPr>
        <b/>
        <sz val="11"/>
        <color rgb="FFFFFFFF"/>
        <rFont val="Calibri"/>
      </rPr>
      <t xml:space="preserve">Social Media Video
</t>
    </r>
    <r>
      <rPr>
        <i/>
        <sz val="11"/>
        <color rgb="FFFFFFFF"/>
        <rFont val="Calibri"/>
      </rPr>
      <t>(up to 30s)</t>
    </r>
  </si>
  <si>
    <r>
      <rPr>
        <b/>
        <sz val="11"/>
        <color rgb="FFFFFFFF"/>
        <rFont val="Calibri"/>
      </rPr>
      <t xml:space="preserve">Social Media Video
</t>
    </r>
    <r>
      <rPr>
        <i/>
        <sz val="11"/>
        <color rgb="FFFFFFFF"/>
        <rFont val="Calibri"/>
      </rPr>
      <t>(up to 1 min)</t>
    </r>
  </si>
  <si>
    <t xml:space="preserve">Sizzles
</t>
  </si>
  <si>
    <r>
      <rPr>
        <b/>
        <sz val="11"/>
        <color rgb="FFFFFFFF"/>
        <rFont val="Calibri"/>
      </rPr>
      <t xml:space="preserve">Promotional Video
</t>
    </r>
    <r>
      <rPr>
        <i/>
        <sz val="11"/>
        <color rgb="FFFFFFFF"/>
        <rFont val="Calibri"/>
      </rPr>
      <t>(up to 1 min)</t>
    </r>
  </si>
  <si>
    <r>
      <t xml:space="preserve">2D Video 
</t>
    </r>
    <r>
      <rPr>
        <i/>
        <sz val="11"/>
        <color theme="0"/>
        <rFont val="Aptos Narrow"/>
        <family val="2"/>
        <scheme val="minor"/>
      </rPr>
      <t>(up to 3mn)</t>
    </r>
  </si>
  <si>
    <r>
      <t xml:space="preserve">3D Video 
</t>
    </r>
    <r>
      <rPr>
        <i/>
        <sz val="11"/>
        <color theme="0"/>
        <rFont val="Aptos Narrow"/>
        <family val="2"/>
        <scheme val="minor"/>
      </rPr>
      <t>(up to 3min)</t>
    </r>
  </si>
  <si>
    <t>Virtual space</t>
  </si>
  <si>
    <t>Virtual showroom</t>
  </si>
  <si>
    <r>
      <rPr>
        <b/>
        <sz val="11"/>
        <color rgb="FFFFFFFF"/>
        <rFont val="Aptos Narrow"/>
        <scheme val="minor"/>
      </rPr>
      <t xml:space="preserve">Case study
</t>
    </r>
    <r>
      <rPr>
        <i/>
        <sz val="11"/>
        <color rgb="FFFFFFFF"/>
        <rFont val="Aptos Narrow"/>
        <scheme val="minor"/>
      </rPr>
      <t>(per article)</t>
    </r>
  </si>
  <si>
    <r>
      <rPr>
        <b/>
        <sz val="11"/>
        <color rgb="FFFFFFFF"/>
        <rFont val="Aptos Narrow"/>
        <scheme val="minor"/>
      </rPr>
      <t xml:space="preserve">Blog article
</t>
    </r>
    <r>
      <rPr>
        <i/>
        <sz val="11"/>
        <color rgb="FFFFFFFF"/>
        <rFont val="Aptos Narrow"/>
        <scheme val="minor"/>
      </rPr>
      <t>(per article)</t>
    </r>
  </si>
  <si>
    <r>
      <rPr>
        <b/>
        <sz val="11"/>
        <color rgb="FFFFFFFF"/>
        <rFont val="Aptos Narrow"/>
        <scheme val="minor"/>
      </rPr>
      <t xml:space="preserve">Translation
</t>
    </r>
    <r>
      <rPr>
        <i/>
        <sz val="11"/>
        <color rgb="FFFFFFFF"/>
        <rFont val="Aptos Narrow"/>
        <scheme val="minor"/>
      </rPr>
      <t>(per article)</t>
    </r>
  </si>
  <si>
    <r>
      <rPr>
        <b/>
        <sz val="11"/>
        <color rgb="FFFFFFFF"/>
        <rFont val="Calibri"/>
      </rPr>
      <t xml:space="preserve">Splash
</t>
    </r>
    <r>
      <rPr>
        <i/>
        <sz val="11"/>
        <color rgb="FFFFFFFF"/>
        <rFont val="Calibri"/>
      </rPr>
      <t>(per creation/modification)</t>
    </r>
  </si>
  <si>
    <r>
      <t xml:space="preserve">Translation 
</t>
    </r>
    <r>
      <rPr>
        <i/>
        <sz val="11"/>
        <color theme="0"/>
        <rFont val="Aptos Narrow"/>
        <family val="2"/>
        <scheme val="minor"/>
      </rPr>
      <t>(per word)</t>
    </r>
  </si>
  <si>
    <r>
      <t xml:space="preserve">Copywrite
</t>
    </r>
    <r>
      <rPr>
        <i/>
        <sz val="11"/>
        <color theme="0"/>
        <rFont val="Aptos Narrow"/>
        <family val="2"/>
        <scheme val="minor"/>
      </rPr>
      <t>(per word)</t>
    </r>
  </si>
  <si>
    <t>Customer</t>
  </si>
  <si>
    <t>Division</t>
  </si>
  <si>
    <t>Date</t>
  </si>
  <si>
    <t>Contact</t>
  </si>
  <si>
    <t>Status</t>
  </si>
  <si>
    <t>Category</t>
  </si>
  <si>
    <t>Link</t>
  </si>
  <si>
    <t>FINAL DELIVERABLE</t>
  </si>
  <si>
    <t>Assets</t>
  </si>
  <si>
    <t>Total Value</t>
  </si>
  <si>
    <t>Quote</t>
  </si>
  <si>
    <t>PO</t>
  </si>
  <si>
    <t>Invoice</t>
  </si>
  <si>
    <t>N° invoice</t>
  </si>
  <si>
    <t>Aujan</t>
  </si>
  <si>
    <t>Rani Trucks - Test Brief</t>
  </si>
  <si>
    <t>Stephanie Barcena</t>
  </si>
  <si>
    <t>Delivered</t>
  </si>
  <si>
    <t>https://saranistudio.sharepoint.com/:f:/s/SaraniAssets/EsQuxyIxO5BIgvXL8TsMtLUB_ypDUfxyl7m8F9RiyKhHgQ?e=bP5jsN</t>
  </si>
  <si>
    <t>NOT TO INVOICE</t>
  </si>
  <si>
    <t>-</t>
  </si>
  <si>
    <t>Rani 2 new flavour labels</t>
  </si>
  <si>
    <t>Caitlin</t>
  </si>
  <si>
    <t>https://saranistudio.sharepoint.com/:f:/s/SaraniAssets/Eow6L8gkSwZPkHckRk9ZJlUB4yuU12CfH2Kc-hNxZ3gphA?e=VYjoGM</t>
  </si>
  <si>
    <t>Rani Fridges and Gondolas rework</t>
  </si>
  <si>
    <t>https://saranistudio.sharepoint.com/:f:/s/SaraniAssets/EguVe0IdKDVGoJTXuCYt7foBorHxPD4nsa_prnu1uH-GIg?e=DU7eZo</t>
  </si>
  <si>
    <t>https://saranistudio.sharepoint.com/:b:/s/SaraniAssets/ERLzEICCYB9JsOanEIfbsbUB24lTwltStsYbTEJZn-KMAQ?e=BnPlLf</t>
  </si>
  <si>
    <t>ME25-147</t>
  </si>
  <si>
    <t>Sent via Whatsapp</t>
  </si>
  <si>
    <t>F2025-0552</t>
  </si>
  <si>
    <t>Paid 02/03/2026</t>
  </si>
  <si>
    <t>Rani VISID Adapts</t>
  </si>
  <si>
    <t>https://saranistudio.sharepoint.com/:f:/s/SaraniAssets/EsBS1_0woVdEitBoGPhhZWUBfo0ftCRBa2hE6KgwBFsXXw?e=RW8FD4</t>
  </si>
  <si>
    <t>Rani Leaflet AR-EN</t>
  </si>
  <si>
    <t>https://saranistudio.sharepoint.com/:f:/s/SaraniAssets/EpeLw_mWqaFAj0mBPCpOmpcBYKlEQysu251hVG6CO1ic2w?e=UmEl9s</t>
  </si>
  <si>
    <t xml:space="preserve"> Rani Vis ID</t>
  </si>
  <si>
    <t xml:space="preserve">
Salaheldin Eissa</t>
  </si>
  <si>
    <t>https://saranistudio.sharepoint.com/:f:/s/SaraniAssets/Ek0CFmQWudJHuGpWpz_mKoIB656cp-vVO5fgfxzDzY3qAw?e=vyLO5M</t>
  </si>
  <si>
    <t>Large Display Format</t>
  </si>
  <si>
    <t>https://saranistudio.sharepoint.com/:f:/s/SaraniAssets/EnFUfyFK_P5GtBm5YfWYqqMBJ5_bIiBFBxxJzQkvpU2gIQ?e=Cj3g1t</t>
  </si>
  <si>
    <t>Mubashir Specifications</t>
  </si>
  <si>
    <t>https://saranistudio.sharepoint.com/:f:/s/SaraniAssets/EuPUOCIgz0RNo_9D5AFzW8wBpOGaQ1gyS55evzi4MshL-A?e=Mpy6bF</t>
  </si>
  <si>
    <t>RANI / e-Commerce requirements</t>
  </si>
  <si>
    <t>https://saranistudio.sharepoint.com/:f:/s/SaraniAssets/EkGsjWKwWBdNo92cvWcbFmIBDmg7UU7BNHnNnlAV7tbrbQ?e=9kZquS</t>
  </si>
  <si>
    <t>Rani extra adaptations sizes</t>
  </si>
  <si>
    <t>Rani B2S Assets x Jordan</t>
  </si>
  <si>
    <t>https://saranistudio.sharepoint.com/:f:/s/SaraniAssets/Eub3DkmaJ0dArsGysEjNcEQBDJL1OJXsiGkKUt9ytJOTtg?e=8f0Mnv</t>
  </si>
  <si>
    <t>Off shelf display to be adapted - BTS 2025</t>
  </si>
  <si>
    <t>Ahsan I Sheikh</t>
  </si>
  <si>
    <t>https://saranistudio.sharepoint.com/:f:/s/SaraniAssets/EqhSHDWzlhxKpkyEh-QtEtUB_1srWAMbpRz3H4HzUGoBzg?e=NCXQdU</t>
  </si>
  <si>
    <t>https://saranistudio.sharepoint.com/:b:/s/SaraniAssets/Eb47FcBEyepGuJFU0jxIwMUBn5pF4jTRbQkhtS8bIpBv1g?e=UO4dNK</t>
  </si>
  <si>
    <t>VM25-077</t>
  </si>
  <si>
    <t>F2025-0553</t>
  </si>
  <si>
    <t>Paid 09/02/2026</t>
  </si>
  <si>
    <t>BTS Campaign</t>
  </si>
  <si>
    <t>https://saranistudio.sharepoint.com/:f:/s/SaraniAssets/EjOQJmE1JpxHnpnd6y4fA88Bp0yX1IOXaoOgurZf_e7PuQ?e=BA2fSE</t>
  </si>
  <si>
    <t>Vimto Annual Gala Dinner in Dubai</t>
  </si>
  <si>
    <t>Hassaan Nadeem</t>
  </si>
  <si>
    <t>https://saranistudio.sharepoint.com/:f:/s/SaraniAssets/EmoSxgGX0ZFGp9zmOs88OqIBStiujet6TFM19uVkMWmPdA?e=7DsDMK</t>
  </si>
  <si>
    <t>https://saranistudio.sharepoint.com/:b:/s/SaraniAssets/EZUBdJlRKjBJrld_-xJ9TnEBR3HCFhelng-0tVFfSTOpXg?e=F85sWv</t>
  </si>
  <si>
    <t>VM25-089</t>
  </si>
  <si>
    <t>Sent to Ameena</t>
  </si>
  <si>
    <t>F2025-0646</t>
  </si>
  <si>
    <t>Paid 27/02/2026</t>
  </si>
  <si>
    <t xml:space="preserve"> Vimto KV reworked</t>
  </si>
  <si>
    <t>Nazanin Ahmadian</t>
  </si>
  <si>
    <t>https://saranistudio.sharepoint.com/:f:/s/SaraniAssets/Eml_0HjXGYxOqF-9D8pm-L8BBufffWzZNwbugSrWrPRhLw?e=DwwvYb</t>
  </si>
  <si>
    <t>PO971910</t>
  </si>
  <si>
    <t>F2025-0689</t>
  </si>
  <si>
    <t>Paid 19/11/2025</t>
  </si>
  <si>
    <t>Barbican 16:9 Video Resizing</t>
  </si>
  <si>
    <t>Hanan El Maghrabi</t>
  </si>
  <si>
    <t xml:space="preserve">https://saranistudio.sharepoint.com/:f:/s/SaraniAssets/Egp1ysYfju5LsLKMwrOUGv4BTCMXw4VHX4Y225jG2FlTuA?e=djcJKL </t>
  </si>
  <si>
    <t>Rani billboard KV for Chad</t>
  </si>
  <si>
    <t>https://saranistudio.sharepoint.com/:f:/s/SaraniAssets/Ek1pw5049QJNpPiOfA04WLwBEwKycWbAF9y_U2YXTG7AAQ?e=pkyrln</t>
  </si>
  <si>
    <t>PO971867</t>
  </si>
  <si>
    <t>F2025-0690</t>
  </si>
  <si>
    <t>POSM menu</t>
  </si>
  <si>
    <t>https://saranistudio.sharepoint.com/:f:/s/SaraniAssets/EiYtSe2Q1_NOgCfbKjo8UbIBLhxyBIv6SF1wRDja2yWAhg?e=k1IEEb</t>
  </si>
  <si>
    <t>Rani Pinacolada KV for the Netherlands</t>
  </si>
  <si>
    <t>https://saranistudio.sharepoint.com/:f:/s/SaraniAssets/EnIK8mFvWKFEk0VmSFEjspMBoIrCB7NnaI_WDVszuYOWCg?e=JzRgks</t>
  </si>
  <si>
    <t>Rani billboard KV for Chad - Lottery version</t>
  </si>
  <si>
    <t>Barbican 330ML soft POSM</t>
  </si>
  <si>
    <t>20250821_Barbican 330ML soft POSM</t>
  </si>
  <si>
    <t>https://saranistudio.sharepoint.com/:b:/s/SaraniAssets/ESfddoSqq4lOvg16h96mejwBFjtbZ5YU0ofT10bRT98aSw?e=5WJeiy</t>
  </si>
  <si>
    <t>ME25-177</t>
  </si>
  <si>
    <t>F2025-0732</t>
  </si>
  <si>
    <t>Waiting payment for 11/03/2026</t>
  </si>
  <si>
    <t>BTS Ecom</t>
  </si>
  <si>
    <t>PET 4 Launch</t>
  </si>
  <si>
    <t>https://saranistudio.sharepoint.com/:f:/s/SaraniAssets/EoESEZvVqVRFv1a_j6EsAvsB5ZpB3O1UEvqV-AocYVbfUg?e=vGND2n</t>
  </si>
  <si>
    <t>Kick Off Summer Banner Resize</t>
  </si>
  <si>
    <t>https://saranistudio.sharepoint.com/:f:/s/SaraniAssets/EpWJlFqZCdJNut7rIPRkslEBvEwjqz57JYYODToTI7BTWQ?e=wMvWfn</t>
  </si>
  <si>
    <t>White Spaces presentation</t>
  </si>
  <si>
    <t>Caitlin Morrison</t>
  </si>
  <si>
    <t>https://saranistudio.sharepoint.com/:f:/r/sites/SaraniAssets/Shared%20Documents/03.%20Customers/18.%20Aujan/04.%20Aujan%20Corporate/02.%20Projects/20251007_White%20Spaces%20Presentation?csf=1&amp;web=1&amp;e=Ok9OUJ</t>
  </si>
  <si>
    <t>https://saranistudio.sharepoint.com/:b:/s/SaraniAssets/EU_q1zQnnnREiuFNIoMUmLABjTE7rtNJFHZjIE9D3zdj8g?e=ZTcfKw</t>
  </si>
  <si>
    <t xml:space="preserve"> ME25-213</t>
  </si>
  <si>
    <t>F2025-0808</t>
  </si>
  <si>
    <t>Waiting payment for 10/04/2026</t>
  </si>
  <si>
    <t>Barbican Video Edits</t>
  </si>
  <si>
    <t>https://saranistudio.sharepoint.com/:f:/s/SaraniAssets/IgAisjKKYxdURbYnIhrcW-0KAanLuUMyPsuaKQ24gb2iWM8?e=oyYvlV</t>
  </si>
  <si>
    <t>Quote Proposal - Barbican Summer Fruits Adaptation.pdf</t>
  </si>
  <si>
    <t>PO971991</t>
  </si>
  <si>
    <t xml:space="preserve">Sent by email </t>
  </si>
  <si>
    <t>F2026-0013</t>
  </si>
  <si>
    <t>Waiting payment for 15/05/2026</t>
  </si>
  <si>
    <t>Barbican AFC - Copy Adaptation</t>
  </si>
  <si>
    <t>Emily Oswald</t>
  </si>
  <si>
    <t>https://saranistudio.sharepoint.com/:f:/s/SaraniAssets/IgC3g4zVpB29RoNfVgaluIcLASw6kNnkAp8s5yAa14tjA00?e=arxzKB</t>
  </si>
  <si>
    <t>AFC Barbican Final Videos</t>
  </si>
  <si>
    <t>https://saranistudio.sharepoint.com/:b:/s/SaraniAssets/IQCGv6taHQfQS4cvY4hYyvBCAeWANBK6-JWRqO66t27SNts?e=wsbXIh</t>
  </si>
  <si>
    <t>ME25-209</t>
  </si>
  <si>
    <t>F2026-0043</t>
  </si>
  <si>
    <t>Waiting payment for 09/04/2026</t>
  </si>
  <si>
    <t>Confidential Vimto Visualisation</t>
  </si>
  <si>
    <t>https://saranistudio.sharepoint.com/:f:/s/SaraniAssets/IgBXFvpPly7_RZKo-sZ5kBGXAdWXDLN02TayohpseKB6hNg?e=rlQoIu</t>
  </si>
  <si>
    <t>Deliverables F2026-0050</t>
  </si>
  <si>
    <t>20251231_Quotation_Aujan_Vimto.pdf</t>
  </si>
  <si>
    <t xml:space="preserve"> VM26-001 </t>
  </si>
  <si>
    <t>F2026-0050</t>
  </si>
  <si>
    <t>Waiting payment for 07/05/2026</t>
  </si>
  <si>
    <t>Hingrish Ramadan KV Adaptation</t>
  </si>
  <si>
    <t>https://saranistudio.sharepoint.com/:f:/s/SaraniAssets/IgBgD2DxyccRSLTQ12MayhNpAYoA1Htzfj2D1w-k7QS_c1w?e=lzckgn</t>
  </si>
  <si>
    <t>Vimto Ramadan Stand Resize</t>
  </si>
  <si>
    <t>20251215_Vimto Ramadan Stand Resize</t>
  </si>
  <si>
    <t>Vimto Dispenser = NEW SIZE</t>
  </si>
  <si>
    <t>20251215_Vimto Dispenser = NEW SIZE</t>
  </si>
  <si>
    <t>Arabic Asset Correction after Approval</t>
  </si>
  <si>
    <t>Deliverables F2026-0051</t>
  </si>
  <si>
    <t>20251231_Quotation_Aujan_Rani.pdf</t>
  </si>
  <si>
    <t xml:space="preserve"> ME26-002 </t>
  </si>
  <si>
    <t>F2026-0051</t>
  </si>
  <si>
    <t>KSA x Ninja camping season campaign</t>
  </si>
  <si>
    <t>https://saranistudio.sharepoint.com/:f:/s/SaraniAssets/IgBdQWLZ09RTRYBsHKH5LuKlAYZKlnR0RM81Sk3WLA3avDw?e=HyyvZ2</t>
  </si>
  <si>
    <t>Rani NEW VISID Truck</t>
  </si>
  <si>
    <t>20251208_Rani NEW VISID Truck</t>
  </si>
  <si>
    <t>Rani Ramadan Resize</t>
  </si>
  <si>
    <t>https://saranistudio.sharepoint.com/:f:/s/SaraniAssets/IgAw6AXp8E4XQ5Jdn3nZsHOiARlCp7F1TEWcOJv9ZGd2SI0?e=dnJgzK</t>
  </si>
  <si>
    <t>Rani Website</t>
  </si>
  <si>
    <t>https://www.figma.com/design/wgFWLMt0JyFNo1XIT50Fv8/Rani?node-id=0-1&amp;t=k3t98FHwAj8KThGO-1</t>
  </si>
  <si>
    <t>https://saranistudio.sharepoint.com/:b:/s/SaraniAssets/EWGmlhUbqwFApPnO3YTnRT8BO9Lf7Lf61DDM7I2hRf_IOQ?e=oP5v9B</t>
  </si>
  <si>
    <t>OOH for Egypt</t>
  </si>
  <si>
    <t>https://saranistudio.sharepoint.com/:f:/s/SaraniAssets/Ert6mM-VNFtOnrUSasr1yVgBcPVjZs6cANcKKUG2dDCEtA?e=ScG3EW</t>
  </si>
  <si>
    <t>Juice Academy Deck</t>
  </si>
  <si>
    <t>Simi Poddar</t>
  </si>
  <si>
    <t>https://saranistudio.sharepoint.com/:f:/s/SaraniAssets/IgBebdZwfYEUS4ZiaqOkWnjPASQtaWCLcN2kuoGGZPQJL4o?e=M1ZNMh</t>
  </si>
  <si>
    <t>Juice Academy Presentation</t>
  </si>
  <si>
    <t>Quote Proposal - Juice Academy Deck.pdf</t>
  </si>
  <si>
    <t>NI26-007.pdf</t>
  </si>
  <si>
    <t>F2026-0074</t>
  </si>
  <si>
    <t>Waiting payment for 19/06/2026</t>
  </si>
  <si>
    <t>P4 Adaptation</t>
  </si>
  <si>
    <t>In Progress</t>
  </si>
  <si>
    <t>https://saranistudio.sharepoint.com/:f:/s/SaraniAssets/IgDxxuUO8_F7Q4dMEKnj7hFkAadkslL-XkzTjG5nBLxMl_U?e=YfbAPr</t>
  </si>
  <si>
    <t>Ramadan Internal Invitation</t>
  </si>
  <si>
    <t>20260206_Vimto International invitation</t>
  </si>
  <si>
    <t>Vimto Ramadan Internal Invitation Final</t>
  </si>
  <si>
    <t>Quote Proposal - Ramadan Internal Invitation.pdf</t>
  </si>
  <si>
    <t>VM26-031.pdf</t>
  </si>
  <si>
    <t>F2026-0073</t>
  </si>
  <si>
    <t>Waiting payment for 10/06/2026</t>
  </si>
  <si>
    <t>Iraqi Voice Over - Barbican</t>
  </si>
  <si>
    <t>Hassan Abdel Raouf</t>
  </si>
  <si>
    <t>20260224_Iraqi Voice Over</t>
  </si>
  <si>
    <t>Quote Proposal - Barbican Iraqi Voice Actor.pdf</t>
  </si>
  <si>
    <t>ME26-046.pdf</t>
  </si>
  <si>
    <t>20251210_Barbican AFC - Copy Adaptation</t>
  </si>
  <si>
    <t>Quote Proposal - Barbican AFC Adaptation.pdf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</si>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</sst>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&quot;€&quot;_-;\-* #,##0.00\ &quot;€&quot;_-;_-* &quot;-&quot;??\ &quot;€&quot;_-;_-@_-"/>
    <numFmt numFmtId="165" formatCode="&quot;$&quot;#,##0"/>
    <numFmt numFmtId="166" formatCode="&quot;$&quot;#,##0.00"/>
    <numFmt numFmtId="167" formatCode="_([$$-409]* #,##0.00_);_([$$-409]* \(#,##0.00\);_([$$-409]* &quot;-&quot;??_);_(@_)"/>
    <numFmt numFmtId="168" formatCode="dd/mm/yyyy"/>
    <numFmt numFmtId="169" formatCode="#,##0&quot; €&quot;;\(#,##0\)&quot; €&quot;;&quot;-&quot;"/>
    <numFmt numFmtId="170" formatCode="#,##0;\(#,##0\);&quot;-&quot;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b/>
      <sz val="11"/>
      <color rgb="FFFFFFFF"/>
      <name val="Calibri"/>
    </font>
    <font>
      <i/>
      <sz val="11"/>
      <color rgb="FFFFFFFF"/>
      <name val="Calibri"/>
    </font>
    <font>
      <b/>
      <sz val="11"/>
      <color rgb="FFFFFFFF"/>
      <name val="Aptos Narrow"/>
      <scheme val="minor"/>
    </font>
    <font>
      <i/>
      <sz val="11"/>
      <color rgb="FFFFFFFF"/>
      <name val="Aptos Narrow"/>
      <scheme val="minor"/>
    </font>
    <font>
      <b/>
      <i/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u/>
      <sz val="11"/>
      <color rgb="FF0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sz val="11"/>
      <color rgb="FFFFFFFF"/>
      <name val="Calibri"/>
    </font>
    <font>
      <b/>
      <sz val="14"/>
      <color rgb="FFF1F5F9"/>
      <name val="Calibri"/>
    </font>
    <font>
      <sz val="11"/>
      <color rgb="FF121212"/>
      <name val="Calibri"/>
    </font>
    <font>
      <b/>
      <sz val="10"/>
      <color rgb="FFF1F5F9"/>
      <name val="Calibri"/>
    </font>
    <font>
      <sz val="8"/>
      <color rgb="FF64748B"/>
      <name val="Calibri"/>
    </font>
    <font>
      <sz val="10"/>
      <color rgb="FF94A3B8"/>
      <name val="Calibri"/>
    </font>
    <font>
      <sz val="10"/>
      <color rgb="FFCBD5E1"/>
      <name val="Calibri"/>
    </font>
    <font>
      <b/>
      <sz val="10"/>
      <color rgb="FF10B981"/>
      <name val="Calibri"/>
    </font>
    <font>
      <b/>
      <sz val="10"/>
      <color rgb="FF3B82F6"/>
      <name val="Calibri"/>
    </font>
    <font>
      <b/>
      <sz val="11"/>
      <color theme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4D4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1A365D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252525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3B82F6"/>
      </top>
      <bottom/>
      <diagonal/>
    </border>
    <border>
      <left/>
      <right/>
      <top style="thin">
        <color rgb="FF10B98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3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1" xfId="0" applyFont="1" applyFill="1" applyBorder="1"/>
    <xf numFmtId="164" fontId="2" fillId="2" borderId="0" xfId="1" applyFont="1" applyFill="1"/>
    <xf numFmtId="0" fontId="2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3" fillId="0" borderId="0" xfId="0" applyFont="1"/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3" fillId="4" borderId="0" xfId="1" applyFont="1" applyFill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3" fillId="4" borderId="2" xfId="1" applyNumberFormat="1" applyFont="1" applyFill="1" applyBorder="1" applyAlignment="1">
      <alignment horizontal="center"/>
    </xf>
    <xf numFmtId="165" fontId="3" fillId="4" borderId="0" xfId="1" applyNumberFormat="1" applyFont="1" applyFill="1" applyAlignment="1">
      <alignment horizontal="center"/>
    </xf>
    <xf numFmtId="165" fontId="3" fillId="4" borderId="0" xfId="1" applyNumberFormat="1" applyFont="1" applyFill="1" applyBorder="1" applyAlignment="1">
      <alignment horizontal="center"/>
    </xf>
    <xf numFmtId="166" fontId="3" fillId="4" borderId="2" xfId="1" applyNumberFormat="1" applyFont="1" applyFill="1" applyBorder="1" applyAlignment="1">
      <alignment horizontal="center"/>
    </xf>
    <xf numFmtId="166" fontId="3" fillId="4" borderId="0" xfId="1" applyNumberFormat="1" applyFont="1" applyFill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/>
    <xf numFmtId="164" fontId="0" fillId="0" borderId="0" xfId="1" applyFont="1"/>
    <xf numFmtId="0" fontId="0" fillId="0" borderId="2" xfId="0" applyBorder="1"/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4" fillId="0" borderId="0" xfId="2"/>
    <xf numFmtId="0" fontId="0" fillId="5" borderId="0" xfId="0" applyFill="1"/>
    <xf numFmtId="0" fontId="3" fillId="0" borderId="1" xfId="0" applyFont="1" applyBorder="1"/>
    <xf numFmtId="0" fontId="0" fillId="0" borderId="0" xfId="0" applyAlignment="1">
      <alignment wrapText="1"/>
    </xf>
    <xf numFmtId="0" fontId="4" fillId="0" borderId="0" xfId="2" applyAlignment="1">
      <alignment wrapText="1"/>
    </xf>
    <xf numFmtId="0" fontId="15" fillId="0" borderId="1" xfId="0" applyFont="1" applyBorder="1"/>
    <xf numFmtId="0" fontId="0" fillId="5" borderId="0" xfId="0" applyFill="1" applyAlignment="1">
      <alignment horizontal="center" vertical="center"/>
    </xf>
    <xf numFmtId="166" fontId="0" fillId="5" borderId="0" xfId="1" applyNumberFormat="1" applyFont="1" applyFill="1"/>
    <xf numFmtId="0" fontId="4" fillId="5" borderId="0" xfId="2" applyFill="1"/>
    <xf numFmtId="166" fontId="0" fillId="6" borderId="0" xfId="1" applyNumberFormat="1" applyFont="1" applyFill="1"/>
    <xf numFmtId="0" fontId="0" fillId="6" borderId="0" xfId="0" applyFill="1" applyAlignment="1">
      <alignment horizontal="center" vertical="center"/>
    </xf>
    <xf numFmtId="0" fontId="4" fillId="6" borderId="0" xfId="2" applyFill="1"/>
    <xf numFmtId="0" fontId="16" fillId="0" borderId="1" xfId="0" applyFont="1" applyBorder="1"/>
    <xf numFmtId="0" fontId="3" fillId="0" borderId="1" xfId="0" applyFont="1" applyBorder="1" applyAlignment="1">
      <alignment wrapText="1"/>
    </xf>
    <xf numFmtId="0" fontId="4" fillId="0" borderId="0" xfId="2" applyFill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166" fontId="13" fillId="5" borderId="0" xfId="1" applyNumberFormat="1" applyFont="1" applyFill="1"/>
    <xf numFmtId="0" fontId="17" fillId="5" borderId="0" xfId="2" applyFont="1" applyFill="1"/>
    <xf numFmtId="0" fontId="13" fillId="5" borderId="0" xfId="0" applyFont="1" applyFill="1" applyAlignment="1">
      <alignment horizontal="center" vertical="center"/>
    </xf>
    <xf numFmtId="166" fontId="0" fillId="0" borderId="0" xfId="1" applyNumberFormat="1" applyFont="1" applyFill="1"/>
    <xf numFmtId="0" fontId="4" fillId="5" borderId="0" xfId="2" applyFill="1" applyAlignment="1">
      <alignment horizontal="center"/>
    </xf>
    <xf numFmtId="167" fontId="0" fillId="0" borderId="0" xfId="1" applyNumberFormat="1" applyFont="1"/>
    <xf numFmtId="166" fontId="18" fillId="7" borderId="0" xfId="1" applyNumberFormat="1" applyFont="1" applyFill="1"/>
    <xf numFmtId="0" fontId="19" fillId="7" borderId="0" xfId="2" applyFont="1" applyFill="1"/>
    <xf numFmtId="0" fontId="18" fillId="7" borderId="0" xfId="0" applyFont="1" applyFill="1" applyAlignment="1">
      <alignment horizontal="center" vertical="center"/>
    </xf>
    <xf numFmtId="0" fontId="20" fillId="8" borderId="0" xfId="0" applyFont="1" applyFill="1"/>
    <xf numFmtId="168" fontId="0" fillId="0" borderId="0" xfId="0" applyNumberFormat="1" applyAlignment="1">
      <alignment horizontal="right"/>
    </xf>
    <xf numFmtId="167" fontId="20" fillId="8" borderId="0" xfId="0" applyNumberFormat="1" applyFont="1" applyFill="1"/>
    <xf numFmtId="167" fontId="0" fillId="0" borderId="0" xfId="0" applyNumberFormat="1"/>
    <xf numFmtId="0" fontId="22" fillId="9" borderId="0" xfId="0" applyFont="1" applyFill="1"/>
    <xf numFmtId="0" fontId="23" fillId="10" borderId="0" xfId="0" applyFont="1" applyFill="1" applyAlignment="1">
      <alignment horizontal="center"/>
    </xf>
    <xf numFmtId="0" fontId="23" fillId="10" borderId="0" xfId="0" applyFont="1" applyFill="1" applyAlignment="1">
      <alignment horizontal="left"/>
    </xf>
    <xf numFmtId="0" fontId="25" fillId="11" borderId="0" xfId="0" applyFont="1" applyFill="1" applyAlignment="1">
      <alignment horizontal="left"/>
    </xf>
    <xf numFmtId="0" fontId="25" fillId="12" borderId="0" xfId="0" applyFont="1" applyFill="1" applyAlignment="1">
      <alignment horizontal="left"/>
    </xf>
    <xf numFmtId="167" fontId="26" fillId="11" borderId="0" xfId="0" applyNumberFormat="1" applyFont="1" applyFill="1" applyAlignment="1">
      <alignment horizontal="center"/>
    </xf>
    <xf numFmtId="0" fontId="26" fillId="12" borderId="0" xfId="0" applyFont="1" applyFill="1" applyAlignment="1">
      <alignment horizontal="center"/>
    </xf>
    <xf numFmtId="167" fontId="28" fillId="11" borderId="0" xfId="0" applyNumberFormat="1" applyFont="1" applyFill="1" applyAlignment="1">
      <alignment horizontal="center"/>
    </xf>
    <xf numFmtId="169" fontId="26" fillId="11" borderId="0" xfId="0" applyNumberFormat="1" applyFont="1" applyFill="1" applyAlignment="1">
      <alignment horizontal="center"/>
    </xf>
    <xf numFmtId="169" fontId="26" fillId="12" borderId="0" xfId="0" applyNumberFormat="1" applyFont="1" applyFill="1" applyAlignment="1">
      <alignment horizontal="center"/>
    </xf>
    <xf numFmtId="170" fontId="26" fillId="11" borderId="0" xfId="0" applyNumberFormat="1" applyFont="1" applyFill="1" applyAlignment="1">
      <alignment horizontal="center"/>
    </xf>
    <xf numFmtId="170" fontId="26" fillId="12" borderId="0" xfId="0" applyNumberFormat="1" applyFont="1" applyFill="1" applyAlignment="1">
      <alignment horizontal="center"/>
    </xf>
    <xf numFmtId="169" fontId="28" fillId="11" borderId="0" xfId="0" applyNumberFormat="1" applyFont="1" applyFill="1" applyAlignment="1">
      <alignment horizontal="center"/>
    </xf>
    <xf numFmtId="0" fontId="24" fillId="8" borderId="4" xfId="0" applyFont="1" applyFill="1" applyBorder="1" applyAlignment="1">
      <alignment horizontal="center"/>
    </xf>
    <xf numFmtId="169" fontId="27" fillId="9" borderId="5" xfId="0" applyNumberFormat="1" applyFont="1" applyFill="1" applyBorder="1" applyAlignment="1">
      <alignment horizontal="center"/>
    </xf>
    <xf numFmtId="0" fontId="27" fillId="9" borderId="5" xfId="0" applyFont="1" applyFill="1" applyBorder="1" applyAlignment="1">
      <alignment horizontal="left"/>
    </xf>
    <xf numFmtId="170" fontId="27" fillId="9" borderId="5" xfId="0" applyNumberFormat="1" applyFont="1" applyFill="1" applyBorder="1" applyAlignment="1">
      <alignment horizontal="center"/>
    </xf>
    <xf numFmtId="49" fontId="25" fillId="11" borderId="0" xfId="0" applyNumberFormat="1" applyFont="1" applyFill="1" applyAlignment="1">
      <alignment horizontal="left"/>
    </xf>
    <xf numFmtId="49" fontId="25" fillId="12" borderId="0" xfId="0" applyNumberFormat="1" applyFont="1" applyFill="1" applyAlignment="1">
      <alignment horizontal="left"/>
    </xf>
    <xf numFmtId="49" fontId="27" fillId="9" borderId="5" xfId="0" applyNumberFormat="1" applyFont="1" applyFill="1" applyBorder="1" applyAlignment="1">
      <alignment horizontal="left"/>
    </xf>
    <xf numFmtId="49" fontId="28" fillId="11" borderId="0" xfId="0" applyNumberFormat="1" applyFont="1" applyFill="1" applyAlignment="1">
      <alignment horizontal="left"/>
    </xf>
    <xf numFmtId="0" fontId="4" fillId="0" borderId="0" xfId="2" applyAlignment="1">
      <alignment horizontal="center"/>
    </xf>
    <xf numFmtId="0" fontId="29" fillId="0" borderId="0" xfId="0" applyFont="1" applyAlignment="1">
      <alignment horizontal="center" vertical="center"/>
    </xf>
    <xf numFmtId="0" fontId="21" fillId="9" borderId="0" xfId="0" applyFont="1" applyFill="1" applyAlignment="1">
      <alignment horizontal="left" vertical="center"/>
    </xf>
    <xf numFmtId="0" fontId="23" fillId="1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</cellXfs>
  <cellStyles count="3">
    <cellStyle name="Currency" xfId="1" builtinId="4"/>
    <cellStyle name="Hyperlink" xfId="2" xr:uid="{F86C943C-6966-498F-A72C-9561756D33E2}"/>
    <cellStyle name="Normal" xfId="0" builtinId="0"/>
  </cellStyles>
  <dxfs count="0"/>
  <tableStyles count="0" defaultTableStyle="TableStyleMedium2" defaultPivotStyle="PivotStyleLight16"/>
  <colors>
    <mruColors>
      <color rgb="FFFFD4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BC700CD-D027-475C-9BB7-FBD3B1E1FE16}">
    <nsvFilter filterId="{EF6D707C-BDD5-416B-AAF3-2924671B11B3}" ref="A3:BE43" tableId="0">
      <sortRules>
        <sortRule colId="2">
          <sortCondition ref="C3:C43"/>
        </sortRule>
      </sortRules>
    </nsvFilter>
  </namedSheetView>
</namedSheetView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E859C5-6DEE-4FD0-9636-4870FDFAD39B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saranistudio.sharepoint.com/:b:/s/SaraniAssets/Eb47FcBEyepGuJFU0jxIwMUBn5pF4jTRbQkhtS8bIpBv1g?e=UO4dNK" TargetMode="External"/><Relationship Id="rId21" Type="http://schemas.openxmlformats.org/officeDocument/2006/relationships/hyperlink" Target="https://saranistudio.sharepoint.com/:b:/s/SaraniAssets/ERLzEICCYB9JsOanEIfbsbUB24lTwltStsYbTEJZn-KMAQ?e=BnPlLf" TargetMode="External"/><Relationship Id="rId42" Type="http://schemas.openxmlformats.org/officeDocument/2006/relationships/hyperlink" Target="https://saranistudio.sharepoint.com/:b:/s/SaraniAssets/EU_q1zQnnnREiuFNIoMUmLABjTE7rtNJFHZjIE9D3zdj8g?e=ZTcfKw" TargetMode="External"/><Relationship Id="rId47" Type="http://schemas.openxmlformats.org/officeDocument/2006/relationships/hyperlink" Target="https://saranistudio.sharepoint.com/:f:/s/SaraniAssets/IgC84C65Q_ptTq5efqba80RJAZYqXX9R1nG1cZ2FgPqyRK4?e=lybHqp" TargetMode="External"/><Relationship Id="rId63" Type="http://schemas.openxmlformats.org/officeDocument/2006/relationships/hyperlink" Target="https://saranistudio.sharepoint.com/:b:/s/SaraniAssets/IQCDLG4EWNvOT764EVoRnyUaAdkDTI5K1N9Gy6cCm935r9U?e=BrkcUa" TargetMode="External"/><Relationship Id="rId68" Type="http://schemas.openxmlformats.org/officeDocument/2006/relationships/hyperlink" Target="https://saranistudio.sharepoint.com/:b:/s/SaraniAssets/IQDM7zS3iZP2T46av2toI4-uAZXPqpFCGGay327WYqX6RCI?e=CUcpC3" TargetMode="External"/><Relationship Id="rId84" Type="http://schemas.openxmlformats.org/officeDocument/2006/relationships/hyperlink" Target="https://saranistudio.sharepoint.com/:b:/s/SaraniAssets/IQAzr4gGWirrRphCSyzC4tetAbB_BDQahqUeb1Pep2KBYaQ?e=PlSD4S" TargetMode="External"/><Relationship Id="rId16" Type="http://schemas.openxmlformats.org/officeDocument/2006/relationships/hyperlink" Target="https://saranistudio.sharepoint.com/:f:/s/SaraniAssets/EjOQJmE1JpxHnpnd6y4fA88Bp0yX1IOXaoOgurZf_e7PuQ?e=BA2fSE" TargetMode="External"/><Relationship Id="rId11" Type="http://schemas.openxmlformats.org/officeDocument/2006/relationships/hyperlink" Target="https://saranistudio.sharepoint.com/:f:/s/SaraniAssets/EnIK8mFvWKFEk0VmSFEjspMBoIrCB7NnaI_WDVszuYOWCg?e=JzRgks" TargetMode="External"/><Relationship Id="rId32" Type="http://schemas.openxmlformats.org/officeDocument/2006/relationships/hyperlink" Target="https://saranistudio.sharepoint.com/:f:/s/SaraniAssets/EoESEZvVqVRFv1a_j6EsAvsB5ZpB3O1UEvqV-AocYVbfUg?e=vGND2n" TargetMode="External"/><Relationship Id="rId37" Type="http://schemas.openxmlformats.org/officeDocument/2006/relationships/hyperlink" Target="https://saranistudio.sharepoint.com/:b:/s/SaraniAssets/EZUBdJlRKjBJrld_-xJ9TnEBR3HCFhelng-0tVFfSTOpXg?e=F85sWv" TargetMode="External"/><Relationship Id="rId53" Type="http://schemas.openxmlformats.org/officeDocument/2006/relationships/hyperlink" Target="https://saranistudio.sharepoint.com/:f:/s/SaraniAssets/IgAw6AXp8E4XQ5Jdn3nZsHOiARlCp7F1TEWcOJv9ZGd2SI0?e=dnJgzK" TargetMode="External"/><Relationship Id="rId58" Type="http://schemas.openxmlformats.org/officeDocument/2006/relationships/hyperlink" Target="https://saranistudio.sharepoint.com/:b:/s/SaraniAssets/IQD_hkHthZrGRLJZd_PwwXdmAZ2TFus-S3kjolW53uuwhHc?e=vy17kq" TargetMode="External"/><Relationship Id="rId74" Type="http://schemas.openxmlformats.org/officeDocument/2006/relationships/hyperlink" Target="https://saranistudio.sharepoint.com/:f:/s/SaraniAssets/IgDzZEDoFDKbR6g9vphMZ5AEASrSoIkMvLI2O731lfeX3sg?e=U2JSoj" TargetMode="External"/><Relationship Id="rId79" Type="http://schemas.openxmlformats.org/officeDocument/2006/relationships/hyperlink" Target="https://saranistudio.sharepoint.com/:f:/s/SaraniAssets/IgAcoA4SXWM5R6qoqgUiNqdsAWCG6VUpWNEWM0eE5Ee3m-8?e=WEeEgn" TargetMode="External"/><Relationship Id="rId5" Type="http://schemas.openxmlformats.org/officeDocument/2006/relationships/hyperlink" Target="https://saranistudio.sharepoint.com/:f:/s/SaraniAssets/EpeLw_mWqaFAj0mBPCpOmpcBYKlEQysu251hVG6CO1ic2w?e=UmEl9s" TargetMode="External"/><Relationship Id="rId19" Type="http://schemas.openxmlformats.org/officeDocument/2006/relationships/hyperlink" Target="https://saranistudio.sharepoint.com/:b:/s/SaraniAssets/ERLzEICCYB9JsOanEIfbsbUB24lTwltStsYbTEJZn-KMAQ?e=BnPlLf" TargetMode="External"/><Relationship Id="rId14" Type="http://schemas.openxmlformats.org/officeDocument/2006/relationships/hyperlink" Target="https://saranistudio.sharepoint.com/:f:/s/SaraniAssets/Eub3DkmaJ0dArsGysEjNcEQBDJL1OJXsiGkKUt9ytJOTtg?e=8f0Mnv" TargetMode="External"/><Relationship Id="rId22" Type="http://schemas.openxmlformats.org/officeDocument/2006/relationships/hyperlink" Target="https://saranistudio.sharepoint.com/:b:/s/SaraniAssets/ERLzEICCYB9JsOanEIfbsbUB24lTwltStsYbTEJZn-KMAQ?e=BnPlLf" TargetMode="External"/><Relationship Id="rId27" Type="http://schemas.openxmlformats.org/officeDocument/2006/relationships/hyperlink" Target="https://saranistudio.sharepoint.com/:b:/s/SaraniAssets/Eb47FcBEyepGuJFU0jxIwMUBn5pF4jTRbQkhtS8bIpBv1g?e=UO4dNK" TargetMode="External"/><Relationship Id="rId30" Type="http://schemas.openxmlformats.org/officeDocument/2006/relationships/hyperlink" Target="https://saranistudio.sharepoint.com/:f:/s/SaraniAssets/Eml_0HjXGYxOqF-9D8pm-L8BBufffWzZNwbugSrWrPRhLw?e=DwwvYb" TargetMode="External"/><Relationship Id="rId35" Type="http://schemas.openxmlformats.org/officeDocument/2006/relationships/hyperlink" Target="https://saranistudio.sharepoint.com/:f:/s/SaraniAssets/EpWJlFqZCdJNut7rIPRkslEBvEwjqz57JYYODToTI7BTWQ?e=wMvWfn" TargetMode="External"/><Relationship Id="rId43" Type="http://schemas.openxmlformats.org/officeDocument/2006/relationships/hyperlink" Target="https://saranistudio.sharepoint.com/:b:/s/SaraniAssets/EWGmlhUbqwFApPnO3YTnRT8BO9Lf7Lf61DDM7I2hRf_IOQ?e=oP5v9B" TargetMode="External"/><Relationship Id="rId48" Type="http://schemas.openxmlformats.org/officeDocument/2006/relationships/hyperlink" Target="https://saranistudio.sharepoint.com/:f:/s/SaraniAssets/IgC3g4zVpB29RoNfVgaluIcLASw6kNnkAp8s5yAa14tjA00?e=arxzKB" TargetMode="External"/><Relationship Id="rId56" Type="http://schemas.openxmlformats.org/officeDocument/2006/relationships/hyperlink" Target="https://saranistudio.sharepoint.com/:b:/s/SaraniAssets/IQCiyZzQsvt3SoiBq6lwjAoqAV8mMsRm5_1kNbeV9eLAj9Q?e=WTZDZI" TargetMode="External"/><Relationship Id="rId64" Type="http://schemas.openxmlformats.org/officeDocument/2006/relationships/hyperlink" Target="https://saranistudio.sharepoint.com/:b:/s/SaraniAssets/IQCDLG4EWNvOT764EVoRnyUaAdkDTI5K1N9Gy6cCm935r9U?e=BrkcUa" TargetMode="External"/><Relationship Id="rId69" Type="http://schemas.openxmlformats.org/officeDocument/2006/relationships/hyperlink" Target="https://saranistudio.sharepoint.com/:b:/s/SaraniAssets/IQDIm9n6vbkHTZ81e5CfZEpuAW-ud6a3ri5WWfPa5ORgFrw?e=riUftm" TargetMode="External"/><Relationship Id="rId77" Type="http://schemas.openxmlformats.org/officeDocument/2006/relationships/hyperlink" Target="https://saranistudio.sharepoint.com/:f:/s/SaraniAssets/IgAcoA4SXWM5R6qoqgUiNqdsAWCG6VUpWNEWM0eE5Ee3m-8?e=WEeEgn" TargetMode="External"/><Relationship Id="rId8" Type="http://schemas.openxmlformats.org/officeDocument/2006/relationships/hyperlink" Target="https://saranistudio.sharepoint.com/:f:/s/SaraniAssets/EnFUfyFK_P5GtBm5YfWYqqMBJ5_bIiBFBxxJzQkvpU2gIQ?e=Cj3g1t" TargetMode="External"/><Relationship Id="rId51" Type="http://schemas.openxmlformats.org/officeDocument/2006/relationships/hyperlink" Target="https://saranistudio.sharepoint.com/:f:/s/SaraniAssets/IgAisjKKYxdURbYnIhrcW-0KAanLuUMyPsuaKQ24gb2iWM8?e=oyYvlV" TargetMode="External"/><Relationship Id="rId72" Type="http://schemas.openxmlformats.org/officeDocument/2006/relationships/hyperlink" Target="https://saranistudio.sharepoint.com/:f:/s/SaraniAssets/IgDzZEDoFDKbR6g9vphMZ5AEASrSoIkMvLI2O731lfeX3sg?e=U2JSoj" TargetMode="External"/><Relationship Id="rId80" Type="http://schemas.openxmlformats.org/officeDocument/2006/relationships/hyperlink" Target="https://saranistudio.sharepoint.com/:f:/s/SaraniAssets/IgAtEM5xwzS-R6176X0pjkFOAV5V45e6xrFuu8Azr_iTFhc?e=PoLWWp" TargetMode="External"/><Relationship Id="rId85" Type="http://schemas.openxmlformats.org/officeDocument/2006/relationships/hyperlink" Target="https://saranistudio.sharepoint.com/:b:/s/SaraniAssets/IQAKRMV5JLQKQ7jZIjn70OxVAbeVnSkAGPuiRJ-ERRZM1XY?e=LC8EmD" TargetMode="External"/><Relationship Id="rId3" Type="http://schemas.openxmlformats.org/officeDocument/2006/relationships/hyperlink" Target="https://saranistudio.sharepoint.com/:f:/s/SaraniAssets/Eow6L8gkSwZPkHckRk9ZJlUB4yuU12CfH2Kc-hNxZ3gphA?e=VYjoGM" TargetMode="External"/><Relationship Id="rId12" Type="http://schemas.openxmlformats.org/officeDocument/2006/relationships/hyperlink" Target="https://saranistudio.sharepoint.com/:f:/s/SaraniAssets/Ek1pw5049QJNpPiOfA04WLwBEwKycWbAF9y_U2YXTG7AAQ?e=pkyrln" TargetMode="External"/><Relationship Id="rId17" Type="http://schemas.openxmlformats.org/officeDocument/2006/relationships/hyperlink" Target="https://saranistudio.sharepoint.com/:b:/s/SaraniAssets/ERLzEICCYB9JsOanEIfbsbUB24lTwltStsYbTEJZn-KMAQ?e=BnPlLf" TargetMode="External"/><Relationship Id="rId25" Type="http://schemas.openxmlformats.org/officeDocument/2006/relationships/hyperlink" Target="https://saranistudio.sharepoint.com/:b:/s/SaraniAssets/ERLzEICCYB9JsOanEIfbsbUB24lTwltStsYbTEJZn-KMAQ?e=BnPlLf" TargetMode="External"/><Relationship Id="rId33" Type="http://schemas.openxmlformats.org/officeDocument/2006/relationships/hyperlink" Target="https://saranistudio.sharepoint.com/:f:/s/SaraniAssets/Etf5NLhojslJvwuCpbmxIh4BP4-_a0d-q27OojvqAwDDfg?e=eR1uEf" TargetMode="External"/><Relationship Id="rId38" Type="http://schemas.openxmlformats.org/officeDocument/2006/relationships/hyperlink" Target="https://saranistudio.sharepoint.com/:b:/s/SaraniAssets/ESfddoSqq4lOvg16h96mejwBFjtbZ5YU0ofT10bRT98aSw?e=5WJeiy" TargetMode="External"/><Relationship Id="rId46" Type="http://schemas.openxmlformats.org/officeDocument/2006/relationships/hyperlink" Target="https://saranistudio.sharepoint.com/:f:/s/SaraniAssets/IgBdQWLZ09RTRYBsHKH5LuKlAYZKlnR0RM81Sk3WLA3avDw?e=HyyvZ2" TargetMode="External"/><Relationship Id="rId59" Type="http://schemas.openxmlformats.org/officeDocument/2006/relationships/hyperlink" Target="https://saranistudio.sharepoint.com/:b:/s/SaraniAssets/IQD_hkHthZrGRLJZd_PwwXdmAZ2TFus-S3kjolW53uuwhHc?e=vy17kq" TargetMode="External"/><Relationship Id="rId67" Type="http://schemas.openxmlformats.org/officeDocument/2006/relationships/hyperlink" Target="https://saranistudio.sharepoint.com/:f:/s/SaraniAssets/IgBM9z9Shd-ISpT6RkXQYSUgARZ0QVKJkQT_hbtMIHDHrmQ?e=i67QgD" TargetMode="External"/><Relationship Id="rId20" Type="http://schemas.openxmlformats.org/officeDocument/2006/relationships/hyperlink" Target="https://saranistudio.sharepoint.com/:b:/s/SaraniAssets/ERLzEICCYB9JsOanEIfbsbUB24lTwltStsYbTEJZn-KMAQ?e=BnPlLf" TargetMode="External"/><Relationship Id="rId41" Type="http://schemas.openxmlformats.org/officeDocument/2006/relationships/hyperlink" Target="https://saranistudio.sharepoint.com/:b:/s/SaraniAssets/ESfddoSqq4lOvg16h96mejwBFjtbZ5YU0ofT10bRT98aSw?e=5WJeiy" TargetMode="External"/><Relationship Id="rId54" Type="http://schemas.openxmlformats.org/officeDocument/2006/relationships/hyperlink" Target="https://saranistudio.sharepoint.com/:f:/s/SaraniAssets/IgCWRPl3oJ_5QKPg9YVqYrZaAY16Djb7PPJcvfMzCC8rRNM?e=bRbeeL" TargetMode="External"/><Relationship Id="rId62" Type="http://schemas.openxmlformats.org/officeDocument/2006/relationships/hyperlink" Target="https://saranistudio.sharepoint.com/:b:/s/SaraniAssets/IQCDLG4EWNvOT764EVoRnyUaAdkDTI5K1N9Gy6cCm935r9U?e=BrkcUa" TargetMode="External"/><Relationship Id="rId70" Type="http://schemas.openxmlformats.org/officeDocument/2006/relationships/hyperlink" Target="https://saranistudio.sharepoint.com/:b:/s/SaraniAssets/IQDsGLfD2JaASaf5rKKKPHPPAQwjqp-Gjpv5R5zqVmgLyh8?e=OKqOBy" TargetMode="External"/><Relationship Id="rId75" Type="http://schemas.openxmlformats.org/officeDocument/2006/relationships/hyperlink" Target="https://saranistudio.sharepoint.com/:f:/s/SaraniAssets/IgDzZEDoFDKbR6g9vphMZ5AEASrSoIkMvLI2O731lfeX3sg?e=U2JSoj" TargetMode="External"/><Relationship Id="rId83" Type="http://schemas.openxmlformats.org/officeDocument/2006/relationships/hyperlink" Target="https://saranistudio.sharepoint.com/:f:/s/SaraniAssets/IgC3g4zVpB29RoNfVgaluIcLASw6kNnkAp8s5yAa14tjA00?e=sHTf9s" TargetMode="External"/><Relationship Id="rId88" Type="http://schemas.microsoft.com/office/2019/04/relationships/namedSheetView" Target="../namedSheetViews/namedSheetView1.xml"/><Relationship Id="rId1" Type="http://schemas.openxmlformats.org/officeDocument/2006/relationships/hyperlink" Target="https://saranistudio.sharepoint.com/:f:/s/SaraniAssets/EsQuxyIxO5BIgvXL8TsMtLUB_ypDUfxyl7m8F9RiyKhHgQ?e=bP5jsN" TargetMode="External"/><Relationship Id="rId6" Type="http://schemas.openxmlformats.org/officeDocument/2006/relationships/hyperlink" Target="https://saranistudio.sharepoint.com/:f:/s/SaraniAssets/Ek0CFmQWudJHuGpWpz_mKoIB656cp-vVO5fgfxzDzY3qAw?e=vyLO5M" TargetMode="External"/><Relationship Id="rId15" Type="http://schemas.openxmlformats.org/officeDocument/2006/relationships/hyperlink" Target="https://saranistudio.sharepoint.com/:f:/s/SaraniAssets/EqhSHDWzlhxKpkyEh-QtEtUB_1srWAMbpRz3H4HzUGoBzg?e=NCXQdU" TargetMode="External"/><Relationship Id="rId23" Type="http://schemas.openxmlformats.org/officeDocument/2006/relationships/hyperlink" Target="https://saranistudio.sharepoint.com/:b:/s/SaraniAssets/ERLzEICCYB9JsOanEIfbsbUB24lTwltStsYbTEJZn-KMAQ?e=BnPlLf" TargetMode="External"/><Relationship Id="rId28" Type="http://schemas.openxmlformats.org/officeDocument/2006/relationships/hyperlink" Target="https://saranistudio.sharepoint.com/:f:/s/SaraniAssets/Ert6mM-VNFtOnrUSasr1yVgBcPVjZs6cANcKKUG2dDCEtA?e=ScG3EW" TargetMode="External"/><Relationship Id="rId36" Type="http://schemas.openxmlformats.org/officeDocument/2006/relationships/hyperlink" Target="https://saranistudio.sharepoint.com/:f:/s/SaraniAssets/EmoSxgGX0ZFGp9zmOs88OqIBStiujet6TFM19uVkMWmPdA?e=7DsDMK" TargetMode="External"/><Relationship Id="rId49" Type="http://schemas.openxmlformats.org/officeDocument/2006/relationships/hyperlink" Target="https://saranistudio.sharepoint.com/:b:/s/SaraniAssets/IQCGv6taHQfQS4cvY4hYyvBCAeWANBK6-JWRqO66t27SNts?e=wsbXIh" TargetMode="External"/><Relationship Id="rId57" Type="http://schemas.openxmlformats.org/officeDocument/2006/relationships/hyperlink" Target="https://saranistudio.sharepoint.com/:b:/s/SaraniAssets/IQD_hkHthZrGRLJZd_PwwXdmAZ2TFus-S3kjolW53uuwhHc?e=vy17kq" TargetMode="External"/><Relationship Id="rId10" Type="http://schemas.openxmlformats.org/officeDocument/2006/relationships/hyperlink" Target="https://saranistudio.sharepoint.com/:f:/s/SaraniAssets/EkGsjWKwWBdNo92cvWcbFmIBDmg7UU7BNHnNnlAV7tbrbQ?e=9kZquS" TargetMode="External"/><Relationship Id="rId31" Type="http://schemas.openxmlformats.org/officeDocument/2006/relationships/hyperlink" Target="https://saranistudio.sharepoint.com/:f:/s/SaraniAssets/Egp1ysYfju5LsLKMwrOUGv4BTCMXw4VHX4Y225jG2FlTuA?e=djcJKL" TargetMode="External"/><Relationship Id="rId44" Type="http://schemas.openxmlformats.org/officeDocument/2006/relationships/hyperlink" Target="https://saranistudio.sharepoint.com/:b:/s/SaraniAssets/EWGmlhUbqwFApPnO3YTnRT8BO9Lf7Lf61DDM7I2hRf_IOQ?e=oP5v9B" TargetMode="External"/><Relationship Id="rId52" Type="http://schemas.openxmlformats.org/officeDocument/2006/relationships/hyperlink" Target="https://saranistudio.sharepoint.com/:f:/s/SaraniAssets/IgBxGUSyXxRlTbbxV86TL_7VAdWywAKFfsUJuzwwSseo-D4?e=jKgtX1" TargetMode="External"/><Relationship Id="rId60" Type="http://schemas.openxmlformats.org/officeDocument/2006/relationships/hyperlink" Target="https://saranistudio.sharepoint.com/:b:/s/SaraniAssets/IQD_hkHthZrGRLJZd_PwwXdmAZ2TFus-S3kjolW53uuwhHc?e=vy17kq" TargetMode="External"/><Relationship Id="rId65" Type="http://schemas.openxmlformats.org/officeDocument/2006/relationships/hyperlink" Target="https://saranistudio.sharepoint.com/:f:/s/SaraniAssets/IgBebdZwfYEUS4ZiaqOkWnjPASQtaWCLcN2kuoGGZPQJL4o?e=M1ZNMh" TargetMode="External"/><Relationship Id="rId73" Type="http://schemas.openxmlformats.org/officeDocument/2006/relationships/hyperlink" Target="https://saranistudio.sharepoint.com/:f:/s/SaraniAssets/IgDzZEDoFDKbR6g9vphMZ5AEASrSoIkMvLI2O731lfeX3sg?e=U2JSoj" TargetMode="External"/><Relationship Id="rId78" Type="http://schemas.openxmlformats.org/officeDocument/2006/relationships/hyperlink" Target="https://saranistudio.sharepoint.com/:f:/s/SaraniAssets/IgAcoA4SXWM5R6qoqgUiNqdsAWCG6VUpWNEWM0eE5Ee3m-8?e=WEeEgn" TargetMode="External"/><Relationship Id="rId81" Type="http://schemas.openxmlformats.org/officeDocument/2006/relationships/hyperlink" Target="https://saranistudio.sharepoint.com/:f:/s/SaraniAssets/IgDZdcbFevg5RoM-w3jr1xMvAZhPrqbox78yn9LPZrwnicU?e=OHhqNz" TargetMode="External"/><Relationship Id="rId86" Type="http://schemas.openxmlformats.org/officeDocument/2006/relationships/hyperlink" Target="https://saranistudio.sharepoint.com/:f:/s/SaraniAssets/IgCBlj1pduwvQ69jLyhlVykgAW222PkfS71lADHD2fV2_eY?e=Q3pluH" TargetMode="External"/><Relationship Id="rId4" Type="http://schemas.openxmlformats.org/officeDocument/2006/relationships/hyperlink" Target="https://saranistudio.sharepoint.com/:f:/s/SaraniAssets/EsBS1_0woVdEitBoGPhhZWUBfo0ftCRBa2hE6KgwBFsXXw?e=RW8FD4" TargetMode="External"/><Relationship Id="rId9" Type="http://schemas.openxmlformats.org/officeDocument/2006/relationships/hyperlink" Target="https://saranistudio.sharepoint.com/:f:/s/SaraniAssets/EuPUOCIgz0RNo_9D5AFzW8wBpOGaQ1gyS55evzi4MshL-A?e=Mpy6bF" TargetMode="External"/><Relationship Id="rId13" Type="http://schemas.openxmlformats.org/officeDocument/2006/relationships/hyperlink" Target="https://saranistudio.sharepoint.com/:f:/s/SaraniAssets/Ek1pw5049QJNpPiOfA04WLwBEwKycWbAF9y_U2YXTG7AAQ?e=pkyrln" TargetMode="External"/><Relationship Id="rId18" Type="http://schemas.openxmlformats.org/officeDocument/2006/relationships/hyperlink" Target="https://saranistudio.sharepoint.com/:b:/s/SaraniAssets/ERLzEICCYB9JsOanEIfbsbUB24lTwltStsYbTEJZn-KMAQ?e=BnPlLf" TargetMode="External"/><Relationship Id="rId39" Type="http://schemas.openxmlformats.org/officeDocument/2006/relationships/hyperlink" Target="https://saranistudio.sharepoint.com/:b:/s/SaraniAssets/ESfddoSqq4lOvg16h96mejwBFjtbZ5YU0ofT10bRT98aSw?e=5WJeiy" TargetMode="External"/><Relationship Id="rId34" Type="http://schemas.openxmlformats.org/officeDocument/2006/relationships/hyperlink" Target="https://saranistudio.sharepoint.com/:f:/r/sites/SaraniAssets/Shared%20Documents/03.%20Customers/18.%20Aujan/04.%20Aujan%20Corporate/02.%20Projects/20251007_White%20Spaces%20Presentation?csf=1&amp;web=1&amp;e=Ok9OUJ" TargetMode="External"/><Relationship Id="rId50" Type="http://schemas.openxmlformats.org/officeDocument/2006/relationships/hyperlink" Target="https://saranistudio.sharepoint.com/:f:/s/SaraniAssets/IgBgD2DxyccRSLTQ12MayhNpAYoA1Htzfj2D1w-k7QS_c1w?e=lzckgn" TargetMode="External"/><Relationship Id="rId55" Type="http://schemas.openxmlformats.org/officeDocument/2006/relationships/hyperlink" Target="https://saranistudio.sharepoint.com/:f:/s/SaraniAssets/IgA8cpmj-1UNTJkGkbSOdsIwAU07pMiv0TiUg1ejppdcXOk?e=SpC6s4" TargetMode="External"/><Relationship Id="rId76" Type="http://schemas.openxmlformats.org/officeDocument/2006/relationships/hyperlink" Target="https://saranistudio.sharepoint.com/:f:/s/SaraniAssets/IgAcoA4SXWM5R6qoqgUiNqdsAWCG6VUpWNEWM0eE5Ee3m-8?e=WEeEgn" TargetMode="External"/><Relationship Id="rId7" Type="http://schemas.openxmlformats.org/officeDocument/2006/relationships/hyperlink" Target="https://saranistudio.sharepoint.com/:f:/s/SaraniAssets/EiYtSe2Q1_NOgCfbKjo8UbIBLhxyBIv6SF1wRDja2yWAhg?e=k1IEEb" TargetMode="External"/><Relationship Id="rId71" Type="http://schemas.openxmlformats.org/officeDocument/2006/relationships/hyperlink" Target="https://saranistudio.sharepoint.com/:b:/s/SaraniAssets/IQC7BtEPH3b9RZYTQvphkB8-AfKIRO3alB3NQpI5KeYwVZs?e=70Hzvv" TargetMode="External"/><Relationship Id="rId2" Type="http://schemas.openxmlformats.org/officeDocument/2006/relationships/hyperlink" Target="https://saranistudio.sharepoint.com/:f:/s/SaraniAssets/EguVe0IdKDVGoJTXuCYt7foBorHxPD4nsa_prnu1uH-GIg?e=DU7eZo" TargetMode="External"/><Relationship Id="rId29" Type="http://schemas.openxmlformats.org/officeDocument/2006/relationships/hyperlink" Target="https://www.figma.com/design/wgFWLMt0JyFNo1XIT50Fv8/Rani?node-id=0-1&amp;t=k3t98FHwAj8KThGO-1" TargetMode="External"/><Relationship Id="rId24" Type="http://schemas.openxmlformats.org/officeDocument/2006/relationships/hyperlink" Target="https://saranistudio.sharepoint.com/:b:/s/SaraniAssets/ERLzEICCYB9JsOanEIfbsbUB24lTwltStsYbTEJZn-KMAQ?e=BnPlLf" TargetMode="External"/><Relationship Id="rId40" Type="http://schemas.openxmlformats.org/officeDocument/2006/relationships/hyperlink" Target="https://saranistudio.sharepoint.com/:b:/s/SaraniAssets/ESfddoSqq4lOvg16h96mejwBFjtbZ5YU0ofT10bRT98aSw?e=5WJeiy" TargetMode="External"/><Relationship Id="rId45" Type="http://schemas.openxmlformats.org/officeDocument/2006/relationships/hyperlink" Target="https://saranistudio.sharepoint.com/:f:/s/SaraniAssets/IgBXFvpPly7_RZKo-sZ5kBGXAdWXDLN02TayohpseKB6hNg?e=rlQoIu" TargetMode="External"/><Relationship Id="rId66" Type="http://schemas.openxmlformats.org/officeDocument/2006/relationships/hyperlink" Target="https://saranistudio.sharepoint.com/:f:/s/SaraniAssets/IgDxxuUO8_F7Q4dMEKnj7hFkAadkslL-XkzTjG5nBLxMl_U?e=YfbAPr" TargetMode="External"/><Relationship Id="rId87" Type="http://schemas.openxmlformats.org/officeDocument/2006/relationships/hyperlink" Target="https://saranistudio.sharepoint.com/:f:/s/SaraniAssets/IgCBlj1pduwvQ69jLyhlVykgAW222PkfS71lADHD2fV2_eY?e=Q3pluH" TargetMode="External"/><Relationship Id="rId61" Type="http://schemas.openxmlformats.org/officeDocument/2006/relationships/hyperlink" Target="https://saranistudio.sharepoint.com/:b:/s/SaraniAssets/IQCDLG4EWNvOT764EVoRnyUaAdkDTI5K1N9Gy6cCm935r9U?e=BrkcUa" TargetMode="External"/><Relationship Id="rId82" Type="http://schemas.openxmlformats.org/officeDocument/2006/relationships/hyperlink" Target="https://saranistudio.sharepoint.com/:b:/s/SaraniAssets/IQB-o6sX_colSq6u7oYW2zuXAfbrwiY_pOFRIHVpOY8l-D8?e=l4X4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31DF-4CAB-4E04-BEA4-237438731856}">
  <dimension ref="A1:J51"/>
  <sheetViews>
    <sheetView workbookViewId="0">
      <selection activeCell="B24" sqref="B24"/>
    </sheetView>
  </sheetViews>
  <sheetFormatPr defaultRowHeight="15"/>
  <cols>
    <col min="1" max="1" width="28.5703125" customWidth="1"/>
    <col min="2" max="9" width="16.140625" customWidth="1"/>
  </cols>
  <sheetData>
    <row r="1" spans="1:10" ht="18" customHeight="1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72"/>
    </row>
    <row r="2" spans="1:10" ht="12" customHeight="1">
      <c r="A2" s="76"/>
      <c r="B2" s="76"/>
      <c r="C2" s="76"/>
      <c r="D2" s="76"/>
      <c r="E2" s="76"/>
      <c r="F2" s="76"/>
      <c r="G2" s="76"/>
      <c r="H2" s="76"/>
      <c r="I2" s="76"/>
      <c r="J2" s="72"/>
    </row>
    <row r="3" spans="1:10" ht="18" customHeight="1">
      <c r="A3" s="78" t="s">
        <v>1</v>
      </c>
      <c r="B3" s="100">
        <v>2025</v>
      </c>
      <c r="C3" s="100"/>
      <c r="D3" s="100"/>
      <c r="E3" s="100"/>
      <c r="F3" s="100">
        <v>2026</v>
      </c>
      <c r="G3" s="100"/>
      <c r="H3" s="100"/>
      <c r="I3" s="100"/>
      <c r="J3" s="72"/>
    </row>
    <row r="4" spans="1:10" ht="18" customHeight="1">
      <c r="A4" s="89"/>
      <c r="B4" s="89" t="s">
        <v>2</v>
      </c>
      <c r="C4" s="89" t="s">
        <v>3</v>
      </c>
      <c r="D4" s="89" t="s">
        <v>4</v>
      </c>
      <c r="E4" s="89" t="s">
        <v>5</v>
      </c>
      <c r="F4" s="89" t="s">
        <v>2</v>
      </c>
      <c r="G4" s="89" t="s">
        <v>3</v>
      </c>
      <c r="H4" s="89" t="s">
        <v>4</v>
      </c>
      <c r="I4" s="89" t="s">
        <v>5</v>
      </c>
      <c r="J4" s="72"/>
    </row>
    <row r="5" spans="1:10" s="75" customFormat="1" ht="18" customHeight="1">
      <c r="A5" s="93" t="s">
        <v>6</v>
      </c>
      <c r="B5" s="84">
        <f>SUMIFS(AUJAN!$K:$K,AUJAN!$B:$B,"Rani",AUJAN!$C:$C,"&gt;="&amp;DATE(2025,1,1),AUJAN!$C:$C,"&lt;="&amp;DATE(2025,3,31))</f>
        <v>0</v>
      </c>
      <c r="C5" s="84">
        <f>SUMIFS(AUJAN!$K:$K,AUJAN!$B:$B,"Rani",AUJAN!$C:$C,"&gt;="&amp;DATE(2025,4,1),AUJAN!$C:$C,"&lt;="&amp;DATE(2025,6,30))</f>
        <v>9885</v>
      </c>
      <c r="D5" s="84">
        <f>SUMIFS(AUJAN!$K:$K,AUJAN!$B:$B,"Rani",AUJAN!$C:$C,"&gt;="&amp;DATE(2025,7,1),AUJAN!$C:$C,"&lt;="&amp;DATE(2025,9,30))</f>
        <v>7615</v>
      </c>
      <c r="E5" s="84">
        <f>SUMIFS(AUJAN!$K:$K,AUJAN!$B:$B,"Rani",AUJAN!$C:$C,"&gt;="&amp;DATE(2025,10,1),AUJAN!$C:$C,"&lt;="&amp;DATE(2025,12,31))</f>
        <v>2775</v>
      </c>
      <c r="F5" s="84">
        <f>SUMIFS(AUJAN!$K:$K,AUJAN!$B:$B,"Rani",AUJAN!$C:$C,"&gt;="&amp;DATE(2026,1,1),AUJAN!$C:$C,"&lt;="&amp;DATE(2026,3,31))</f>
        <v>1365</v>
      </c>
      <c r="G5" s="84">
        <f>SUMIFS(AUJAN!$K:$K,AUJAN!$B:$B,"Rani",AUJAN!$C:$C,"&gt;="&amp;DATE(2026,4,1),AUJAN!$C:$C,"&lt;="&amp;DATE(2026,6,30))</f>
        <v>0</v>
      </c>
      <c r="H5" s="84">
        <f>SUMIFS(AUJAN!$K:$K,AUJAN!$B:$B,"Rani",AUJAN!$C:$C,"&gt;="&amp;DATE(2026,7,1),AUJAN!$C:$C,"&lt;="&amp;DATE(2026,9,30))</f>
        <v>0</v>
      </c>
      <c r="I5" s="84">
        <f>SUMIFS(AUJAN!$K:$K,AUJAN!$B:$B,"Rani",AUJAN!$C:$C,"&gt;="&amp;DATE(2026,10,1),AUJAN!$C:$C,"&lt;="&amp;DATE(2026,12,31))</f>
        <v>0</v>
      </c>
      <c r="J5" s="74"/>
    </row>
    <row r="6" spans="1:10" s="75" customFormat="1" ht="18" customHeight="1">
      <c r="A6" s="94" t="s">
        <v>7</v>
      </c>
      <c r="B6" s="85">
        <f>SUMIFS(AUJAN!$K:$K,AUJAN!$B:$B,"Vimto",AUJAN!$C:$C,"&gt;="&amp;DATE(2025,1,1),AUJAN!$C:$C,"&lt;="&amp;DATE(2025,3,31))</f>
        <v>0</v>
      </c>
      <c r="C6" s="85">
        <f>SUMIFS(AUJAN!$K:$K,AUJAN!$B:$B,"Vimto",AUJAN!$C:$C,"&gt;="&amp;DATE(2025,4,1),AUJAN!$C:$C,"&lt;="&amp;DATE(2025,6,30))</f>
        <v>0</v>
      </c>
      <c r="D6" s="85">
        <f>SUMIFS(AUJAN!$K:$K,AUJAN!$B:$B,"Vimto",AUJAN!$C:$C,"&gt;="&amp;DATE(2025,7,1),AUJAN!$C:$C,"&lt;="&amp;DATE(2025,9,30))</f>
        <v>245</v>
      </c>
      <c r="E6" s="85">
        <f>SUMIFS(AUJAN!$K:$K,AUJAN!$B:$B,"Vimto",AUJAN!$C:$C,"&gt;="&amp;DATE(2025,10,1),AUJAN!$C:$C,"&lt;="&amp;DATE(2025,12,31))</f>
        <v>1615</v>
      </c>
      <c r="F6" s="85">
        <f>SUMIFS(AUJAN!$K:$K,AUJAN!$B:$B,"Vimto",AUJAN!$C:$C,"&gt;="&amp;DATE(2026,1,1),AUJAN!$C:$C,"&lt;="&amp;DATE(2026,3,31))</f>
        <v>90</v>
      </c>
      <c r="G6" s="85">
        <f>SUMIFS(AUJAN!$K:$K,AUJAN!$B:$B,"Vimto",AUJAN!$C:$C,"&gt;="&amp;DATE(2026,4,1),AUJAN!$C:$C,"&lt;="&amp;DATE(2026,6,30))</f>
        <v>0</v>
      </c>
      <c r="H6" s="85">
        <f>SUMIFS(AUJAN!$K:$K,AUJAN!$B:$B,"Vimto",AUJAN!$C:$C,"&gt;="&amp;DATE(2026,7,1),AUJAN!$C:$C,"&lt;="&amp;DATE(2026,9,30))</f>
        <v>0</v>
      </c>
      <c r="I6" s="85">
        <f>SUMIFS(AUJAN!$K:$K,AUJAN!$B:$B,"Vimto",AUJAN!$C:$C,"&gt;="&amp;DATE(2026,10,1),AUJAN!$C:$C,"&lt;="&amp;DATE(2026,12,31))</f>
        <v>0</v>
      </c>
      <c r="J6" s="74"/>
    </row>
    <row r="7" spans="1:10" s="75" customFormat="1" ht="18" customHeight="1">
      <c r="A7" s="93" t="s">
        <v>8</v>
      </c>
      <c r="B7" s="84">
        <f>SUMIFS(AUJAN!$K:$K,AUJAN!$B:$B,"Barbican",AUJAN!$C:$C,"&gt;="&amp;DATE(2025,1,1),AUJAN!$C:$C,"&lt;="&amp;DATE(2025,3,31))</f>
        <v>0</v>
      </c>
      <c r="C7" s="84">
        <f>SUMIFS(AUJAN!$K:$K,AUJAN!$B:$B,"Barbican",AUJAN!$C:$C,"&gt;="&amp;DATE(2025,4,1),AUJAN!$C:$C,"&lt;="&amp;DATE(2025,6,30))</f>
        <v>0</v>
      </c>
      <c r="D7" s="84">
        <f>SUMIFS(AUJAN!$K:$K,AUJAN!$B:$B,"Barbican",AUJAN!$C:$C,"&gt;="&amp;DATE(2025,7,1),AUJAN!$C:$C,"&lt;="&amp;DATE(2025,9,30))</f>
        <v>810</v>
      </c>
      <c r="E7" s="84">
        <f>SUMIFS(AUJAN!$K:$K,AUJAN!$B:$B,"Barbican",AUJAN!$C:$C,"&gt;="&amp;DATE(2025,10,1),AUJAN!$C:$C,"&lt;="&amp;DATE(2025,12,31))</f>
        <v>1050</v>
      </c>
      <c r="F7" s="84">
        <f>SUMIFS(AUJAN!$K:$K,AUJAN!$B:$B,"Barbican",AUJAN!$C:$C,"&gt;="&amp;DATE(2026,1,1),AUJAN!$C:$C,"&lt;="&amp;DATE(2026,3,31))</f>
        <v>1060</v>
      </c>
      <c r="G7" s="84">
        <f>SUMIFS(AUJAN!$K:$K,AUJAN!$B:$B,"Barbican",AUJAN!$C:$C,"&gt;="&amp;DATE(2026,4,1),AUJAN!$C:$C,"&lt;="&amp;DATE(2026,6,30))</f>
        <v>0</v>
      </c>
      <c r="H7" s="84">
        <f>SUMIFS(AUJAN!$K:$K,AUJAN!$B:$B,"Barbican",AUJAN!$C:$C,"&gt;="&amp;DATE(2026,7,1),AUJAN!$C:$C,"&lt;="&amp;DATE(2026,9,30))</f>
        <v>0</v>
      </c>
      <c r="I7" s="84">
        <f>SUMIFS(AUJAN!$K:$K,AUJAN!$B:$B,"Barbican",AUJAN!$C:$C,"&gt;="&amp;DATE(2026,10,1),AUJAN!$C:$C,"&lt;="&amp;DATE(2026,12,31))</f>
        <v>0</v>
      </c>
      <c r="J7" s="74"/>
    </row>
    <row r="8" spans="1:10" s="75" customFormat="1" ht="18" customHeight="1">
      <c r="A8" s="94" t="s">
        <v>9</v>
      </c>
      <c r="B8" s="85">
        <f>SUMIFS(AUJAN!$K:$K,AUJAN!$B:$B,"Rani-Barbican",AUJAN!$C:$C,"&gt;="&amp;DATE(2025,1,1),AUJAN!$C:$C,"&lt;="&amp;DATE(2025,3,31))</f>
        <v>0</v>
      </c>
      <c r="C8" s="85">
        <f>SUMIFS(AUJAN!$K:$K,AUJAN!$B:$B,"Rani-Barbican",AUJAN!$C:$C,"&gt;="&amp;DATE(2025,4,1),AUJAN!$C:$C,"&lt;="&amp;DATE(2025,6,30))</f>
        <v>0</v>
      </c>
      <c r="D8" s="85">
        <f>SUMIFS(AUJAN!$K:$K,AUJAN!$B:$B,"Rani-Barbican",AUJAN!$C:$C,"&gt;="&amp;DATE(2025,7,1),AUJAN!$C:$C,"&lt;="&amp;DATE(2025,9,30))</f>
        <v>1400</v>
      </c>
      <c r="E8" s="85">
        <f>SUMIFS(AUJAN!$K:$K,AUJAN!$B:$B,"Rani-Barbican",AUJAN!$C:$C,"&gt;="&amp;DATE(2025,10,1),AUJAN!$C:$C,"&lt;="&amp;DATE(2025,12,31))</f>
        <v>180</v>
      </c>
      <c r="F8" s="85">
        <f>SUMIFS(AUJAN!$K:$K,AUJAN!$B:$B,"Rani-Barbican",AUJAN!$C:$C,"&gt;="&amp;DATE(2026,1,1),AUJAN!$C:$C,"&lt;="&amp;DATE(2026,3,31))</f>
        <v>0</v>
      </c>
      <c r="G8" s="85">
        <f>SUMIFS(AUJAN!$K:$K,AUJAN!$B:$B,"Rani-Barbican",AUJAN!$C:$C,"&gt;="&amp;DATE(2026,4,1),AUJAN!$C:$C,"&lt;="&amp;DATE(2026,6,30))</f>
        <v>0</v>
      </c>
      <c r="H8" s="85">
        <f>SUMIFS(AUJAN!$K:$K,AUJAN!$B:$B,"Rani-Barbican",AUJAN!$C:$C,"&gt;="&amp;DATE(2026,7,1),AUJAN!$C:$C,"&lt;="&amp;DATE(2026,9,30))</f>
        <v>0</v>
      </c>
      <c r="I8" s="85">
        <f>SUMIFS(AUJAN!$K:$K,AUJAN!$B:$B,"Rani-Barbican",AUJAN!$C:$C,"&gt;="&amp;DATE(2026,10,1),AUJAN!$C:$C,"&lt;="&amp;DATE(2026,12,31))</f>
        <v>0</v>
      </c>
      <c r="J8" s="74"/>
    </row>
    <row r="9" spans="1:10" s="75" customFormat="1" ht="18" customHeight="1">
      <c r="A9" s="95" t="s">
        <v>10</v>
      </c>
      <c r="B9" s="90">
        <f>SUM(B5:B8)</f>
        <v>0</v>
      </c>
      <c r="C9" s="90">
        <f>SUM(C5:C8)</f>
        <v>9885</v>
      </c>
      <c r="D9" s="90">
        <f>SUM(D5:D8)</f>
        <v>10070</v>
      </c>
      <c r="E9" s="90">
        <f>SUM(E5:E8)</f>
        <v>5620</v>
      </c>
      <c r="F9" s="90">
        <f>SUM(F5:F8)</f>
        <v>2515</v>
      </c>
      <c r="G9" s="90">
        <f>SUM(G5:G8)</f>
        <v>0</v>
      </c>
      <c r="H9" s="90">
        <f>SUM(H5:H8)</f>
        <v>0</v>
      </c>
      <c r="I9" s="90">
        <f>SUM(I5:I8)</f>
        <v>0</v>
      </c>
      <c r="J9" s="74"/>
    </row>
    <row r="10" spans="1:10" ht="12" customHeight="1">
      <c r="A10" s="76"/>
      <c r="B10" s="76"/>
      <c r="C10" s="76"/>
      <c r="D10" s="76"/>
      <c r="E10" s="76"/>
      <c r="F10" s="76"/>
      <c r="G10" s="76"/>
      <c r="H10" s="76"/>
      <c r="I10" s="76"/>
      <c r="J10" s="72"/>
    </row>
    <row r="11" spans="1:10" ht="18" customHeight="1">
      <c r="A11" s="78" t="s">
        <v>11</v>
      </c>
      <c r="B11" s="100">
        <v>2025</v>
      </c>
      <c r="C11" s="100"/>
      <c r="D11" s="100"/>
      <c r="E11" s="100"/>
      <c r="F11" s="100">
        <v>2026</v>
      </c>
      <c r="G11" s="100"/>
      <c r="H11" s="100"/>
      <c r="I11" s="100"/>
      <c r="J11" s="72"/>
    </row>
    <row r="12" spans="1:10" ht="18" customHeight="1">
      <c r="A12" s="89"/>
      <c r="B12" s="89" t="s">
        <v>2</v>
      </c>
      <c r="C12" s="89" t="s">
        <v>3</v>
      </c>
      <c r="D12" s="89" t="s">
        <v>4</v>
      </c>
      <c r="E12" s="89" t="s">
        <v>5</v>
      </c>
      <c r="F12" s="89" t="s">
        <v>2</v>
      </c>
      <c r="G12" s="89" t="s">
        <v>3</v>
      </c>
      <c r="H12" s="89" t="s">
        <v>4</v>
      </c>
      <c r="I12" s="89" t="s">
        <v>5</v>
      </c>
      <c r="J12" s="72"/>
    </row>
    <row r="13" spans="1:10" ht="18" customHeight="1">
      <c r="A13" s="79" t="s">
        <v>6</v>
      </c>
      <c r="B13" s="86">
        <f>COUNTIFS(AUJAN!$B:$B,"Rani",AUJAN!$C:$C,"&gt;="&amp;DATE(2025,1,1),AUJAN!$C:$C,"&lt;="&amp;DATE(2025,3,31))</f>
        <v>0</v>
      </c>
      <c r="C13" s="86">
        <f>COUNTIFS(AUJAN!$B:$B,"Rani",AUJAN!$C:$C,"&gt;="&amp;DATE(2025,4,1),AUJAN!$C:$C,"&lt;="&amp;DATE(2025,6,30))</f>
        <v>6</v>
      </c>
      <c r="D13" s="86">
        <f>COUNTIFS(AUJAN!$B:$B,"Rani",AUJAN!$C:$C,"&gt;="&amp;DATE(2025,7,1),AUJAN!$C:$C,"&lt;="&amp;DATE(2025,9,30))</f>
        <v>14</v>
      </c>
      <c r="E13" s="86">
        <f>COUNTIFS(AUJAN!$B:$B,"Rani",AUJAN!$C:$C,"&gt;="&amp;DATE(2025,10,1),AUJAN!$C:$C,"&lt;="&amp;DATE(2025,12,31))</f>
        <v>3</v>
      </c>
      <c r="F13" s="86">
        <f>COUNTIFS(AUJAN!$B:$B,"Rani",AUJAN!$C:$C,"&gt;="&amp;DATE(2026,1,1),AUJAN!$C:$C,"&lt;="&amp;DATE(2026,3,31))</f>
        <v>2</v>
      </c>
      <c r="G13" s="86">
        <f>COUNTIFS(AUJAN!$B:$B,"Rani",AUJAN!$C:$C,"&gt;="&amp;DATE(2026,4,1),AUJAN!$C:$C,"&lt;="&amp;DATE(2026,6,30))</f>
        <v>0</v>
      </c>
      <c r="H13" s="86">
        <f>COUNTIFS(AUJAN!$B:$B,"Rani",AUJAN!$C:$C,"&gt;="&amp;DATE(2026,7,1),AUJAN!$C:$C,"&lt;="&amp;DATE(2026,9,30))</f>
        <v>0</v>
      </c>
      <c r="I13" s="86">
        <f>COUNTIFS(AUJAN!$B:$B,"Rani",AUJAN!$C:$C,"&gt;="&amp;DATE(2026,10,1),AUJAN!$C:$C,"&lt;="&amp;DATE(2026,12,31))</f>
        <v>0</v>
      </c>
      <c r="J13" s="72"/>
    </row>
    <row r="14" spans="1:10" ht="18" customHeight="1">
      <c r="A14" s="80" t="s">
        <v>7</v>
      </c>
      <c r="B14" s="87">
        <f>COUNTIFS(AUJAN!$B:$B,"Vimto",AUJAN!$C:$C,"&gt;="&amp;DATE(2025,1,1),AUJAN!$C:$C,"&lt;="&amp;DATE(2025,3,31))</f>
        <v>0</v>
      </c>
      <c r="C14" s="87">
        <f>COUNTIFS(AUJAN!$B:$B,"Vimto",AUJAN!$C:$C,"&gt;="&amp;DATE(2025,4,1),AUJAN!$C:$C,"&lt;="&amp;DATE(2025,6,30))</f>
        <v>0</v>
      </c>
      <c r="D14" s="87">
        <f>COUNTIFS(AUJAN!$B:$B,"Vimto",AUJAN!$C:$C,"&gt;="&amp;DATE(2025,7,1),AUJAN!$C:$C,"&lt;="&amp;DATE(2025,9,30))</f>
        <v>1</v>
      </c>
      <c r="E14" s="87">
        <f>COUNTIFS(AUJAN!$B:$B,"Vimto",AUJAN!$C:$C,"&gt;="&amp;DATE(2025,10,1),AUJAN!$C:$C,"&lt;="&amp;DATE(2025,12,31))</f>
        <v>5</v>
      </c>
      <c r="F14" s="87">
        <f>COUNTIFS(AUJAN!$B:$B,"Vimto",AUJAN!$C:$C,"&gt;="&amp;DATE(2026,1,1),AUJAN!$C:$C,"&lt;="&amp;DATE(2026,3,31))</f>
        <v>1</v>
      </c>
      <c r="G14" s="87">
        <f>COUNTIFS(AUJAN!$B:$B,"Vimto",AUJAN!$C:$C,"&gt;="&amp;DATE(2026,4,1),AUJAN!$C:$C,"&lt;="&amp;DATE(2026,6,30))</f>
        <v>0</v>
      </c>
      <c r="H14" s="87">
        <f>COUNTIFS(AUJAN!$B:$B,"Vimto",AUJAN!$C:$C,"&gt;="&amp;DATE(2026,7,1),AUJAN!$C:$C,"&lt;="&amp;DATE(2026,9,30))</f>
        <v>0</v>
      </c>
      <c r="I14" s="87">
        <f>COUNTIFS(AUJAN!$B:$B,"Vimto",AUJAN!$C:$C,"&gt;="&amp;DATE(2026,10,1),AUJAN!$C:$C,"&lt;="&amp;DATE(2026,12,31))</f>
        <v>0</v>
      </c>
      <c r="J14" s="72"/>
    </row>
    <row r="15" spans="1:10" ht="18" customHeight="1">
      <c r="A15" s="79" t="s">
        <v>8</v>
      </c>
      <c r="B15" s="86">
        <f>COUNTIFS(AUJAN!$B:$B,"Barbican",AUJAN!$C:$C,"&gt;="&amp;DATE(2025,1,1),AUJAN!$C:$C,"&lt;="&amp;DATE(2025,3,31))</f>
        <v>0</v>
      </c>
      <c r="C15" s="86">
        <f>COUNTIFS(AUJAN!$B:$B,"Barbican",AUJAN!$C:$C,"&gt;="&amp;DATE(2025,4,1),AUJAN!$C:$C,"&lt;="&amp;DATE(2025,6,30))</f>
        <v>0</v>
      </c>
      <c r="D15" s="86">
        <f>COUNTIFS(AUJAN!$B:$B,"Barbican",AUJAN!$C:$C,"&gt;="&amp;DATE(2025,7,1),AUJAN!$C:$C,"&lt;="&amp;DATE(2025,9,30))</f>
        <v>2</v>
      </c>
      <c r="E15" s="86">
        <f>COUNTIFS(AUJAN!$B:$B,"Barbican",AUJAN!$C:$C,"&gt;="&amp;DATE(2025,10,1),AUJAN!$C:$C,"&lt;="&amp;DATE(2025,12,31))</f>
        <v>4</v>
      </c>
      <c r="F15" s="86">
        <f>COUNTIFS(AUJAN!$B:$B,"Barbican",AUJAN!$C:$C,"&gt;="&amp;DATE(2026,1,1),AUJAN!$C:$C,"&lt;="&amp;DATE(2026,3,31))</f>
        <v>2</v>
      </c>
      <c r="G15" s="86">
        <f>COUNTIFS(AUJAN!$B:$B,"Barbican",AUJAN!$C:$C,"&gt;="&amp;DATE(2026,4,1),AUJAN!$C:$C,"&lt;="&amp;DATE(2026,6,30))</f>
        <v>0</v>
      </c>
      <c r="H15" s="86">
        <f>COUNTIFS(AUJAN!$B:$B,"Barbican",AUJAN!$C:$C,"&gt;="&amp;DATE(2026,7,1),AUJAN!$C:$C,"&lt;="&amp;DATE(2026,9,30))</f>
        <v>0</v>
      </c>
      <c r="I15" s="86">
        <f>COUNTIFS(AUJAN!$B:$B,"Barbican",AUJAN!$C:$C,"&gt;="&amp;DATE(2026,10,1),AUJAN!$C:$C,"&lt;="&amp;DATE(2026,12,31))</f>
        <v>0</v>
      </c>
      <c r="J15" s="72"/>
    </row>
    <row r="16" spans="1:10" ht="18" customHeight="1">
      <c r="A16" s="80" t="s">
        <v>9</v>
      </c>
      <c r="B16" s="87">
        <f>COUNTIFS(AUJAN!$B:$B,"Rani-Barbican",AUJAN!$C:$C,"&gt;="&amp;DATE(2025,1,1),AUJAN!$C:$C,"&lt;="&amp;DATE(2025,3,31))</f>
        <v>0</v>
      </c>
      <c r="C16" s="87">
        <f>COUNTIFS(AUJAN!$B:$B,"Rani-Barbican",AUJAN!$C:$C,"&gt;="&amp;DATE(2025,4,1),AUJAN!$C:$C,"&lt;="&amp;DATE(2025,6,30))</f>
        <v>0</v>
      </c>
      <c r="D16" s="87">
        <f>COUNTIFS(AUJAN!$B:$B,"Rani-Barbican",AUJAN!$C:$C,"&gt;="&amp;DATE(2025,7,1),AUJAN!$C:$C,"&lt;="&amp;DATE(2025,9,30))</f>
        <v>1</v>
      </c>
      <c r="E16" s="87">
        <f>COUNTIFS(AUJAN!$B:$B,"Rani-Barbican",AUJAN!$C:$C,"&gt;="&amp;DATE(2025,10,1),AUJAN!$C:$C,"&lt;="&amp;DATE(2025,12,31))</f>
        <v>1</v>
      </c>
      <c r="F16" s="87">
        <f>COUNTIFS(AUJAN!$B:$B,"Rani-Barbican",AUJAN!$C:$C,"&gt;="&amp;DATE(2026,1,1),AUJAN!$C:$C,"&lt;="&amp;DATE(2026,3,31))</f>
        <v>0</v>
      </c>
      <c r="G16" s="87">
        <f>COUNTIFS(AUJAN!$B:$B,"Rani-Barbican",AUJAN!$C:$C,"&gt;="&amp;DATE(2026,4,1),AUJAN!$C:$C,"&lt;="&amp;DATE(2026,6,30))</f>
        <v>0</v>
      </c>
      <c r="H16" s="87">
        <f>COUNTIFS(AUJAN!$B:$B,"Rani-Barbican",AUJAN!$C:$C,"&gt;="&amp;DATE(2026,7,1),AUJAN!$C:$C,"&lt;="&amp;DATE(2026,9,30))</f>
        <v>0</v>
      </c>
      <c r="I16" s="87">
        <f>COUNTIFS(AUJAN!$B:$B,"Rani-Barbican",AUJAN!$C:$C,"&gt;="&amp;DATE(2026,10,1),AUJAN!$C:$C,"&lt;="&amp;DATE(2026,12,31))</f>
        <v>0</v>
      </c>
      <c r="J16" s="72"/>
    </row>
    <row r="17" spans="1:10" ht="18" customHeight="1">
      <c r="A17" s="91" t="s">
        <v>10</v>
      </c>
      <c r="B17" s="92">
        <f>SUM(B13:B16)</f>
        <v>0</v>
      </c>
      <c r="C17" s="92">
        <f>SUM(C13:C16)</f>
        <v>6</v>
      </c>
      <c r="D17" s="92">
        <f>SUM(D13:D16)</f>
        <v>18</v>
      </c>
      <c r="E17" s="92">
        <f>SUM(E13:E16)</f>
        <v>13</v>
      </c>
      <c r="F17" s="92">
        <f>SUM(F13:F16)</f>
        <v>5</v>
      </c>
      <c r="G17" s="92">
        <f>SUM(G13:G16)</f>
        <v>0</v>
      </c>
      <c r="H17" s="92">
        <f>SUM(H13:H16)</f>
        <v>0</v>
      </c>
      <c r="I17" s="92">
        <f>SUM(I13:I16)</f>
        <v>0</v>
      </c>
      <c r="J17" s="72"/>
    </row>
    <row r="18" spans="1:10" ht="12" customHeight="1">
      <c r="A18" s="76"/>
      <c r="B18" s="76"/>
      <c r="C18" s="76"/>
      <c r="D18" s="76"/>
      <c r="E18" s="76"/>
      <c r="F18" s="76"/>
      <c r="G18" s="76"/>
      <c r="H18" s="76"/>
      <c r="I18" s="76"/>
      <c r="J18" s="72"/>
    </row>
    <row r="19" spans="1:10" ht="18" customHeight="1">
      <c r="A19" s="78" t="s">
        <v>12</v>
      </c>
      <c r="B19" s="77">
        <v>2025</v>
      </c>
      <c r="C19" s="77">
        <v>2026</v>
      </c>
      <c r="D19" s="77"/>
      <c r="E19" s="77"/>
      <c r="F19" s="77"/>
      <c r="G19" s="77"/>
      <c r="H19" s="77"/>
      <c r="I19" s="77"/>
      <c r="J19" s="72"/>
    </row>
    <row r="20" spans="1:10" s="75" customFormat="1" ht="18" customHeight="1">
      <c r="A20" s="93" t="s">
        <v>13</v>
      </c>
      <c r="B20" s="84">
        <f>SUM(B9:E9)</f>
        <v>25575</v>
      </c>
      <c r="C20" s="84">
        <f>SUM(F9:I9)</f>
        <v>2515</v>
      </c>
      <c r="D20" s="81"/>
      <c r="E20" s="81"/>
      <c r="F20" s="81"/>
      <c r="G20" s="81"/>
      <c r="H20" s="81"/>
      <c r="I20" s="81"/>
      <c r="J20" s="74"/>
    </row>
    <row r="21" spans="1:10" ht="18" customHeight="1">
      <c r="A21" s="80" t="s">
        <v>14</v>
      </c>
      <c r="B21" s="87">
        <f>SUM(B17:E17)</f>
        <v>37</v>
      </c>
      <c r="C21" s="87">
        <f>SUM(F17:I17)</f>
        <v>5</v>
      </c>
      <c r="D21" s="82"/>
      <c r="E21" s="82"/>
      <c r="F21" s="82"/>
      <c r="G21" s="82"/>
      <c r="H21" s="82"/>
      <c r="I21" s="82"/>
      <c r="J21" s="72"/>
    </row>
    <row r="22" spans="1:10" s="75" customFormat="1" ht="18" customHeight="1">
      <c r="A22" s="96" t="s">
        <v>15</v>
      </c>
      <c r="B22" s="88">
        <f>IFERROR(B20/B21,"—")</f>
        <v>691.21621621621625</v>
      </c>
      <c r="C22" s="88">
        <f>IFERROR(C20/C21,"—")</f>
        <v>503</v>
      </c>
      <c r="D22" s="83"/>
      <c r="E22" s="83"/>
      <c r="F22" s="83"/>
      <c r="G22" s="83"/>
      <c r="H22" s="83"/>
      <c r="I22" s="83"/>
      <c r="J22" s="74"/>
    </row>
    <row r="23" spans="1:10" s="75" customFormat="1" ht="21.75" customHeight="1">
      <c r="A23"/>
      <c r="B23"/>
      <c r="C23"/>
      <c r="D23"/>
      <c r="E23"/>
      <c r="F23"/>
      <c r="G23"/>
      <c r="H23"/>
      <c r="I23"/>
      <c r="J23" s="74"/>
    </row>
    <row r="24" spans="1:10">
      <c r="J24" s="72"/>
    </row>
    <row r="25" spans="1:10">
      <c r="J25" s="72"/>
    </row>
    <row r="26" spans="1:10">
      <c r="J26" s="72"/>
    </row>
    <row r="27" spans="1:10">
      <c r="J27" s="72"/>
    </row>
    <row r="28" spans="1:10">
      <c r="J28" s="72"/>
    </row>
    <row r="29" spans="1:10">
      <c r="J29" s="72"/>
    </row>
    <row r="30" spans="1:10">
      <c r="J30" s="72"/>
    </row>
    <row r="31" spans="1:10">
      <c r="J31" s="72"/>
    </row>
    <row r="32" spans="1:10">
      <c r="J32" s="72"/>
    </row>
    <row r="33" spans="10:10">
      <c r="J33" s="72"/>
    </row>
    <row r="34" spans="10:10">
      <c r="J34" s="72"/>
    </row>
    <row r="35" spans="10:10">
      <c r="J35" s="72"/>
    </row>
    <row r="36" spans="10:10">
      <c r="J36" s="72"/>
    </row>
    <row r="37" spans="10:10">
      <c r="J37" s="72"/>
    </row>
    <row r="38" spans="10:10">
      <c r="J38" s="72"/>
    </row>
    <row r="39" spans="10:10">
      <c r="J39" s="72"/>
    </row>
    <row r="40" spans="10:10">
      <c r="J40" s="72"/>
    </row>
    <row r="41" spans="10:10">
      <c r="J41" s="72"/>
    </row>
    <row r="42" spans="10:10">
      <c r="J42" s="72"/>
    </row>
    <row r="43" spans="10:10">
      <c r="J43" s="72"/>
    </row>
    <row r="44" spans="10:10">
      <c r="J44" s="72"/>
    </row>
    <row r="45" spans="10:10">
      <c r="J45" s="72"/>
    </row>
    <row r="46" spans="10:10">
      <c r="J46" s="72"/>
    </row>
    <row r="47" spans="10:10">
      <c r="J47" s="72"/>
    </row>
    <row r="48" spans="10:10">
      <c r="J48" s="72"/>
    </row>
    <row r="49" spans="10:10">
      <c r="J49" s="72"/>
    </row>
    <row r="50" spans="10:10">
      <c r="J50" s="72"/>
    </row>
    <row r="51" spans="10:10">
      <c r="J51" s="72"/>
    </row>
  </sheetData>
  <mergeCells count="5">
    <mergeCell ref="A1:I1"/>
    <mergeCell ref="B3:E3"/>
    <mergeCell ref="F3:I3"/>
    <mergeCell ref="B11:E11"/>
    <mergeCell ref="F11:I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EBDD-442F-4472-BB32-A40527FE2B1B}">
  <dimension ref="A1:BL45"/>
  <sheetViews>
    <sheetView tabSelected="1" workbookViewId="0">
      <pane xSplit="4" ySplit="3" topLeftCell="E20" activePane="bottomRight" state="frozen"/>
      <selection pane="bottomRight" activeCell="F43" sqref="F43:F44"/>
      <selection pane="bottomLeft" activeCell="A4" sqref="A4"/>
      <selection pane="topRight" activeCell="E1" sqref="E1"/>
    </sheetView>
  </sheetViews>
  <sheetFormatPr defaultColWidth="11.42578125" defaultRowHeight="15" customHeight="1"/>
  <cols>
    <col min="2" max="2" width="8.7109375" customWidth="1"/>
    <col min="3" max="3" width="11.5703125" customWidth="1"/>
    <col min="4" max="4" width="45.42578125" style="41" customWidth="1"/>
    <col min="5" max="5" width="24.140625" customWidth="1"/>
    <col min="6" max="6" width="10.42578125" bestFit="1" customWidth="1"/>
    <col min="7" max="7" width="11.42578125" style="38"/>
    <col min="8" max="8" width="17.28515625" customWidth="1"/>
    <col min="9" max="9" width="25" customWidth="1"/>
    <col min="10" max="10" width="9" style="38" bestFit="1" customWidth="1"/>
    <col min="11" max="11" width="12.42578125" style="42" bestFit="1" customWidth="1"/>
    <col min="12" max="12" width="20.42578125" customWidth="1"/>
    <col min="13" max="13" width="23.7109375" style="40" customWidth="1"/>
    <col min="14" max="14" width="17.140625" style="40" bestFit="1" customWidth="1"/>
    <col min="15" max="15" width="12.28515625" style="40" bestFit="1" customWidth="1"/>
    <col min="16" max="16" width="30.140625" style="40" customWidth="1"/>
    <col min="17" max="17" width="8.85546875" style="45" hidden="1" customWidth="1"/>
    <col min="18" max="19" width="8.85546875" style="44" hidden="1" customWidth="1"/>
    <col min="20" max="20" width="10" style="44" hidden="1" customWidth="1"/>
    <col min="21" max="22" width="8.85546875" style="44" hidden="1" customWidth="1"/>
    <col min="23" max="23" width="10.140625" style="44" hidden="1" customWidth="1"/>
    <col min="24" max="24" width="8.85546875" style="44" hidden="1" customWidth="1"/>
    <col min="25" max="25" width="15.42578125" style="37" customWidth="1"/>
    <col min="26" max="27" width="15.42578125" style="38" customWidth="1"/>
    <col min="28" max="28" width="19.7109375" style="38" customWidth="1"/>
    <col min="29" max="29" width="12.140625" style="38" customWidth="1"/>
    <col min="30" max="32" width="12" style="38" customWidth="1"/>
    <col min="33" max="33" width="12" style="37" customWidth="1"/>
    <col min="34" max="39" width="12" style="38" customWidth="1"/>
    <col min="40" max="41" width="12" style="37" customWidth="1"/>
    <col min="42" max="44" width="12" style="38" customWidth="1"/>
    <col min="45" max="45" width="12" style="37" customWidth="1"/>
    <col min="46" max="46" width="12.85546875" style="38" customWidth="1"/>
    <col min="47" max="50" width="13.140625" style="38" customWidth="1"/>
    <col min="51" max="51" width="14" style="38" customWidth="1"/>
    <col min="52" max="53" width="12" style="38" customWidth="1"/>
    <col min="54" max="54" width="12" style="37" customWidth="1"/>
    <col min="55" max="55" width="12" style="38" customWidth="1"/>
    <col min="56" max="56" width="12" style="37" customWidth="1"/>
    <col min="57" max="57" width="12" style="38" customWidth="1"/>
    <col min="58" max="58" width="26.42578125" style="43" customWidth="1"/>
    <col min="59" max="59" width="16.42578125" customWidth="1"/>
  </cols>
  <sheetData>
    <row r="1" spans="1:64" s="9" customFormat="1">
      <c r="A1" s="2" t="s">
        <v>16</v>
      </c>
      <c r="B1" s="2"/>
      <c r="C1" s="2"/>
      <c r="D1" s="3"/>
      <c r="E1" s="2"/>
      <c r="F1" s="2"/>
      <c r="G1" s="1"/>
      <c r="H1" s="2"/>
      <c r="I1" s="2"/>
      <c r="J1" s="1"/>
      <c r="K1" s="4"/>
      <c r="L1" s="2"/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101" t="s">
        <v>17</v>
      </c>
      <c r="Z1" s="101"/>
      <c r="AA1" s="101"/>
      <c r="AB1" s="101"/>
      <c r="AC1" s="101"/>
      <c r="AD1" s="101"/>
      <c r="AE1" s="101"/>
      <c r="AF1" s="101"/>
      <c r="AG1" s="101" t="s">
        <v>18</v>
      </c>
      <c r="AH1" s="101"/>
      <c r="AI1" s="101"/>
      <c r="AJ1" s="101"/>
      <c r="AK1" s="101"/>
      <c r="AL1" s="101"/>
      <c r="AM1" s="101"/>
      <c r="AN1" s="8" t="s">
        <v>19</v>
      </c>
      <c r="AO1" s="101" t="s">
        <v>20</v>
      </c>
      <c r="AP1" s="101"/>
      <c r="AQ1" s="101"/>
      <c r="AR1" s="101"/>
      <c r="AS1" s="101" t="s">
        <v>21</v>
      </c>
      <c r="AT1" s="101"/>
      <c r="AU1" s="101"/>
      <c r="AV1" s="101"/>
      <c r="AW1" s="101"/>
      <c r="AX1" s="101"/>
      <c r="AY1" s="101"/>
      <c r="AZ1" s="101"/>
      <c r="BA1" s="101" t="s">
        <v>22</v>
      </c>
      <c r="BB1" s="101"/>
      <c r="BC1" s="101" t="s">
        <v>23</v>
      </c>
      <c r="BD1" s="101"/>
      <c r="BE1" s="101"/>
      <c r="BF1" s="101"/>
      <c r="BG1" s="101" t="s">
        <v>24</v>
      </c>
      <c r="BH1" s="101"/>
    </row>
    <row r="2" spans="1:64" s="21" customFormat="1" ht="48.75" customHeight="1">
      <c r="A2" s="102" t="s">
        <v>25</v>
      </c>
      <c r="B2" s="102"/>
      <c r="C2" s="102"/>
      <c r="D2" s="102"/>
      <c r="E2" s="10" t="s">
        <v>26</v>
      </c>
      <c r="F2" s="10"/>
      <c r="G2" s="10"/>
      <c r="H2" s="10"/>
      <c r="I2" s="12" t="s">
        <v>27</v>
      </c>
      <c r="J2" s="10"/>
      <c r="K2" s="10"/>
      <c r="L2" s="11"/>
      <c r="M2" s="10"/>
      <c r="N2" s="10"/>
      <c r="O2" s="10"/>
      <c r="P2" s="10"/>
      <c r="Q2" s="13" t="s">
        <v>28</v>
      </c>
      <c r="R2" s="14" t="s">
        <v>29</v>
      </c>
      <c r="S2" s="14" t="s">
        <v>24</v>
      </c>
      <c r="T2" s="14" t="s">
        <v>30</v>
      </c>
      <c r="U2" s="14" t="s">
        <v>31</v>
      </c>
      <c r="V2" s="14" t="s">
        <v>32</v>
      </c>
      <c r="W2" s="14" t="s">
        <v>33</v>
      </c>
      <c r="X2" s="14" t="s">
        <v>34</v>
      </c>
      <c r="Y2" s="18" t="s">
        <v>35</v>
      </c>
      <c r="Z2" s="19" t="s">
        <v>36</v>
      </c>
      <c r="AA2" s="19" t="s">
        <v>37</v>
      </c>
      <c r="AB2" s="19" t="s">
        <v>38</v>
      </c>
      <c r="AC2" s="10" t="s">
        <v>39</v>
      </c>
      <c r="AD2" s="10" t="s">
        <v>40</v>
      </c>
      <c r="AE2" s="10" t="s">
        <v>41</v>
      </c>
      <c r="AF2" s="10" t="s">
        <v>42</v>
      </c>
      <c r="AG2" s="16" t="s">
        <v>43</v>
      </c>
      <c r="AH2" s="10" t="s">
        <v>44</v>
      </c>
      <c r="AI2" s="10" t="s">
        <v>45</v>
      </c>
      <c r="AJ2" s="10" t="s">
        <v>46</v>
      </c>
      <c r="AK2" s="10" t="s">
        <v>47</v>
      </c>
      <c r="AL2" s="10" t="s">
        <v>48</v>
      </c>
      <c r="AM2" s="10" t="s">
        <v>49</v>
      </c>
      <c r="AN2" s="15" t="s">
        <v>50</v>
      </c>
      <c r="AO2" s="15" t="s">
        <v>51</v>
      </c>
      <c r="AP2" s="10" t="s">
        <v>52</v>
      </c>
      <c r="AQ2" s="10" t="s">
        <v>53</v>
      </c>
      <c r="AR2" s="10" t="s">
        <v>54</v>
      </c>
      <c r="AS2" s="15" t="s">
        <v>55</v>
      </c>
      <c r="AT2" s="17" t="s">
        <v>56</v>
      </c>
      <c r="AU2" s="17" t="s">
        <v>57</v>
      </c>
      <c r="AV2" s="17" t="s">
        <v>58</v>
      </c>
      <c r="AW2" s="17" t="s">
        <v>59</v>
      </c>
      <c r="AX2" s="17" t="s">
        <v>60</v>
      </c>
      <c r="AY2" s="10" t="s">
        <v>61</v>
      </c>
      <c r="AZ2" s="10" t="s">
        <v>62</v>
      </c>
      <c r="BA2" s="15" t="s">
        <v>63</v>
      </c>
      <c r="BB2" s="10" t="s">
        <v>64</v>
      </c>
      <c r="BC2" s="18" t="s">
        <v>65</v>
      </c>
      <c r="BD2" s="19" t="s">
        <v>66</v>
      </c>
      <c r="BE2" s="19" t="s">
        <v>67</v>
      </c>
      <c r="BF2" s="17" t="s">
        <v>68</v>
      </c>
      <c r="BG2" s="15" t="s">
        <v>69</v>
      </c>
      <c r="BH2" s="10" t="s">
        <v>70</v>
      </c>
      <c r="BI2" s="20"/>
      <c r="BJ2" s="20"/>
      <c r="BK2" s="20"/>
      <c r="BL2" s="20"/>
    </row>
    <row r="3" spans="1:64">
      <c r="A3" s="22" t="s">
        <v>71</v>
      </c>
      <c r="B3" s="22" t="s">
        <v>72</v>
      </c>
      <c r="C3" s="22" t="s">
        <v>73</v>
      </c>
      <c r="D3" s="23" t="s">
        <v>25</v>
      </c>
      <c r="E3" s="22" t="s">
        <v>74</v>
      </c>
      <c r="F3" s="22" t="s">
        <v>75</v>
      </c>
      <c r="G3" s="22" t="s">
        <v>76</v>
      </c>
      <c r="H3" s="22" t="s">
        <v>77</v>
      </c>
      <c r="I3" s="22" t="s">
        <v>78</v>
      </c>
      <c r="J3" s="22" t="s">
        <v>79</v>
      </c>
      <c r="K3" s="24" t="s">
        <v>80</v>
      </c>
      <c r="L3" s="25" t="s">
        <v>81</v>
      </c>
      <c r="M3" s="26" t="s">
        <v>82</v>
      </c>
      <c r="N3" s="26" t="s">
        <v>83</v>
      </c>
      <c r="O3" s="26" t="s">
        <v>84</v>
      </c>
      <c r="P3" s="26" t="s">
        <v>75</v>
      </c>
      <c r="Q3" s="27"/>
      <c r="R3" s="28"/>
      <c r="S3" s="28"/>
      <c r="T3" s="28"/>
      <c r="U3" s="28"/>
      <c r="V3" s="28"/>
      <c r="W3" s="28"/>
      <c r="X3" s="28"/>
      <c r="Y3" s="29">
        <v>140</v>
      </c>
      <c r="Z3" s="30">
        <v>35</v>
      </c>
      <c r="AA3" s="30">
        <v>250</v>
      </c>
      <c r="AB3" s="30">
        <v>55</v>
      </c>
      <c r="AC3" s="30">
        <v>20</v>
      </c>
      <c r="AD3" s="30">
        <v>275</v>
      </c>
      <c r="AE3" s="30">
        <v>450</v>
      </c>
      <c r="AF3" s="30">
        <v>90</v>
      </c>
      <c r="AG3" s="29">
        <v>150</v>
      </c>
      <c r="AH3" s="31">
        <v>45</v>
      </c>
      <c r="AI3" s="29">
        <v>200</v>
      </c>
      <c r="AJ3" s="30">
        <v>280</v>
      </c>
      <c r="AK3" s="30">
        <v>200</v>
      </c>
      <c r="AL3" s="30">
        <v>450</v>
      </c>
      <c r="AM3" s="30">
        <v>2500</v>
      </c>
      <c r="AN3" s="29">
        <v>35</v>
      </c>
      <c r="AO3" s="29">
        <v>350</v>
      </c>
      <c r="AP3" s="30">
        <v>750</v>
      </c>
      <c r="AQ3" s="30">
        <v>5500</v>
      </c>
      <c r="AR3" s="30">
        <v>7800</v>
      </c>
      <c r="AS3" s="29">
        <v>90</v>
      </c>
      <c r="AT3" s="31">
        <v>165</v>
      </c>
      <c r="AU3" s="31">
        <v>390</v>
      </c>
      <c r="AV3" s="31">
        <v>490</v>
      </c>
      <c r="AW3" s="31">
        <v>690</v>
      </c>
      <c r="AX3" s="30">
        <v>4500</v>
      </c>
      <c r="AY3" s="30">
        <v>5500</v>
      </c>
      <c r="AZ3" s="30">
        <v>10000</v>
      </c>
      <c r="BA3" s="29">
        <v>2500</v>
      </c>
      <c r="BB3" s="30">
        <v>10000</v>
      </c>
      <c r="BC3" s="29">
        <v>38</v>
      </c>
      <c r="BD3" s="31">
        <v>45</v>
      </c>
      <c r="BE3" s="31">
        <v>27</v>
      </c>
      <c r="BF3" s="30">
        <v>18</v>
      </c>
      <c r="BG3" s="32">
        <v>0.15</v>
      </c>
      <c r="BH3" s="33">
        <f>0.25*1.08</f>
        <v>0.27</v>
      </c>
    </row>
    <row r="4" spans="1:64" ht="15" customHeight="1">
      <c r="A4" t="s">
        <v>85</v>
      </c>
      <c r="B4" t="s">
        <v>6</v>
      </c>
      <c r="C4" s="39">
        <v>45793</v>
      </c>
      <c r="D4" s="48" t="s">
        <v>86</v>
      </c>
      <c r="E4" s="34" t="s">
        <v>87</v>
      </c>
      <c r="F4" s="47" t="s">
        <v>88</v>
      </c>
      <c r="H4" s="50" t="s">
        <v>89</v>
      </c>
      <c r="I4" s="46"/>
      <c r="J4" s="38">
        <f>IF(SUM(W4:BH4)=0,"-",SUM(Y4:BH4))</f>
        <v>14</v>
      </c>
      <c r="K4" s="53">
        <f>IF(SUMPRODUCT($Y$3:$BK$3,Y4:BK4)=0,"-",SUMPRODUCT($Y$3:$BK$3,Y4:BK4))</f>
        <v>840</v>
      </c>
      <c r="L4" s="47" t="s">
        <v>90</v>
      </c>
      <c r="M4" s="52" t="s">
        <v>91</v>
      </c>
      <c r="N4" s="52" t="s">
        <v>91</v>
      </c>
      <c r="O4" s="52" t="s">
        <v>91</v>
      </c>
      <c r="P4" s="52" t="s">
        <v>91</v>
      </c>
      <c r="Q4" s="35" t="str">
        <f>IF(SUM(Y4:AR4)+SUM(AZ4:BA4)+SUM(BB4:BE4)&gt;0,"X","")</f>
        <v>X</v>
      </c>
      <c r="R4" s="36" t="str">
        <f>IF(SUM(AS4:AY4)&gt;0,"X","")</f>
        <v/>
      </c>
      <c r="S4" s="36" t="str">
        <f>IF(SUM(BF4:BG4)&gt;0,"X","")</f>
        <v/>
      </c>
      <c r="T4" s="36"/>
      <c r="U4" s="36"/>
      <c r="V4" s="36"/>
      <c r="W4" s="36"/>
      <c r="X4" s="36"/>
      <c r="AG4" s="37">
        <v>2</v>
      </c>
      <c r="AH4" s="38">
        <f>2+4+6</f>
        <v>12</v>
      </c>
      <c r="BA4" s="37"/>
      <c r="BB4" s="38"/>
      <c r="BC4" s="37"/>
      <c r="BD4" s="38"/>
      <c r="BF4" s="38"/>
      <c r="BG4" s="37"/>
      <c r="BH4" s="38"/>
    </row>
    <row r="5" spans="1:64" ht="15" customHeight="1">
      <c r="A5" t="s">
        <v>85</v>
      </c>
      <c r="B5" t="s">
        <v>6</v>
      </c>
      <c r="C5" s="39">
        <v>45811</v>
      </c>
      <c r="D5" s="48" t="s">
        <v>92</v>
      </c>
      <c r="E5" t="s">
        <v>93</v>
      </c>
      <c r="F5" s="47" t="s">
        <v>88</v>
      </c>
      <c r="H5" s="50" t="s">
        <v>94</v>
      </c>
      <c r="I5" s="46"/>
      <c r="J5" s="38">
        <f>IF(SUM(W5:BH5)=0,"-",SUM(Y5:BH5))</f>
        <v>2</v>
      </c>
      <c r="K5" s="53">
        <f>IF(SUMPRODUCT($Y$3:$BK$3,Y5:BK5)=0,"-",SUMPRODUCT($Y$3:$BK$3,Y5:BK5))</f>
        <v>300</v>
      </c>
      <c r="L5" s="47" t="s">
        <v>90</v>
      </c>
      <c r="M5" s="52" t="s">
        <v>91</v>
      </c>
      <c r="N5" s="52" t="s">
        <v>91</v>
      </c>
      <c r="O5" s="52" t="s">
        <v>91</v>
      </c>
      <c r="P5" s="52" t="s">
        <v>91</v>
      </c>
      <c r="Q5" s="35" t="str">
        <f>IF(SUM(Y5:AR5)+SUM(AZ5:BA5)+SUM(BB5:BE5)&gt;0,"X","")</f>
        <v>X</v>
      </c>
      <c r="R5" s="36" t="str">
        <f>IF(SUM(AS5:AY5)&gt;0,"X","")</f>
        <v/>
      </c>
      <c r="S5" s="36" t="str">
        <f>IF(SUM(BF5:BG5)&gt;0,"X","")</f>
        <v/>
      </c>
      <c r="T5" s="36"/>
      <c r="U5" s="36"/>
      <c r="V5" s="36"/>
      <c r="W5" s="36"/>
      <c r="X5" s="36"/>
      <c r="AG5" s="37">
        <v>2</v>
      </c>
      <c r="BA5" s="37"/>
      <c r="BB5" s="38"/>
      <c r="BC5" s="37"/>
      <c r="BD5" s="38"/>
      <c r="BF5" s="38"/>
      <c r="BG5" s="37"/>
      <c r="BH5" s="38"/>
    </row>
    <row r="6" spans="1:64" ht="15" customHeight="1">
      <c r="A6" t="s">
        <v>85</v>
      </c>
      <c r="B6" t="s">
        <v>6</v>
      </c>
      <c r="C6" s="39">
        <v>45810</v>
      </c>
      <c r="D6" s="48" t="s">
        <v>95</v>
      </c>
      <c r="E6" s="34" t="s">
        <v>87</v>
      </c>
      <c r="F6" s="47" t="s">
        <v>88</v>
      </c>
      <c r="H6" s="50" t="s">
        <v>96</v>
      </c>
      <c r="I6" s="46"/>
      <c r="J6" s="38">
        <f>IF(SUM(W6:BH6)=0,"-",SUM(Y6:BH6))</f>
        <v>7</v>
      </c>
      <c r="K6" s="63">
        <f>IF(SUMPRODUCT($Y$3:$BK$3,Y6:BK6)=0,"-",SUMPRODUCT($Y$3:$BK$3,Y6:BK6))</f>
        <v>1050</v>
      </c>
      <c r="L6" s="64" t="s">
        <v>97</v>
      </c>
      <c r="M6" s="65" t="s">
        <v>98</v>
      </c>
      <c r="N6" s="65" t="s">
        <v>99</v>
      </c>
      <c r="O6" s="65" t="s">
        <v>100</v>
      </c>
      <c r="P6" s="65" t="s">
        <v>101</v>
      </c>
      <c r="Q6" s="35" t="str">
        <f>IF(SUM(Y6:AR6)+SUM(AZ6:BA6)+SUM(BB6:BE6)&gt;0,"X","")</f>
        <v>X</v>
      </c>
      <c r="R6" s="36" t="str">
        <f>IF(SUM(AS6:AY6)&gt;0,"X","")</f>
        <v/>
      </c>
      <c r="S6" s="36" t="str">
        <f>IF(SUM(BF6:BG6)&gt;0,"X","")</f>
        <v/>
      </c>
      <c r="T6" s="36"/>
      <c r="U6" s="36"/>
      <c r="V6" s="36"/>
      <c r="W6" s="36"/>
      <c r="X6" s="36"/>
      <c r="AG6" s="37">
        <v>7</v>
      </c>
      <c r="BA6" s="37"/>
      <c r="BB6" s="38"/>
      <c r="BC6" s="37"/>
      <c r="BD6" s="38"/>
      <c r="BF6" s="38"/>
      <c r="BG6" s="37"/>
      <c r="BH6" s="38"/>
    </row>
    <row r="7" spans="1:64" ht="15" customHeight="1">
      <c r="A7" t="s">
        <v>85</v>
      </c>
      <c r="B7" t="s">
        <v>6</v>
      </c>
      <c r="C7" s="39">
        <v>45827</v>
      </c>
      <c r="D7" s="48" t="s">
        <v>102</v>
      </c>
      <c r="E7" t="s">
        <v>87</v>
      </c>
      <c r="F7" s="47" t="s">
        <v>88</v>
      </c>
      <c r="H7" s="50" t="s">
        <v>103</v>
      </c>
      <c r="I7" s="46"/>
      <c r="J7" s="38">
        <f>IF(SUM(W7:BH7)=0,"-",SUM(Y7:BH7))</f>
        <v>13</v>
      </c>
      <c r="K7" s="63">
        <f>IF(SUMPRODUCT($Y$3:$BK$3,Y7:BK7)=0,"-",SUMPRODUCT($Y$3:$BK$3,Y7:BK7))</f>
        <v>900</v>
      </c>
      <c r="L7" s="64" t="s">
        <v>97</v>
      </c>
      <c r="M7" s="65" t="s">
        <v>98</v>
      </c>
      <c r="N7" s="65" t="s">
        <v>99</v>
      </c>
      <c r="O7" s="65" t="s">
        <v>100</v>
      </c>
      <c r="P7" s="65" t="s">
        <v>101</v>
      </c>
      <c r="Q7" s="35" t="str">
        <f>IF(SUM(Y7:AR7)+SUM(AZ7:BA7)+SUM(BB7:BE7)&gt;0,"X","")</f>
        <v>X</v>
      </c>
      <c r="R7" s="36" t="str">
        <f>IF(SUM(AS7:AY7)&gt;0,"X","")</f>
        <v/>
      </c>
      <c r="S7" s="36" t="str">
        <f>IF(SUM(BF7:BG7)&gt;0,"X","")</f>
        <v/>
      </c>
      <c r="T7" s="36"/>
      <c r="U7" s="36"/>
      <c r="V7" s="36"/>
      <c r="W7" s="36"/>
      <c r="X7" s="36"/>
      <c r="AG7" s="37">
        <v>3</v>
      </c>
      <c r="AH7" s="38">
        <v>10</v>
      </c>
      <c r="BA7" s="37"/>
      <c r="BB7" s="38"/>
      <c r="BC7" s="37"/>
      <c r="BD7" s="38"/>
      <c r="BF7" s="38"/>
      <c r="BG7" s="37"/>
      <c r="BH7" s="38"/>
    </row>
    <row r="8" spans="1:64" ht="15" customHeight="1">
      <c r="A8" t="s">
        <v>85</v>
      </c>
      <c r="B8" t="s">
        <v>6</v>
      </c>
      <c r="C8" s="39">
        <v>45827</v>
      </c>
      <c r="D8" s="48" t="s">
        <v>104</v>
      </c>
      <c r="E8" t="s">
        <v>87</v>
      </c>
      <c r="F8" s="47" t="s">
        <v>88</v>
      </c>
      <c r="H8" s="50" t="s">
        <v>105</v>
      </c>
      <c r="I8" s="46"/>
      <c r="J8" s="38">
        <f>IF(SUM(W8:BH8)=0,"-",SUM(Y8:BH8))</f>
        <v>2</v>
      </c>
      <c r="K8" s="63">
        <f>IF(SUMPRODUCT($Y$3:$BK$3,Y8:BK8)=0,"-",SUMPRODUCT($Y$3:$BK$3,Y8:BK8))</f>
        <v>195</v>
      </c>
      <c r="L8" s="64" t="s">
        <v>97</v>
      </c>
      <c r="M8" s="65" t="s">
        <v>98</v>
      </c>
      <c r="N8" s="65" t="s">
        <v>99</v>
      </c>
      <c r="O8" s="65" t="s">
        <v>100</v>
      </c>
      <c r="P8" s="65" t="s">
        <v>101</v>
      </c>
      <c r="Q8" s="35" t="str">
        <f>IF(SUM(Y8:AR8)+SUM(AZ8:BA8)+SUM(BB8:BE8)&gt;0,"X","")</f>
        <v>X</v>
      </c>
      <c r="R8" s="36" t="str">
        <f>IF(SUM(AS8:AY8)&gt;0,"X","")</f>
        <v/>
      </c>
      <c r="S8" s="36" t="str">
        <f>IF(SUM(BF8:BG8)&gt;0,"X","")</f>
        <v/>
      </c>
      <c r="T8" s="36"/>
      <c r="U8" s="36"/>
      <c r="V8" s="36"/>
      <c r="W8" s="36"/>
      <c r="X8" s="36"/>
      <c r="AG8" s="37">
        <v>1</v>
      </c>
      <c r="AH8" s="38">
        <v>1</v>
      </c>
      <c r="BA8" s="37"/>
      <c r="BB8" s="38"/>
      <c r="BC8" s="37"/>
      <c r="BD8" s="38"/>
      <c r="BF8" s="38"/>
      <c r="BG8" s="37"/>
      <c r="BH8" s="38"/>
    </row>
    <row r="9" spans="1:64" ht="15" customHeight="1">
      <c r="A9" t="s">
        <v>85</v>
      </c>
      <c r="B9" t="s">
        <v>6</v>
      </c>
      <c r="C9" s="39">
        <v>45828</v>
      </c>
      <c r="D9" s="48" t="s">
        <v>106</v>
      </c>
      <c r="E9" s="49" t="s">
        <v>107</v>
      </c>
      <c r="F9" s="47" t="s">
        <v>88</v>
      </c>
      <c r="H9" s="50" t="s">
        <v>108</v>
      </c>
      <c r="I9" s="46"/>
      <c r="J9" s="38">
        <f>IF(SUM(W9:BH9)=0,"-",SUM(Y9:BH9))</f>
        <v>84</v>
      </c>
      <c r="K9" s="63">
        <f>IF(SUMPRODUCT($Y$3:$BK$3,Y9:BK9)=0,"-",SUMPRODUCT($Y$3:$BK$3,Y9:BK9))</f>
        <v>6600</v>
      </c>
      <c r="L9" s="64" t="s">
        <v>97</v>
      </c>
      <c r="M9" s="65" t="s">
        <v>98</v>
      </c>
      <c r="N9" s="65" t="s">
        <v>99</v>
      </c>
      <c r="O9" s="65" t="s">
        <v>100</v>
      </c>
      <c r="P9" s="65" t="s">
        <v>101</v>
      </c>
      <c r="Q9" s="35" t="str">
        <f>IF(SUM(Y9:AR9)+SUM(AZ9:BA9)+SUM(BB9:BE9)&gt;0,"X","")</f>
        <v>X</v>
      </c>
      <c r="R9" s="36" t="str">
        <f>IF(SUM(AS9:AY9)&gt;0,"X","")</f>
        <v>X</v>
      </c>
      <c r="S9" s="36" t="str">
        <f>IF(SUM(BF9:BG9)&gt;0,"X","")</f>
        <v/>
      </c>
      <c r="T9" s="36"/>
      <c r="U9" s="36"/>
      <c r="V9" s="36"/>
      <c r="W9" s="36"/>
      <c r="X9" s="36"/>
      <c r="Z9" s="38">
        <v>6</v>
      </c>
      <c r="AH9" s="38">
        <v>14</v>
      </c>
      <c r="AS9" s="37">
        <f>27+37</f>
        <v>64</v>
      </c>
      <c r="BA9" s="37"/>
      <c r="BB9" s="38"/>
      <c r="BC9" s="37"/>
      <c r="BD9" s="38"/>
      <c r="BF9" s="38"/>
      <c r="BG9" s="37"/>
      <c r="BH9" s="38"/>
    </row>
    <row r="10" spans="1:64" ht="15" customHeight="1">
      <c r="A10" t="s">
        <v>85</v>
      </c>
      <c r="B10" t="s">
        <v>6</v>
      </c>
      <c r="C10" s="39">
        <v>45857</v>
      </c>
      <c r="D10" s="48" t="s">
        <v>109</v>
      </c>
      <c r="E10" t="s">
        <v>87</v>
      </c>
      <c r="F10" s="47" t="s">
        <v>88</v>
      </c>
      <c r="H10" s="50" t="s">
        <v>110</v>
      </c>
      <c r="I10" s="46"/>
      <c r="J10" s="38">
        <f>IF(SUM(W10:BH10)=0,"-",SUM(Y10:BH10))</f>
        <v>3</v>
      </c>
      <c r="K10" s="63">
        <f>IF(SUMPRODUCT($Y$3:$BK$3,Y10:BK10)=0,"-",SUMPRODUCT($Y$3:$BK$3,Y10:BK10))</f>
        <v>135</v>
      </c>
      <c r="L10" s="64" t="s">
        <v>97</v>
      </c>
      <c r="M10" s="65" t="s">
        <v>98</v>
      </c>
      <c r="N10" s="65" t="s">
        <v>99</v>
      </c>
      <c r="O10" s="65" t="s">
        <v>100</v>
      </c>
      <c r="P10" s="65" t="s">
        <v>101</v>
      </c>
      <c r="Q10" s="35" t="str">
        <f>IF(SUM(Y10:AR10)+SUM(AZ10:BA10)+SUM(BB10:BE10)&gt;0,"X","")</f>
        <v>X</v>
      </c>
      <c r="R10" s="36" t="str">
        <f>IF(SUM(AS10:AY10)&gt;0,"X","")</f>
        <v/>
      </c>
      <c r="S10" s="36" t="str">
        <f>IF(SUM(BF10:BG10)&gt;0,"X","")</f>
        <v/>
      </c>
      <c r="T10" s="36"/>
      <c r="U10" s="36"/>
      <c r="V10" s="36"/>
      <c r="W10" s="36"/>
      <c r="X10" s="36"/>
      <c r="AH10" s="38">
        <v>3</v>
      </c>
      <c r="BA10" s="37"/>
      <c r="BB10" s="38"/>
      <c r="BC10" s="37"/>
      <c r="BD10" s="38"/>
      <c r="BF10" s="38"/>
      <c r="BG10" s="37"/>
      <c r="BH10" s="38"/>
    </row>
    <row r="11" spans="1:64" ht="15" customHeight="1">
      <c r="A11" t="s">
        <v>85</v>
      </c>
      <c r="B11" t="s">
        <v>6</v>
      </c>
      <c r="C11" s="39">
        <v>45859</v>
      </c>
      <c r="D11" s="48" t="s">
        <v>111</v>
      </c>
      <c r="E11" s="49" t="s">
        <v>107</v>
      </c>
      <c r="F11" s="47" t="s">
        <v>88</v>
      </c>
      <c r="H11" s="50" t="s">
        <v>112</v>
      </c>
      <c r="I11" s="46"/>
      <c r="J11" s="38">
        <f>IF(SUM(W11:BH11)=0,"-",SUM(Y11:BH11))</f>
        <v>3</v>
      </c>
      <c r="K11" s="63">
        <f>IF(SUMPRODUCT($Y$3:$BK$3,Y11:BK11)=0,"-",SUMPRODUCT($Y$3:$BK$3,Y11:BK11))</f>
        <v>270</v>
      </c>
      <c r="L11" s="64" t="s">
        <v>97</v>
      </c>
      <c r="M11" s="65" t="s">
        <v>98</v>
      </c>
      <c r="N11" s="65" t="s">
        <v>99</v>
      </c>
      <c r="O11" s="65" t="s">
        <v>100</v>
      </c>
      <c r="P11" s="65" t="s">
        <v>101</v>
      </c>
      <c r="Q11" s="35" t="str">
        <f>IF(SUM(Y11:AR11)+SUM(AZ11:BA11)+SUM(BB11:BE11)&gt;0,"X","")</f>
        <v/>
      </c>
      <c r="R11" s="36" t="str">
        <f>IF(SUM(AS11:AY11)&gt;0,"X","")</f>
        <v>X</v>
      </c>
      <c r="S11" s="36" t="str">
        <f>IF(SUM(BF11:BG11)&gt;0,"X","")</f>
        <v/>
      </c>
      <c r="T11" s="36"/>
      <c r="U11" s="36"/>
      <c r="V11" s="36"/>
      <c r="W11" s="36"/>
      <c r="X11" s="36"/>
      <c r="AS11" s="37">
        <v>3</v>
      </c>
      <c r="BA11" s="37"/>
      <c r="BB11" s="38"/>
      <c r="BC11" s="37"/>
      <c r="BD11" s="38"/>
      <c r="BF11" s="38"/>
      <c r="BG11" s="37"/>
      <c r="BH11" s="38"/>
    </row>
    <row r="12" spans="1:64" ht="15" customHeight="1">
      <c r="A12" t="s">
        <v>85</v>
      </c>
      <c r="B12" t="s">
        <v>6</v>
      </c>
      <c r="C12" s="39">
        <v>45861</v>
      </c>
      <c r="D12" s="48" t="s">
        <v>113</v>
      </c>
      <c r="E12" s="49" t="s">
        <v>107</v>
      </c>
      <c r="F12" s="47" t="s">
        <v>88</v>
      </c>
      <c r="H12" s="50" t="s">
        <v>114</v>
      </c>
      <c r="I12" s="46"/>
      <c r="J12" s="38">
        <f>IF(SUM(W12:BH12)=0,"-",SUM(Y12:BH12))</f>
        <v>20</v>
      </c>
      <c r="K12" s="63">
        <f>IF(SUMPRODUCT($Y$3:$BK$3,Y12:BK12)=0,"-",SUMPRODUCT($Y$3:$BK$3,Y12:BK12))</f>
        <v>700</v>
      </c>
      <c r="L12" s="64" t="s">
        <v>97</v>
      </c>
      <c r="M12" s="65" t="s">
        <v>98</v>
      </c>
      <c r="N12" s="65" t="s">
        <v>99</v>
      </c>
      <c r="O12" s="65" t="s">
        <v>100</v>
      </c>
      <c r="P12" s="65" t="s">
        <v>101</v>
      </c>
      <c r="Q12" s="35" t="str">
        <f>IF(SUM(Y12:AR12)+SUM(AZ12:BA12)+SUM(BB12:BE12)&gt;0,"X","")</f>
        <v>X</v>
      </c>
      <c r="R12" s="36" t="str">
        <f>IF(SUM(AS12:AY12)&gt;0,"X","")</f>
        <v/>
      </c>
      <c r="S12" s="36" t="str">
        <f>IF(SUM(BF12:BG12)&gt;0,"X","")</f>
        <v/>
      </c>
      <c r="T12" s="36"/>
      <c r="U12" s="36"/>
      <c r="V12" s="36"/>
      <c r="W12" s="36"/>
      <c r="X12" s="36"/>
      <c r="Z12" s="38">
        <v>20</v>
      </c>
      <c r="BA12" s="37"/>
      <c r="BB12" s="38"/>
      <c r="BC12" s="37"/>
      <c r="BD12" s="38"/>
      <c r="BF12" s="38"/>
      <c r="BG12" s="37"/>
      <c r="BH12" s="38"/>
    </row>
    <row r="13" spans="1:64" ht="15" customHeight="1">
      <c r="A13" t="s">
        <v>85</v>
      </c>
      <c r="B13" t="s">
        <v>6</v>
      </c>
      <c r="C13" s="39">
        <v>45868</v>
      </c>
      <c r="D13" s="48" t="s">
        <v>115</v>
      </c>
      <c r="E13" s="49" t="s">
        <v>107</v>
      </c>
      <c r="F13" s="47" t="s">
        <v>88</v>
      </c>
      <c r="H13" s="49"/>
      <c r="J13" s="38">
        <f>IF(SUM(W13:BH13)=0,"-",SUM(Y13:BH13))</f>
        <v>4</v>
      </c>
      <c r="K13" s="63">
        <f>IF(SUMPRODUCT($Y$3:$BK$3,Y13:BK13)=0,"-",SUMPRODUCT($Y$3:$BK$3,Y13:BK13))</f>
        <v>140</v>
      </c>
      <c r="L13" s="64" t="s">
        <v>97</v>
      </c>
      <c r="M13" s="65" t="s">
        <v>98</v>
      </c>
      <c r="N13" s="65" t="s">
        <v>99</v>
      </c>
      <c r="O13" s="65" t="s">
        <v>100</v>
      </c>
      <c r="P13" s="65" t="s">
        <v>101</v>
      </c>
      <c r="Q13" s="35" t="str">
        <f>IF(SUM(Y13:AR13)+SUM(AZ13:BA13)+SUM(BB13:BE13)&gt;0,"X","")</f>
        <v>X</v>
      </c>
      <c r="R13" s="36" t="str">
        <f>IF(SUM(AS13:AY13)&gt;0,"X","")</f>
        <v/>
      </c>
      <c r="S13" s="36" t="str">
        <f>IF(SUM(BF13:BG13)&gt;0,"X","")</f>
        <v/>
      </c>
      <c r="T13" s="36"/>
      <c r="U13" s="36"/>
      <c r="V13" s="36"/>
      <c r="W13" s="36"/>
      <c r="X13" s="36"/>
      <c r="Z13" s="38">
        <v>4</v>
      </c>
      <c r="BA13" s="37"/>
      <c r="BB13" s="38"/>
      <c r="BC13" s="37"/>
      <c r="BD13" s="38"/>
      <c r="BF13" s="38"/>
      <c r="BG13" s="37"/>
      <c r="BH13" s="38"/>
    </row>
    <row r="14" spans="1:64" ht="15" customHeight="1">
      <c r="A14" t="s">
        <v>85</v>
      </c>
      <c r="B14" t="s">
        <v>6</v>
      </c>
      <c r="C14" s="39">
        <v>45883</v>
      </c>
      <c r="D14" s="48" t="s">
        <v>116</v>
      </c>
      <c r="E14" s="49" t="s">
        <v>107</v>
      </c>
      <c r="F14" s="47" t="s">
        <v>88</v>
      </c>
      <c r="H14" s="50" t="s">
        <v>117</v>
      </c>
      <c r="I14" s="46"/>
      <c r="J14" s="38">
        <f>IF(SUM(W14:BH14)=0,"-",SUM(Y14:BH14))</f>
        <v>4</v>
      </c>
      <c r="K14" s="63">
        <f>IF(SUMPRODUCT($Y$3:$BK$3,Y14:BK14)=0,"-",SUMPRODUCT($Y$3:$BK$3,Y14:BK14))</f>
        <v>245</v>
      </c>
      <c r="L14" s="64" t="s">
        <v>97</v>
      </c>
      <c r="M14" s="65" t="s">
        <v>98</v>
      </c>
      <c r="N14" s="65" t="s">
        <v>99</v>
      </c>
      <c r="O14" s="65" t="s">
        <v>100</v>
      </c>
      <c r="P14" s="65" t="s">
        <v>101</v>
      </c>
      <c r="Q14" s="35" t="str">
        <f>IF(SUM(Y14:AR14)+SUM(AZ14:BA14)+SUM(BB14:BE14)&gt;0,"X","")</f>
        <v>X</v>
      </c>
      <c r="R14" s="36" t="str">
        <f>IF(SUM(AS14:AY14)&gt;0,"X","")</f>
        <v/>
      </c>
      <c r="S14" s="36" t="str">
        <f>IF(SUM(BF14:BG14)&gt;0,"X","")</f>
        <v/>
      </c>
      <c r="T14" s="36"/>
      <c r="U14" s="36"/>
      <c r="V14" s="36"/>
      <c r="W14" s="36"/>
      <c r="X14" s="36"/>
      <c r="Y14" s="37">
        <v>1</v>
      </c>
      <c r="Z14" s="38">
        <v>3</v>
      </c>
      <c r="BA14" s="37"/>
      <c r="BB14" s="38"/>
      <c r="BC14" s="37"/>
      <c r="BD14" s="38"/>
      <c r="BF14" s="38"/>
      <c r="BG14" s="37"/>
      <c r="BH14" s="38"/>
    </row>
    <row r="15" spans="1:64" ht="15" customHeight="1">
      <c r="A15" t="s">
        <v>85</v>
      </c>
      <c r="B15" t="s">
        <v>6</v>
      </c>
      <c r="C15" s="39">
        <v>45883</v>
      </c>
      <c r="D15" s="48" t="s">
        <v>118</v>
      </c>
      <c r="E15" s="49" t="s">
        <v>119</v>
      </c>
      <c r="F15" s="47" t="s">
        <v>88</v>
      </c>
      <c r="H15" s="50" t="s">
        <v>120</v>
      </c>
      <c r="I15" s="46"/>
      <c r="J15" s="38">
        <f>IF(SUM(W15:BH15)=0,"-",SUM(Y15:BH15))</f>
        <v>1</v>
      </c>
      <c r="K15" s="63">
        <f>IF(SUMPRODUCT($Y$3:$BK$3,Y15:BK15)=0,"-",SUMPRODUCT($Y$3:$BK$3,Y15:BK15))</f>
        <v>45</v>
      </c>
      <c r="L15" s="64" t="s">
        <v>121</v>
      </c>
      <c r="M15" s="65" t="s">
        <v>122</v>
      </c>
      <c r="N15" s="65" t="s">
        <v>99</v>
      </c>
      <c r="O15" s="65" t="s">
        <v>123</v>
      </c>
      <c r="P15" s="65" t="s">
        <v>124</v>
      </c>
      <c r="Q15" s="35" t="str">
        <f>IF(SUM(Y15:AR15)+SUM(AZ15:BA15)+SUM(BB15:BE15)&gt;0,"X","")</f>
        <v>X</v>
      </c>
      <c r="R15" s="36" t="str">
        <f>IF(SUM(AS15:AY15)&gt;0,"X","")</f>
        <v/>
      </c>
      <c r="S15" s="36" t="str">
        <f>IF(SUM(BF15:BG15)&gt;0,"X","")</f>
        <v/>
      </c>
      <c r="T15" s="36"/>
      <c r="U15" s="36"/>
      <c r="V15" s="36"/>
      <c r="W15" s="36"/>
      <c r="X15" s="36"/>
      <c r="AH15" s="38">
        <v>1</v>
      </c>
      <c r="BA15" s="37"/>
      <c r="BB15" s="38"/>
      <c r="BC15" s="37"/>
      <c r="BD15" s="38"/>
      <c r="BF15" s="38"/>
      <c r="BG15" s="37"/>
      <c r="BH15" s="38"/>
    </row>
    <row r="16" spans="1:64" ht="15" customHeight="1">
      <c r="A16" t="s">
        <v>85</v>
      </c>
      <c r="B16" t="s">
        <v>6</v>
      </c>
      <c r="C16" s="39">
        <v>45887</v>
      </c>
      <c r="D16" s="48" t="s">
        <v>125</v>
      </c>
      <c r="E16" s="49" t="s">
        <v>119</v>
      </c>
      <c r="F16" s="47" t="s">
        <v>88</v>
      </c>
      <c r="H16" s="50" t="s">
        <v>126</v>
      </c>
      <c r="I16" s="46"/>
      <c r="J16" s="38">
        <f>IF(SUM(W16:BH16)=0,"-",SUM(Y16:BH16))</f>
        <v>9</v>
      </c>
      <c r="K16" s="63">
        <f>IF(SUMPRODUCT($Y$3:$BK$3,Y16:BK16)=0,"-",SUMPRODUCT($Y$3:$BK$3,Y16:BK16))</f>
        <v>315</v>
      </c>
      <c r="L16" s="64" t="s">
        <v>121</v>
      </c>
      <c r="M16" s="65" t="s">
        <v>122</v>
      </c>
      <c r="N16" s="65" t="s">
        <v>99</v>
      </c>
      <c r="O16" s="65" t="s">
        <v>123</v>
      </c>
      <c r="P16" s="65" t="s">
        <v>124</v>
      </c>
      <c r="Q16" s="35" t="str">
        <f>IF(SUM(Y16:AR16)+SUM(AZ16:BA16)+SUM(BB16:BE16)&gt;0,"X","")</f>
        <v>X</v>
      </c>
      <c r="R16" s="36" t="str">
        <f>IF(SUM(AS16:AY16)&gt;0,"X","")</f>
        <v/>
      </c>
      <c r="S16" s="36" t="str">
        <f>IF(SUM(BF16:BG16)&gt;0,"X","")</f>
        <v/>
      </c>
      <c r="T16" s="36"/>
      <c r="U16" s="36"/>
      <c r="V16" s="36"/>
      <c r="W16" s="36"/>
      <c r="X16" s="36"/>
      <c r="Z16" s="38">
        <v>9</v>
      </c>
      <c r="BA16" s="37"/>
      <c r="BB16" s="38"/>
      <c r="BC16" s="37"/>
      <c r="BD16" s="38"/>
      <c r="BF16" s="38"/>
      <c r="BG16" s="37"/>
      <c r="BH16" s="38"/>
    </row>
    <row r="17" spans="1:60" ht="15" customHeight="1">
      <c r="A17" t="s">
        <v>85</v>
      </c>
      <c r="B17" t="s">
        <v>7</v>
      </c>
      <c r="C17" s="73">
        <v>45951</v>
      </c>
      <c r="D17" s="48" t="s">
        <v>127</v>
      </c>
      <c r="E17" t="s">
        <v>128</v>
      </c>
      <c r="F17" s="47" t="s">
        <v>88</v>
      </c>
      <c r="H17" s="50" t="s">
        <v>129</v>
      </c>
      <c r="I17" s="46"/>
      <c r="K17" s="63">
        <f>IF(SUMPRODUCT($Y$3:$BK$3,Y17:BK17)=0,"-",SUMPRODUCT($Y$3:$BK$3,Y17:BK17))</f>
        <v>285</v>
      </c>
      <c r="L17" s="64" t="s">
        <v>130</v>
      </c>
      <c r="M17" s="65" t="s">
        <v>131</v>
      </c>
      <c r="N17" s="65" t="s">
        <v>132</v>
      </c>
      <c r="O17" s="65" t="s">
        <v>133</v>
      </c>
      <c r="P17" s="65" t="s">
        <v>134</v>
      </c>
      <c r="Z17" s="38">
        <v>1</v>
      </c>
      <c r="AA17" s="38">
        <v>1</v>
      </c>
      <c r="BA17" s="37"/>
      <c r="BB17" s="38"/>
      <c r="BC17" s="37"/>
      <c r="BD17" s="38"/>
      <c r="BF17" s="38"/>
      <c r="BG17" s="37"/>
      <c r="BH17" s="38"/>
    </row>
    <row r="18" spans="1:60" ht="15" customHeight="1">
      <c r="A18" t="s">
        <v>85</v>
      </c>
      <c r="B18" t="s">
        <v>7</v>
      </c>
      <c r="C18" s="39">
        <v>45902</v>
      </c>
      <c r="D18" s="48" t="s">
        <v>135</v>
      </c>
      <c r="E18" t="s">
        <v>136</v>
      </c>
      <c r="F18" s="47" t="s">
        <v>88</v>
      </c>
      <c r="H18" s="50" t="s">
        <v>137</v>
      </c>
      <c r="I18" s="50"/>
      <c r="J18" s="38">
        <f>IF(SUM(W18:BH18)=0,"-",SUM(Y18:BH18))</f>
        <v>4</v>
      </c>
      <c r="K18" s="53">
        <f>IF(SUMPRODUCT($Y$3:$BK$3,Y18:BK18)=0,"-",SUMPRODUCT($Y$3:$BK$3,Y18:BK18))</f>
        <v>245</v>
      </c>
      <c r="L18" s="47" t="s">
        <v>91</v>
      </c>
      <c r="M18" s="52" t="s">
        <v>138</v>
      </c>
      <c r="N18" s="52" t="s">
        <v>99</v>
      </c>
      <c r="O18" s="52" t="s">
        <v>139</v>
      </c>
      <c r="P18" s="52" t="s">
        <v>140</v>
      </c>
      <c r="Y18" s="37">
        <v>1</v>
      </c>
      <c r="Z18" s="38">
        <v>3</v>
      </c>
      <c r="BA18" s="37"/>
      <c r="BB18" s="38"/>
      <c r="BC18" s="37"/>
      <c r="BD18" s="38"/>
      <c r="BF18" s="38"/>
      <c r="BG18" s="37"/>
      <c r="BH18" s="38"/>
    </row>
    <row r="19" spans="1:60" ht="15" customHeight="1">
      <c r="A19" t="s">
        <v>85</v>
      </c>
      <c r="B19" t="s">
        <v>8</v>
      </c>
      <c r="C19" s="39">
        <v>45912</v>
      </c>
      <c r="D19" s="51" t="s">
        <v>141</v>
      </c>
      <c r="E19" t="s">
        <v>142</v>
      </c>
      <c r="F19" s="47" t="s">
        <v>88</v>
      </c>
      <c r="H19" s="50" t="s">
        <v>143</v>
      </c>
      <c r="I19" s="50"/>
      <c r="J19" s="38">
        <f>IF(SUM(W19:BH19)=0,"-",SUM(Y19:BH19))</f>
        <v>1</v>
      </c>
      <c r="K19" s="53">
        <f>IF(SUMPRODUCT($Y$3:$BK$3,Y19:BK19)=0,"-",SUMPRODUCT($Y$3:$BK$3,Y19:BK19))</f>
        <v>90</v>
      </c>
      <c r="L19" s="47" t="s">
        <v>91</v>
      </c>
      <c r="M19" s="52" t="s">
        <v>138</v>
      </c>
      <c r="N19" s="52" t="s">
        <v>99</v>
      </c>
      <c r="O19" s="52" t="s">
        <v>139</v>
      </c>
      <c r="P19" s="52" t="s">
        <v>140</v>
      </c>
      <c r="AS19" s="37">
        <v>1</v>
      </c>
      <c r="BA19" s="37"/>
      <c r="BB19" s="38"/>
      <c r="BC19" s="37"/>
      <c r="BD19" s="38"/>
      <c r="BF19" s="38"/>
      <c r="BG19" s="37"/>
      <c r="BH19" s="38"/>
    </row>
    <row r="20" spans="1:60" ht="15" customHeight="1">
      <c r="A20" t="s">
        <v>85</v>
      </c>
      <c r="B20" t="s">
        <v>6</v>
      </c>
      <c r="C20" s="39">
        <v>45846</v>
      </c>
      <c r="D20" s="48" t="s">
        <v>144</v>
      </c>
      <c r="E20" t="s">
        <v>136</v>
      </c>
      <c r="F20" s="47" t="s">
        <v>88</v>
      </c>
      <c r="H20" s="50" t="s">
        <v>145</v>
      </c>
      <c r="I20" s="46"/>
      <c r="J20" s="38">
        <f>IF(SUM(W20:BH20)=0,"-",SUM(Y20:BH20))</f>
        <v>2</v>
      </c>
      <c r="K20" s="53">
        <f>IF(SUMPRODUCT($Y$3:$BK$3,Y20:BK20)=0,"-",SUMPRODUCT($Y$3:$BK$3,Y20:BK20))</f>
        <v>175</v>
      </c>
      <c r="L20" s="47" t="s">
        <v>91</v>
      </c>
      <c r="M20" s="52" t="s">
        <v>146</v>
      </c>
      <c r="N20" s="52" t="s">
        <v>99</v>
      </c>
      <c r="O20" s="52" t="s">
        <v>147</v>
      </c>
      <c r="P20" s="52" t="s">
        <v>140</v>
      </c>
      <c r="Q20" s="35" t="str">
        <f>IF(SUM(Y20:AR20)+SUM(AZ20:BA20)+SUM(BB20:BE20)&gt;0,"X","")</f>
        <v>X</v>
      </c>
      <c r="R20" s="36" t="str">
        <f>IF(SUM(AS20:AY20)&gt;0,"X","")</f>
        <v/>
      </c>
      <c r="S20" s="36" t="str">
        <f>IF(SUM(BF20:BG20)&gt;0,"X","")</f>
        <v/>
      </c>
      <c r="T20" s="36"/>
      <c r="U20" s="36"/>
      <c r="V20" s="36"/>
      <c r="W20" s="36"/>
      <c r="X20" s="36"/>
      <c r="Y20" s="37">
        <v>1</v>
      </c>
      <c r="Z20" s="38">
        <v>1</v>
      </c>
      <c r="BA20" s="37"/>
      <c r="BB20" s="38"/>
      <c r="BC20" s="37"/>
      <c r="BD20" s="38"/>
      <c r="BF20" s="38"/>
      <c r="BG20" s="37"/>
      <c r="BH20" s="38"/>
    </row>
    <row r="21" spans="1:60" ht="15" customHeight="1">
      <c r="A21" t="s">
        <v>85</v>
      </c>
      <c r="B21" t="s">
        <v>9</v>
      </c>
      <c r="C21" s="39">
        <v>45849</v>
      </c>
      <c r="D21" s="48" t="s">
        <v>148</v>
      </c>
      <c r="E21" t="s">
        <v>136</v>
      </c>
      <c r="F21" s="47" t="s">
        <v>88</v>
      </c>
      <c r="H21" s="50" t="s">
        <v>149</v>
      </c>
      <c r="I21" s="46"/>
      <c r="J21" s="38">
        <f>IF(SUM(W21:BH21)=0,"-",SUM(Y21:BH21))</f>
        <v>40</v>
      </c>
      <c r="K21" s="53">
        <f>IF(SUMPRODUCT($Y$3:$BK$3,Y21:BK21)=0,"-",SUMPRODUCT($Y$3:$BK$3,Y21:BK21))</f>
        <v>1400</v>
      </c>
      <c r="L21" s="47" t="s">
        <v>91</v>
      </c>
      <c r="M21" s="52" t="s">
        <v>146</v>
      </c>
      <c r="N21" s="52" t="s">
        <v>99</v>
      </c>
      <c r="O21" s="52" t="s">
        <v>147</v>
      </c>
      <c r="P21" s="52" t="s">
        <v>140</v>
      </c>
      <c r="Q21" s="35" t="str">
        <f>IF(SUM(Y21:AR21)+SUM(AZ21:BA21)+SUM(BB21:BE21)&gt;0,"X","")</f>
        <v>X</v>
      </c>
      <c r="R21" s="36" t="str">
        <f>IF(SUM(AS21:AY21)&gt;0,"X","")</f>
        <v/>
      </c>
      <c r="S21" s="36" t="str">
        <f>IF(SUM(BF21:BG21)&gt;0,"X","")</f>
        <v/>
      </c>
      <c r="T21" s="36"/>
      <c r="U21" s="36"/>
      <c r="V21" s="36"/>
      <c r="W21" s="36"/>
      <c r="X21" s="36"/>
      <c r="Z21" s="38">
        <v>40</v>
      </c>
      <c r="BA21" s="37"/>
      <c r="BB21" s="38"/>
      <c r="BC21" s="37"/>
      <c r="BD21" s="38"/>
      <c r="BF21" s="38"/>
      <c r="BG21" s="37"/>
      <c r="BH21" s="38"/>
    </row>
    <row r="22" spans="1:60" ht="15" customHeight="1">
      <c r="A22" t="s">
        <v>85</v>
      </c>
      <c r="B22" t="s">
        <v>6</v>
      </c>
      <c r="C22" s="39">
        <v>45868</v>
      </c>
      <c r="D22" s="48" t="s">
        <v>150</v>
      </c>
      <c r="E22" t="s">
        <v>136</v>
      </c>
      <c r="F22" s="47" t="s">
        <v>88</v>
      </c>
      <c r="H22" s="50" t="s">
        <v>151</v>
      </c>
      <c r="I22" s="46"/>
      <c r="J22" s="38">
        <f>IF(SUM(W22:BH22)=0,"-",SUM(Y22:BH22))</f>
        <v>1</v>
      </c>
      <c r="K22" s="53">
        <f>IF(SUMPRODUCT($Y$3:$BK$3,Y22:BK22)=0,"-",SUMPRODUCT($Y$3:$BK$3,Y22:BK22))</f>
        <v>35</v>
      </c>
      <c r="L22" s="47" t="s">
        <v>91</v>
      </c>
      <c r="M22" s="52" t="s">
        <v>146</v>
      </c>
      <c r="N22" s="52" t="s">
        <v>99</v>
      </c>
      <c r="O22" s="52" t="s">
        <v>147</v>
      </c>
      <c r="P22" s="52" t="s">
        <v>140</v>
      </c>
      <c r="Q22" s="35" t="str">
        <f>IF(SUM(Y22:AR22)+SUM(AZ22:BA22)+SUM(BB22:BE22)&gt;0,"X","")</f>
        <v>X</v>
      </c>
      <c r="R22" s="36" t="str">
        <f>IF(SUM(AS22:AY22)&gt;0,"X","")</f>
        <v/>
      </c>
      <c r="S22" s="36" t="str">
        <f>IF(SUM(BF22:BG22)&gt;0,"X","")</f>
        <v/>
      </c>
      <c r="T22" s="36"/>
      <c r="U22" s="36"/>
      <c r="V22" s="36"/>
      <c r="W22" s="36"/>
      <c r="X22" s="36"/>
      <c r="Z22" s="38">
        <v>1</v>
      </c>
    </row>
    <row r="23" spans="1:60" ht="15" customHeight="1">
      <c r="A23" t="s">
        <v>85</v>
      </c>
      <c r="B23" t="s">
        <v>6</v>
      </c>
      <c r="C23" s="39">
        <v>45882</v>
      </c>
      <c r="D23" s="48" t="s">
        <v>152</v>
      </c>
      <c r="E23" t="s">
        <v>136</v>
      </c>
      <c r="F23" s="47" t="s">
        <v>88</v>
      </c>
      <c r="H23" s="50" t="s">
        <v>145</v>
      </c>
      <c r="I23" s="46"/>
      <c r="J23" s="38">
        <f>IF(SUM(W23:BH23)=0,"-",SUM(Y23:BH23))</f>
        <v>3</v>
      </c>
      <c r="K23" s="53">
        <f>IF(SUMPRODUCT($Y$3:$BK$3,Y23:BK23)=0,"-",SUMPRODUCT($Y$3:$BK$3,Y23:BK23))</f>
        <v>105</v>
      </c>
      <c r="L23" s="47" t="s">
        <v>91</v>
      </c>
      <c r="M23" s="52" t="s">
        <v>146</v>
      </c>
      <c r="N23" s="52" t="s">
        <v>99</v>
      </c>
      <c r="O23" s="52" t="s">
        <v>147</v>
      </c>
      <c r="P23" s="52" t="s">
        <v>140</v>
      </c>
      <c r="Q23" s="35" t="str">
        <f>IF(SUM(Y23:AR23)+SUM(AZ23:BA23)+SUM(BB23:BE23)&gt;0,"X","")</f>
        <v>X</v>
      </c>
      <c r="R23" s="36" t="str">
        <f>IF(SUM(AS23:AY23)&gt;0,"X","")</f>
        <v/>
      </c>
      <c r="S23" s="36" t="str">
        <f>IF(SUM(BF23:BG23)&gt;0,"X","")</f>
        <v/>
      </c>
      <c r="T23" s="36"/>
      <c r="U23" s="36"/>
      <c r="V23" s="36"/>
      <c r="W23" s="36"/>
      <c r="X23" s="36"/>
      <c r="Z23" s="38">
        <v>3</v>
      </c>
    </row>
    <row r="24" spans="1:60" ht="15" customHeight="1">
      <c r="A24" t="s">
        <v>85</v>
      </c>
      <c r="B24" t="s">
        <v>8</v>
      </c>
      <c r="C24" s="39">
        <v>45890</v>
      </c>
      <c r="D24" s="48" t="s">
        <v>153</v>
      </c>
      <c r="E24" t="s">
        <v>87</v>
      </c>
      <c r="F24" s="47" t="s">
        <v>88</v>
      </c>
      <c r="H24" s="50" t="s">
        <v>154</v>
      </c>
      <c r="I24" s="46"/>
      <c r="J24" s="38">
        <f>IF(SUM(W24:BH24)=0,"-",SUM(Y24:BH24))</f>
        <v>9</v>
      </c>
      <c r="K24" s="69">
        <f>IF(SUMPRODUCT($Y$3:$BK$3,Y24:BK24)=0,"-",SUMPRODUCT($Y$3:$BK$3,Y24:BK24))</f>
        <v>720</v>
      </c>
      <c r="L24" s="70" t="s">
        <v>155</v>
      </c>
      <c r="M24" s="71" t="s">
        <v>156</v>
      </c>
      <c r="N24" s="71" t="s">
        <v>99</v>
      </c>
      <c r="O24" s="71" t="s">
        <v>157</v>
      </c>
      <c r="P24" s="71" t="s">
        <v>158</v>
      </c>
      <c r="AG24" s="37">
        <v>3</v>
      </c>
      <c r="AH24" s="38">
        <v>6</v>
      </c>
    </row>
    <row r="25" spans="1:60" ht="15" customHeight="1">
      <c r="A25" t="s">
        <v>85</v>
      </c>
      <c r="B25" t="s">
        <v>6</v>
      </c>
      <c r="C25" s="39">
        <v>45909</v>
      </c>
      <c r="D25" s="48" t="s">
        <v>159</v>
      </c>
      <c r="E25" t="s">
        <v>87</v>
      </c>
      <c r="F25" s="47" t="s">
        <v>88</v>
      </c>
      <c r="H25" s="49"/>
      <c r="J25" s="38">
        <f>IF(SUM(W25:BH25)=0,"-",SUM(Y25:BH25))</f>
        <v>2</v>
      </c>
      <c r="K25" s="69">
        <f>IF(SUMPRODUCT($Y$3:$BK$3,Y25:BK25)=0,"-",SUMPRODUCT($Y$3:$BK$3,Y25:BK25))</f>
        <v>70</v>
      </c>
      <c r="L25" s="70" t="s">
        <v>155</v>
      </c>
      <c r="M25" s="71" t="s">
        <v>156</v>
      </c>
      <c r="N25" s="71" t="s">
        <v>99</v>
      </c>
      <c r="O25" s="71" t="s">
        <v>157</v>
      </c>
      <c r="P25" s="71" t="s">
        <v>158</v>
      </c>
      <c r="Z25" s="38">
        <v>2</v>
      </c>
    </row>
    <row r="26" spans="1:60" ht="15" customHeight="1">
      <c r="A26" t="s">
        <v>85</v>
      </c>
      <c r="B26" t="s">
        <v>6</v>
      </c>
      <c r="C26" s="39">
        <v>45918</v>
      </c>
      <c r="D26" s="48" t="s">
        <v>160</v>
      </c>
      <c r="E26" t="s">
        <v>87</v>
      </c>
      <c r="F26" s="47" t="s">
        <v>88</v>
      </c>
      <c r="H26" s="50" t="s">
        <v>161</v>
      </c>
      <c r="I26" s="50"/>
      <c r="J26" s="38">
        <f>IF(SUM(W26:BH26)=0,"-",SUM(Y26:BH26))</f>
        <v>62</v>
      </c>
      <c r="K26" s="69">
        <f>IF(SUMPRODUCT($Y$3:$BK$3,Y26:BK26)=0,"-",SUMPRODUCT($Y$3:$BK$3,Y26:BK26))</f>
        <v>3445</v>
      </c>
      <c r="L26" s="70" t="s">
        <v>155</v>
      </c>
      <c r="M26" s="71" t="s">
        <v>156</v>
      </c>
      <c r="N26" s="71" t="s">
        <v>99</v>
      </c>
      <c r="O26" s="71" t="s">
        <v>157</v>
      </c>
      <c r="P26" s="71" t="s">
        <v>158</v>
      </c>
      <c r="AG26" s="37">
        <v>7</v>
      </c>
      <c r="AH26" s="38">
        <v>47</v>
      </c>
      <c r="AN26" s="37">
        <v>8</v>
      </c>
    </row>
    <row r="27" spans="1:60" ht="15" customHeight="1">
      <c r="A27" t="s">
        <v>85</v>
      </c>
      <c r="B27" t="s">
        <v>8</v>
      </c>
      <c r="C27" s="73">
        <v>45945</v>
      </c>
      <c r="D27" s="48" t="s">
        <v>162</v>
      </c>
      <c r="E27" s="49" t="s">
        <v>119</v>
      </c>
      <c r="F27" s="47" t="s">
        <v>88</v>
      </c>
      <c r="H27" s="50" t="s">
        <v>163</v>
      </c>
      <c r="I27" s="46"/>
      <c r="J27" s="38">
        <f>IF(SUM(W27:BH27)=0,"-",SUM(Y27:BH27))</f>
        <v>4</v>
      </c>
      <c r="K27" s="69">
        <f>IF(SUMPRODUCT($Y$3:$BK$3,Y27:BK27)=0,"-",SUMPRODUCT($Y$3:$BK$3,Y27:BK27))</f>
        <v>140</v>
      </c>
      <c r="L27" s="70" t="s">
        <v>155</v>
      </c>
      <c r="M27" s="71" t="s">
        <v>156</v>
      </c>
      <c r="N27" s="71" t="s">
        <v>99</v>
      </c>
      <c r="O27" s="71" t="s">
        <v>157</v>
      </c>
      <c r="P27" s="71" t="s">
        <v>158</v>
      </c>
      <c r="Z27" s="38">
        <v>4</v>
      </c>
    </row>
    <row r="28" spans="1:60" ht="15" customHeight="1">
      <c r="A28" t="s">
        <v>85</v>
      </c>
      <c r="B28" t="s">
        <v>6</v>
      </c>
      <c r="C28" s="39">
        <v>45937</v>
      </c>
      <c r="D28" s="48" t="s">
        <v>164</v>
      </c>
      <c r="E28" t="s">
        <v>165</v>
      </c>
      <c r="F28" s="47" t="s">
        <v>88</v>
      </c>
      <c r="H28" s="50" t="s">
        <v>166</v>
      </c>
      <c r="I28" s="46"/>
      <c r="J28" s="38">
        <f>IF(SUM(W28:BH28)=0,"-",SUM(Y28:BH28))</f>
        <v>54</v>
      </c>
      <c r="K28" s="53">
        <f>IF(SUMPRODUCT($Y$3:$BK$3,Y28:BK28)=0,"-",SUMPRODUCT($Y$3:$BK$3,Y28:BK28))</f>
        <v>1890</v>
      </c>
      <c r="L28" s="54" t="s">
        <v>167</v>
      </c>
      <c r="M28" s="52" t="s">
        <v>168</v>
      </c>
      <c r="N28" s="52" t="s">
        <v>99</v>
      </c>
      <c r="O28" s="52" t="s">
        <v>169</v>
      </c>
      <c r="P28" s="40" t="s">
        <v>170</v>
      </c>
      <c r="AN28" s="37">
        <v>54</v>
      </c>
    </row>
    <row r="29" spans="1:60" ht="15" customHeight="1">
      <c r="A29" t="s">
        <v>85</v>
      </c>
      <c r="B29" t="s">
        <v>8</v>
      </c>
      <c r="C29" s="39">
        <v>46006</v>
      </c>
      <c r="D29" s="48" t="s">
        <v>171</v>
      </c>
      <c r="E29" t="s">
        <v>136</v>
      </c>
      <c r="F29" s="47" t="s">
        <v>88</v>
      </c>
      <c r="H29" s="50" t="s">
        <v>172</v>
      </c>
      <c r="I29" s="46"/>
      <c r="J29" s="38">
        <f>IF(SUM(W29:BH29)=0,"-",SUM(Y29:BH29))</f>
        <v>1</v>
      </c>
      <c r="K29" s="53">
        <f>IF(SUMPRODUCT($Y$3:$BK$3,Y29:BK29)=0,"-",SUMPRODUCT($Y$3:$BK$3,Y29:BK29))</f>
        <v>90</v>
      </c>
      <c r="L29" s="54" t="s">
        <v>173</v>
      </c>
      <c r="M29" s="52" t="s">
        <v>174</v>
      </c>
      <c r="N29" s="52" t="s">
        <v>175</v>
      </c>
      <c r="O29" s="52" t="s">
        <v>176</v>
      </c>
      <c r="P29" s="40" t="s">
        <v>177</v>
      </c>
      <c r="AS29" s="37">
        <v>1</v>
      </c>
    </row>
    <row r="30" spans="1:60" ht="15" customHeight="1">
      <c r="A30" t="s">
        <v>85</v>
      </c>
      <c r="B30" t="s">
        <v>8</v>
      </c>
      <c r="C30" s="39">
        <v>46001</v>
      </c>
      <c r="D30" s="48" t="s">
        <v>178</v>
      </c>
      <c r="E30" t="s">
        <v>179</v>
      </c>
      <c r="F30" s="47" t="s">
        <v>88</v>
      </c>
      <c r="H30" s="50" t="s">
        <v>180</v>
      </c>
      <c r="I30" s="46" t="s">
        <v>181</v>
      </c>
      <c r="J30" s="38">
        <f>IF(SUM(W30:BH30)=0,"-",SUM(Y30:BH30))</f>
        <v>4</v>
      </c>
      <c r="K30" s="53">
        <v>750</v>
      </c>
      <c r="L30" s="54" t="s">
        <v>182</v>
      </c>
      <c r="M30" s="52" t="s">
        <v>183</v>
      </c>
      <c r="N30" s="52" t="s">
        <v>175</v>
      </c>
      <c r="O30" s="52" t="s">
        <v>184</v>
      </c>
      <c r="P30" s="40" t="s">
        <v>185</v>
      </c>
      <c r="AS30" s="37">
        <v>2</v>
      </c>
      <c r="AT30" s="38">
        <v>2</v>
      </c>
    </row>
    <row r="31" spans="1:60" ht="15" customHeight="1">
      <c r="A31" t="s">
        <v>85</v>
      </c>
      <c r="B31" t="s">
        <v>7</v>
      </c>
      <c r="C31" s="39">
        <v>45972</v>
      </c>
      <c r="D31" s="58" t="s">
        <v>186</v>
      </c>
      <c r="E31" t="s">
        <v>87</v>
      </c>
      <c r="F31" s="47" t="s">
        <v>88</v>
      </c>
      <c r="H31" s="60" t="s">
        <v>187</v>
      </c>
      <c r="I31" s="46" t="s">
        <v>188</v>
      </c>
      <c r="J31" s="38">
        <f>IF(SUM(W31:BH31)=0,"-",SUM(Y31:BH31))</f>
        <v>4</v>
      </c>
      <c r="K31" s="53">
        <f>IF(SUMPRODUCT($Y$3:$BK$3,Y31:BK31)=0,"-",SUMPRODUCT($Y$3:$BK$3,Y31:BK31))</f>
        <v>350</v>
      </c>
      <c r="L31" s="54" t="s">
        <v>189</v>
      </c>
      <c r="M31" s="52" t="s">
        <v>190</v>
      </c>
      <c r="N31" s="52" t="s">
        <v>175</v>
      </c>
      <c r="O31" s="52" t="s">
        <v>191</v>
      </c>
      <c r="P31" s="40" t="s">
        <v>192</v>
      </c>
      <c r="Y31" s="37">
        <v>2</v>
      </c>
      <c r="Z31" s="38">
        <v>2</v>
      </c>
    </row>
    <row r="32" spans="1:60" ht="15" customHeight="1">
      <c r="A32" t="s">
        <v>85</v>
      </c>
      <c r="B32" t="s">
        <v>7</v>
      </c>
      <c r="C32" s="39">
        <v>46003</v>
      </c>
      <c r="D32" s="48" t="s">
        <v>193</v>
      </c>
      <c r="E32" t="s">
        <v>87</v>
      </c>
      <c r="F32" s="47" t="s">
        <v>88</v>
      </c>
      <c r="H32" s="50" t="s">
        <v>194</v>
      </c>
      <c r="I32" s="46" t="s">
        <v>188</v>
      </c>
      <c r="J32" s="38">
        <f>IF(SUM(W32:BH32)=0,"-",SUM(Y32:BH32))</f>
        <v>1</v>
      </c>
      <c r="K32" s="53">
        <f>IF(SUMPRODUCT($Y$3:$BK$3,Y32:BK32)=0,"-",SUMPRODUCT($Y$3:$BK$3,Y32:BK32))</f>
        <v>35</v>
      </c>
      <c r="L32" s="54" t="s">
        <v>189</v>
      </c>
      <c r="M32" s="52" t="s">
        <v>190</v>
      </c>
      <c r="N32" s="52" t="s">
        <v>175</v>
      </c>
      <c r="O32" s="52" t="s">
        <v>191</v>
      </c>
      <c r="P32" s="40" t="s">
        <v>192</v>
      </c>
      <c r="Z32" s="38">
        <v>1</v>
      </c>
    </row>
    <row r="33" spans="1:46" ht="15" customHeight="1">
      <c r="A33" t="s">
        <v>85</v>
      </c>
      <c r="B33" t="s">
        <v>7</v>
      </c>
      <c r="C33" s="39">
        <v>46006</v>
      </c>
      <c r="D33" s="48" t="s">
        <v>195</v>
      </c>
      <c r="E33" t="s">
        <v>87</v>
      </c>
      <c r="F33" s="47" t="s">
        <v>88</v>
      </c>
      <c r="H33" s="50" t="s">
        <v>196</v>
      </c>
      <c r="I33" s="46" t="s">
        <v>188</v>
      </c>
      <c r="J33" s="38">
        <f>IF(SUM(W33:BH33)=0,"-",SUM(Y33:BH33))</f>
        <v>4</v>
      </c>
      <c r="K33" s="53">
        <f>IF(SUMPRODUCT($Y$3:$BK$3,Y33:BK33)=0,"-",SUMPRODUCT($Y$3:$BK$3,Y33:BK33))</f>
        <v>180</v>
      </c>
      <c r="L33" s="54" t="s">
        <v>189</v>
      </c>
      <c r="M33" s="52" t="s">
        <v>190</v>
      </c>
      <c r="N33" s="52" t="s">
        <v>175</v>
      </c>
      <c r="O33" s="52" t="s">
        <v>191</v>
      </c>
      <c r="P33" s="40" t="s">
        <v>192</v>
      </c>
      <c r="AH33" s="38">
        <v>4</v>
      </c>
    </row>
    <row r="34" spans="1:46" ht="15" customHeight="1">
      <c r="A34" t="s">
        <v>85</v>
      </c>
      <c r="B34" t="s">
        <v>7</v>
      </c>
      <c r="C34" s="39">
        <v>46006</v>
      </c>
      <c r="D34" s="48" t="s">
        <v>197</v>
      </c>
      <c r="E34" t="s">
        <v>87</v>
      </c>
      <c r="F34" s="47" t="s">
        <v>88</v>
      </c>
      <c r="H34" s="50" t="s">
        <v>198</v>
      </c>
      <c r="I34" s="46" t="s">
        <v>188</v>
      </c>
      <c r="J34" s="38">
        <f>IF(SUM(W34:BH34)=0,"-",SUM(Y34:BH34))</f>
        <v>17</v>
      </c>
      <c r="K34" s="53">
        <f>IF(SUMPRODUCT($Y$3:$BK$3,Y34:BK34)=0,"-",SUMPRODUCT($Y$3:$BK$3,Y34:BK34))</f>
        <v>765</v>
      </c>
      <c r="L34" s="54" t="s">
        <v>189</v>
      </c>
      <c r="M34" s="52" t="s">
        <v>190</v>
      </c>
      <c r="N34" s="52" t="s">
        <v>175</v>
      </c>
      <c r="O34" s="52" t="s">
        <v>191</v>
      </c>
      <c r="P34" s="40" t="s">
        <v>192</v>
      </c>
      <c r="AH34" s="38">
        <v>17</v>
      </c>
    </row>
    <row r="35" spans="1:46" ht="15" customHeight="1">
      <c r="A35" t="s">
        <v>85</v>
      </c>
      <c r="B35" t="s">
        <v>6</v>
      </c>
      <c r="C35" s="39">
        <v>45973</v>
      </c>
      <c r="D35" s="48" t="s">
        <v>199</v>
      </c>
      <c r="E35" t="s">
        <v>87</v>
      </c>
      <c r="F35" s="47" t="s">
        <v>88</v>
      </c>
      <c r="H35" s="49"/>
      <c r="I35" s="46" t="s">
        <v>200</v>
      </c>
      <c r="J35" s="38">
        <f>IF(SUM(W35:BH35)=0,"-",SUM(Y35:BH35))</f>
        <v>14</v>
      </c>
      <c r="K35" s="53">
        <v>300</v>
      </c>
      <c r="L35" s="54" t="s">
        <v>201</v>
      </c>
      <c r="M35" s="52" t="s">
        <v>202</v>
      </c>
      <c r="N35" s="52" t="s">
        <v>175</v>
      </c>
      <c r="O35" s="52" t="s">
        <v>203</v>
      </c>
      <c r="P35" s="40" t="s">
        <v>192</v>
      </c>
      <c r="Z35" s="38">
        <v>3</v>
      </c>
      <c r="AH35" s="38">
        <v>11</v>
      </c>
    </row>
    <row r="36" spans="1:46" ht="15" customHeight="1">
      <c r="A36" t="s">
        <v>85</v>
      </c>
      <c r="B36" t="s">
        <v>8</v>
      </c>
      <c r="C36" s="39">
        <v>45987</v>
      </c>
      <c r="D36" s="59" t="s">
        <v>204</v>
      </c>
      <c r="E36" t="s">
        <v>87</v>
      </c>
      <c r="F36" s="47" t="s">
        <v>88</v>
      </c>
      <c r="H36" s="50" t="s">
        <v>205</v>
      </c>
      <c r="I36" s="46" t="s">
        <v>200</v>
      </c>
      <c r="J36" s="38">
        <f>IF(SUM(W36:BH36)=0,"-",SUM(Y36:BH36))</f>
        <v>2</v>
      </c>
      <c r="K36" s="53">
        <f>IF(SUMPRODUCT($Y$3:$BK$3,Y36:BK36)=0,"-",SUMPRODUCT($Y$3:$BK$3,Y36:BK36))</f>
        <v>70</v>
      </c>
      <c r="L36" s="54" t="s">
        <v>201</v>
      </c>
      <c r="M36" s="52" t="s">
        <v>202</v>
      </c>
      <c r="N36" s="52" t="s">
        <v>175</v>
      </c>
      <c r="O36" s="52" t="s">
        <v>203</v>
      </c>
      <c r="P36" s="40" t="s">
        <v>192</v>
      </c>
      <c r="Z36" s="38">
        <v>2</v>
      </c>
    </row>
    <row r="37" spans="1:46" ht="15" customHeight="1">
      <c r="A37" t="s">
        <v>85</v>
      </c>
      <c r="B37" t="s">
        <v>6</v>
      </c>
      <c r="C37" s="39">
        <v>45999</v>
      </c>
      <c r="D37" s="48" t="s">
        <v>206</v>
      </c>
      <c r="E37" t="s">
        <v>87</v>
      </c>
      <c r="F37" s="47" t="s">
        <v>88</v>
      </c>
      <c r="H37" s="50" t="s">
        <v>207</v>
      </c>
      <c r="I37" s="46" t="s">
        <v>200</v>
      </c>
      <c r="J37" s="38">
        <f>IF(SUM(W37:BH37)=0,"-",SUM(Y37:BH37))</f>
        <v>6</v>
      </c>
      <c r="K37" s="53">
        <f>IF(SUMPRODUCT($Y$3:$BK$3,Y37:BK37)=0,"-",SUMPRODUCT($Y$3:$BK$3,Y37:BK37))</f>
        <v>585</v>
      </c>
      <c r="L37" s="54" t="s">
        <v>201</v>
      </c>
      <c r="M37" s="52" t="s">
        <v>202</v>
      </c>
      <c r="N37" s="52" t="s">
        <v>175</v>
      </c>
      <c r="O37" s="52" t="s">
        <v>203</v>
      </c>
      <c r="P37" s="40" t="s">
        <v>192</v>
      </c>
      <c r="AG37" s="37">
        <v>3</v>
      </c>
      <c r="AH37" s="38">
        <v>3</v>
      </c>
    </row>
    <row r="38" spans="1:46" ht="15" customHeight="1">
      <c r="A38" t="s">
        <v>85</v>
      </c>
      <c r="B38" t="s">
        <v>9</v>
      </c>
      <c r="C38" s="39">
        <v>46007</v>
      </c>
      <c r="D38" s="58" t="s">
        <v>208</v>
      </c>
      <c r="E38" t="s">
        <v>87</v>
      </c>
      <c r="F38" s="47" t="s">
        <v>88</v>
      </c>
      <c r="H38" s="50" t="s">
        <v>209</v>
      </c>
      <c r="I38" s="46" t="s">
        <v>200</v>
      </c>
      <c r="J38" s="38">
        <f>IF(SUM(W38:BH38)=0,"-",SUM(Y38:BH38))</f>
        <v>4</v>
      </c>
      <c r="K38" s="53">
        <f>IF(SUMPRODUCT($Y$3:$BK$3,Y38:BK38)=0,"-",SUMPRODUCT($Y$3:$BK$3,Y38:BK38))</f>
        <v>180</v>
      </c>
      <c r="L38" s="54" t="s">
        <v>201</v>
      </c>
      <c r="M38" s="52" t="s">
        <v>202</v>
      </c>
      <c r="N38" s="52" t="s">
        <v>175</v>
      </c>
      <c r="O38" s="52" t="s">
        <v>203</v>
      </c>
      <c r="P38" s="40" t="s">
        <v>192</v>
      </c>
      <c r="AH38" s="38">
        <v>4</v>
      </c>
    </row>
    <row r="39" spans="1:46" ht="15" customHeight="1">
      <c r="A39" t="s">
        <v>85</v>
      </c>
      <c r="B39" t="s">
        <v>6</v>
      </c>
      <c r="C39" s="39">
        <v>45847</v>
      </c>
      <c r="D39" s="48" t="s">
        <v>210</v>
      </c>
      <c r="E39" s="49" t="s">
        <v>107</v>
      </c>
      <c r="F39" s="47" t="s">
        <v>88</v>
      </c>
      <c r="H39" s="50" t="s">
        <v>211</v>
      </c>
      <c r="I39" s="46"/>
      <c r="J39" s="38">
        <v>1</v>
      </c>
      <c r="K39" s="55">
        <v>200</v>
      </c>
      <c r="L39" s="57" t="s">
        <v>212</v>
      </c>
      <c r="M39" s="56" t="s">
        <v>91</v>
      </c>
      <c r="N39" s="56"/>
      <c r="O39" s="56"/>
      <c r="P39" s="56"/>
      <c r="Q39" s="35" t="str">
        <f>IF(SUM(Y39:AR39)+SUM(AZ39:BA39)+SUM(BB39:BE39)&gt;0,"X","")</f>
        <v/>
      </c>
      <c r="R39" s="36" t="str">
        <f>IF(SUM(AS39:AY39)&gt;0,"X","")</f>
        <v/>
      </c>
      <c r="S39" s="36" t="str">
        <f>IF(SUM(BF39:BG39)&gt;0,"X","")</f>
        <v/>
      </c>
      <c r="T39" s="36"/>
      <c r="U39" s="36"/>
      <c r="V39" s="36"/>
      <c r="W39" s="36"/>
      <c r="X39" s="36"/>
    </row>
    <row r="40" spans="1:46" ht="15" customHeight="1">
      <c r="A40" t="s">
        <v>85</v>
      </c>
      <c r="B40" t="s">
        <v>6</v>
      </c>
      <c r="C40" s="39">
        <v>45887</v>
      </c>
      <c r="D40" s="48" t="s">
        <v>213</v>
      </c>
      <c r="E40" s="49" t="s">
        <v>107</v>
      </c>
      <c r="F40" s="47" t="s">
        <v>88</v>
      </c>
      <c r="H40" s="50" t="s">
        <v>214</v>
      </c>
      <c r="I40" s="46"/>
      <c r="J40" s="38">
        <f>IF(SUM(W40:BH40)=0,"-",SUM(Y40:BH40))</f>
        <v>26</v>
      </c>
      <c r="K40" s="55">
        <f>IF(SUMPRODUCT($Y$3:$BK$3,Y40:BK40)=0,"-",SUMPRODUCT($Y$3:$BK$3,Y40:BK40))</f>
        <v>1735</v>
      </c>
      <c r="L40" s="57" t="s">
        <v>212</v>
      </c>
      <c r="M40" s="56" t="s">
        <v>91</v>
      </c>
      <c r="N40" s="56"/>
      <c r="O40" s="56"/>
      <c r="P40" s="56"/>
      <c r="Z40" s="38">
        <v>11</v>
      </c>
      <c r="AS40" s="37">
        <v>15</v>
      </c>
    </row>
    <row r="41" spans="1:46" ht="15" customHeight="1">
      <c r="A41" t="s">
        <v>85</v>
      </c>
      <c r="B41" t="s">
        <v>6</v>
      </c>
      <c r="C41" s="39">
        <v>46048</v>
      </c>
      <c r="D41" s="48" t="s">
        <v>215</v>
      </c>
      <c r="E41" t="s">
        <v>216</v>
      </c>
      <c r="F41" s="47" t="s">
        <v>88</v>
      </c>
      <c r="H41" s="50" t="s">
        <v>217</v>
      </c>
      <c r="I41" s="46" t="s">
        <v>218</v>
      </c>
      <c r="J41" s="38">
        <f>IF(SUM(W41:BH41)=0,"-",SUM(Y41:BH41))</f>
        <v>16</v>
      </c>
      <c r="K41" s="53">
        <f>IF(SUMPRODUCT($Y$3:$BK$3,Y41:BK41)=0,"-",SUMPRODUCT($Y$3:$BK$3,Y41:BK41))</f>
        <v>690</v>
      </c>
      <c r="L41" s="54" t="s">
        <v>219</v>
      </c>
      <c r="M41" s="67" t="s">
        <v>220</v>
      </c>
      <c r="N41" s="52" t="s">
        <v>175</v>
      </c>
      <c r="O41" s="52" t="s">
        <v>221</v>
      </c>
      <c r="P41" s="40" t="s">
        <v>222</v>
      </c>
      <c r="Y41" s="61"/>
      <c r="Z41" s="62"/>
      <c r="AG41" s="61"/>
      <c r="AH41" s="62"/>
      <c r="AN41" s="37">
        <v>15</v>
      </c>
      <c r="AT41" s="38">
        <v>1</v>
      </c>
    </row>
    <row r="42" spans="1:46" ht="15" customHeight="1">
      <c r="A42" t="s">
        <v>85</v>
      </c>
      <c r="B42" t="s">
        <v>6</v>
      </c>
      <c r="C42" s="39">
        <v>46051</v>
      </c>
      <c r="D42" s="48" t="s">
        <v>223</v>
      </c>
      <c r="E42" t="s">
        <v>87</v>
      </c>
      <c r="F42" t="s">
        <v>224</v>
      </c>
      <c r="H42" s="50" t="s">
        <v>225</v>
      </c>
      <c r="J42" s="38">
        <f>IF(SUM(W42:BH42)=0,"-",SUM(Y42:BH42))</f>
        <v>15</v>
      </c>
      <c r="K42" s="66">
        <f>IF(SUMPRODUCT($Y$3:$BK$3,Y42:BK42)=0,"-",SUMPRODUCT($Y$3:$BK$3,Y42:BK42))</f>
        <v>675</v>
      </c>
      <c r="M42" s="40" t="s">
        <v>91</v>
      </c>
      <c r="AH42" s="38">
        <v>15</v>
      </c>
    </row>
    <row r="43" spans="1:46" ht="15" customHeight="1">
      <c r="A43" t="s">
        <v>85</v>
      </c>
      <c r="B43" t="s">
        <v>7</v>
      </c>
      <c r="C43" s="39">
        <v>46059</v>
      </c>
      <c r="D43" s="48" t="s">
        <v>226</v>
      </c>
      <c r="E43" t="s">
        <v>128</v>
      </c>
      <c r="F43" s="47" t="s">
        <v>88</v>
      </c>
      <c r="H43" s="50" t="s">
        <v>227</v>
      </c>
      <c r="I43" s="46" t="s">
        <v>228</v>
      </c>
      <c r="J43" s="38">
        <v>1</v>
      </c>
      <c r="K43" s="53">
        <f>IF(SUMPRODUCT($Y$3:$BK$3,Y43:BK43)=0,"-",SUMPRODUCT($Y$3:$BK$3,Y43:BK43))</f>
        <v>90</v>
      </c>
      <c r="L43" s="54" t="s">
        <v>229</v>
      </c>
      <c r="M43" s="67" t="s">
        <v>230</v>
      </c>
      <c r="N43" s="52" t="s">
        <v>175</v>
      </c>
      <c r="O43" s="52" t="s">
        <v>231</v>
      </c>
      <c r="P43" s="40" t="s">
        <v>232</v>
      </c>
      <c r="Z43" s="38">
        <v>1</v>
      </c>
      <c r="AB43" s="38">
        <v>1</v>
      </c>
    </row>
    <row r="44" spans="1:46" ht="15" customHeight="1">
      <c r="A44" t="s">
        <v>85</v>
      </c>
      <c r="B44" t="s">
        <v>8</v>
      </c>
      <c r="C44" s="39">
        <v>46077</v>
      </c>
      <c r="D44" s="48" t="s">
        <v>233</v>
      </c>
      <c r="E44" t="s">
        <v>234</v>
      </c>
      <c r="F44" s="47" t="s">
        <v>88</v>
      </c>
      <c r="H44" s="46" t="s">
        <v>235</v>
      </c>
      <c r="I44" s="46" t="s">
        <v>235</v>
      </c>
      <c r="J44" s="38">
        <v>1</v>
      </c>
      <c r="K44" s="68">
        <v>300</v>
      </c>
      <c r="L44" s="46" t="s">
        <v>236</v>
      </c>
      <c r="M44" s="97" t="s">
        <v>237</v>
      </c>
    </row>
    <row r="45" spans="1:46" ht="15" customHeight="1">
      <c r="A45" t="s">
        <v>85</v>
      </c>
      <c r="B45" t="s">
        <v>8</v>
      </c>
      <c r="C45" s="39">
        <v>46099</v>
      </c>
      <c r="D45" s="48" t="s">
        <v>178</v>
      </c>
      <c r="E45" t="s">
        <v>179</v>
      </c>
      <c r="F45" s="47" t="s">
        <v>88</v>
      </c>
      <c r="H45" s="46" t="s">
        <v>238</v>
      </c>
      <c r="J45" s="38">
        <v>1</v>
      </c>
      <c r="K45" s="68">
        <v>760</v>
      </c>
      <c r="L45" s="46" t="s">
        <v>239</v>
      </c>
      <c r="M45" s="98" t="s">
        <v>240</v>
      </c>
    </row>
  </sheetData>
  <autoFilter ref="A3:BE43" xr:uid="{EF6D707C-BDD5-416B-AAF3-2924671B11B3}">
    <sortState xmlns:xlrd2="http://schemas.microsoft.com/office/spreadsheetml/2017/richdata2" ref="A4:BE43">
      <sortCondition ref="O3:O43"/>
    </sortState>
  </autoFilter>
  <mergeCells count="8">
    <mergeCell ref="BG1:BH1"/>
    <mergeCell ref="A2:D2"/>
    <mergeCell ref="Y1:AF1"/>
    <mergeCell ref="AG1:AM1"/>
    <mergeCell ref="AO1:AR1"/>
    <mergeCell ref="AS1:AZ1"/>
    <mergeCell ref="BA1:BB1"/>
    <mergeCell ref="BC1:BF1"/>
  </mergeCells>
  <hyperlinks>
    <hyperlink ref="H4" r:id="rId1" xr:uid="{16CAE888-C877-4DD6-880C-0F7444282454}"/>
    <hyperlink ref="H6" r:id="rId2" xr:uid="{B7ADE01C-A226-4595-AA7A-A7D12062544F}"/>
    <hyperlink ref="H5" r:id="rId3" xr:uid="{0ED633CE-C8C2-40F6-BFA5-FE52CFC99B44}"/>
    <hyperlink ref="H7" r:id="rId4" xr:uid="{DC827350-3574-459B-A7C3-242E7D248962}"/>
    <hyperlink ref="H8" r:id="rId5" xr:uid="{2EE26E6B-9C3B-4A59-8DC2-71F5B398FD6B}"/>
    <hyperlink ref="H9" r:id="rId6" xr:uid="{8B91F2D6-0351-416B-8CB5-C25F86293DFE}"/>
    <hyperlink ref="H21" r:id="rId7" xr:uid="{94BCCCA6-090C-4203-88A7-C1DFAF1E3A43}"/>
    <hyperlink ref="H10" r:id="rId8" xr:uid="{533FB12A-8786-4E9D-A1CD-1C3C27EE4109}"/>
    <hyperlink ref="H11" r:id="rId9" xr:uid="{F8D98C9B-1385-4F27-ADE6-BC20D4020A31}"/>
    <hyperlink ref="H12" r:id="rId10" xr:uid="{38F2010E-54C2-45FB-B970-38418CCA5438}"/>
    <hyperlink ref="H22" r:id="rId11" xr:uid="{1D91E041-FF72-44CF-94EF-E7782CE65220}"/>
    <hyperlink ref="H20" r:id="rId12" xr:uid="{BF4C23BB-C527-41AB-9F47-826E97D937CD}"/>
    <hyperlink ref="H23" r:id="rId13" xr:uid="{BB10933A-B8AA-4DBC-9A5C-464CD06AD811}"/>
    <hyperlink ref="H14" r:id="rId14" xr:uid="{0EEBDDCA-7AEF-4E4F-94C2-C63301D1231A}"/>
    <hyperlink ref="H15" r:id="rId15" xr:uid="{4958F9C6-43DB-486D-B723-50FEA67D36BC}"/>
    <hyperlink ref="H16" r:id="rId16" xr:uid="{BA9F3BF8-2CFA-4DD0-B07B-276BF340A383}"/>
    <hyperlink ref="L6" r:id="rId17" xr:uid="{2272842A-9D3C-42B4-ACC4-B74B0ACA6E45}"/>
    <hyperlink ref="L7" r:id="rId18" xr:uid="{C8008E4B-A41B-4C7E-B8A0-86187583FCE3}"/>
    <hyperlink ref="L8" r:id="rId19" xr:uid="{B08F1A50-EB0F-4368-BC7C-73A07C4C2773}"/>
    <hyperlink ref="L9" r:id="rId20" xr:uid="{CFD8CF16-0BAA-4F5B-AB30-AE9379BEC089}"/>
    <hyperlink ref="L10" r:id="rId21" xr:uid="{01D3B661-5CA8-4351-97D0-7D10ABA885D2}"/>
    <hyperlink ref="L11" r:id="rId22" xr:uid="{FAF89091-45CC-43D2-A76E-BD2DB32439DB}"/>
    <hyperlink ref="L12" r:id="rId23" xr:uid="{493F455D-4067-4AD3-BAD8-11090E8215C7}"/>
    <hyperlink ref="L13" r:id="rId24" xr:uid="{CCB66F11-32A0-42CB-A78A-50FB91032EDD}"/>
    <hyperlink ref="L14" r:id="rId25" xr:uid="{A7CF1E48-921E-4CB2-BE94-241D87C3FBF6}"/>
    <hyperlink ref="L15" r:id="rId26" xr:uid="{49C45512-5341-44C8-8727-8101F4CF7461}"/>
    <hyperlink ref="L16" r:id="rId27" xr:uid="{9D9B4B05-E515-42AD-9860-EAD11DA8DE91}"/>
    <hyperlink ref="H40" r:id="rId28" xr:uid="{6EBB4F70-58DB-4939-B708-35A1A3418268}"/>
    <hyperlink ref="H39" r:id="rId29" xr:uid="{F5ADE574-378D-4D88-8856-7A041FB3DCA5}"/>
    <hyperlink ref="H18" r:id="rId30" xr:uid="{A0D1B91C-746B-42B6-AB0E-08381AE12D5A}"/>
    <hyperlink ref="H19" r:id="rId31" xr:uid="{DD8951F6-D641-4B68-B4F0-A5E827C6D140}"/>
    <hyperlink ref="H26" r:id="rId32" xr:uid="{DBD9ACD9-5B5A-4B54-B5E0-7D0284C78A49}"/>
    <hyperlink ref="H24" r:id="rId33" xr:uid="{F9A14628-79B1-48A8-9BC3-F45F482FBF3C}"/>
    <hyperlink ref="H28" r:id="rId34" xr:uid="{EF1B5C92-9546-4B90-9299-7DED125FCC54}"/>
    <hyperlink ref="H27" r:id="rId35" xr:uid="{0B9F0654-36FE-4440-ABDA-E0ECF14DB819}"/>
    <hyperlink ref="H17" r:id="rId36" xr:uid="{0137D05C-2771-43E8-B287-F10860310F74}"/>
    <hyperlink ref="L17" r:id="rId37" xr:uid="{8A5F7EAB-5A6A-40F5-816A-81BB1738ADEE}"/>
    <hyperlink ref="L24" r:id="rId38" xr:uid="{061343DC-BBAA-4159-912E-74EB6BF1F33F}"/>
    <hyperlink ref="L25" r:id="rId39" xr:uid="{4228D924-8EE3-4BBF-90E1-083799442A4E}"/>
    <hyperlink ref="L26" r:id="rId40" xr:uid="{C183BD03-BE9D-46F5-A0AB-906300DF405D}"/>
    <hyperlink ref="L27" r:id="rId41" xr:uid="{9CCE75AA-FEA2-44C1-A267-5F9A91CD731C}"/>
    <hyperlink ref="L28" r:id="rId42" xr:uid="{85046F14-265C-4CFC-BE2B-F06A3BB936A3}"/>
    <hyperlink ref="L39" r:id="rId43" xr:uid="{59C8D1E3-CF8F-4D45-81DD-EA97040F1E8B}"/>
    <hyperlink ref="L40" r:id="rId44" xr:uid="{C49A7DA6-0C23-4902-88A6-880AC0E96538}"/>
    <hyperlink ref="H31" r:id="rId45" xr:uid="{7DA1F54D-1B71-452D-A803-B8FE21F5BD43}"/>
    <hyperlink ref="H36" r:id="rId46" xr:uid="{4D75A4A4-65CE-4045-811D-73E715761678}"/>
    <hyperlink ref="H37" r:id="rId47" xr:uid="{402EEE74-B6DF-47B8-93E3-2407AC2F138A}"/>
    <hyperlink ref="H30" r:id="rId48" xr:uid="{69AE01AF-775E-49B8-B360-433E0A3730CD}"/>
    <hyperlink ref="L30" r:id="rId49" xr:uid="{66FD143C-5276-430D-99B9-88EE689F086E}"/>
    <hyperlink ref="H32" r:id="rId50" xr:uid="{55429425-883F-4FAC-9F7D-7E0C43CE6270}"/>
    <hyperlink ref="H29" r:id="rId51" xr:uid="{D17139E6-35CA-4836-8BBE-38650D6DC0BB}"/>
    <hyperlink ref="H33" r:id="rId52" xr:uid="{944D861B-C74E-4311-83B7-9B64A25C10F9}"/>
    <hyperlink ref="H38" r:id="rId53" xr:uid="{A4D5F7CC-5B87-4394-AC30-EB1D62ACF8B2}"/>
    <hyperlink ref="H34" r:id="rId54" xr:uid="{7B5E3E1B-F676-4F05-8FCF-DA77639535B1}"/>
    <hyperlink ref="I30" r:id="rId55" xr:uid="{2517DC73-6233-4745-89C0-7B32CB5D491D}"/>
    <hyperlink ref="L29" r:id="rId56" xr:uid="{2D523EB2-10FF-40F9-B984-D90B93C840CC}"/>
    <hyperlink ref="L35" r:id="rId57" xr:uid="{BF7045C0-CCE6-44AC-8266-241214CE4709}"/>
    <hyperlink ref="L36" r:id="rId58" xr:uid="{16631DC7-9661-4AA3-9E31-B528BCC42F5D}"/>
    <hyperlink ref="L37" r:id="rId59" xr:uid="{A4CA6CE8-4445-4D95-A464-CA8902DCC39F}"/>
    <hyperlink ref="L38" r:id="rId60" xr:uid="{3544035C-E982-4734-96A7-662E06EEC041}"/>
    <hyperlink ref="L31" r:id="rId61" xr:uid="{EBE24819-63D7-4E47-8A82-9F1C51C8063E}"/>
    <hyperlink ref="L32" r:id="rId62" xr:uid="{B43DF0DF-6801-4832-B927-3739118AA2A3}"/>
    <hyperlink ref="L33" r:id="rId63" xr:uid="{C47C6118-7CD2-425E-B128-6CCC7D4E30C7}"/>
    <hyperlink ref="L34" r:id="rId64" xr:uid="{DD444CB5-C500-4B69-9A03-0D66471980A3}"/>
    <hyperlink ref="H41" r:id="rId65" xr:uid="{75F53231-B2DD-4A4E-B86D-FBA5F29BD882}"/>
    <hyperlink ref="H42" r:id="rId66" xr:uid="{09C07A15-4690-41EA-81C0-5A6842B3A447}"/>
    <hyperlink ref="H43" r:id="rId67" xr:uid="{4B9AB0E9-BD4A-4BB1-9EA9-3A6A181DCA9E}"/>
    <hyperlink ref="L43" r:id="rId68" xr:uid="{925A9FA2-E40C-4499-9936-0CD95015BA26}"/>
    <hyperlink ref="L41" r:id="rId69" xr:uid="{A08AD70E-B4BF-4BEB-AD86-E642F6C0CDE2}"/>
    <hyperlink ref="M43" r:id="rId70" xr:uid="{CFE9E9CE-D04A-48FC-9E6D-2AB292FAA6B3}"/>
    <hyperlink ref="M41" r:id="rId71" xr:uid="{99B6EE09-0206-48C2-86C2-DB16B0A57054}"/>
    <hyperlink ref="I35" r:id="rId72" xr:uid="{0BFB5630-EC39-4E70-BC7E-5EE7D36A3786}"/>
    <hyperlink ref="I36" r:id="rId73" xr:uid="{A6507B35-BC0E-4AB0-8FC6-4ADBABF9022E}"/>
    <hyperlink ref="I37" r:id="rId74" xr:uid="{5C2A60D9-D080-4C81-9160-CF63F3EEB1C6}"/>
    <hyperlink ref="I38" r:id="rId75" xr:uid="{0DB2AE6B-CF4B-45CA-89A8-8A56713738D0}"/>
    <hyperlink ref="I31" r:id="rId76" xr:uid="{394B2FC7-623A-4634-B5EF-1A3EEB1EDA30}"/>
    <hyperlink ref="I32" r:id="rId77" xr:uid="{8B0C13F8-A94A-44BE-96F7-8702C3A5E8D8}"/>
    <hyperlink ref="I33" r:id="rId78" xr:uid="{E49A617A-724D-44F1-9483-6F225F51DB32}"/>
    <hyperlink ref="I34" r:id="rId79" xr:uid="{66CBC203-078B-4E54-9551-75D5638B17B2}"/>
    <hyperlink ref="I41" r:id="rId80" xr:uid="{C73FA58E-8C5F-4171-B1F9-EA47FA6554E9}"/>
    <hyperlink ref="I43" r:id="rId81" xr:uid="{FB1AB20B-D533-4958-B3D3-1ADA4FBF62AC}"/>
    <hyperlink ref="L44" r:id="rId82" xr:uid="{787F0B05-C2F2-4689-9419-8A0BA3788C76}"/>
    <hyperlink ref="H45" r:id="rId83" xr:uid="{F6805E51-7C7C-48FD-AB9F-071711D6D876}"/>
    <hyperlink ref="L45" r:id="rId84" xr:uid="{94DEA758-DA7F-4220-9AF9-3A22BE9D5CBE}"/>
    <hyperlink ref="M44" r:id="rId85" xr:uid="{B7D602E7-3B24-4B39-B2F1-8F48B2292B43}"/>
    <hyperlink ref="H44" r:id="rId86" xr:uid="{A2FD8516-0254-4F05-B2C8-37F8DAA8AFD5}"/>
    <hyperlink ref="I44" r:id="rId87" xr:uid="{AE01C8E1-0632-4BAB-80A9-B04EA791CBF8}"/>
  </hyperlink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40d6de-b9d7-4dce-9245-1815f7687e0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786CF7E0E648408FB1BA27B39C9C81" ma:contentTypeVersion="18" ma:contentTypeDescription="Create a new document." ma:contentTypeScope="" ma:versionID="d78ded4f82e9c75af46bc862b812d5e7">
  <xsd:schema xmlns:xsd="http://www.w3.org/2001/XMLSchema" xmlns:xs="http://www.w3.org/2001/XMLSchema" xmlns:p="http://schemas.microsoft.com/office/2006/metadata/properties" xmlns:ns3="2f40d6de-b9d7-4dce-9245-1815f7687e00" xmlns:ns4="28e1ba78-9d07-4228-838d-722b4e992ce6" targetNamespace="http://schemas.microsoft.com/office/2006/metadata/properties" ma:root="true" ma:fieldsID="74d8978ab940486f9ea72b9b3b4b9ccf" ns3:_="" ns4:_="">
    <xsd:import namespace="2f40d6de-b9d7-4dce-9245-1815f7687e00"/>
    <xsd:import namespace="28e1ba78-9d07-4228-838d-722b4e992c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d6de-b9d7-4dce-9245-1815f7687e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1ba78-9d07-4228-838d-722b4e992ce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7D63D4-4ECF-4760-B9ED-D71640C20D3E}"/>
</file>

<file path=customXml/itemProps2.xml><?xml version="1.0" encoding="utf-8"?>
<ds:datastoreItem xmlns:ds="http://schemas.openxmlformats.org/officeDocument/2006/customXml" ds:itemID="{A64DA479-5621-4A40-AD44-B53082045826}"/>
</file>

<file path=customXml/itemProps3.xml><?xml version="1.0" encoding="utf-8"?>
<ds:datastoreItem xmlns:ds="http://schemas.openxmlformats.org/officeDocument/2006/customXml" ds:itemID="{BA125161-5DB1-41F9-A6FA-B6239F2056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Emmanuel Gomez</dc:creator>
  <cp:keywords/>
  <dc:description/>
  <cp:lastModifiedBy>Ameena Gorton</cp:lastModifiedBy>
  <cp:revision/>
  <dcterms:created xsi:type="dcterms:W3CDTF">2025-05-30T09:17:06Z</dcterms:created>
  <dcterms:modified xsi:type="dcterms:W3CDTF">2026-03-26T12:37:55Z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0x01010048786CF7E0E648408FB1BA27B39C9C81</vt:lpwstr>
  </property>
</Properties>
</file>