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ssaTh\Downloads\"/>
    </mc:Choice>
  </mc:AlternateContent>
  <xr:revisionPtr revIDLastSave="2533" documentId="13_ncr:1_{DAE372C7-6B1E-4E70-95F9-4E909ABCECB0}" xr6:coauthVersionLast="47" xr6:coauthVersionMax="47" xr10:uidLastSave="{01DB1A2C-9D36-43F0-83C1-457B11D73E55}"/>
  <bookViews>
    <workbookView xWindow="28680" yWindow="-120" windowWidth="29040" windowHeight="15840" firstSheet="2" activeTab="2" xr2:uid="{527DF874-B38F-4222-8A80-3894DDAA6752}"/>
  </bookViews>
  <sheets>
    <sheet name="Overview" sheetId="14" state="hidden" r:id="rId1"/>
    <sheet name="TikTok SMB - Content" sheetId="12" state="hidden" r:id="rId2"/>
    <sheet name="Lamarck" sheetId="13" r:id="rId3"/>
  </sheets>
  <definedNames>
    <definedName name="_xlnm._FilterDatabase" localSheetId="2" hidden="1">Lamarck!$A$5:$BC$55</definedName>
    <definedName name="_xlnm._FilterDatabase" localSheetId="1" hidden="1">'TikTok SMB - Content'!$A$3:$M$3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4" l="1"/>
  <c r="B11" i="14" s="1"/>
  <c r="C10" i="14"/>
  <c r="C11" i="14" s="1"/>
  <c r="D10" i="14"/>
  <c r="D11" i="14" s="1"/>
  <c r="E10" i="14"/>
  <c r="E11" i="14" s="1"/>
  <c r="F10" i="14"/>
  <c r="F11" i="14" s="1"/>
  <c r="G10" i="14"/>
  <c r="G11" i="14" s="1"/>
  <c r="H10" i="14"/>
  <c r="H11" i="14" s="1"/>
  <c r="I10" i="14"/>
  <c r="I11" i="14" s="1"/>
  <c r="B5" i="14"/>
  <c r="B6" i="14" s="1"/>
  <c r="C5" i="14"/>
  <c r="C6" i="14" s="1"/>
  <c r="D5" i="14"/>
  <c r="D6" i="14" s="1"/>
  <c r="H5" i="14"/>
  <c r="H6" i="14" s="1"/>
  <c r="I5" i="14"/>
  <c r="I6" i="14" s="1"/>
  <c r="J19" i="13"/>
  <c r="K19" i="13"/>
  <c r="K13" i="13"/>
  <c r="J13" i="13"/>
  <c r="K18" i="13"/>
  <c r="L20" i="13" s="1"/>
  <c r="J18" i="13"/>
  <c r="K16" i="13"/>
  <c r="J16" i="13"/>
  <c r="K15" i="13"/>
  <c r="L17" i="13" s="1"/>
  <c r="J15" i="13"/>
  <c r="K23" i="13"/>
  <c r="J23" i="13"/>
  <c r="K8" i="13"/>
  <c r="J8" i="13"/>
  <c r="K12" i="13"/>
  <c r="J12" i="13"/>
  <c r="K7" i="13"/>
  <c r="G5" i="14" s="1"/>
  <c r="G6" i="14" s="1"/>
  <c r="J7" i="13"/>
  <c r="K22" i="13"/>
  <c r="J22" i="13"/>
  <c r="K11" i="13"/>
  <c r="L14" i="13" s="1"/>
  <c r="J11" i="13"/>
  <c r="K21" i="13"/>
  <c r="L25" i="13" s="1"/>
  <c r="J21" i="13"/>
  <c r="K6" i="13"/>
  <c r="J6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K2" i="13"/>
  <c r="J2" i="13"/>
  <c r="BC1" i="13"/>
  <c r="BB1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K1" i="13"/>
  <c r="I5" i="12"/>
  <c r="I6" i="12"/>
  <c r="I7" i="12"/>
  <c r="I4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C15" i="14" l="1"/>
  <c r="B15" i="14"/>
  <c r="L10" i="13"/>
  <c r="E5" i="14"/>
  <c r="E6" i="14" s="1"/>
  <c r="B14" i="14" s="1"/>
  <c r="B16" i="14" s="1"/>
  <c r="F5" i="14"/>
  <c r="F6" i="14" s="1"/>
  <c r="C14" i="14" s="1"/>
  <c r="C16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tc={24515A4F-07BA-4F66-B595-C213B9229AB1}</author>
  </authors>
  <commentList>
    <comment ref="K50" authorId="0" shapeId="0" xr:uid="{24515A4F-07BA-4F66-B595-C213B9229AB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le message reçu de Megan le 26/08/2025</t>
      </text>
    </comment>
  </commentList>
</comments>
</file>

<file path=xl/sharedStrings.xml><?xml version="1.0" encoding="utf-8"?>
<sst xmlns="http://schemas.openxmlformats.org/spreadsheetml/2006/main" count="296" uniqueCount="145">
  <si>
    <t>Performance Dashboard — Lamarck</t>
  </si>
  <si>
    <t>REVENUS (€)</t>
  </si>
  <si>
    <t>Q1</t>
  </si>
  <si>
    <t>Q2</t>
  </si>
  <si>
    <t>Q3</t>
  </si>
  <si>
    <t>Q4</t>
  </si>
  <si>
    <t>Lamarck</t>
  </si>
  <si>
    <t>TOTAL</t>
  </si>
  <si>
    <t>NOMBRE DE PROJETS</t>
  </si>
  <si>
    <t>SYNTHÈSE ANNUELLE</t>
  </si>
  <si>
    <t>Revenus (€)</t>
  </si>
  <si>
    <t>Projets</t>
  </si>
  <si>
    <t>Rev. / Projet (€)</t>
  </si>
  <si>
    <t>Price File</t>
  </si>
  <si>
    <t>Project</t>
  </si>
  <si>
    <t>Details</t>
  </si>
  <si>
    <t>Customer</t>
  </si>
  <si>
    <t>Division</t>
  </si>
  <si>
    <t>Date</t>
  </si>
  <si>
    <t>Type of content</t>
  </si>
  <si>
    <t>Time spent for first upload (minutes)</t>
  </si>
  <si>
    <t>Time spent on adjustments (minutes)</t>
  </si>
  <si>
    <t>Description</t>
  </si>
  <si>
    <t>Assets</t>
  </si>
  <si>
    <t>Total Time (hours)</t>
  </si>
  <si>
    <t>Last update</t>
  </si>
  <si>
    <t>PO</t>
  </si>
  <si>
    <t>Total</t>
  </si>
  <si>
    <t>ByteDance</t>
  </si>
  <si>
    <t>TikTok</t>
  </si>
  <si>
    <t>-</t>
  </si>
  <si>
    <t>Case Study (text, images, seo, etc)</t>
  </si>
  <si>
    <t>10 (Altair, Biolla, Reciclos, Thank you Lab, Elverys, Legend, Mous, Handshake, Party World, Penguin)</t>
  </si>
  <si>
    <t>18/07/2023</t>
  </si>
  <si>
    <t>Blog (text, images, seo, etc)</t>
  </si>
  <si>
    <t>2 (Newbies)</t>
  </si>
  <si>
    <t>Translation (text, images, seo, etc)</t>
  </si>
  <si>
    <t>32 = 4 blogs x 8 languages (1 pending)</t>
  </si>
  <si>
    <t>Splash (+ url creation and integration) / language</t>
  </si>
  <si>
    <t>32 = 4 x 8 languages (1 pending)</t>
  </si>
  <si>
    <t>Online</t>
  </si>
  <si>
    <t>Offline</t>
  </si>
  <si>
    <t>Presentations</t>
  </si>
  <si>
    <t>Web</t>
  </si>
  <si>
    <t>Videos</t>
  </si>
  <si>
    <t>Virtualization</t>
  </si>
  <si>
    <t>Copy</t>
  </si>
  <si>
    <t>mylene.pellet@lamarck.fr</t>
  </si>
  <si>
    <r>
      <rPr>
        <b/>
        <sz val="11"/>
        <color rgb="FFFFFFFF"/>
        <rFont val="Calibri"/>
        <scheme val="minor"/>
      </rPr>
      <t xml:space="preserve">Page catalogue </t>
    </r>
    <r>
      <rPr>
        <i/>
        <sz val="11"/>
        <color rgb="FFFFFFFF"/>
        <rFont val="Calibri"/>
        <scheme val="minor"/>
      </rPr>
      <t>(design)</t>
    </r>
  </si>
  <si>
    <r>
      <rPr>
        <b/>
        <sz val="11"/>
        <color rgb="FFFFFFFF"/>
        <rFont val="Calibri"/>
        <scheme val="minor"/>
      </rPr>
      <t>Encodage</t>
    </r>
    <r>
      <rPr>
        <i/>
        <sz val="11"/>
        <color rgb="FFFFFFFF"/>
        <rFont val="Calibri"/>
        <scheme val="minor"/>
      </rPr>
      <t xml:space="preserve"> 
(par projet)</t>
    </r>
  </si>
  <si>
    <r>
      <rPr>
        <b/>
        <sz val="11"/>
        <color rgb="FFFFFFFF"/>
        <rFont val="Calibri"/>
        <scheme val="minor"/>
      </rPr>
      <t xml:space="preserve">Montage 
</t>
    </r>
    <r>
      <rPr>
        <i/>
        <sz val="11"/>
        <color rgb="FFFFFFFF"/>
        <rFont val="Calibri"/>
        <scheme val="minor"/>
      </rPr>
      <t>(par page)</t>
    </r>
  </si>
  <si>
    <r>
      <rPr>
        <b/>
        <sz val="11"/>
        <color rgb="FFFFFFFF"/>
        <rFont val="Calibri"/>
        <scheme val="minor"/>
      </rPr>
      <t xml:space="preserve">Version adhérents
</t>
    </r>
    <r>
      <rPr>
        <i/>
        <sz val="11"/>
        <color rgb="FFFFFFFF"/>
        <rFont val="Calibri"/>
        <scheme val="minor"/>
      </rPr>
      <t xml:space="preserve"> (par version)</t>
    </r>
  </si>
  <si>
    <r>
      <rPr>
        <b/>
        <sz val="11"/>
        <color rgb="FFFFFFFF"/>
        <rFont val="Calibri"/>
        <scheme val="minor"/>
      </rPr>
      <t xml:space="preserve">Emailing </t>
    </r>
    <r>
      <rPr>
        <i/>
        <sz val="11"/>
        <color rgb="FFFFFFFF"/>
        <rFont val="Calibri"/>
        <scheme val="minor"/>
      </rPr>
      <t>(template)</t>
    </r>
  </si>
  <si>
    <r>
      <rPr>
        <b/>
        <sz val="11"/>
        <color rgb="FFFFFFFF"/>
        <rFont val="Calibri"/>
        <scheme val="minor"/>
      </rPr>
      <t xml:space="preserve">Emailing </t>
    </r>
    <r>
      <rPr>
        <i/>
        <sz val="11"/>
        <color rgb="FFFFFFFF"/>
        <rFont val="Calibri"/>
        <scheme val="minor"/>
      </rPr>
      <t>(par adhérent)</t>
    </r>
  </si>
  <si>
    <r>
      <rPr>
        <b/>
        <sz val="11"/>
        <color rgb="FFFFFFFF"/>
        <rFont val="Calibri"/>
        <scheme val="minor"/>
      </rPr>
      <t xml:space="preserve">Banner creation </t>
    </r>
    <r>
      <rPr>
        <i/>
        <sz val="11"/>
        <color rgb="FFFFFFFF"/>
        <rFont val="Calibri"/>
        <scheme val="minor"/>
      </rPr>
      <t>(animated)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</si>
  <si>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</si>
  <si>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</si>
  <si>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</si>
  <si>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</si>
  <si>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Buttons</t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</si>
  <si>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</si>
  <si>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</si>
  <si>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</si>
  <si>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</si>
  <si>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</si>
  <si>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</si>
  <si>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</si>
  <si>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</si>
  <si>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</si>
  <si>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</si>
  <si>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</si>
  <si>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</si>
  <si>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</si>
  <si>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</si>
  <si>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</si>
  <si>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Video Edition</t>
  </si>
  <si>
    <t>Video Subtitles / Adaptations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</si>
  <si>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</si>
  <si>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</si>
  <si>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r>
      <rPr>
        <b/>
        <sz val="11"/>
        <color rgb="FFFFFFFF"/>
        <rFont val="Calibri"/>
      </rPr>
      <t xml:space="preserve">Promotional Video
</t>
    </r>
    <r>
      <rPr>
        <i/>
        <sz val="11"/>
        <color rgb="FFFFFFFF"/>
        <rFont val="Calibri"/>
      </rPr>
      <t>(up to 1 min)</t>
    </r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</si>
  <si>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</si>
  <si>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</si>
  <si>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</si>
  <si>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</si>
  <si>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</si>
  <si>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rPr>
        <b/>
        <sz val="11"/>
        <color rgb="FFFFFFFF"/>
        <rFont val="Calibri"/>
        <scheme val="minor"/>
      </rPr>
      <t xml:space="preserve">Transcription </t>
    </r>
    <r>
      <rPr>
        <i/>
        <sz val="11"/>
        <color rgb="FFFFFFFF"/>
        <rFont val="Calibri"/>
        <scheme val="minor"/>
      </rPr>
      <t>(per word)</t>
    </r>
  </si>
  <si>
    <t xml:space="preserve">Region  </t>
  </si>
  <si>
    <t>Client</t>
  </si>
  <si>
    <t>Contact</t>
  </si>
  <si>
    <t>Status</t>
  </si>
  <si>
    <t>Link</t>
  </si>
  <si>
    <t>Total Value</t>
  </si>
  <si>
    <t>Project total</t>
  </si>
  <si>
    <t>Quote</t>
  </si>
  <si>
    <t>Invoice</t>
  </si>
  <si>
    <t>n° Invoice</t>
  </si>
  <si>
    <t>Statut</t>
  </si>
  <si>
    <t>France</t>
  </si>
  <si>
    <t>ROM</t>
  </si>
  <si>
    <t>Italie</t>
  </si>
  <si>
    <t>Viva Italia - Maquette</t>
  </si>
  <si>
    <t>Mylène Pellet</t>
  </si>
  <si>
    <t>Delivered</t>
  </si>
  <si>
    <t>https://saranistudio.sharepoint.com/:f:/r/sites/SaraniAssets/Shared%20Documents/03.%20Customers/21.Lamarck/20251208%20Catalogue%20Italie?csf=1&amp;web=1&amp;e=1mhtMZ</t>
  </si>
  <si>
    <t>Sent</t>
  </si>
  <si>
    <t>F2025-0816</t>
  </si>
  <si>
    <t>Paid 02/01/2026</t>
  </si>
  <si>
    <t>88 pages - Restauration italienne Montage + Encodage</t>
  </si>
  <si>
    <t>https://saranistudio.sharepoint.com/:f:/s/SaraniAssets/IgDb_8Yn6xANRZRPk0epcd-LARAJv9xEQPQqp38tt4PiGZA?e=ADeeO8</t>
  </si>
  <si>
    <t>Catalogue adhérents ITALIE</t>
  </si>
  <si>
    <t>In Progress</t>
  </si>
  <si>
    <t xml:space="preserve">Intégration 196 QR codes </t>
  </si>
  <si>
    <t>PN Mars Avril</t>
  </si>
  <si>
    <t>20 pages - Catalogue Promo Nomade- Montage</t>
  </si>
  <si>
    <t>https://saranistudio.sharepoint.com/:f:/s/SaraniAssets/IgAIC_LmDqVJSLrQjN5zu6YZASMgJqX8kZQ9zbzd_RobigY?e=telrOp</t>
  </si>
  <si>
    <t>Sent by email to Mylène</t>
  </si>
  <si>
    <t>F2026-0114</t>
  </si>
  <si>
    <t>Waiting payment for 15/05/2026</t>
  </si>
  <si>
    <t>Catalogue Promo Nomade- Déroulage Adhérent</t>
  </si>
  <si>
    <t>https://saranistudio.sharepoint.com/:f:/s/SaraniAssets/IgAIC_LmDqVJSLrQjN5zu6YZASMgJqX8kZQ9zbzd_RobigY?e=MiqLly</t>
  </si>
  <si>
    <t xml:space="preserve">Encodage du Promo Nomade </t>
  </si>
  <si>
    <t>RCA</t>
  </si>
  <si>
    <t>120 pages - Catalogue A VOS CARTES Montage + Encodage</t>
  </si>
  <si>
    <t>https://saranistudio.sharepoint.com/:f:/s/SaraniAssets/IgCf0BgHWhSMQr2AjpXHM1NpAZly4017ZIhb6bHTmLG4foM?e=qjjVHB</t>
  </si>
  <si>
    <t>Catalogue A VOS CARTES Maquette</t>
  </si>
  <si>
    <t>https://saranistudio.sharepoint.com/:f:/s/SaraniAssets/IgCdd4pVvmBrRp4Yz0cT5KJjASRpo4MX9gzK-inYjBEt30s?e=mnuotC</t>
  </si>
  <si>
    <t>F2026-0098</t>
  </si>
  <si>
    <t>Waiting payment 04/04/2026</t>
  </si>
  <si>
    <t>PN Mai</t>
  </si>
  <si>
    <t>Catalogue Promo Nomade - Mai</t>
  </si>
  <si>
    <t>https://saranistudio.sharepoint.com/:f:/s/SaraniAssets/IgAzD4s8SINmRouDWm3otpVhAaMNxOBOEaOs_oJjdJQ911s?e=UxVah1</t>
  </si>
  <si>
    <t>estimation</t>
  </si>
  <si>
    <t>Street Life</t>
  </si>
  <si>
    <t>Pages Concepts - Catalogue Nomade</t>
  </si>
  <si>
    <t>https://saranistudio.sharepoint.com/:f:/s/SaraniAssets/IgCtBflts9yhRK6Qj76BgEO5Ac75dpXaVCUH8iA0iShODQs?e=P62Phn</t>
  </si>
  <si>
    <t>F2025-0817</t>
  </si>
  <si>
    <t>15 Pages - Catalogue Guide Nomade Easyfood dessert</t>
  </si>
  <si>
    <t>https://saranistudio.sharepoint.com/:f:/s/SaraniAssets/IgBjSsnS9k_QRKtqboh8bEJ6AbDnRAMSo5VY6LAOGIwlMyA?e=5TEzFk</t>
  </si>
  <si>
    <t>F2026-0069</t>
  </si>
  <si>
    <t>Waiting payment 17/03/2026</t>
  </si>
  <si>
    <t>Pages Concepts - Catalogue Nomade pages supp</t>
  </si>
  <si>
    <t>F2026-0071</t>
  </si>
  <si>
    <t xml:space="preserve">Design Emailing </t>
  </si>
  <si>
    <t>https://saranistudio.sharepoint.com/:f:/s/SaraniAssets/IgB_PXUVnbGiToGk2cqsVNPXAUwhCxjFtIfvXS94TrtQjCQ?e=0kdfBy</t>
  </si>
  <si>
    <t>F2026-0100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</si>
</sst>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0.0"/>
    <numFmt numFmtId="168" formatCode="m/d/yyyy;@"/>
    <numFmt numFmtId="170" formatCode="#,##0\ \€;\(#,##0\)\ \€;&quot;-&quot;"/>
    <numFmt numFmtId="171" formatCode="#,##0;\(#,##0\);&quot;-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sz val="11"/>
      <color rgb="FFFFFFFF"/>
      <name val="Calibri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</font>
    <font>
      <b/>
      <sz val="14"/>
      <color rgb="FFF1F5F9"/>
      <name val="Calibri"/>
    </font>
    <font>
      <sz val="11"/>
      <color rgb="FF121212"/>
      <name val="Calibri"/>
    </font>
    <font>
      <b/>
      <sz val="10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sz val="10"/>
      <color rgb="FF121212"/>
      <name val="Calibri"/>
    </font>
    <font>
      <b/>
      <sz val="10"/>
      <color rgb="FF3B82F6"/>
      <name val="Calibri"/>
    </font>
    <font>
      <b/>
      <sz val="10"/>
      <color rgb="FF1E1E1E"/>
      <name val="Calibri"/>
    </font>
    <font>
      <sz val="11"/>
      <color rgb="FF1E1E1E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BF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2" fillId="2" borderId="0" xfId="0" applyFont="1" applyFill="1"/>
    <xf numFmtId="164" fontId="2" fillId="2" borderId="0" xfId="1" applyFont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/>
    <xf numFmtId="165" fontId="3" fillId="4" borderId="1" xfId="1" applyNumberFormat="1" applyFont="1" applyFill="1" applyBorder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1" applyFont="1" applyFill="1" applyAlignment="1">
      <alignment horizontal="center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4" borderId="0" xfId="0" applyFont="1" applyFill="1" applyAlignment="1">
      <alignment horizontal="center" wrapText="1"/>
    </xf>
    <xf numFmtId="167" fontId="0" fillId="0" borderId="0" xfId="1" applyNumberFormat="1" applyFont="1"/>
    <xf numFmtId="14" fontId="0" fillId="0" borderId="0" xfId="0" quotePrefix="1" applyNumberFormat="1"/>
    <xf numFmtId="164" fontId="3" fillId="4" borderId="0" xfId="1" applyFont="1" applyFill="1" applyAlignment="1">
      <alignment horizontal="center" wrapText="1"/>
    </xf>
    <xf numFmtId="0" fontId="11" fillId="3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/>
    <xf numFmtId="0" fontId="6" fillId="0" borderId="0" xfId="2" applyFill="1"/>
    <xf numFmtId="164" fontId="0" fillId="0" borderId="0" xfId="1" applyFont="1" applyFill="1"/>
    <xf numFmtId="0" fontId="6" fillId="0" borderId="0" xfId="2" quotePrefix="1" applyFill="1"/>
    <xf numFmtId="164" fontId="0" fillId="0" borderId="0" xfId="1" applyFont="1" applyFill="1" applyAlignment="1">
      <alignment wrapText="1"/>
    </xf>
    <xf numFmtId="0" fontId="0" fillId="0" borderId="4" xfId="0" applyBorder="1"/>
    <xf numFmtId="0" fontId="3" fillId="0" borderId="5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4" xfId="1" applyFont="1" applyFill="1" applyBorder="1"/>
    <xf numFmtId="0" fontId="9" fillId="3" borderId="0" xfId="0" applyFont="1" applyFill="1" applyAlignment="1">
      <alignment horizontal="center" vertical="center" wrapText="1"/>
    </xf>
    <xf numFmtId="0" fontId="12" fillId="0" borderId="6" xfId="0" applyFont="1" applyBorder="1"/>
    <xf numFmtId="0" fontId="2" fillId="2" borderId="6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/>
    <xf numFmtId="0" fontId="6" fillId="0" borderId="0" xfId="2" quotePrefix="1"/>
    <xf numFmtId="0" fontId="6" fillId="0" borderId="0" xfId="2"/>
    <xf numFmtId="0" fontId="0" fillId="5" borderId="0" xfId="0" applyFill="1"/>
    <xf numFmtId="0" fontId="0" fillId="5" borderId="0" xfId="0" applyFill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4" fillId="6" borderId="0" xfId="0" applyFont="1" applyFill="1"/>
    <xf numFmtId="168" fontId="0" fillId="0" borderId="0" xfId="0" applyNumberFormat="1"/>
    <xf numFmtId="0" fontId="3" fillId="7" borderId="2" xfId="0" applyFont="1" applyFill="1" applyBorder="1"/>
    <xf numFmtId="0" fontId="3" fillId="8" borderId="2" xfId="0" applyFont="1" applyFill="1" applyBorder="1"/>
    <xf numFmtId="0" fontId="3" fillId="9" borderId="2" xfId="0" applyFont="1" applyFill="1" applyBorder="1" applyAlignment="1">
      <alignment wrapText="1"/>
    </xf>
    <xf numFmtId="0" fontId="3" fillId="9" borderId="2" xfId="0" applyFont="1" applyFill="1" applyBorder="1"/>
    <xf numFmtId="0" fontId="3" fillId="10" borderId="2" xfId="0" applyFont="1" applyFill="1" applyBorder="1"/>
    <xf numFmtId="0" fontId="3" fillId="11" borderId="2" xfId="0" applyFont="1" applyFill="1" applyBorder="1" applyAlignment="1">
      <alignment wrapText="1"/>
    </xf>
    <xf numFmtId="14" fontId="3" fillId="8" borderId="0" xfId="0" applyNumberFormat="1" applyFont="1" applyFill="1"/>
    <xf numFmtId="168" fontId="3" fillId="8" borderId="0" xfId="0" applyNumberFormat="1" applyFont="1" applyFill="1"/>
    <xf numFmtId="14" fontId="3" fillId="9" borderId="0" xfId="0" applyNumberFormat="1" applyFont="1" applyFill="1"/>
    <xf numFmtId="14" fontId="3" fillId="7" borderId="0" xfId="0" applyNumberFormat="1" applyFont="1" applyFill="1"/>
    <xf numFmtId="168" fontId="3" fillId="11" borderId="0" xfId="0" applyNumberFormat="1" applyFont="1" applyFill="1"/>
    <xf numFmtId="14" fontId="3" fillId="10" borderId="0" xfId="0" applyNumberFormat="1" applyFont="1" applyFill="1"/>
    <xf numFmtId="168" fontId="3" fillId="10" borderId="0" xfId="0" applyNumberFormat="1" applyFont="1" applyFill="1"/>
    <xf numFmtId="14" fontId="3" fillId="0" borderId="0" xfId="0" applyNumberFormat="1" applyFont="1"/>
    <xf numFmtId="0" fontId="3" fillId="0" borderId="4" xfId="0" applyFont="1" applyBorder="1"/>
    <xf numFmtId="0" fontId="13" fillId="11" borderId="0" xfId="0" applyFont="1" applyFill="1"/>
    <xf numFmtId="168" fontId="14" fillId="8" borderId="0" xfId="0" applyNumberFormat="1" applyFont="1" applyFill="1"/>
    <xf numFmtId="0" fontId="14" fillId="8" borderId="2" xfId="0" applyFont="1" applyFill="1" applyBorder="1"/>
    <xf numFmtId="164" fontId="14" fillId="0" borderId="0" xfId="1" applyFont="1" applyFill="1"/>
    <xf numFmtId="0" fontId="0" fillId="9" borderId="2" xfId="0" applyFill="1" applyBorder="1"/>
    <xf numFmtId="0" fontId="0" fillId="7" borderId="2" xfId="0" applyFill="1" applyBorder="1"/>
    <xf numFmtId="0" fontId="0" fillId="11" borderId="2" xfId="0" applyFill="1" applyBorder="1"/>
    <xf numFmtId="0" fontId="0" fillId="10" borderId="2" xfId="0" applyFill="1" applyBorder="1"/>
    <xf numFmtId="14" fontId="14" fillId="9" borderId="0" xfId="0" applyNumberFormat="1" applyFont="1" applyFill="1"/>
    <xf numFmtId="14" fontId="14" fillId="7" borderId="0" xfId="0" applyNumberFormat="1" applyFont="1" applyFill="1"/>
    <xf numFmtId="168" fontId="14" fillId="11" borderId="0" xfId="0" applyNumberFormat="1" applyFont="1" applyFill="1"/>
    <xf numFmtId="168" fontId="14" fillId="10" borderId="0" xfId="0" applyNumberFormat="1" applyFont="1" applyFill="1"/>
    <xf numFmtId="164" fontId="3" fillId="0" borderId="0" xfId="1" applyFont="1"/>
    <xf numFmtId="164" fontId="0" fillId="12" borderId="0" xfId="1" applyFont="1" applyFill="1"/>
    <xf numFmtId="0" fontId="4" fillId="5" borderId="0" xfId="0" applyFont="1" applyFill="1"/>
    <xf numFmtId="0" fontId="15" fillId="5" borderId="0" xfId="0" applyFont="1" applyFill="1"/>
    <xf numFmtId="0" fontId="0" fillId="6" borderId="0" xfId="0" applyFill="1" applyAlignment="1">
      <alignment horizontal="center"/>
    </xf>
    <xf numFmtId="0" fontId="0" fillId="6" borderId="0" xfId="0" applyFill="1"/>
    <xf numFmtId="0" fontId="12" fillId="6" borderId="6" xfId="0" applyFont="1" applyFill="1" applyBorder="1" applyAlignment="1">
      <alignment horizontal="center"/>
    </xf>
    <xf numFmtId="0" fontId="16" fillId="13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6" fillId="3" borderId="6" xfId="2" applyFill="1" applyBorder="1" applyAlignment="1">
      <alignment horizontal="center" vertical="center" wrapText="1"/>
    </xf>
    <xf numFmtId="0" fontId="6" fillId="3" borderId="8" xfId="2" applyFill="1" applyBorder="1" applyAlignment="1">
      <alignment horizontal="center" vertical="center" wrapText="1"/>
    </xf>
    <xf numFmtId="0" fontId="17" fillId="14" borderId="0" xfId="0" applyFont="1" applyFill="1" applyBorder="1" applyAlignment="1">
      <alignment horizontal="left" vertical="center"/>
    </xf>
    <xf numFmtId="0" fontId="18" fillId="14" borderId="0" xfId="0" applyFont="1" applyFill="1" applyBorder="1"/>
    <xf numFmtId="0" fontId="19" fillId="15" borderId="0" xfId="0" applyFont="1" applyFill="1" applyBorder="1" applyAlignment="1">
      <alignment horizontal="left" vertical="center"/>
    </xf>
    <xf numFmtId="0" fontId="19" fillId="15" borderId="0" xfId="0" applyFont="1" applyFill="1" applyBorder="1" applyAlignment="1">
      <alignment horizontal="center"/>
    </xf>
    <xf numFmtId="0" fontId="21" fillId="16" borderId="0" xfId="0" applyFont="1" applyFill="1" applyBorder="1" applyAlignment="1">
      <alignment horizontal="left" vertical="center"/>
    </xf>
    <xf numFmtId="0" fontId="23" fillId="14" borderId="0" xfId="0" applyFont="1" applyFill="1" applyBorder="1" applyAlignment="1">
      <alignment horizontal="left" vertical="center"/>
    </xf>
    <xf numFmtId="0" fontId="24" fillId="14" borderId="0" xfId="0" applyFont="1" applyFill="1" applyBorder="1" applyAlignment="1">
      <alignment vertical="center"/>
    </xf>
    <xf numFmtId="0" fontId="21" fillId="17" borderId="0" xfId="0" applyFont="1" applyFill="1" applyBorder="1" applyAlignment="1">
      <alignment horizontal="left" vertical="center"/>
    </xf>
    <xf numFmtId="0" fontId="25" fillId="16" borderId="0" xfId="0" applyFont="1" applyFill="1" applyBorder="1" applyAlignment="1">
      <alignment horizontal="left" vertical="center"/>
    </xf>
    <xf numFmtId="0" fontId="27" fillId="16" borderId="0" xfId="0" applyFont="1" applyFill="1" applyBorder="1"/>
    <xf numFmtId="0" fontId="27" fillId="17" borderId="0" xfId="0" applyFont="1" applyFill="1" applyBorder="1"/>
    <xf numFmtId="0" fontId="26" fillId="16" borderId="0" xfId="0" applyFont="1" applyFill="1" applyBorder="1"/>
    <xf numFmtId="170" fontId="22" fillId="16" borderId="0" xfId="0" applyNumberFormat="1" applyFont="1" applyFill="1" applyBorder="1" applyAlignment="1">
      <alignment horizontal="center" vertical="center"/>
    </xf>
    <xf numFmtId="170" fontId="23" fillId="14" borderId="0" xfId="0" applyNumberFormat="1" applyFont="1" applyFill="1" applyBorder="1" applyAlignment="1">
      <alignment horizontal="center" vertical="center"/>
    </xf>
    <xf numFmtId="171" fontId="23" fillId="14" borderId="0" xfId="0" applyNumberFormat="1" applyFont="1" applyFill="1" applyBorder="1" applyAlignment="1">
      <alignment horizontal="center" vertical="center"/>
    </xf>
    <xf numFmtId="171" fontId="22" fillId="17" borderId="0" xfId="0" applyNumberFormat="1" applyFont="1" applyFill="1" applyBorder="1" applyAlignment="1">
      <alignment horizontal="center" vertical="center"/>
    </xf>
    <xf numFmtId="170" fontId="25" fillId="16" borderId="0" xfId="0" applyNumberFormat="1" applyFont="1" applyFill="1" applyBorder="1" applyAlignment="1">
      <alignment horizontal="center" vertical="center"/>
    </xf>
    <xf numFmtId="0" fontId="19" fillId="15" borderId="9" xfId="0" applyFont="1" applyFill="1" applyBorder="1" applyAlignment="1">
      <alignment horizontal="left" vertical="center"/>
    </xf>
    <xf numFmtId="0" fontId="19" fillId="15" borderId="9" xfId="0" applyFont="1" applyFill="1" applyBorder="1" applyAlignment="1">
      <alignment horizontal="center"/>
    </xf>
    <xf numFmtId="0" fontId="26" fillId="15" borderId="9" xfId="0" applyFont="1" applyFill="1" applyBorder="1"/>
    <xf numFmtId="0" fontId="20" fillId="13" borderId="10" xfId="0" applyFont="1" applyFill="1" applyBorder="1" applyAlignment="1">
      <alignment horizontal="center" vertical="center"/>
    </xf>
    <xf numFmtId="0" fontId="21" fillId="16" borderId="11" xfId="0" applyFont="1" applyFill="1" applyBorder="1" applyAlignment="1">
      <alignment horizontal="left" vertical="center"/>
    </xf>
    <xf numFmtId="170" fontId="22" fillId="16" borderId="11" xfId="0" applyNumberFormat="1" applyFont="1" applyFill="1" applyBorder="1" applyAlignment="1">
      <alignment horizontal="center" vertical="center"/>
    </xf>
    <xf numFmtId="171" fontId="22" fillId="16" borderId="11" xfId="0" applyNumberFormat="1" applyFont="1" applyFill="1" applyBorder="1" applyAlignment="1">
      <alignment horizontal="center" vertical="center"/>
    </xf>
  </cellXfs>
  <cellStyles count="3">
    <cellStyle name="Currency" xfId="1" builtinId="4"/>
    <cellStyle name="Hyperlink" xfId="2" xr:uid="{00000000-000B-0000-0000-000008000000}"/>
    <cellStyle name="Normal" xfId="0" builtinId="0"/>
  </cellStyles>
  <dxfs count="1"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E4BFF5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 Devulder" id="{62BB0E34-E1E7-4A08-8B29-8859926FE0D5}" userId="S::alice@sarani.studio::af36e512-afec-4932-80b4-29f92e4bc3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0" dT="2025-08-27T08:45:52.24" personId="{62BB0E34-E1E7-4A08-8B29-8859926FE0D5}" id="{24515A4F-07BA-4F66-B595-C213B9229AB1}">
    <text>Selon le message reçu de Megan le 26/08/2025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CB210C-7093-4A3F-9AA2-B81CFCD5F8B8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nistudio.sharepoint.com/:f:/s/SaraniAssets/IgAzD4s8SINmRouDWm3otpVhAaMNxOBOEaOs_oJjdJQ911s?e=UxVah1" TargetMode="External"/><Relationship Id="rId13" Type="http://schemas.openxmlformats.org/officeDocument/2006/relationships/hyperlink" Target="mailto:mylene.pellet@lamarck.fr" TargetMode="External"/><Relationship Id="rId3" Type="http://schemas.openxmlformats.org/officeDocument/2006/relationships/hyperlink" Target="https://saranistudio.sharepoint.com/:f:/s/SaraniAssets/IgCtBflts9yhRK6Qj76BgEO5Ac75dpXaVCUH8iA0iShODQs?e=P62Phn" TargetMode="External"/><Relationship Id="rId7" Type="http://schemas.openxmlformats.org/officeDocument/2006/relationships/hyperlink" Target="https://saranistudio.sharepoint.com/:f:/s/SaraniAssets/IgCtBflts9yhRK6Qj76BgEO5Ac75dpXaVCUH8iA0iShODQs?e=P62Phn" TargetMode="External"/><Relationship Id="rId12" Type="http://schemas.openxmlformats.org/officeDocument/2006/relationships/hyperlink" Target="https://saranistudio.sharepoint.com/:f:/s/SaraniAssets/IgCf0BgHWhSMQr2AjpXHM1NpAZly4017ZIhb6bHTmLG4foM?e=qjjVHB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https://saranistudio.sharepoint.com/:f:/s/SaraniAssets/IgAIC_LmDqVJSLrQjN5zu6YZASMgJqX8kZQ9zbzd_RobigY?e=telrOp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saranistudio.sharepoint.com/:f:/r/sites/SaraniAssets/Shared%20Documents/03.%20Customers/21.Lamarck/20251208%20Catalogue%20Italie?csf=1&amp;web=1&amp;e=1mhtMZ" TargetMode="External"/><Relationship Id="rId6" Type="http://schemas.openxmlformats.org/officeDocument/2006/relationships/hyperlink" Target="https://saranistudio.sharepoint.com/:f:/s/SaraniAssets/IgCdd4pVvmBrRp4Yz0cT5KJjASRpo4MX9gzK-inYjBEt30s?e=mnuotC" TargetMode="External"/><Relationship Id="rId11" Type="http://schemas.openxmlformats.org/officeDocument/2006/relationships/hyperlink" Target="https://saranistudio.sharepoint.com/:f:/s/SaraniAssets/IgB_PXUVnbGiToGk2cqsVNPXAUwhCxjFtIfvXS94TrtQjCQ?e=0kdfBy" TargetMode="External"/><Relationship Id="rId5" Type="http://schemas.openxmlformats.org/officeDocument/2006/relationships/hyperlink" Target="https://saranistudio.sharepoint.com/:f:/s/SaraniAssets/IgDb_8Yn6xANRZRPk0epcd-LARAJv9xEQPQqp38tt4PiGZA?e=ADeeO8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saranistudio.sharepoint.com/:f:/s/SaraniAssets/IgAIC_LmDqVJSLrQjN5zu6YZASMgJqX8kZQ9zbzd_RobigY?e=MiqLly" TargetMode="External"/><Relationship Id="rId4" Type="http://schemas.openxmlformats.org/officeDocument/2006/relationships/hyperlink" Target="https://saranistudio.sharepoint.com/:f:/s/SaraniAssets/IgBjSsnS9k_QRKtqboh8bEJ6AbDnRAMSo5VY6LAOGIwlMyA?e=5TEzFk" TargetMode="External"/><Relationship Id="rId9" Type="http://schemas.openxmlformats.org/officeDocument/2006/relationships/hyperlink" Target="https://saranistudio.sharepoint.com/:f:/s/SaraniAssets/IgAIC_LmDqVJSLrQjN5zu6YZASMgJqX8kZQ9zbzd_RobigY?e=MiqLly" TargetMode="External"/><Relationship Id="rId14" Type="http://schemas.openxmlformats.org/officeDocument/2006/relationships/hyperlink" Target="https://saranistudio.sharepoint.com/:f:/s/SaraniAssets/IgAzD4s8SINmRouDWm3otpVhAaMNxOBOEaOs_oJjdJQ911s?e=UxVa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9771-BD54-44DA-BE12-CF71287FE49B}">
  <sheetPr>
    <tabColor rgb="FF0070C0"/>
  </sheetPr>
  <dimension ref="A1:U50"/>
  <sheetViews>
    <sheetView showGridLines="0" workbookViewId="0">
      <pane ySplit="4" topLeftCell="A5" activePane="bottomLeft" state="frozen"/>
      <selection pane="bottomLeft" activeCell="A2" sqref="A1:I47"/>
    </sheetView>
  </sheetViews>
  <sheetFormatPr defaultRowHeight="15"/>
  <cols>
    <col min="1" max="1" width="28.5703125" customWidth="1"/>
    <col min="2" max="9" width="16.140625" customWidth="1"/>
  </cols>
  <sheetData>
    <row r="1" spans="1:21" ht="21.75" customHeight="1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1" ht="12" customHeight="1">
      <c r="A2" s="101"/>
      <c r="B2" s="101"/>
      <c r="C2" s="101"/>
      <c r="D2" s="101"/>
      <c r="E2" s="101"/>
      <c r="F2" s="101"/>
      <c r="G2" s="101"/>
      <c r="H2" s="101"/>
      <c r="I2" s="101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</row>
    <row r="3" spans="1:21" ht="18" customHeight="1">
      <c r="A3" s="102" t="s">
        <v>1</v>
      </c>
      <c r="B3" s="103">
        <v>2025</v>
      </c>
      <c r="C3" s="103"/>
      <c r="D3" s="103"/>
      <c r="E3" s="103"/>
      <c r="F3" s="103">
        <v>2026</v>
      </c>
      <c r="G3" s="103"/>
      <c r="H3" s="103"/>
      <c r="I3" s="103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</row>
    <row r="4" spans="1:21" ht="18" customHeight="1">
      <c r="A4" s="120"/>
      <c r="B4" s="120" t="s">
        <v>2</v>
      </c>
      <c r="C4" s="120" t="s">
        <v>3</v>
      </c>
      <c r="D4" s="120" t="s">
        <v>4</v>
      </c>
      <c r="E4" s="120" t="s">
        <v>5</v>
      </c>
      <c r="F4" s="120" t="s">
        <v>2</v>
      </c>
      <c r="G4" s="120" t="s">
        <v>3</v>
      </c>
      <c r="H4" s="120" t="s">
        <v>4</v>
      </c>
      <c r="I4" s="120" t="s">
        <v>5</v>
      </c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</row>
    <row r="5" spans="1:21" ht="18" customHeight="1">
      <c r="A5" s="121" t="s">
        <v>6</v>
      </c>
      <c r="B5" s="122">
        <f>SUMIFS(Lamarck!K:K,Lamarck!D:D,"&gt;="&amp;DATE(2025,1,1),Lamarck!D:D,"&lt;="&amp;DATE(2025,3,31))</f>
        <v>0</v>
      </c>
      <c r="C5" s="122">
        <f>SUMIFS(Lamarck!K:K,Lamarck!D:D,"&gt;="&amp;DATE(2025,4,1),Lamarck!D:D,"&lt;="&amp;DATE(2025,6,30))</f>
        <v>0</v>
      </c>
      <c r="D5" s="122">
        <f>SUMIFS(Lamarck!K:K,Lamarck!D:D,"&gt;="&amp;DATE(2025,7,1),Lamarck!D:D,"&lt;="&amp;DATE(2025,9,30))</f>
        <v>0</v>
      </c>
      <c r="E5" s="122">
        <f>SUMIFS(Lamarck!K:K,Lamarck!D:D,"&gt;="&amp;DATE(2025,10,1),Lamarck!D:D,"&lt;="&amp;DATE(2025,12,31))</f>
        <v>4730</v>
      </c>
      <c r="F5" s="122">
        <f>SUMIFS(Lamarck!K:K,Lamarck!D:D,"&gt;="&amp;DATE(2026,1,1),Lamarck!D:D,"&lt;="&amp;DATE(2026,3,31))</f>
        <v>18595</v>
      </c>
      <c r="G5" s="122">
        <f>SUMIFS(Lamarck!K:K,Lamarck!D:D,"&gt;="&amp;DATE(2026,4,1),Lamarck!D:D,"&lt;="&amp;DATE(2026,6,30))</f>
        <v>0</v>
      </c>
      <c r="H5" s="122">
        <f>SUMIFS(Lamarck!K:K,Lamarck!D:D,"&gt;="&amp;DATE(2026,7,1),Lamarck!D:D,"&lt;="&amp;DATE(2026,9,30))</f>
        <v>0</v>
      </c>
      <c r="I5" s="122">
        <f>SUMIFS(Lamarck!K:K,Lamarck!D:D,"&gt;="&amp;DATE(2026,10,1),Lamarck!D:D,"&lt;="&amp;DATE(2026,12,31))</f>
        <v>0</v>
      </c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</row>
    <row r="6" spans="1:21" ht="18" customHeight="1">
      <c r="A6" s="105" t="s">
        <v>7</v>
      </c>
      <c r="B6" s="113">
        <f>SUM(B5:B5)</f>
        <v>0</v>
      </c>
      <c r="C6" s="113">
        <f>SUM(C5:C5)</f>
        <v>0</v>
      </c>
      <c r="D6" s="113">
        <f>SUM(D5:D5)</f>
        <v>0</v>
      </c>
      <c r="E6" s="113">
        <f>SUM(E5:E5)</f>
        <v>4730</v>
      </c>
      <c r="F6" s="113">
        <f>SUM(F5:F5)</f>
        <v>18595</v>
      </c>
      <c r="G6" s="113">
        <f>SUM(G5:G5)</f>
        <v>0</v>
      </c>
      <c r="H6" s="113">
        <f>SUM(H5:H5)</f>
        <v>0</v>
      </c>
      <c r="I6" s="113">
        <f>SUM(I5:I5)</f>
        <v>0</v>
      </c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</row>
    <row r="7" spans="1:21" ht="12" customHeight="1">
      <c r="A7" s="106"/>
      <c r="B7" s="101"/>
      <c r="C7" s="101"/>
      <c r="D7" s="101"/>
      <c r="E7" s="101"/>
      <c r="F7" s="101"/>
      <c r="G7" s="101"/>
      <c r="H7" s="101"/>
      <c r="I7" s="101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</row>
    <row r="8" spans="1:21" ht="18" customHeight="1">
      <c r="A8" s="102" t="s">
        <v>8</v>
      </c>
      <c r="B8" s="103">
        <v>2025</v>
      </c>
      <c r="C8" s="103"/>
      <c r="D8" s="103"/>
      <c r="E8" s="103"/>
      <c r="F8" s="103">
        <v>2026</v>
      </c>
      <c r="G8" s="103"/>
      <c r="H8" s="103"/>
      <c r="I8" s="103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</row>
    <row r="9" spans="1:21" ht="18" customHeight="1">
      <c r="A9" s="120"/>
      <c r="B9" s="120" t="s">
        <v>2</v>
      </c>
      <c r="C9" s="120" t="s">
        <v>3</v>
      </c>
      <c r="D9" s="120" t="s">
        <v>4</v>
      </c>
      <c r="E9" s="120" t="s">
        <v>5</v>
      </c>
      <c r="F9" s="120" t="s">
        <v>2</v>
      </c>
      <c r="G9" s="120" t="s">
        <v>3</v>
      </c>
      <c r="H9" s="120" t="s">
        <v>4</v>
      </c>
      <c r="I9" s="120" t="s">
        <v>5</v>
      </c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</row>
    <row r="10" spans="1:21" ht="18" customHeight="1">
      <c r="A10" s="121" t="s">
        <v>6</v>
      </c>
      <c r="B10" s="123">
        <f>COUNTIFS(Lamarck!D:D,"&gt;="&amp;DATE(2025,1,1),Lamarck!D:D,"&lt;="&amp;DATE(2025,3,31))</f>
        <v>0</v>
      </c>
      <c r="C10" s="123">
        <f>COUNTIFS(Lamarck!D:D,"&gt;="&amp;DATE(2025,4,1),Lamarck!D:D,"&lt;="&amp;DATE(2025,6,30))</f>
        <v>0</v>
      </c>
      <c r="D10" s="123">
        <f>COUNTIFS(Lamarck!D:D,"&gt;="&amp;DATE(2025,7,1),Lamarck!D:D,"&lt;="&amp;DATE(2025,9,30))</f>
        <v>0</v>
      </c>
      <c r="E10" s="123">
        <f>COUNTIFS(Lamarck!D:D,"&gt;="&amp;DATE(2025,10,1),Lamarck!D:D,"&lt;="&amp;DATE(2025,12,31))</f>
        <v>4</v>
      </c>
      <c r="F10" s="123">
        <f>COUNTIFS(Lamarck!D:D,"&gt;="&amp;DATE(2026,1,1),Lamarck!D:D,"&lt;="&amp;DATE(2026,3,31))</f>
        <v>10</v>
      </c>
      <c r="G10" s="123">
        <f>COUNTIFS(Lamarck!D:D,"&gt;="&amp;DATE(2026,4,1),Lamarck!D:D,"&lt;="&amp;DATE(2026,6,30))</f>
        <v>0</v>
      </c>
      <c r="H10" s="123">
        <f>COUNTIFS(Lamarck!D:D,"&gt;="&amp;DATE(2026,7,1),Lamarck!D:D,"&lt;="&amp;DATE(2026,9,30))</f>
        <v>0</v>
      </c>
      <c r="I10" s="123">
        <f>COUNTIFS(Lamarck!D:D,"&gt;="&amp;DATE(2026,10,1),Lamarck!D:D,"&lt;="&amp;DATE(2026,12,31))</f>
        <v>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</row>
    <row r="11" spans="1:21" ht="18" customHeight="1">
      <c r="A11" s="105" t="s">
        <v>7</v>
      </c>
      <c r="B11" s="114">
        <f>SUM(B10:B10)</f>
        <v>0</v>
      </c>
      <c r="C11" s="114">
        <f>SUM(C10:C10)</f>
        <v>0</v>
      </c>
      <c r="D11" s="114">
        <f>SUM(D10:D10)</f>
        <v>0</v>
      </c>
      <c r="E11" s="114">
        <f>SUM(E10:E10)</f>
        <v>4</v>
      </c>
      <c r="F11" s="114">
        <f>SUM(F10:F10)</f>
        <v>10</v>
      </c>
      <c r="G11" s="114">
        <f>SUM(G10:G10)</f>
        <v>0</v>
      </c>
      <c r="H11" s="114">
        <f>SUM(H10:H10)</f>
        <v>0</v>
      </c>
      <c r="I11" s="114">
        <f>SUM(I10:I10)</f>
        <v>0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</row>
    <row r="12" spans="1:21" ht="12" customHeight="1">
      <c r="A12" s="106"/>
      <c r="B12" s="101"/>
      <c r="C12" s="101"/>
      <c r="D12" s="101"/>
      <c r="E12" s="101"/>
      <c r="F12" s="101"/>
      <c r="G12" s="101"/>
      <c r="H12" s="101"/>
      <c r="I12" s="101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</row>
    <row r="13" spans="1:21" ht="18" customHeight="1">
      <c r="A13" s="117" t="s">
        <v>9</v>
      </c>
      <c r="B13" s="118">
        <v>2025</v>
      </c>
      <c r="C13" s="118">
        <v>2026</v>
      </c>
      <c r="D13" s="119"/>
      <c r="E13" s="119"/>
      <c r="F13" s="119"/>
      <c r="G13" s="119"/>
      <c r="H13" s="119"/>
      <c r="I13" s="119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</row>
    <row r="14" spans="1:21" ht="18" customHeight="1">
      <c r="A14" s="104" t="s">
        <v>10</v>
      </c>
      <c r="B14" s="112">
        <f>SUM(B6:E6)</f>
        <v>4730</v>
      </c>
      <c r="C14" s="112">
        <f>SUM(F6:I6)</f>
        <v>18595</v>
      </c>
      <c r="D14" s="109"/>
      <c r="E14" s="109"/>
      <c r="F14" s="109"/>
      <c r="G14" s="109"/>
      <c r="H14" s="109"/>
      <c r="I14" s="109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</row>
    <row r="15" spans="1:21" ht="18" customHeight="1">
      <c r="A15" s="107" t="s">
        <v>11</v>
      </c>
      <c r="B15" s="115">
        <f>SUM(B11:E11)</f>
        <v>4</v>
      </c>
      <c r="C15" s="115">
        <f>SUM(F11:I11)</f>
        <v>10</v>
      </c>
      <c r="D15" s="110"/>
      <c r="E15" s="110"/>
      <c r="F15" s="110"/>
      <c r="G15" s="110"/>
      <c r="H15" s="110"/>
      <c r="I15" s="110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</row>
    <row r="16" spans="1:21" ht="18" customHeight="1">
      <c r="A16" s="108" t="s">
        <v>12</v>
      </c>
      <c r="B16" s="116">
        <f>IFERROR(B14/B15,"—")</f>
        <v>1182.5</v>
      </c>
      <c r="C16" s="116">
        <f>IFERROR(C14/C15,"—")</f>
        <v>1859.5</v>
      </c>
      <c r="D16" s="111"/>
      <c r="E16" s="111"/>
      <c r="F16" s="111"/>
      <c r="G16" s="111"/>
      <c r="H16" s="111"/>
      <c r="I16" s="111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</row>
    <row r="17" spans="1:2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</row>
    <row r="18" spans="1:2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</row>
    <row r="19" spans="1:2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</row>
    <row r="20" spans="1:2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</row>
    <row r="21" spans="1:2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</row>
    <row r="22" spans="1:2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</row>
    <row r="23" spans="1:2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</row>
    <row r="24" spans="1:2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</row>
    <row r="25" spans="1:2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</row>
    <row r="26" spans="1:2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</row>
    <row r="27" spans="1:2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</row>
    <row r="28" spans="1:2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</row>
    <row r="29" spans="1:2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</row>
    <row r="30" spans="1:2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</row>
    <row r="31" spans="1:2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</row>
    <row r="32" spans="1:2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</row>
    <row r="33" spans="1:2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</row>
    <row r="34" spans="1:2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</row>
    <row r="35" spans="1:2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</row>
    <row r="36" spans="1:2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</row>
    <row r="37" spans="1:2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</row>
    <row r="38" spans="1:2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</row>
    <row r="39" spans="1:2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</row>
    <row r="40" spans="1:2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</row>
    <row r="41" spans="1:2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</row>
    <row r="42" spans="1:2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</row>
    <row r="43" spans="1:2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</row>
    <row r="44" spans="1:2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</row>
    <row r="45" spans="1:2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</row>
    <row r="46" spans="1:2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</row>
    <row r="47" spans="1:2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</row>
    <row r="48" spans="1:2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</row>
    <row r="49" spans="1:2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</row>
    <row r="50" spans="1:2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</row>
  </sheetData>
  <mergeCells count="5">
    <mergeCell ref="A1:I1"/>
    <mergeCell ref="B3:E3"/>
    <mergeCell ref="F3:I3"/>
    <mergeCell ref="B8:E8"/>
    <mergeCell ref="F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05DA-5B65-4DAF-AD3B-8B15D8526CC2}">
  <dimension ref="A1:T36"/>
  <sheetViews>
    <sheetView workbookViewId="0">
      <pane xSplit="4" ySplit="3" topLeftCell="E4" activePane="bottomRight" state="frozen"/>
      <selection pane="bottomRight" activeCell="E7" sqref="E7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8.7109375" customWidth="1"/>
    <col min="3" max="3" width="11.5703125" customWidth="1"/>
    <col min="4" max="4" width="36.42578125" style="21" customWidth="1"/>
    <col min="5" max="5" width="17.28515625" customWidth="1"/>
    <col min="6" max="6" width="20.42578125" customWidth="1"/>
    <col min="7" max="7" width="33.140625" customWidth="1"/>
    <col min="8" max="8" width="9.140625" style="2"/>
    <col min="9" max="9" width="12.42578125" style="3" bestFit="1" customWidth="1"/>
    <col min="10" max="10" width="11.85546875" customWidth="1"/>
    <col min="11" max="11" width="10.85546875" customWidth="1"/>
    <col min="12" max="12" width="9.140625"/>
    <col min="13" max="13" width="15.42578125" style="7" customWidth="1"/>
    <col min="14" max="14" width="16.42578125" style="10" customWidth="1"/>
    <col min="15" max="15" width="16.42578125" customWidth="1"/>
  </cols>
  <sheetData>
    <row r="1" spans="1:20" s="6" customFormat="1" ht="14.45">
      <c r="A1" s="4" t="s">
        <v>13</v>
      </c>
      <c r="B1" s="4"/>
      <c r="C1" s="4"/>
      <c r="D1" s="19"/>
      <c r="E1" s="4"/>
      <c r="F1" s="4"/>
      <c r="G1" s="4"/>
      <c r="H1" s="1"/>
      <c r="I1" s="5"/>
      <c r="J1" s="4"/>
      <c r="K1" s="4"/>
      <c r="L1" s="4"/>
      <c r="M1" s="1"/>
      <c r="N1" s="9"/>
    </row>
    <row r="2" spans="1:20" s="26" customFormat="1" ht="48.75" customHeight="1">
      <c r="A2" s="95" t="s">
        <v>14</v>
      </c>
      <c r="B2" s="95"/>
      <c r="C2" s="95"/>
      <c r="D2" s="95"/>
      <c r="E2" s="95" t="s">
        <v>15</v>
      </c>
      <c r="F2" s="95"/>
      <c r="G2" s="95"/>
      <c r="H2" s="95"/>
      <c r="I2" s="95"/>
      <c r="J2" s="95"/>
      <c r="K2" s="95"/>
      <c r="L2" s="96"/>
      <c r="M2" s="22"/>
      <c r="N2" s="24"/>
      <c r="O2" s="25"/>
      <c r="P2" s="25"/>
      <c r="Q2" s="25"/>
      <c r="R2" s="25"/>
      <c r="S2" s="25"/>
      <c r="T2" s="25"/>
    </row>
    <row r="3" spans="1:20" ht="28.9">
      <c r="A3" s="17" t="s">
        <v>16</v>
      </c>
      <c r="B3" s="17" t="s">
        <v>17</v>
      </c>
      <c r="C3" s="17" t="s">
        <v>18</v>
      </c>
      <c r="D3" s="20" t="s">
        <v>19</v>
      </c>
      <c r="E3" s="30" t="s">
        <v>20</v>
      </c>
      <c r="F3" s="30" t="s">
        <v>21</v>
      </c>
      <c r="G3" s="17" t="s">
        <v>22</v>
      </c>
      <c r="H3" s="30" t="s">
        <v>23</v>
      </c>
      <c r="I3" s="33" t="s">
        <v>24</v>
      </c>
      <c r="J3" s="17" t="s">
        <v>25</v>
      </c>
      <c r="K3" s="17" t="s">
        <v>26</v>
      </c>
      <c r="L3" s="17" t="s">
        <v>27</v>
      </c>
      <c r="M3" s="14"/>
    </row>
    <row r="4" spans="1:20" ht="14.45">
      <c r="A4" t="s">
        <v>28</v>
      </c>
      <c r="B4" t="s">
        <v>29</v>
      </c>
      <c r="C4" s="32" t="s">
        <v>30</v>
      </c>
      <c r="D4" s="29" t="s">
        <v>31</v>
      </c>
      <c r="E4">
        <v>40</v>
      </c>
      <c r="F4">
        <v>5</v>
      </c>
      <c r="G4" t="s">
        <v>32</v>
      </c>
      <c r="H4" s="2">
        <v>10</v>
      </c>
      <c r="I4" s="31">
        <f>(E4+F4)*H4/60</f>
        <v>7.5</v>
      </c>
      <c r="J4" s="11" t="s">
        <v>33</v>
      </c>
    </row>
    <row r="5" spans="1:20" ht="15" customHeight="1">
      <c r="A5" t="s">
        <v>28</v>
      </c>
      <c r="B5" t="s">
        <v>29</v>
      </c>
      <c r="C5" s="32" t="s">
        <v>30</v>
      </c>
      <c r="D5" s="29" t="s">
        <v>34</v>
      </c>
      <c r="E5">
        <v>40</v>
      </c>
      <c r="F5">
        <v>10</v>
      </c>
      <c r="G5" t="s">
        <v>35</v>
      </c>
      <c r="H5" s="2">
        <v>2</v>
      </c>
      <c r="I5" s="31">
        <f t="shared" ref="I5:I7" si="0">(E5+F5)*H5/60</f>
        <v>1.6666666666666667</v>
      </c>
      <c r="J5" s="11" t="s">
        <v>33</v>
      </c>
    </row>
    <row r="6" spans="1:20" ht="15" customHeight="1">
      <c r="A6" t="s">
        <v>28</v>
      </c>
      <c r="B6" t="s">
        <v>29</v>
      </c>
      <c r="C6" s="32" t="s">
        <v>30</v>
      </c>
      <c r="D6" s="29" t="s">
        <v>36</v>
      </c>
      <c r="E6">
        <v>30</v>
      </c>
      <c r="F6">
        <v>0</v>
      </c>
      <c r="G6" t="s">
        <v>37</v>
      </c>
      <c r="H6" s="2">
        <v>32</v>
      </c>
      <c r="I6" s="31">
        <f t="shared" si="0"/>
        <v>16</v>
      </c>
      <c r="J6" s="11" t="s">
        <v>33</v>
      </c>
    </row>
    <row r="7" spans="1:20" ht="15" customHeight="1">
      <c r="A7" t="s">
        <v>28</v>
      </c>
      <c r="B7" t="s">
        <v>29</v>
      </c>
      <c r="C7" s="32" t="s">
        <v>30</v>
      </c>
      <c r="D7" s="29" t="s">
        <v>38</v>
      </c>
      <c r="E7">
        <v>20</v>
      </c>
      <c r="F7">
        <v>0</v>
      </c>
      <c r="G7" t="s">
        <v>39</v>
      </c>
      <c r="H7" s="2">
        <v>32</v>
      </c>
      <c r="I7" s="31">
        <f t="shared" si="0"/>
        <v>10.666666666666666</v>
      </c>
      <c r="J7" s="11" t="s">
        <v>33</v>
      </c>
    </row>
    <row r="8" spans="1:20" ht="15" customHeight="1">
      <c r="H8" s="2" t="str">
        <f t="shared" ref="H8:H36" si="1">IF(SUM(M8:M8)=0,"-",SUM(M8:M8))</f>
        <v>-</v>
      </c>
      <c r="I8" s="31"/>
    </row>
    <row r="9" spans="1:20" ht="15" customHeight="1">
      <c r="H9" s="2" t="str">
        <f t="shared" si="1"/>
        <v>-</v>
      </c>
      <c r="I9" s="31"/>
    </row>
    <row r="10" spans="1:20" ht="15" customHeight="1">
      <c r="H10" s="2" t="str">
        <f t="shared" si="1"/>
        <v>-</v>
      </c>
      <c r="I10" s="31"/>
    </row>
    <row r="11" spans="1:20" ht="15" customHeight="1">
      <c r="H11" s="2" t="str">
        <f t="shared" si="1"/>
        <v>-</v>
      </c>
      <c r="I11" s="31"/>
    </row>
    <row r="12" spans="1:20" ht="15" customHeight="1">
      <c r="H12" s="2" t="str">
        <f t="shared" si="1"/>
        <v>-</v>
      </c>
      <c r="I12" s="31"/>
    </row>
    <row r="13" spans="1:20" ht="15" customHeight="1">
      <c r="H13" s="2" t="str">
        <f t="shared" si="1"/>
        <v>-</v>
      </c>
      <c r="I13" s="31"/>
    </row>
    <row r="14" spans="1:20" ht="15" customHeight="1">
      <c r="H14" s="2" t="str">
        <f t="shared" si="1"/>
        <v>-</v>
      </c>
      <c r="I14" s="31"/>
    </row>
    <row r="15" spans="1:20" ht="15" customHeight="1">
      <c r="H15" s="2" t="str">
        <f t="shared" si="1"/>
        <v>-</v>
      </c>
      <c r="I15" s="31"/>
    </row>
    <row r="16" spans="1:20" ht="15" customHeight="1">
      <c r="H16" s="2" t="str">
        <f t="shared" si="1"/>
        <v>-</v>
      </c>
      <c r="I16" s="31"/>
    </row>
    <row r="17" spans="8:9" ht="15" customHeight="1">
      <c r="H17" s="2" t="str">
        <f t="shared" si="1"/>
        <v>-</v>
      </c>
      <c r="I17" s="31"/>
    </row>
    <row r="18" spans="8:9" ht="15" customHeight="1">
      <c r="H18" s="2" t="str">
        <f t="shared" si="1"/>
        <v>-</v>
      </c>
      <c r="I18" s="31"/>
    </row>
    <row r="19" spans="8:9" ht="15" customHeight="1">
      <c r="H19" s="2" t="str">
        <f t="shared" si="1"/>
        <v>-</v>
      </c>
      <c r="I19" s="31"/>
    </row>
    <row r="20" spans="8:9" ht="15" customHeight="1">
      <c r="H20" s="2" t="str">
        <f t="shared" si="1"/>
        <v>-</v>
      </c>
      <c r="I20" s="31"/>
    </row>
    <row r="21" spans="8:9" ht="15" customHeight="1">
      <c r="H21" s="2" t="str">
        <f t="shared" si="1"/>
        <v>-</v>
      </c>
      <c r="I21" s="31"/>
    </row>
    <row r="22" spans="8:9" ht="15" customHeight="1">
      <c r="H22" s="2" t="str">
        <f t="shared" si="1"/>
        <v>-</v>
      </c>
      <c r="I22" s="31"/>
    </row>
    <row r="23" spans="8:9" ht="15" customHeight="1">
      <c r="H23" s="2" t="str">
        <f t="shared" si="1"/>
        <v>-</v>
      </c>
    </row>
    <row r="24" spans="8:9" ht="15" customHeight="1">
      <c r="H24" s="2" t="str">
        <f t="shared" si="1"/>
        <v>-</v>
      </c>
    </row>
    <row r="25" spans="8:9" ht="15" customHeight="1">
      <c r="H25" s="2" t="str">
        <f t="shared" si="1"/>
        <v>-</v>
      </c>
    </row>
    <row r="26" spans="8:9" ht="15" customHeight="1">
      <c r="H26" s="2" t="str">
        <f t="shared" si="1"/>
        <v>-</v>
      </c>
    </row>
    <row r="27" spans="8:9" ht="15" customHeight="1">
      <c r="H27" s="2" t="str">
        <f t="shared" si="1"/>
        <v>-</v>
      </c>
    </row>
    <row r="28" spans="8:9" ht="15" customHeight="1">
      <c r="H28" s="2" t="str">
        <f t="shared" si="1"/>
        <v>-</v>
      </c>
    </row>
    <row r="29" spans="8:9" ht="15" customHeight="1">
      <c r="H29" s="2" t="str">
        <f t="shared" si="1"/>
        <v>-</v>
      </c>
    </row>
    <row r="30" spans="8:9" ht="15" customHeight="1">
      <c r="H30" s="2" t="str">
        <f t="shared" si="1"/>
        <v>-</v>
      </c>
    </row>
    <row r="31" spans="8:9" ht="15" customHeight="1">
      <c r="H31" s="2" t="str">
        <f t="shared" si="1"/>
        <v>-</v>
      </c>
    </row>
    <row r="32" spans="8:9" ht="15" customHeight="1">
      <c r="H32" s="2" t="str">
        <f t="shared" si="1"/>
        <v>-</v>
      </c>
    </row>
    <row r="33" spans="8:8" ht="15" customHeight="1">
      <c r="H33" s="2" t="str">
        <f t="shared" si="1"/>
        <v>-</v>
      </c>
    </row>
    <row r="34" spans="8:8" ht="15" customHeight="1">
      <c r="H34" s="2" t="str">
        <f t="shared" si="1"/>
        <v>-</v>
      </c>
    </row>
    <row r="35" spans="8:8" ht="15" customHeight="1">
      <c r="H35" s="2" t="str">
        <f t="shared" si="1"/>
        <v>-</v>
      </c>
    </row>
    <row r="36" spans="8:8" ht="15" customHeight="1">
      <c r="H36" s="2" t="str">
        <f t="shared" si="1"/>
        <v>-</v>
      </c>
    </row>
  </sheetData>
  <autoFilter ref="A3:M4" xr:uid="{EF6D707C-BDD5-416B-AAF3-2924671B11B3}">
    <sortState xmlns:xlrd2="http://schemas.microsoft.com/office/spreadsheetml/2017/richdata2" ref="A4:M4">
      <sortCondition ref="C3"/>
    </sortState>
  </autoFilter>
  <mergeCells count="2">
    <mergeCell ref="A2:D2"/>
    <mergeCell ref="E2:L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92F4-F549-45ED-8E70-C4F996C343E5}">
  <dimension ref="A1:BJ64"/>
  <sheetViews>
    <sheetView tabSelected="1" workbookViewId="0">
      <pane xSplit="6" ySplit="5" topLeftCell="H6" activePane="bottomRight" state="frozen"/>
      <selection pane="bottomRight" activeCell="D24" sqref="D24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10.5703125" bestFit="1" customWidth="1"/>
    <col min="3" max="3" width="8.5703125" bestFit="1" customWidth="1"/>
    <col min="4" max="4" width="11.5703125" customWidth="1"/>
    <col min="5" max="5" width="15.140625" style="6" customWidth="1"/>
    <col min="6" max="6" width="52.28515625" style="21" customWidth="1"/>
    <col min="7" max="7" width="13" bestFit="1" customWidth="1"/>
    <col min="8" max="8" width="10.5703125" bestFit="1" customWidth="1"/>
    <col min="9" max="9" width="24.7109375" customWidth="1"/>
    <col min="10" max="10" width="9.140625" style="2"/>
    <col min="11" max="11" width="17.7109375" style="38" customWidth="1"/>
    <col min="12" max="12" width="11.7109375" style="38" customWidth="1"/>
    <col min="13" max="13" width="17.7109375" style="2" customWidth="1"/>
    <col min="14" max="14" width="14" style="2" bestFit="1" customWidth="1"/>
    <col min="15" max="15" width="14.85546875" bestFit="1" customWidth="1"/>
    <col min="16" max="16" width="12.140625" bestFit="1" customWidth="1"/>
    <col min="17" max="17" width="29.140625" style="47" bestFit="1" customWidth="1"/>
    <col min="18" max="24" width="15.42578125" style="2" customWidth="1"/>
    <col min="25" max="25" width="15.42578125" style="7" customWidth="1"/>
    <col min="26" max="27" width="15.42578125" style="2" customWidth="1"/>
    <col min="28" max="28" width="19.7109375" style="2" customWidth="1"/>
    <col min="29" max="29" width="12.140625" style="2" customWidth="1"/>
    <col min="30" max="32" width="12" style="2" customWidth="1"/>
    <col min="33" max="33" width="12" style="7" customWidth="1"/>
    <col min="34" max="39" width="12" style="2" customWidth="1"/>
    <col min="40" max="41" width="12" style="7" customWidth="1"/>
    <col min="42" max="44" width="12" style="2" customWidth="1"/>
    <col min="45" max="45" width="12" style="7" customWidth="1"/>
    <col min="46" max="46" width="12.85546875" style="2" customWidth="1"/>
    <col min="47" max="48" width="13.140625" style="2" customWidth="1"/>
    <col min="49" max="49" width="14" style="2" customWidth="1"/>
    <col min="50" max="51" width="12" style="2" customWidth="1"/>
    <col min="52" max="52" width="12" style="7" customWidth="1"/>
    <col min="53" max="53" width="12" style="2" customWidth="1"/>
    <col min="54" max="54" width="12" style="7" customWidth="1"/>
    <col min="55" max="55" width="12" style="2" customWidth="1"/>
    <col min="56" max="56" width="16.42578125" style="10" customWidth="1"/>
    <col min="57" max="57" width="16.42578125" customWidth="1"/>
  </cols>
  <sheetData>
    <row r="1" spans="1:62" ht="15" customHeight="1">
      <c r="K1" s="35">
        <f>SUBTOTAL(2,K11:K19978)</f>
        <v>11</v>
      </c>
      <c r="L1" s="35"/>
      <c r="R1" s="35">
        <f>SUBTOTAL(2,R11:R19978)</f>
        <v>3</v>
      </c>
      <c r="S1" s="35">
        <f>SUBTOTAL(2,S11:S19978)</f>
        <v>2</v>
      </c>
      <c r="T1" s="35">
        <f>SUBTOTAL(2,T11:T19978)</f>
        <v>4</v>
      </c>
      <c r="U1" s="35">
        <f>SUBTOTAL(2,U11:U19978)</f>
        <v>2</v>
      </c>
      <c r="V1" s="35">
        <f>SUBTOTAL(2,V11:V19978)</f>
        <v>0</v>
      </c>
      <c r="W1" s="35">
        <f>SUBTOTAL(2,W11:W19978)</f>
        <v>0</v>
      </c>
      <c r="X1" s="35">
        <f>SUBTOTAL(2,X11:X19978)</f>
        <v>0</v>
      </c>
      <c r="Y1" s="35">
        <f>SUBTOTAL(2,Y11:Y19978)</f>
        <v>0</v>
      </c>
      <c r="Z1" s="35">
        <f>SUBTOTAL(2,Z11:Z19978)</f>
        <v>0</v>
      </c>
      <c r="AA1" s="35">
        <f>SUBTOTAL(2,AA11:AA19978)</f>
        <v>0</v>
      </c>
      <c r="AB1" s="35">
        <f>SUBTOTAL(2,AB11:AB19978)</f>
        <v>0</v>
      </c>
      <c r="AC1" s="35">
        <f>SUBTOTAL(2,AC11:AC19978)</f>
        <v>0</v>
      </c>
      <c r="AD1" s="35">
        <f>SUBTOTAL(2,AD11:AD19978)</f>
        <v>0</v>
      </c>
      <c r="AE1" s="35">
        <f>SUBTOTAL(2,AE11:AE19978)</f>
        <v>0</v>
      </c>
      <c r="AF1" s="35">
        <f>SUBTOTAL(2,AF11:AF19978)</f>
        <v>0</v>
      </c>
      <c r="AG1" s="35">
        <f>SUBTOTAL(2,AG11:AG19978)</f>
        <v>0</v>
      </c>
      <c r="AH1" s="35">
        <f>SUBTOTAL(2,AH11:AH19978)</f>
        <v>0</v>
      </c>
      <c r="AI1" s="35">
        <f>SUBTOTAL(2,AI11:AI19978)</f>
        <v>0</v>
      </c>
      <c r="AJ1" s="35">
        <f>SUBTOTAL(2,AJ11:AJ19978)</f>
        <v>0</v>
      </c>
      <c r="AK1" s="35">
        <f>SUBTOTAL(2,AK11:AK19978)</f>
        <v>0</v>
      </c>
      <c r="AL1" s="35">
        <f>SUBTOTAL(2,AL11:AL19978)</f>
        <v>0</v>
      </c>
      <c r="AM1" s="35">
        <f>SUBTOTAL(2,AM11:AM19978)</f>
        <v>0</v>
      </c>
      <c r="AN1" s="35">
        <f>SUBTOTAL(2,AN11:AN19978)</f>
        <v>0</v>
      </c>
      <c r="AO1" s="35">
        <f>SUBTOTAL(2,AO11:AO19978)</f>
        <v>0</v>
      </c>
      <c r="AP1" s="35">
        <f>SUBTOTAL(2,AP11:AP19978)</f>
        <v>0</v>
      </c>
      <c r="AQ1" s="35">
        <f>SUBTOTAL(2,AQ11:AQ19978)</f>
        <v>0</v>
      </c>
      <c r="AR1" s="35">
        <f>SUBTOTAL(2,AR11:AR19978)</f>
        <v>0</v>
      </c>
      <c r="AS1" s="35">
        <f>SUBTOTAL(2,AS11:AS19978)</f>
        <v>0</v>
      </c>
      <c r="AT1" s="35">
        <f>SUBTOTAL(2,AT11:AT19978)</f>
        <v>0</v>
      </c>
      <c r="AU1" s="35">
        <f>SUBTOTAL(2,AU11:AU19978)</f>
        <v>0</v>
      </c>
      <c r="AV1" s="35">
        <f>SUBTOTAL(2,AV11:AV19978)</f>
        <v>0</v>
      </c>
      <c r="AW1" s="35">
        <f>SUBTOTAL(2,AW11:AW19978)</f>
        <v>0</v>
      </c>
      <c r="AX1" s="35">
        <f>SUBTOTAL(2,AX11:AX19978)</f>
        <v>0</v>
      </c>
      <c r="AY1" s="35">
        <f>SUBTOTAL(2,AY11:AY19978)</f>
        <v>0</v>
      </c>
      <c r="AZ1" s="35">
        <f>SUBTOTAL(2,AZ11:AZ19978)</f>
        <v>0</v>
      </c>
      <c r="BA1" s="35">
        <f>SUBTOTAL(2,BA11:BA19978)</f>
        <v>0</v>
      </c>
      <c r="BB1" s="35">
        <f>SUBTOTAL(2,BB11:BB19978)</f>
        <v>0</v>
      </c>
      <c r="BC1" s="35">
        <f>SUBTOTAL(2,BC11:BC19978)</f>
        <v>0</v>
      </c>
    </row>
    <row r="2" spans="1:62" ht="15" customHeight="1">
      <c r="J2" s="35">
        <f>SUBTOTAL(9,J11:J19979)</f>
        <v>249</v>
      </c>
      <c r="K2" s="35">
        <f>SUBTOTAL(9,K11:K19979)</f>
        <v>17010</v>
      </c>
      <c r="L2" s="35"/>
      <c r="R2" s="35">
        <f>SUBTOTAL(9,R11:R19979)*R5</f>
        <v>2430</v>
      </c>
      <c r="S2" s="35">
        <f>SUBTOTAL(9,S11:S19979)*S5</f>
        <v>1320</v>
      </c>
      <c r="T2" s="35">
        <f>SUBTOTAL(9,T11:T19979)*T5</f>
        <v>9550</v>
      </c>
      <c r="U2" s="35">
        <f>SUBTOTAL(9,U11:U19979)*U5</f>
        <v>3360</v>
      </c>
      <c r="V2" s="35">
        <f>SUBTOTAL(9,V11:V19979)*V5</f>
        <v>0</v>
      </c>
      <c r="W2" s="35">
        <f>SUBTOTAL(9,W11:W19979)*W5</f>
        <v>0</v>
      </c>
      <c r="X2" s="35">
        <f>SUBTOTAL(9,X11:X19979)*X5</f>
        <v>0</v>
      </c>
      <c r="Y2" s="35">
        <f>SUBTOTAL(9,Y11:Y19979)*Y5</f>
        <v>0</v>
      </c>
      <c r="Z2" s="35">
        <f>SUBTOTAL(9,Z11:Z19979)*Z5</f>
        <v>0</v>
      </c>
      <c r="AA2" s="35">
        <f>SUBTOTAL(9,AA11:AA19979)*AA5</f>
        <v>0</v>
      </c>
      <c r="AB2" s="35">
        <f>SUBTOTAL(9,AB11:AB19979)*AB5</f>
        <v>0</v>
      </c>
      <c r="AC2" s="35">
        <f>SUBTOTAL(9,AC11:AC19979)*AC5</f>
        <v>0</v>
      </c>
      <c r="AD2" s="35">
        <f>SUBTOTAL(9,AD11:AD19979)*AD5</f>
        <v>0</v>
      </c>
      <c r="AE2" s="35">
        <f>SUBTOTAL(9,AE11:AE19979)*AE5</f>
        <v>0</v>
      </c>
      <c r="AF2" s="35">
        <f>SUBTOTAL(9,AF11:AF19979)*AF5</f>
        <v>0</v>
      </c>
      <c r="AG2" s="35">
        <f>SUBTOTAL(9,AG11:AG19979)*AG5</f>
        <v>0</v>
      </c>
      <c r="AH2" s="35">
        <f>SUBTOTAL(9,AH11:AH19979)*AH5</f>
        <v>0</v>
      </c>
      <c r="AI2" s="35">
        <f>SUBTOTAL(9,AI11:AI19979)*AI5</f>
        <v>0</v>
      </c>
      <c r="AJ2" s="35">
        <f>SUBTOTAL(9,AJ11:AJ19979)*AJ5</f>
        <v>0</v>
      </c>
      <c r="AK2" s="35">
        <f>SUBTOTAL(9,AK11:AK19979)*AK5</f>
        <v>0</v>
      </c>
      <c r="AL2" s="35">
        <f>SUBTOTAL(9,AL11:AL19979)*AL5</f>
        <v>0</v>
      </c>
      <c r="AM2" s="35">
        <f>SUBTOTAL(9,AM11:AM19979)*AM5</f>
        <v>0</v>
      </c>
      <c r="AN2" s="35">
        <f>SUBTOTAL(9,AN11:AN19979)*AN5</f>
        <v>0</v>
      </c>
      <c r="AO2" s="35">
        <f>SUBTOTAL(9,AO11:AO19979)*AO5</f>
        <v>0</v>
      </c>
      <c r="AP2" s="35">
        <f>SUBTOTAL(9,AP11:AP19979)*AP5</f>
        <v>0</v>
      </c>
      <c r="AQ2" s="35">
        <f>SUBTOTAL(9,AQ11:AQ19979)*AQ5</f>
        <v>0</v>
      </c>
      <c r="AR2" s="35">
        <f>SUBTOTAL(9,AR11:AR19979)*AR5</f>
        <v>0</v>
      </c>
      <c r="AS2" s="35">
        <f>SUBTOTAL(9,AS11:AS19979)*AS5</f>
        <v>0</v>
      </c>
      <c r="AT2" s="35">
        <f>SUBTOTAL(9,AT11:AT19979)*AT5</f>
        <v>0</v>
      </c>
      <c r="AU2" s="35">
        <f>SUBTOTAL(9,AU11:AU19979)*AU5</f>
        <v>0</v>
      </c>
      <c r="AV2" s="35">
        <f>SUBTOTAL(9,AV11:AV19979)*AV5</f>
        <v>0</v>
      </c>
      <c r="AW2" s="35">
        <f>SUBTOTAL(9,AW11:AW19979)*AW5</f>
        <v>0</v>
      </c>
      <c r="AX2" s="35">
        <f>SUBTOTAL(9,AX11:AX19979)*AX5</f>
        <v>0</v>
      </c>
      <c r="AY2" s="35">
        <f>SUBTOTAL(9,AY11:AY19979)*AY5</f>
        <v>0</v>
      </c>
      <c r="AZ2" s="35">
        <f>SUBTOTAL(9,AZ11:AZ19979)*AZ5</f>
        <v>0</v>
      </c>
      <c r="BA2" s="35">
        <f>SUBTOTAL(9,BA11:BA19979)*BA5</f>
        <v>0</v>
      </c>
      <c r="BB2" s="35">
        <f>SUBTOTAL(9,BB11:BB19979)*BB5</f>
        <v>0</v>
      </c>
      <c r="BC2" s="35">
        <f>SUBTOTAL(9,BC11:BC19979)*BC5</f>
        <v>0</v>
      </c>
    </row>
    <row r="3" spans="1:62" s="6" customFormat="1">
      <c r="A3" s="4" t="s">
        <v>13</v>
      </c>
      <c r="B3" s="4"/>
      <c r="C3" s="4"/>
      <c r="D3" s="4"/>
      <c r="E3" s="4"/>
      <c r="F3" s="19"/>
      <c r="G3" s="4"/>
      <c r="H3" s="1"/>
      <c r="I3" s="4"/>
      <c r="J3" s="1"/>
      <c r="K3" s="5"/>
      <c r="L3" s="5"/>
      <c r="M3" s="1"/>
      <c r="N3" s="1"/>
      <c r="O3" s="4"/>
      <c r="P3" s="4"/>
      <c r="Q3" s="48"/>
      <c r="R3" s="4"/>
      <c r="S3" s="4"/>
      <c r="T3" s="4"/>
      <c r="U3" s="4"/>
      <c r="V3" s="4"/>
      <c r="W3" s="4"/>
      <c r="X3" s="4"/>
      <c r="Y3" s="97" t="s">
        <v>40</v>
      </c>
      <c r="Z3" s="97"/>
      <c r="AA3" s="97"/>
      <c r="AB3" s="97"/>
      <c r="AC3" s="97"/>
      <c r="AD3" s="97"/>
      <c r="AE3" s="97"/>
      <c r="AF3" s="97"/>
      <c r="AG3" s="97" t="s">
        <v>41</v>
      </c>
      <c r="AH3" s="97"/>
      <c r="AI3" s="97"/>
      <c r="AJ3" s="97"/>
      <c r="AK3" s="97"/>
      <c r="AL3" s="97"/>
      <c r="AM3" s="97"/>
      <c r="AN3" s="8" t="s">
        <v>42</v>
      </c>
      <c r="AO3" s="97" t="s">
        <v>43</v>
      </c>
      <c r="AP3" s="97"/>
      <c r="AQ3" s="97"/>
      <c r="AR3" s="97"/>
      <c r="AS3" s="97" t="s">
        <v>44</v>
      </c>
      <c r="AT3" s="97"/>
      <c r="AU3" s="97"/>
      <c r="AV3" s="97"/>
      <c r="AW3" s="97"/>
      <c r="AX3" s="97"/>
      <c r="AY3" s="97"/>
      <c r="AZ3" s="97" t="s">
        <v>45</v>
      </c>
      <c r="BA3" s="97"/>
      <c r="BB3" s="97" t="s">
        <v>46</v>
      </c>
      <c r="BC3" s="97"/>
      <c r="BD3" s="9"/>
    </row>
    <row r="4" spans="1:62" s="26" customFormat="1" ht="48.75" customHeight="1">
      <c r="A4" s="95" t="s">
        <v>14</v>
      </c>
      <c r="B4" s="95"/>
      <c r="C4" s="95"/>
      <c r="D4" s="95"/>
      <c r="E4" s="95"/>
      <c r="F4" s="95"/>
      <c r="G4" s="98" t="s">
        <v>47</v>
      </c>
      <c r="H4" s="99"/>
      <c r="I4" s="99"/>
      <c r="J4" s="99"/>
      <c r="K4" s="99"/>
      <c r="L4" s="99"/>
      <c r="M4" s="99"/>
      <c r="N4" s="99"/>
      <c r="O4" s="99"/>
      <c r="P4" s="28"/>
      <c r="Q4" s="49"/>
      <c r="R4" s="46" t="s">
        <v>48</v>
      </c>
      <c r="S4" s="46" t="s">
        <v>49</v>
      </c>
      <c r="T4" s="46" t="s">
        <v>50</v>
      </c>
      <c r="U4" s="46" t="s">
        <v>51</v>
      </c>
      <c r="V4" s="46" t="s">
        <v>52</v>
      </c>
      <c r="W4" s="46" t="s">
        <v>53</v>
      </c>
      <c r="X4" s="46" t="s">
        <v>54</v>
      </c>
      <c r="Y4" s="22" t="s">
        <v>55</v>
      </c>
      <c r="Z4" s="23" t="s">
        <v>56</v>
      </c>
      <c r="AA4" s="23" t="s">
        <v>57</v>
      </c>
      <c r="AB4" s="23" t="s">
        <v>58</v>
      </c>
      <c r="AC4" s="23" t="s">
        <v>59</v>
      </c>
      <c r="AD4" s="23" t="s">
        <v>60</v>
      </c>
      <c r="AE4" s="23" t="s">
        <v>61</v>
      </c>
      <c r="AF4" s="23" t="s">
        <v>62</v>
      </c>
      <c r="AG4" s="28" t="s">
        <v>63</v>
      </c>
      <c r="AH4" s="23" t="s">
        <v>64</v>
      </c>
      <c r="AI4" s="23" t="s">
        <v>65</v>
      </c>
      <c r="AJ4" s="23" t="s">
        <v>66</v>
      </c>
      <c r="AK4" s="23" t="s">
        <v>67</v>
      </c>
      <c r="AL4" s="23" t="s">
        <v>68</v>
      </c>
      <c r="AM4" s="23" t="s">
        <v>69</v>
      </c>
      <c r="AN4" s="22" t="s">
        <v>70</v>
      </c>
      <c r="AO4" s="22" t="s">
        <v>71</v>
      </c>
      <c r="AP4" s="23" t="s">
        <v>72</v>
      </c>
      <c r="AQ4" s="23" t="s">
        <v>73</v>
      </c>
      <c r="AR4" s="23" t="s">
        <v>74</v>
      </c>
      <c r="AS4" s="22" t="s">
        <v>75</v>
      </c>
      <c r="AT4" s="27" t="s">
        <v>76</v>
      </c>
      <c r="AU4" s="27" t="s">
        <v>77</v>
      </c>
      <c r="AV4" s="27" t="s">
        <v>78</v>
      </c>
      <c r="AW4" s="27" t="s">
        <v>79</v>
      </c>
      <c r="AX4" s="23" t="s">
        <v>80</v>
      </c>
      <c r="AY4" s="23" t="s">
        <v>81</v>
      </c>
      <c r="AZ4" s="22" t="s">
        <v>82</v>
      </c>
      <c r="BA4" s="23" t="s">
        <v>83</v>
      </c>
      <c r="BB4" s="22" t="s">
        <v>84</v>
      </c>
      <c r="BC4" s="34" t="s">
        <v>85</v>
      </c>
      <c r="BD4" s="24"/>
      <c r="BE4" s="25"/>
      <c r="BF4" s="25"/>
      <c r="BG4" s="25"/>
      <c r="BH4" s="25"/>
      <c r="BI4" s="25"/>
      <c r="BJ4" s="25"/>
    </row>
    <row r="5" spans="1:62">
      <c r="A5" s="17" t="s">
        <v>16</v>
      </c>
      <c r="B5" s="17" t="s">
        <v>86</v>
      </c>
      <c r="C5" s="17" t="s">
        <v>87</v>
      </c>
      <c r="D5" s="17" t="s">
        <v>18</v>
      </c>
      <c r="E5" s="17"/>
      <c r="F5" s="20" t="s">
        <v>14</v>
      </c>
      <c r="G5" s="17" t="s">
        <v>88</v>
      </c>
      <c r="H5" s="17" t="s">
        <v>89</v>
      </c>
      <c r="I5" s="17" t="s">
        <v>90</v>
      </c>
      <c r="J5" s="17" t="s">
        <v>23</v>
      </c>
      <c r="K5" s="18" t="s">
        <v>91</v>
      </c>
      <c r="L5" s="18" t="s">
        <v>92</v>
      </c>
      <c r="M5" s="17" t="s">
        <v>93</v>
      </c>
      <c r="N5" s="17" t="s">
        <v>26</v>
      </c>
      <c r="O5" s="17" t="s">
        <v>94</v>
      </c>
      <c r="P5" s="17" t="s">
        <v>95</v>
      </c>
      <c r="Q5" s="50" t="s">
        <v>96</v>
      </c>
      <c r="R5" s="15">
        <v>90</v>
      </c>
      <c r="S5" s="15">
        <v>660</v>
      </c>
      <c r="T5" s="15">
        <v>50</v>
      </c>
      <c r="U5" s="15">
        <v>120</v>
      </c>
      <c r="V5" s="15">
        <v>600</v>
      </c>
      <c r="W5" s="15">
        <v>35</v>
      </c>
      <c r="X5" s="15">
        <v>220</v>
      </c>
      <c r="Y5" s="14">
        <v>135</v>
      </c>
      <c r="Z5" s="15">
        <v>35</v>
      </c>
      <c r="AA5" s="15">
        <v>220</v>
      </c>
      <c r="AB5" s="15">
        <v>50</v>
      </c>
      <c r="AC5" s="15">
        <v>15</v>
      </c>
      <c r="AD5" s="15">
        <v>250</v>
      </c>
      <c r="AE5" s="15">
        <v>400</v>
      </c>
      <c r="AF5" s="15">
        <v>85</v>
      </c>
      <c r="AG5" s="14">
        <v>150</v>
      </c>
      <c r="AH5" s="16">
        <v>40</v>
      </c>
      <c r="AI5" s="14">
        <v>180</v>
      </c>
      <c r="AJ5" s="15">
        <v>260</v>
      </c>
      <c r="AK5" s="15">
        <v>180</v>
      </c>
      <c r="AL5" s="15">
        <v>400</v>
      </c>
      <c r="AM5" s="15">
        <v>2200</v>
      </c>
      <c r="AN5" s="14">
        <v>30</v>
      </c>
      <c r="AO5" s="14">
        <v>300</v>
      </c>
      <c r="AP5" s="15">
        <v>700</v>
      </c>
      <c r="AQ5" s="15">
        <v>5000</v>
      </c>
      <c r="AR5" s="15">
        <v>7000</v>
      </c>
      <c r="AS5" s="14">
        <v>80</v>
      </c>
      <c r="AT5" s="16">
        <v>150</v>
      </c>
      <c r="AU5" s="16">
        <v>360</v>
      </c>
      <c r="AV5" s="16">
        <v>460</v>
      </c>
      <c r="AW5" s="15">
        <v>900</v>
      </c>
      <c r="AX5" s="15">
        <v>1500</v>
      </c>
      <c r="AY5" s="15">
        <v>3000</v>
      </c>
      <c r="AZ5" s="14">
        <v>2500</v>
      </c>
      <c r="BA5" s="15">
        <v>10000</v>
      </c>
      <c r="BB5" s="12">
        <v>0.12</v>
      </c>
      <c r="BC5" s="13">
        <v>0.25</v>
      </c>
    </row>
    <row r="6" spans="1:62">
      <c r="A6" t="s">
        <v>6</v>
      </c>
      <c r="B6" t="s">
        <v>97</v>
      </c>
      <c r="C6" t="s">
        <v>98</v>
      </c>
      <c r="D6" s="11">
        <v>46001</v>
      </c>
      <c r="E6" s="66" t="s">
        <v>99</v>
      </c>
      <c r="F6" s="61" t="s">
        <v>100</v>
      </c>
      <c r="G6" t="s">
        <v>101</v>
      </c>
      <c r="H6" s="55" t="s">
        <v>102</v>
      </c>
      <c r="I6" s="37" t="s">
        <v>103</v>
      </c>
      <c r="J6" s="2">
        <f>IF(SUM(R6:BD6)=0,"-",SUM(R6:BD6))</f>
        <v>10</v>
      </c>
      <c r="K6" s="3">
        <f>IF(SUMPRODUCT($R$5:$BD$5,R6:BD6)=0,"-",SUMPRODUCT($R$5:$BD$5,R6:BD6))</f>
        <v>900</v>
      </c>
      <c r="L6" s="3"/>
      <c r="M6" s="56" t="s">
        <v>30</v>
      </c>
      <c r="N6" s="56" t="s">
        <v>30</v>
      </c>
      <c r="O6" s="55" t="s">
        <v>104</v>
      </c>
      <c r="P6" s="55" t="s">
        <v>105</v>
      </c>
      <c r="Q6" s="57" t="s">
        <v>106</v>
      </c>
      <c r="R6" s="2">
        <v>10</v>
      </c>
    </row>
    <row r="7" spans="1:62" ht="15" customHeight="1">
      <c r="A7" t="s">
        <v>6</v>
      </c>
      <c r="B7" t="s">
        <v>97</v>
      </c>
      <c r="C7" t="s">
        <v>98</v>
      </c>
      <c r="D7" s="11">
        <v>46027</v>
      </c>
      <c r="E7" s="66" t="s">
        <v>99</v>
      </c>
      <c r="F7" s="61" t="s">
        <v>107</v>
      </c>
      <c r="G7" t="s">
        <v>101</v>
      </c>
      <c r="H7" s="36" t="s">
        <v>102</v>
      </c>
      <c r="I7" s="53" t="s">
        <v>108</v>
      </c>
      <c r="J7" s="2">
        <f>IF(SUM(R7:BD7)=0,"-",SUM(R7:BD7))</f>
        <v>89</v>
      </c>
      <c r="K7" s="88">
        <f>IF(SUMPRODUCT($R$5:$BD$5,R7:BD7)=0,"-",SUMPRODUCT($R$5:$BD$5,R7:BD7))</f>
        <v>5060</v>
      </c>
      <c r="L7" s="3"/>
      <c r="M7" s="91"/>
      <c r="N7" s="91"/>
      <c r="O7" s="92"/>
      <c r="P7" s="92"/>
      <c r="Q7" s="93"/>
      <c r="S7" s="2">
        <v>1</v>
      </c>
      <c r="T7" s="2">
        <v>88</v>
      </c>
    </row>
    <row r="8" spans="1:62" ht="15" customHeight="1">
      <c r="A8" t="s">
        <v>6</v>
      </c>
      <c r="B8" t="s">
        <v>97</v>
      </c>
      <c r="C8" t="s">
        <v>98</v>
      </c>
      <c r="D8" s="11">
        <v>46038</v>
      </c>
      <c r="E8" s="66" t="s">
        <v>99</v>
      </c>
      <c r="F8" s="61" t="s">
        <v>109</v>
      </c>
      <c r="G8" t="s">
        <v>101</v>
      </c>
      <c r="H8" s="36" t="s">
        <v>110</v>
      </c>
      <c r="I8" s="37"/>
      <c r="J8" s="2">
        <f>IF(SUM(R8:BD8)=0,"-",SUM(R8:BD8))</f>
        <v>16</v>
      </c>
      <c r="K8" s="88">
        <f>IF(SUMPRODUCT($R$5:$BD$5,R8:BD8)=0,"-",SUMPRODUCT($R$5:$BD$5,R8:BD8))</f>
        <v>1920</v>
      </c>
      <c r="L8" s="3"/>
      <c r="Q8" s="51"/>
      <c r="U8" s="2">
        <v>16</v>
      </c>
    </row>
    <row r="9" spans="1:62" ht="15" customHeight="1">
      <c r="A9" t="s">
        <v>6</v>
      </c>
      <c r="B9" t="s">
        <v>97</v>
      </c>
      <c r="C9" t="s">
        <v>98</v>
      </c>
      <c r="D9" s="59">
        <v>46084</v>
      </c>
      <c r="E9" s="67" t="s">
        <v>99</v>
      </c>
      <c r="F9" s="61" t="s">
        <v>111</v>
      </c>
      <c r="G9" t="s">
        <v>101</v>
      </c>
      <c r="H9" s="36" t="s">
        <v>110</v>
      </c>
      <c r="I9" s="39"/>
      <c r="J9" s="2">
        <v>1</v>
      </c>
      <c r="K9" s="38">
        <v>115</v>
      </c>
      <c r="Q9" s="51"/>
      <c r="BC9" s="7"/>
    </row>
    <row r="10" spans="1:62" ht="15" customHeight="1">
      <c r="D10" s="59"/>
      <c r="E10" s="76" t="s">
        <v>99</v>
      </c>
      <c r="F10" s="77"/>
      <c r="H10" s="36"/>
      <c r="I10" s="39"/>
      <c r="L10" s="78">
        <f>SUM(K6:K9)</f>
        <v>7995</v>
      </c>
      <c r="Q10" s="51"/>
    </row>
    <row r="11" spans="1:62" ht="15" customHeight="1">
      <c r="A11" t="s">
        <v>6</v>
      </c>
      <c r="B11" t="s">
        <v>97</v>
      </c>
      <c r="C11" t="s">
        <v>98</v>
      </c>
      <c r="D11" s="11">
        <v>46009</v>
      </c>
      <c r="E11" s="68" t="s">
        <v>112</v>
      </c>
      <c r="F11" s="62" t="s">
        <v>113</v>
      </c>
      <c r="G11" t="s">
        <v>101</v>
      </c>
      <c r="H11" s="58" t="s">
        <v>102</v>
      </c>
      <c r="I11" s="53" t="s">
        <v>114</v>
      </c>
      <c r="J11" s="2">
        <f>IF(SUM(R11:BD11)=0,"-",SUM(R11:BD11))</f>
        <v>20</v>
      </c>
      <c r="K11" s="3">
        <f>IF(SUMPRODUCT($R$5:$BD$5,R11:BD11)=0,"-",SUMPRODUCT($R$5:$BD$5,R11:BD11))</f>
        <v>1000</v>
      </c>
      <c r="L11" s="3"/>
      <c r="M11" s="56" t="s">
        <v>30</v>
      </c>
      <c r="N11" s="56" t="s">
        <v>30</v>
      </c>
      <c r="O11" s="55" t="s">
        <v>115</v>
      </c>
      <c r="P11" s="89" t="s">
        <v>116</v>
      </c>
      <c r="Q11" s="51" t="s">
        <v>117</v>
      </c>
      <c r="T11" s="2">
        <v>20</v>
      </c>
    </row>
    <row r="12" spans="1:62" ht="15" customHeight="1">
      <c r="A12" t="s">
        <v>6</v>
      </c>
      <c r="B12" t="s">
        <v>97</v>
      </c>
      <c r="C12" t="s">
        <v>98</v>
      </c>
      <c r="D12" s="11">
        <v>46048</v>
      </c>
      <c r="E12" s="68" t="s">
        <v>112</v>
      </c>
      <c r="F12" s="63" t="s">
        <v>118</v>
      </c>
      <c r="G12" t="s">
        <v>101</v>
      </c>
      <c r="H12" s="36" t="s">
        <v>102</v>
      </c>
      <c r="I12" s="37" t="s">
        <v>119</v>
      </c>
      <c r="J12" s="2">
        <f>IF(SUM(R12:BD12)=0,"-",SUM(R12:BD12))</f>
        <v>14</v>
      </c>
      <c r="K12" s="3">
        <f>IF(SUMPRODUCT($R$5:$BD$5,R12:BD12)=0,"-",SUMPRODUCT($R$5:$BD$5,R12:BD12))</f>
        <v>1680</v>
      </c>
      <c r="L12" s="3"/>
      <c r="M12" s="56" t="s">
        <v>30</v>
      </c>
      <c r="N12" s="56" t="s">
        <v>30</v>
      </c>
      <c r="O12" s="55" t="s">
        <v>115</v>
      </c>
      <c r="P12" s="89" t="s">
        <v>116</v>
      </c>
      <c r="Q12" s="51" t="s">
        <v>117</v>
      </c>
      <c r="U12" s="2">
        <v>14</v>
      </c>
    </row>
    <row r="13" spans="1:62" ht="15" customHeight="1">
      <c r="A13" t="s">
        <v>6</v>
      </c>
      <c r="B13" t="s">
        <v>97</v>
      </c>
      <c r="C13" t="s">
        <v>98</v>
      </c>
      <c r="D13" s="11">
        <v>46071</v>
      </c>
      <c r="E13" s="68" t="s">
        <v>112</v>
      </c>
      <c r="F13" s="63" t="s">
        <v>120</v>
      </c>
      <c r="G13" t="s">
        <v>101</v>
      </c>
      <c r="H13" s="36" t="s">
        <v>102</v>
      </c>
      <c r="I13" s="39" t="s">
        <v>119</v>
      </c>
      <c r="J13" s="2">
        <f>IF(SUM(R13:BD13)=0,"-",SUM(R13:BD13))</f>
        <v>1</v>
      </c>
      <c r="K13" s="3">
        <f>IF(SUMPRODUCT($R$5:$BD$5,R13:BD13)=0,"-",SUMPRODUCT($R$5:$BD$5,R13:BD13))</f>
        <v>660</v>
      </c>
      <c r="L13" s="3"/>
      <c r="M13" s="56" t="s">
        <v>30</v>
      </c>
      <c r="N13" s="56" t="s">
        <v>30</v>
      </c>
      <c r="O13" s="55" t="s">
        <v>115</v>
      </c>
      <c r="P13" s="89" t="s">
        <v>116</v>
      </c>
      <c r="Q13" s="51" t="s">
        <v>117</v>
      </c>
      <c r="S13" s="2">
        <v>1</v>
      </c>
    </row>
    <row r="14" spans="1:62" ht="15" customHeight="1">
      <c r="E14" s="83" t="s">
        <v>112</v>
      </c>
      <c r="F14" s="79"/>
      <c r="L14" s="78">
        <f>SUM(K11:K13)</f>
        <v>3340</v>
      </c>
    </row>
    <row r="15" spans="1:62" ht="15" customHeight="1">
      <c r="A15" t="s">
        <v>6</v>
      </c>
      <c r="B15" t="s">
        <v>97</v>
      </c>
      <c r="C15" t="s">
        <v>98</v>
      </c>
      <c r="D15" s="11">
        <v>46048</v>
      </c>
      <c r="E15" s="69" t="s">
        <v>121</v>
      </c>
      <c r="F15" s="60" t="s">
        <v>122</v>
      </c>
      <c r="G15" t="s">
        <v>101</v>
      </c>
      <c r="H15" s="36" t="s">
        <v>110</v>
      </c>
      <c r="I15" s="53" t="s">
        <v>123</v>
      </c>
      <c r="J15" s="2">
        <f>IF(SUM(R15:BD15)=0,"-",SUM(R15:BD15))</f>
        <v>129</v>
      </c>
      <c r="K15" s="3">
        <f>IF(SUMPRODUCT($R$5:$BD$5,R15:BD15)=0,"-",SUMPRODUCT($R$5:$BD$5,R15:BD15))</f>
        <v>7060</v>
      </c>
      <c r="L15" s="3"/>
      <c r="Q15" s="51"/>
      <c r="S15" s="2">
        <v>1</v>
      </c>
      <c r="T15" s="2">
        <v>128</v>
      </c>
    </row>
    <row r="16" spans="1:62" ht="15" customHeight="1">
      <c r="A16" t="s">
        <v>6</v>
      </c>
      <c r="B16" t="s">
        <v>97</v>
      </c>
      <c r="C16" t="s">
        <v>98</v>
      </c>
      <c r="D16" s="11">
        <v>46040</v>
      </c>
      <c r="E16" s="69" t="s">
        <v>121</v>
      </c>
      <c r="F16" s="60" t="s">
        <v>124</v>
      </c>
      <c r="G16" t="s">
        <v>101</v>
      </c>
      <c r="H16" s="36" t="s">
        <v>102</v>
      </c>
      <c r="I16" s="37" t="s">
        <v>125</v>
      </c>
      <c r="J16" s="2">
        <f>IF(SUM(R16:BD16)=0,"-",SUM(R16:BD16))</f>
        <v>9</v>
      </c>
      <c r="K16" s="38">
        <f>IF(SUMPRODUCT($R$5:$BD$5,R16:BD16)=0,"-",SUMPRODUCT($R$5:$BD$5,R16:BD16))</f>
        <v>810</v>
      </c>
      <c r="M16" s="56" t="s">
        <v>30</v>
      </c>
      <c r="N16" s="56" t="s">
        <v>30</v>
      </c>
      <c r="O16" s="55" t="s">
        <v>115</v>
      </c>
      <c r="P16" s="55" t="s">
        <v>126</v>
      </c>
      <c r="Q16" s="51" t="s">
        <v>127</v>
      </c>
      <c r="R16" s="2">
        <v>9</v>
      </c>
    </row>
    <row r="17" spans="1:21" ht="15" customHeight="1">
      <c r="E17" s="84" t="s">
        <v>121</v>
      </c>
      <c r="F17" s="80"/>
      <c r="L17" s="78">
        <f>SUM(K15:K16)</f>
        <v>7870</v>
      </c>
    </row>
    <row r="18" spans="1:21" ht="15" customHeight="1">
      <c r="A18" t="s">
        <v>6</v>
      </c>
      <c r="B18" t="s">
        <v>97</v>
      </c>
      <c r="C18" t="s">
        <v>98</v>
      </c>
      <c r="D18" s="11">
        <v>46071</v>
      </c>
      <c r="E18" s="70" t="s">
        <v>128</v>
      </c>
      <c r="F18" s="65" t="s">
        <v>129</v>
      </c>
      <c r="G18" t="s">
        <v>101</v>
      </c>
      <c r="H18" s="36" t="s">
        <v>110</v>
      </c>
      <c r="I18" s="37" t="s">
        <v>130</v>
      </c>
      <c r="J18" s="2">
        <f>IF(SUM(R18:BD18)=0,"-",SUM(R18:BD18))</f>
        <v>8</v>
      </c>
      <c r="K18" s="3">
        <f>IF(SUMPRODUCT($R$5:$BD$5,R18:BD18)=0,"-",SUMPRODUCT($R$5:$BD$5,R18:BD18))</f>
        <v>400</v>
      </c>
      <c r="L18" s="87"/>
      <c r="Q18" s="51"/>
      <c r="T18" s="2">
        <v>8</v>
      </c>
    </row>
    <row r="19" spans="1:21" ht="15" customHeight="1">
      <c r="D19" s="59" t="s">
        <v>131</v>
      </c>
      <c r="E19" s="70" t="s">
        <v>128</v>
      </c>
      <c r="F19" s="75" t="s">
        <v>129</v>
      </c>
      <c r="G19" t="s">
        <v>101</v>
      </c>
      <c r="H19" s="36" t="s">
        <v>110</v>
      </c>
      <c r="I19" s="37" t="s">
        <v>130</v>
      </c>
      <c r="J19" s="2">
        <f>IF(SUM(R19:BD19)=0,"-",SUM(R19:BD19))</f>
        <v>14</v>
      </c>
      <c r="K19" s="3">
        <f>IF(SUMPRODUCT($R$5:$BD$5,R19:BD19)=0,"-",SUMPRODUCT($R$5:$BD$5,R19:BD19))</f>
        <v>1680</v>
      </c>
      <c r="L19" s="87"/>
      <c r="Q19" s="51"/>
      <c r="U19" s="2">
        <v>14</v>
      </c>
    </row>
    <row r="20" spans="1:21" ht="15" customHeight="1">
      <c r="E20" s="85" t="s">
        <v>128</v>
      </c>
      <c r="F20" s="81"/>
      <c r="L20" s="78">
        <f>SUM(K18:K19)</f>
        <v>2080</v>
      </c>
    </row>
    <row r="21" spans="1:21" ht="15" customHeight="1">
      <c r="A21" t="s">
        <v>6</v>
      </c>
      <c r="B21" t="s">
        <v>97</v>
      </c>
      <c r="C21" t="s">
        <v>98</v>
      </c>
      <c r="D21" s="11">
        <v>46009</v>
      </c>
      <c r="E21" s="71" t="s">
        <v>132</v>
      </c>
      <c r="F21" s="64" t="s">
        <v>133</v>
      </c>
      <c r="G21" t="s">
        <v>101</v>
      </c>
      <c r="H21" s="55" t="s">
        <v>102</v>
      </c>
      <c r="I21" s="54" t="s">
        <v>134</v>
      </c>
      <c r="J21" s="2">
        <f>IF(SUM(R21:BD21)=0,"-",SUM(R21:BD21))</f>
        <v>12</v>
      </c>
      <c r="K21" s="3">
        <f>IF(SUMPRODUCT($R$5:$BD$5,R21:BD21)=0,"-",SUMPRODUCT($R$5:$BD$5,R21:BD21))</f>
        <v>1080</v>
      </c>
      <c r="L21" s="3"/>
      <c r="M21" s="56" t="s">
        <v>30</v>
      </c>
      <c r="N21" s="56" t="s">
        <v>30</v>
      </c>
      <c r="O21" s="55" t="s">
        <v>104</v>
      </c>
      <c r="P21" s="55" t="s">
        <v>135</v>
      </c>
      <c r="Q21" s="57" t="s">
        <v>106</v>
      </c>
      <c r="R21" s="2">
        <v>12</v>
      </c>
    </row>
    <row r="22" spans="1:21" ht="15" customHeight="1">
      <c r="A22" t="s">
        <v>6</v>
      </c>
      <c r="B22" t="s">
        <v>97</v>
      </c>
      <c r="C22" t="s">
        <v>98</v>
      </c>
      <c r="D22" s="11">
        <v>46009</v>
      </c>
      <c r="E22" s="71" t="s">
        <v>132</v>
      </c>
      <c r="F22" s="64" t="s">
        <v>136</v>
      </c>
      <c r="G22" t="s">
        <v>101</v>
      </c>
      <c r="H22" s="58" t="s">
        <v>102</v>
      </c>
      <c r="I22" s="53" t="s">
        <v>137</v>
      </c>
      <c r="J22" s="2">
        <f>IF(SUM(R22:BD22)=0,"-",SUM(R22:BD22))</f>
        <v>35</v>
      </c>
      <c r="K22" s="3">
        <f>IF(SUMPRODUCT($R$5:$BD$5,R22:BD22)=0,"-",SUMPRODUCT($R$5:$BD$5,R22:BD22))</f>
        <v>1750</v>
      </c>
      <c r="L22" s="3"/>
      <c r="M22" s="56" t="s">
        <v>30</v>
      </c>
      <c r="N22" s="56" t="s">
        <v>30</v>
      </c>
      <c r="O22" s="55" t="s">
        <v>115</v>
      </c>
      <c r="P22" s="90" t="s">
        <v>138</v>
      </c>
      <c r="Q22" s="51" t="s">
        <v>139</v>
      </c>
      <c r="T22" s="2">
        <v>35</v>
      </c>
    </row>
    <row r="23" spans="1:21" ht="15" customHeight="1">
      <c r="A23" t="s">
        <v>6</v>
      </c>
      <c r="B23" t="s">
        <v>97</v>
      </c>
      <c r="C23" t="s">
        <v>98</v>
      </c>
      <c r="D23" s="59">
        <v>46058</v>
      </c>
      <c r="E23" s="72" t="s">
        <v>132</v>
      </c>
      <c r="F23" s="64" t="s">
        <v>140</v>
      </c>
      <c r="G23" t="s">
        <v>101</v>
      </c>
      <c r="H23" s="58" t="s">
        <v>102</v>
      </c>
      <c r="I23" s="37" t="s">
        <v>134</v>
      </c>
      <c r="J23" s="2">
        <f>IF(SUM(R23:BD23)=0,"-",SUM(R23:BD23))</f>
        <v>6</v>
      </c>
      <c r="K23" s="3">
        <f>IF(SUMPRODUCT($R$5:$BD$5,R23:BD23)=0,"-",SUMPRODUCT($R$5:$BD$5,R23:BD23))</f>
        <v>540</v>
      </c>
      <c r="L23" s="3"/>
      <c r="M23" s="56" t="s">
        <v>30</v>
      </c>
      <c r="N23" s="56" t="s">
        <v>30</v>
      </c>
      <c r="O23" s="55" t="s">
        <v>115</v>
      </c>
      <c r="P23" s="90" t="s">
        <v>141</v>
      </c>
      <c r="Q23" s="51" t="s">
        <v>139</v>
      </c>
      <c r="R23" s="2">
        <v>6</v>
      </c>
    </row>
    <row r="24" spans="1:21" ht="15" customHeight="1">
      <c r="A24" t="s">
        <v>6</v>
      </c>
      <c r="B24" t="s">
        <v>97</v>
      </c>
      <c r="C24" t="s">
        <v>98</v>
      </c>
      <c r="D24" s="11">
        <v>46076</v>
      </c>
      <c r="E24" s="72" t="s">
        <v>132</v>
      </c>
      <c r="F24" s="64" t="s">
        <v>142</v>
      </c>
      <c r="G24" t="s">
        <v>101</v>
      </c>
      <c r="H24" s="36" t="s">
        <v>102</v>
      </c>
      <c r="I24" s="37" t="s">
        <v>143</v>
      </c>
      <c r="J24" s="2">
        <v>1</v>
      </c>
      <c r="K24" s="38">
        <v>350</v>
      </c>
      <c r="M24" s="56" t="s">
        <v>30</v>
      </c>
      <c r="N24" s="56" t="s">
        <v>30</v>
      </c>
      <c r="O24" s="55" t="s">
        <v>115</v>
      </c>
      <c r="P24" s="55" t="s">
        <v>144</v>
      </c>
      <c r="Q24" s="51" t="s">
        <v>127</v>
      </c>
    </row>
    <row r="25" spans="1:21" ht="15" customHeight="1">
      <c r="E25" s="86" t="s">
        <v>132</v>
      </c>
      <c r="F25" s="82"/>
      <c r="L25" s="78">
        <f>SUM(K21:K24)</f>
        <v>3720</v>
      </c>
    </row>
    <row r="26" spans="1:21" ht="15" customHeight="1">
      <c r="D26" s="11"/>
      <c r="E26" s="73"/>
      <c r="F26" s="29"/>
      <c r="H26" s="36"/>
      <c r="I26" s="37"/>
      <c r="Q26" s="51"/>
    </row>
    <row r="31" spans="1:21" ht="15" customHeight="1">
      <c r="D31" s="11"/>
      <c r="E31" s="73"/>
      <c r="F31" s="29"/>
      <c r="H31" s="36"/>
      <c r="I31" s="37"/>
      <c r="Q31" s="51"/>
    </row>
    <row r="32" spans="1:21" ht="15" customHeight="1">
      <c r="D32" s="11"/>
      <c r="E32" s="73"/>
      <c r="F32" s="29"/>
      <c r="H32" s="36"/>
      <c r="I32" s="37"/>
      <c r="K32" s="40"/>
      <c r="L32" s="40"/>
      <c r="Q32" s="51"/>
    </row>
    <row r="33" spans="4:17" ht="15" customHeight="1">
      <c r="D33" s="11"/>
      <c r="E33" s="73"/>
      <c r="F33" s="29"/>
      <c r="H33" s="36"/>
      <c r="I33" s="37"/>
      <c r="K33" s="40"/>
      <c r="L33" s="40"/>
      <c r="Q33" s="51"/>
    </row>
    <row r="34" spans="4:17" ht="15" customHeight="1">
      <c r="D34" s="11"/>
      <c r="E34" s="73"/>
      <c r="F34" s="29"/>
      <c r="H34" s="36"/>
      <c r="I34" s="37"/>
      <c r="K34" s="40"/>
      <c r="L34" s="40"/>
      <c r="Q34" s="51"/>
    </row>
    <row r="35" spans="4:17" ht="15" customHeight="1">
      <c r="D35" s="11"/>
      <c r="E35" s="73"/>
      <c r="F35" s="29"/>
      <c r="H35" s="36"/>
      <c r="I35" s="37"/>
      <c r="K35" s="40"/>
      <c r="L35" s="40"/>
      <c r="Q35" s="51"/>
    </row>
    <row r="36" spans="4:17" ht="15" customHeight="1">
      <c r="D36" s="11"/>
      <c r="E36" s="73"/>
      <c r="F36" s="29"/>
      <c r="H36" s="36"/>
      <c r="I36" s="37"/>
      <c r="K36" s="40"/>
      <c r="L36" s="40"/>
      <c r="Q36" s="51"/>
    </row>
    <row r="37" spans="4:17" ht="15" customHeight="1">
      <c r="D37" s="11"/>
      <c r="E37" s="73"/>
      <c r="F37" s="29"/>
      <c r="H37" s="36"/>
      <c r="I37" s="37"/>
      <c r="K37" s="40"/>
      <c r="L37" s="40"/>
    </row>
    <row r="38" spans="4:17" ht="15" customHeight="1">
      <c r="D38" s="11"/>
      <c r="E38" s="73"/>
      <c r="F38" s="29"/>
      <c r="H38" s="36"/>
      <c r="I38" s="37"/>
      <c r="K38" s="40"/>
      <c r="L38" s="40"/>
      <c r="Q38" s="51"/>
    </row>
    <row r="39" spans="4:17" ht="15" customHeight="1">
      <c r="D39" s="11"/>
      <c r="E39" s="73"/>
      <c r="F39" s="29"/>
      <c r="H39" s="36"/>
      <c r="I39" s="37"/>
      <c r="K39" s="40"/>
      <c r="L39" s="40"/>
      <c r="Q39" s="51"/>
    </row>
    <row r="40" spans="4:17" ht="15" customHeight="1">
      <c r="D40" s="11"/>
      <c r="E40" s="73"/>
      <c r="F40" s="29"/>
      <c r="H40" s="36"/>
      <c r="K40" s="40"/>
      <c r="L40" s="40"/>
      <c r="Q40" s="51"/>
    </row>
    <row r="41" spans="4:17" ht="15" customHeight="1">
      <c r="D41" s="11"/>
      <c r="E41" s="73"/>
      <c r="F41" s="29"/>
      <c r="H41" s="36"/>
      <c r="K41" s="40"/>
      <c r="L41" s="40"/>
      <c r="Q41" s="51"/>
    </row>
    <row r="42" spans="4:17" ht="15" customHeight="1">
      <c r="D42" s="11"/>
      <c r="E42" s="73"/>
      <c r="F42" s="29"/>
      <c r="H42" s="36"/>
      <c r="I42" s="37"/>
      <c r="K42" s="40"/>
      <c r="L42" s="40"/>
      <c r="Q42" s="51"/>
    </row>
    <row r="43" spans="4:17" ht="15" customHeight="1">
      <c r="D43" s="11"/>
      <c r="E43" s="73"/>
      <c r="F43" s="29"/>
      <c r="H43" s="36"/>
      <c r="I43" s="37"/>
      <c r="K43" s="40"/>
      <c r="L43" s="40"/>
    </row>
    <row r="44" spans="4:17" ht="15" customHeight="1">
      <c r="D44" s="11"/>
      <c r="E44" s="73"/>
      <c r="F44" s="29"/>
      <c r="H44" s="36"/>
      <c r="I44" s="37"/>
      <c r="K44" s="40"/>
      <c r="L44" s="40"/>
      <c r="Q44" s="51"/>
    </row>
    <row r="45" spans="4:17" ht="15" customHeight="1">
      <c r="D45" s="11"/>
      <c r="E45" s="73"/>
      <c r="F45" s="29"/>
      <c r="H45" s="36"/>
      <c r="I45" s="37"/>
      <c r="K45" s="40"/>
      <c r="L45" s="40"/>
      <c r="Q45" s="51"/>
    </row>
    <row r="46" spans="4:17" ht="15" customHeight="1">
      <c r="D46" s="11"/>
      <c r="E46" s="73"/>
      <c r="F46" s="29"/>
      <c r="H46" s="36"/>
      <c r="I46" s="37"/>
      <c r="K46" s="40"/>
      <c r="L46" s="40"/>
    </row>
    <row r="47" spans="4:17" ht="15" customHeight="1">
      <c r="D47" s="11"/>
      <c r="E47" s="73"/>
      <c r="F47" s="29"/>
      <c r="H47" s="36"/>
      <c r="I47" s="37"/>
      <c r="K47" s="40"/>
      <c r="L47" s="40"/>
    </row>
    <row r="48" spans="4:17" ht="15" customHeight="1">
      <c r="D48" s="11"/>
      <c r="E48" s="73"/>
      <c r="F48" s="29"/>
      <c r="H48" s="36"/>
      <c r="I48" s="37"/>
      <c r="K48" s="40"/>
      <c r="L48" s="40"/>
    </row>
    <row r="49" spans="1:17" ht="15" customHeight="1">
      <c r="D49" s="11"/>
      <c r="E49" s="73"/>
      <c r="F49" s="29"/>
      <c r="H49" s="36"/>
      <c r="I49" s="37"/>
      <c r="K49" s="40"/>
      <c r="L49" s="40"/>
    </row>
    <row r="50" spans="1:17" ht="15" customHeight="1">
      <c r="D50" s="11"/>
      <c r="E50" s="73"/>
      <c r="F50" s="29"/>
      <c r="H50" s="36"/>
    </row>
    <row r="51" spans="1:17" ht="15" customHeight="1">
      <c r="D51" s="11"/>
      <c r="E51" s="73"/>
      <c r="F51" s="29"/>
      <c r="H51" s="36"/>
      <c r="I51" s="37"/>
      <c r="K51" s="40"/>
      <c r="L51" s="40"/>
    </row>
    <row r="52" spans="1:17" ht="15" customHeight="1">
      <c r="D52" s="11"/>
      <c r="E52" s="73"/>
      <c r="F52" s="29"/>
      <c r="H52" s="36"/>
      <c r="I52" s="37"/>
      <c r="K52" s="40"/>
      <c r="L52" s="40"/>
    </row>
    <row r="53" spans="1:17" ht="15" customHeight="1">
      <c r="D53" s="11"/>
      <c r="E53" s="73"/>
      <c r="F53" s="29"/>
      <c r="H53" s="36"/>
      <c r="I53" s="37"/>
      <c r="K53" s="40"/>
      <c r="L53" s="40"/>
    </row>
    <row r="54" spans="1:17" ht="15" customHeight="1">
      <c r="D54" s="11"/>
      <c r="E54" s="73"/>
      <c r="F54" s="29"/>
      <c r="H54" s="36"/>
      <c r="K54" s="40"/>
      <c r="L54" s="40"/>
    </row>
    <row r="55" spans="1:17" ht="15" customHeight="1">
      <c r="D55" s="11"/>
      <c r="E55" s="73"/>
      <c r="F55" s="29"/>
      <c r="H55" s="36"/>
      <c r="I55" s="37"/>
      <c r="K55" s="40"/>
      <c r="L55" s="40"/>
    </row>
    <row r="56" spans="1:17" ht="15" customHeight="1">
      <c r="D56" s="11"/>
      <c r="E56" s="73"/>
      <c r="F56" s="29"/>
      <c r="H56" s="36"/>
      <c r="I56" s="37"/>
      <c r="K56" s="40"/>
      <c r="L56" s="40"/>
    </row>
    <row r="57" spans="1:17" ht="15" customHeight="1">
      <c r="D57" s="11"/>
      <c r="E57" s="73"/>
      <c r="F57" s="29"/>
      <c r="H57" s="36"/>
      <c r="K57" s="40"/>
      <c r="L57" s="40"/>
    </row>
    <row r="58" spans="1:17" ht="15" customHeight="1">
      <c r="D58" s="11"/>
      <c r="E58" s="73"/>
      <c r="F58" s="29"/>
      <c r="H58" s="36"/>
      <c r="K58" s="40"/>
      <c r="L58" s="40"/>
    </row>
    <row r="59" spans="1:17" ht="15" customHeight="1">
      <c r="D59" s="11"/>
      <c r="E59" s="73"/>
      <c r="I59" s="37"/>
      <c r="K59" s="40"/>
      <c r="L59" s="40"/>
    </row>
    <row r="60" spans="1:17" ht="15" customHeight="1">
      <c r="D60" s="11"/>
      <c r="E60" s="73"/>
      <c r="F60" s="29"/>
      <c r="K60" s="40"/>
      <c r="L60" s="40"/>
    </row>
    <row r="64" spans="1:17" ht="15" customHeight="1">
      <c r="A64" s="41"/>
      <c r="B64" s="41"/>
      <c r="C64" s="41"/>
      <c r="D64" s="41"/>
      <c r="E64" s="74"/>
      <c r="F64" s="42"/>
      <c r="G64" s="41"/>
      <c r="H64" s="41"/>
      <c r="I64" s="41"/>
      <c r="J64" s="44"/>
      <c r="K64" s="45"/>
      <c r="L64" s="45"/>
      <c r="M64" s="43"/>
      <c r="N64" s="43"/>
      <c r="O64" s="41"/>
      <c r="P64" s="41"/>
      <c r="Q64" s="52"/>
    </row>
  </sheetData>
  <autoFilter ref="A5:BC55" xr:uid="{EF6D707C-BDD5-416B-AAF3-2924671B11B3}">
    <sortState xmlns:xlrd2="http://schemas.microsoft.com/office/spreadsheetml/2017/richdata2" ref="A6:BC55">
      <sortCondition ref="P5:P55"/>
    </sortState>
  </autoFilter>
  <mergeCells count="8">
    <mergeCell ref="AS3:AY3"/>
    <mergeCell ref="AZ3:BA3"/>
    <mergeCell ref="BB3:BC3"/>
    <mergeCell ref="A4:F4"/>
    <mergeCell ref="G4:O4"/>
    <mergeCell ref="Y3:AF3"/>
    <mergeCell ref="AG3:AM3"/>
    <mergeCell ref="AO3:AR3"/>
  </mergeCells>
  <conditionalFormatting sqref="H26 H31:H1048576 H21:H24 H1:H13 H15:H16 H18:H19">
    <cfRule type="cellIs" dxfId="0" priority="1" operator="equal">
      <formula>"Delivered"</formula>
    </cfRule>
  </conditionalFormatting>
  <hyperlinks>
    <hyperlink ref="I6" r:id="rId1" xr:uid="{9091E61F-B60E-4E42-9DEE-DC8CD6F6D2AC}"/>
    <hyperlink ref="I11" r:id="rId2" xr:uid="{C3357B1E-E2A8-4A1D-949B-386021EF0BD1}"/>
    <hyperlink ref="I21" r:id="rId3" xr:uid="{968A4FBC-E625-426E-A2C9-D22F2854C85C}"/>
    <hyperlink ref="I22" r:id="rId4" xr:uid="{F28BD2CF-0D0D-48BD-B825-6C54AD0B8AA6}"/>
    <hyperlink ref="I7" r:id="rId5" xr:uid="{9B120A9E-7856-4291-8334-83F50D6EA691}"/>
    <hyperlink ref="I16" r:id="rId6" xr:uid="{9FF5E4DF-6362-4E98-B81E-60CDA13B6B6D}"/>
    <hyperlink ref="I23" r:id="rId7" xr:uid="{2C97A6E6-93A8-43B1-A2B2-1DF38AF96ED2}"/>
    <hyperlink ref="I18" r:id="rId8" xr:uid="{403113C6-9011-4F76-9B76-A0603F0DF7FB}"/>
    <hyperlink ref="I13" r:id="rId9" xr:uid="{627560EE-C6CA-4F17-A25A-E9BB018E25E6}"/>
    <hyperlink ref="I12" r:id="rId10" xr:uid="{B6C3024A-0D8A-40F5-9A98-54AB3236141A}"/>
    <hyperlink ref="I24" r:id="rId11" xr:uid="{853C447B-8B26-4C6B-AD87-65F6D6A6EA5E}"/>
    <hyperlink ref="I15" r:id="rId12" xr:uid="{8329F3E4-8EAC-4A84-9FEF-5CEB4A854AC8}"/>
    <hyperlink ref="G4:O4" r:id="rId13" display="mylene.pellet@lamarck.fr" xr:uid="{D90755E8-565E-427F-8048-CB8378E5B411}"/>
    <hyperlink ref="I19" r:id="rId14" xr:uid="{321866D1-83C9-49C6-AD17-D925BD0F1D01}"/>
  </hyperlinks>
  <pageMargins left="0.7" right="0.7" top="0.75" bottom="0.75" header="0.3" footer="0.3"/>
  <pageSetup paperSize="9" orientation="portrait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Gomez</cp:lastModifiedBy>
  <cp:revision/>
  <dcterms:created xsi:type="dcterms:W3CDTF">2022-11-16T23:06:46Z</dcterms:created>
  <dcterms:modified xsi:type="dcterms:W3CDTF">2026-03-20T19:15:38Z</dcterms:modified>
  <cp:category/>
  <cp:contentStatus/>
</cp:coreProperties>
</file>