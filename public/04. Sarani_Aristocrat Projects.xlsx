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ssaTh\Downloads\"/>
    </mc:Choice>
  </mc:AlternateContent>
  <xr:revisionPtr revIDLastSave="3491" documentId="13_ncr:1_{DAE372C7-6B1E-4E70-95F9-4E909ABCECB0}" xr6:coauthVersionLast="47" xr6:coauthVersionMax="47" xr10:uidLastSave="{CCAEC7F1-6567-4800-8837-300A4F6C2938}"/>
  <bookViews>
    <workbookView xWindow="28680" yWindow="-120" windowWidth="29040" windowHeight="15840" firstSheet="1" activeTab="1" xr2:uid="{527DF874-B38F-4222-8A80-3894DDAA6752}"/>
  </bookViews>
  <sheets>
    <sheet name="Overview" sheetId="14" state="hidden" r:id="rId1"/>
    <sheet name="Aristocrat (US-EMEA)" sheetId="11" r:id="rId2"/>
    <sheet name="Aristocrat (Asia)" sheetId="13" r:id="rId3"/>
  </sheets>
  <definedNames>
    <definedName name="_xlnm._FilterDatabase" localSheetId="2" hidden="1">'Aristocrat (Asia)'!$A$5:$AT$5</definedName>
    <definedName name="_xlnm._FilterDatabase" localSheetId="1" hidden="1">'Aristocrat (US-EMEA)'!$A$5:$AT$112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4" l="1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U12" i="14"/>
  <c r="U13" i="14" s="1"/>
  <c r="T12" i="14"/>
  <c r="T13" i="14" s="1"/>
  <c r="S12" i="14"/>
  <c r="S13" i="14" s="1"/>
  <c r="R12" i="14"/>
  <c r="R13" i="14" s="1"/>
  <c r="F17" i="14" s="1"/>
  <c r="Q12" i="14"/>
  <c r="Q13" i="14" s="1"/>
  <c r="P12" i="14"/>
  <c r="P13" i="14" s="1"/>
  <c r="O12" i="14"/>
  <c r="O13" i="14" s="1"/>
  <c r="N12" i="14"/>
  <c r="N13" i="14" s="1"/>
  <c r="E17" i="14" s="1"/>
  <c r="M12" i="14"/>
  <c r="M13" i="14" s="1"/>
  <c r="L12" i="14"/>
  <c r="L13" i="14" s="1"/>
  <c r="K12" i="14"/>
  <c r="K13" i="14" s="1"/>
  <c r="J12" i="14"/>
  <c r="J13" i="14" s="1"/>
  <c r="D17" i="14" s="1"/>
  <c r="I12" i="14"/>
  <c r="I13" i="14" s="1"/>
  <c r="H12" i="14"/>
  <c r="H13" i="14" s="1"/>
  <c r="G12" i="14"/>
  <c r="G13" i="14" s="1"/>
  <c r="F12" i="14"/>
  <c r="F13" i="14" s="1"/>
  <c r="C17" i="14" s="1"/>
  <c r="E12" i="14"/>
  <c r="E13" i="14" s="1"/>
  <c r="D12" i="14"/>
  <c r="D13" i="14" s="1"/>
  <c r="C12" i="14"/>
  <c r="C13" i="14" s="1"/>
  <c r="B12" i="14"/>
  <c r="B13" i="14" s="1"/>
  <c r="B17" i="14" s="1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U7" i="14"/>
  <c r="T7" i="14"/>
  <c r="S7" i="14"/>
  <c r="R7" i="14"/>
  <c r="F16" i="14" s="1"/>
  <c r="F18" i="14" s="1"/>
  <c r="Q7" i="14"/>
  <c r="P7" i="14"/>
  <c r="O7" i="14"/>
  <c r="N7" i="14"/>
  <c r="E16" i="14" s="1"/>
  <c r="E18" i="14" s="1"/>
  <c r="M7" i="14"/>
  <c r="L7" i="14"/>
  <c r="K7" i="14"/>
  <c r="J7" i="14"/>
  <c r="D16" i="14" s="1"/>
  <c r="D18" i="14" s="1"/>
  <c r="I7" i="14"/>
  <c r="H7" i="14"/>
  <c r="G7" i="14"/>
  <c r="F7" i="14"/>
  <c r="C16" i="14" s="1"/>
  <c r="C18" i="14" s="1"/>
  <c r="E7" i="14"/>
  <c r="D7" i="14"/>
  <c r="C7" i="14"/>
  <c r="B7" i="14"/>
  <c r="B16" i="14" s="1"/>
  <c r="B18" i="14" s="1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J151" i="11"/>
  <c r="I127" i="11"/>
  <c r="J127" i="11"/>
  <c r="I128" i="11"/>
  <c r="J128" i="11"/>
  <c r="I129" i="11"/>
  <c r="J129" i="11"/>
  <c r="I126" i="11"/>
  <c r="J126" i="11"/>
  <c r="I125" i="11"/>
  <c r="J125" i="11"/>
  <c r="I123" i="11"/>
  <c r="J123" i="11"/>
  <c r="I124" i="11"/>
  <c r="J124" i="11"/>
  <c r="J2" i="11"/>
  <c r="I122" i="11"/>
  <c r="J122" i="11"/>
  <c r="I121" i="11"/>
  <c r="J121" i="11"/>
  <c r="I13" i="13"/>
  <c r="J13" i="13"/>
  <c r="I14" i="13"/>
  <c r="J14" i="13"/>
  <c r="I15" i="13"/>
  <c r="J15" i="13"/>
  <c r="I16" i="13"/>
  <c r="J16" i="13"/>
  <c r="I17" i="13"/>
  <c r="J17" i="13"/>
  <c r="I18" i="13"/>
  <c r="J18" i="13"/>
  <c r="I19" i="13"/>
  <c r="J19" i="13"/>
  <c r="I20" i="13"/>
  <c r="J20" i="13"/>
  <c r="I21" i="13"/>
  <c r="J21" i="13"/>
  <c r="I22" i="13"/>
  <c r="J22" i="13"/>
  <c r="I23" i="13"/>
  <c r="J23" i="13"/>
  <c r="I24" i="13"/>
  <c r="J24" i="13"/>
  <c r="I25" i="13"/>
  <c r="J25" i="13"/>
  <c r="I26" i="13"/>
  <c r="J26" i="13"/>
  <c r="I27" i="13"/>
  <c r="J27" i="13"/>
  <c r="I28" i="13"/>
  <c r="J28" i="13"/>
  <c r="I29" i="13"/>
  <c r="J29" i="13"/>
  <c r="I30" i="13"/>
  <c r="J30" i="13"/>
  <c r="I31" i="13"/>
  <c r="J31" i="13"/>
  <c r="I32" i="13"/>
  <c r="J32" i="13"/>
  <c r="I33" i="13"/>
  <c r="J33" i="13"/>
  <c r="I34" i="13"/>
  <c r="J34" i="13"/>
  <c r="I35" i="13"/>
  <c r="J35" i="13"/>
  <c r="I10" i="13"/>
  <c r="J10" i="13"/>
  <c r="I120" i="11"/>
  <c r="J120" i="11"/>
  <c r="J119" i="11"/>
  <c r="I119" i="11"/>
  <c r="J118" i="11"/>
  <c r="I118" i="11"/>
  <c r="I9" i="13"/>
  <c r="I117" i="11"/>
  <c r="J117" i="11"/>
  <c r="I115" i="11"/>
  <c r="J115" i="11"/>
  <c r="I116" i="11"/>
  <c r="J116" i="11"/>
  <c r="I113" i="11"/>
  <c r="J113" i="11"/>
  <c r="I114" i="11"/>
  <c r="J114" i="11"/>
  <c r="J112" i="11"/>
  <c r="I112" i="11"/>
  <c r="I8" i="13"/>
  <c r="I111" i="11"/>
  <c r="J111" i="11"/>
  <c r="I110" i="11"/>
  <c r="J110" i="11"/>
  <c r="J109" i="11"/>
  <c r="I109" i="11"/>
  <c r="I108" i="11"/>
  <c r="J108" i="11"/>
  <c r="I107" i="11"/>
  <c r="J107" i="11"/>
  <c r="I106" i="11"/>
  <c r="J106" i="11"/>
  <c r="I105" i="11"/>
  <c r="J105" i="11"/>
  <c r="I103" i="11"/>
  <c r="J103" i="11"/>
  <c r="I102" i="11"/>
  <c r="J102" i="11"/>
  <c r="I104" i="11"/>
  <c r="J104" i="11"/>
  <c r="I101" i="11"/>
  <c r="J101" i="11"/>
  <c r="AT5" i="13"/>
  <c r="AT2" i="13"/>
  <c r="AS2" i="13"/>
  <c r="AR2" i="13"/>
  <c r="AQ2" i="13"/>
  <c r="AP2" i="13"/>
  <c r="AO2" i="13"/>
  <c r="AN2" i="13"/>
  <c r="AM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AT1" i="13"/>
  <c r="AS1" i="13"/>
  <c r="AR1" i="13"/>
  <c r="AQ1" i="13"/>
  <c r="AP1" i="13"/>
  <c r="AO1" i="13"/>
  <c r="AN1" i="13"/>
  <c r="AM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J7" i="13"/>
  <c r="I7" i="13"/>
  <c r="J6" i="13"/>
  <c r="I6" i="13"/>
  <c r="I2" i="13"/>
  <c r="J94" i="11"/>
  <c r="J95" i="11"/>
  <c r="J96" i="11"/>
  <c r="J97" i="11"/>
  <c r="J98" i="11"/>
  <c r="J99" i="11"/>
  <c r="J100" i="11"/>
  <c r="I94" i="11"/>
  <c r="I95" i="11"/>
  <c r="I96" i="11"/>
  <c r="I97" i="11"/>
  <c r="I98" i="11"/>
  <c r="I99" i="11"/>
  <c r="I100" i="11"/>
  <c r="I92" i="11"/>
  <c r="J92" i="11"/>
  <c r="I93" i="11"/>
  <c r="J93" i="11"/>
  <c r="I91" i="11"/>
  <c r="J91" i="11"/>
  <c r="I90" i="11"/>
  <c r="J90" i="11"/>
  <c r="J89" i="11"/>
  <c r="I89" i="11"/>
  <c r="J88" i="11"/>
  <c r="I88" i="11"/>
  <c r="I87" i="11"/>
  <c r="J87" i="11"/>
  <c r="J84" i="11"/>
  <c r="J85" i="11"/>
  <c r="J86" i="11"/>
  <c r="I84" i="11"/>
  <c r="I85" i="11"/>
  <c r="I86" i="11"/>
  <c r="J83" i="11"/>
  <c r="I83" i="11"/>
  <c r="J81" i="11"/>
  <c r="J82" i="11"/>
  <c r="I81" i="11"/>
  <c r="I82" i="11"/>
  <c r="J80" i="11"/>
  <c r="I80" i="11"/>
  <c r="I79" i="11"/>
  <c r="J79" i="11"/>
  <c r="J75" i="11"/>
  <c r="J76" i="11"/>
  <c r="J77" i="11"/>
  <c r="J78" i="11"/>
  <c r="I75" i="11"/>
  <c r="I76" i="11"/>
  <c r="I77" i="11"/>
  <c r="I78" i="11"/>
  <c r="J74" i="11"/>
  <c r="I74" i="11"/>
  <c r="J68" i="11"/>
  <c r="J71" i="11"/>
  <c r="I71" i="11"/>
  <c r="J70" i="11"/>
  <c r="I70" i="11"/>
  <c r="AS69" i="11"/>
  <c r="J69" i="11"/>
  <c r="I69" i="11"/>
  <c r="I68" i="11"/>
  <c r="J67" i="11"/>
  <c r="I67" i="11"/>
  <c r="J65" i="11"/>
  <c r="J66" i="11"/>
  <c r="I65" i="11"/>
  <c r="I66" i="11"/>
  <c r="J64" i="11"/>
  <c r="I64" i="11"/>
  <c r="J63" i="11"/>
  <c r="I63" i="11"/>
  <c r="I61" i="11"/>
  <c r="I62" i="11"/>
  <c r="J61" i="11"/>
  <c r="J62" i="11"/>
  <c r="J60" i="11"/>
  <c r="I60" i="11"/>
  <c r="J59" i="11"/>
  <c r="I59" i="11"/>
  <c r="J58" i="11"/>
  <c r="I58" i="11"/>
  <c r="J57" i="11"/>
  <c r="I57" i="11"/>
  <c r="I56" i="11"/>
  <c r="I54" i="11"/>
  <c r="I53" i="11"/>
  <c r="I52" i="11"/>
  <c r="I51" i="11"/>
  <c r="I50" i="11"/>
  <c r="I49" i="11"/>
  <c r="I48" i="11"/>
  <c r="I47" i="11"/>
  <c r="J56" i="11"/>
  <c r="I45" i="11"/>
  <c r="AS55" i="11"/>
  <c r="J54" i="11"/>
  <c r="J53" i="11"/>
  <c r="J51" i="11"/>
  <c r="J52" i="11"/>
  <c r="J50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T1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T2" i="11"/>
  <c r="P2" i="11"/>
  <c r="P1" i="11"/>
  <c r="J48" i="11"/>
  <c r="J46" i="11"/>
  <c r="I46" i="11"/>
  <c r="J45" i="11"/>
  <c r="J44" i="11"/>
  <c r="I44" i="11"/>
  <c r="J41" i="11"/>
  <c r="J42" i="11"/>
  <c r="J43" i="11"/>
  <c r="I41" i="11"/>
  <c r="I42" i="11"/>
  <c r="I43" i="11"/>
  <c r="J40" i="11"/>
  <c r="J39" i="11"/>
  <c r="I39" i="11"/>
  <c r="I40" i="11"/>
  <c r="J38" i="11"/>
  <c r="I38" i="11"/>
  <c r="J37" i="11"/>
  <c r="I37" i="11"/>
  <c r="J36" i="11"/>
  <c r="I36" i="11"/>
  <c r="AS32" i="11"/>
  <c r="AS31" i="11"/>
  <c r="AS25" i="11"/>
  <c r="AS24" i="11"/>
  <c r="AS17" i="11"/>
  <c r="AS11" i="11"/>
  <c r="J7" i="11"/>
  <c r="J9" i="11"/>
  <c r="I10" i="11"/>
  <c r="J10" i="11"/>
  <c r="I12" i="11"/>
  <c r="J12" i="11"/>
  <c r="I13" i="11"/>
  <c r="J13" i="11"/>
  <c r="I14" i="11"/>
  <c r="J14" i="11"/>
  <c r="I15" i="11"/>
  <c r="J15" i="11"/>
  <c r="J8" i="11"/>
  <c r="J35" i="11"/>
  <c r="I35" i="11"/>
  <c r="J34" i="11"/>
  <c r="I34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I16" i="11"/>
  <c r="J9" i="13" l="1"/>
  <c r="J8" i="13"/>
  <c r="AS1" i="11"/>
  <c r="AS2" i="11"/>
  <c r="I55" i="11"/>
  <c r="J55" i="11"/>
  <c r="I2" i="11"/>
  <c r="J1" i="11"/>
  <c r="J2" i="13" l="1"/>
  <c r="J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tc={B4F980F8-A4D4-4B49-8CCC-EAB6EB9A784E}</author>
    <author>tc={A3DD0679-540F-4AE8-80D4-1D88710096F6}</author>
  </authors>
  <commentList>
    <comment ref="J72" authorId="0" shapeId="0" xr:uid="{B4F980F8-A4D4-4B49-8CCC-EAB6EB9A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le message reçu de Megan le 26/08/2025</t>
      </text>
    </comment>
    <comment ref="J73" authorId="1" shapeId="0" xr:uid="{A3DD0679-540F-4AE8-80D4-1D88710096F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le message reçu de Megan le 26/08/2025</t>
      </text>
    </comment>
  </commentList>
</comments>
</file>

<file path=xl/sharedStrings.xml><?xml version="1.0" encoding="utf-8"?>
<sst xmlns="http://schemas.openxmlformats.org/spreadsheetml/2006/main" count="1633" uniqueCount="385">
  <si>
    <t>Performance Dashboard — Sarani — Aristocrat</t>
  </si>
  <si>
    <t>REVENUS (€)</t>
  </si>
  <si>
    <t>Q1</t>
  </si>
  <si>
    <t>Q2</t>
  </si>
  <si>
    <t>Q3</t>
  </si>
  <si>
    <t>Q4</t>
  </si>
  <si>
    <t>Aristocrat (US-EMEA)</t>
  </si>
  <si>
    <t>Aristocrat (Asia) — conv. €</t>
  </si>
  <si>
    <t>TOTAL</t>
  </si>
  <si>
    <t>NOMBRE DE PROJETS</t>
  </si>
  <si>
    <t>Aristocrat (Asia)</t>
  </si>
  <si>
    <t>SYNTHÈSE ANNUELLE</t>
  </si>
  <si>
    <t>Revenus (€)</t>
  </si>
  <si>
    <t>Projets</t>
  </si>
  <si>
    <t>Rev. / Projet (€)</t>
  </si>
  <si>
    <t>Taux de change (1€ = x $)</t>
  </si>
  <si>
    <t>Price File</t>
  </si>
  <si>
    <t>Online</t>
  </si>
  <si>
    <t>Offline</t>
  </si>
  <si>
    <t>Presentations</t>
  </si>
  <si>
    <t>Web</t>
  </si>
  <si>
    <t>Videos</t>
  </si>
  <si>
    <t>Virtualization</t>
  </si>
  <si>
    <t>Copy</t>
  </si>
  <si>
    <t>Project</t>
  </si>
  <si>
    <t>Details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</si>
  <si>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</si>
  <si>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</si>
  <si>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</si>
  <si>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</si>
  <si>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Buttons</t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</si>
  <si>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</si>
  <si>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</si>
  <si>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</si>
  <si>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</si>
  <si>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</si>
  <si>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</si>
  <si>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</si>
  <si>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</si>
  <si>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</si>
  <si>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</si>
  <si>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</si>
  <si>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</si>
  <si>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</si>
  <si>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</si>
  <si>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</si>
  <si>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Video Edition</t>
  </si>
  <si>
    <t>Video Subtitles / Adaptations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</si>
  <si>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</si>
  <si>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</si>
  <si>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r>
      <rPr>
        <b/>
        <sz val="11"/>
        <color rgb="FFFFFFFF"/>
        <rFont val="Calibri"/>
      </rPr>
      <t xml:space="preserve">Promotional Video
</t>
    </r>
    <r>
      <rPr>
        <i/>
        <sz val="11"/>
        <color rgb="FFFFFFFF"/>
        <rFont val="Calibri"/>
      </rPr>
      <t>(up to 1 min)</t>
    </r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</si>
  <si>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</si>
  <si>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</si>
  <si>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</si>
  <si>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</si>
  <si>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</si>
  <si>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rPr>
        <b/>
        <sz val="11"/>
        <color rgb="FFFFFFFF"/>
        <rFont val="Calibri"/>
        <scheme val="minor"/>
      </rPr>
      <t xml:space="preserve">Transcription </t>
    </r>
    <r>
      <rPr>
        <i/>
        <sz val="11"/>
        <color rgb="FFFFFFFF"/>
        <rFont val="Calibri"/>
        <scheme val="minor"/>
      </rPr>
      <t>(per word)</t>
    </r>
  </si>
  <si>
    <t>Customer</t>
  </si>
  <si>
    <t>Division</t>
  </si>
  <si>
    <t>Date</t>
  </si>
  <si>
    <t>Contact</t>
  </si>
  <si>
    <t>Status</t>
  </si>
  <si>
    <t>Category</t>
  </si>
  <si>
    <t>Link</t>
  </si>
  <si>
    <t>Assets</t>
  </si>
  <si>
    <t>Total Value</t>
  </si>
  <si>
    <t>Quote</t>
  </si>
  <si>
    <t>PO</t>
  </si>
  <si>
    <t>Invoice</t>
  </si>
  <si>
    <t>n° Invoice</t>
  </si>
  <si>
    <t>Statut</t>
  </si>
  <si>
    <t>Aristocrat</t>
  </si>
  <si>
    <t>EMEA</t>
  </si>
  <si>
    <t>Pilot Test Translations</t>
  </si>
  <si>
    <t>Daniel Browne</t>
  </si>
  <si>
    <t>Delivered</t>
  </si>
  <si>
    <t>https://saranistudio.sharepoint.com/:f:/s/SaraniAssets/EicHqBO9GotOltf9BORHCJIBc712FqijUq_259gQluFAoA?e=Jiivi4</t>
  </si>
  <si>
    <t>-</t>
  </si>
  <si>
    <t>NO INVOICE</t>
  </si>
  <si>
    <t>Communiqué de presse ICE 2024</t>
  </si>
  <si>
    <t>https://saranistudio.sharepoint.com/:f:/s/SaraniAssets/EjVCi8Y81g5PsgKtjsrg0DIBy6kA-oKjBf_SGQZ9FG3gIQ?e=9wYSQo</t>
  </si>
  <si>
    <t>Sent to Thomas</t>
  </si>
  <si>
    <t>F2024-0176</t>
  </si>
  <si>
    <t>Paid 28/05/2024</t>
  </si>
  <si>
    <t>Présentation Carnival Jackpot</t>
  </si>
  <si>
    <t>https://saranistudio.sharepoint.com/:f:/s/SaraniAssets/ElFltiSBIpREjdA77uLJRYYBlz8fUYn92zg2K6e1A4XqqQ?e=lt6xeh</t>
  </si>
  <si>
    <t>USA</t>
  </si>
  <si>
    <t>12.23 E-Blast V1_FR</t>
  </si>
  <si>
    <t>Megan Nimsgern</t>
  </si>
  <si>
    <t>https://saranistudio.sharepoint.com/:f:/s/SaraniAssets/ElyIX3Mo7jBAu6K49clJcLkB3uYPq9Ekqat5KsoijNSwEQ?e=Dgbppz</t>
  </si>
  <si>
    <t>Know Your Max - Welcome to Max HQ</t>
  </si>
  <si>
    <t>https://saranistudio.sharepoint.com/:w:/s/SaraniAssets/Eck7LNoSSKRJhKCa-vUyWZMBWUpF6UToorC9K1p-89QEkw?e=641Qfg</t>
  </si>
  <si>
    <t>Hungarian translations</t>
  </si>
  <si>
    <t>Lauen Feiner</t>
  </si>
  <si>
    <t>https://saranistudio.sharepoint.com/:f:/s/SaraniAssets/EsjQHFLgoTRJhu_jtLNpEHcBr5y8GcgOaH8eq1tt8JljCw?e=iqr6dx</t>
  </si>
  <si>
    <t>F2024-0175</t>
  </si>
  <si>
    <t>Dragon Link Page Advertising</t>
  </si>
  <si>
    <t>https://saranistudio.sharepoint.com/:f:/s/SaraniAssets/EgV4wqclurVAjk8QfT1zRi4BWj5py5IHEgtvzYHjmD5wug?e=qHNSPI</t>
  </si>
  <si>
    <t>Joy Presentation</t>
  </si>
  <si>
    <t>20240418_Dragon Link Page Advertising</t>
  </si>
  <si>
    <t>Updating Dragon Link Photos</t>
  </si>
  <si>
    <t>https://saranistudio.sharepoint.com/:f:/s/SaraniAssets/Eqha9ofIjoZPr1TIu2A69sMB4vKH3PjJO7zUgKsc2yJ0Ow?e=RWbeeV</t>
  </si>
  <si>
    <t>Dragon Link Ads</t>
  </si>
  <si>
    <t>https://saranistudio.sharepoint.com/:f:/s/SaraniAssets/ErUH4AT3xKZIiF2P4aB6THEB3fERlJB2gaIl9dYmZrPU0A?e=YqoR1K</t>
  </si>
  <si>
    <t>F2024-0257</t>
  </si>
  <si>
    <t>Paid 05/07/2024</t>
  </si>
  <si>
    <t>Cashman Double Bingo Sun &amp; Moon</t>
  </si>
  <si>
    <t>Gustavo Vessani</t>
  </si>
  <si>
    <t>https://saranistudio.sharepoint.com/:f:/s/SaraniAssets/El6ehHV_24RBn9ZgNxvKNSoBtEqrSmA3EEm-Zb8LYcWBPA?e=DeQugO</t>
  </si>
  <si>
    <t>F2024-0196</t>
  </si>
  <si>
    <t>French Game Rules - Translations</t>
  </si>
  <si>
    <t>https://saranistudio.sharepoint.com/:f:/s/SaraniAssets/EnroNK7W9i5Mivv8g4hJkS4BD2zqxvkMcEhH6ksZ0EQJRQ?e=1SKKur</t>
  </si>
  <si>
    <t>Peru Gaming Show</t>
  </si>
  <si>
    <t>https://saranistudio.sharepoint.com/:f:/s/SaraniAssets/EowvOfwr33BMj-fQq9knBvcBnaujdRAc2b1WcprDqcBzhg?e=fwvcPN</t>
  </si>
  <si>
    <t>Trilenium SP</t>
  </si>
  <si>
    <t>https://saranistudio.sharepoint.com/:f:/s/SaraniAssets/EnIC2ND_-IhLtuOmQ0ywYuEB6r7gGkvOeKFO_yCblpWXuA?e=dFypTO</t>
  </si>
  <si>
    <t>F2024-0326</t>
  </si>
  <si>
    <t>Paid 14/08/2024</t>
  </si>
  <si>
    <t>SP registration form</t>
  </si>
  <si>
    <t>https://saranistudio.sharepoint.com/:f:/s/SaraniAssets/Evl07W9WGGhEtehSc2_yr28BZJ3M38Rqn6iRc7qPrpL8uQ?e=pivuZd</t>
  </si>
  <si>
    <t>French ad</t>
  </si>
  <si>
    <t>- Email</t>
  </si>
  <si>
    <t>Monaco Casino Deck Translation</t>
  </si>
  <si>
    <t>https://saranistudio.sharepoint.com/:f:/s/SaraniAssets/Eu1DdecbiRlFjp4_UiiV1aEBGaf_h3dwocON-LWLu6u8Dg?e=7fkaek</t>
  </si>
  <si>
    <t>Bonus Highlights Translations</t>
  </si>
  <si>
    <t>https://saranistudio.sharepoint.com/:f:/s/SaraniAssets/EjoYoNRokUJCob2AkQes1eoBOP4MJuo3Zc-1qw_-HiSnuQ?e=tABvP0</t>
  </si>
  <si>
    <t>EMEA Product Script Translations</t>
  </si>
  <si>
    <t>https://saranistudio.sharepoint.com/:f:/s/SaraniAssets/Es9QBoBjb9VJvGDL3Zf9-voBWmaA_rAbTzthkJYXQAA1Mw?e=PkwSHS</t>
  </si>
  <si>
    <t>Games rules translations</t>
  </si>
  <si>
    <t>https://saranistudio.sharepoint.com/:f:/s/SaraniAssets/EgSpS7bq8c9ClzPajLlGKnIBdqYULi6RzKofIZubAtNmwg?e=MsRkUu</t>
  </si>
  <si>
    <t>Form Export</t>
  </si>
  <si>
    <t>https://saranistudio.sharepoint.com/:f:/s/SaraniAssets/EpuE4RXdO8hAr4qLP_U7DQ0BZkLhBXgxJfYor_Z0-CduXg?e=E8bQ44</t>
  </si>
  <si>
    <t>G2E Invite Translation</t>
  </si>
  <si>
    <t>F2024-0392</t>
  </si>
  <si>
    <t>Paid 20/09/2024</t>
  </si>
  <si>
    <t>Workday supplier log in instructions</t>
  </si>
  <si>
    <t>https://saranistudio.sharepoint.com/:f:/s/SaraniAssets/EkjafVG4VKJBqf747r1_V8ABNM1X7KLOsyC1Fa0avov8yg?e=zf7vpc</t>
  </si>
  <si>
    <t>Rules of the Road - Spanish</t>
  </si>
  <si>
    <t>https://saranistudio.sharepoint.com/:f:/s/SaraniAssets/El90XJB1hU1Oved8pG663yEB6o7cYZpgCWrfukMVc7SU_Q?e=TainRa</t>
  </si>
  <si>
    <t>French Advertisement Copy</t>
  </si>
  <si>
    <t>The baron brochure</t>
  </si>
  <si>
    <t>French quotes</t>
  </si>
  <si>
    <t>https://saranistudio.sharepoint.com/:f:/s/SaraniAssets/EqNVhASVLx1GqoO9fik-2WgB79N-oEll3qcYgUVBeFVSbA?e=Pmw5lb</t>
  </si>
  <si>
    <t>Tagline - French Translations</t>
  </si>
  <si>
    <t>Slick Spanish Translations</t>
  </si>
  <si>
    <t>https://saranistudio.sharepoint.com/:f:/s/SaraniAssets/EkbtRDSapgtOsCGRr45n3s8BxNwNsJWvG978ep85BJ1GRg?e=4csna7</t>
  </si>
  <si>
    <t>F2024-0483</t>
  </si>
  <si>
    <t>Paid 18/10/2024</t>
  </si>
  <si>
    <t>Bao Zhu Translations</t>
  </si>
  <si>
    <t>https://saranistudio.sharepoint.com/:f:/s/SaraniAssets/EuvalTHbCp5Epfzl2fnz76YBVf5-e6tI7B7uVbDlHJ47GA?e=WsqRLQ</t>
  </si>
  <si>
    <t>Whisker Wheels Game Rules - Translation</t>
  </si>
  <si>
    <t>20240830_Slick Spanish Translations</t>
  </si>
  <si>
    <t>Italian translations</t>
  </si>
  <si>
    <t>Backdrop Graphic - Aristocrat</t>
  </si>
  <si>
    <t>https://saranistudio.sharepoint.com/:f:/s/SaraniAssets/EmfCNS1dNjVJoVUbuLby2mQBkHLjQHrosRlQN-UqzpuzuA?e=3s2xjn</t>
  </si>
  <si>
    <t>Cabinet Art work changes</t>
  </si>
  <si>
    <t>https://saranistudio.sharepoint.com/:f:/s/SaraniAssets/ErWt2eivjgBOiHbZ58kvpZQBuHWAiWWJ_JCRLNww6pXmIQ?e=JBPZDA</t>
  </si>
  <si>
    <t>F2024-0567</t>
  </si>
  <si>
    <t>Paid 06/12/2024</t>
  </si>
  <si>
    <t>Bonus Highlight Video Translations</t>
  </si>
  <si>
    <t>Tia Shumway</t>
  </si>
  <si>
    <t>https://saranistudio.sharepoint.com/:f:/s/SaraniAssets/EjoYoNRokUJCob2AkQes1eoBOP4MJuo3Zc-1qw_-HiSnuQ?e=WJuuAm</t>
  </si>
  <si>
    <t>Video Translations</t>
  </si>
  <si>
    <t>https://saranistudio.sharepoint.com/:f:/s/SaraniAssets/EldxUpTDoKdAhjulDr8hMQkBIyNdOAxN343nz9P6omm9TA?e=TezVIo</t>
  </si>
  <si>
    <t>Deck to be translated into Spanish</t>
  </si>
  <si>
    <t>https://saranistudio.sharepoint.com/:f:/s/SaraniAssets/ElRQWd7V7SJFvjKgW65A1o0BNyhrnz4xNqKtP6iDISX6tg?e=vTIvK5</t>
  </si>
  <si>
    <t>Chair Artwork Updates</t>
  </si>
  <si>
    <t>https://saranistudio.sharepoint.com/:f:/s/SaraniAssets/Eto9_yUhJn5Epn2nhGKQ0UcBuygPh3c6P5qIJqjEP-3aIQ?e=xuFDDw</t>
  </si>
  <si>
    <t>Pheonix Link Slogan Translations</t>
  </si>
  <si>
    <t>Email</t>
  </si>
  <si>
    <t>French Translations for English Help Screens</t>
  </si>
  <si>
    <t>https://saranistudio.sharepoint.com/:f:/s/SaraniAssets/EnFKb_AgdaJBgllFLEfT75QBvem9NL_FXia37lU405VjOQ?e=ahAzN4</t>
  </si>
  <si>
    <t>DE Whisker wheels rules translation design</t>
  </si>
  <si>
    <t>https://saranistudio.sharepoint.com/:f:/s/SaraniAssets/Eh3cThpTEH5Cm_La1uA14vAByJljhYqqOEv8cFAU7h2-9w?e=wMlrD0</t>
  </si>
  <si>
    <t>F2024-0713</t>
  </si>
  <si>
    <t>Paid 10/01/2025</t>
  </si>
  <si>
    <t>French Translation Gaming Show</t>
  </si>
  <si>
    <t>20241127_French Translation Gaming Show</t>
  </si>
  <si>
    <t>Product Roadmap</t>
  </si>
  <si>
    <t>20241204_Product Roadmap</t>
  </si>
  <si>
    <t>Extracting and Re-inserting Symbols for Coin Trio Titles</t>
  </si>
  <si>
    <t>20241209_Extracting and Re-inserting Symbols for Coin Trio Titles</t>
  </si>
  <si>
    <t>Advertisement French ICE</t>
  </si>
  <si>
    <t>20241212_Advertisement French Translations</t>
  </si>
  <si>
    <t>German Translations for Game Screens</t>
  </si>
  <si>
    <t>Katalina Gomez</t>
  </si>
  <si>
    <t>https://saranistudio.sharepoint.com/:f:/s/SaraniAssets/EuPkcm0f49tPpptvP3vGxl4BEVo29yQ4sa3QqPtPMdE_uA?e=45hnsK</t>
  </si>
  <si>
    <t>F2025-0043</t>
  </si>
  <si>
    <t>Paid 25/02/2025</t>
  </si>
  <si>
    <t>French Translations for Game Screens</t>
  </si>
  <si>
    <t>20250110_French Translations for Game Screens</t>
  </si>
  <si>
    <t>Bao Zhu Zhao Fu Jade &amp; Purple Celebration - Stickers</t>
  </si>
  <si>
    <t>20250213_Bao Zhu Zhao Fu Jade &amp; Purple Celebration - Stickers</t>
  </si>
  <si>
    <t>F2025-0074</t>
  </si>
  <si>
    <t>Paid 04/04/2025</t>
  </si>
  <si>
    <t>Batch 04</t>
  </si>
  <si>
    <t>Hungarian translation BZZF Wheel Blast</t>
  </si>
  <si>
    <t>Lauren Feiner</t>
  </si>
  <si>
    <t>https://saranistudio.sharepoint.com/:f:/s/SaraniAssets/EgJWxkOFh2NNiP5dlA5Bt9wBGtSoTi58YGzdvxoKzX-L6w?e=xNp14u</t>
  </si>
  <si>
    <t>F2025-0173</t>
  </si>
  <si>
    <t>Paid 12/05/2025</t>
  </si>
  <si>
    <t>French Translations for Game Screens 2</t>
  </si>
  <si>
    <t>https://saranistudio.sharepoint.com/:f:/s/SaraniAssets/EpMXWZTpTQhElDw67YUEdEMBMqOi_F8J38A1Xig6oxLPzA?e=ZZpTxd</t>
  </si>
  <si>
    <t>Request for UFC MarsX 4-Pod Image Update</t>
  </si>
  <si>
    <t>20250529_Request for UFC MarsX 4-Pod Image Update</t>
  </si>
  <si>
    <t>F2025-0362</t>
  </si>
  <si>
    <t>Paid 22/07/2025</t>
  </si>
  <si>
    <t>Spanish (Spain) Translations – Game Screen Folders</t>
  </si>
  <si>
    <t>20250603_Spanish (Spain) Translations – Game Screen Folders</t>
  </si>
  <si>
    <t>Product Training Video - Transcript</t>
  </si>
  <si>
    <t>https://saranistudio.sharepoint.com/:f:/s/SaraniAssets/Elx7pAS7UXpLgatjI8yLRaIBn074kbYeY8-nd0COrB13kQ?e=jIOgIE</t>
  </si>
  <si>
    <t>F2025-0450</t>
  </si>
  <si>
    <t>Paid 05/09/2025</t>
  </si>
  <si>
    <t>Cash Express Legends - Help Screen Translations</t>
  </si>
  <si>
    <t>20250616_Cash Express Legends - Help Screen Translations</t>
  </si>
  <si>
    <t>Slick Updates - Round 1</t>
  </si>
  <si>
    <t>https://saranistudio.sharepoint.com/:f:/s/SaraniAssets/EvRueomwqc9ErxTorHSLPgYBQzuLu9uKL3GKUh4wO8b6XQ?e=krKWU3</t>
  </si>
  <si>
    <t>Phoenix Link Spanish Translations</t>
  </si>
  <si>
    <t>German Translation - NFL Tagline</t>
  </si>
  <si>
    <t>Buffalo Ultimate Stampede Slick Update</t>
  </si>
  <si>
    <t>https://saranistudio.sharepoint.com/:f:/s/SaraniAssets/Ei0yMOsVb7JMpda1Te-WSHkBbthyp3kYHqVTrlo1vi08vQ?e=bgPcxe</t>
  </si>
  <si>
    <t>Translation and Subtitling Support – EMEA Localized Video (Phase 2)</t>
  </si>
  <si>
    <t>20250709_Translation and Subtitling Support – EMEA Localized Video (Phase 2)</t>
  </si>
  <si>
    <t>Made by Thomas</t>
  </si>
  <si>
    <t>F2025-0465</t>
  </si>
  <si>
    <t>Paid 28/10/2025</t>
  </si>
  <si>
    <t>Hot Product Alert Creative Request</t>
  </si>
  <si>
    <t>https://saranistudio.sharepoint.com/:f:/s/SaraniAssets/Ej4-vHD_4y5FhbW9RO5iBAIBmCGDUOGMFfcTrXFzhKbZwg?e=BNoADU</t>
  </si>
  <si>
    <t>Urgent Asset Request – GAT Mexico Sponsorship</t>
  </si>
  <si>
    <t>https://saranistudio.sharepoint.com/:f:/s/SaraniAssets/El9jd0HEkbhHr-V9e234FBwBMUHTMw5ZGaDCBg5qxw0Hhg?e=P0FNGt</t>
  </si>
  <si>
    <t>Game Screen Translations FR</t>
  </si>
  <si>
    <t>20250725_Game Screen Translations FR</t>
  </si>
  <si>
    <t>Hungarian translation</t>
  </si>
  <si>
    <t>https://saranistudio.sharepoint.com/:f:/s/SaraniAssets/EiMBOclNiHBBngy_eykdudgB7SN1oXkFk-XGteIVMXvauQ?e=mW2WqG</t>
  </si>
  <si>
    <t>Coin Trio Royal Slick Localization</t>
  </si>
  <si>
    <t>20250811_Coin Trio Royal Slick Localization</t>
  </si>
  <si>
    <t>GAT Mexico Sponsorship 2</t>
  </si>
  <si>
    <t>20250813_GAT Mexico Sponsorship 2</t>
  </si>
  <si>
    <t>Remaining works for FY25 projects + FY26</t>
  </si>
  <si>
    <t>F2025-0477</t>
  </si>
  <si>
    <t>Paid 13/11/2025</t>
  </si>
  <si>
    <t>Remaining works for FY25 projects + FY26 Part 2</t>
  </si>
  <si>
    <t>F2025-0570</t>
  </si>
  <si>
    <t>Paid 04/12/2025</t>
  </si>
  <si>
    <t>Phoenix Link Hot Product Alert</t>
  </si>
  <si>
    <t>https://saranistudio.sharepoint.com/:f:/s/SaraniAssets/Eg5kUneXrfBMicY9dG9lG6IBWH__UT7qfYp_2uY3o1HIQA?e=NgHnbc</t>
  </si>
  <si>
    <t>No invoice until the 75000€ is reached</t>
  </si>
  <si>
    <t>ARC - EOL Letter - Pardot</t>
  </si>
  <si>
    <t>https://saranistudio.sharepoint.com/:f:/s/SaraniAssets/EmuuQmCXyeVEj3E4AT0P0BoBsifWkGjvHk9yBKjBWGAS5Q?e=qM6szb</t>
  </si>
  <si>
    <t>Slick Mo' Mo' Mo' Mummy</t>
  </si>
  <si>
    <t>https://saranistudio.sharepoint.com/:f:/s/SaraniAssets/EsrEi7Xth_JIhWmRTBXzFJ0BUlORnk7ZdPgOJ2-u85P6kg?e=Vb3FYi</t>
  </si>
  <si>
    <t>BZZF Wheel Blast - Hungarian Help Screens</t>
  </si>
  <si>
    <t>FR Game Rules Translations - Mo Mo Mo Mummy</t>
  </si>
  <si>
    <t>https://saranistudio.sharepoint.com/:f:/s/SaraniAssets/EmcS3cdluGBCtd-t52UKBKUBOwmX-gQya_yb5aX1X3gwQQ?e=sfa6df</t>
  </si>
  <si>
    <t>Slick Rework</t>
  </si>
  <si>
    <t>20250912_Slick Rework</t>
  </si>
  <si>
    <t>BZZF Wheel Blast - Hungarian Help Screens _ 2</t>
  </si>
  <si>
    <t>Spooky Link Slick Update</t>
  </si>
  <si>
    <t>Creative Request – NFL Ticket Giveaway (Empire Casino)</t>
  </si>
  <si>
    <t>https://saranistudio.sharepoint.com/:f:/s/SaraniAssets/Et8m5EXA2mROuR5RvyHa46oBj5Bf0hks6DIU3Jd1Bi_u9Q?e=BbTudg</t>
  </si>
  <si>
    <t>BZZF Wheel Blast - Hungarian Help Screens _ 3</t>
  </si>
  <si>
    <t>20250930_French Translation Request</t>
  </si>
  <si>
    <t>French Translation Request- Royal Collection III</t>
  </si>
  <si>
    <t>20250930_French Translation Request- Royal Collection III</t>
  </si>
  <si>
    <t>Helix Plus EOL - Translation</t>
  </si>
  <si>
    <t>https://saranistudio.sharepoint.com/:f:/s/SaraniAssets/EtknSkSz_uFJsRfqk1HFSZEBCKzM8FJMYQYlQTPPP_uWgQ?e=he2lqu</t>
  </si>
  <si>
    <t>Spooky Link and Fa Fa Fa Slick Updates</t>
  </si>
  <si>
    <t>20251017_Spooky Link Slick Updates 2</t>
  </si>
  <si>
    <t>Dragon Link - Hungarian Translations</t>
  </si>
  <si>
    <t>20251020_Dragon Link - Hungarian Translations</t>
  </si>
  <si>
    <t>Last Minute Request - Showcase Invitation</t>
  </si>
  <si>
    <t>https://saranistudio.sharepoint.com/:f:/s/SaraniAssets/EogOuLw9DHBLlZC0qXKt4DIBeoUBkVDOsUDWoLqdXdcwmA?e=dxxfaO</t>
  </si>
  <si>
    <t>Aristocrat UK Slick Updates</t>
  </si>
  <si>
    <t>https://saranistudio.sharepoint.com/:f:/s/SaraniAssets/Er_7dMU59LhMiXI2ftNrw_0BYV0Q9o_HYAt9dwCOAiyboA?e=hCSDfL</t>
  </si>
  <si>
    <t>Baron Cabinet + Spooky Link Recipes - French Copy</t>
  </si>
  <si>
    <t>Baron Cabinet SFC2A Banner</t>
  </si>
  <si>
    <t>20251112_Baron Cabinet SFC2A Banner</t>
  </si>
  <si>
    <t>UK Print Adjustments - Safer Gambling Week</t>
  </si>
  <si>
    <t>20251112_UK Print Adjustments - Safer Gambling Week</t>
  </si>
  <si>
    <t>Spooky Link Recipes - FR Translation - Design</t>
  </si>
  <si>
    <t>20251113_Spooky Link Recipes - FR Translation - Design</t>
  </si>
  <si>
    <t>Spooky Link Video Translations</t>
  </si>
  <si>
    <t>20251013_Spooky Link Video Translations</t>
  </si>
  <si>
    <t>French Translations - ICE 2026</t>
  </si>
  <si>
    <t>ICE 2026 Escalator &amp; Pillar Branding</t>
  </si>
  <si>
    <t>20251118_ICE 2026 Escalator &amp; Pillar Branding</t>
  </si>
  <si>
    <t>Creative Requests – Spooky Link France Launch</t>
  </si>
  <si>
    <t>20251119_Creative Requests – Spooky Link France Launch</t>
  </si>
  <si>
    <t>Spooky Link Press Release - French Translation</t>
  </si>
  <si>
    <t>Buffalo Ultimate Stampede Slick</t>
  </si>
  <si>
    <t>https://saranistudio.sharepoint.com/:f:/s/SaraniAssets/IgDuOueP-jMFSJIp1LEkIhubARbm0nhhsdZDKCq-VqeGXO0?e=xQ8kBi</t>
  </si>
  <si>
    <t>Creative Request - ICE 2026 Teaser Ad FR &amp; EN</t>
  </si>
  <si>
    <t>20251120_Creative Request - ICE 2026 Teaser Ad FR &amp; EN</t>
  </si>
  <si>
    <t>Customer Invite Flyer - DE, FR &amp; ES</t>
  </si>
  <si>
    <t>20251201_Customer Invite Flyer - DE, FR &amp; ES</t>
  </si>
  <si>
    <t>Millioni$er Game Help Screen Translations</t>
  </si>
  <si>
    <t>20251202_Millioni$er Game Help Screen Translations</t>
  </si>
  <si>
    <t>Spooky Link Demo Video - DE &amp; FR</t>
  </si>
  <si>
    <t>In progress</t>
  </si>
  <si>
    <t>New Request - The Baron Advert</t>
  </si>
  <si>
    <t>https://saranistudio.sharepoint.com/:f:/s/SaraniAssets/IgD1_ZALE9BZRphBscRzwSVFAS0745oAN7egguN-VgAPX-w?e=kb7u7e</t>
  </si>
  <si>
    <t>Spooky Link Game Screens Translations</t>
  </si>
  <si>
    <t>20251203_Spooky Link Game Screens Translations</t>
  </si>
  <si>
    <t>Phoenix Link - FR Game Rules</t>
  </si>
  <si>
    <t>20251204_Phoenix Link - FR Game Rules</t>
  </si>
  <si>
    <t>Game Rules Translations - Lanterns of the Dragon &amp; Reign of Gold - FR</t>
  </si>
  <si>
    <t>https://saranistudio.sharepoint.com/:f:/s/SaraniAssets/IgAKW8ilSduHQYW1ScoOC78WAV5M1LlNYlSwosfL7OEc3FA?e=LMJArL</t>
  </si>
  <si>
    <t>Diamond Age Help Screens - FR Translations</t>
  </si>
  <si>
    <t>20251208_Diamond Age Help Screens - FR Translations</t>
  </si>
  <si>
    <t>Spooky Link Wheel</t>
  </si>
  <si>
    <t>20251211_Spooky Link Wheel</t>
  </si>
  <si>
    <t>FR Game Screens - Fa Fa Fa &amp; Buffalo Ultimate Stampede</t>
  </si>
  <si>
    <t>20251216_FR Game Screens - Fa Fa Fa &amp; Buffalo Ultimate Stampede</t>
  </si>
  <si>
    <t>FR Game Screens - Coin Trio Royale</t>
  </si>
  <si>
    <t>20251216_FR Game Screens - Coin Trio Royale</t>
  </si>
  <si>
    <t>Royal Collection III Slick</t>
  </si>
  <si>
    <t>https://saranistudio.sharepoint.com/:f:/s/SaraniAssets/IgC3vMORwuD7RJ-pThoWxMIEAQs-ZPjKY7nYe-emuKp3RVc?e=0YPT7r</t>
  </si>
  <si>
    <t>FR Help Screens - Louie's Gold &amp; The Phantom</t>
  </si>
  <si>
    <t>https://saranistudio.sharepoint.com/:f:/s/SaraniAssets/IgCQLgGzuWGeQLavEKIbXZS5AVv4-rmqnejP1Ly7ivSnbZQ?e=0oYhBv</t>
  </si>
  <si>
    <t>Update Print Advert Asset - Baron Themed</t>
  </si>
  <si>
    <t>20260102_Update Print Advert Asset - Baron Themed</t>
  </si>
  <si>
    <t>Aristocrat Partner Event QR Code</t>
  </si>
  <si>
    <t>20260107_Aristocrat Partner Event QR Code</t>
  </si>
  <si>
    <t>Localize Existing Slick (Millioniser)</t>
  </si>
  <si>
    <t>20260107_Localize Existing Slick (Millioniser)</t>
  </si>
  <si>
    <t>SFC2A Advert (Feb 2026)</t>
  </si>
  <si>
    <t>https://saranistudio.sharepoint.com/:f:/s/SaraniAssets/IgDw9L1igPM9QaaeQtfbcHrLAa7EF18LABJT8ZSCBrSq4lU?e=I4OfLT</t>
  </si>
  <si>
    <t>Resizing Existing Graphic</t>
  </si>
  <si>
    <t>https://saranistudio.sharepoint.com/:f:/s/SaraniAssets/IgC_zydfYTC2RbgGmdExBT4EAfiZdlxwEuW8cWOK8ejNHvo?e=ZdBGMC</t>
  </si>
  <si>
    <t>Super Split - Help Screen Translations</t>
  </si>
  <si>
    <t>Briana Boothe</t>
  </si>
  <si>
    <t>https://saranistudio.sharepoint.com/:f:/s/SaraniAssets/IgCX4qyasTCJR6tMHR1GlFW1AUvx1YZBX20n1EhJPrjwgZY?e=p61fPh</t>
  </si>
  <si>
    <t>Localize Existing Slick (Millioniser)_ 2d part</t>
  </si>
  <si>
    <t>Spooky Link Slick - Edit 2026</t>
  </si>
  <si>
    <t>20260126_Spooky Link Slick - Edit 2026</t>
  </si>
  <si>
    <t>Thunder Empire Help Screen Translations</t>
  </si>
  <si>
    <t>20260129_Thunder Empire Help Screen Translations</t>
  </si>
  <si>
    <t>PDF requited for game info stickers</t>
  </si>
  <si>
    <t>https://saranistudio.sharepoint.com/:f:/s/SaraniAssets/IgBlMF6K9gRMRr6LXR-djZhpAaXL_rnCxs9oa21Irn7bxj0?e=GGlimv</t>
  </si>
  <si>
    <t>Irish Gaming Tradeshow - Wall Graphic</t>
  </si>
  <si>
    <t>20260213_Irish Gaming Tradeshow - Wall Graphic</t>
  </si>
  <si>
    <t>Various translations - French Taglines for Thunder Empire</t>
  </si>
  <si>
    <t>Grand Legends Standee Concepts</t>
  </si>
  <si>
    <t>https://saranistudio.sharepoint.com/:f:/s/SaraniAssets/IgBCPFGgSZlNRJkT-d6hTiC1Ad2jkuXLeSLr_mrS6xNAixA?e=cz6XtA</t>
  </si>
  <si>
    <t>Bao Zhu Zhao Fu Ignite Slick in Highspot</t>
  </si>
  <si>
    <t>Thunder Empire - Last 2 Title Translations</t>
  </si>
  <si>
    <t>20260311_Thunder Empire - Last 2 Title Translations</t>
  </si>
  <si>
    <t>Monopoly Slick Localization</t>
  </si>
  <si>
    <t>20260312_Monopoly Slick Localization</t>
  </si>
  <si>
    <t xml:space="preserve">Add lines above </t>
  </si>
  <si>
    <t>Total</t>
  </si>
  <si>
    <t>Contentful</t>
  </si>
  <si>
    <r>
      <rPr>
        <b/>
        <sz val="11"/>
        <color rgb="FFFFFFFF"/>
        <rFont val="Calibri"/>
        <scheme val="minor"/>
      </rPr>
      <t xml:space="preserve">Banner adaptation </t>
    </r>
    <r>
      <rPr>
        <i/>
        <sz val="11"/>
        <color rgb="FFFFFFFF"/>
        <rFont val="Calibri"/>
        <scheme val="minor"/>
      </rPr>
      <t>(static)</t>
    </r>
  </si>
  <si>
    <t>Video Subtitles</t>
  </si>
  <si>
    <t>Sizzle videos</t>
  </si>
  <si>
    <r>
      <rPr>
        <b/>
        <sz val="11"/>
        <color rgb="FFFFFFFF"/>
        <rFont val="Calibri"/>
        <scheme val="minor"/>
      </rPr>
      <t xml:space="preserve">Case study
</t>
    </r>
    <r>
      <rPr>
        <i/>
        <sz val="11"/>
        <color rgb="FFFFFFFF"/>
        <rFont val="Calibri"/>
        <scheme val="minor"/>
      </rPr>
      <t>(per article)</t>
    </r>
  </si>
  <si>
    <r>
      <rPr>
        <b/>
        <sz val="11"/>
        <color rgb="FFFFFFFF"/>
        <rFont val="Calibri"/>
        <scheme val="minor"/>
      </rPr>
      <t xml:space="preserve">Blog article
</t>
    </r>
    <r>
      <rPr>
        <i/>
        <sz val="11"/>
        <color rgb="FFFFFFFF"/>
        <rFont val="Calibri"/>
        <scheme val="minor"/>
      </rPr>
      <t>(per article)</t>
    </r>
  </si>
  <si>
    <r>
      <rPr>
        <b/>
        <sz val="11"/>
        <color rgb="FFFFFFFF"/>
        <rFont val="Calibri"/>
        <scheme val="minor"/>
      </rPr>
      <t xml:space="preserve">Translation
</t>
    </r>
    <r>
      <rPr>
        <i/>
        <sz val="11"/>
        <color rgb="FFFFFFFF"/>
        <rFont val="Calibri"/>
        <scheme val="minor"/>
      </rPr>
      <t>(per article)</t>
    </r>
  </si>
  <si>
    <r>
      <rPr>
        <b/>
        <sz val="11"/>
        <color rgb="FFFFFFFF"/>
        <rFont val="Calibri"/>
      </rPr>
      <t xml:space="preserve">Splash
</t>
    </r>
    <r>
      <rPr>
        <i/>
        <sz val="11"/>
        <color rgb="FFFFFFFF"/>
        <rFont val="Calibri"/>
      </rPr>
      <t>(per creation/modification)</t>
    </r>
  </si>
  <si>
    <r>
      <t xml:space="preserve">Copywrite
</t>
    </r>
    <r>
      <rPr>
        <i/>
        <sz val="11"/>
        <color theme="0"/>
        <rFont val="Calibri"/>
        <family val="2"/>
        <scheme val="minor"/>
      </rPr>
      <t>(per word)</t>
    </r>
  </si>
  <si>
    <t>Asia</t>
  </si>
  <si>
    <t>ASIA  - Golf cart and Tee marker design</t>
  </si>
  <si>
    <t>Sandy Cheng</t>
  </si>
  <si>
    <t>https://saranistudio.sharepoint.com/:f:/s/SaraniAssets/IgBdCWHuWVRfQrbR0t0XwCNIAeRvzdTBf6qlizKedyhzBgQ?e=kH1ara</t>
  </si>
  <si>
    <t>Sent to Sandy</t>
  </si>
  <si>
    <t>F2026-0011</t>
  </si>
  <si>
    <t>Waiting payment for 13/02/2026</t>
  </si>
  <si>
    <t>ASIA - Breadcrumb Trail Campaign</t>
  </si>
  <si>
    <t>Kimmi Siu Dewar</t>
  </si>
  <si>
    <t>https://saranistudio.sharepoint.com/:f:/s/SaraniAssets/IgCuiILQq2S2TrXioMp8gx4fAf8B2IdugBwuN-6fB_VQhSc?e=MXflGl</t>
  </si>
  <si>
    <t>2026 APAC golf tournament invitation</t>
  </si>
  <si>
    <t>https://saranistudio.sharepoint.com/:f:/s/SaraniAssets/IgC-ZsA9vy8mQbe2tRFmtycDAbz6VH3vle4XWtHaXmd9n8M?e=RWBfi8</t>
  </si>
  <si>
    <t>ASIA - Artwork brief BARON LAUNCH VN</t>
  </si>
  <si>
    <t>https://saranistudio.sharepoint.com/:f:/s/SaraniAssets/IgALARsc58n_TaIw7pez_8hgAfGR1yqPDQpjLbdcLvgMDL8?e=EqPadB</t>
  </si>
  <si>
    <t>F2026-0094</t>
  </si>
  <si>
    <t>Waiting payment for 02/04/2026</t>
  </si>
  <si>
    <t>Artwork brief for Print ads and web banner artwork</t>
  </si>
  <si>
    <t>20260112_Artwork brief for Print ads and web banner artwork</t>
  </si>
  <si>
    <t>Aristocrat 3D Models -Part 1</t>
  </si>
  <si>
    <t>Stephanie Che</t>
  </si>
  <si>
    <t>20260203_Aristocrat 3D Models</t>
  </si>
  <si>
    <t>Sent to Ameena</t>
  </si>
  <si>
    <t>F2026-0130</t>
  </si>
  <si>
    <t>Waiting payment for 24/04/2026</t>
  </si>
  <si>
    <t>Aristocrat 3D Models -Part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</si>
</sst>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0.0"/>
    <numFmt numFmtId="168" formatCode="&quot;$&quot;#,##0"/>
    <numFmt numFmtId="169" formatCode="&quot;$&quot;#,##0.00"/>
    <numFmt numFmtId="170" formatCode="_([$$-409]* #,##0.00_);_([$$-409]* \(#,##0.00\);_([$$-409]* &quot;-&quot;??_);_(@_)"/>
    <numFmt numFmtId="171" formatCode="#,##0\ &quot;€&quot;;\(#,##0\)\ &quot;€&quot;;&quot;-&quot;"/>
    <numFmt numFmtId="172" formatCode="#,##0;\(#,##0\);&quot;-&quot;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sz val="11"/>
      <color rgb="FFFFFFFF"/>
      <name val="Calibri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2"/>
      <color rgb="FF242424"/>
      <name val="Segoe UI"/>
      <charset val="1"/>
    </font>
    <font>
      <b/>
      <sz val="12"/>
      <color rgb="FF242424"/>
      <name val="Calibri"/>
      <scheme val="minor"/>
    </font>
    <font>
      <b/>
      <sz val="11"/>
      <color rgb="FF242424"/>
      <name val="Calibri"/>
      <scheme val="minor"/>
    </font>
    <font>
      <b/>
      <sz val="11"/>
      <color rgb="FFC0000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sz val="11"/>
      <color rgb="FFFFFFFF"/>
      <name val="Calibri"/>
    </font>
    <font>
      <b/>
      <sz val="14"/>
      <color rgb="FFF1F5F9"/>
      <name val="Calibri"/>
    </font>
    <font>
      <sz val="11"/>
      <color rgb="FF121212"/>
      <name val="Calibri"/>
    </font>
    <font>
      <sz val="8"/>
      <color rgb="FF121212"/>
      <name val="Calibri"/>
    </font>
    <font>
      <b/>
      <sz val="10"/>
      <color rgb="FFF1F5F9"/>
      <name val="Calibri"/>
    </font>
    <font>
      <sz val="9"/>
      <color rgb="FF64748B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b/>
      <sz val="9"/>
      <color rgb="FF3B82F6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2" fillId="2" borderId="0" xfId="0" applyFont="1" applyFill="1"/>
    <xf numFmtId="164" fontId="2" fillId="2" borderId="0" xfId="1" applyFont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/>
    <xf numFmtId="165" fontId="3" fillId="4" borderId="1" xfId="1" applyNumberFormat="1" applyFont="1" applyFill="1" applyBorder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1" applyFont="1" applyFill="1" applyAlignment="1">
      <alignment horizontal="center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4" fillId="5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6" fillId="0" borderId="0" xfId="2"/>
    <xf numFmtId="0" fontId="11" fillId="3" borderId="0" xfId="0" applyFont="1" applyFill="1" applyAlignment="1">
      <alignment horizontal="center" vertical="center" wrapText="1"/>
    </xf>
    <xf numFmtId="164" fontId="0" fillId="0" borderId="0" xfId="1" quotePrefix="1" applyFont="1"/>
    <xf numFmtId="0" fontId="0" fillId="6" borderId="0" xfId="0" applyFill="1"/>
    <xf numFmtId="0" fontId="0" fillId="6" borderId="0" xfId="0" applyFill="1" applyAlignment="1">
      <alignment horizontal="center"/>
    </xf>
    <xf numFmtId="0" fontId="12" fillId="0" borderId="0" xfId="0" applyFont="1"/>
    <xf numFmtId="0" fontId="0" fillId="6" borderId="0" xfId="0" applyFill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3" fillId="0" borderId="2" xfId="0" applyFont="1" applyBorder="1" applyAlignment="1">
      <alignment wrapText="1"/>
    </xf>
    <xf numFmtId="0" fontId="0" fillId="0" borderId="0" xfId="0" quotePrefix="1"/>
    <xf numFmtId="0" fontId="0" fillId="0" borderId="0" xfId="0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164" fontId="0" fillId="0" borderId="0" xfId="1" applyFont="1" applyAlignment="1">
      <alignment wrapText="1"/>
    </xf>
    <xf numFmtId="0" fontId="6" fillId="0" borderId="0" xfId="2" quotePrefix="1"/>
    <xf numFmtId="0" fontId="12" fillId="6" borderId="0" xfId="0" applyFont="1" applyFill="1"/>
    <xf numFmtId="0" fontId="0" fillId="0" borderId="4" xfId="0" applyBorder="1" applyAlignment="1">
      <alignment horizontal="center"/>
    </xf>
    <xf numFmtId="0" fontId="0" fillId="0" borderId="4" xfId="0" applyBorder="1"/>
    <xf numFmtId="0" fontId="12" fillId="0" borderId="4" xfId="0" applyFont="1" applyBorder="1"/>
    <xf numFmtId="0" fontId="3" fillId="0" borderId="5" xfId="0" applyFont="1" applyBorder="1"/>
    <xf numFmtId="0" fontId="3" fillId="0" borderId="4" xfId="0" applyFont="1" applyBorder="1" applyAlignment="1">
      <alignment horizontal="center"/>
    </xf>
    <xf numFmtId="164" fontId="3" fillId="0" borderId="4" xfId="1" applyFont="1" applyBorder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14" fillId="0" borderId="0" xfId="0" applyFont="1"/>
    <xf numFmtId="0" fontId="13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9" fillId="3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8" fontId="3" fillId="4" borderId="1" xfId="1" applyNumberFormat="1" applyFont="1" applyFill="1" applyBorder="1" applyAlignment="1">
      <alignment horizontal="center"/>
    </xf>
    <xf numFmtId="168" fontId="3" fillId="4" borderId="0" xfId="1" applyNumberFormat="1" applyFont="1" applyFill="1" applyAlignment="1">
      <alignment horizontal="center"/>
    </xf>
    <xf numFmtId="168" fontId="3" fillId="4" borderId="0" xfId="1" applyNumberFormat="1" applyFont="1" applyFill="1" applyBorder="1" applyAlignment="1">
      <alignment horizontal="center"/>
    </xf>
    <xf numFmtId="169" fontId="3" fillId="4" borderId="1" xfId="1" applyNumberFormat="1" applyFont="1" applyFill="1" applyBorder="1" applyAlignment="1">
      <alignment horizontal="center"/>
    </xf>
    <xf numFmtId="169" fontId="3" fillId="4" borderId="0" xfId="1" applyNumberFormat="1" applyFont="1" applyFill="1" applyAlignment="1">
      <alignment horizontal="center"/>
    </xf>
    <xf numFmtId="170" fontId="0" fillId="0" borderId="0" xfId="1" applyNumberFormat="1" applyFont="1" applyAlignment="1">
      <alignment wrapText="1"/>
    </xf>
    <xf numFmtId="170" fontId="0" fillId="0" borderId="0" xfId="1" applyNumberFormat="1" applyFont="1"/>
    <xf numFmtId="0" fontId="12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7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9" fillId="8" borderId="0" xfId="0" applyFont="1" applyFill="1"/>
    <xf numFmtId="0" fontId="21" fillId="9" borderId="0" xfId="0" applyFont="1" applyFill="1"/>
    <xf numFmtId="0" fontId="22" fillId="9" borderId="0" xfId="0" applyFont="1" applyFill="1"/>
    <xf numFmtId="0" fontId="23" fillId="10" borderId="0" xfId="0" applyFont="1" applyFill="1" applyAlignment="1">
      <alignment horizontal="left"/>
    </xf>
    <xf numFmtId="0" fontId="26" fillId="11" borderId="0" xfId="0" applyFont="1" applyFill="1" applyAlignment="1">
      <alignment horizontal="left"/>
    </xf>
    <xf numFmtId="0" fontId="26" fillId="12" borderId="0" xfId="0" applyFont="1" applyFill="1" applyAlignment="1">
      <alignment horizontal="left"/>
    </xf>
    <xf numFmtId="0" fontId="28" fillId="9" borderId="0" xfId="0" applyFont="1" applyFill="1" applyAlignment="1">
      <alignment horizontal="left"/>
    </xf>
    <xf numFmtId="0" fontId="29" fillId="11" borderId="0" xfId="0" applyFont="1" applyFill="1" applyAlignment="1">
      <alignment horizontal="left"/>
    </xf>
    <xf numFmtId="167" fontId="22" fillId="9" borderId="0" xfId="0" applyNumberFormat="1" applyFont="1" applyFill="1"/>
    <xf numFmtId="0" fontId="24" fillId="9" borderId="0" xfId="0" applyFont="1" applyFill="1" applyAlignment="1">
      <alignment horizontal="right"/>
    </xf>
    <xf numFmtId="171" fontId="27" fillId="11" borderId="0" xfId="0" applyNumberFormat="1" applyFont="1" applyFill="1" applyAlignment="1">
      <alignment horizontal="center"/>
    </xf>
    <xf numFmtId="171" fontId="28" fillId="9" borderId="0" xfId="0" applyNumberFormat="1" applyFont="1" applyFill="1" applyAlignment="1">
      <alignment horizontal="center"/>
    </xf>
    <xf numFmtId="172" fontId="27" fillId="11" borderId="0" xfId="0" applyNumberFormat="1" applyFont="1" applyFill="1" applyAlignment="1">
      <alignment horizontal="center"/>
    </xf>
    <xf numFmtId="172" fontId="27" fillId="12" borderId="0" xfId="0" applyNumberFormat="1" applyFont="1" applyFill="1" applyAlignment="1">
      <alignment horizontal="center"/>
    </xf>
    <xf numFmtId="172" fontId="28" fillId="9" borderId="0" xfId="0" applyNumberFormat="1" applyFont="1" applyFill="1" applyAlignment="1">
      <alignment horizontal="center"/>
    </xf>
    <xf numFmtId="171" fontId="29" fillId="11" borderId="0" xfId="0" applyNumberFormat="1" applyFont="1" applyFill="1" applyAlignment="1">
      <alignment horizontal="center"/>
    </xf>
    <xf numFmtId="2" fontId="30" fillId="9" borderId="0" xfId="0" applyNumberFormat="1" applyFont="1" applyFill="1" applyAlignment="1">
      <alignment horizontal="center"/>
    </xf>
    <xf numFmtId="0" fontId="23" fillId="10" borderId="6" xfId="0" applyFont="1" applyFill="1" applyBorder="1" applyAlignment="1">
      <alignment horizontal="left"/>
    </xf>
    <xf numFmtId="0" fontId="23" fillId="10" borderId="6" xfId="0" applyFont="1" applyFill="1" applyBorder="1" applyAlignment="1">
      <alignment horizontal="center"/>
    </xf>
    <xf numFmtId="0" fontId="25" fillId="8" borderId="7" xfId="0" applyFont="1" applyFill="1" applyBorder="1" applyAlignment="1">
      <alignment horizontal="center"/>
    </xf>
    <xf numFmtId="0" fontId="26" fillId="12" borderId="8" xfId="0" applyFont="1" applyFill="1" applyBorder="1" applyAlignment="1">
      <alignment horizontal="left"/>
    </xf>
    <xf numFmtId="171" fontId="27" fillId="12" borderId="8" xfId="0" applyNumberFormat="1" applyFont="1" applyFill="1" applyBorder="1" applyAlignment="1">
      <alignment horizontal="center"/>
    </xf>
    <xf numFmtId="172" fontId="27" fillId="12" borderId="8" xfId="0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0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Monétaire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D9"/>
      <color rgb="FFE4B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 Devulder" id="{62BB0E34-E1E7-4A08-8B29-8859926FE0D5}" userId="S::alice@sarani.studio::af36e512-afec-4932-80b4-29f92e4bc3d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2" dT="2025-08-27T08:45:52.24" personId="{62BB0E34-E1E7-4A08-8B29-8859926FE0D5}" id="{B4F980F8-A4D4-4B49-8CCC-EAB6EB9A784E}">
    <text>Selon le message reçu de Megan le 26/08/2025</text>
  </threadedComment>
  <threadedComment ref="J73" dT="2025-08-27T08:45:52.24" personId="{62BB0E34-E1E7-4A08-8B29-8859926FE0D5}" id="{A3DD0679-540F-4AE8-80D4-1D88710096F6}">
    <text>Selon le message reçu de Megan le 26/08/2025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A4A277-FA94-451E-9DEF-8D0EA41876D2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f:/s/SaraniAssets/EkbtRDSapgtOsCGRr45n3s8BxNwNsJWvG978ep85BJ1GRg?e=w0ogpm" TargetMode="External"/><Relationship Id="rId21" Type="http://schemas.openxmlformats.org/officeDocument/2006/relationships/hyperlink" Target="https://saranistudio.sharepoint.com/:f:/s/SaraniAssets/El90XJB1hU1Oved8pG663yEB6o7cYZpgCWrfukMVc7SU_Q?e=TainRa" TargetMode="External"/><Relationship Id="rId42" Type="http://schemas.openxmlformats.org/officeDocument/2006/relationships/hyperlink" Target="https://saranistudio.sharepoint.com/:f:/s/SaraniAssets/Eu1DdecbiRlFjp4_UiiV1aEBGaf_h3dwocON-LWLu6u8Dg?e=7fkaek" TargetMode="External"/><Relationship Id="rId47" Type="http://schemas.openxmlformats.org/officeDocument/2006/relationships/hyperlink" Target="https://saranistudio.sharepoint.com/:f:/s/SaraniAssets/EgjBAy8FPLtLnwq0ofa1Z_YBUH6MauB-uRQG5Jgu9_3vkA?e=jMpXhd" TargetMode="External"/><Relationship Id="rId63" Type="http://schemas.openxmlformats.org/officeDocument/2006/relationships/hyperlink" Target="https://saranistudio.sharepoint.com/:f:/s/SaraniAssets/Et8m5EXA2mROuR5RvyHa46oBj5Bf0hks6DIU3Jd1Bi_u9Q?e=BbTudg" TargetMode="External"/><Relationship Id="rId68" Type="http://schemas.openxmlformats.org/officeDocument/2006/relationships/hyperlink" Target="https://saranistudio.sharepoint.com/:f:/s/SaraniAssets/EqS14-LZKjZChFbhvZw3CbcBvH4yT5cpfLkU9UzVgq2EUA?e=HYmzwu" TargetMode="External"/><Relationship Id="rId84" Type="http://schemas.openxmlformats.org/officeDocument/2006/relationships/hyperlink" Target="https://saranistudio.sharepoint.com/:f:/s/SaraniAssets/IgAKW8ilSduHQYW1ScoOC78WAV5M1LlNYlSwosfL7OEc3FA?e=LMJArL" TargetMode="External"/><Relationship Id="rId89" Type="http://schemas.openxmlformats.org/officeDocument/2006/relationships/hyperlink" Target="https://saranistudio.sharepoint.com/:f:/r/sites/SaraniAssets/Shared%20Documents/03.%20Customers/11.%20Aristocrat/02.%20Projects/20251216_FR%20Game%20Screens%20-%20Coin%20Trio%20Royale?csf=1&amp;web=1&amp;e=snHmRf" TargetMode="External"/><Relationship Id="rId16" Type="http://schemas.openxmlformats.org/officeDocument/2006/relationships/hyperlink" Target="https://saranistudio.sharepoint.com/:f:/s/SaraniAssets/EjoYoNRokUJCob2AkQes1eoBOP4MJuo3Zc-1qw_-HiSnuQ?e=tABvP0" TargetMode="External"/><Relationship Id="rId107" Type="http://schemas.microsoft.com/office/2017/10/relationships/threadedComment" Target="../threadedComments/threadedComment1.xml"/><Relationship Id="rId11" Type="http://schemas.openxmlformats.org/officeDocument/2006/relationships/hyperlink" Target="https://saranistudio.sharepoint.com/:f:/s/SaraniAssets/El6ehHV_24RBn9ZgNxvKNSoBtEqrSmA3EEm-Zb8LYcWBPA?e=DeQugO" TargetMode="External"/><Relationship Id="rId32" Type="http://schemas.openxmlformats.org/officeDocument/2006/relationships/hyperlink" Target="https://saranistudio.sharepoint.com/:f:/s/SaraniAssets/EmhAFY2wfTNItNK6A1SviuEBI7-UkTzLwWjLbgq1iBBUtg?e=586Z0V" TargetMode="External"/><Relationship Id="rId37" Type="http://schemas.openxmlformats.org/officeDocument/2006/relationships/hyperlink" Target="https://saranistudio.sharepoint.com/:f:/s/SaraniAssets/ElwLk6durzxFjlduLXYGl_4BQGmKr_ZISTTc2wydoqL0QA?e=Ruv2I8" TargetMode="External"/><Relationship Id="rId53" Type="http://schemas.openxmlformats.org/officeDocument/2006/relationships/hyperlink" Target="https://saranistudio.sharepoint.com/:f:/s/SaraniAssets/El9jd0HEkbhHr-V9e234FBwBMUHTMw5ZGaDCBg5qxw0Hhg?e=P0FNGt" TargetMode="External"/><Relationship Id="rId58" Type="http://schemas.openxmlformats.org/officeDocument/2006/relationships/hyperlink" Target="https://saranistudio.sharepoint.com/:f:/s/SaraniAssets/Eg5kUneXrfBMicY9dG9lG6IBWH__UT7qfYp_2uY3o1HIQA?e=NgHnbc" TargetMode="External"/><Relationship Id="rId74" Type="http://schemas.openxmlformats.org/officeDocument/2006/relationships/hyperlink" Target="https://saranistudio.sharepoint.com/:f:/s/SaraniAssets/IgC4gOCqfsMRTYShLmASpvWeATDgj62j9I9311bcekD1ocA?e=eBw5e7" TargetMode="External"/><Relationship Id="rId79" Type="http://schemas.openxmlformats.org/officeDocument/2006/relationships/hyperlink" Target="https://saranistudio.sharepoint.com/:f:/s/SaraniAssets/IgD1_ZALE9BZRphBscRzwSVFAS0745oAN7egguN-VgAPX-w?e=kb7u7e" TargetMode="External"/><Relationship Id="rId102" Type="http://schemas.openxmlformats.org/officeDocument/2006/relationships/hyperlink" Target="https://saranistudio.sharepoint.com/:f:/s/SaraniAssets/IgBCPFGgSZlNRJkT-d6hTiC1Ad2jkuXLeSLr_mrS6xNAixA?e=cz6XtA" TargetMode="External"/><Relationship Id="rId5" Type="http://schemas.openxmlformats.org/officeDocument/2006/relationships/hyperlink" Target="https://saranistudio.sharepoint.com/:w:/s/SaraniAssets/Eck7LNoSSKRJhKCa-vUyWZMBWUpF6UToorC9K1p-89QEkw?e=641Qfg" TargetMode="External"/><Relationship Id="rId90" Type="http://schemas.openxmlformats.org/officeDocument/2006/relationships/hyperlink" Target="https://saranistudio.sharepoint.com/:f:/s/SaraniAssets/IgCQLgGzuWGeQLavEKIbXZS5AVv4-rmqnejP1Ly7ivSnbZQ?e=0oYhBv" TargetMode="External"/><Relationship Id="rId95" Type="http://schemas.openxmlformats.org/officeDocument/2006/relationships/hyperlink" Target="https://saranistudio.sharepoint.com/:f:/s/SaraniAssets/IgC_zydfYTC2RbgGmdExBT4EAfiZdlxwEuW8cWOK8ejNHvo?e=ZdBGMC" TargetMode="External"/><Relationship Id="rId22" Type="http://schemas.openxmlformats.org/officeDocument/2006/relationships/hyperlink" Target="https://saranistudio.sharepoint.com/:f:/s/SaraniAssets/EqNVhASVLx1GqoO9fik-2WgB79N-oEll3qcYgUVBeFVSbA?e=Pmw5lb" TargetMode="External"/><Relationship Id="rId27" Type="http://schemas.openxmlformats.org/officeDocument/2006/relationships/hyperlink" Target="https://saranistudio.sharepoint.com/:f:/s/SaraniAssets/ErWt2eivjgBOiHbZ58kvpZQBuHWAiWWJ_JCRLNww6pXmIQ?e=JBPZDA" TargetMode="External"/><Relationship Id="rId43" Type="http://schemas.openxmlformats.org/officeDocument/2006/relationships/hyperlink" Target="https://saranistudio.sharepoint.com/:f:/s/SaraniAssets/EjoYoNRokUJCob2AkQes1eoBOP4MJuo3Zc-1qw_-HiSnuQ?e=WJuuAm" TargetMode="External"/><Relationship Id="rId48" Type="http://schemas.openxmlformats.org/officeDocument/2006/relationships/hyperlink" Target="https://saranistudio.sharepoint.com/:f:/s/SaraniAssets/EnfLxMefOehNrKmaWTS3d1gBR3Ve03scB2ec_FnXWoEN2A?e=HkP7vO" TargetMode="External"/><Relationship Id="rId64" Type="http://schemas.openxmlformats.org/officeDocument/2006/relationships/hyperlink" Target="https://saranistudio.sharepoint.com/:f:/s/SaraniAssets/EsjHYwpfsypJvsqdSILLfmAB5xae2S_CRsREKi1esXgSaQ?e=bPCEgk" TargetMode="External"/><Relationship Id="rId69" Type="http://schemas.openxmlformats.org/officeDocument/2006/relationships/hyperlink" Target="https://saranistudio.sharepoint.com/:f:/s/SaraniAssets/EogOuLw9DHBLlZC0qXKt4DIBeoUBkVDOsUDWoLqdXdcwmA?e=dxxfaO" TargetMode="External"/><Relationship Id="rId80" Type="http://schemas.openxmlformats.org/officeDocument/2006/relationships/hyperlink" Target="https://saranistudio.sharepoint.com/:f:/s/SaraniAssets/IgDfeUZveFiaTrVt58lRddO3ASn20IJ-gIM5UTUtxYX2FpU?e=IBvr1y" TargetMode="External"/><Relationship Id="rId85" Type="http://schemas.openxmlformats.org/officeDocument/2006/relationships/hyperlink" Target="https://saranistudio.sharepoint.com/:f:/s/SaraniAssets/IgCLo4KBWFF1Qo8ynL3Ij2QpAYzEQtzoC6ALuO-B6nr9syY?e=eulVcH" TargetMode="External"/><Relationship Id="rId12" Type="http://schemas.openxmlformats.org/officeDocument/2006/relationships/hyperlink" Target="https://saranistudio.sharepoint.com/:f:/s/SaraniAssets/EnroNK7W9i5Mivv8g4hJkS4BD2zqxvkMcEhH6ksZ0EQJRQ?e=1SKKur" TargetMode="External"/><Relationship Id="rId17" Type="http://schemas.openxmlformats.org/officeDocument/2006/relationships/hyperlink" Target="https://saranistudio.sharepoint.com/:f:/s/SaraniAssets/Es9QBoBjb9VJvGDL3Zf9-voBWmaA_rAbTzthkJYXQAA1Mw?e=PkwSHS" TargetMode="External"/><Relationship Id="rId33" Type="http://schemas.openxmlformats.org/officeDocument/2006/relationships/hyperlink" Target="https://saranistudio.sharepoint.com/:f:/s/SaraniAssets/EgxazRdM611FlgdjTmprGOQB2wXvXpon-tkEfIVwy5mtTg?e=9Mp298" TargetMode="External"/><Relationship Id="rId38" Type="http://schemas.openxmlformats.org/officeDocument/2006/relationships/hyperlink" Target="https://saranistudio.sharepoint.com/:f:/s/SaraniAssets/EiSWXXYs_19Ek7ySeaUy3CsBFn5eFKmhUy47EatriKhoNw?e=w8peu8" TargetMode="External"/><Relationship Id="rId59" Type="http://schemas.openxmlformats.org/officeDocument/2006/relationships/hyperlink" Target="https://saranistudio.sharepoint.com/:f:/s/SaraniAssets/EmuuQmCXyeVEj3E4AT0P0BoBsifWkGjvHk9yBKjBWGAS5Q?e=qM6szb" TargetMode="External"/><Relationship Id="rId103" Type="http://schemas.openxmlformats.org/officeDocument/2006/relationships/hyperlink" Target="https://saranistudio.sharepoint.com/:f:/r/sites/SaraniAssets/Shared%20Documents/03.%20Customers/11.%20Aristocrat/02.%20Projects/20260311_Thunder%20Empire%20-%20Last%202%20Title%20Translations?csf=1&amp;web=1&amp;e=OHFq7S" TargetMode="External"/><Relationship Id="rId20" Type="http://schemas.openxmlformats.org/officeDocument/2006/relationships/hyperlink" Target="https://saranistudio.sharepoint.com/:f:/s/SaraniAssets/EkjafVG4VKJBqf747r1_V8ABNM1X7KLOsyC1Fa0avov8yg?e=zf7vpc" TargetMode="External"/><Relationship Id="rId41" Type="http://schemas.openxmlformats.org/officeDocument/2006/relationships/hyperlink" Target="https://saranistudio.sharepoint.com/:f:/s/SaraniAssets/EldxUpTDoKdAhjulDr8hMQkBIyNdOAxN343nz9P6omm9TA?e=TezVIo" TargetMode="External"/><Relationship Id="rId54" Type="http://schemas.openxmlformats.org/officeDocument/2006/relationships/hyperlink" Target="https://saranistudio.sharepoint.com/:f:/s/SaraniAssets/EiaRqgBuk5JOpP5D2vd5dXEBz7aXHI1Xo8LPToRpiIySwg?e=M0Jjxv" TargetMode="External"/><Relationship Id="rId62" Type="http://schemas.openxmlformats.org/officeDocument/2006/relationships/hyperlink" Target="https://saranistudio.sharepoint.com/:f:/s/SaraniAssets/Ei47rimn8HJNjGPXaVrGzPIBKt-toap-Y9fif_qOYCN1YQ?e=dJfCoA" TargetMode="External"/><Relationship Id="rId70" Type="http://schemas.openxmlformats.org/officeDocument/2006/relationships/hyperlink" Target="https://saranistudio.sharepoint.com/:f:/s/SaraniAssets/Er_7dMU59LhMiXI2ftNrw_0BYV0Q9o_HYAt9dwCOAiyboA?e=hCSDfL" TargetMode="External"/><Relationship Id="rId75" Type="http://schemas.openxmlformats.org/officeDocument/2006/relationships/hyperlink" Target="https://saranistudio.sharepoint.com/:f:/r/sites/SaraniAssets/Shared%20Documents/03.%20Customers/11.%20Aristocrat/02.%20Projects/20251118_ICE%202026%20Escalator%20%26%20Pillar%20Branding?csf=1&amp;web=1&amp;e=saGo13" TargetMode="External"/><Relationship Id="rId83" Type="http://schemas.openxmlformats.org/officeDocument/2006/relationships/hyperlink" Target="https://saranistudio.sharepoint.com/:f:/s/SaraniAssets/IgAP1fYAPS4yRpovVwuhoJNkAZ58Ey-DcO9jOt8MiTHGnSM?e=z1aS0O" TargetMode="External"/><Relationship Id="rId88" Type="http://schemas.openxmlformats.org/officeDocument/2006/relationships/hyperlink" Target="https://saranistudio.sharepoint.com/:f:/s/SaraniAssets/IgC3vMORwuD7RJ-pThoWxMIEAQs-ZPjKY7nYe-emuKp3RVc?e=0YPT7r" TargetMode="External"/><Relationship Id="rId91" Type="http://schemas.openxmlformats.org/officeDocument/2006/relationships/hyperlink" Target="https://saranistudio.sharepoint.com/:f:/s/SaraniAssets/IgDEZxHAtrBDQK0DoL1Kxq4PAc2gvNrVxOIOY26ZUw62oU8?e=f0MTx0" TargetMode="External"/><Relationship Id="rId96" Type="http://schemas.openxmlformats.org/officeDocument/2006/relationships/hyperlink" Target="https://saranistudio.sharepoint.com/:f:/s/SaraniAssets/IgCX4qyasTCJR6tMHR1GlFW1AUvx1YZBX20n1EhJPrjwgZY?e=p61fPh" TargetMode="External"/><Relationship Id="rId1" Type="http://schemas.openxmlformats.org/officeDocument/2006/relationships/hyperlink" Target="https://saranistudio.sharepoint.com/:f:/s/SaraniAssets/EicHqBO9GotOltf9BORHCJIBc712FqijUq_259gQluFAoA?e=Jiivi4" TargetMode="External"/><Relationship Id="rId6" Type="http://schemas.openxmlformats.org/officeDocument/2006/relationships/hyperlink" Target="https://saranistudio.sharepoint.com/:f:/s/SaraniAssets/EsjQHFLgoTRJhu_jtLNpEHcBr5y8GcgOaH8eq1tt8JljCw?e=iqr6dx" TargetMode="External"/><Relationship Id="rId15" Type="http://schemas.openxmlformats.org/officeDocument/2006/relationships/hyperlink" Target="https://saranistudio.sharepoint.com/:f:/s/SaraniAssets/Evl07W9WGGhEtehSc2_yr28BZJ3M38Rqn6iRc7qPrpL8uQ?e=pivuZd" TargetMode="External"/><Relationship Id="rId23" Type="http://schemas.openxmlformats.org/officeDocument/2006/relationships/hyperlink" Target="https://saranistudio.sharepoint.com/:f:/s/SaraniAssets/EkbtRDSapgtOsCGRr45n3s8BxNwNsJWvG978ep85BJ1GRg?e=4csna7" TargetMode="External"/><Relationship Id="rId28" Type="http://schemas.openxmlformats.org/officeDocument/2006/relationships/hyperlink" Target="https://saranistudio.sharepoint.com/:f:/s/SaraniAssets/Eto9_yUhJn5Epn2nhGKQ0UcBuygPh3c6P5qIJqjEP-3aIQ?e=xuFDDw" TargetMode="External"/><Relationship Id="rId36" Type="http://schemas.openxmlformats.org/officeDocument/2006/relationships/hyperlink" Target="https://saranistudio.sharepoint.com/:f:/s/SaraniAssets/EvNHfrDq7ntOvVmx2xggKLABxXo9jaSvz8t8s3Dqae862A?e=lcogvF" TargetMode="External"/><Relationship Id="rId49" Type="http://schemas.openxmlformats.org/officeDocument/2006/relationships/hyperlink" Target="https://saranistudio.sharepoint.com/:f:/s/SaraniAssets/EvRueomwqc9ErxTorHSLPgYBQzuLu9uKL3GKUh4wO8b6XQ?e=krKWU3" TargetMode="External"/><Relationship Id="rId57" Type="http://schemas.openxmlformats.org/officeDocument/2006/relationships/hyperlink" Target="https://saranistudio.sharepoint.com/:f:/s/SaraniAssets/EgxjixyfXG5DnG-A42s6iXcBFxo-iR1DH48KIU8w8sUz6g?e=9DVnqF" TargetMode="External"/><Relationship Id="rId106" Type="http://schemas.openxmlformats.org/officeDocument/2006/relationships/comments" Target="../comments1.xml"/><Relationship Id="rId10" Type="http://schemas.openxmlformats.org/officeDocument/2006/relationships/hyperlink" Target="https://saranistudio.sharepoint.com/:f:/s/SaraniAssets/ErUH4AT3xKZIiF2P4aB6THEB3fERlJB2gaIl9dYmZrPU0A?e=YqoR1K" TargetMode="External"/><Relationship Id="rId31" Type="http://schemas.openxmlformats.org/officeDocument/2006/relationships/hyperlink" Target="https://saranistudio.sharepoint.com/:f:/r/sites/SaraniAssets/Shared%20Documents/03.%20Customers/11.%20Aristocrat/02.%20Projects/20241127_French%20Translation%20Gaming%20Show?csf=1&amp;web=1&amp;e=JYq4J0" TargetMode="External"/><Relationship Id="rId44" Type="http://schemas.openxmlformats.org/officeDocument/2006/relationships/hyperlink" Target="https://saranistudio.sharepoint.com/:f:/s/SaraniAssets/ElRQWd7V7SJFvjKgW65A1o0BNyhrnz4xNqKtP6iDISX6tg?e=vTIvK5" TargetMode="External"/><Relationship Id="rId52" Type="http://schemas.openxmlformats.org/officeDocument/2006/relationships/hyperlink" Target="https://saranistudio.sharepoint.com/:f:/s/SaraniAssets/Ej4-vHD_4y5FhbW9RO5iBAIBmCGDUOGMFfcTrXFzhKbZwg?e=BNoADU" TargetMode="External"/><Relationship Id="rId60" Type="http://schemas.openxmlformats.org/officeDocument/2006/relationships/hyperlink" Target="https://saranistudio.sharepoint.com/:f:/s/SaraniAssets/EsrEi7Xth_JIhWmRTBXzFJ0BUlORnk7ZdPgOJ2-u85P6kg?e=Vb3FYi" TargetMode="External"/><Relationship Id="rId65" Type="http://schemas.openxmlformats.org/officeDocument/2006/relationships/hyperlink" Target="https://saranistudio.sharepoint.com/:f:/s/SaraniAssets/EtknSkSz_uFJsRfqk1HFSZEBCKzM8FJMYQYlQTPPP_uWgQ?e=he2lqu" TargetMode="External"/><Relationship Id="rId73" Type="http://schemas.openxmlformats.org/officeDocument/2006/relationships/hyperlink" Target="https://saranistudio.sharepoint.com/:f:/s/SaraniAssets/IgDz5WAi39_yT4OPNbpscMCqAWIue9AZEvsNUIpW2b7DKGw?e=oZCUiR" TargetMode="External"/><Relationship Id="rId78" Type="http://schemas.openxmlformats.org/officeDocument/2006/relationships/hyperlink" Target="https://saranistudio.sharepoint.com/:f:/s/SaraniAssets/IgC1U9mykLVRRaBDXFYMBFu5AbwrQsh0bOnV1IiNuOr86JI?e=5beIaA" TargetMode="External"/><Relationship Id="rId81" Type="http://schemas.openxmlformats.org/officeDocument/2006/relationships/hyperlink" Target="https://saranistudio.sharepoint.com/:f:/s/SaraniAssets/IgDkDZ-gqt2gTYEqiML1bJeqAWctvlLQjZquBZSjYSm1gDs?e=uzP20S" TargetMode="External"/><Relationship Id="rId86" Type="http://schemas.openxmlformats.org/officeDocument/2006/relationships/hyperlink" Target="https://saranistudio.sharepoint.com/:f:/s/SaraniAssets/IgD_UP6Dw7IaT60H5oBoaXjJAaMUcIS8OtrfqjyphJ0Ucn0?e=oSBbEy" TargetMode="External"/><Relationship Id="rId94" Type="http://schemas.openxmlformats.org/officeDocument/2006/relationships/hyperlink" Target="https://saranistudio.sharepoint.com/:f:/s/SaraniAssets/IgDw9L1igPM9QaaeQtfbcHrLAa7EF18LABJT8ZSCBrSq4lU?e=I4OfLT" TargetMode="External"/><Relationship Id="rId99" Type="http://schemas.openxmlformats.org/officeDocument/2006/relationships/hyperlink" Target="https://saranistudio.sharepoint.com/:f:/s/SaraniAssets/IgAyOSG8b9G6RazrLek1QZPsAUriULSihRAxMI-_sEXfw7g?e=cVkh3N" TargetMode="External"/><Relationship Id="rId101" Type="http://schemas.openxmlformats.org/officeDocument/2006/relationships/hyperlink" Target="https://saranistudio.sharepoint.com/:f:/s/SaraniAssets/IgBlMF6K9gRMRr6LXR-djZhpAaXL_rnCxs9oa21Irn7bxj0?e=GGlimv" TargetMode="External"/><Relationship Id="rId4" Type="http://schemas.openxmlformats.org/officeDocument/2006/relationships/hyperlink" Target="https://saranistudio.sharepoint.com/:f:/s/SaraniAssets/ElyIX3Mo7jBAu6K49clJcLkB3uYPq9Ekqat5KsoijNSwEQ?e=Dgbppz" TargetMode="External"/><Relationship Id="rId9" Type="http://schemas.openxmlformats.org/officeDocument/2006/relationships/hyperlink" Target="https://saranistudio.sharepoint.com/:f:/s/SaraniAssets/EgV4wqclurVAjk8QfT1zRi4BWj5py5IHEgtvzYHjmD5wug?e=BYmnVW" TargetMode="External"/><Relationship Id="rId13" Type="http://schemas.openxmlformats.org/officeDocument/2006/relationships/hyperlink" Target="https://saranistudio.sharepoint.com/:f:/s/SaraniAssets/EowvOfwr33BMj-fQq9knBvcBnaujdRAc2b1WcprDqcBzhg?e=fwvcPN" TargetMode="External"/><Relationship Id="rId18" Type="http://schemas.openxmlformats.org/officeDocument/2006/relationships/hyperlink" Target="https://saranistudio.sharepoint.com/:f:/s/SaraniAssets/EgSpS7bq8c9ClzPajLlGKnIBdqYULi6RzKofIZubAtNmwg?e=MsRkUu" TargetMode="External"/><Relationship Id="rId39" Type="http://schemas.openxmlformats.org/officeDocument/2006/relationships/hyperlink" Target="https://saranistudio.sharepoint.com/:f:/s/SaraniAssets/EpMXWZTpTQhElDw67YUEdEMBMqOi_F8J38A1Xig6oxLPzA?e=ZZpTxd" TargetMode="External"/><Relationship Id="rId34" Type="http://schemas.openxmlformats.org/officeDocument/2006/relationships/hyperlink" Target="https://saranistudio.sharepoint.com/:f:/s/SaraniAssets/ErwuCtMlDGBGrwkiKeJzcsABEtmoIzXynqXevgi2HqhMow?e=HtycLU" TargetMode="External"/><Relationship Id="rId50" Type="http://schemas.openxmlformats.org/officeDocument/2006/relationships/hyperlink" Target="https://saranistudio.sharepoint.com/:f:/s/SaraniAssets/Ei0yMOsVb7JMpda1Te-WSHkBbthyp3kYHqVTrlo1vi08vQ?e=bgPcxe" TargetMode="External"/><Relationship Id="rId55" Type="http://schemas.openxmlformats.org/officeDocument/2006/relationships/hyperlink" Target="https://saranistudio.sharepoint.com/:f:/s/SaraniAssets/EiMBOclNiHBBngy_eykdudgB7SN1oXkFk-XGteIVMXvauQ?e=mW2WqG" TargetMode="External"/><Relationship Id="rId76" Type="http://schemas.openxmlformats.org/officeDocument/2006/relationships/hyperlink" Target="https://saranistudio.sharepoint.com/:f:/s/SaraniAssets/IgCb552PVz_ZQ6v4osSixinjAew9IN4YGge86U0AjyvDy4A?e=yASgYW" TargetMode="External"/><Relationship Id="rId97" Type="http://schemas.openxmlformats.org/officeDocument/2006/relationships/hyperlink" Target="https://saranistudio.sharepoint.com/:f:/s/SaraniAssets/IgAVzqRcbpXcQLsDRXVaKEmTATzZXEBwVnxKl6EQwb77C7g?e=btgB8h" TargetMode="External"/><Relationship Id="rId104" Type="http://schemas.openxmlformats.org/officeDocument/2006/relationships/hyperlink" Target="https://saranistudio.sharepoint.com/:f:/s/SaraniAssets/IgBBO9kus26PQK7rnMJKpj9_AanQOGbLKW208Vq4f_PZfWs?e=fpcmA1" TargetMode="External"/><Relationship Id="rId7" Type="http://schemas.openxmlformats.org/officeDocument/2006/relationships/hyperlink" Target="https://saranistudio.sharepoint.com/:f:/s/SaraniAssets/EgV4wqclurVAjk8QfT1zRi4BWj5py5IHEgtvzYHjmD5wug?e=qHNSPI" TargetMode="External"/><Relationship Id="rId71" Type="http://schemas.openxmlformats.org/officeDocument/2006/relationships/hyperlink" Target="https://saranistudio.sharepoint.com/:f:/s/SaraniAssets/IgCJuT-j4I85SKruXSDAXUlyASxh6X_flHri91kRVIELM5M?e=NjC5C9" TargetMode="External"/><Relationship Id="rId92" Type="http://schemas.openxmlformats.org/officeDocument/2006/relationships/hyperlink" Target="https://saranistudio.sharepoint.com/:f:/s/SaraniAssets/IgARaJcc4GHFT6SdZJXI05dIAePVUFz4G1_3BzuuS2_oz7U?e=j1G6dH" TargetMode="External"/><Relationship Id="rId2" Type="http://schemas.openxmlformats.org/officeDocument/2006/relationships/hyperlink" Target="https://saranistudio.sharepoint.com/:f:/s/SaraniAssets/EjVCi8Y81g5PsgKtjsrg0DIBy6kA-oKjBf_SGQZ9FG3gIQ?e=9wYSQo" TargetMode="External"/><Relationship Id="rId29" Type="http://schemas.openxmlformats.org/officeDocument/2006/relationships/hyperlink" Target="https://saranistudio.sharepoint.com/:f:/s/SaraniAssets/EnFKb_AgdaJBgllFLEfT75QBvem9NL_FXia37lU405VjOQ?e=ahAzN4" TargetMode="External"/><Relationship Id="rId24" Type="http://schemas.openxmlformats.org/officeDocument/2006/relationships/hyperlink" Target="https://saranistudio.sharepoint.com/:f:/s/SaraniAssets/EuvalTHbCp5Epfzl2fnz76YBVf5-e6tI7B7uVbDlHJ47GA?e=WsqRLQ" TargetMode="External"/><Relationship Id="rId40" Type="http://schemas.openxmlformats.org/officeDocument/2006/relationships/hyperlink" Target="https://saranistudio.sharepoint.com/:f:/s/SaraniAssets/EgJWxkOFh2NNiP5dlA5Bt9wBGtSoTi58YGzdvxoKzX-L6w?e=xNp14u" TargetMode="External"/><Relationship Id="rId45" Type="http://schemas.openxmlformats.org/officeDocument/2006/relationships/hyperlink" Target="https://saranistudio.sharepoint.com/:f:/s/SaraniAssets/Egj_0muX5apFg7MxlKgBPbwBVAWiHEKd81sVmOxxc4JdEg?e=bwfyO6" TargetMode="External"/><Relationship Id="rId66" Type="http://schemas.openxmlformats.org/officeDocument/2006/relationships/hyperlink" Target="https://saranistudio.sharepoint.com/:f:/s/SaraniAssets/EsjHYwpfsypJvsqdSILLfmAB5xae2S_CRsREKi1esXgSaQ?e=Kehtwr" TargetMode="External"/><Relationship Id="rId87" Type="http://schemas.openxmlformats.org/officeDocument/2006/relationships/hyperlink" Target="https://saranistudio.sharepoint.com/:f:/s/SaraniAssets/IgBohEnEUBtERqeYNQ5BsaMDAVQFD72R1ymxuxjnsqiBMAA?e=v2SO73" TargetMode="External"/><Relationship Id="rId61" Type="http://schemas.openxmlformats.org/officeDocument/2006/relationships/hyperlink" Target="https://saranistudio.sharepoint.com/:f:/s/SaraniAssets/EmcS3cdluGBCtd-t52UKBKUBOwmX-gQya_yb5aX1X3gwQQ?e=sfa6df" TargetMode="External"/><Relationship Id="rId82" Type="http://schemas.openxmlformats.org/officeDocument/2006/relationships/hyperlink" Target="https://saranistudio.sharepoint.com/:f:/s/SaraniAssets/IgBZoaJnlMhBRoSuxhpJYG7oAeKpjhQHer4KdUH2bv_gTNY?e=Yf0maT" TargetMode="External"/><Relationship Id="rId19" Type="http://schemas.openxmlformats.org/officeDocument/2006/relationships/hyperlink" Target="https://saranistudio.sharepoint.com/:f:/s/SaraniAssets/EpuE4RXdO8hAr4qLP_U7DQ0BZkLhBXgxJfYor_Z0-CduXg?e=E8bQ44" TargetMode="External"/><Relationship Id="rId14" Type="http://schemas.openxmlformats.org/officeDocument/2006/relationships/hyperlink" Target="https://saranistudio.sharepoint.com/:f:/s/SaraniAssets/EnIC2ND_-IhLtuOmQ0ywYuEB6r7gGkvOeKFO_yCblpWXuA?e=dFypTO" TargetMode="External"/><Relationship Id="rId30" Type="http://schemas.openxmlformats.org/officeDocument/2006/relationships/hyperlink" Target="https://saranistudio.sharepoint.com/:f:/s/SaraniAssets/Eh3cThpTEH5Cm_La1uA14vAByJljhYqqOEv8cFAU7h2-9w?e=wMlrD0" TargetMode="External"/><Relationship Id="rId35" Type="http://schemas.openxmlformats.org/officeDocument/2006/relationships/hyperlink" Target="https://saranistudio.sharepoint.com/:f:/s/SaraniAssets/EuPkcm0f49tPpptvP3vGxl4BEVo29yQ4sa3QqPtPMdE_uA?e=45hnsK" TargetMode="External"/><Relationship Id="rId56" Type="http://schemas.openxmlformats.org/officeDocument/2006/relationships/hyperlink" Target="https://saranistudio.sharepoint.com/:f:/s/SaraniAssets/EpPn5T6mE2ZIh7ZvdbCEL7oBUQJgzWlmJVGMq4vkQVQBnw?e=x2QCNk" TargetMode="External"/><Relationship Id="rId77" Type="http://schemas.openxmlformats.org/officeDocument/2006/relationships/hyperlink" Target="https://saranistudio.sharepoint.com/:f:/s/SaraniAssets/IgDuOueP-jMFSJIp1LEkIhubARbm0nhhsdZDKCq-VqeGXO0?e=xQ8kBi" TargetMode="External"/><Relationship Id="rId100" Type="http://schemas.openxmlformats.org/officeDocument/2006/relationships/hyperlink" Target="https://saranistudio.sharepoint.com/:f:/s/SaraniAssets/IgB9xQcZHP1WTJYNl88vK2fTARnJgKxYsrRa_xDLEfbkQ9Y?e=HEJVQK" TargetMode="External"/><Relationship Id="rId105" Type="http://schemas.openxmlformats.org/officeDocument/2006/relationships/vmlDrawing" Target="../drawings/vmlDrawing1.vml"/><Relationship Id="rId8" Type="http://schemas.openxmlformats.org/officeDocument/2006/relationships/hyperlink" Target="https://saranistudio.sharepoint.com/:f:/s/SaraniAssets/Eqha9ofIjoZPr1TIu2A69sMB4vKH3PjJO7zUgKsc2yJ0Ow?e=RWbeeV" TargetMode="External"/><Relationship Id="rId51" Type="http://schemas.openxmlformats.org/officeDocument/2006/relationships/hyperlink" Target="https://saranistudio.sharepoint.com/:f:/s/SaraniAssets/EjHIUYKrJ1xIrM6Cr7shDv8BbiprXfAfHuaCkK6pH34f7w?e=yaG7pK" TargetMode="External"/><Relationship Id="rId72" Type="http://schemas.openxmlformats.org/officeDocument/2006/relationships/hyperlink" Target="https://saranistudio.sharepoint.com/:f:/s/SaraniAssets/IgAEHOOAYII2RZ2yus0cLU03AXaJmz4Njj-VGi0YSGm4JRs?e=WTDmh5" TargetMode="External"/><Relationship Id="rId93" Type="http://schemas.openxmlformats.org/officeDocument/2006/relationships/hyperlink" Target="https://saranistudio.sharepoint.com/:f:/s/SaraniAssets/IgAVzqRcbpXcQLsDRXVaKEmTATzZXEBwVnxKl6EQwb77C7g?e=btgB8h" TargetMode="External"/><Relationship Id="rId98" Type="http://schemas.openxmlformats.org/officeDocument/2006/relationships/hyperlink" Target="https://saranistudio.sharepoint.com/:f:/s/SaraniAssets/IgApkgs9J6BATa0ZZXl_yBecAZ6nNusmLYqH_WKQXEdNPeg?e=BPyOBj" TargetMode="External"/><Relationship Id="rId3" Type="http://schemas.openxmlformats.org/officeDocument/2006/relationships/hyperlink" Target="https://saranistudio.sharepoint.com/:f:/s/SaraniAssets/ElFltiSBIpREjdA77uLJRYYBlz8fUYn92zg2K6e1A4XqqQ?e=lt6xeh" TargetMode="External"/><Relationship Id="rId25" Type="http://schemas.openxmlformats.org/officeDocument/2006/relationships/hyperlink" Target="https://saranistudio.sharepoint.com/:f:/s/SaraniAssets/EmfCNS1dNjVJoVUbuLby2mQBkHLjQHrosRlQN-UqzpuzuA?e=3s2xjn" TargetMode="External"/><Relationship Id="rId46" Type="http://schemas.openxmlformats.org/officeDocument/2006/relationships/hyperlink" Target="https://saranistudio.sharepoint.com/:f:/s/SaraniAssets/Elx7pAS7UXpLgatjI8yLRaIBn074kbYeY8-nd0COrB13kQ?e=jIOgIE" TargetMode="External"/><Relationship Id="rId67" Type="http://schemas.openxmlformats.org/officeDocument/2006/relationships/hyperlink" Target="https://saranistudio.sharepoint.com/:f:/s/SaraniAssets/EvWxklTS4Q9OqR3oAXn8XA8BsvjLdvjw4G1L0Cp_sllVcg?e=3Vfqz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aranistudio.sharepoint.com/:f:/s/SaraniAssets/IgC-ZsA9vy8mQbe2tRFmtycDAbz6VH3vle4XWtHaXmd9n8M?e=RWBfi8" TargetMode="External"/><Relationship Id="rId7" Type="http://schemas.openxmlformats.org/officeDocument/2006/relationships/hyperlink" Target="https://saranistudio.sharepoint.com/:f:/s/SaraniAssets/IgBRpt4yUcopTLrNI6jHiOW-AaEtN2iznQz94E2neZ5Bd6g?e=lTDR3I" TargetMode="External"/><Relationship Id="rId2" Type="http://schemas.openxmlformats.org/officeDocument/2006/relationships/hyperlink" Target="https://saranistudio.sharepoint.com/:f:/s/SaraniAssets/IgBdCWHuWVRfQrbR0t0XwCNIAeRvzdTBf6qlizKedyhzBgQ?e=kH1ara" TargetMode="External"/><Relationship Id="rId1" Type="http://schemas.openxmlformats.org/officeDocument/2006/relationships/hyperlink" Target="https://saranistudio.sharepoint.com/:f:/s/SaraniAssets/IgCuiILQq2S2TrXioMp8gx4fAf8B2IdugBwuN-6fB_VQhSc?e=MXflGl" TargetMode="External"/><Relationship Id="rId6" Type="http://schemas.openxmlformats.org/officeDocument/2006/relationships/hyperlink" Target="https://saranistudio.sharepoint.com/:f:/s/SaraniAssets/IgBRpt4yUcopTLrNI6jHiOW-AaEtN2iznQz94E2neZ5Bd6g?e=lTDR3I" TargetMode="External"/><Relationship Id="rId5" Type="http://schemas.openxmlformats.org/officeDocument/2006/relationships/hyperlink" Target="https://saranistudio.sharepoint.com/:f:/s/SaraniAssets/IgB6ar8gXzmZTaaLNy-The2YAeQnmu41pol15DSrtW2aGU4?e=Fz3nhp" TargetMode="External"/><Relationship Id="rId4" Type="http://schemas.openxmlformats.org/officeDocument/2006/relationships/hyperlink" Target="https://saranistudio.sharepoint.com/:f:/s/SaraniAssets/IgALARsc58n_TaIw7pez_8hgAfGR1yqPDQpjLbdcLvgMDL8?e=EqPa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37C7-B805-46F6-B4E3-AC6F1FDC159E}">
  <dimension ref="A1:Z200"/>
  <sheetViews>
    <sheetView showGridLines="0" workbookViewId="0">
      <pane ySplit="4" topLeftCell="C5" activePane="bottomLeft" state="frozen"/>
      <selection pane="bottomLeft" activeCell="N22" sqref="N22"/>
    </sheetView>
  </sheetViews>
  <sheetFormatPr defaultRowHeight="15"/>
  <cols>
    <col min="1" max="1" width="28.5703125" customWidth="1"/>
    <col min="2" max="21" width="16.140625" customWidth="1"/>
  </cols>
  <sheetData>
    <row r="1" spans="1:26" ht="18" customHeigh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74"/>
      <c r="W1" s="74"/>
      <c r="X1" s="74"/>
      <c r="Y1" s="74"/>
      <c r="Z1" s="74"/>
    </row>
    <row r="2" spans="1:26" ht="12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4"/>
      <c r="W2" s="74"/>
      <c r="X2" s="74"/>
      <c r="Y2" s="74"/>
      <c r="Z2" s="74"/>
    </row>
    <row r="3" spans="1:26" ht="18" customHeight="1">
      <c r="A3" s="77" t="s">
        <v>1</v>
      </c>
      <c r="B3" s="97">
        <v>2022</v>
      </c>
      <c r="C3" s="97"/>
      <c r="D3" s="97"/>
      <c r="E3" s="97"/>
      <c r="F3" s="97">
        <v>2023</v>
      </c>
      <c r="G3" s="97"/>
      <c r="H3" s="97"/>
      <c r="I3" s="97"/>
      <c r="J3" s="97">
        <v>2024</v>
      </c>
      <c r="K3" s="97"/>
      <c r="L3" s="97"/>
      <c r="M3" s="97"/>
      <c r="N3" s="97">
        <v>2025</v>
      </c>
      <c r="O3" s="97"/>
      <c r="P3" s="97"/>
      <c r="Q3" s="97"/>
      <c r="R3" s="97">
        <v>2026</v>
      </c>
      <c r="S3" s="97"/>
      <c r="T3" s="97"/>
      <c r="U3" s="97"/>
      <c r="V3" s="74"/>
      <c r="W3" s="74"/>
      <c r="X3" s="74"/>
      <c r="Y3" s="74"/>
      <c r="Z3" s="74"/>
    </row>
    <row r="4" spans="1:26" ht="18" customHeight="1">
      <c r="A4" s="93"/>
      <c r="B4" s="93" t="s">
        <v>2</v>
      </c>
      <c r="C4" s="93" t="s">
        <v>3</v>
      </c>
      <c r="D4" s="93" t="s">
        <v>4</v>
      </c>
      <c r="E4" s="93" t="s">
        <v>5</v>
      </c>
      <c r="F4" s="93" t="s">
        <v>2</v>
      </c>
      <c r="G4" s="93" t="s">
        <v>3</v>
      </c>
      <c r="H4" s="93" t="s">
        <v>4</v>
      </c>
      <c r="I4" s="93" t="s">
        <v>5</v>
      </c>
      <c r="J4" s="93" t="s">
        <v>2</v>
      </c>
      <c r="K4" s="93" t="s">
        <v>3</v>
      </c>
      <c r="L4" s="93" t="s">
        <v>4</v>
      </c>
      <c r="M4" s="93" t="s">
        <v>5</v>
      </c>
      <c r="N4" s="93" t="s">
        <v>2</v>
      </c>
      <c r="O4" s="93" t="s">
        <v>3</v>
      </c>
      <c r="P4" s="93" t="s">
        <v>4</v>
      </c>
      <c r="Q4" s="93" t="s">
        <v>5</v>
      </c>
      <c r="R4" s="93" t="s">
        <v>2</v>
      </c>
      <c r="S4" s="93" t="s">
        <v>3</v>
      </c>
      <c r="T4" s="93" t="s">
        <v>4</v>
      </c>
      <c r="U4" s="93" t="s">
        <v>5</v>
      </c>
      <c r="V4" s="74"/>
      <c r="W4" s="74"/>
      <c r="X4" s="74"/>
      <c r="Y4" s="74"/>
      <c r="Z4" s="74"/>
    </row>
    <row r="5" spans="1:26" ht="18" customHeight="1">
      <c r="A5" s="78" t="s">
        <v>6</v>
      </c>
      <c r="B5" s="84">
        <f>SUMIFS('Aristocrat (US-EMEA)'!J$6:J$500,'Aristocrat (US-EMEA)'!C$6:C$500,"&gt;="&amp;DATE(2022,1,1),'Aristocrat (US-EMEA)'!C$6:C$500,"&lt;="&amp;DATE(2022,3+1,1)-1)</f>
        <v>0</v>
      </c>
      <c r="C5" s="84">
        <f>SUMIFS('Aristocrat (US-EMEA)'!J$6:J$500,'Aristocrat (US-EMEA)'!C$6:C$500,"&gt;="&amp;DATE(2022,4,1),'Aristocrat (US-EMEA)'!C$6:C$500,"&lt;="&amp;DATE(2022,6+1,1)-1)</f>
        <v>0</v>
      </c>
      <c r="D5" s="84">
        <f>SUMIFS('Aristocrat (US-EMEA)'!J$6:J$500,'Aristocrat (US-EMEA)'!C$6:C$500,"&gt;="&amp;DATE(2022,7,1),'Aristocrat (US-EMEA)'!C$6:C$500,"&lt;="&amp;DATE(2022,9+1,1)-1)</f>
        <v>0</v>
      </c>
      <c r="E5" s="84">
        <f>SUMIFS('Aristocrat (US-EMEA)'!J$6:J$500,'Aristocrat (US-EMEA)'!C$6:C$500,"&gt;="&amp;DATE(2022,10,1),'Aristocrat (US-EMEA)'!C$6:C$500,"&lt;="&amp;DATE(2022,12+1,1)-1)</f>
        <v>0</v>
      </c>
      <c r="F5" s="84">
        <f>SUMIFS('Aristocrat (US-EMEA)'!J$6:J$500,'Aristocrat (US-EMEA)'!C$6:C$500,"&gt;="&amp;DATE(2023,1,1),'Aristocrat (US-EMEA)'!C$6:C$500,"&lt;="&amp;DATE(2023,3+1,1)-1)</f>
        <v>0</v>
      </c>
      <c r="G5" s="84">
        <f>SUMIFS('Aristocrat (US-EMEA)'!J$6:J$500,'Aristocrat (US-EMEA)'!C$6:C$500,"&gt;="&amp;DATE(2023,4,1),'Aristocrat (US-EMEA)'!C$6:C$500,"&lt;="&amp;DATE(2023,6+1,1)-1)</f>
        <v>0</v>
      </c>
      <c r="H5" s="84">
        <f>SUMIFS('Aristocrat (US-EMEA)'!J$6:J$500,'Aristocrat (US-EMEA)'!C$6:C$500,"&gt;="&amp;DATE(2023,7,1),'Aristocrat (US-EMEA)'!C$6:C$500,"&lt;="&amp;DATE(2023,9+1,1)-1)</f>
        <v>0</v>
      </c>
      <c r="I5" s="84">
        <f>SUMIFS('Aristocrat (US-EMEA)'!J$6:J$500,'Aristocrat (US-EMEA)'!C$6:C$500,"&gt;="&amp;DATE(2023,10,1),'Aristocrat (US-EMEA)'!C$6:C$500,"&lt;="&amp;DATE(2023,12+1,1)-1)</f>
        <v>0</v>
      </c>
      <c r="J5" s="84">
        <f>SUMIFS('Aristocrat (US-EMEA)'!J$6:J$500,'Aristocrat (US-EMEA)'!C$6:C$500,"&gt;="&amp;DATE(2024,1,1),'Aristocrat (US-EMEA)'!C$6:C$500,"&lt;="&amp;DATE(2024,3+1,1)-1)</f>
        <v>244.88</v>
      </c>
      <c r="K5" s="84">
        <f>SUMIFS('Aristocrat (US-EMEA)'!J$6:J$500,'Aristocrat (US-EMEA)'!C$6:C$500,"&gt;="&amp;DATE(2024,4,1),'Aristocrat (US-EMEA)'!C$6:C$500,"&lt;="&amp;DATE(2024,6+1,1)-1)</f>
        <v>5558.1</v>
      </c>
      <c r="L5" s="84">
        <f>SUMIFS('Aristocrat (US-EMEA)'!J$6:J$500,'Aristocrat (US-EMEA)'!C$6:C$500,"&gt;="&amp;DATE(2024,7,1),'Aristocrat (US-EMEA)'!C$6:C$500,"&lt;="&amp;DATE(2024,9+1,1)-1)</f>
        <v>2740.3199999999997</v>
      </c>
      <c r="M5" s="84">
        <f>SUMIFS('Aristocrat (US-EMEA)'!J$6:J$500,'Aristocrat (US-EMEA)'!C$6:C$500,"&gt;="&amp;DATE(2024,10,1),'Aristocrat (US-EMEA)'!C$6:C$500,"&lt;="&amp;DATE(2024,12+1,1)-1)</f>
        <v>4504.5200000000004</v>
      </c>
      <c r="N5" s="84">
        <f>SUMIFS('Aristocrat (US-EMEA)'!J$6:J$500,'Aristocrat (US-EMEA)'!C$6:C$500,"&gt;="&amp;DATE(2025,1,1),'Aristocrat (US-EMEA)'!C$6:C$500,"&lt;="&amp;DATE(2025,3+1,1)-1)</f>
        <v>7910.4</v>
      </c>
      <c r="O5" s="84">
        <f>SUMIFS('Aristocrat (US-EMEA)'!J$6:J$500,'Aristocrat (US-EMEA)'!C$6:C$500,"&gt;="&amp;DATE(2025,4,1),'Aristocrat (US-EMEA)'!C$6:C$500,"&lt;="&amp;DATE(2025,6+1,1)-1)</f>
        <v>4827.5</v>
      </c>
      <c r="P5" s="84">
        <f>SUMIFS('Aristocrat (US-EMEA)'!J$6:J$500,'Aristocrat (US-EMEA)'!C$6:C$500,"&gt;="&amp;DATE(2025,7,1),'Aristocrat (US-EMEA)'!C$6:C$500,"&lt;="&amp;DATE(2025,9+1,1)-1)</f>
        <v>91323.6</v>
      </c>
      <c r="Q5" s="84">
        <f>SUMIFS('Aristocrat (US-EMEA)'!J$6:J$500,'Aristocrat (US-EMEA)'!C$6:C$500,"&gt;="&amp;DATE(2025,10,1),'Aristocrat (US-EMEA)'!C$6:C$500,"&lt;="&amp;DATE(2025,12+1,1)-1)</f>
        <v>31029.84</v>
      </c>
      <c r="R5" s="84">
        <f>SUMIFS('Aristocrat (US-EMEA)'!J$6:J$500,'Aristocrat (US-EMEA)'!C$6:C$500,"&gt;="&amp;DATE(2026,1,1),'Aristocrat (US-EMEA)'!C$6:C$500,"&lt;="&amp;DATE(2026,3+1,1)-1)</f>
        <v>13652.28</v>
      </c>
      <c r="S5" s="84">
        <f>SUMIFS('Aristocrat (US-EMEA)'!J$6:J$500,'Aristocrat (US-EMEA)'!C$6:C$500,"&gt;="&amp;DATE(2026,4,1),'Aristocrat (US-EMEA)'!C$6:C$500,"&lt;="&amp;DATE(2026,6+1,1)-1)</f>
        <v>0</v>
      </c>
      <c r="T5" s="84">
        <f>SUMIFS('Aristocrat (US-EMEA)'!J$6:J$500,'Aristocrat (US-EMEA)'!C$6:C$500,"&gt;="&amp;DATE(2026,7,1),'Aristocrat (US-EMEA)'!C$6:C$500,"&lt;="&amp;DATE(2026,9+1,1)-1)</f>
        <v>0</v>
      </c>
      <c r="U5" s="84">
        <f>SUMIFS('Aristocrat (US-EMEA)'!J$6:J$500,'Aristocrat (US-EMEA)'!C$6:C$500,"&gt;="&amp;DATE(2026,10,1),'Aristocrat (US-EMEA)'!C$6:C$500,"&lt;="&amp;DATE(2026,12+1,1)-1)</f>
        <v>0</v>
      </c>
      <c r="V5" s="74"/>
      <c r="W5" s="74"/>
      <c r="X5" s="74"/>
      <c r="Y5" s="74"/>
      <c r="Z5" s="74"/>
    </row>
    <row r="6" spans="1:26" ht="18" customHeight="1">
      <c r="A6" s="94" t="s">
        <v>7</v>
      </c>
      <c r="B6" s="95">
        <f>SUMIFS('Aristocrat (Asia)'!J$6:J$500,'Aristocrat (Asia)'!C$6:C$500,"&gt;="&amp;DATE(2022,1,1),'Aristocrat (Asia)'!C$6:C$500,"&lt;="&amp;DATE(2022,3+1,1)-1)/$B$20</f>
        <v>0</v>
      </c>
      <c r="C6" s="95">
        <f>SUMIFS('Aristocrat (Asia)'!J$6:J$500,'Aristocrat (Asia)'!C$6:C$500,"&gt;="&amp;DATE(2022,4,1),'Aristocrat (Asia)'!C$6:C$500,"&lt;="&amp;DATE(2022,6+1,1)-1)/$B$20</f>
        <v>0</v>
      </c>
      <c r="D6" s="95">
        <f>SUMIFS('Aristocrat (Asia)'!J$6:J$500,'Aristocrat (Asia)'!C$6:C$500,"&gt;="&amp;DATE(2022,7,1),'Aristocrat (Asia)'!C$6:C$500,"&lt;="&amp;DATE(2022,9+1,1)-1)/$B$20</f>
        <v>0</v>
      </c>
      <c r="E6" s="95">
        <f>SUMIFS('Aristocrat (Asia)'!J$6:J$500,'Aristocrat (Asia)'!C$6:C$500,"&gt;="&amp;DATE(2022,10,1),'Aristocrat (Asia)'!C$6:C$500,"&lt;="&amp;DATE(2022,12+1,1)-1)/$B$20</f>
        <v>0</v>
      </c>
      <c r="F6" s="95">
        <f>SUMIFS('Aristocrat (Asia)'!J$6:J$500,'Aristocrat (Asia)'!C$6:C$500,"&gt;="&amp;DATE(2023,1,1),'Aristocrat (Asia)'!C$6:C$500,"&lt;="&amp;DATE(2023,3+1,1)-1)/$B$20</f>
        <v>0</v>
      </c>
      <c r="G6" s="95">
        <f>SUMIFS('Aristocrat (Asia)'!J$6:J$500,'Aristocrat (Asia)'!C$6:C$500,"&gt;="&amp;DATE(2023,4,1),'Aristocrat (Asia)'!C$6:C$500,"&lt;="&amp;DATE(2023,6+1,1)-1)/$B$20</f>
        <v>0</v>
      </c>
      <c r="H6" s="95">
        <f>SUMIFS('Aristocrat (Asia)'!J$6:J$500,'Aristocrat (Asia)'!C$6:C$500,"&gt;="&amp;DATE(2023,7,1),'Aristocrat (Asia)'!C$6:C$500,"&lt;="&amp;DATE(2023,9+1,1)-1)/$B$20</f>
        <v>0</v>
      </c>
      <c r="I6" s="95">
        <f>SUMIFS('Aristocrat (Asia)'!J$6:J$500,'Aristocrat (Asia)'!C$6:C$500,"&gt;="&amp;DATE(2023,10,1),'Aristocrat (Asia)'!C$6:C$500,"&lt;="&amp;DATE(2023,12+1,1)-1)/$B$20</f>
        <v>0</v>
      </c>
      <c r="J6" s="95">
        <f>SUMIFS('Aristocrat (Asia)'!J$6:J$500,'Aristocrat (Asia)'!C$6:C$500,"&gt;="&amp;DATE(2024,1,1),'Aristocrat (Asia)'!C$6:C$500,"&lt;="&amp;DATE(2024,3+1,1)-1)/$B$20</f>
        <v>0</v>
      </c>
      <c r="K6" s="95">
        <f>SUMIFS('Aristocrat (Asia)'!J$6:J$500,'Aristocrat (Asia)'!C$6:C$500,"&gt;="&amp;DATE(2024,4,1),'Aristocrat (Asia)'!C$6:C$500,"&lt;="&amp;DATE(2024,6+1,1)-1)/$B$20</f>
        <v>0</v>
      </c>
      <c r="L6" s="95">
        <f>SUMIFS('Aristocrat (Asia)'!J$6:J$500,'Aristocrat (Asia)'!C$6:C$500,"&gt;="&amp;DATE(2024,7,1),'Aristocrat (Asia)'!C$6:C$500,"&lt;="&amp;DATE(2024,9+1,1)-1)/$B$20</f>
        <v>0</v>
      </c>
      <c r="M6" s="95">
        <f>SUMIFS('Aristocrat (Asia)'!J$6:J$500,'Aristocrat (Asia)'!C$6:C$500,"&gt;="&amp;DATE(2024,10,1),'Aristocrat (Asia)'!C$6:C$500,"&lt;="&amp;DATE(2024,12+1,1)-1)/$B$20</f>
        <v>0</v>
      </c>
      <c r="N6" s="95">
        <f>SUMIFS('Aristocrat (Asia)'!J$6:J$500,'Aristocrat (Asia)'!C$6:C$500,"&gt;="&amp;DATE(2025,1,1),'Aristocrat (Asia)'!C$6:C$500,"&lt;="&amp;DATE(2025,3+1,1)-1)/$B$20</f>
        <v>0</v>
      </c>
      <c r="O6" s="95">
        <f>SUMIFS('Aristocrat (Asia)'!J$6:J$500,'Aristocrat (Asia)'!C$6:C$500,"&gt;="&amp;DATE(2025,4,1),'Aristocrat (Asia)'!C$6:C$500,"&lt;="&amp;DATE(2025,6+1,1)-1)/$B$20</f>
        <v>0</v>
      </c>
      <c r="P6" s="95">
        <f>SUMIFS('Aristocrat (Asia)'!J$6:J$500,'Aristocrat (Asia)'!C$6:C$500,"&gt;="&amp;DATE(2025,7,1),'Aristocrat (Asia)'!C$6:C$500,"&lt;="&amp;DATE(2025,9+1,1)-1)/$B$20</f>
        <v>0</v>
      </c>
      <c r="Q6" s="95">
        <f>SUMIFS('Aristocrat (Asia)'!J$6:J$500,'Aristocrat (Asia)'!C$6:C$500,"&gt;="&amp;DATE(2025,10,1),'Aristocrat (Asia)'!C$6:C$500,"&lt;="&amp;DATE(2025,12+1,1)-1)/$B$20</f>
        <v>1408.6956521739132</v>
      </c>
      <c r="R6" s="95">
        <f>SUMIFS('Aristocrat (Asia)'!J$6:J$500,'Aristocrat (Asia)'!C$6:C$500,"&gt;="&amp;DATE(2026,1,1),'Aristocrat (Asia)'!C$6:C$500,"&lt;="&amp;DATE(2026,3+1,1)-1)/$B$20</f>
        <v>8986.9565217391319</v>
      </c>
      <c r="S6" s="95">
        <f>SUMIFS('Aristocrat (Asia)'!J$6:J$500,'Aristocrat (Asia)'!C$6:C$500,"&gt;="&amp;DATE(2026,4,1),'Aristocrat (Asia)'!C$6:C$500,"&lt;="&amp;DATE(2026,6+1,1)-1)/$B$20</f>
        <v>0</v>
      </c>
      <c r="T6" s="95">
        <f>SUMIFS('Aristocrat (Asia)'!J$6:J$500,'Aristocrat (Asia)'!C$6:C$500,"&gt;="&amp;DATE(2026,7,1),'Aristocrat (Asia)'!C$6:C$500,"&lt;="&amp;DATE(2026,9+1,1)-1)/$B$20</f>
        <v>0</v>
      </c>
      <c r="U6" s="95">
        <f>SUMIFS('Aristocrat (Asia)'!J$6:J$500,'Aristocrat (Asia)'!C$6:C$500,"&gt;="&amp;DATE(2026,10,1),'Aristocrat (Asia)'!C$6:C$500,"&lt;="&amp;DATE(2026,12+1,1)-1)/$B$20</f>
        <v>0</v>
      </c>
      <c r="V6" s="74"/>
      <c r="W6" s="74"/>
      <c r="X6" s="74"/>
      <c r="Y6" s="74"/>
      <c r="Z6" s="74"/>
    </row>
    <row r="7" spans="1:26" ht="18" customHeight="1">
      <c r="A7" s="80" t="s">
        <v>8</v>
      </c>
      <c r="B7" s="85">
        <f>SUM(B5:B6)</f>
        <v>0</v>
      </c>
      <c r="C7" s="85">
        <f>SUM(C5:C6)</f>
        <v>0</v>
      </c>
      <c r="D7" s="85">
        <f>SUM(D5:D6)</f>
        <v>0</v>
      </c>
      <c r="E7" s="85">
        <f>SUM(E5:E6)</f>
        <v>0</v>
      </c>
      <c r="F7" s="85">
        <f>SUM(F5:F6)</f>
        <v>0</v>
      </c>
      <c r="G7" s="85">
        <f>SUM(G5:G6)</f>
        <v>0</v>
      </c>
      <c r="H7" s="85">
        <f>SUM(H5:H6)</f>
        <v>0</v>
      </c>
      <c r="I7" s="85">
        <f>SUM(I5:I6)</f>
        <v>0</v>
      </c>
      <c r="J7" s="85">
        <f>SUM(J5:J6)</f>
        <v>244.88</v>
      </c>
      <c r="K7" s="85">
        <f>SUM(K5:K6)</f>
        <v>5558.1</v>
      </c>
      <c r="L7" s="85">
        <f>SUM(L5:L6)</f>
        <v>2740.3199999999997</v>
      </c>
      <c r="M7" s="85">
        <f>SUM(M5:M6)</f>
        <v>4504.5200000000004</v>
      </c>
      <c r="N7" s="85">
        <f>SUM(N5:N6)</f>
        <v>7910.4</v>
      </c>
      <c r="O7" s="85">
        <f>SUM(O5:O6)</f>
        <v>4827.5</v>
      </c>
      <c r="P7" s="85">
        <f>SUM(P5:P6)</f>
        <v>91323.6</v>
      </c>
      <c r="Q7" s="85">
        <f>SUM(Q5:Q6)</f>
        <v>32438.535652173912</v>
      </c>
      <c r="R7" s="85">
        <f>SUM(R5:R6)</f>
        <v>22639.236521739134</v>
      </c>
      <c r="S7" s="85">
        <f>SUM(S5:S6)</f>
        <v>0</v>
      </c>
      <c r="T7" s="85">
        <f>SUM(T5:T6)</f>
        <v>0</v>
      </c>
      <c r="U7" s="85">
        <f>SUM(U5:U6)</f>
        <v>0</v>
      </c>
      <c r="V7" s="74"/>
      <c r="W7" s="74"/>
      <c r="X7" s="74"/>
      <c r="Y7" s="74"/>
      <c r="Z7" s="74"/>
    </row>
    <row r="8" spans="1:26" ht="12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4"/>
      <c r="W8" s="74"/>
      <c r="X8" s="74"/>
      <c r="Y8" s="74"/>
      <c r="Z8" s="74"/>
    </row>
    <row r="9" spans="1:26" ht="18" customHeight="1">
      <c r="A9" s="77" t="s">
        <v>9</v>
      </c>
      <c r="B9" s="97">
        <v>2022</v>
      </c>
      <c r="C9" s="97"/>
      <c r="D9" s="97"/>
      <c r="E9" s="97"/>
      <c r="F9" s="97">
        <v>2023</v>
      </c>
      <c r="G9" s="97"/>
      <c r="H9" s="97"/>
      <c r="I9" s="97"/>
      <c r="J9" s="97">
        <v>2024</v>
      </c>
      <c r="K9" s="97"/>
      <c r="L9" s="97"/>
      <c r="M9" s="97"/>
      <c r="N9" s="97">
        <v>2025</v>
      </c>
      <c r="O9" s="97"/>
      <c r="P9" s="97"/>
      <c r="Q9" s="97"/>
      <c r="R9" s="97">
        <v>2026</v>
      </c>
      <c r="S9" s="97"/>
      <c r="T9" s="97"/>
      <c r="U9" s="97"/>
      <c r="V9" s="74"/>
      <c r="W9" s="74"/>
      <c r="X9" s="74"/>
      <c r="Y9" s="74"/>
      <c r="Z9" s="74"/>
    </row>
    <row r="10" spans="1:26" ht="18" customHeight="1">
      <c r="A10" s="93"/>
      <c r="B10" s="93" t="s">
        <v>2</v>
      </c>
      <c r="C10" s="93" t="s">
        <v>3</v>
      </c>
      <c r="D10" s="93" t="s">
        <v>4</v>
      </c>
      <c r="E10" s="93" t="s">
        <v>5</v>
      </c>
      <c r="F10" s="93" t="s">
        <v>2</v>
      </c>
      <c r="G10" s="93" t="s">
        <v>3</v>
      </c>
      <c r="H10" s="93" t="s">
        <v>4</v>
      </c>
      <c r="I10" s="93" t="s">
        <v>5</v>
      </c>
      <c r="J10" s="93" t="s">
        <v>2</v>
      </c>
      <c r="K10" s="93" t="s">
        <v>3</v>
      </c>
      <c r="L10" s="93" t="s">
        <v>4</v>
      </c>
      <c r="M10" s="93" t="s">
        <v>5</v>
      </c>
      <c r="N10" s="93" t="s">
        <v>2</v>
      </c>
      <c r="O10" s="93" t="s">
        <v>3</v>
      </c>
      <c r="P10" s="93" t="s">
        <v>4</v>
      </c>
      <c r="Q10" s="93" t="s">
        <v>5</v>
      </c>
      <c r="R10" s="93" t="s">
        <v>2</v>
      </c>
      <c r="S10" s="93" t="s">
        <v>3</v>
      </c>
      <c r="T10" s="93" t="s">
        <v>4</v>
      </c>
      <c r="U10" s="93" t="s">
        <v>5</v>
      </c>
      <c r="V10" s="74"/>
      <c r="W10" s="74"/>
      <c r="X10" s="74"/>
      <c r="Y10" s="74"/>
      <c r="Z10" s="74"/>
    </row>
    <row r="11" spans="1:26" ht="18" customHeight="1">
      <c r="A11" s="78" t="s">
        <v>6</v>
      </c>
      <c r="B11" s="86">
        <f>COUNTIFS('Aristocrat (US-EMEA)'!C$6:C$500,"&gt;="&amp;DATE(2022,1,1),'Aristocrat (US-EMEA)'!C$6:C$500,"&lt;="&amp;DATE(2022,3+1,1)-1)</f>
        <v>0</v>
      </c>
      <c r="C11" s="86">
        <f>COUNTIFS('Aristocrat (US-EMEA)'!C$6:C$500,"&gt;="&amp;DATE(2022,4,1),'Aristocrat (US-EMEA)'!C$6:C$500,"&lt;="&amp;DATE(2022,6+1,1)-1)</f>
        <v>0</v>
      </c>
      <c r="D11" s="86">
        <f>COUNTIFS('Aristocrat (US-EMEA)'!C$6:C$500,"&gt;="&amp;DATE(2022,7,1),'Aristocrat (US-EMEA)'!C$6:C$500,"&lt;="&amp;DATE(2022,9+1,1)-1)</f>
        <v>0</v>
      </c>
      <c r="E11" s="86">
        <f>COUNTIFS('Aristocrat (US-EMEA)'!C$6:C$500,"&gt;="&amp;DATE(2022,10,1),'Aristocrat (US-EMEA)'!C$6:C$500,"&lt;="&amp;DATE(2022,12+1,1)-1)</f>
        <v>0</v>
      </c>
      <c r="F11" s="86">
        <f>COUNTIFS('Aristocrat (US-EMEA)'!C$6:C$500,"&gt;="&amp;DATE(2023,1,1),'Aristocrat (US-EMEA)'!C$6:C$500,"&lt;="&amp;DATE(2023,3+1,1)-1)</f>
        <v>0</v>
      </c>
      <c r="G11" s="86">
        <f>COUNTIFS('Aristocrat (US-EMEA)'!C$6:C$500,"&gt;="&amp;DATE(2023,4,1),'Aristocrat (US-EMEA)'!C$6:C$500,"&lt;="&amp;DATE(2023,6+1,1)-1)</f>
        <v>0</v>
      </c>
      <c r="H11" s="86">
        <f>COUNTIFS('Aristocrat (US-EMEA)'!C$6:C$500,"&gt;="&amp;DATE(2023,7,1),'Aristocrat (US-EMEA)'!C$6:C$500,"&lt;="&amp;DATE(2023,9+1,1)-1)</f>
        <v>0</v>
      </c>
      <c r="I11" s="86">
        <f>COUNTIFS('Aristocrat (US-EMEA)'!C$6:C$500,"&gt;="&amp;DATE(2023,10,1),'Aristocrat (US-EMEA)'!C$6:C$500,"&lt;="&amp;DATE(2023,12+1,1)-1)</f>
        <v>0</v>
      </c>
      <c r="J11" s="86">
        <f>COUNTIFS('Aristocrat (US-EMEA)'!C$6:C$500,"&gt;="&amp;DATE(2024,1,1),'Aristocrat (US-EMEA)'!C$6:C$500,"&lt;="&amp;DATE(2024,3+1,1)-1)</f>
        <v>5</v>
      </c>
      <c r="K11" s="86">
        <f>COUNTIFS('Aristocrat (US-EMEA)'!C$6:C$500,"&gt;="&amp;DATE(2024,4,1),'Aristocrat (US-EMEA)'!C$6:C$500,"&lt;="&amp;DATE(2024,6+1,1)-1)</f>
        <v>13</v>
      </c>
      <c r="L11" s="86">
        <f>COUNTIFS('Aristocrat (US-EMEA)'!C$6:C$500,"&gt;="&amp;DATE(2024,7,1),'Aristocrat (US-EMEA)'!C$6:C$500,"&lt;="&amp;DATE(2024,9+1,1)-1)</f>
        <v>15</v>
      </c>
      <c r="M11" s="86">
        <f>COUNTIFS('Aristocrat (US-EMEA)'!C$6:C$500,"&gt;="&amp;DATE(2024,10,1),'Aristocrat (US-EMEA)'!C$6:C$500,"&lt;="&amp;DATE(2024,12+1,1)-1)</f>
        <v>12</v>
      </c>
      <c r="N11" s="86">
        <f>COUNTIFS('Aristocrat (US-EMEA)'!C$6:C$500,"&gt;="&amp;DATE(2025,1,1),'Aristocrat (US-EMEA)'!C$6:C$500,"&lt;="&amp;DATE(2025,3+1,1)-1)</f>
        <v>6</v>
      </c>
      <c r="O11" s="86">
        <f>COUNTIFS('Aristocrat (US-EMEA)'!C$6:C$500,"&gt;="&amp;DATE(2025,4,1),'Aristocrat (US-EMEA)'!C$6:C$500,"&lt;="&amp;DATE(2025,6+1,1)-1)</f>
        <v>7</v>
      </c>
      <c r="P11" s="86">
        <f>COUNTIFS('Aristocrat (US-EMEA)'!C$6:C$500,"&gt;="&amp;DATE(2025,7,1),'Aristocrat (US-EMEA)'!C$6:C$500,"&lt;="&amp;DATE(2025,9+1,1)-1)</f>
        <v>20</v>
      </c>
      <c r="Q11" s="86">
        <f>COUNTIFS('Aristocrat (US-EMEA)'!C$6:C$500,"&gt;="&amp;DATE(2025,10,1),'Aristocrat (US-EMEA)'!C$6:C$500,"&lt;="&amp;DATE(2025,12+1,1)-1)</f>
        <v>30</v>
      </c>
      <c r="R11" s="86">
        <f>COUNTIFS('Aristocrat (US-EMEA)'!C$6:C$500,"&gt;="&amp;DATE(2026,1,1),'Aristocrat (US-EMEA)'!C$6:C$500,"&lt;="&amp;DATE(2026,3+1,1)-1)</f>
        <v>16</v>
      </c>
      <c r="S11" s="86">
        <f>COUNTIFS('Aristocrat (US-EMEA)'!C$6:C$500,"&gt;="&amp;DATE(2026,4,1),'Aristocrat (US-EMEA)'!C$6:C$500,"&lt;="&amp;DATE(2026,6+1,1)-1)</f>
        <v>0</v>
      </c>
      <c r="T11" s="86">
        <f>COUNTIFS('Aristocrat (US-EMEA)'!C$6:C$500,"&gt;="&amp;DATE(2026,7,1),'Aristocrat (US-EMEA)'!C$6:C$500,"&lt;="&amp;DATE(2026,9+1,1)-1)</f>
        <v>0</v>
      </c>
      <c r="U11" s="86">
        <f>COUNTIFS('Aristocrat (US-EMEA)'!C$6:C$500,"&gt;="&amp;DATE(2026,10,1),'Aristocrat (US-EMEA)'!C$6:C$500,"&lt;="&amp;DATE(2026,12+1,1)-1)</f>
        <v>0</v>
      </c>
      <c r="V11" s="74"/>
      <c r="W11" s="74"/>
      <c r="X11" s="74"/>
      <c r="Y11" s="74"/>
      <c r="Z11" s="74"/>
    </row>
    <row r="12" spans="1:26" ht="18" customHeight="1">
      <c r="A12" s="94" t="s">
        <v>10</v>
      </c>
      <c r="B12" s="96">
        <f>COUNTIFS('Aristocrat (Asia)'!C$6:C$500,"&gt;="&amp;DATE(2022,1,1),'Aristocrat (Asia)'!C$6:C$500,"&lt;="&amp;DATE(2022,3+1,1)-1)</f>
        <v>0</v>
      </c>
      <c r="C12" s="96">
        <f>COUNTIFS('Aristocrat (Asia)'!C$6:C$500,"&gt;="&amp;DATE(2022,4,1),'Aristocrat (Asia)'!C$6:C$500,"&lt;="&amp;DATE(2022,6+1,1)-1)</f>
        <v>0</v>
      </c>
      <c r="D12" s="96">
        <f>COUNTIFS('Aristocrat (Asia)'!C$6:C$500,"&gt;="&amp;DATE(2022,7,1),'Aristocrat (Asia)'!C$6:C$500,"&lt;="&amp;DATE(2022,9+1,1)-1)</f>
        <v>0</v>
      </c>
      <c r="E12" s="96">
        <f>COUNTIFS('Aristocrat (Asia)'!C$6:C$500,"&gt;="&amp;DATE(2022,10,1),'Aristocrat (Asia)'!C$6:C$500,"&lt;="&amp;DATE(2022,12+1,1)-1)</f>
        <v>0</v>
      </c>
      <c r="F12" s="96">
        <f>COUNTIFS('Aristocrat (Asia)'!C$6:C$500,"&gt;="&amp;DATE(2023,1,1),'Aristocrat (Asia)'!C$6:C$500,"&lt;="&amp;DATE(2023,3+1,1)-1)</f>
        <v>0</v>
      </c>
      <c r="G12" s="96">
        <f>COUNTIFS('Aristocrat (Asia)'!C$6:C$500,"&gt;="&amp;DATE(2023,4,1),'Aristocrat (Asia)'!C$6:C$500,"&lt;="&amp;DATE(2023,6+1,1)-1)</f>
        <v>0</v>
      </c>
      <c r="H12" s="96">
        <f>COUNTIFS('Aristocrat (Asia)'!C$6:C$500,"&gt;="&amp;DATE(2023,7,1),'Aristocrat (Asia)'!C$6:C$500,"&lt;="&amp;DATE(2023,9+1,1)-1)</f>
        <v>0</v>
      </c>
      <c r="I12" s="96">
        <f>COUNTIFS('Aristocrat (Asia)'!C$6:C$500,"&gt;="&amp;DATE(2023,10,1),'Aristocrat (Asia)'!C$6:C$500,"&lt;="&amp;DATE(2023,12+1,1)-1)</f>
        <v>0</v>
      </c>
      <c r="J12" s="96">
        <f>COUNTIFS('Aristocrat (Asia)'!C$6:C$500,"&gt;="&amp;DATE(2024,1,1),'Aristocrat (Asia)'!C$6:C$500,"&lt;="&amp;DATE(2024,3+1,1)-1)</f>
        <v>0</v>
      </c>
      <c r="K12" s="96">
        <f>COUNTIFS('Aristocrat (Asia)'!C$6:C$500,"&gt;="&amp;DATE(2024,4,1),'Aristocrat (Asia)'!C$6:C$500,"&lt;="&amp;DATE(2024,6+1,1)-1)</f>
        <v>0</v>
      </c>
      <c r="L12" s="96">
        <f>COUNTIFS('Aristocrat (Asia)'!C$6:C$500,"&gt;="&amp;DATE(2024,7,1),'Aristocrat (Asia)'!C$6:C$500,"&lt;="&amp;DATE(2024,9+1,1)-1)</f>
        <v>0</v>
      </c>
      <c r="M12" s="96">
        <f>COUNTIFS('Aristocrat (Asia)'!C$6:C$500,"&gt;="&amp;DATE(2024,10,1),'Aristocrat (Asia)'!C$6:C$500,"&lt;="&amp;DATE(2024,12+1,1)-1)</f>
        <v>0</v>
      </c>
      <c r="N12" s="96">
        <f>COUNTIFS('Aristocrat (Asia)'!C$6:C$500,"&gt;="&amp;DATE(2025,1,1),'Aristocrat (Asia)'!C$6:C$500,"&lt;="&amp;DATE(2025,3+1,1)-1)</f>
        <v>0</v>
      </c>
      <c r="O12" s="96">
        <f>COUNTIFS('Aristocrat (Asia)'!C$6:C$500,"&gt;="&amp;DATE(2025,4,1),'Aristocrat (Asia)'!C$6:C$500,"&lt;="&amp;DATE(2025,6+1,1)-1)</f>
        <v>0</v>
      </c>
      <c r="P12" s="96">
        <f>COUNTIFS('Aristocrat (Asia)'!C$6:C$500,"&gt;="&amp;DATE(2025,7,1),'Aristocrat (Asia)'!C$6:C$500,"&lt;="&amp;DATE(2025,9+1,1)-1)</f>
        <v>0</v>
      </c>
      <c r="Q12" s="96">
        <f>COUNTIFS('Aristocrat (Asia)'!C$6:C$500,"&gt;="&amp;DATE(2025,10,1),'Aristocrat (Asia)'!C$6:C$500,"&lt;="&amp;DATE(2025,12+1,1)-1)</f>
        <v>3</v>
      </c>
      <c r="R12" s="96">
        <f>COUNTIFS('Aristocrat (Asia)'!C$6:C$500,"&gt;="&amp;DATE(2026,1,1),'Aristocrat (Asia)'!C$6:C$500,"&lt;="&amp;DATE(2026,3+1,1)-1)</f>
        <v>4</v>
      </c>
      <c r="S12" s="96">
        <f>COUNTIFS('Aristocrat (Asia)'!C$6:C$500,"&gt;="&amp;DATE(2026,4,1),'Aristocrat (Asia)'!C$6:C$500,"&lt;="&amp;DATE(2026,6+1,1)-1)</f>
        <v>0</v>
      </c>
      <c r="T12" s="96">
        <f>COUNTIFS('Aristocrat (Asia)'!C$6:C$500,"&gt;="&amp;DATE(2026,7,1),'Aristocrat (Asia)'!C$6:C$500,"&lt;="&amp;DATE(2026,9+1,1)-1)</f>
        <v>0</v>
      </c>
      <c r="U12" s="96">
        <f>COUNTIFS('Aristocrat (Asia)'!C$6:C$500,"&gt;="&amp;DATE(2026,10,1),'Aristocrat (Asia)'!C$6:C$500,"&lt;="&amp;DATE(2026,12+1,1)-1)</f>
        <v>0</v>
      </c>
      <c r="V12" s="74"/>
      <c r="W12" s="74"/>
      <c r="X12" s="74"/>
      <c r="Y12" s="74"/>
      <c r="Z12" s="74"/>
    </row>
    <row r="13" spans="1:26" ht="18" customHeight="1">
      <c r="A13" s="80" t="s">
        <v>8</v>
      </c>
      <c r="B13" s="88">
        <f>SUM(B11:B12)</f>
        <v>0</v>
      </c>
      <c r="C13" s="88">
        <f>SUM(C11:C12)</f>
        <v>0</v>
      </c>
      <c r="D13" s="88">
        <f>SUM(D11:D12)</f>
        <v>0</v>
      </c>
      <c r="E13" s="88">
        <f>SUM(E11:E12)</f>
        <v>0</v>
      </c>
      <c r="F13" s="88">
        <f>SUM(F11:F12)</f>
        <v>0</v>
      </c>
      <c r="G13" s="88">
        <f>SUM(G11:G12)</f>
        <v>0</v>
      </c>
      <c r="H13" s="88">
        <f>SUM(H11:H12)</f>
        <v>0</v>
      </c>
      <c r="I13" s="88">
        <f>SUM(I11:I12)</f>
        <v>0</v>
      </c>
      <c r="J13" s="88">
        <f>SUM(J11:J12)</f>
        <v>5</v>
      </c>
      <c r="K13" s="88">
        <f>SUM(K11:K12)</f>
        <v>13</v>
      </c>
      <c r="L13" s="88">
        <f>SUM(L11:L12)</f>
        <v>15</v>
      </c>
      <c r="M13" s="88">
        <f>SUM(M11:M12)</f>
        <v>12</v>
      </c>
      <c r="N13" s="88">
        <f>SUM(N11:N12)</f>
        <v>6</v>
      </c>
      <c r="O13" s="88">
        <f>SUM(O11:O12)</f>
        <v>7</v>
      </c>
      <c r="P13" s="88">
        <f>SUM(P11:P12)</f>
        <v>20</v>
      </c>
      <c r="Q13" s="88">
        <f>SUM(Q11:Q12)</f>
        <v>33</v>
      </c>
      <c r="R13" s="88">
        <f>SUM(R11:R12)</f>
        <v>20</v>
      </c>
      <c r="S13" s="88">
        <f>SUM(S11:S12)</f>
        <v>0</v>
      </c>
      <c r="T13" s="88">
        <f>SUM(T11:T12)</f>
        <v>0</v>
      </c>
      <c r="U13" s="88">
        <f>SUM(U11:U12)</f>
        <v>0</v>
      </c>
      <c r="V13" s="74"/>
      <c r="W13" s="74"/>
      <c r="X13" s="74"/>
      <c r="Y13" s="74"/>
      <c r="Z13" s="74"/>
    </row>
    <row r="14" spans="1:26" ht="12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4"/>
      <c r="W14" s="74"/>
      <c r="X14" s="74"/>
      <c r="Y14" s="74"/>
      <c r="Z14" s="74"/>
    </row>
    <row r="15" spans="1:26" ht="18" customHeight="1">
      <c r="A15" s="91" t="s">
        <v>11</v>
      </c>
      <c r="B15" s="92">
        <v>2022</v>
      </c>
      <c r="C15" s="92">
        <v>2023</v>
      </c>
      <c r="D15" s="92">
        <v>2024</v>
      </c>
      <c r="E15" s="92">
        <v>2025</v>
      </c>
      <c r="F15" s="92">
        <v>2026</v>
      </c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74"/>
      <c r="W15" s="74"/>
      <c r="X15" s="74"/>
      <c r="Y15" s="74"/>
      <c r="Z15" s="74"/>
    </row>
    <row r="16" spans="1:26" ht="18" customHeight="1">
      <c r="A16" s="78" t="s">
        <v>12</v>
      </c>
      <c r="B16" s="84">
        <f>SUM(B7:E7)</f>
        <v>0</v>
      </c>
      <c r="C16" s="84">
        <f>SUM(F7:I7)</f>
        <v>0</v>
      </c>
      <c r="D16" s="84">
        <f>SUM(J7:M7)</f>
        <v>13047.82</v>
      </c>
      <c r="E16" s="84">
        <f>SUM(N7:Q7)</f>
        <v>136500.03565217392</v>
      </c>
      <c r="F16" s="84">
        <f>SUM(R7:U7)</f>
        <v>22639.236521739134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74"/>
      <c r="W16" s="74"/>
      <c r="X16" s="74"/>
      <c r="Y16" s="74"/>
      <c r="Z16" s="74"/>
    </row>
    <row r="17" spans="1:26" ht="18" customHeight="1">
      <c r="A17" s="79" t="s">
        <v>13</v>
      </c>
      <c r="B17" s="87">
        <f>SUM(B13:E13)</f>
        <v>0</v>
      </c>
      <c r="C17" s="87">
        <f>SUM(F13:I13)</f>
        <v>0</v>
      </c>
      <c r="D17" s="87">
        <f>SUM(J13:M13)</f>
        <v>45</v>
      </c>
      <c r="E17" s="87">
        <f>SUM(N13:Q13)</f>
        <v>66</v>
      </c>
      <c r="F17" s="87">
        <f>SUM(R13:U13)</f>
        <v>20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74"/>
      <c r="W17" s="74"/>
      <c r="X17" s="74"/>
      <c r="Y17" s="74"/>
      <c r="Z17" s="74"/>
    </row>
    <row r="18" spans="1:26" ht="18" customHeight="1">
      <c r="A18" s="81" t="s">
        <v>14</v>
      </c>
      <c r="B18" s="89" t="str">
        <f>IFERROR(B16/B17,"—")</f>
        <v>—</v>
      </c>
      <c r="C18" s="89" t="str">
        <f>IFERROR(C16/C17,"—")</f>
        <v>—</v>
      </c>
      <c r="D18" s="89">
        <f>IFERROR(D16/D17,"—")</f>
        <v>289.95155555555556</v>
      </c>
      <c r="E18" s="89">
        <f>IFERROR(E16/E17,"—")</f>
        <v>2068.1823583662713</v>
      </c>
      <c r="F18" s="89">
        <f>IFERROR(F16/F17,"—")</f>
        <v>1131.9618260869568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74"/>
      <c r="W18" s="74"/>
      <c r="X18" s="74"/>
      <c r="Y18" s="74"/>
      <c r="Z18" s="74"/>
    </row>
    <row r="19" spans="1:26" ht="12" customHeight="1">
      <c r="A19" s="76"/>
      <c r="B19" s="76"/>
      <c r="C19" s="76"/>
      <c r="D19" s="82"/>
      <c r="E19" s="82"/>
      <c r="F19" s="82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4"/>
      <c r="W19" s="74"/>
      <c r="X19" s="74"/>
      <c r="Y19" s="74"/>
      <c r="Z19" s="74"/>
    </row>
    <row r="20" spans="1:26" ht="18" customHeight="1">
      <c r="A20" s="83" t="s">
        <v>15</v>
      </c>
      <c r="B20" s="90">
        <v>1.1499999999999999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4"/>
      <c r="W20" s="74"/>
      <c r="X20" s="74"/>
      <c r="Y20" s="74"/>
      <c r="Z20" s="74"/>
    </row>
    <row r="21" spans="1:26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spans="1:26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spans="1:26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spans="1:26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spans="1:26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spans="1: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spans="1:26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spans="1:26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spans="1:26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spans="1:26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spans="1:26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</sheetData>
  <mergeCells count="11">
    <mergeCell ref="A1:U1"/>
    <mergeCell ref="B3:E3"/>
    <mergeCell ref="F3:I3"/>
    <mergeCell ref="J3:M3"/>
    <mergeCell ref="N3:Q3"/>
    <mergeCell ref="R3:U3"/>
    <mergeCell ref="B9:E9"/>
    <mergeCell ref="F9:I9"/>
    <mergeCell ref="J9:M9"/>
    <mergeCell ref="N9:Q9"/>
    <mergeCell ref="R9:U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337-AE51-40E1-A59B-9C3380A73860}">
  <dimension ref="A1:BA151"/>
  <sheetViews>
    <sheetView tabSelected="1" workbookViewId="0">
      <pane xSplit="4" ySplit="5" topLeftCell="E108" activePane="bottomRight" state="frozen"/>
      <selection pane="bottomRight" activeCell="J151" sqref="J151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8.7109375" customWidth="1"/>
    <col min="3" max="3" width="11.5703125" customWidth="1"/>
    <col min="4" max="4" width="46.5703125" style="21" customWidth="1"/>
    <col min="5" max="5" width="20.28515625" customWidth="1"/>
    <col min="6" max="6" width="10.5703125" bestFit="1" customWidth="1"/>
    <col min="7" max="7" width="9.140625" style="2"/>
    <col min="8" max="8" width="24.7109375" customWidth="1"/>
    <col min="9" max="9" width="9.140625" style="2"/>
    <col min="10" max="10" width="17.7109375" style="3" customWidth="1"/>
    <col min="11" max="11" width="17.7109375" customWidth="1"/>
    <col min="12" max="12" width="6" style="2" bestFit="1" customWidth="1"/>
    <col min="13" max="13" width="14.85546875" bestFit="1" customWidth="1"/>
    <col min="14" max="14" width="12.140625" bestFit="1" customWidth="1"/>
    <col min="15" max="15" width="29.140625" style="38" bestFit="1" customWidth="1"/>
    <col min="16" max="16" width="15.42578125" style="7" customWidth="1"/>
    <col min="17" max="18" width="15.42578125" style="2" customWidth="1"/>
    <col min="19" max="19" width="19.7109375" style="2" customWidth="1"/>
    <col min="20" max="20" width="12.140625" style="2" customWidth="1"/>
    <col min="21" max="23" width="12" style="2" customWidth="1"/>
    <col min="24" max="24" width="12" style="7" customWidth="1"/>
    <col min="25" max="30" width="12" style="2" customWidth="1"/>
    <col min="31" max="32" width="12" style="7" customWidth="1"/>
    <col min="33" max="35" width="12" style="2" customWidth="1"/>
    <col min="36" max="36" width="12" style="7" customWidth="1"/>
    <col min="37" max="37" width="12.85546875" style="2" customWidth="1"/>
    <col min="38" max="39" width="13.140625" style="2" customWidth="1"/>
    <col min="40" max="40" width="14" style="2" customWidth="1"/>
    <col min="41" max="42" width="12" style="2" customWidth="1"/>
    <col min="43" max="43" width="12" style="7" customWidth="1"/>
    <col min="44" max="44" width="12" style="2" customWidth="1"/>
    <col min="45" max="45" width="12" style="7" customWidth="1"/>
    <col min="46" max="46" width="12" style="2" customWidth="1"/>
    <col min="47" max="47" width="16.42578125" style="10" customWidth="1"/>
    <col min="48" max="48" width="16.42578125" customWidth="1"/>
  </cols>
  <sheetData>
    <row r="1" spans="1:53" ht="15" customHeight="1">
      <c r="J1" s="44">
        <f t="shared" ref="J1" si="0">SUBTOTAL(2,J6:J20065)</f>
        <v>124</v>
      </c>
      <c r="P1" s="44">
        <f>SUBTOTAL(2,P6:P20065)</f>
        <v>7</v>
      </c>
      <c r="Q1" s="44">
        <f t="shared" ref="Q1:AT1" si="1">SUBTOTAL(2,Q6:Q20065)</f>
        <v>35</v>
      </c>
      <c r="R1" s="44">
        <f t="shared" si="1"/>
        <v>0</v>
      </c>
      <c r="S1" s="44">
        <f t="shared" si="1"/>
        <v>0</v>
      </c>
      <c r="T1" s="44">
        <f t="shared" si="1"/>
        <v>0</v>
      </c>
      <c r="U1" s="44">
        <f t="shared" si="1"/>
        <v>0</v>
      </c>
      <c r="V1" s="44">
        <f t="shared" si="1"/>
        <v>0</v>
      </c>
      <c r="W1" s="44">
        <f t="shared" si="1"/>
        <v>0</v>
      </c>
      <c r="X1" s="44">
        <f t="shared" si="1"/>
        <v>4</v>
      </c>
      <c r="Y1" s="44">
        <f t="shared" si="1"/>
        <v>27</v>
      </c>
      <c r="Z1" s="44">
        <f t="shared" si="1"/>
        <v>1</v>
      </c>
      <c r="AA1" s="44">
        <f t="shared" si="1"/>
        <v>1</v>
      </c>
      <c r="AB1" s="44">
        <f t="shared" si="1"/>
        <v>4</v>
      </c>
      <c r="AC1" s="44">
        <f t="shared" si="1"/>
        <v>0</v>
      </c>
      <c r="AD1" s="44">
        <f t="shared" si="1"/>
        <v>0</v>
      </c>
      <c r="AE1" s="44">
        <f t="shared" si="1"/>
        <v>1</v>
      </c>
      <c r="AF1" s="44">
        <f t="shared" si="1"/>
        <v>0</v>
      </c>
      <c r="AG1" s="44">
        <f t="shared" si="1"/>
        <v>0</v>
      </c>
      <c r="AH1" s="44">
        <f t="shared" si="1"/>
        <v>0</v>
      </c>
      <c r="AI1" s="44">
        <f t="shared" si="1"/>
        <v>0</v>
      </c>
      <c r="AJ1" s="44">
        <f t="shared" si="1"/>
        <v>0</v>
      </c>
      <c r="AK1" s="44">
        <f t="shared" si="1"/>
        <v>3</v>
      </c>
      <c r="AL1" s="44">
        <f t="shared" si="1"/>
        <v>0</v>
      </c>
      <c r="AM1" s="44">
        <f t="shared" si="1"/>
        <v>0</v>
      </c>
      <c r="AN1" s="44">
        <f t="shared" si="1"/>
        <v>0</v>
      </c>
      <c r="AO1" s="44">
        <f t="shared" si="1"/>
        <v>0</v>
      </c>
      <c r="AP1" s="44">
        <f t="shared" si="1"/>
        <v>0</v>
      </c>
      <c r="AQ1" s="44">
        <f t="shared" si="1"/>
        <v>0</v>
      </c>
      <c r="AR1" s="44">
        <f t="shared" si="1"/>
        <v>0</v>
      </c>
      <c r="AS1" s="44">
        <f t="shared" si="1"/>
        <v>35</v>
      </c>
      <c r="AT1" s="44">
        <f t="shared" si="1"/>
        <v>17</v>
      </c>
    </row>
    <row r="2" spans="1:53" ht="15" customHeight="1">
      <c r="I2" s="44">
        <f>SUBTOTAL(9,I6:I20066)</f>
        <v>116261</v>
      </c>
      <c r="J2" s="44">
        <f>SUBTOTAL(9,J6:J20066)</f>
        <v>214352.75999999998</v>
      </c>
      <c r="P2" s="44">
        <f>SUBTOTAL(9,P6:P20066)*P5</f>
        <v>1755</v>
      </c>
      <c r="Q2" s="44">
        <f>SUBTOTAL(9,Q6:Q20066)*Q5</f>
        <v>3090</v>
      </c>
      <c r="R2" s="44">
        <f>SUBTOTAL(9,R6:R20066)*R5</f>
        <v>0</v>
      </c>
      <c r="S2" s="44">
        <f>SUBTOTAL(9,S6:S20066)*S5</f>
        <v>0</v>
      </c>
      <c r="T2" s="44">
        <f>SUBTOTAL(9,T6:T20066)*T5</f>
        <v>0</v>
      </c>
      <c r="U2" s="44">
        <f>SUBTOTAL(9,U6:U20066)*U5</f>
        <v>0</v>
      </c>
      <c r="V2" s="44">
        <f>SUBTOTAL(9,V6:V20066)*V5</f>
        <v>0</v>
      </c>
      <c r="W2" s="44">
        <f>SUBTOTAL(9,W6:W20066)*W5</f>
        <v>0</v>
      </c>
      <c r="X2" s="44">
        <f>SUBTOTAL(9,X6:X20066)*X5</f>
        <v>540</v>
      </c>
      <c r="Y2" s="44">
        <f>SUBTOTAL(9,Y6:Y20066)*Y5</f>
        <v>70800</v>
      </c>
      <c r="Z2" s="44">
        <f>SUBTOTAL(9,Z6:Z20066)*Z5</f>
        <v>180</v>
      </c>
      <c r="AA2" s="44">
        <f>SUBTOTAL(9,AA6:AA20066)*AA5</f>
        <v>780</v>
      </c>
      <c r="AB2" s="44">
        <f>SUBTOTAL(9,AB6:AB20066)*AB5</f>
        <v>2340</v>
      </c>
      <c r="AC2" s="44">
        <f>SUBTOTAL(9,AC6:AC20066)*AC5</f>
        <v>0</v>
      </c>
      <c r="AD2" s="44">
        <f>SUBTOTAL(9,AD6:AD20066)*AD5</f>
        <v>0</v>
      </c>
      <c r="AE2" s="44">
        <f>SUBTOTAL(9,AE6:AE20066)*AE5</f>
        <v>1050</v>
      </c>
      <c r="AF2" s="44">
        <f>SUBTOTAL(9,AF6:AF20066)*AF5</f>
        <v>0</v>
      </c>
      <c r="AG2" s="44">
        <f>SUBTOTAL(9,AG6:AG20066)*AG5</f>
        <v>0</v>
      </c>
      <c r="AH2" s="44">
        <f>SUBTOTAL(9,AH6:AH20066)*AH5</f>
        <v>0</v>
      </c>
      <c r="AI2" s="44">
        <f>SUBTOTAL(9,AI6:AI20066)*AI5</f>
        <v>0</v>
      </c>
      <c r="AJ2" s="44">
        <f>SUBTOTAL(9,AJ6:AJ20066)*AJ5</f>
        <v>0</v>
      </c>
      <c r="AK2" s="44">
        <f>SUBTOTAL(9,AK6:AK20066)*AK5</f>
        <v>1200</v>
      </c>
      <c r="AL2" s="44">
        <f>SUBTOTAL(9,AL6:AL20066)*AL5</f>
        <v>0</v>
      </c>
      <c r="AM2" s="44">
        <f>SUBTOTAL(9,AM6:AM20066)*AM5</f>
        <v>0</v>
      </c>
      <c r="AN2" s="44">
        <f>SUBTOTAL(9,AN6:AN20066)*AN5</f>
        <v>0</v>
      </c>
      <c r="AO2" s="44">
        <f>SUBTOTAL(9,AO6:AO20066)*AO5</f>
        <v>0</v>
      </c>
      <c r="AP2" s="44">
        <f>SUBTOTAL(9,AP6:AP20066)*AP5</f>
        <v>0</v>
      </c>
      <c r="AQ2" s="44">
        <f>SUBTOTAL(9,AQ6:AQ20066)*AQ5</f>
        <v>0</v>
      </c>
      <c r="AR2" s="44">
        <f>SUBTOTAL(9,AR6:AR20066)*AR5</f>
        <v>0</v>
      </c>
      <c r="AS2" s="44">
        <f>SUBTOTAL(9,AS6:AS20066)*AS5</f>
        <v>17387.64</v>
      </c>
      <c r="AT2" s="44">
        <f>SUBTOTAL(9,AT6:AT20066)*AT5</f>
        <v>1283</v>
      </c>
    </row>
    <row r="3" spans="1:53" s="6" customFormat="1" ht="14.45">
      <c r="A3" s="4" t="s">
        <v>16</v>
      </c>
      <c r="B3" s="4"/>
      <c r="C3" s="4"/>
      <c r="D3" s="19"/>
      <c r="E3" s="4"/>
      <c r="F3" s="1"/>
      <c r="G3" s="1"/>
      <c r="H3" s="4"/>
      <c r="I3" s="1"/>
      <c r="J3" s="5"/>
      <c r="K3" s="4"/>
      <c r="L3" s="1"/>
      <c r="M3" s="4"/>
      <c r="N3" s="4"/>
      <c r="O3" s="4"/>
      <c r="P3" s="100" t="s">
        <v>17</v>
      </c>
      <c r="Q3" s="100"/>
      <c r="R3" s="100"/>
      <c r="S3" s="100"/>
      <c r="T3" s="100"/>
      <c r="U3" s="100"/>
      <c r="V3" s="100"/>
      <c r="W3" s="100"/>
      <c r="X3" s="100" t="s">
        <v>18</v>
      </c>
      <c r="Y3" s="100"/>
      <c r="Z3" s="100"/>
      <c r="AA3" s="100"/>
      <c r="AB3" s="100"/>
      <c r="AC3" s="100"/>
      <c r="AD3" s="100"/>
      <c r="AE3" s="8" t="s">
        <v>19</v>
      </c>
      <c r="AF3" s="100" t="s">
        <v>20</v>
      </c>
      <c r="AG3" s="100"/>
      <c r="AH3" s="100"/>
      <c r="AI3" s="100"/>
      <c r="AJ3" s="100" t="s">
        <v>21</v>
      </c>
      <c r="AK3" s="100"/>
      <c r="AL3" s="100"/>
      <c r="AM3" s="100"/>
      <c r="AN3" s="100"/>
      <c r="AO3" s="100"/>
      <c r="AP3" s="100"/>
      <c r="AQ3" s="100" t="s">
        <v>22</v>
      </c>
      <c r="AR3" s="100"/>
      <c r="AS3" s="100" t="s">
        <v>23</v>
      </c>
      <c r="AT3" s="100"/>
      <c r="AU3" s="9"/>
    </row>
    <row r="4" spans="1:53" s="27" customFormat="1" ht="48.75" customHeight="1">
      <c r="A4" s="101" t="s">
        <v>24</v>
      </c>
      <c r="B4" s="101"/>
      <c r="C4" s="101"/>
      <c r="D4" s="101"/>
      <c r="E4" s="101" t="s">
        <v>25</v>
      </c>
      <c r="F4" s="101"/>
      <c r="G4" s="101"/>
      <c r="H4" s="101"/>
      <c r="I4" s="101"/>
      <c r="J4" s="101"/>
      <c r="K4" s="101"/>
      <c r="L4" s="101"/>
      <c r="M4" s="102"/>
      <c r="N4" s="24"/>
      <c r="O4" s="24"/>
      <c r="P4" s="23" t="s">
        <v>26</v>
      </c>
      <c r="Q4" s="24" t="s">
        <v>27</v>
      </c>
      <c r="R4" s="24" t="s">
        <v>28</v>
      </c>
      <c r="S4" s="24" t="s">
        <v>29</v>
      </c>
      <c r="T4" s="24" t="s">
        <v>30</v>
      </c>
      <c r="U4" s="24" t="s">
        <v>31</v>
      </c>
      <c r="V4" s="24" t="s">
        <v>32</v>
      </c>
      <c r="W4" s="24" t="s">
        <v>33</v>
      </c>
      <c r="X4" s="31" t="s">
        <v>34</v>
      </c>
      <c r="Y4" s="24" t="s">
        <v>35</v>
      </c>
      <c r="Z4" s="24" t="s">
        <v>36</v>
      </c>
      <c r="AA4" s="24" t="s">
        <v>37</v>
      </c>
      <c r="AB4" s="24" t="s">
        <v>38</v>
      </c>
      <c r="AC4" s="24" t="s">
        <v>39</v>
      </c>
      <c r="AD4" s="24" t="s">
        <v>40</v>
      </c>
      <c r="AE4" s="23" t="s">
        <v>41</v>
      </c>
      <c r="AF4" s="23" t="s">
        <v>42</v>
      </c>
      <c r="AG4" s="24" t="s">
        <v>43</v>
      </c>
      <c r="AH4" s="24" t="s">
        <v>44</v>
      </c>
      <c r="AI4" s="24" t="s">
        <v>45</v>
      </c>
      <c r="AJ4" s="23" t="s">
        <v>46</v>
      </c>
      <c r="AK4" s="30" t="s">
        <v>47</v>
      </c>
      <c r="AL4" s="30" t="s">
        <v>48</v>
      </c>
      <c r="AM4" s="30" t="s">
        <v>49</v>
      </c>
      <c r="AN4" s="30" t="s">
        <v>50</v>
      </c>
      <c r="AO4" s="24" t="s">
        <v>51</v>
      </c>
      <c r="AP4" s="24" t="s">
        <v>52</v>
      </c>
      <c r="AQ4" s="23" t="s">
        <v>53</v>
      </c>
      <c r="AR4" s="24" t="s">
        <v>54</v>
      </c>
      <c r="AS4" s="23" t="s">
        <v>55</v>
      </c>
      <c r="AT4" s="34" t="s">
        <v>56</v>
      </c>
      <c r="AU4" s="25"/>
      <c r="AV4" s="26"/>
      <c r="AW4" s="26"/>
      <c r="AX4" s="26"/>
      <c r="AY4" s="26"/>
      <c r="AZ4" s="26"/>
      <c r="BA4" s="26"/>
    </row>
    <row r="5" spans="1:53" ht="14.45">
      <c r="A5" s="17" t="s">
        <v>57</v>
      </c>
      <c r="B5" s="17" t="s">
        <v>58</v>
      </c>
      <c r="C5" s="17" t="s">
        <v>59</v>
      </c>
      <c r="D5" s="20" t="s">
        <v>24</v>
      </c>
      <c r="E5" s="17" t="s">
        <v>60</v>
      </c>
      <c r="F5" s="17" t="s">
        <v>61</v>
      </c>
      <c r="G5" s="17" t="s">
        <v>62</v>
      </c>
      <c r="H5" s="17" t="s">
        <v>63</v>
      </c>
      <c r="I5" s="17" t="s">
        <v>64</v>
      </c>
      <c r="J5" s="18" t="s">
        <v>65</v>
      </c>
      <c r="K5" s="17" t="s">
        <v>66</v>
      </c>
      <c r="L5" s="17" t="s">
        <v>67</v>
      </c>
      <c r="M5" s="17" t="s">
        <v>68</v>
      </c>
      <c r="N5" s="17" t="s">
        <v>69</v>
      </c>
      <c r="O5" s="17" t="s">
        <v>70</v>
      </c>
      <c r="P5" s="14">
        <v>135</v>
      </c>
      <c r="Q5" s="15">
        <v>30</v>
      </c>
      <c r="R5" s="15">
        <v>220</v>
      </c>
      <c r="S5" s="15">
        <v>50</v>
      </c>
      <c r="T5" s="15">
        <v>15</v>
      </c>
      <c r="U5" s="15">
        <v>250</v>
      </c>
      <c r="V5" s="15">
        <v>400</v>
      </c>
      <c r="W5" s="15">
        <v>85</v>
      </c>
      <c r="X5" s="14">
        <v>135</v>
      </c>
      <c r="Y5" s="16">
        <v>30</v>
      </c>
      <c r="Z5" s="14">
        <v>180</v>
      </c>
      <c r="AA5" s="15">
        <v>260</v>
      </c>
      <c r="AB5" s="15">
        <v>180</v>
      </c>
      <c r="AC5" s="15">
        <v>400</v>
      </c>
      <c r="AD5" s="15">
        <v>2200</v>
      </c>
      <c r="AE5" s="14">
        <v>35</v>
      </c>
      <c r="AF5" s="14">
        <v>300</v>
      </c>
      <c r="AG5" s="15">
        <v>700</v>
      </c>
      <c r="AH5" s="15">
        <v>5000</v>
      </c>
      <c r="AI5" s="15">
        <v>7000</v>
      </c>
      <c r="AJ5" s="14">
        <v>80</v>
      </c>
      <c r="AK5" s="16">
        <v>150</v>
      </c>
      <c r="AL5" s="16">
        <v>260</v>
      </c>
      <c r="AM5" s="16">
        <v>360</v>
      </c>
      <c r="AN5" s="15">
        <v>4000</v>
      </c>
      <c r="AO5" s="15">
        <v>5000</v>
      </c>
      <c r="AP5" s="15">
        <v>10000</v>
      </c>
      <c r="AQ5" s="14">
        <v>2500</v>
      </c>
      <c r="AR5" s="15">
        <v>10000</v>
      </c>
      <c r="AS5" s="12">
        <v>0.12</v>
      </c>
      <c r="AT5" s="13">
        <v>0.25</v>
      </c>
    </row>
    <row r="6" spans="1:53" ht="15" customHeight="1">
      <c r="A6" t="s">
        <v>71</v>
      </c>
      <c r="B6" t="s">
        <v>72</v>
      </c>
      <c r="C6" s="11">
        <v>45302</v>
      </c>
      <c r="D6" s="32" t="s">
        <v>73</v>
      </c>
      <c r="E6" t="s">
        <v>74</v>
      </c>
      <c r="F6" s="22" t="s">
        <v>75</v>
      </c>
      <c r="G6" t="s">
        <v>72</v>
      </c>
      <c r="H6" s="33" t="s">
        <v>76</v>
      </c>
      <c r="I6" s="29">
        <v>3</v>
      </c>
      <c r="J6" s="35" t="s">
        <v>77</v>
      </c>
      <c r="K6" s="11" t="s">
        <v>78</v>
      </c>
      <c r="AS6" s="7">
        <v>235</v>
      </c>
      <c r="AT6" s="2">
        <v>80</v>
      </c>
    </row>
    <row r="7" spans="1:53">
      <c r="A7" t="s">
        <v>71</v>
      </c>
      <c r="B7" t="s">
        <v>72</v>
      </c>
      <c r="C7" s="11">
        <v>45303</v>
      </c>
      <c r="D7" s="32" t="s">
        <v>79</v>
      </c>
      <c r="E7" t="s">
        <v>74</v>
      </c>
      <c r="F7" s="22" t="s">
        <v>75</v>
      </c>
      <c r="G7" t="s">
        <v>72</v>
      </c>
      <c r="H7" s="33" t="s">
        <v>80</v>
      </c>
      <c r="I7" s="29">
        <v>1</v>
      </c>
      <c r="J7" s="3">
        <f t="shared" ref="J7:J43" si="2">IF(SUMPRODUCT($P$5:$AU$5,P7:AU7)=0,"-",SUMPRODUCT($P$5:$AU$5,P7:AU7))</f>
        <v>120</v>
      </c>
      <c r="K7" s="39" t="s">
        <v>77</v>
      </c>
      <c r="L7" s="37" t="s">
        <v>77</v>
      </c>
      <c r="M7" s="36" t="s">
        <v>81</v>
      </c>
      <c r="N7" s="36" t="s">
        <v>82</v>
      </c>
      <c r="O7" s="40" t="s">
        <v>83</v>
      </c>
      <c r="AJ7" s="28"/>
      <c r="AS7" s="28">
        <v>1000</v>
      </c>
    </row>
    <row r="8" spans="1:53" ht="15" customHeight="1">
      <c r="A8" t="s">
        <v>71</v>
      </c>
      <c r="B8" t="s">
        <v>72</v>
      </c>
      <c r="C8" s="11">
        <v>45317</v>
      </c>
      <c r="D8" s="32" t="s">
        <v>84</v>
      </c>
      <c r="E8" t="s">
        <v>74</v>
      </c>
      <c r="F8" s="22" t="s">
        <v>75</v>
      </c>
      <c r="G8" t="s">
        <v>72</v>
      </c>
      <c r="H8" s="33" t="s">
        <v>85</v>
      </c>
      <c r="I8" s="29">
        <v>1</v>
      </c>
      <c r="J8" s="3">
        <f t="shared" si="2"/>
        <v>92</v>
      </c>
      <c r="K8" s="39" t="s">
        <v>77</v>
      </c>
      <c r="L8" s="37" t="s">
        <v>77</v>
      </c>
      <c r="M8" s="36" t="s">
        <v>81</v>
      </c>
      <c r="N8" s="36" t="s">
        <v>82</v>
      </c>
      <c r="O8" s="40" t="s">
        <v>83</v>
      </c>
      <c r="AT8" s="2">
        <v>368</v>
      </c>
    </row>
    <row r="9" spans="1:53" ht="15" customHeight="1">
      <c r="A9" t="s">
        <v>71</v>
      </c>
      <c r="B9" t="s">
        <v>86</v>
      </c>
      <c r="C9" s="11">
        <v>45327</v>
      </c>
      <c r="D9" s="32" t="s">
        <v>87</v>
      </c>
      <c r="E9" t="s">
        <v>88</v>
      </c>
      <c r="F9" s="22" t="s">
        <v>75</v>
      </c>
      <c r="G9" t="s">
        <v>86</v>
      </c>
      <c r="H9" s="33" t="s">
        <v>89</v>
      </c>
      <c r="I9" s="2">
        <v>1</v>
      </c>
      <c r="J9" s="3">
        <f t="shared" ref="J9:J15" si="3">IF(SUMPRODUCT($P$5:$AU$5,P9:AU9)=0,"-",SUMPRODUCT($P$5:$AU$5,P9:AU9))</f>
        <v>27.599999999999998</v>
      </c>
      <c r="K9" s="39" t="s">
        <v>77</v>
      </c>
      <c r="L9" s="37" t="s">
        <v>77</v>
      </c>
      <c r="M9" s="36" t="s">
        <v>81</v>
      </c>
      <c r="N9" s="36" t="s">
        <v>82</v>
      </c>
      <c r="O9" s="40" t="s">
        <v>83</v>
      </c>
      <c r="AS9" s="7">
        <v>230</v>
      </c>
    </row>
    <row r="10" spans="1:53" ht="15" customHeight="1">
      <c r="A10" t="s">
        <v>71</v>
      </c>
      <c r="B10" t="s">
        <v>86</v>
      </c>
      <c r="C10" s="11">
        <v>45364</v>
      </c>
      <c r="D10" s="32" t="s">
        <v>90</v>
      </c>
      <c r="E10" t="s">
        <v>88</v>
      </c>
      <c r="F10" s="22" t="s">
        <v>75</v>
      </c>
      <c r="G10" t="s">
        <v>86</v>
      </c>
      <c r="H10" s="33" t="s">
        <v>91</v>
      </c>
      <c r="I10" s="2">
        <f t="shared" ref="I9:I15" si="4">IF(SUM(P10:AU10)=0,"-",SUM(P10:AU10))</f>
        <v>44</v>
      </c>
      <c r="J10" s="3">
        <f t="shared" si="3"/>
        <v>5.2799999999999994</v>
      </c>
      <c r="K10" s="39" t="s">
        <v>77</v>
      </c>
      <c r="L10" s="37" t="s">
        <v>77</v>
      </c>
      <c r="M10" s="36" t="s">
        <v>81</v>
      </c>
      <c r="N10" s="36" t="s">
        <v>82</v>
      </c>
      <c r="O10" s="40" t="s">
        <v>83</v>
      </c>
      <c r="AS10" s="7">
        <v>44</v>
      </c>
    </row>
    <row r="11" spans="1:53" ht="15" customHeight="1">
      <c r="A11" t="s">
        <v>71</v>
      </c>
      <c r="B11" t="s">
        <v>72</v>
      </c>
      <c r="C11" s="11">
        <v>45387</v>
      </c>
      <c r="D11" s="32" t="s">
        <v>92</v>
      </c>
      <c r="E11" t="s">
        <v>93</v>
      </c>
      <c r="F11" s="22" t="s">
        <v>75</v>
      </c>
      <c r="G11" t="s">
        <v>72</v>
      </c>
      <c r="H11" s="33" t="s">
        <v>94</v>
      </c>
      <c r="I11" s="2">
        <v>12</v>
      </c>
      <c r="J11" s="3">
        <v>2750</v>
      </c>
      <c r="K11" s="39" t="s">
        <v>77</v>
      </c>
      <c r="L11" s="37" t="s">
        <v>77</v>
      </c>
      <c r="M11" s="36" t="s">
        <v>81</v>
      </c>
      <c r="N11" s="36" t="s">
        <v>95</v>
      </c>
      <c r="O11" s="40" t="s">
        <v>83</v>
      </c>
      <c r="AS11" s="7">
        <f>7767+1951+1951+4739+4697+7754+2428+3121</f>
        <v>34408</v>
      </c>
    </row>
    <row r="12" spans="1:53" ht="15" customHeight="1">
      <c r="A12" t="s">
        <v>71</v>
      </c>
      <c r="B12" t="s">
        <v>86</v>
      </c>
      <c r="C12" s="11">
        <v>45400</v>
      </c>
      <c r="D12" s="32" t="s">
        <v>96</v>
      </c>
      <c r="E12" t="s">
        <v>88</v>
      </c>
      <c r="F12" s="22" t="s">
        <v>75</v>
      </c>
      <c r="G12" t="s">
        <v>86</v>
      </c>
      <c r="H12" s="33" t="s">
        <v>97</v>
      </c>
      <c r="I12" s="2">
        <f t="shared" si="4"/>
        <v>155</v>
      </c>
      <c r="J12" s="3">
        <f t="shared" si="3"/>
        <v>38.75</v>
      </c>
      <c r="K12" s="39" t="s">
        <v>77</v>
      </c>
      <c r="L12" s="37" t="s">
        <v>77</v>
      </c>
      <c r="M12" s="36" t="s">
        <v>81</v>
      </c>
      <c r="N12" s="36" t="s">
        <v>82</v>
      </c>
      <c r="O12" s="40" t="s">
        <v>83</v>
      </c>
      <c r="AT12" s="2">
        <v>155</v>
      </c>
    </row>
    <row r="13" spans="1:53" ht="15" customHeight="1">
      <c r="A13" t="s">
        <v>71</v>
      </c>
      <c r="B13" t="s">
        <v>86</v>
      </c>
      <c r="C13" s="11">
        <v>45400</v>
      </c>
      <c r="D13" s="32" t="s">
        <v>98</v>
      </c>
      <c r="E13" t="s">
        <v>88</v>
      </c>
      <c r="F13" s="22" t="s">
        <v>75</v>
      </c>
      <c r="G13" t="s">
        <v>86</v>
      </c>
      <c r="H13" s="33" t="s">
        <v>99</v>
      </c>
      <c r="I13" s="2">
        <f t="shared" si="4"/>
        <v>700</v>
      </c>
      <c r="J13" s="3">
        <f t="shared" si="3"/>
        <v>84</v>
      </c>
      <c r="K13" s="39" t="s">
        <v>77</v>
      </c>
      <c r="L13" s="37" t="s">
        <v>77</v>
      </c>
      <c r="M13" s="36" t="s">
        <v>81</v>
      </c>
      <c r="N13" s="36" t="s">
        <v>82</v>
      </c>
      <c r="O13" s="40" t="s">
        <v>83</v>
      </c>
      <c r="AS13" s="7">
        <v>700</v>
      </c>
    </row>
    <row r="14" spans="1:53" ht="15" customHeight="1">
      <c r="A14" t="s">
        <v>71</v>
      </c>
      <c r="B14" t="s">
        <v>86</v>
      </c>
      <c r="C14" s="11">
        <v>45400</v>
      </c>
      <c r="D14" s="32" t="s">
        <v>100</v>
      </c>
      <c r="E14" t="s">
        <v>88</v>
      </c>
      <c r="F14" s="22" t="s">
        <v>75</v>
      </c>
      <c r="G14" t="s">
        <v>86</v>
      </c>
      <c r="H14" s="33" t="s">
        <v>101</v>
      </c>
      <c r="I14" s="2">
        <f t="shared" si="4"/>
        <v>3</v>
      </c>
      <c r="J14" s="3">
        <f t="shared" si="3"/>
        <v>90</v>
      </c>
      <c r="K14" s="39" t="s">
        <v>77</v>
      </c>
      <c r="L14" s="37" t="s">
        <v>77</v>
      </c>
      <c r="M14" s="36" t="s">
        <v>81</v>
      </c>
      <c r="N14" s="36" t="s">
        <v>82</v>
      </c>
      <c r="O14" s="40" t="s">
        <v>83</v>
      </c>
      <c r="Q14" s="2">
        <v>3</v>
      </c>
    </row>
    <row r="15" spans="1:53" ht="15" customHeight="1">
      <c r="A15" t="s">
        <v>71</v>
      </c>
      <c r="B15" t="s">
        <v>72</v>
      </c>
      <c r="C15" s="11">
        <v>45405</v>
      </c>
      <c r="D15" s="32" t="s">
        <v>102</v>
      </c>
      <c r="E15" t="s">
        <v>74</v>
      </c>
      <c r="F15" s="22" t="s">
        <v>75</v>
      </c>
      <c r="G15" t="s">
        <v>72</v>
      </c>
      <c r="H15" s="33" t="s">
        <v>103</v>
      </c>
      <c r="I15" s="2">
        <f t="shared" si="4"/>
        <v>1</v>
      </c>
      <c r="J15" s="3">
        <f t="shared" si="3"/>
        <v>30</v>
      </c>
      <c r="K15" s="36" t="s">
        <v>77</v>
      </c>
      <c r="L15" s="37" t="s">
        <v>77</v>
      </c>
      <c r="M15" s="36" t="s">
        <v>81</v>
      </c>
      <c r="N15" s="36" t="s">
        <v>104</v>
      </c>
      <c r="O15" s="40" t="s">
        <v>105</v>
      </c>
      <c r="Q15" s="2">
        <v>1</v>
      </c>
    </row>
    <row r="16" spans="1:53" ht="15" customHeight="1">
      <c r="A16" t="s">
        <v>71</v>
      </c>
      <c r="B16" t="s">
        <v>72</v>
      </c>
      <c r="C16" s="11">
        <v>45411</v>
      </c>
      <c r="D16" s="32" t="s">
        <v>106</v>
      </c>
      <c r="E16" t="s">
        <v>107</v>
      </c>
      <c r="F16" s="22" t="s">
        <v>75</v>
      </c>
      <c r="G16" t="s">
        <v>72</v>
      </c>
      <c r="H16" s="33" t="s">
        <v>108</v>
      </c>
      <c r="I16" s="2">
        <f t="shared" ref="I16:I43" si="5">IF(SUM(P16:AU16)=0,"-",SUM(P16:AU16))</f>
        <v>1017</v>
      </c>
      <c r="J16" s="3">
        <v>122</v>
      </c>
      <c r="K16" s="36" t="s">
        <v>77</v>
      </c>
      <c r="L16" s="37" t="s">
        <v>77</v>
      </c>
      <c r="M16" s="36" t="s">
        <v>81</v>
      </c>
      <c r="N16" s="36" t="s">
        <v>109</v>
      </c>
      <c r="O16" s="40" t="s">
        <v>83</v>
      </c>
      <c r="AS16" s="7">
        <v>1017</v>
      </c>
    </row>
    <row r="17" spans="1:46" ht="15" customHeight="1">
      <c r="A17" t="s">
        <v>71</v>
      </c>
      <c r="B17" t="s">
        <v>86</v>
      </c>
      <c r="C17" s="11">
        <v>45433</v>
      </c>
      <c r="D17" s="41" t="s">
        <v>110</v>
      </c>
      <c r="E17" t="s">
        <v>88</v>
      </c>
      <c r="F17" s="22" t="s">
        <v>75</v>
      </c>
      <c r="G17" t="s">
        <v>86</v>
      </c>
      <c r="H17" s="33" t="s">
        <v>111</v>
      </c>
      <c r="I17" s="2">
        <f t="shared" si="5"/>
        <v>17330</v>
      </c>
      <c r="J17" s="3">
        <f t="shared" si="2"/>
        <v>2079.6</v>
      </c>
      <c r="K17" s="36" t="s">
        <v>77</v>
      </c>
      <c r="L17" s="37" t="s">
        <v>77</v>
      </c>
      <c r="M17" s="36" t="s">
        <v>81</v>
      </c>
      <c r="N17" s="36" t="s">
        <v>104</v>
      </c>
      <c r="O17" s="40" t="s">
        <v>105</v>
      </c>
      <c r="AS17" s="7">
        <f>2575+2811+664+665+745+747+2113+2115+1232+1229+1217+1217</f>
        <v>17330</v>
      </c>
    </row>
    <row r="18" spans="1:46" ht="15" customHeight="1">
      <c r="A18" t="s">
        <v>71</v>
      </c>
      <c r="B18" t="s">
        <v>86</v>
      </c>
      <c r="C18" s="11">
        <v>45443</v>
      </c>
      <c r="D18" s="32" t="s">
        <v>112</v>
      </c>
      <c r="E18" t="s">
        <v>88</v>
      </c>
      <c r="F18" s="22" t="s">
        <v>75</v>
      </c>
      <c r="G18" t="s">
        <v>86</v>
      </c>
      <c r="H18" s="33" t="s">
        <v>113</v>
      </c>
      <c r="I18" s="2">
        <f t="shared" si="5"/>
        <v>430</v>
      </c>
      <c r="J18" s="3">
        <f t="shared" si="2"/>
        <v>107.5</v>
      </c>
      <c r="K18" s="36" t="s">
        <v>77</v>
      </c>
      <c r="L18" s="37" t="s">
        <v>77</v>
      </c>
      <c r="M18" s="36" t="s">
        <v>81</v>
      </c>
      <c r="N18" s="36" t="s">
        <v>104</v>
      </c>
      <c r="O18" s="40" t="s">
        <v>105</v>
      </c>
      <c r="AT18" s="2">
        <v>430</v>
      </c>
    </row>
    <row r="19" spans="1:46" ht="15" customHeight="1">
      <c r="A19" t="s">
        <v>71</v>
      </c>
      <c r="B19" t="s">
        <v>86</v>
      </c>
      <c r="C19" s="11">
        <v>45456</v>
      </c>
      <c r="D19" s="32" t="s">
        <v>114</v>
      </c>
      <c r="E19" t="s">
        <v>88</v>
      </c>
      <c r="F19" s="22" t="s">
        <v>75</v>
      </c>
      <c r="G19" t="s">
        <v>86</v>
      </c>
      <c r="H19" s="33" t="s">
        <v>115</v>
      </c>
      <c r="I19" s="2">
        <f t="shared" si="5"/>
        <v>265</v>
      </c>
      <c r="J19" s="3">
        <f t="shared" si="2"/>
        <v>66.25</v>
      </c>
      <c r="K19" s="36" t="s">
        <v>77</v>
      </c>
      <c r="L19" s="37" t="s">
        <v>77</v>
      </c>
      <c r="M19" s="36" t="s">
        <v>81</v>
      </c>
      <c r="N19" s="36" t="s">
        <v>116</v>
      </c>
      <c r="O19" s="40" t="s">
        <v>117</v>
      </c>
      <c r="AT19" s="2">
        <v>265</v>
      </c>
    </row>
    <row r="20" spans="1:46" ht="15" customHeight="1">
      <c r="A20" t="s">
        <v>71</v>
      </c>
      <c r="B20" t="s">
        <v>86</v>
      </c>
      <c r="C20" s="11">
        <v>45463</v>
      </c>
      <c r="D20" s="32" t="s">
        <v>118</v>
      </c>
      <c r="E20" t="s">
        <v>88</v>
      </c>
      <c r="F20" s="22" t="s">
        <v>75</v>
      </c>
      <c r="G20" t="s">
        <v>86</v>
      </c>
      <c r="H20" s="33" t="s">
        <v>119</v>
      </c>
      <c r="I20" s="2">
        <f t="shared" si="5"/>
        <v>250</v>
      </c>
      <c r="J20" s="3">
        <f t="shared" si="2"/>
        <v>30</v>
      </c>
      <c r="K20" s="36" t="s">
        <v>77</v>
      </c>
      <c r="L20" s="37" t="s">
        <v>77</v>
      </c>
      <c r="M20" s="36" t="s">
        <v>81</v>
      </c>
      <c r="N20" s="36" t="s">
        <v>116</v>
      </c>
      <c r="O20" s="40" t="s">
        <v>117</v>
      </c>
      <c r="AS20" s="7">
        <v>250</v>
      </c>
    </row>
    <row r="21" spans="1:46" ht="15" customHeight="1">
      <c r="A21" t="s">
        <v>71</v>
      </c>
      <c r="B21" t="s">
        <v>86</v>
      </c>
      <c r="C21" s="11">
        <v>45463</v>
      </c>
      <c r="D21" s="32" t="s">
        <v>120</v>
      </c>
      <c r="E21" t="s">
        <v>88</v>
      </c>
      <c r="F21" s="22" t="s">
        <v>75</v>
      </c>
      <c r="G21" t="s">
        <v>86</v>
      </c>
      <c r="H21" s="42" t="s">
        <v>121</v>
      </c>
      <c r="I21" s="2">
        <f t="shared" si="5"/>
        <v>40</v>
      </c>
      <c r="J21" s="3">
        <f t="shared" si="2"/>
        <v>10</v>
      </c>
      <c r="K21" s="36" t="s">
        <v>77</v>
      </c>
      <c r="L21" s="37" t="s">
        <v>77</v>
      </c>
      <c r="M21" s="36" t="s">
        <v>81</v>
      </c>
      <c r="N21" s="36" t="s">
        <v>116</v>
      </c>
      <c r="O21" s="40" t="s">
        <v>117</v>
      </c>
      <c r="AT21" s="2">
        <v>40</v>
      </c>
    </row>
    <row r="22" spans="1:46" ht="15" customHeight="1">
      <c r="A22" t="s">
        <v>71</v>
      </c>
      <c r="B22" t="s">
        <v>86</v>
      </c>
      <c r="C22" s="11">
        <v>45470</v>
      </c>
      <c r="D22" s="41" t="s">
        <v>122</v>
      </c>
      <c r="E22" t="s">
        <v>88</v>
      </c>
      <c r="F22" s="22" t="s">
        <v>75</v>
      </c>
      <c r="G22" t="s">
        <v>86</v>
      </c>
      <c r="H22" s="33" t="s">
        <v>123</v>
      </c>
      <c r="I22" s="2">
        <f t="shared" si="5"/>
        <v>400</v>
      </c>
      <c r="J22" s="3">
        <f t="shared" si="2"/>
        <v>48</v>
      </c>
      <c r="K22" s="36" t="s">
        <v>77</v>
      </c>
      <c r="L22" s="37" t="s">
        <v>77</v>
      </c>
      <c r="M22" s="36" t="s">
        <v>81</v>
      </c>
      <c r="N22" s="36" t="s">
        <v>116</v>
      </c>
      <c r="O22" s="40" t="s">
        <v>117</v>
      </c>
      <c r="AS22" s="7">
        <v>400</v>
      </c>
    </row>
    <row r="23" spans="1:46" ht="15" customHeight="1">
      <c r="A23" t="s">
        <v>71</v>
      </c>
      <c r="B23" t="s">
        <v>86</v>
      </c>
      <c r="C23" s="11">
        <v>45470</v>
      </c>
      <c r="D23" s="32" t="s">
        <v>124</v>
      </c>
      <c r="E23" t="s">
        <v>88</v>
      </c>
      <c r="F23" s="22" t="s">
        <v>75</v>
      </c>
      <c r="G23" t="s">
        <v>86</v>
      </c>
      <c r="H23" s="33" t="s">
        <v>125</v>
      </c>
      <c r="I23" s="2">
        <f t="shared" si="5"/>
        <v>850</v>
      </c>
      <c r="J23" s="3">
        <f t="shared" si="2"/>
        <v>102</v>
      </c>
      <c r="K23" s="36" t="s">
        <v>77</v>
      </c>
      <c r="L23" s="37" t="s">
        <v>77</v>
      </c>
      <c r="M23" s="36" t="s">
        <v>81</v>
      </c>
      <c r="N23" s="36" t="s">
        <v>116</v>
      </c>
      <c r="O23" s="40" t="s">
        <v>117</v>
      </c>
      <c r="AS23" s="7">
        <v>850</v>
      </c>
    </row>
    <row r="24" spans="1:46" ht="15" customHeight="1">
      <c r="A24" t="s">
        <v>71</v>
      </c>
      <c r="B24" t="s">
        <v>86</v>
      </c>
      <c r="C24" s="11">
        <v>45485</v>
      </c>
      <c r="D24" s="32" t="s">
        <v>126</v>
      </c>
      <c r="E24" t="s">
        <v>88</v>
      </c>
      <c r="F24" s="22" t="s">
        <v>75</v>
      </c>
      <c r="G24" t="s">
        <v>86</v>
      </c>
      <c r="H24" s="33" t="s">
        <v>127</v>
      </c>
      <c r="I24" s="2">
        <f t="shared" si="5"/>
        <v>4140</v>
      </c>
      <c r="J24" s="3">
        <f t="shared" si="2"/>
        <v>496.79999999999995</v>
      </c>
      <c r="K24" s="36" t="s">
        <v>77</v>
      </c>
      <c r="L24" s="37" t="s">
        <v>77</v>
      </c>
      <c r="M24" s="36" t="s">
        <v>81</v>
      </c>
      <c r="N24" s="36" t="s">
        <v>116</v>
      </c>
      <c r="O24" s="40" t="s">
        <v>117</v>
      </c>
      <c r="AS24" s="7">
        <f>690*6</f>
        <v>4140</v>
      </c>
    </row>
    <row r="25" spans="1:46" ht="15" customHeight="1">
      <c r="A25" t="s">
        <v>71</v>
      </c>
      <c r="B25" t="s">
        <v>86</v>
      </c>
      <c r="C25" s="11">
        <v>45485</v>
      </c>
      <c r="D25" s="32" t="s">
        <v>128</v>
      </c>
      <c r="E25" t="s">
        <v>88</v>
      </c>
      <c r="F25" s="22" t="s">
        <v>75</v>
      </c>
      <c r="G25" t="s">
        <v>86</v>
      </c>
      <c r="H25" s="33" t="s">
        <v>129</v>
      </c>
      <c r="I25" s="2">
        <f t="shared" si="5"/>
        <v>7100</v>
      </c>
      <c r="J25" s="3">
        <f t="shared" si="2"/>
        <v>852</v>
      </c>
      <c r="K25" s="36" t="s">
        <v>77</v>
      </c>
      <c r="L25" s="37" t="s">
        <v>77</v>
      </c>
      <c r="M25" s="36" t="s">
        <v>81</v>
      </c>
      <c r="N25" s="36" t="s">
        <v>116</v>
      </c>
      <c r="O25" s="40" t="s">
        <v>117</v>
      </c>
      <c r="AS25" s="7">
        <f>3500+1800+1800</f>
        <v>7100</v>
      </c>
    </row>
    <row r="26" spans="1:46" ht="15" customHeight="1">
      <c r="A26" t="s">
        <v>71</v>
      </c>
      <c r="B26" t="s">
        <v>86</v>
      </c>
      <c r="C26" s="11">
        <v>45485</v>
      </c>
      <c r="D26" s="32" t="s">
        <v>130</v>
      </c>
      <c r="E26" t="s">
        <v>88</v>
      </c>
      <c r="F26" s="22" t="s">
        <v>75</v>
      </c>
      <c r="G26" t="s">
        <v>86</v>
      </c>
      <c r="H26" s="33" t="s">
        <v>131</v>
      </c>
      <c r="I26" s="2">
        <f t="shared" si="5"/>
        <v>2674</v>
      </c>
      <c r="J26" s="3">
        <f t="shared" si="2"/>
        <v>320.88</v>
      </c>
      <c r="K26" s="36" t="s">
        <v>77</v>
      </c>
      <c r="L26" s="37" t="s">
        <v>77</v>
      </c>
      <c r="M26" s="36" t="s">
        <v>81</v>
      </c>
      <c r="N26" s="36" t="s">
        <v>116</v>
      </c>
      <c r="O26" s="40" t="s">
        <v>117</v>
      </c>
      <c r="AS26" s="7">
        <v>2674</v>
      </c>
    </row>
    <row r="27" spans="1:46" ht="15" customHeight="1">
      <c r="A27" t="s">
        <v>71</v>
      </c>
      <c r="B27" t="s">
        <v>86</v>
      </c>
      <c r="C27" s="11">
        <v>45499</v>
      </c>
      <c r="D27" s="41" t="s">
        <v>132</v>
      </c>
      <c r="E27" t="s">
        <v>88</v>
      </c>
      <c r="F27" s="22" t="s">
        <v>75</v>
      </c>
      <c r="G27" t="s">
        <v>86</v>
      </c>
      <c r="H27" s="42" t="s">
        <v>121</v>
      </c>
      <c r="I27" s="2">
        <f t="shared" si="5"/>
        <v>150</v>
      </c>
      <c r="J27" s="3">
        <f t="shared" si="2"/>
        <v>37.5</v>
      </c>
      <c r="K27" s="36" t="s">
        <v>77</v>
      </c>
      <c r="L27" s="37" t="s">
        <v>77</v>
      </c>
      <c r="M27" s="36" t="s">
        <v>81</v>
      </c>
      <c r="N27" s="36" t="s">
        <v>133</v>
      </c>
      <c r="O27" s="40" t="s">
        <v>134</v>
      </c>
      <c r="AT27" s="2">
        <v>150</v>
      </c>
    </row>
    <row r="28" spans="1:46" ht="15" customHeight="1">
      <c r="A28" t="s">
        <v>71</v>
      </c>
      <c r="B28" t="s">
        <v>86</v>
      </c>
      <c r="C28" s="11">
        <v>45503</v>
      </c>
      <c r="D28" s="41" t="s">
        <v>135</v>
      </c>
      <c r="E28" t="s">
        <v>88</v>
      </c>
      <c r="F28" s="22" t="s">
        <v>75</v>
      </c>
      <c r="G28" t="s">
        <v>86</v>
      </c>
      <c r="H28" s="33" t="s">
        <v>136</v>
      </c>
      <c r="I28" s="2">
        <f t="shared" si="5"/>
        <v>600</v>
      </c>
      <c r="J28" s="3">
        <f t="shared" si="2"/>
        <v>72</v>
      </c>
      <c r="K28" s="36" t="s">
        <v>77</v>
      </c>
      <c r="L28" s="37" t="s">
        <v>77</v>
      </c>
      <c r="M28" s="36" t="s">
        <v>81</v>
      </c>
      <c r="N28" s="36" t="s">
        <v>133</v>
      </c>
      <c r="O28" s="40" t="s">
        <v>134</v>
      </c>
      <c r="AS28" s="7">
        <v>600</v>
      </c>
    </row>
    <row r="29" spans="1:46" ht="15" customHeight="1">
      <c r="A29" t="s">
        <v>71</v>
      </c>
      <c r="B29" t="s">
        <v>86</v>
      </c>
      <c r="C29" s="11">
        <v>45508</v>
      </c>
      <c r="D29" s="32" t="s">
        <v>137</v>
      </c>
      <c r="E29" t="s">
        <v>88</v>
      </c>
      <c r="F29" s="22" t="s">
        <v>75</v>
      </c>
      <c r="G29" t="s">
        <v>86</v>
      </c>
      <c r="H29" s="33" t="s">
        <v>138</v>
      </c>
      <c r="I29" s="2">
        <f t="shared" si="5"/>
        <v>520</v>
      </c>
      <c r="J29" s="3">
        <f t="shared" si="2"/>
        <v>62.4</v>
      </c>
      <c r="K29" s="36" t="s">
        <v>77</v>
      </c>
      <c r="L29" s="37" t="s">
        <v>77</v>
      </c>
      <c r="M29" s="36" t="s">
        <v>81</v>
      </c>
      <c r="N29" s="36" t="s">
        <v>133</v>
      </c>
      <c r="O29" s="40" t="s">
        <v>134</v>
      </c>
      <c r="AS29" s="7">
        <v>520</v>
      </c>
    </row>
    <row r="30" spans="1:46" ht="15" customHeight="1">
      <c r="A30" t="s">
        <v>71</v>
      </c>
      <c r="B30" t="s">
        <v>86</v>
      </c>
      <c r="C30" s="11">
        <v>45516</v>
      </c>
      <c r="D30" s="41" t="s">
        <v>139</v>
      </c>
      <c r="E30" t="s">
        <v>88</v>
      </c>
      <c r="F30" s="22" t="s">
        <v>75</v>
      </c>
      <c r="G30" t="s">
        <v>86</v>
      </c>
      <c r="H30" s="42" t="s">
        <v>121</v>
      </c>
      <c r="I30" s="2">
        <f t="shared" si="5"/>
        <v>50</v>
      </c>
      <c r="J30" s="3">
        <f t="shared" si="2"/>
        <v>12.5</v>
      </c>
      <c r="K30" s="36" t="s">
        <v>77</v>
      </c>
      <c r="L30" s="37" t="s">
        <v>77</v>
      </c>
      <c r="M30" s="36" t="s">
        <v>81</v>
      </c>
      <c r="N30" s="36" t="s">
        <v>133</v>
      </c>
      <c r="O30" s="40" t="s">
        <v>134</v>
      </c>
      <c r="AT30" s="2">
        <v>50</v>
      </c>
    </row>
    <row r="31" spans="1:46" ht="15" customHeight="1">
      <c r="A31" t="s">
        <v>71</v>
      </c>
      <c r="B31" t="s">
        <v>86</v>
      </c>
      <c r="C31" s="11">
        <v>45516</v>
      </c>
      <c r="D31" s="32" t="s">
        <v>140</v>
      </c>
      <c r="E31" t="s">
        <v>88</v>
      </c>
      <c r="F31" s="22" t="s">
        <v>75</v>
      </c>
      <c r="G31" t="s">
        <v>86</v>
      </c>
      <c r="H31" s="42" t="s">
        <v>121</v>
      </c>
      <c r="I31" s="2">
        <f t="shared" si="5"/>
        <v>430</v>
      </c>
      <c r="J31" s="3">
        <f t="shared" si="2"/>
        <v>51.6</v>
      </c>
      <c r="K31" s="36" t="s">
        <v>77</v>
      </c>
      <c r="L31" s="37" t="s">
        <v>77</v>
      </c>
      <c r="M31" s="36" t="s">
        <v>81</v>
      </c>
      <c r="N31" s="36" t="s">
        <v>133</v>
      </c>
      <c r="O31" s="40" t="s">
        <v>134</v>
      </c>
      <c r="AS31" s="7">
        <f>215*2</f>
        <v>430</v>
      </c>
    </row>
    <row r="32" spans="1:46" ht="15" customHeight="1">
      <c r="A32" t="s">
        <v>71</v>
      </c>
      <c r="B32" t="s">
        <v>86</v>
      </c>
      <c r="C32" s="11">
        <v>45524</v>
      </c>
      <c r="D32" s="32" t="s">
        <v>141</v>
      </c>
      <c r="E32" t="s">
        <v>88</v>
      </c>
      <c r="F32" s="22" t="s">
        <v>75</v>
      </c>
      <c r="G32" t="s">
        <v>86</v>
      </c>
      <c r="H32" s="33" t="s">
        <v>142</v>
      </c>
      <c r="I32" s="2">
        <f t="shared" si="5"/>
        <v>1270</v>
      </c>
      <c r="J32" s="3">
        <f t="shared" si="2"/>
        <v>152.4</v>
      </c>
      <c r="K32" s="36" t="s">
        <v>77</v>
      </c>
      <c r="L32" s="37" t="s">
        <v>77</v>
      </c>
      <c r="M32" s="36" t="s">
        <v>81</v>
      </c>
      <c r="N32" s="36" t="s">
        <v>133</v>
      </c>
      <c r="O32" s="40" t="s">
        <v>134</v>
      </c>
      <c r="AS32" s="7">
        <f>445+225+600</f>
        <v>1270</v>
      </c>
    </row>
    <row r="33" spans="1:46" ht="15" customHeight="1">
      <c r="A33" t="s">
        <v>71</v>
      </c>
      <c r="B33" t="s">
        <v>86</v>
      </c>
      <c r="C33" s="11">
        <v>45524</v>
      </c>
      <c r="D33" s="32" t="s">
        <v>143</v>
      </c>
      <c r="E33" t="s">
        <v>88</v>
      </c>
      <c r="F33" s="22" t="s">
        <v>75</v>
      </c>
      <c r="G33" t="s">
        <v>86</v>
      </c>
      <c r="H33" s="42" t="s">
        <v>121</v>
      </c>
      <c r="I33" s="2">
        <f t="shared" si="5"/>
        <v>20</v>
      </c>
      <c r="J33" s="3">
        <v>10</v>
      </c>
      <c r="K33" s="36" t="s">
        <v>77</v>
      </c>
      <c r="L33" s="37" t="s">
        <v>77</v>
      </c>
      <c r="M33" s="36" t="s">
        <v>81</v>
      </c>
      <c r="N33" s="36" t="s">
        <v>133</v>
      </c>
      <c r="O33" s="40" t="s">
        <v>134</v>
      </c>
      <c r="AT33" s="2">
        <v>20</v>
      </c>
    </row>
    <row r="34" spans="1:46" ht="15" customHeight="1">
      <c r="A34" t="s">
        <v>71</v>
      </c>
      <c r="B34" t="s">
        <v>86</v>
      </c>
      <c r="C34" s="11">
        <v>45532</v>
      </c>
      <c r="D34" s="32" t="s">
        <v>144</v>
      </c>
      <c r="E34" t="s">
        <v>88</v>
      </c>
      <c r="F34" s="22" t="s">
        <v>75</v>
      </c>
      <c r="G34" t="s">
        <v>86</v>
      </c>
      <c r="H34" s="33" t="s">
        <v>145</v>
      </c>
      <c r="I34" s="2">
        <f t="shared" si="5"/>
        <v>665</v>
      </c>
      <c r="J34" s="3">
        <f t="shared" si="2"/>
        <v>166.25</v>
      </c>
      <c r="K34" s="36" t="s">
        <v>77</v>
      </c>
      <c r="L34" s="37" t="s">
        <v>77</v>
      </c>
      <c r="M34" s="36" t="s">
        <v>81</v>
      </c>
      <c r="N34" s="36" t="s">
        <v>146</v>
      </c>
      <c r="O34" s="40" t="s">
        <v>147</v>
      </c>
      <c r="AT34" s="2">
        <v>665</v>
      </c>
    </row>
    <row r="35" spans="1:46" ht="15" customHeight="1">
      <c r="A35" t="s">
        <v>71</v>
      </c>
      <c r="B35" t="s">
        <v>86</v>
      </c>
      <c r="C35" s="11">
        <v>45532</v>
      </c>
      <c r="D35" s="32" t="s">
        <v>148</v>
      </c>
      <c r="E35" t="s">
        <v>88</v>
      </c>
      <c r="F35" s="22" t="s">
        <v>75</v>
      </c>
      <c r="G35" t="s">
        <v>86</v>
      </c>
      <c r="H35" s="33" t="s">
        <v>149</v>
      </c>
      <c r="I35" s="2">
        <f t="shared" si="5"/>
        <v>415</v>
      </c>
      <c r="J35" s="3">
        <f t="shared" si="2"/>
        <v>103.75</v>
      </c>
      <c r="K35" s="36" t="s">
        <v>77</v>
      </c>
      <c r="L35" s="37" t="s">
        <v>77</v>
      </c>
      <c r="M35" s="36" t="s">
        <v>81</v>
      </c>
      <c r="N35" s="36" t="s">
        <v>146</v>
      </c>
      <c r="O35" s="40" t="s">
        <v>147</v>
      </c>
      <c r="AT35" s="2">
        <v>415</v>
      </c>
    </row>
    <row r="36" spans="1:46" ht="15" customHeight="1">
      <c r="A36" t="s">
        <v>71</v>
      </c>
      <c r="B36" t="s">
        <v>86</v>
      </c>
      <c r="C36" s="11">
        <v>45554</v>
      </c>
      <c r="D36" s="32" t="s">
        <v>150</v>
      </c>
      <c r="E36" t="s">
        <v>88</v>
      </c>
      <c r="F36" s="22" t="s">
        <v>75</v>
      </c>
      <c r="G36" s="43" t="s">
        <v>86</v>
      </c>
      <c r="H36" s="33" t="s">
        <v>151</v>
      </c>
      <c r="I36" s="2">
        <f t="shared" si="5"/>
        <v>1801</v>
      </c>
      <c r="J36" s="3">
        <f t="shared" si="2"/>
        <v>216.12</v>
      </c>
      <c r="K36" s="36" t="s">
        <v>77</v>
      </c>
      <c r="L36" s="37" t="s">
        <v>77</v>
      </c>
      <c r="M36" s="36" t="s">
        <v>81</v>
      </c>
      <c r="N36" s="36" t="s">
        <v>146</v>
      </c>
      <c r="O36" s="40" t="s">
        <v>147</v>
      </c>
      <c r="AS36" s="7">
        <v>1801</v>
      </c>
    </row>
    <row r="37" spans="1:46" ht="15" customHeight="1">
      <c r="A37" t="s">
        <v>71</v>
      </c>
      <c r="B37" t="s">
        <v>86</v>
      </c>
      <c r="C37" s="11">
        <v>45562</v>
      </c>
      <c r="D37" s="32" t="s">
        <v>152</v>
      </c>
      <c r="E37" t="s">
        <v>88</v>
      </c>
      <c r="F37" s="22" t="s">
        <v>75</v>
      </c>
      <c r="G37" s="43" t="s">
        <v>86</v>
      </c>
      <c r="H37" s="42" t="s">
        <v>121</v>
      </c>
      <c r="I37" s="2">
        <f t="shared" si="5"/>
        <v>51</v>
      </c>
      <c r="J37" s="3">
        <f t="shared" si="2"/>
        <v>6.12</v>
      </c>
      <c r="K37" s="36" t="s">
        <v>77</v>
      </c>
      <c r="L37" s="37" t="s">
        <v>77</v>
      </c>
      <c r="M37" s="36" t="s">
        <v>81</v>
      </c>
      <c r="N37" s="36" t="s">
        <v>146</v>
      </c>
      <c r="O37" s="40" t="s">
        <v>147</v>
      </c>
      <c r="AS37" s="7">
        <v>51</v>
      </c>
    </row>
    <row r="38" spans="1:46" ht="15" customHeight="1">
      <c r="A38" t="s">
        <v>71</v>
      </c>
      <c r="B38" t="s">
        <v>86</v>
      </c>
      <c r="C38" s="11">
        <v>45562</v>
      </c>
      <c r="D38" s="32" t="s">
        <v>153</v>
      </c>
      <c r="E38" t="s">
        <v>88</v>
      </c>
      <c r="F38" s="22" t="s">
        <v>75</v>
      </c>
      <c r="G38" s="43" t="s">
        <v>86</v>
      </c>
      <c r="H38" s="33" t="s">
        <v>154</v>
      </c>
      <c r="I38" s="2">
        <f t="shared" si="5"/>
        <v>1</v>
      </c>
      <c r="J38" s="3">
        <f t="shared" si="2"/>
        <v>180</v>
      </c>
      <c r="K38" s="36" t="s">
        <v>77</v>
      </c>
      <c r="L38" s="37" t="s">
        <v>77</v>
      </c>
      <c r="M38" s="36" t="s">
        <v>81</v>
      </c>
      <c r="N38" s="36" t="s">
        <v>146</v>
      </c>
      <c r="O38" s="40" t="s">
        <v>147</v>
      </c>
      <c r="AB38" s="2">
        <v>1</v>
      </c>
    </row>
    <row r="39" spans="1:46" ht="15" customHeight="1">
      <c r="A39" t="s">
        <v>71</v>
      </c>
      <c r="B39" t="s">
        <v>86</v>
      </c>
      <c r="C39" s="11">
        <v>45567</v>
      </c>
      <c r="D39" s="41" t="s">
        <v>155</v>
      </c>
      <c r="E39" t="s">
        <v>88</v>
      </c>
      <c r="F39" s="22" t="s">
        <v>75</v>
      </c>
      <c r="G39" s="43" t="s">
        <v>86</v>
      </c>
      <c r="H39" s="33" t="s">
        <v>156</v>
      </c>
      <c r="I39" s="2">
        <f t="shared" si="5"/>
        <v>4</v>
      </c>
      <c r="J39" s="3">
        <f t="shared" si="2"/>
        <v>120</v>
      </c>
      <c r="K39" s="36" t="s">
        <v>77</v>
      </c>
      <c r="L39" s="37" t="s">
        <v>77</v>
      </c>
      <c r="M39" s="36" t="s">
        <v>81</v>
      </c>
      <c r="N39" s="36" t="s">
        <v>157</v>
      </c>
      <c r="O39" s="40" t="s">
        <v>158</v>
      </c>
      <c r="Q39" s="2">
        <v>4</v>
      </c>
    </row>
    <row r="40" spans="1:46" ht="15" customHeight="1">
      <c r="A40" t="s">
        <v>71</v>
      </c>
      <c r="B40" t="s">
        <v>86</v>
      </c>
      <c r="C40" s="11">
        <v>45574</v>
      </c>
      <c r="D40" s="32" t="s">
        <v>159</v>
      </c>
      <c r="E40" t="s">
        <v>160</v>
      </c>
      <c r="F40" s="22" t="s">
        <v>75</v>
      </c>
      <c r="G40" s="43" t="s">
        <v>86</v>
      </c>
      <c r="H40" s="46" t="s">
        <v>161</v>
      </c>
      <c r="I40" s="2">
        <f t="shared" si="5"/>
        <v>63</v>
      </c>
      <c r="J40" s="3">
        <f t="shared" si="2"/>
        <v>7.56</v>
      </c>
      <c r="K40" s="36" t="s">
        <v>77</v>
      </c>
      <c r="L40" s="37" t="s">
        <v>77</v>
      </c>
      <c r="M40" s="36" t="s">
        <v>81</v>
      </c>
      <c r="N40" s="36" t="s">
        <v>157</v>
      </c>
      <c r="O40" s="40" t="s">
        <v>158</v>
      </c>
      <c r="AS40" s="7">
        <v>63</v>
      </c>
    </row>
    <row r="41" spans="1:46" ht="15" customHeight="1">
      <c r="A41" t="s">
        <v>71</v>
      </c>
      <c r="B41" t="s">
        <v>86</v>
      </c>
      <c r="C41" s="11">
        <v>45574</v>
      </c>
      <c r="D41" s="32" t="s">
        <v>162</v>
      </c>
      <c r="E41" t="s">
        <v>160</v>
      </c>
      <c r="F41" s="22" t="s">
        <v>75</v>
      </c>
      <c r="G41" s="43" t="s">
        <v>86</v>
      </c>
      <c r="H41" s="33" t="s">
        <v>163</v>
      </c>
      <c r="I41" s="2">
        <f t="shared" si="5"/>
        <v>790</v>
      </c>
      <c r="J41" s="3">
        <f t="shared" si="2"/>
        <v>197.5</v>
      </c>
      <c r="K41" s="36" t="s">
        <v>77</v>
      </c>
      <c r="L41" s="37" t="s">
        <v>77</v>
      </c>
      <c r="M41" s="36" t="s">
        <v>81</v>
      </c>
      <c r="N41" s="36" t="s">
        <v>157</v>
      </c>
      <c r="O41" s="40" t="s">
        <v>158</v>
      </c>
      <c r="AT41" s="2">
        <v>790</v>
      </c>
    </row>
    <row r="42" spans="1:46" ht="15" customHeight="1">
      <c r="A42" t="s">
        <v>71</v>
      </c>
      <c r="B42" t="s">
        <v>86</v>
      </c>
      <c r="C42" s="11">
        <v>45581</v>
      </c>
      <c r="D42" s="32" t="s">
        <v>164</v>
      </c>
      <c r="E42" t="s">
        <v>160</v>
      </c>
      <c r="F42" s="22" t="s">
        <v>75</v>
      </c>
      <c r="G42" s="43" t="s">
        <v>86</v>
      </c>
      <c r="H42" s="46" t="s">
        <v>165</v>
      </c>
      <c r="I42" s="2">
        <f t="shared" si="5"/>
        <v>1474</v>
      </c>
      <c r="J42" s="3">
        <f t="shared" si="2"/>
        <v>368.5</v>
      </c>
      <c r="K42" s="36" t="s">
        <v>77</v>
      </c>
      <c r="L42" s="37" t="s">
        <v>77</v>
      </c>
      <c r="M42" s="36" t="s">
        <v>81</v>
      </c>
      <c r="N42" s="36" t="s">
        <v>157</v>
      </c>
      <c r="O42" s="40" t="s">
        <v>158</v>
      </c>
      <c r="AT42" s="7">
        <v>1474</v>
      </c>
    </row>
    <row r="43" spans="1:46" ht="15" customHeight="1">
      <c r="A43" t="s">
        <v>71</v>
      </c>
      <c r="B43" t="s">
        <v>86</v>
      </c>
      <c r="C43" s="11">
        <v>45586</v>
      </c>
      <c r="D43" s="32" t="s">
        <v>166</v>
      </c>
      <c r="E43" t="s">
        <v>88</v>
      </c>
      <c r="F43" s="22" t="s">
        <v>75</v>
      </c>
      <c r="G43" s="43" t="s">
        <v>86</v>
      </c>
      <c r="H43" s="33" t="s">
        <v>167</v>
      </c>
      <c r="I43" s="2">
        <f t="shared" si="5"/>
        <v>4</v>
      </c>
      <c r="J43" s="3">
        <f t="shared" si="2"/>
        <v>120</v>
      </c>
      <c r="K43" s="36" t="s">
        <v>77</v>
      </c>
      <c r="L43" s="37" t="s">
        <v>77</v>
      </c>
      <c r="M43" s="36" t="s">
        <v>81</v>
      </c>
      <c r="N43" s="36" t="s">
        <v>157</v>
      </c>
      <c r="O43" s="40" t="s">
        <v>158</v>
      </c>
      <c r="Q43" s="2">
        <v>4</v>
      </c>
    </row>
    <row r="44" spans="1:46" ht="15" customHeight="1">
      <c r="A44" t="s">
        <v>71</v>
      </c>
      <c r="B44" t="s">
        <v>86</v>
      </c>
      <c r="C44" s="11">
        <v>45589</v>
      </c>
      <c r="D44" s="32" t="s">
        <v>168</v>
      </c>
      <c r="E44" t="s">
        <v>160</v>
      </c>
      <c r="F44" s="22" t="s">
        <v>75</v>
      </c>
      <c r="G44" s="43" t="s">
        <v>86</v>
      </c>
      <c r="H44" t="s">
        <v>169</v>
      </c>
      <c r="I44" s="2">
        <f t="shared" ref="I44:I57" si="6">IF(SUM(P44:AU44)=0,"-",SUM(P44:AU44))</f>
        <v>30</v>
      </c>
      <c r="J44" s="3">
        <f t="shared" ref="J44:J46" si="7">IF(SUMPRODUCT($P$5:$AU$5,P44:AU44)=0,"-",SUMPRODUCT($P$5:$AU$5,P44:AU44))</f>
        <v>7.5</v>
      </c>
      <c r="K44" s="36" t="s">
        <v>77</v>
      </c>
      <c r="L44" s="37" t="s">
        <v>77</v>
      </c>
      <c r="M44" s="36" t="s">
        <v>81</v>
      </c>
      <c r="N44" s="36" t="s">
        <v>157</v>
      </c>
      <c r="O44" s="40" t="s">
        <v>158</v>
      </c>
      <c r="AT44" s="2">
        <v>30</v>
      </c>
    </row>
    <row r="45" spans="1:46" ht="15" customHeight="1">
      <c r="A45" t="s">
        <v>71</v>
      </c>
      <c r="B45" t="s">
        <v>86</v>
      </c>
      <c r="C45" s="11">
        <v>45589</v>
      </c>
      <c r="D45" s="32" t="s">
        <v>170</v>
      </c>
      <c r="E45" t="s">
        <v>160</v>
      </c>
      <c r="F45" s="22" t="s">
        <v>75</v>
      </c>
      <c r="G45" s="43" t="s">
        <v>86</v>
      </c>
      <c r="H45" s="33" t="s">
        <v>171</v>
      </c>
      <c r="I45" s="2">
        <f>IF(SUM(P45:AU45)=0,"-",SUM(P45:AU45))</f>
        <v>14133</v>
      </c>
      <c r="J45" s="3">
        <f t="shared" si="7"/>
        <v>1695.96</v>
      </c>
      <c r="K45" s="36" t="s">
        <v>77</v>
      </c>
      <c r="L45" s="37" t="s">
        <v>77</v>
      </c>
      <c r="M45" s="36" t="s">
        <v>81</v>
      </c>
      <c r="N45" s="36" t="s">
        <v>157</v>
      </c>
      <c r="O45" s="40" t="s">
        <v>158</v>
      </c>
      <c r="AS45" s="7">
        <v>14133</v>
      </c>
    </row>
    <row r="46" spans="1:46" ht="15" customHeight="1">
      <c r="A46" t="s">
        <v>71</v>
      </c>
      <c r="B46" t="s">
        <v>86</v>
      </c>
      <c r="C46" s="11">
        <v>45589</v>
      </c>
      <c r="D46" s="32" t="s">
        <v>172</v>
      </c>
      <c r="E46" t="s">
        <v>160</v>
      </c>
      <c r="F46" s="22" t="s">
        <v>75</v>
      </c>
      <c r="G46" s="43" t="s">
        <v>86</v>
      </c>
      <c r="H46" s="33" t="s">
        <v>173</v>
      </c>
      <c r="I46" s="2">
        <f t="shared" si="6"/>
        <v>20</v>
      </c>
      <c r="J46" s="3">
        <f t="shared" si="7"/>
        <v>600</v>
      </c>
      <c r="K46" s="36" t="s">
        <v>77</v>
      </c>
      <c r="L46" s="37" t="s">
        <v>77</v>
      </c>
      <c r="M46" s="36" t="s">
        <v>81</v>
      </c>
      <c r="N46" s="36" t="s">
        <v>174</v>
      </c>
      <c r="O46" s="40" t="s">
        <v>175</v>
      </c>
      <c r="Q46" s="2">
        <v>20</v>
      </c>
    </row>
    <row r="47" spans="1:46" ht="15" customHeight="1">
      <c r="A47" t="s">
        <v>71</v>
      </c>
      <c r="B47" t="s">
        <v>86</v>
      </c>
      <c r="C47" s="11">
        <v>45592</v>
      </c>
      <c r="D47" s="32" t="s">
        <v>176</v>
      </c>
      <c r="E47" t="s">
        <v>160</v>
      </c>
      <c r="F47" s="22" t="s">
        <v>75</v>
      </c>
      <c r="G47" s="43" t="s">
        <v>86</v>
      </c>
      <c r="H47" s="33" t="s">
        <v>177</v>
      </c>
      <c r="I47" s="2" t="str">
        <f t="shared" si="6"/>
        <v>-</v>
      </c>
      <c r="J47" s="3">
        <v>50</v>
      </c>
      <c r="K47" s="36" t="s">
        <v>77</v>
      </c>
      <c r="L47" s="37" t="s">
        <v>77</v>
      </c>
      <c r="M47" s="36" t="s">
        <v>81</v>
      </c>
      <c r="N47" s="36" t="s">
        <v>174</v>
      </c>
      <c r="O47" s="40" t="s">
        <v>175</v>
      </c>
    </row>
    <row r="48" spans="1:46" ht="15" customHeight="1">
      <c r="A48" t="s">
        <v>71</v>
      </c>
      <c r="B48" t="s">
        <v>86</v>
      </c>
      <c r="C48" s="11">
        <v>45630</v>
      </c>
      <c r="D48" s="32" t="s">
        <v>178</v>
      </c>
      <c r="E48" t="s">
        <v>88</v>
      </c>
      <c r="F48" s="22" t="s">
        <v>75</v>
      </c>
      <c r="G48" s="43" t="s">
        <v>86</v>
      </c>
      <c r="H48" s="33" t="s">
        <v>179</v>
      </c>
      <c r="I48" s="2">
        <f t="shared" si="6"/>
        <v>30</v>
      </c>
      <c r="J48" s="3">
        <f t="shared" ref="J47:J48" si="8">IF(SUMPRODUCT($P$5:$AU$5,P48:AU48)=0,"-",SUMPRODUCT($P$5:$AU$5,P48:AU48))</f>
        <v>1050</v>
      </c>
      <c r="K48" s="36" t="s">
        <v>77</v>
      </c>
      <c r="L48" s="37" t="s">
        <v>77</v>
      </c>
      <c r="M48" s="36" t="s">
        <v>81</v>
      </c>
      <c r="N48" s="36" t="s">
        <v>174</v>
      </c>
      <c r="O48" s="40" t="s">
        <v>175</v>
      </c>
      <c r="AE48" s="7">
        <v>30</v>
      </c>
    </row>
    <row r="49" spans="1:46" ht="15" customHeight="1">
      <c r="A49" t="s">
        <v>71</v>
      </c>
      <c r="B49" t="s">
        <v>86</v>
      </c>
      <c r="C49" s="11">
        <v>45638</v>
      </c>
      <c r="D49" s="32" t="s">
        <v>180</v>
      </c>
      <c r="E49" t="s">
        <v>88</v>
      </c>
      <c r="F49" s="22" t="s">
        <v>75</v>
      </c>
      <c r="G49" s="43" t="s">
        <v>86</v>
      </c>
      <c r="H49" s="33" t="s">
        <v>181</v>
      </c>
      <c r="I49" s="2" t="str">
        <f t="shared" si="6"/>
        <v>-</v>
      </c>
      <c r="J49" s="3">
        <v>250</v>
      </c>
      <c r="K49" s="36" t="s">
        <v>77</v>
      </c>
      <c r="L49" s="37" t="s">
        <v>77</v>
      </c>
      <c r="M49" s="36" t="s">
        <v>81</v>
      </c>
      <c r="N49" s="36" t="s">
        <v>174</v>
      </c>
      <c r="O49" s="40" t="s">
        <v>175</v>
      </c>
    </row>
    <row r="50" spans="1:46" ht="15" customHeight="1">
      <c r="A50" t="s">
        <v>71</v>
      </c>
      <c r="B50" t="s">
        <v>86</v>
      </c>
      <c r="C50" s="11">
        <v>45638</v>
      </c>
      <c r="D50" s="41" t="s">
        <v>182</v>
      </c>
      <c r="E50" t="s">
        <v>88</v>
      </c>
      <c r="F50" s="22" t="s">
        <v>75</v>
      </c>
      <c r="G50" s="43" t="s">
        <v>86</v>
      </c>
      <c r="H50" s="33" t="s">
        <v>183</v>
      </c>
      <c r="I50" s="2">
        <f t="shared" si="6"/>
        <v>150</v>
      </c>
      <c r="J50" s="3">
        <f>IF(SUMPRODUCT($P$5:$AU$5,P50:AU50)=0,"-",SUMPRODUCT($P$5:$AU$5,P50:AU50))</f>
        <v>37.5</v>
      </c>
      <c r="K50" s="36" t="s">
        <v>77</v>
      </c>
      <c r="L50" s="37" t="s">
        <v>77</v>
      </c>
      <c r="M50" s="36" t="s">
        <v>81</v>
      </c>
      <c r="N50" s="36" t="s">
        <v>174</v>
      </c>
      <c r="O50" s="40" t="s">
        <v>175</v>
      </c>
      <c r="AT50" s="2">
        <v>150</v>
      </c>
    </row>
    <row r="51" spans="1:46" ht="15" customHeight="1">
      <c r="A51" t="s">
        <v>71</v>
      </c>
      <c r="B51" t="s">
        <v>86</v>
      </c>
      <c r="C51" s="11">
        <v>45659</v>
      </c>
      <c r="D51" s="32" t="s">
        <v>184</v>
      </c>
      <c r="E51" t="s">
        <v>185</v>
      </c>
      <c r="F51" s="22" t="s">
        <v>75</v>
      </c>
      <c r="G51" s="43" t="s">
        <v>86</v>
      </c>
      <c r="H51" s="33" t="s">
        <v>186</v>
      </c>
      <c r="I51" s="2">
        <f t="shared" si="6"/>
        <v>268</v>
      </c>
      <c r="J51" s="45">
        <f>IF(SUMPRODUCT($P$5:$AU$5,P51:AU51)=0,"-",SUMPRODUCT($P$5:$AU$5,P51:AU51))/2.5</f>
        <v>3216</v>
      </c>
      <c r="K51" s="36" t="s">
        <v>77</v>
      </c>
      <c r="L51" s="37" t="s">
        <v>77</v>
      </c>
      <c r="M51" s="36" t="s">
        <v>81</v>
      </c>
      <c r="N51" s="36" t="s">
        <v>187</v>
      </c>
      <c r="O51" s="40" t="s">
        <v>188</v>
      </c>
      <c r="Y51" s="2">
        <v>268</v>
      </c>
    </row>
    <row r="52" spans="1:46" ht="15" customHeight="1">
      <c r="A52" t="s">
        <v>71</v>
      </c>
      <c r="B52" t="s">
        <v>86</v>
      </c>
      <c r="C52" s="11">
        <v>45667</v>
      </c>
      <c r="D52" s="32" t="s">
        <v>189</v>
      </c>
      <c r="E52" t="s">
        <v>185</v>
      </c>
      <c r="F52" s="22" t="s">
        <v>75</v>
      </c>
      <c r="G52" s="43" t="s">
        <v>86</v>
      </c>
      <c r="H52" s="33" t="s">
        <v>190</v>
      </c>
      <c r="I52" s="2">
        <f t="shared" si="6"/>
        <v>188</v>
      </c>
      <c r="J52" s="45">
        <f>IF(SUMPRODUCT($P$5:$AU$5,P52:AU52)=0,"-",SUMPRODUCT($P$5:$AU$5,P52:AU52))/2.5</f>
        <v>2256</v>
      </c>
      <c r="K52" s="36" t="s">
        <v>77</v>
      </c>
      <c r="L52" s="37" t="s">
        <v>77</v>
      </c>
      <c r="M52" s="36" t="s">
        <v>81</v>
      </c>
      <c r="N52" s="36" t="s">
        <v>187</v>
      </c>
      <c r="O52" s="40" t="s">
        <v>188</v>
      </c>
      <c r="Y52" s="2">
        <v>188</v>
      </c>
    </row>
    <row r="53" spans="1:46" ht="15" customHeight="1">
      <c r="A53" t="s">
        <v>71</v>
      </c>
      <c r="B53" t="s">
        <v>86</v>
      </c>
      <c r="C53" s="11">
        <v>45702</v>
      </c>
      <c r="D53" s="32" t="s">
        <v>191</v>
      </c>
      <c r="E53" t="s">
        <v>88</v>
      </c>
      <c r="F53" s="22" t="s">
        <v>75</v>
      </c>
      <c r="G53" s="43" t="s">
        <v>86</v>
      </c>
      <c r="H53" s="33" t="s">
        <v>192</v>
      </c>
      <c r="I53" s="2">
        <f t="shared" si="6"/>
        <v>2</v>
      </c>
      <c r="J53" s="3">
        <f t="shared" ref="J53:J55" si="9">IF(SUMPRODUCT($P$5:$AU$5,P53:AU53)=0,"-",SUMPRODUCT($P$5:$AU$5,P53:AU53))</f>
        <v>60</v>
      </c>
      <c r="K53" s="36" t="s">
        <v>77</v>
      </c>
      <c r="L53" s="37" t="s">
        <v>77</v>
      </c>
      <c r="M53" s="36" t="s">
        <v>81</v>
      </c>
      <c r="N53" s="36" t="s">
        <v>193</v>
      </c>
      <c r="O53" s="40" t="s">
        <v>194</v>
      </c>
      <c r="Q53" s="2">
        <v>2</v>
      </c>
    </row>
    <row r="54" spans="1:46" ht="15" customHeight="1">
      <c r="A54" t="s">
        <v>71</v>
      </c>
      <c r="B54" t="s">
        <v>86</v>
      </c>
      <c r="C54" s="11">
        <v>45698</v>
      </c>
      <c r="D54" s="32" t="s">
        <v>189</v>
      </c>
      <c r="E54" t="s">
        <v>185</v>
      </c>
      <c r="F54" s="22" t="s">
        <v>75</v>
      </c>
      <c r="G54" s="43" t="s">
        <v>86</v>
      </c>
      <c r="H54" s="33" t="s">
        <v>195</v>
      </c>
      <c r="I54" s="2">
        <f t="shared" si="6"/>
        <v>43</v>
      </c>
      <c r="J54" s="45">
        <f>IF(SUMPRODUCT($P$5:$AU$5,P54:AU54)=0,"-",SUMPRODUCT($P$5:$AU$5,P54:AU54))/2.5</f>
        <v>516</v>
      </c>
      <c r="K54" s="36" t="s">
        <v>77</v>
      </c>
      <c r="L54" s="37" t="s">
        <v>77</v>
      </c>
      <c r="M54" s="36" t="s">
        <v>81</v>
      </c>
      <c r="N54" s="36" t="s">
        <v>193</v>
      </c>
      <c r="O54" s="40" t="s">
        <v>194</v>
      </c>
      <c r="Y54" s="2">
        <v>43</v>
      </c>
    </row>
    <row r="55" spans="1:46" ht="15" customHeight="1">
      <c r="A55" t="s">
        <v>71</v>
      </c>
      <c r="B55" t="s">
        <v>86</v>
      </c>
      <c r="C55" s="11">
        <v>45724</v>
      </c>
      <c r="D55" s="32" t="s">
        <v>196</v>
      </c>
      <c r="E55" t="s">
        <v>197</v>
      </c>
      <c r="F55" s="22" t="s">
        <v>75</v>
      </c>
      <c r="G55" s="43" t="s">
        <v>86</v>
      </c>
      <c r="H55" s="33" t="s">
        <v>198</v>
      </c>
      <c r="I55" s="2">
        <f t="shared" si="6"/>
        <v>2720</v>
      </c>
      <c r="J55" s="45">
        <f t="shared" si="9"/>
        <v>326.39999999999998</v>
      </c>
      <c r="K55" s="36" t="s">
        <v>77</v>
      </c>
      <c r="L55" s="37" t="s">
        <v>77</v>
      </c>
      <c r="M55" s="36" t="s">
        <v>81</v>
      </c>
      <c r="N55" s="36" t="s">
        <v>199</v>
      </c>
      <c r="O55" s="40" t="s">
        <v>200</v>
      </c>
      <c r="AS55" s="7">
        <f>1355+1365</f>
        <v>2720</v>
      </c>
    </row>
    <row r="56" spans="1:46" ht="15" customHeight="1">
      <c r="A56" t="s">
        <v>71</v>
      </c>
      <c r="B56" t="s">
        <v>86</v>
      </c>
      <c r="C56" s="11">
        <v>45727</v>
      </c>
      <c r="D56" s="32" t="s">
        <v>201</v>
      </c>
      <c r="E56" t="s">
        <v>88</v>
      </c>
      <c r="F56" s="22" t="s">
        <v>75</v>
      </c>
      <c r="G56" s="43" t="s">
        <v>86</v>
      </c>
      <c r="H56" s="33" t="s">
        <v>202</v>
      </c>
      <c r="I56" s="2">
        <f t="shared" si="6"/>
        <v>128</v>
      </c>
      <c r="J56" s="45">
        <f>IF(SUMPRODUCT($P$5:$AU$5,P56:AU56)=0,"-",SUMPRODUCT($P$5:$AU$5,P56:AU56))/2.5</f>
        <v>1536</v>
      </c>
      <c r="K56" s="36" t="s">
        <v>77</v>
      </c>
      <c r="L56" s="37" t="s">
        <v>77</v>
      </c>
      <c r="M56" s="36" t="s">
        <v>81</v>
      </c>
      <c r="N56" s="36" t="s">
        <v>199</v>
      </c>
      <c r="O56" s="40" t="s">
        <v>200</v>
      </c>
      <c r="Y56" s="2">
        <v>128</v>
      </c>
    </row>
    <row r="57" spans="1:46" ht="15" customHeight="1">
      <c r="A57" t="s">
        <v>71</v>
      </c>
      <c r="B57" t="s">
        <v>86</v>
      </c>
      <c r="C57" s="11">
        <v>45802</v>
      </c>
      <c r="D57" s="32" t="s">
        <v>203</v>
      </c>
      <c r="E57" t="s">
        <v>88</v>
      </c>
      <c r="F57" s="22" t="s">
        <v>75</v>
      </c>
      <c r="G57" s="43" t="s">
        <v>86</v>
      </c>
      <c r="H57" s="33" t="s">
        <v>204</v>
      </c>
      <c r="I57" s="2">
        <f t="shared" si="6"/>
        <v>1</v>
      </c>
      <c r="J57" s="45">
        <f>IF(SUMPRODUCT($P$5:$AU$5,P57:AU57)=0,"-",SUMPRODUCT($P$5:$AU$5,P57:AU57))</f>
        <v>135</v>
      </c>
      <c r="K57" s="36" t="s">
        <v>77</v>
      </c>
      <c r="L57" s="37" t="s">
        <v>77</v>
      </c>
      <c r="M57" s="36" t="s">
        <v>81</v>
      </c>
      <c r="N57" s="36" t="s">
        <v>205</v>
      </c>
      <c r="O57" s="40" t="s">
        <v>206</v>
      </c>
      <c r="P57" s="7">
        <v>1</v>
      </c>
    </row>
    <row r="58" spans="1:46" ht="15" customHeight="1">
      <c r="A58" t="s">
        <v>71</v>
      </c>
      <c r="B58" t="s">
        <v>86</v>
      </c>
      <c r="C58" s="11">
        <v>45811</v>
      </c>
      <c r="D58" s="32" t="s">
        <v>207</v>
      </c>
      <c r="E58" t="s">
        <v>88</v>
      </c>
      <c r="F58" s="22" t="s">
        <v>75</v>
      </c>
      <c r="G58" s="43" t="s">
        <v>86</v>
      </c>
      <c r="H58" s="33" t="s">
        <v>208</v>
      </c>
      <c r="I58" s="2">
        <f t="shared" ref="I58" si="10">IF(SUM(P58:AU58)=0,"-",SUM(P58:AU58))</f>
        <v>79</v>
      </c>
      <c r="J58" s="45">
        <f>IF(SUMPRODUCT($P$5:$AU$5,P58:AU58)=0,"-",SUMPRODUCT($P$5:$AU$5,P58:AU58))</f>
        <v>2370</v>
      </c>
      <c r="K58" s="36" t="s">
        <v>77</v>
      </c>
      <c r="L58" s="37" t="s">
        <v>77</v>
      </c>
      <c r="M58" s="36" t="s">
        <v>81</v>
      </c>
      <c r="N58" s="36" t="s">
        <v>205</v>
      </c>
      <c r="O58" s="40" t="s">
        <v>206</v>
      </c>
      <c r="Y58" s="2">
        <v>79</v>
      </c>
    </row>
    <row r="59" spans="1:46" ht="15" customHeight="1">
      <c r="A59" t="s">
        <v>71</v>
      </c>
      <c r="B59" t="s">
        <v>86</v>
      </c>
      <c r="C59" s="11">
        <v>45997</v>
      </c>
      <c r="D59" s="32" t="s">
        <v>209</v>
      </c>
      <c r="E59" t="s">
        <v>88</v>
      </c>
      <c r="F59" s="22" t="s">
        <v>75</v>
      </c>
      <c r="G59" s="43" t="s">
        <v>86</v>
      </c>
      <c r="H59" s="33" t="s">
        <v>210</v>
      </c>
      <c r="I59" s="2">
        <f t="shared" ref="I59:I67" si="11">IF(SUM(P59:AU59)=0,"-",SUM(P59:AU59))</f>
        <v>1343</v>
      </c>
      <c r="J59" s="45">
        <f>IF(SUMPRODUCT($P$5:$AU$5,P59:AU59)=0,"-",SUMPRODUCT($P$5:$AU$5,P59:AU59))</f>
        <v>610.79999999999995</v>
      </c>
      <c r="K59" s="36" t="s">
        <v>77</v>
      </c>
      <c r="L59" s="37" t="s">
        <v>77</v>
      </c>
      <c r="M59" s="36" t="s">
        <v>81</v>
      </c>
      <c r="N59" s="36" t="s">
        <v>211</v>
      </c>
      <c r="O59" s="40" t="s">
        <v>212</v>
      </c>
      <c r="AK59" s="2">
        <v>3</v>
      </c>
      <c r="AS59" s="7">
        <v>1340</v>
      </c>
    </row>
    <row r="60" spans="1:46" ht="15" customHeight="1">
      <c r="A60" t="s">
        <v>71</v>
      </c>
      <c r="B60" t="s">
        <v>86</v>
      </c>
      <c r="C60" s="11">
        <v>45824</v>
      </c>
      <c r="D60" s="32" t="s">
        <v>213</v>
      </c>
      <c r="E60" t="s">
        <v>88</v>
      </c>
      <c r="F60" s="22" t="s">
        <v>75</v>
      </c>
      <c r="G60" s="43" t="s">
        <v>86</v>
      </c>
      <c r="H60" s="33" t="s">
        <v>214</v>
      </c>
      <c r="I60" s="2">
        <f t="shared" si="11"/>
        <v>72</v>
      </c>
      <c r="J60" s="45">
        <f>IF(SUMPRODUCT($P$5:$AU$5,P60:AU60)=0,"-",SUMPRODUCT($P$5:$AU$5,P60:AU60))</f>
        <v>2160</v>
      </c>
      <c r="K60" s="36" t="s">
        <v>77</v>
      </c>
      <c r="L60" s="37" t="s">
        <v>77</v>
      </c>
      <c r="M60" s="36" t="s">
        <v>81</v>
      </c>
      <c r="N60" s="36" t="s">
        <v>205</v>
      </c>
      <c r="O60" s="40" t="s">
        <v>206</v>
      </c>
      <c r="Y60" s="2">
        <v>72</v>
      </c>
    </row>
    <row r="61" spans="1:46" ht="15" customHeight="1">
      <c r="A61" t="s">
        <v>71</v>
      </c>
      <c r="B61" t="s">
        <v>86</v>
      </c>
      <c r="C61" s="11">
        <v>45831</v>
      </c>
      <c r="D61" s="32" t="s">
        <v>215</v>
      </c>
      <c r="E61" t="s">
        <v>88</v>
      </c>
      <c r="F61" s="22" t="s">
        <v>75</v>
      </c>
      <c r="G61" s="43" t="s">
        <v>86</v>
      </c>
      <c r="H61" s="33" t="s">
        <v>216</v>
      </c>
      <c r="I61" s="2">
        <f t="shared" si="11"/>
        <v>4</v>
      </c>
      <c r="J61" s="45">
        <f t="shared" ref="J61:J66" si="12">IF(SUMPRODUCT($P$5:$AU$5,P61:AU61)=0,"-",SUMPRODUCT($P$5:$AU$5,P61:AU61))</f>
        <v>120</v>
      </c>
      <c r="K61" s="36" t="s">
        <v>77</v>
      </c>
      <c r="L61" s="37" t="s">
        <v>77</v>
      </c>
      <c r="M61" s="36" t="s">
        <v>81</v>
      </c>
      <c r="N61" s="36" t="s">
        <v>205</v>
      </c>
      <c r="O61" s="40" t="s">
        <v>206</v>
      </c>
      <c r="Q61" s="2">
        <v>4</v>
      </c>
    </row>
    <row r="62" spans="1:46" ht="15" customHeight="1">
      <c r="A62" t="s">
        <v>71</v>
      </c>
      <c r="B62" t="s">
        <v>86</v>
      </c>
      <c r="C62" s="11">
        <v>45831</v>
      </c>
      <c r="D62" s="32" t="s">
        <v>217</v>
      </c>
      <c r="E62" t="s">
        <v>185</v>
      </c>
      <c r="F62" s="22" t="s">
        <v>75</v>
      </c>
      <c r="G62" s="43" t="s">
        <v>86</v>
      </c>
      <c r="I62" s="2">
        <f t="shared" si="11"/>
        <v>30</v>
      </c>
      <c r="J62" s="45">
        <f t="shared" si="12"/>
        <v>7.5</v>
      </c>
      <c r="K62" s="36" t="s">
        <v>77</v>
      </c>
      <c r="L62" s="37" t="s">
        <v>77</v>
      </c>
      <c r="M62" s="36" t="s">
        <v>81</v>
      </c>
      <c r="N62" s="36" t="s">
        <v>205</v>
      </c>
      <c r="O62" s="40" t="s">
        <v>206</v>
      </c>
      <c r="AT62" s="2">
        <v>30</v>
      </c>
    </row>
    <row r="63" spans="1:46" ht="15" customHeight="1">
      <c r="A63" t="s">
        <v>71</v>
      </c>
      <c r="B63" t="s">
        <v>86</v>
      </c>
      <c r="C63" s="11">
        <v>45825</v>
      </c>
      <c r="D63" s="32" t="s">
        <v>218</v>
      </c>
      <c r="E63" t="s">
        <v>88</v>
      </c>
      <c r="F63" s="22" t="s">
        <v>75</v>
      </c>
      <c r="G63" s="43" t="s">
        <v>86</v>
      </c>
      <c r="I63" s="2">
        <f t="shared" si="11"/>
        <v>20</v>
      </c>
      <c r="J63" s="45">
        <f t="shared" si="12"/>
        <v>5</v>
      </c>
      <c r="K63" s="36" t="s">
        <v>77</v>
      </c>
      <c r="L63" s="37" t="s">
        <v>77</v>
      </c>
      <c r="M63" s="36" t="s">
        <v>81</v>
      </c>
      <c r="N63" s="36" t="s">
        <v>205</v>
      </c>
      <c r="O63" s="40" t="s">
        <v>206</v>
      </c>
      <c r="AT63" s="2">
        <v>20</v>
      </c>
    </row>
    <row r="64" spans="1:46" ht="15" customHeight="1">
      <c r="A64" t="s">
        <v>71</v>
      </c>
      <c r="B64" t="s">
        <v>86</v>
      </c>
      <c r="C64" s="11">
        <v>45835</v>
      </c>
      <c r="D64" s="32" t="s">
        <v>219</v>
      </c>
      <c r="E64" t="s">
        <v>88</v>
      </c>
      <c r="F64" s="22" t="s">
        <v>75</v>
      </c>
      <c r="G64" s="43" t="s">
        <v>86</v>
      </c>
      <c r="H64" s="33" t="s">
        <v>220</v>
      </c>
      <c r="I64" s="2">
        <f t="shared" si="11"/>
        <v>1</v>
      </c>
      <c r="J64" s="45">
        <f t="shared" si="12"/>
        <v>30</v>
      </c>
      <c r="K64" s="36" t="s">
        <v>77</v>
      </c>
      <c r="L64" s="37" t="s">
        <v>77</v>
      </c>
      <c r="M64" s="36" t="s">
        <v>81</v>
      </c>
      <c r="N64" s="36" t="s">
        <v>211</v>
      </c>
      <c r="O64" s="40" t="s">
        <v>212</v>
      </c>
      <c r="Q64" s="2">
        <v>1</v>
      </c>
    </row>
    <row r="65" spans="1:45" ht="15" customHeight="1">
      <c r="A65" t="s">
        <v>71</v>
      </c>
      <c r="B65" t="s">
        <v>86</v>
      </c>
      <c r="C65" s="11">
        <v>45847</v>
      </c>
      <c r="D65" s="32" t="s">
        <v>221</v>
      </c>
      <c r="E65" t="s">
        <v>88</v>
      </c>
      <c r="F65" s="22" t="s">
        <v>75</v>
      </c>
      <c r="G65" s="43" t="s">
        <v>86</v>
      </c>
      <c r="H65" s="33" t="s">
        <v>222</v>
      </c>
      <c r="I65" s="2">
        <f t="shared" si="11"/>
        <v>1083</v>
      </c>
      <c r="J65" s="45">
        <f t="shared" si="12"/>
        <v>579.6</v>
      </c>
      <c r="K65" s="54"/>
      <c r="L65" s="55"/>
      <c r="M65" s="54" t="s">
        <v>223</v>
      </c>
      <c r="N65" s="54" t="s">
        <v>224</v>
      </c>
      <c r="O65" s="57" t="s">
        <v>225</v>
      </c>
      <c r="AK65" s="2">
        <v>3</v>
      </c>
      <c r="AS65" s="7">
        <v>1080</v>
      </c>
    </row>
    <row r="66" spans="1:45" ht="15" customHeight="1">
      <c r="A66" t="s">
        <v>71</v>
      </c>
      <c r="B66" t="s">
        <v>86</v>
      </c>
      <c r="C66" s="11">
        <v>45854</v>
      </c>
      <c r="D66" s="32" t="s">
        <v>226</v>
      </c>
      <c r="E66" t="s">
        <v>185</v>
      </c>
      <c r="F66" s="22" t="s">
        <v>75</v>
      </c>
      <c r="G66" s="43" t="s">
        <v>86</v>
      </c>
      <c r="H66" s="33" t="s">
        <v>227</v>
      </c>
      <c r="I66" s="2">
        <f t="shared" si="11"/>
        <v>2</v>
      </c>
      <c r="J66" s="45">
        <f t="shared" si="12"/>
        <v>210</v>
      </c>
      <c r="K66" s="36" t="s">
        <v>77</v>
      </c>
      <c r="L66" s="37" t="s">
        <v>77</v>
      </c>
      <c r="M66" s="36" t="s">
        <v>81</v>
      </c>
      <c r="N66" s="36" t="s">
        <v>211</v>
      </c>
      <c r="O66" s="40" t="s">
        <v>212</v>
      </c>
      <c r="Y66" s="2">
        <v>1</v>
      </c>
      <c r="Z66" s="2">
        <v>1</v>
      </c>
    </row>
    <row r="67" spans="1:45" ht="15" customHeight="1">
      <c r="A67" t="s">
        <v>71</v>
      </c>
      <c r="B67" t="s">
        <v>86</v>
      </c>
      <c r="C67" s="11">
        <v>45856</v>
      </c>
      <c r="D67" s="32" t="s">
        <v>228</v>
      </c>
      <c r="E67" t="s">
        <v>88</v>
      </c>
      <c r="F67" s="22" t="s">
        <v>75</v>
      </c>
      <c r="G67" s="43" t="s">
        <v>86</v>
      </c>
      <c r="H67" s="33" t="s">
        <v>229</v>
      </c>
      <c r="I67" s="2">
        <f t="shared" ref="I67:I68" si="13">IF(SUM(P67:AU67)=0,"-",SUM(P67:AU67))</f>
        <v>4</v>
      </c>
      <c r="J67" s="45">
        <f t="shared" ref="J67:J68" si="14">IF(SUMPRODUCT($P$5:$AU$5,P67:AU67)=0,"-",SUMPRODUCT($P$5:$AU$5,P67:AU67))</f>
        <v>330</v>
      </c>
      <c r="K67" s="36" t="s">
        <v>77</v>
      </c>
      <c r="L67" s="37" t="s">
        <v>77</v>
      </c>
      <c r="M67" s="36" t="s">
        <v>81</v>
      </c>
      <c r="N67" s="36" t="s">
        <v>211</v>
      </c>
      <c r="O67" s="40" t="s">
        <v>212</v>
      </c>
      <c r="P67" s="7">
        <v>2</v>
      </c>
      <c r="Q67" s="2">
        <v>2</v>
      </c>
    </row>
    <row r="68" spans="1:45" ht="15" customHeight="1">
      <c r="A68" t="s">
        <v>71</v>
      </c>
      <c r="B68" t="s">
        <v>86</v>
      </c>
      <c r="C68" s="11">
        <v>45863</v>
      </c>
      <c r="D68" s="32" t="s">
        <v>230</v>
      </c>
      <c r="E68" t="s">
        <v>185</v>
      </c>
      <c r="F68" s="22" t="s">
        <v>75</v>
      </c>
      <c r="G68" s="43" t="s">
        <v>86</v>
      </c>
      <c r="H68" s="33" t="s">
        <v>231</v>
      </c>
      <c r="I68" s="2">
        <f t="shared" si="13"/>
        <v>67</v>
      </c>
      <c r="J68" s="45">
        <f>IF(SUMPRODUCT($P$5:$AU$5,P68:AU68)=0,"-",SUMPRODUCT($P$5:$AU$5,P68:AU68))/2.5</f>
        <v>804</v>
      </c>
      <c r="K68" s="54"/>
      <c r="L68" s="55"/>
      <c r="M68" s="54" t="s">
        <v>223</v>
      </c>
      <c r="N68" s="54" t="s">
        <v>224</v>
      </c>
      <c r="O68" s="57" t="s">
        <v>225</v>
      </c>
      <c r="Y68" s="2">
        <v>67</v>
      </c>
    </row>
    <row r="69" spans="1:45" ht="15" customHeight="1">
      <c r="A69" t="s">
        <v>71</v>
      </c>
      <c r="B69" t="s">
        <v>86</v>
      </c>
      <c r="C69" s="11">
        <v>45868</v>
      </c>
      <c r="D69" s="32" t="s">
        <v>232</v>
      </c>
      <c r="E69" t="s">
        <v>88</v>
      </c>
      <c r="F69" s="22" t="s">
        <v>75</v>
      </c>
      <c r="G69" s="43" t="s">
        <v>86</v>
      </c>
      <c r="H69" s="33" t="s">
        <v>233</v>
      </c>
      <c r="I69" s="2">
        <f t="shared" ref="I69" si="15">IF(SUM(P69:AU69)=0,"-",SUM(P69:AU69))</f>
        <v>48000</v>
      </c>
      <c r="J69" s="45">
        <f t="shared" ref="J69" si="16">IF(SUMPRODUCT($P$5:$AU$5,P69:AU69)=0,"-",SUMPRODUCT($P$5:$AU$5,P69:AU69))</f>
        <v>5760</v>
      </c>
      <c r="K69" s="54"/>
      <c r="L69" s="55"/>
      <c r="M69" s="54" t="s">
        <v>223</v>
      </c>
      <c r="N69" s="54" t="s">
        <v>224</v>
      </c>
      <c r="O69" s="57" t="s">
        <v>225</v>
      </c>
      <c r="AS69" s="7">
        <f>33000+15000</f>
        <v>48000</v>
      </c>
    </row>
    <row r="70" spans="1:45" ht="15" customHeight="1">
      <c r="A70" t="s">
        <v>71</v>
      </c>
      <c r="B70" t="s">
        <v>86</v>
      </c>
      <c r="C70" s="11">
        <v>45880</v>
      </c>
      <c r="D70" s="32" t="s">
        <v>234</v>
      </c>
      <c r="E70" t="s">
        <v>88</v>
      </c>
      <c r="F70" s="22" t="s">
        <v>75</v>
      </c>
      <c r="G70" s="43" t="s">
        <v>86</v>
      </c>
      <c r="H70" s="33" t="s">
        <v>235</v>
      </c>
      <c r="I70" s="2">
        <f t="shared" ref="I70:J78" si="17">IF(SUM(P70:AU70)=0,"-",SUM(P70:AU70))</f>
        <v>1</v>
      </c>
      <c r="J70" s="45">
        <f t="shared" ref="J70:J78" si="18">IF(SUMPRODUCT($P$5:$AU$5,P70:AU70)=0,"-",SUMPRODUCT($P$5:$AU$5,P70:AU70))</f>
        <v>30</v>
      </c>
      <c r="K70" s="54"/>
      <c r="L70" s="55"/>
      <c r="M70" s="54" t="s">
        <v>223</v>
      </c>
      <c r="N70" s="54" t="s">
        <v>224</v>
      </c>
      <c r="O70" s="57" t="s">
        <v>225</v>
      </c>
      <c r="Q70" s="2">
        <v>1</v>
      </c>
    </row>
    <row r="71" spans="1:45" ht="15" customHeight="1">
      <c r="A71" t="s">
        <v>71</v>
      </c>
      <c r="B71" t="s">
        <v>86</v>
      </c>
      <c r="C71" s="11">
        <v>45882</v>
      </c>
      <c r="D71" s="32" t="s">
        <v>236</v>
      </c>
      <c r="E71" t="s">
        <v>185</v>
      </c>
      <c r="F71" s="22" t="s">
        <v>75</v>
      </c>
      <c r="G71" s="43" t="s">
        <v>86</v>
      </c>
      <c r="H71" s="33" t="s">
        <v>237</v>
      </c>
      <c r="I71" s="2">
        <f t="shared" si="17"/>
        <v>4</v>
      </c>
      <c r="J71" s="45">
        <f t="shared" si="18"/>
        <v>120</v>
      </c>
      <c r="K71" s="54"/>
      <c r="L71" s="55"/>
      <c r="M71" s="54" t="s">
        <v>223</v>
      </c>
      <c r="N71" s="54" t="s">
        <v>224</v>
      </c>
      <c r="O71" s="57" t="s">
        <v>225</v>
      </c>
      <c r="Q71" s="2">
        <v>4</v>
      </c>
    </row>
    <row r="72" spans="1:45" ht="15" customHeight="1">
      <c r="A72" t="s">
        <v>71</v>
      </c>
      <c r="B72" t="s">
        <v>86</v>
      </c>
      <c r="C72" s="11">
        <v>45886</v>
      </c>
      <c r="D72" s="32" t="s">
        <v>238</v>
      </c>
      <c r="E72" t="s">
        <v>88</v>
      </c>
      <c r="F72" s="22" t="s">
        <v>75</v>
      </c>
      <c r="G72" s="43" t="s">
        <v>86</v>
      </c>
      <c r="J72" s="3">
        <v>50000</v>
      </c>
      <c r="K72" s="54"/>
      <c r="L72" s="55"/>
      <c r="M72" s="54" t="s">
        <v>81</v>
      </c>
      <c r="N72" s="54" t="s">
        <v>239</v>
      </c>
      <c r="O72" s="57" t="s">
        <v>240</v>
      </c>
    </row>
    <row r="73" spans="1:45" ht="15" customHeight="1">
      <c r="A73" t="s">
        <v>71</v>
      </c>
      <c r="B73" t="s">
        <v>86</v>
      </c>
      <c r="C73" s="11">
        <v>45886</v>
      </c>
      <c r="D73" s="32" t="s">
        <v>241</v>
      </c>
      <c r="E73" t="s">
        <v>88</v>
      </c>
      <c r="F73" s="22" t="s">
        <v>75</v>
      </c>
      <c r="G73" s="43" t="s">
        <v>86</v>
      </c>
      <c r="J73" s="3">
        <v>25000</v>
      </c>
      <c r="K73" s="54"/>
      <c r="L73" s="55"/>
      <c r="M73" s="54" t="s">
        <v>223</v>
      </c>
      <c r="N73" s="54" t="s">
        <v>242</v>
      </c>
      <c r="O73" s="57" t="s">
        <v>243</v>
      </c>
    </row>
    <row r="74" spans="1:45" ht="15" customHeight="1">
      <c r="A74" t="s">
        <v>71</v>
      </c>
      <c r="B74" t="s">
        <v>86</v>
      </c>
      <c r="C74" s="11">
        <v>45897</v>
      </c>
      <c r="D74" s="32" t="s">
        <v>244</v>
      </c>
      <c r="E74" t="s">
        <v>185</v>
      </c>
      <c r="F74" s="22" t="s">
        <v>75</v>
      </c>
      <c r="G74" s="2" t="s">
        <v>86</v>
      </c>
      <c r="H74" s="33" t="s">
        <v>245</v>
      </c>
      <c r="I74" s="2">
        <f t="shared" si="17"/>
        <v>1</v>
      </c>
      <c r="J74" s="45">
        <f t="shared" si="18"/>
        <v>135</v>
      </c>
      <c r="K74" s="36" t="s">
        <v>246</v>
      </c>
      <c r="L74" s="36"/>
      <c r="M74" s="36" t="s">
        <v>77</v>
      </c>
      <c r="N74" s="36" t="s">
        <v>77</v>
      </c>
      <c r="O74" s="47" t="s">
        <v>77</v>
      </c>
      <c r="X74" s="7">
        <v>1</v>
      </c>
    </row>
    <row r="75" spans="1:45" ht="15" customHeight="1">
      <c r="A75" t="s">
        <v>71</v>
      </c>
      <c r="B75" t="s">
        <v>86</v>
      </c>
      <c r="C75" s="11">
        <v>45903</v>
      </c>
      <c r="D75" s="32" t="s">
        <v>247</v>
      </c>
      <c r="E75" t="s">
        <v>88</v>
      </c>
      <c r="F75" s="22" t="s">
        <v>75</v>
      </c>
      <c r="G75" s="2" t="s">
        <v>86</v>
      </c>
      <c r="H75" s="33" t="s">
        <v>248</v>
      </c>
      <c r="I75" s="2">
        <f t="shared" si="17"/>
        <v>1</v>
      </c>
      <c r="J75" s="45">
        <f t="shared" si="18"/>
        <v>30</v>
      </c>
      <c r="K75" s="36" t="s">
        <v>246</v>
      </c>
      <c r="L75" s="36"/>
      <c r="M75" s="36" t="s">
        <v>77</v>
      </c>
      <c r="N75" s="36" t="s">
        <v>77</v>
      </c>
      <c r="O75" s="47" t="s">
        <v>77</v>
      </c>
      <c r="Q75" s="2">
        <v>1</v>
      </c>
    </row>
    <row r="76" spans="1:45" ht="15" customHeight="1">
      <c r="A76" t="s">
        <v>71</v>
      </c>
      <c r="B76" t="s">
        <v>86</v>
      </c>
      <c r="C76" s="11">
        <v>45904</v>
      </c>
      <c r="D76" s="32" t="s">
        <v>249</v>
      </c>
      <c r="E76" t="s">
        <v>88</v>
      </c>
      <c r="F76" s="22" t="s">
        <v>75</v>
      </c>
      <c r="G76" s="2" t="s">
        <v>86</v>
      </c>
      <c r="H76" s="33" t="s">
        <v>250</v>
      </c>
      <c r="I76" s="2">
        <f t="shared" si="17"/>
        <v>1</v>
      </c>
      <c r="J76" s="45">
        <f t="shared" si="18"/>
        <v>30</v>
      </c>
      <c r="K76" s="36" t="s">
        <v>246</v>
      </c>
      <c r="L76" s="36"/>
      <c r="M76" s="36" t="s">
        <v>77</v>
      </c>
      <c r="N76" s="36" t="s">
        <v>77</v>
      </c>
      <c r="O76" s="47" t="s">
        <v>77</v>
      </c>
      <c r="Q76" s="2">
        <v>1</v>
      </c>
    </row>
    <row r="77" spans="1:45" ht="15" customHeight="1">
      <c r="A77" t="s">
        <v>71</v>
      </c>
      <c r="B77" t="s">
        <v>86</v>
      </c>
      <c r="C77" s="11">
        <v>45908</v>
      </c>
      <c r="D77" s="32" t="s">
        <v>251</v>
      </c>
      <c r="E77" t="s">
        <v>88</v>
      </c>
      <c r="F77" s="22" t="s">
        <v>75</v>
      </c>
      <c r="G77" s="2" t="s">
        <v>86</v>
      </c>
      <c r="I77" s="2">
        <f t="shared" si="17"/>
        <v>30</v>
      </c>
      <c r="J77" s="45">
        <f t="shared" si="18"/>
        <v>900</v>
      </c>
      <c r="K77" s="36" t="s">
        <v>246</v>
      </c>
      <c r="L77" s="36"/>
      <c r="M77" s="36" t="s">
        <v>77</v>
      </c>
      <c r="N77" s="36" t="s">
        <v>77</v>
      </c>
      <c r="O77" s="47" t="s">
        <v>77</v>
      </c>
      <c r="Y77" s="2">
        <v>30</v>
      </c>
    </row>
    <row r="78" spans="1:45" ht="15" customHeight="1">
      <c r="A78" t="s">
        <v>71</v>
      </c>
      <c r="B78" t="s">
        <v>86</v>
      </c>
      <c r="C78" s="11">
        <v>45908</v>
      </c>
      <c r="D78" s="32" t="s">
        <v>252</v>
      </c>
      <c r="E78" t="s">
        <v>88</v>
      </c>
      <c r="F78" s="22" t="s">
        <v>75</v>
      </c>
      <c r="G78" s="2" t="s">
        <v>86</v>
      </c>
      <c r="H78" s="33" t="s">
        <v>253</v>
      </c>
      <c r="I78" s="2">
        <f t="shared" si="17"/>
        <v>23</v>
      </c>
      <c r="J78" s="45">
        <f t="shared" si="18"/>
        <v>690</v>
      </c>
      <c r="K78" s="36" t="s">
        <v>246</v>
      </c>
      <c r="L78" s="36"/>
      <c r="M78" s="36" t="s">
        <v>77</v>
      </c>
      <c r="N78" s="36" t="s">
        <v>77</v>
      </c>
      <c r="O78" s="47" t="s">
        <v>77</v>
      </c>
      <c r="Y78" s="2">
        <v>23</v>
      </c>
    </row>
    <row r="79" spans="1:45" ht="15" customHeight="1">
      <c r="A79" t="s">
        <v>71</v>
      </c>
      <c r="B79" t="s">
        <v>86</v>
      </c>
      <c r="C79" s="11">
        <v>45912</v>
      </c>
      <c r="D79" s="32" t="s">
        <v>254</v>
      </c>
      <c r="E79" t="s">
        <v>88</v>
      </c>
      <c r="F79" s="22" t="s">
        <v>75</v>
      </c>
      <c r="G79" s="2" t="s">
        <v>86</v>
      </c>
      <c r="H79" s="33" t="s">
        <v>255</v>
      </c>
      <c r="I79" s="2">
        <f t="shared" ref="I79:I82" si="19">IF(SUM(P79:AU79)=0,"-",SUM(P79:AU79))</f>
        <v>6</v>
      </c>
      <c r="J79" s="45">
        <f t="shared" ref="J79:J82" si="20">IF(SUMPRODUCT($P$5:$AU$5,P79:AU79)=0,"-",SUMPRODUCT($P$5:$AU$5,P79:AU79))</f>
        <v>180</v>
      </c>
      <c r="K79" s="36" t="s">
        <v>246</v>
      </c>
      <c r="L79" s="36"/>
      <c r="M79" s="36" t="s">
        <v>77</v>
      </c>
      <c r="N79" s="36" t="s">
        <v>77</v>
      </c>
      <c r="O79" s="47" t="s">
        <v>77</v>
      </c>
      <c r="Q79" s="2">
        <v>6</v>
      </c>
    </row>
    <row r="80" spans="1:45" ht="15" customHeight="1">
      <c r="A80" t="s">
        <v>71</v>
      </c>
      <c r="B80" t="s">
        <v>86</v>
      </c>
      <c r="C80" s="11">
        <v>45908</v>
      </c>
      <c r="D80" s="32" t="s">
        <v>256</v>
      </c>
      <c r="E80" t="s">
        <v>88</v>
      </c>
      <c r="F80" s="22" t="s">
        <v>75</v>
      </c>
      <c r="G80" s="2" t="s">
        <v>86</v>
      </c>
      <c r="I80" s="2">
        <f t="shared" si="19"/>
        <v>52</v>
      </c>
      <c r="J80" s="45">
        <f t="shared" si="20"/>
        <v>1560</v>
      </c>
      <c r="K80" s="36" t="s">
        <v>246</v>
      </c>
      <c r="L80" s="36"/>
      <c r="M80" s="36" t="s">
        <v>77</v>
      </c>
      <c r="N80" s="36" t="s">
        <v>77</v>
      </c>
      <c r="O80" s="47" t="s">
        <v>77</v>
      </c>
      <c r="Y80" s="2">
        <v>52</v>
      </c>
    </row>
    <row r="81" spans="1:45" ht="15" customHeight="1">
      <c r="A81" t="s">
        <v>71</v>
      </c>
      <c r="B81" t="s">
        <v>86</v>
      </c>
      <c r="C81" s="11">
        <v>45919</v>
      </c>
      <c r="D81" s="32" t="s">
        <v>257</v>
      </c>
      <c r="E81" t="s">
        <v>88</v>
      </c>
      <c r="F81" s="22" t="s">
        <v>75</v>
      </c>
      <c r="G81" s="2" t="s">
        <v>86</v>
      </c>
      <c r="I81" s="2">
        <f t="shared" si="19"/>
        <v>1</v>
      </c>
      <c r="J81" s="45">
        <f t="shared" si="20"/>
        <v>30</v>
      </c>
      <c r="K81" s="36" t="s">
        <v>246</v>
      </c>
      <c r="L81" s="36"/>
      <c r="M81" s="36" t="s">
        <v>77</v>
      </c>
      <c r="N81" s="36" t="s">
        <v>77</v>
      </c>
      <c r="O81" s="47" t="s">
        <v>77</v>
      </c>
      <c r="Q81" s="2">
        <v>1</v>
      </c>
    </row>
    <row r="82" spans="1:45" ht="15" customHeight="1">
      <c r="A82" t="s">
        <v>71</v>
      </c>
      <c r="B82" t="s">
        <v>86</v>
      </c>
      <c r="C82" s="11">
        <v>45925</v>
      </c>
      <c r="D82" s="32" t="s">
        <v>258</v>
      </c>
      <c r="E82" t="s">
        <v>88</v>
      </c>
      <c r="F82" s="22" t="s">
        <v>75</v>
      </c>
      <c r="G82" s="2" t="s">
        <v>86</v>
      </c>
      <c r="H82" s="33" t="s">
        <v>259</v>
      </c>
      <c r="I82" s="2">
        <f t="shared" si="19"/>
        <v>6</v>
      </c>
      <c r="J82" s="45">
        <f t="shared" si="20"/>
        <v>285</v>
      </c>
      <c r="K82" s="36" t="s">
        <v>246</v>
      </c>
      <c r="L82" s="36"/>
      <c r="M82" s="36" t="s">
        <v>77</v>
      </c>
      <c r="N82" s="36" t="s">
        <v>77</v>
      </c>
      <c r="O82" s="47" t="s">
        <v>77</v>
      </c>
      <c r="P82" s="7">
        <v>1</v>
      </c>
      <c r="Q82" s="2">
        <v>5</v>
      </c>
    </row>
    <row r="83" spans="1:45" ht="15" customHeight="1">
      <c r="A83" t="s">
        <v>71</v>
      </c>
      <c r="B83" t="s">
        <v>86</v>
      </c>
      <c r="C83" s="11">
        <v>45925</v>
      </c>
      <c r="D83" s="32" t="s">
        <v>260</v>
      </c>
      <c r="E83" t="s">
        <v>88</v>
      </c>
      <c r="F83" s="22" t="s">
        <v>75</v>
      </c>
      <c r="G83" s="2" t="s">
        <v>86</v>
      </c>
      <c r="H83" s="33" t="s">
        <v>261</v>
      </c>
      <c r="I83" s="2">
        <f t="shared" ref="I83:I86" si="21">IF(SUM(P83:AU83)=0,"-",SUM(P83:AU83))</f>
        <v>73</v>
      </c>
      <c r="J83" s="45">
        <f t="shared" ref="J83:J86" si="22">IF(SUMPRODUCT($P$5:$AU$5,P83:AU83)=0,"-",SUMPRODUCT($P$5:$AU$5,P83:AU83))</f>
        <v>2190</v>
      </c>
      <c r="K83" s="36" t="s">
        <v>246</v>
      </c>
      <c r="L83" s="36"/>
      <c r="M83" s="36" t="s">
        <v>77</v>
      </c>
      <c r="N83" s="36" t="s">
        <v>77</v>
      </c>
      <c r="O83" s="47" t="s">
        <v>77</v>
      </c>
      <c r="Y83" s="2">
        <v>73</v>
      </c>
    </row>
    <row r="84" spans="1:45" ht="15" customHeight="1">
      <c r="A84" t="s">
        <v>71</v>
      </c>
      <c r="B84" t="s">
        <v>86</v>
      </c>
      <c r="C84" s="11">
        <v>45930</v>
      </c>
      <c r="D84" s="32" t="s">
        <v>262</v>
      </c>
      <c r="E84" t="s">
        <v>88</v>
      </c>
      <c r="F84" s="22" t="s">
        <v>75</v>
      </c>
      <c r="G84" s="2" t="s">
        <v>86</v>
      </c>
      <c r="H84" s="33" t="s">
        <v>263</v>
      </c>
      <c r="I84" s="2">
        <f t="shared" si="21"/>
        <v>82</v>
      </c>
      <c r="J84" s="45">
        <f t="shared" si="22"/>
        <v>2460</v>
      </c>
      <c r="K84" s="36" t="s">
        <v>246</v>
      </c>
      <c r="L84" s="36"/>
      <c r="M84" s="36" t="s">
        <v>77</v>
      </c>
      <c r="N84" s="36" t="s">
        <v>77</v>
      </c>
      <c r="O84" s="47" t="s">
        <v>77</v>
      </c>
      <c r="Y84" s="2">
        <v>82</v>
      </c>
    </row>
    <row r="85" spans="1:45" ht="15" customHeight="1">
      <c r="A85" t="s">
        <v>71</v>
      </c>
      <c r="B85" t="s">
        <v>86</v>
      </c>
      <c r="C85" s="11">
        <v>45932</v>
      </c>
      <c r="D85" s="32" t="s">
        <v>264</v>
      </c>
      <c r="E85" t="s">
        <v>88</v>
      </c>
      <c r="F85" s="22" t="s">
        <v>75</v>
      </c>
      <c r="G85" s="2" t="s">
        <v>86</v>
      </c>
      <c r="H85" s="33" t="s">
        <v>265</v>
      </c>
      <c r="I85" s="2">
        <f t="shared" si="21"/>
        <v>373</v>
      </c>
      <c r="J85" s="45">
        <f t="shared" si="22"/>
        <v>44.76</v>
      </c>
      <c r="K85" s="36" t="s">
        <v>246</v>
      </c>
      <c r="L85" s="36"/>
      <c r="M85" s="36" t="s">
        <v>77</v>
      </c>
      <c r="N85" s="36" t="s">
        <v>77</v>
      </c>
      <c r="O85" s="47" t="s">
        <v>77</v>
      </c>
      <c r="AS85" s="7">
        <v>373</v>
      </c>
    </row>
    <row r="86" spans="1:45" ht="15" customHeight="1">
      <c r="A86" t="s">
        <v>71</v>
      </c>
      <c r="B86" t="s">
        <v>86</v>
      </c>
      <c r="C86" s="11">
        <v>45947</v>
      </c>
      <c r="D86" s="32" t="s">
        <v>266</v>
      </c>
      <c r="E86" t="s">
        <v>88</v>
      </c>
      <c r="F86" s="22" t="s">
        <v>75</v>
      </c>
      <c r="G86" s="2" t="s">
        <v>86</v>
      </c>
      <c r="H86" s="33" t="s">
        <v>267</v>
      </c>
      <c r="I86" s="2">
        <f t="shared" si="21"/>
        <v>2</v>
      </c>
      <c r="J86" s="45">
        <f t="shared" si="22"/>
        <v>60</v>
      </c>
      <c r="K86" s="36" t="s">
        <v>246</v>
      </c>
      <c r="L86" s="36"/>
      <c r="M86" s="36" t="s">
        <v>77</v>
      </c>
      <c r="N86" s="36" t="s">
        <v>77</v>
      </c>
      <c r="O86" s="47" t="s">
        <v>77</v>
      </c>
      <c r="Q86" s="2">
        <v>2</v>
      </c>
    </row>
    <row r="87" spans="1:45" ht="15" customHeight="1">
      <c r="A87" t="s">
        <v>71</v>
      </c>
      <c r="B87" t="s">
        <v>86</v>
      </c>
      <c r="C87" s="11">
        <v>45950</v>
      </c>
      <c r="D87" s="32" t="s">
        <v>268</v>
      </c>
      <c r="E87" t="s">
        <v>88</v>
      </c>
      <c r="F87" s="22" t="s">
        <v>75</v>
      </c>
      <c r="G87" s="2" t="s">
        <v>86</v>
      </c>
      <c r="H87" s="33" t="s">
        <v>269</v>
      </c>
      <c r="I87" s="2">
        <f t="shared" ref="I87:I88" si="23">IF(SUM(P87:AU87)=0,"-",SUM(P87:AU87))</f>
        <v>54</v>
      </c>
      <c r="J87" s="45">
        <f t="shared" ref="J87:J88" si="24">IF(SUMPRODUCT($P$5:$AU$5,P87:AU87)=0,"-",SUMPRODUCT($P$5:$AU$5,P87:AU87))</f>
        <v>1620</v>
      </c>
      <c r="K87" s="36" t="s">
        <v>246</v>
      </c>
      <c r="L87" s="36"/>
      <c r="M87" s="36" t="s">
        <v>77</v>
      </c>
      <c r="N87" s="36" t="s">
        <v>77</v>
      </c>
      <c r="O87" s="47" t="s">
        <v>77</v>
      </c>
      <c r="Y87" s="2">
        <v>54</v>
      </c>
    </row>
    <row r="88" spans="1:45" ht="15" customHeight="1">
      <c r="A88" t="s">
        <v>71</v>
      </c>
      <c r="B88" t="s">
        <v>86</v>
      </c>
      <c r="C88" s="11">
        <v>45961</v>
      </c>
      <c r="D88" s="32" t="s">
        <v>270</v>
      </c>
      <c r="E88" t="s">
        <v>185</v>
      </c>
      <c r="F88" s="22" t="s">
        <v>75</v>
      </c>
      <c r="G88" s="2" t="s">
        <v>86</v>
      </c>
      <c r="H88" s="33" t="s">
        <v>271</v>
      </c>
      <c r="I88" s="2">
        <f t="shared" si="23"/>
        <v>102</v>
      </c>
      <c r="J88" s="45">
        <f t="shared" si="24"/>
        <v>177</v>
      </c>
      <c r="K88" s="36" t="s">
        <v>246</v>
      </c>
      <c r="L88" s="36"/>
      <c r="M88" s="36" t="s">
        <v>77</v>
      </c>
      <c r="N88" s="36" t="s">
        <v>77</v>
      </c>
      <c r="O88" s="47" t="s">
        <v>77</v>
      </c>
      <c r="P88" s="7">
        <v>1</v>
      </c>
      <c r="Q88" s="2">
        <v>1</v>
      </c>
      <c r="AS88" s="7">
        <v>100</v>
      </c>
    </row>
    <row r="89" spans="1:45" ht="15" customHeight="1">
      <c r="A89" t="s">
        <v>71</v>
      </c>
      <c r="B89" t="s">
        <v>86</v>
      </c>
      <c r="C89" s="11">
        <v>45965</v>
      </c>
      <c r="D89" s="32" t="s">
        <v>272</v>
      </c>
      <c r="E89" t="s">
        <v>185</v>
      </c>
      <c r="F89" s="22" t="s">
        <v>75</v>
      </c>
      <c r="G89" s="2" t="s">
        <v>86</v>
      </c>
      <c r="H89" s="33" t="s">
        <v>273</v>
      </c>
      <c r="I89" s="2">
        <f t="shared" ref="I89" si="25">IF(SUM(P89:AU89)=0,"-",SUM(P89:AU89))</f>
        <v>4</v>
      </c>
      <c r="J89" s="45">
        <f t="shared" ref="J89" si="26">IF(SUMPRODUCT($P$5:$AU$5,P89:AU89)=0,"-",SUMPRODUCT($P$5:$AU$5,P89:AU89))</f>
        <v>120</v>
      </c>
      <c r="K89" s="36" t="s">
        <v>246</v>
      </c>
      <c r="L89" s="36"/>
      <c r="M89" s="36" t="s">
        <v>77</v>
      </c>
      <c r="N89" s="36" t="s">
        <v>77</v>
      </c>
      <c r="O89" s="47" t="s">
        <v>77</v>
      </c>
      <c r="Q89" s="2">
        <v>4</v>
      </c>
    </row>
    <row r="90" spans="1:45" ht="15" customHeight="1">
      <c r="A90" t="s">
        <v>71</v>
      </c>
      <c r="B90" t="s">
        <v>86</v>
      </c>
      <c r="C90" s="11">
        <v>45971</v>
      </c>
      <c r="D90" s="32" t="s">
        <v>274</v>
      </c>
      <c r="E90" t="s">
        <v>88</v>
      </c>
      <c r="F90" s="22" t="s">
        <v>75</v>
      </c>
      <c r="G90" s="2" t="s">
        <v>86</v>
      </c>
      <c r="I90" s="2">
        <f t="shared" ref="I90" si="27">IF(SUM(P90:AU90)=0,"-",SUM(P90:AU90))</f>
        <v>670</v>
      </c>
      <c r="J90" s="45">
        <f t="shared" ref="J90" si="28">IF(SUMPRODUCT($P$5:$AU$5,P90:AU90)=0,"-",SUMPRODUCT($P$5:$AU$5,P90:AU90))</f>
        <v>80.399999999999991</v>
      </c>
      <c r="K90" s="36" t="s">
        <v>246</v>
      </c>
      <c r="L90" s="36"/>
      <c r="M90" s="36" t="s">
        <v>77</v>
      </c>
      <c r="N90" s="36" t="s">
        <v>77</v>
      </c>
      <c r="O90" s="47" t="s">
        <v>77</v>
      </c>
      <c r="AS90" s="7">
        <v>670</v>
      </c>
    </row>
    <row r="91" spans="1:45" ht="15" customHeight="1">
      <c r="A91" t="s">
        <v>71</v>
      </c>
      <c r="B91" t="s">
        <v>86</v>
      </c>
      <c r="C91" s="11">
        <v>45973</v>
      </c>
      <c r="D91" s="32" t="s">
        <v>275</v>
      </c>
      <c r="E91" t="s">
        <v>88</v>
      </c>
      <c r="F91" s="22" t="s">
        <v>75</v>
      </c>
      <c r="G91" s="2" t="s">
        <v>86</v>
      </c>
      <c r="H91" s="33" t="s">
        <v>276</v>
      </c>
      <c r="I91" s="2">
        <f t="shared" ref="I91" si="29">IF(SUM(P91:AU91)=0,"-",SUM(P91:AU91))</f>
        <v>1</v>
      </c>
      <c r="J91" s="45">
        <f t="shared" ref="J91" si="30">IF(SUMPRODUCT($P$5:$AU$5,P91:AU91)=0,"-",SUMPRODUCT($P$5:$AU$5,P91:AU91))</f>
        <v>135</v>
      </c>
      <c r="K91" s="36" t="s">
        <v>246</v>
      </c>
      <c r="L91" s="36"/>
      <c r="M91" s="36" t="s">
        <v>77</v>
      </c>
      <c r="N91" s="36" t="s">
        <v>77</v>
      </c>
      <c r="O91" s="47" t="s">
        <v>77</v>
      </c>
      <c r="X91" s="7">
        <v>1</v>
      </c>
    </row>
    <row r="92" spans="1:45" ht="15" customHeight="1">
      <c r="A92" t="s">
        <v>71</v>
      </c>
      <c r="B92" t="s">
        <v>86</v>
      </c>
      <c r="C92" s="11">
        <v>45973</v>
      </c>
      <c r="D92" s="32" t="s">
        <v>277</v>
      </c>
      <c r="E92" t="s">
        <v>88</v>
      </c>
      <c r="F92" s="22" t="s">
        <v>75</v>
      </c>
      <c r="G92" s="2" t="s">
        <v>86</v>
      </c>
      <c r="H92" s="33" t="s">
        <v>278</v>
      </c>
      <c r="I92" s="2">
        <f t="shared" ref="I92:I100" si="31">IF(SUM(P92:AU92)=0,"-",SUM(P92:AU92))</f>
        <v>4</v>
      </c>
      <c r="J92" s="45">
        <f t="shared" ref="J92:J100" si="32">IF(SUMPRODUCT($P$5:$AU$5,P92:AU92)=0,"-",SUMPRODUCT($P$5:$AU$5,P92:AU92))</f>
        <v>120</v>
      </c>
      <c r="K92" s="36" t="s">
        <v>246</v>
      </c>
      <c r="L92" s="36"/>
      <c r="M92" s="36" t="s">
        <v>77</v>
      </c>
      <c r="N92" s="36" t="s">
        <v>77</v>
      </c>
      <c r="O92" s="47" t="s">
        <v>77</v>
      </c>
      <c r="Q92" s="2">
        <v>4</v>
      </c>
    </row>
    <row r="93" spans="1:45" ht="15" customHeight="1">
      <c r="A93" t="s">
        <v>71</v>
      </c>
      <c r="B93" t="s">
        <v>86</v>
      </c>
      <c r="C93" s="11">
        <v>45974</v>
      </c>
      <c r="D93" s="32" t="s">
        <v>279</v>
      </c>
      <c r="E93" t="s">
        <v>88</v>
      </c>
      <c r="F93" s="22" t="s">
        <v>75</v>
      </c>
      <c r="G93" s="2" t="s">
        <v>86</v>
      </c>
      <c r="H93" s="33" t="s">
        <v>280</v>
      </c>
      <c r="I93" s="2">
        <f t="shared" si="31"/>
        <v>3</v>
      </c>
      <c r="J93" s="45">
        <f t="shared" si="32"/>
        <v>780</v>
      </c>
      <c r="K93" s="36" t="s">
        <v>246</v>
      </c>
      <c r="L93" s="36"/>
      <c r="M93" s="36" t="s">
        <v>77</v>
      </c>
      <c r="N93" s="36" t="s">
        <v>77</v>
      </c>
      <c r="O93" s="47" t="s">
        <v>77</v>
      </c>
      <c r="AA93" s="2">
        <v>3</v>
      </c>
    </row>
    <row r="94" spans="1:45" ht="15" customHeight="1">
      <c r="A94" t="s">
        <v>71</v>
      </c>
      <c r="B94" t="s">
        <v>86</v>
      </c>
      <c r="C94" s="11">
        <v>45975</v>
      </c>
      <c r="D94" s="32" t="s">
        <v>281</v>
      </c>
      <c r="E94" t="s">
        <v>88</v>
      </c>
      <c r="F94" s="22" t="s">
        <v>75</v>
      </c>
      <c r="G94" s="2" t="s">
        <v>86</v>
      </c>
      <c r="H94" s="33" t="s">
        <v>282</v>
      </c>
      <c r="I94" s="2">
        <f t="shared" si="31"/>
        <v>148</v>
      </c>
      <c r="J94" s="45">
        <f t="shared" si="32"/>
        <v>17.759999999999998</v>
      </c>
      <c r="K94" s="36" t="s">
        <v>246</v>
      </c>
      <c r="L94" s="36"/>
      <c r="M94" s="36" t="s">
        <v>77</v>
      </c>
      <c r="N94" s="36" t="s">
        <v>77</v>
      </c>
      <c r="O94" s="47" t="s">
        <v>77</v>
      </c>
      <c r="AS94" s="7">
        <v>148</v>
      </c>
    </row>
    <row r="95" spans="1:45" ht="15" customHeight="1">
      <c r="A95" t="s">
        <v>71</v>
      </c>
      <c r="B95" t="s">
        <v>86</v>
      </c>
      <c r="C95" s="11">
        <v>45979</v>
      </c>
      <c r="D95" s="32" t="s">
        <v>283</v>
      </c>
      <c r="E95" t="s">
        <v>185</v>
      </c>
      <c r="F95" s="22" t="s">
        <v>75</v>
      </c>
      <c r="G95" s="2" t="s">
        <v>86</v>
      </c>
      <c r="I95" s="2">
        <f t="shared" si="31"/>
        <v>24</v>
      </c>
      <c r="J95" s="45">
        <f t="shared" si="32"/>
        <v>2.88</v>
      </c>
      <c r="K95" s="36" t="s">
        <v>246</v>
      </c>
      <c r="L95" s="36"/>
      <c r="M95" s="36" t="s">
        <v>77</v>
      </c>
      <c r="N95" s="36" t="s">
        <v>77</v>
      </c>
      <c r="O95" s="47" t="s">
        <v>77</v>
      </c>
      <c r="AS95" s="7">
        <v>24</v>
      </c>
    </row>
    <row r="96" spans="1:45" ht="15" customHeight="1">
      <c r="A96" t="s">
        <v>71</v>
      </c>
      <c r="B96" t="s">
        <v>86</v>
      </c>
      <c r="C96" s="11">
        <v>45979</v>
      </c>
      <c r="D96" s="32" t="s">
        <v>284</v>
      </c>
      <c r="E96" t="s">
        <v>88</v>
      </c>
      <c r="F96" s="22" t="s">
        <v>75</v>
      </c>
      <c r="G96" s="2" t="s">
        <v>86</v>
      </c>
      <c r="H96" s="33" t="s">
        <v>285</v>
      </c>
      <c r="I96" s="2">
        <f t="shared" si="31"/>
        <v>23</v>
      </c>
      <c r="J96" s="45">
        <f t="shared" si="32"/>
        <v>1395</v>
      </c>
      <c r="K96" s="36" t="s">
        <v>246</v>
      </c>
      <c r="L96" s="36"/>
      <c r="M96" s="36" t="s">
        <v>77</v>
      </c>
      <c r="N96" s="36" t="s">
        <v>77</v>
      </c>
      <c r="O96" s="47" t="s">
        <v>77</v>
      </c>
      <c r="X96" s="7">
        <v>1</v>
      </c>
      <c r="Y96" s="2">
        <v>18</v>
      </c>
      <c r="AB96" s="2">
        <v>4</v>
      </c>
    </row>
    <row r="97" spans="1:45" ht="15" customHeight="1">
      <c r="A97" t="s">
        <v>71</v>
      </c>
      <c r="B97" t="s">
        <v>86</v>
      </c>
      <c r="C97" s="11">
        <v>45980</v>
      </c>
      <c r="D97" s="32" t="s">
        <v>286</v>
      </c>
      <c r="E97" t="s">
        <v>88</v>
      </c>
      <c r="F97" s="22" t="s">
        <v>75</v>
      </c>
      <c r="G97" s="2" t="s">
        <v>86</v>
      </c>
      <c r="H97" s="33" t="s">
        <v>287</v>
      </c>
      <c r="I97" s="2">
        <f t="shared" si="31"/>
        <v>8</v>
      </c>
      <c r="J97" s="45">
        <f t="shared" si="32"/>
        <v>870</v>
      </c>
      <c r="K97" s="36" t="s">
        <v>246</v>
      </c>
      <c r="L97" s="36"/>
      <c r="M97" s="36" t="s">
        <v>77</v>
      </c>
      <c r="N97" s="36" t="s">
        <v>77</v>
      </c>
      <c r="O97" s="47" t="s">
        <v>77</v>
      </c>
      <c r="P97" s="7">
        <v>6</v>
      </c>
      <c r="Q97" s="2">
        <v>2</v>
      </c>
    </row>
    <row r="98" spans="1:45" ht="15" customHeight="1">
      <c r="A98" t="s">
        <v>71</v>
      </c>
      <c r="B98" t="s">
        <v>86</v>
      </c>
      <c r="C98" s="11">
        <v>45981</v>
      </c>
      <c r="D98" s="32" t="s">
        <v>288</v>
      </c>
      <c r="E98" t="s">
        <v>88</v>
      </c>
      <c r="F98" s="22" t="s">
        <v>75</v>
      </c>
      <c r="G98" s="2" t="s">
        <v>86</v>
      </c>
      <c r="I98" s="2">
        <f t="shared" si="31"/>
        <v>191</v>
      </c>
      <c r="J98" s="45">
        <f t="shared" si="32"/>
        <v>22.919999999999998</v>
      </c>
      <c r="K98" s="36" t="s">
        <v>246</v>
      </c>
      <c r="L98" s="36"/>
      <c r="M98" s="36" t="s">
        <v>77</v>
      </c>
      <c r="N98" s="36" t="s">
        <v>77</v>
      </c>
      <c r="O98" s="47" t="s">
        <v>77</v>
      </c>
      <c r="AS98" s="7">
        <v>191</v>
      </c>
    </row>
    <row r="99" spans="1:45" ht="15" customHeight="1">
      <c r="A99" t="s">
        <v>71</v>
      </c>
      <c r="B99" t="s">
        <v>86</v>
      </c>
      <c r="C99" s="11">
        <v>45981</v>
      </c>
      <c r="D99" s="32" t="s">
        <v>289</v>
      </c>
      <c r="E99" t="s">
        <v>88</v>
      </c>
      <c r="F99" s="22" t="s">
        <v>75</v>
      </c>
      <c r="G99" s="2" t="s">
        <v>86</v>
      </c>
      <c r="H99" s="33" t="s">
        <v>290</v>
      </c>
      <c r="I99" s="2">
        <f t="shared" si="31"/>
        <v>1</v>
      </c>
      <c r="J99" s="45">
        <f t="shared" si="32"/>
        <v>30</v>
      </c>
      <c r="K99" s="36" t="s">
        <v>246</v>
      </c>
      <c r="L99" s="36"/>
      <c r="M99" s="36" t="s">
        <v>77</v>
      </c>
      <c r="N99" s="36" t="s">
        <v>77</v>
      </c>
      <c r="O99" s="47" t="s">
        <v>77</v>
      </c>
      <c r="Q99" s="2">
        <v>1</v>
      </c>
    </row>
    <row r="100" spans="1:45" ht="15" customHeight="1">
      <c r="A100" t="s">
        <v>71</v>
      </c>
      <c r="B100" t="s">
        <v>86</v>
      </c>
      <c r="C100" s="11">
        <v>45981</v>
      </c>
      <c r="D100" s="32" t="s">
        <v>291</v>
      </c>
      <c r="E100" t="s">
        <v>88</v>
      </c>
      <c r="F100" s="22" t="s">
        <v>75</v>
      </c>
      <c r="G100" s="2" t="s">
        <v>86</v>
      </c>
      <c r="H100" s="33" t="s">
        <v>292</v>
      </c>
      <c r="I100" s="2">
        <f t="shared" si="31"/>
        <v>4</v>
      </c>
      <c r="J100" s="45">
        <f t="shared" si="32"/>
        <v>225</v>
      </c>
      <c r="K100" s="36" t="s">
        <v>246</v>
      </c>
      <c r="L100" s="36"/>
      <c r="M100" s="36" t="s">
        <v>77</v>
      </c>
      <c r="N100" s="36" t="s">
        <v>77</v>
      </c>
      <c r="O100" s="47" t="s">
        <v>77</v>
      </c>
      <c r="P100" s="7">
        <v>1</v>
      </c>
      <c r="Q100" s="2">
        <v>3</v>
      </c>
    </row>
    <row r="101" spans="1:45" ht="15" customHeight="1">
      <c r="A101" t="s">
        <v>71</v>
      </c>
      <c r="B101" t="s">
        <v>86</v>
      </c>
      <c r="C101" s="11">
        <v>45992</v>
      </c>
      <c r="D101" s="32" t="s">
        <v>293</v>
      </c>
      <c r="E101" t="s">
        <v>88</v>
      </c>
      <c r="F101" s="22" t="s">
        <v>75</v>
      </c>
      <c r="G101" s="2" t="s">
        <v>86</v>
      </c>
      <c r="H101" s="33" t="s">
        <v>294</v>
      </c>
      <c r="I101" s="2">
        <f t="shared" ref="I101" si="33">IF(SUM(P101:AU101)=0,"-",SUM(P101:AU101))</f>
        <v>339</v>
      </c>
      <c r="J101" s="45">
        <f t="shared" ref="J101" si="34">IF(SUMPRODUCT($P$5:$AU$5,P101:AU101)=0,"-",SUMPRODUCT($P$5:$AU$5,P101:AU101))</f>
        <v>130.32</v>
      </c>
      <c r="K101" s="36" t="s">
        <v>246</v>
      </c>
      <c r="L101" s="36"/>
      <c r="M101" s="36" t="s">
        <v>77</v>
      </c>
      <c r="N101" s="36" t="s">
        <v>77</v>
      </c>
      <c r="O101" s="47" t="s">
        <v>77</v>
      </c>
      <c r="Q101" s="2">
        <v>3</v>
      </c>
      <c r="AS101" s="7">
        <v>336</v>
      </c>
    </row>
    <row r="102" spans="1:45" ht="15" customHeight="1">
      <c r="A102" t="s">
        <v>71</v>
      </c>
      <c r="B102" t="s">
        <v>86</v>
      </c>
      <c r="C102" s="11">
        <v>45993</v>
      </c>
      <c r="D102" s="32" t="s">
        <v>295</v>
      </c>
      <c r="E102" t="s">
        <v>88</v>
      </c>
      <c r="F102" s="22" t="s">
        <v>75</v>
      </c>
      <c r="G102" s="2" t="s">
        <v>86</v>
      </c>
      <c r="H102" s="33" t="s">
        <v>296</v>
      </c>
      <c r="I102" s="2">
        <f t="shared" ref="I102:I104" si="35">IF(SUM(P102:AU102)=0,"-",SUM(P102:AU102))</f>
        <v>122</v>
      </c>
      <c r="J102" s="45">
        <f t="shared" ref="J102:J104" si="36">IF(SUMPRODUCT($P$5:$AU$5,P102:AU102)=0,"-",SUMPRODUCT($P$5:$AU$5,P102:AU102))</f>
        <v>3660</v>
      </c>
      <c r="K102" s="36" t="s">
        <v>246</v>
      </c>
      <c r="L102" s="36"/>
      <c r="M102" s="36" t="s">
        <v>77</v>
      </c>
      <c r="N102" s="36" t="s">
        <v>77</v>
      </c>
      <c r="O102" s="47" t="s">
        <v>77</v>
      </c>
      <c r="Y102" s="2">
        <v>122</v>
      </c>
    </row>
    <row r="103" spans="1:45" ht="15" customHeight="1">
      <c r="A103" t="s">
        <v>71</v>
      </c>
      <c r="B103" t="s">
        <v>86</v>
      </c>
      <c r="C103" s="11">
        <v>45993</v>
      </c>
      <c r="D103" s="32" t="s">
        <v>297</v>
      </c>
      <c r="E103" t="s">
        <v>88</v>
      </c>
      <c r="F103" t="s">
        <v>298</v>
      </c>
      <c r="G103" s="2" t="s">
        <v>86</v>
      </c>
      <c r="H103" s="33"/>
      <c r="I103" s="2">
        <f t="shared" ref="I103" si="37">IF(SUM(P103:AU103)=0,"-",SUM(P103:AU103))</f>
        <v>652</v>
      </c>
      <c r="J103" s="45">
        <f t="shared" ref="J103" si="38">IF(SUMPRODUCT($P$5:$AU$5,P103:AU103)=0,"-",SUMPRODUCT($P$5:$AU$5,P103:AU103))</f>
        <v>378</v>
      </c>
      <c r="AK103" s="2">
        <v>2</v>
      </c>
      <c r="AS103" s="7">
        <v>650</v>
      </c>
    </row>
    <row r="104" spans="1:45" ht="15" customHeight="1">
      <c r="A104" t="s">
        <v>71</v>
      </c>
      <c r="B104" t="s">
        <v>86</v>
      </c>
      <c r="C104" s="11">
        <v>45993</v>
      </c>
      <c r="D104" s="32" t="s">
        <v>299</v>
      </c>
      <c r="E104" t="s">
        <v>185</v>
      </c>
      <c r="F104" s="22" t="s">
        <v>75</v>
      </c>
      <c r="G104" s="2" t="s">
        <v>86</v>
      </c>
      <c r="H104" s="33" t="s">
        <v>300</v>
      </c>
      <c r="I104" s="2">
        <f t="shared" si="35"/>
        <v>1</v>
      </c>
      <c r="J104" s="45">
        <f t="shared" si="36"/>
        <v>30</v>
      </c>
      <c r="K104" s="36" t="s">
        <v>246</v>
      </c>
      <c r="L104" s="36"/>
      <c r="M104" s="36" t="s">
        <v>77</v>
      </c>
      <c r="N104" s="36" t="s">
        <v>77</v>
      </c>
      <c r="O104" s="47" t="s">
        <v>77</v>
      </c>
      <c r="Q104" s="2">
        <v>1</v>
      </c>
    </row>
    <row r="105" spans="1:45" ht="15" customHeight="1">
      <c r="A105" t="s">
        <v>71</v>
      </c>
      <c r="B105" t="s">
        <v>86</v>
      </c>
      <c r="C105" s="11">
        <v>45994</v>
      </c>
      <c r="D105" s="32" t="s">
        <v>301</v>
      </c>
      <c r="E105" t="s">
        <v>185</v>
      </c>
      <c r="F105" s="22" t="s">
        <v>75</v>
      </c>
      <c r="G105" s="2" t="s">
        <v>86</v>
      </c>
      <c r="H105" s="33" t="s">
        <v>302</v>
      </c>
      <c r="I105" s="2">
        <f t="shared" ref="I105" si="39">IF(SUM(P105:AU105)=0,"-",SUM(P105:AU105))</f>
        <v>206</v>
      </c>
      <c r="J105" s="45">
        <f t="shared" ref="J105" si="40">IF(SUMPRODUCT($P$5:$AU$5,P105:AU105)=0,"-",SUMPRODUCT($P$5:$AU$5,P105:AU105))</f>
        <v>6180</v>
      </c>
      <c r="K105" s="36" t="s">
        <v>246</v>
      </c>
      <c r="L105" s="36"/>
      <c r="M105" s="36" t="s">
        <v>77</v>
      </c>
      <c r="N105" s="36" t="s">
        <v>77</v>
      </c>
      <c r="O105" s="47" t="s">
        <v>77</v>
      </c>
      <c r="Y105" s="2">
        <v>206</v>
      </c>
    </row>
    <row r="106" spans="1:45" ht="15" customHeight="1">
      <c r="A106" t="s">
        <v>71</v>
      </c>
      <c r="B106" t="s">
        <v>86</v>
      </c>
      <c r="C106" s="11">
        <v>45995</v>
      </c>
      <c r="D106" s="32" t="s">
        <v>303</v>
      </c>
      <c r="E106" t="s">
        <v>88</v>
      </c>
      <c r="F106" s="22" t="s">
        <v>75</v>
      </c>
      <c r="G106" s="2" t="s">
        <v>86</v>
      </c>
      <c r="H106" s="33" t="s">
        <v>304</v>
      </c>
      <c r="I106" s="2">
        <f t="shared" ref="I106" si="41">IF(SUM(P106:AU106)=0,"-",SUM(P106:AU106))</f>
        <v>126</v>
      </c>
      <c r="J106" s="45">
        <f t="shared" ref="J106" si="42">IF(SUMPRODUCT($P$5:$AU$5,P106:AU106)=0,"-",SUMPRODUCT($P$5:$AU$5,P106:AU106))</f>
        <v>3780</v>
      </c>
      <c r="K106" s="36" t="s">
        <v>246</v>
      </c>
      <c r="L106" s="36"/>
      <c r="M106" s="36" t="s">
        <v>77</v>
      </c>
      <c r="N106" s="36" t="s">
        <v>77</v>
      </c>
      <c r="O106" s="47" t="s">
        <v>77</v>
      </c>
      <c r="Y106" s="2">
        <v>126</v>
      </c>
    </row>
    <row r="107" spans="1:45" ht="15" customHeight="1">
      <c r="A107" t="s">
        <v>71</v>
      </c>
      <c r="B107" t="s">
        <v>86</v>
      </c>
      <c r="C107" s="11">
        <v>45996</v>
      </c>
      <c r="D107" s="32" t="s">
        <v>305</v>
      </c>
      <c r="E107" t="s">
        <v>88</v>
      </c>
      <c r="F107" s="22" t="s">
        <v>75</v>
      </c>
      <c r="G107" s="2" t="s">
        <v>86</v>
      </c>
      <c r="H107" s="33" t="s">
        <v>306</v>
      </c>
      <c r="I107" s="2">
        <f t="shared" ref="I107" si="43">IF(SUM(P107:AU107)=0,"-",SUM(P107:AU107))</f>
        <v>104</v>
      </c>
      <c r="J107" s="45">
        <f t="shared" ref="J107" si="44">IF(SUMPRODUCT($P$5:$AU$5,P107:AU107)=0,"-",SUMPRODUCT($P$5:$AU$5,P107:AU107))</f>
        <v>3120</v>
      </c>
      <c r="K107" s="36" t="s">
        <v>246</v>
      </c>
      <c r="L107" s="36"/>
      <c r="M107" s="36" t="s">
        <v>77</v>
      </c>
      <c r="N107" s="36" t="s">
        <v>77</v>
      </c>
      <c r="O107" s="47" t="s">
        <v>77</v>
      </c>
      <c r="Y107" s="2">
        <v>104</v>
      </c>
    </row>
    <row r="108" spans="1:45" ht="15" customHeight="1">
      <c r="A108" t="s">
        <v>71</v>
      </c>
      <c r="B108" t="s">
        <v>86</v>
      </c>
      <c r="C108" s="11">
        <v>45999</v>
      </c>
      <c r="D108" s="32" t="s">
        <v>307</v>
      </c>
      <c r="E108" t="s">
        <v>88</v>
      </c>
      <c r="F108" s="22" t="s">
        <v>75</v>
      </c>
      <c r="G108" s="2" t="s">
        <v>86</v>
      </c>
      <c r="H108" s="33" t="s">
        <v>308</v>
      </c>
      <c r="I108" s="2">
        <f t="shared" ref="I108" si="45">IF(SUM(P108:AU108)=0,"-",SUM(P108:AU108))</f>
        <v>76</v>
      </c>
      <c r="J108" s="45">
        <f t="shared" ref="J108" si="46">IF(SUMPRODUCT($P$5:$AU$5,P108:AU108)=0,"-",SUMPRODUCT($P$5:$AU$5,P108:AU108))</f>
        <v>2280</v>
      </c>
      <c r="K108" s="36" t="s">
        <v>246</v>
      </c>
      <c r="L108" s="36"/>
      <c r="M108" s="36" t="s">
        <v>77</v>
      </c>
      <c r="N108" s="36" t="s">
        <v>77</v>
      </c>
      <c r="O108" s="47" t="s">
        <v>77</v>
      </c>
      <c r="Y108" s="2">
        <v>76</v>
      </c>
    </row>
    <row r="109" spans="1:45" ht="15" customHeight="1">
      <c r="A109" t="s">
        <v>71</v>
      </c>
      <c r="B109" t="s">
        <v>86</v>
      </c>
      <c r="C109" s="11">
        <v>46002</v>
      </c>
      <c r="D109" s="32" t="s">
        <v>309</v>
      </c>
      <c r="E109" t="s">
        <v>88</v>
      </c>
      <c r="F109" s="22" t="s">
        <v>75</v>
      </c>
      <c r="G109" s="2" t="s">
        <v>86</v>
      </c>
      <c r="H109" s="33" t="s">
        <v>310</v>
      </c>
      <c r="I109" s="2">
        <f t="shared" ref="I109" si="47">IF(SUM(P109:AU109)=0,"-",SUM(P109:AU109))</f>
        <v>6</v>
      </c>
      <c r="J109" s="45">
        <f t="shared" ref="J109" si="48">IF(SUMPRODUCT($P$5:$AU$5,P109:AU109)=0,"-",SUMPRODUCT($P$5:$AU$5,P109:AU109))</f>
        <v>180</v>
      </c>
      <c r="K109" s="36" t="s">
        <v>246</v>
      </c>
      <c r="L109" s="36"/>
      <c r="M109" s="36" t="s">
        <v>77</v>
      </c>
      <c r="N109" s="36" t="s">
        <v>77</v>
      </c>
      <c r="O109" s="47" t="s">
        <v>77</v>
      </c>
      <c r="Q109" s="2">
        <v>6</v>
      </c>
    </row>
    <row r="110" spans="1:45" ht="15" customHeight="1">
      <c r="A110" t="s">
        <v>71</v>
      </c>
      <c r="B110" t="s">
        <v>86</v>
      </c>
      <c r="C110" s="11">
        <v>46007</v>
      </c>
      <c r="D110" s="32" t="s">
        <v>311</v>
      </c>
      <c r="E110" t="s">
        <v>88</v>
      </c>
      <c r="F110" s="22" t="s">
        <v>75</v>
      </c>
      <c r="G110" s="2" t="s">
        <v>86</v>
      </c>
      <c r="H110" s="33" t="s">
        <v>312</v>
      </c>
      <c r="I110" s="2">
        <f t="shared" ref="I110" si="49">IF(SUM(P110:AU110)=0,"-",SUM(P110:AU110))</f>
        <v>45</v>
      </c>
      <c r="J110" s="45">
        <f t="shared" ref="J110" si="50">IF(SUMPRODUCT($P$5:$AU$5,P110:AU110)=0,"-",SUMPRODUCT($P$5:$AU$5,P110:AU110))</f>
        <v>1350</v>
      </c>
      <c r="K110" s="36" t="s">
        <v>246</v>
      </c>
      <c r="L110" s="36"/>
      <c r="M110" s="36" t="s">
        <v>77</v>
      </c>
      <c r="N110" s="36" t="s">
        <v>77</v>
      </c>
      <c r="O110" s="47" t="s">
        <v>77</v>
      </c>
      <c r="Y110" s="2">
        <v>45</v>
      </c>
    </row>
    <row r="111" spans="1:45" ht="15" customHeight="1">
      <c r="A111" t="s">
        <v>71</v>
      </c>
      <c r="B111" t="s">
        <v>86</v>
      </c>
      <c r="C111" s="11">
        <v>46007</v>
      </c>
      <c r="D111" s="6" t="s">
        <v>313</v>
      </c>
      <c r="E111" t="s">
        <v>88</v>
      </c>
      <c r="F111" s="22" t="s">
        <v>75</v>
      </c>
      <c r="G111" s="2" t="s">
        <v>86</v>
      </c>
      <c r="H111" s="33" t="s">
        <v>314</v>
      </c>
      <c r="I111" s="2">
        <f t="shared" ref="I111:I112" si="51">IF(SUM(P111:AU111)=0,"-",SUM(P111:AU111))</f>
        <v>80</v>
      </c>
      <c r="J111" s="45">
        <f t="shared" ref="J111:J112" si="52">IF(SUMPRODUCT($P$5:$AU$5,P111:AU111)=0,"-",SUMPRODUCT($P$5:$AU$5,P111:AU111))</f>
        <v>2400</v>
      </c>
      <c r="K111" s="36" t="s">
        <v>246</v>
      </c>
      <c r="L111" s="36"/>
      <c r="M111" s="36" t="s">
        <v>77</v>
      </c>
      <c r="N111" s="36" t="s">
        <v>77</v>
      </c>
      <c r="O111" s="47" t="s">
        <v>77</v>
      </c>
      <c r="Y111" s="2">
        <v>80</v>
      </c>
    </row>
    <row r="112" spans="1:45" ht="15" customHeight="1">
      <c r="A112" t="s">
        <v>71</v>
      </c>
      <c r="B112" t="s">
        <v>86</v>
      </c>
      <c r="C112" s="11">
        <v>46010</v>
      </c>
      <c r="D112" s="6" t="s">
        <v>315</v>
      </c>
      <c r="E112" t="s">
        <v>88</v>
      </c>
      <c r="F112" s="22" t="s">
        <v>75</v>
      </c>
      <c r="G112" s="2" t="s">
        <v>86</v>
      </c>
      <c r="H112" s="33" t="s">
        <v>316</v>
      </c>
      <c r="I112" s="2">
        <f t="shared" si="51"/>
        <v>5</v>
      </c>
      <c r="J112" s="45">
        <f t="shared" si="52"/>
        <v>150</v>
      </c>
      <c r="K112" s="36" t="s">
        <v>246</v>
      </c>
      <c r="L112" s="36"/>
      <c r="M112" s="36" t="s">
        <v>77</v>
      </c>
      <c r="N112" s="36" t="s">
        <v>77</v>
      </c>
      <c r="O112" s="47" t="s">
        <v>77</v>
      </c>
      <c r="Q112" s="2">
        <v>5</v>
      </c>
    </row>
    <row r="113" spans="1:45" ht="15" customHeight="1">
      <c r="A113" t="s">
        <v>71</v>
      </c>
      <c r="B113" t="s">
        <v>86</v>
      </c>
      <c r="C113" s="11">
        <v>46021</v>
      </c>
      <c r="D113" s="6" t="s">
        <v>317</v>
      </c>
      <c r="E113" t="s">
        <v>88</v>
      </c>
      <c r="F113" s="22" t="s">
        <v>75</v>
      </c>
      <c r="G113" s="2" t="s">
        <v>86</v>
      </c>
      <c r="H113" s="33" t="s">
        <v>318</v>
      </c>
      <c r="I113" s="2">
        <f t="shared" ref="I113:I114" si="53">IF(SUM(P113:AU113)=0,"-",SUM(P113:AU113))</f>
        <v>36</v>
      </c>
      <c r="J113" s="45">
        <f t="shared" ref="J113:J114" si="54">IF(SUMPRODUCT($P$5:$AU$5,P113:AU113)=0,"-",SUMPRODUCT($P$5:$AU$5,P113:AU113))</f>
        <v>1080</v>
      </c>
      <c r="K113" s="36" t="s">
        <v>246</v>
      </c>
      <c r="L113" s="36"/>
      <c r="M113" s="36" t="s">
        <v>77</v>
      </c>
      <c r="N113" s="36" t="s">
        <v>77</v>
      </c>
      <c r="O113" s="47" t="s">
        <v>77</v>
      </c>
      <c r="Y113" s="2">
        <v>36</v>
      </c>
    </row>
    <row r="114" spans="1:45" ht="15" customHeight="1">
      <c r="A114" t="s">
        <v>71</v>
      </c>
      <c r="B114" t="s">
        <v>86</v>
      </c>
      <c r="C114" s="11">
        <v>46024</v>
      </c>
      <c r="D114" s="6" t="s">
        <v>319</v>
      </c>
      <c r="E114" t="s">
        <v>185</v>
      </c>
      <c r="F114" s="22" t="s">
        <v>75</v>
      </c>
      <c r="G114" s="2" t="s">
        <v>86</v>
      </c>
      <c r="H114" s="33" t="s">
        <v>320</v>
      </c>
      <c r="I114" s="2">
        <f t="shared" si="53"/>
        <v>1</v>
      </c>
      <c r="J114" s="45">
        <f t="shared" si="54"/>
        <v>30</v>
      </c>
      <c r="K114" s="36" t="s">
        <v>246</v>
      </c>
      <c r="L114" s="36"/>
      <c r="M114" s="36" t="s">
        <v>77</v>
      </c>
      <c r="N114" s="36" t="s">
        <v>77</v>
      </c>
      <c r="O114" s="47" t="s">
        <v>77</v>
      </c>
      <c r="Q114" s="2">
        <v>1</v>
      </c>
    </row>
    <row r="115" spans="1:45" ht="15" customHeight="1">
      <c r="A115" t="s">
        <v>71</v>
      </c>
      <c r="B115" t="s">
        <v>86</v>
      </c>
      <c r="C115" s="11">
        <v>46029</v>
      </c>
      <c r="D115" s="6" t="s">
        <v>321</v>
      </c>
      <c r="E115" t="s">
        <v>185</v>
      </c>
      <c r="F115" s="22" t="s">
        <v>75</v>
      </c>
      <c r="G115" s="2" t="s">
        <v>86</v>
      </c>
      <c r="H115" s="33" t="s">
        <v>322</v>
      </c>
      <c r="I115" s="2">
        <f t="shared" ref="I115:I116" si="55">IF(SUM(P115:AU115)=0,"-",SUM(P115:AU115))</f>
        <v>1</v>
      </c>
      <c r="J115" s="45">
        <f t="shared" ref="J115:J116" si="56">IF(SUMPRODUCT($P$5:$AU$5,P115:AU115)=0,"-",SUMPRODUCT($P$5:$AU$5,P115:AU115))</f>
        <v>135</v>
      </c>
      <c r="K115" s="36" t="s">
        <v>246</v>
      </c>
      <c r="L115" s="36"/>
      <c r="M115" s="36" t="s">
        <v>77</v>
      </c>
      <c r="N115" s="36" t="s">
        <v>77</v>
      </c>
      <c r="O115" s="47" t="s">
        <v>77</v>
      </c>
      <c r="P115" s="7">
        <v>1</v>
      </c>
    </row>
    <row r="116" spans="1:45" ht="15" customHeight="1">
      <c r="A116" t="s">
        <v>71</v>
      </c>
      <c r="B116" t="s">
        <v>86</v>
      </c>
      <c r="C116" s="11">
        <v>46029</v>
      </c>
      <c r="D116" s="6" t="s">
        <v>323</v>
      </c>
      <c r="E116" t="s">
        <v>185</v>
      </c>
      <c r="F116" s="22" t="s">
        <v>75</v>
      </c>
      <c r="G116" s="2" t="s">
        <v>86</v>
      </c>
      <c r="H116" s="33" t="s">
        <v>324</v>
      </c>
      <c r="I116" s="2">
        <f t="shared" si="55"/>
        <v>3</v>
      </c>
      <c r="J116" s="45">
        <f t="shared" si="56"/>
        <v>90</v>
      </c>
      <c r="K116" s="36" t="s">
        <v>246</v>
      </c>
      <c r="L116" s="36"/>
      <c r="M116" s="36" t="s">
        <v>77</v>
      </c>
      <c r="N116" s="36" t="s">
        <v>77</v>
      </c>
      <c r="O116" s="47" t="s">
        <v>77</v>
      </c>
      <c r="Q116" s="2">
        <v>3</v>
      </c>
    </row>
    <row r="117" spans="1:45" ht="15" customHeight="1">
      <c r="A117" t="s">
        <v>71</v>
      </c>
      <c r="B117" t="s">
        <v>86</v>
      </c>
      <c r="C117" s="11">
        <v>46030</v>
      </c>
      <c r="D117" s="6" t="s">
        <v>325</v>
      </c>
      <c r="E117" t="s">
        <v>185</v>
      </c>
      <c r="F117" s="22" t="s">
        <v>75</v>
      </c>
      <c r="G117" s="2" t="s">
        <v>86</v>
      </c>
      <c r="H117" s="33" t="s">
        <v>326</v>
      </c>
      <c r="I117" s="2">
        <f t="shared" ref="I117" si="57">IF(SUM(P117:AU117)=0,"-",SUM(P117:AU117))</f>
        <v>1</v>
      </c>
      <c r="J117" s="45">
        <f t="shared" ref="J117:J118" si="58">IF(SUMPRODUCT($P$5:$AU$5,P117:AU117)=0,"-",SUMPRODUCT($P$5:$AU$5,P117:AU117))</f>
        <v>30</v>
      </c>
      <c r="K117" s="36" t="s">
        <v>246</v>
      </c>
      <c r="L117" s="36"/>
      <c r="M117" s="36" t="s">
        <v>77</v>
      </c>
      <c r="N117" s="36" t="s">
        <v>77</v>
      </c>
      <c r="O117" s="47" t="s">
        <v>77</v>
      </c>
      <c r="Q117" s="2">
        <v>1</v>
      </c>
    </row>
    <row r="118" spans="1:45" ht="15" customHeight="1">
      <c r="A118" t="s">
        <v>71</v>
      </c>
      <c r="B118" t="s">
        <v>86</v>
      </c>
      <c r="C118" s="11">
        <v>46031</v>
      </c>
      <c r="D118" s="6" t="s">
        <v>327</v>
      </c>
      <c r="E118" t="s">
        <v>185</v>
      </c>
      <c r="F118" s="22" t="s">
        <v>75</v>
      </c>
      <c r="G118" s="2" t="s">
        <v>86</v>
      </c>
      <c r="H118" s="33" t="s">
        <v>328</v>
      </c>
      <c r="I118" s="29">
        <f>IF(SUM(Q118:BA118)=0,"-",SUM(Q118:BA118))</f>
        <v>1</v>
      </c>
      <c r="J118" s="45">
        <f t="shared" si="58"/>
        <v>30</v>
      </c>
      <c r="K118" s="36" t="s">
        <v>246</v>
      </c>
      <c r="L118" s="36"/>
      <c r="M118" s="36" t="s">
        <v>77</v>
      </c>
      <c r="N118" s="36" t="s">
        <v>77</v>
      </c>
      <c r="O118" s="47" t="s">
        <v>77</v>
      </c>
      <c r="Q118" s="2">
        <v>1</v>
      </c>
    </row>
    <row r="119" spans="1:45" ht="15" customHeight="1">
      <c r="A119" t="s">
        <v>71</v>
      </c>
      <c r="B119" t="s">
        <v>86</v>
      </c>
      <c r="C119" s="11">
        <v>46034</v>
      </c>
      <c r="D119" s="6" t="s">
        <v>329</v>
      </c>
      <c r="E119" t="s">
        <v>330</v>
      </c>
      <c r="F119" s="22" t="s">
        <v>75</v>
      </c>
      <c r="G119" s="2" t="s">
        <v>86</v>
      </c>
      <c r="H119" s="33" t="s">
        <v>331</v>
      </c>
      <c r="I119" s="29">
        <f>IF(SUM(Q119:BA119)=0,"-",SUM(Q119:BA119))</f>
        <v>58</v>
      </c>
      <c r="J119" s="45">
        <f t="shared" ref="J119" si="59">IF(SUMPRODUCT($P$5:$AU$5,P119:AU119)=0,"-",SUMPRODUCT($P$5:$AU$5,P119:AU119))</f>
        <v>1740</v>
      </c>
      <c r="K119" s="36" t="s">
        <v>246</v>
      </c>
      <c r="L119" s="36"/>
      <c r="M119" s="36" t="s">
        <v>77</v>
      </c>
      <c r="N119" s="36" t="s">
        <v>77</v>
      </c>
      <c r="O119" s="47" t="s">
        <v>77</v>
      </c>
      <c r="Y119" s="2">
        <v>58</v>
      </c>
    </row>
    <row r="120" spans="1:45" ht="15" customHeight="1">
      <c r="A120" t="s">
        <v>71</v>
      </c>
      <c r="B120" t="s">
        <v>86</v>
      </c>
      <c r="C120" s="11">
        <v>46044</v>
      </c>
      <c r="D120" s="6" t="s">
        <v>332</v>
      </c>
      <c r="E120" t="s">
        <v>185</v>
      </c>
      <c r="F120" s="22" t="s">
        <v>75</v>
      </c>
      <c r="G120" s="2" t="s">
        <v>86</v>
      </c>
      <c r="H120" s="33" t="s">
        <v>324</v>
      </c>
      <c r="I120" s="29">
        <f>IF(SUM(Q120:BA120)=0,"-",SUM(Q120:BA120))</f>
        <v>2</v>
      </c>
      <c r="J120" s="45">
        <f t="shared" ref="J120" si="60">IF(SUMPRODUCT($P$5:$AU$5,P120:AU120)=0,"-",SUMPRODUCT($P$5:$AU$5,P120:AU120))</f>
        <v>60</v>
      </c>
      <c r="K120" s="36" t="s">
        <v>246</v>
      </c>
      <c r="L120" s="36"/>
      <c r="M120" s="36" t="s">
        <v>77</v>
      </c>
      <c r="N120" s="36" t="s">
        <v>77</v>
      </c>
      <c r="O120" s="47" t="s">
        <v>77</v>
      </c>
      <c r="Q120" s="2">
        <v>2</v>
      </c>
    </row>
    <row r="121" spans="1:45" ht="15" customHeight="1">
      <c r="A121" t="s">
        <v>71</v>
      </c>
      <c r="B121" t="s">
        <v>86</v>
      </c>
      <c r="C121" s="11">
        <v>46048</v>
      </c>
      <c r="D121" s="6" t="s">
        <v>333</v>
      </c>
      <c r="E121" t="s">
        <v>330</v>
      </c>
      <c r="F121" s="22" t="s">
        <v>75</v>
      </c>
      <c r="G121" s="2" t="s">
        <v>86</v>
      </c>
      <c r="H121" s="33" t="s">
        <v>334</v>
      </c>
      <c r="I121" s="29">
        <f>IF(SUM(Q121:BA121)=0,"-",SUM(Q121:BA121))</f>
        <v>1</v>
      </c>
      <c r="J121" s="45">
        <f t="shared" ref="J121" si="61">IF(SUMPRODUCT($P$5:$AU$5,P121:AU121)=0,"-",SUMPRODUCT($P$5:$AU$5,P121:AU121))</f>
        <v>30</v>
      </c>
      <c r="K121" s="36" t="s">
        <v>246</v>
      </c>
      <c r="L121" s="36"/>
      <c r="M121" s="36" t="s">
        <v>77</v>
      </c>
      <c r="N121" s="36" t="s">
        <v>77</v>
      </c>
      <c r="O121" s="47" t="s">
        <v>77</v>
      </c>
      <c r="Q121" s="2">
        <v>1</v>
      </c>
    </row>
    <row r="122" spans="1:45" ht="15" customHeight="1">
      <c r="A122" t="s">
        <v>71</v>
      </c>
      <c r="B122" t="s">
        <v>86</v>
      </c>
      <c r="C122" s="11">
        <v>46051</v>
      </c>
      <c r="D122" s="6" t="s">
        <v>335</v>
      </c>
      <c r="E122" t="s">
        <v>330</v>
      </c>
      <c r="F122" s="22" t="s">
        <v>75</v>
      </c>
      <c r="G122" s="2" t="s">
        <v>86</v>
      </c>
      <c r="H122" s="33" t="s">
        <v>336</v>
      </c>
      <c r="I122" s="29">
        <f>IF(SUM(Q122:BA122)=0,"-",SUM(Q122:BA122))</f>
        <v>160</v>
      </c>
      <c r="J122" s="45">
        <f t="shared" ref="J122" si="62">IF(SUMPRODUCT($P$5:$AU$5,P122:AU122)=0,"-",SUMPRODUCT($P$5:$AU$5,P122:AU122))</f>
        <v>4800</v>
      </c>
      <c r="K122" s="36" t="s">
        <v>246</v>
      </c>
      <c r="L122" s="36"/>
      <c r="M122" s="36" t="s">
        <v>77</v>
      </c>
      <c r="N122" s="36" t="s">
        <v>77</v>
      </c>
      <c r="O122" s="47" t="s">
        <v>77</v>
      </c>
      <c r="Y122" s="2">
        <v>160</v>
      </c>
    </row>
    <row r="123" spans="1:45" ht="15" customHeight="1">
      <c r="A123" t="s">
        <v>71</v>
      </c>
      <c r="B123" t="s">
        <v>86</v>
      </c>
      <c r="C123" s="11">
        <v>46058</v>
      </c>
      <c r="D123" s="6" t="s">
        <v>337</v>
      </c>
      <c r="E123" t="s">
        <v>330</v>
      </c>
      <c r="F123" s="22" t="s">
        <v>75</v>
      </c>
      <c r="G123" s="2" t="s">
        <v>86</v>
      </c>
      <c r="H123" s="33" t="s">
        <v>338</v>
      </c>
      <c r="I123" s="29">
        <f t="shared" ref="I123:K124" si="63">IF(SUM(Q123:BA123)=0,"-",SUM(Q123:BA123))</f>
        <v>2</v>
      </c>
      <c r="J123" s="45">
        <f t="shared" ref="J123:J124" si="64">IF(SUMPRODUCT($P$5:$AU$5,P123:AU123)=0,"-",SUMPRODUCT($P$5:$AU$5,P123:AU123))</f>
        <v>165</v>
      </c>
      <c r="K123" s="36" t="s">
        <v>246</v>
      </c>
      <c r="L123" s="36"/>
      <c r="M123" s="36" t="s">
        <v>77</v>
      </c>
      <c r="N123" s="36" t="s">
        <v>77</v>
      </c>
      <c r="O123" s="47" t="s">
        <v>77</v>
      </c>
      <c r="X123" s="7">
        <v>1</v>
      </c>
      <c r="Y123" s="2">
        <v>1</v>
      </c>
    </row>
    <row r="124" spans="1:45" ht="15" customHeight="1">
      <c r="A124" t="s">
        <v>71</v>
      </c>
      <c r="B124" t="s">
        <v>86</v>
      </c>
      <c r="C124" s="11">
        <v>46066</v>
      </c>
      <c r="D124" s="6" t="s">
        <v>339</v>
      </c>
      <c r="E124" t="s">
        <v>330</v>
      </c>
      <c r="F124" s="22" t="s">
        <v>75</v>
      </c>
      <c r="G124" s="2" t="s">
        <v>86</v>
      </c>
      <c r="H124" s="33" t="s">
        <v>340</v>
      </c>
      <c r="I124" s="29">
        <f t="shared" si="63"/>
        <v>6</v>
      </c>
      <c r="J124" s="45">
        <f t="shared" si="64"/>
        <v>1080</v>
      </c>
      <c r="K124" s="36" t="s">
        <v>246</v>
      </c>
      <c r="L124" s="36"/>
      <c r="M124" s="36" t="s">
        <v>77</v>
      </c>
      <c r="N124" s="36" t="s">
        <v>77</v>
      </c>
      <c r="O124" s="47" t="s">
        <v>77</v>
      </c>
      <c r="AB124" s="2">
        <v>6</v>
      </c>
    </row>
    <row r="125" spans="1:45" ht="15" customHeight="1">
      <c r="A125" t="s">
        <v>71</v>
      </c>
      <c r="B125" t="s">
        <v>86</v>
      </c>
      <c r="C125" s="11">
        <v>46071</v>
      </c>
      <c r="D125" s="6" t="s">
        <v>341</v>
      </c>
      <c r="E125" t="s">
        <v>185</v>
      </c>
      <c r="F125" s="22" t="s">
        <v>75</v>
      </c>
      <c r="G125" s="2" t="s">
        <v>86</v>
      </c>
      <c r="I125" s="29">
        <f t="shared" ref="I125" si="65">IF(SUM(Q125:BA125)=0,"-",SUM(Q125:BA125))</f>
        <v>19</v>
      </c>
      <c r="J125" s="45">
        <f t="shared" ref="J125" si="66">IF(SUMPRODUCT($P$5:$AU$5,P125:AU125)=0,"-",SUMPRODUCT($P$5:$AU$5,P125:AU125))</f>
        <v>2.2799999999999998</v>
      </c>
      <c r="K125" s="36" t="s">
        <v>246</v>
      </c>
      <c r="L125" s="36"/>
      <c r="M125" s="36" t="s">
        <v>77</v>
      </c>
      <c r="N125" s="36" t="s">
        <v>77</v>
      </c>
      <c r="O125" s="47" t="s">
        <v>77</v>
      </c>
      <c r="AS125" s="7">
        <v>19</v>
      </c>
    </row>
    <row r="126" spans="1:45" ht="15" customHeight="1">
      <c r="A126" t="s">
        <v>71</v>
      </c>
      <c r="B126" t="s">
        <v>86</v>
      </c>
      <c r="C126" s="11">
        <v>46072</v>
      </c>
      <c r="D126" s="6" t="s">
        <v>342</v>
      </c>
      <c r="E126" t="s">
        <v>88</v>
      </c>
      <c r="F126" s="22" t="s">
        <v>75</v>
      </c>
      <c r="G126" s="2" t="s">
        <v>86</v>
      </c>
      <c r="H126" s="33" t="s">
        <v>343</v>
      </c>
      <c r="I126" s="29">
        <f t="shared" ref="I126" si="67">IF(SUM(Q126:BA126)=0,"-",SUM(Q126:BA126))</f>
        <v>2</v>
      </c>
      <c r="J126" s="45">
        <f t="shared" ref="J126" si="68">IF(SUMPRODUCT($P$5:$AU$5,P126:AU126)=0,"-",SUMPRODUCT($P$5:$AU$5,P126:AU126))</f>
        <v>360</v>
      </c>
      <c r="K126" s="36" t="s">
        <v>246</v>
      </c>
      <c r="L126" s="36"/>
      <c r="M126" s="36" t="s">
        <v>77</v>
      </c>
      <c r="N126" s="36" t="s">
        <v>77</v>
      </c>
      <c r="O126" s="47" t="s">
        <v>77</v>
      </c>
      <c r="AB126" s="2">
        <v>2</v>
      </c>
    </row>
    <row r="127" spans="1:45" ht="15" customHeight="1">
      <c r="A127" t="s">
        <v>71</v>
      </c>
      <c r="B127" t="s">
        <v>86</v>
      </c>
      <c r="C127" s="11">
        <v>46090</v>
      </c>
      <c r="D127" s="6" t="s">
        <v>344</v>
      </c>
      <c r="E127" t="s">
        <v>88</v>
      </c>
      <c r="F127" s="22" t="s">
        <v>75</v>
      </c>
      <c r="G127" s="2" t="s">
        <v>86</v>
      </c>
      <c r="I127" s="29">
        <f t="shared" ref="I127:I129" si="69">IF(SUM(Q127:BA127)=0,"-",SUM(Q127:BA127))</f>
        <v>1</v>
      </c>
      <c r="J127" s="45">
        <f t="shared" ref="J127:J129" si="70">IF(SUMPRODUCT($P$5:$AU$5,P127:AU127)=0,"-",SUMPRODUCT($P$5:$AU$5,P127:AU127))</f>
        <v>30</v>
      </c>
      <c r="K127" s="36" t="s">
        <v>246</v>
      </c>
      <c r="L127" s="36"/>
      <c r="M127" s="36" t="s">
        <v>77</v>
      </c>
      <c r="N127" s="36" t="s">
        <v>77</v>
      </c>
      <c r="O127" s="47" t="s">
        <v>77</v>
      </c>
      <c r="Q127" s="2">
        <v>1</v>
      </c>
    </row>
    <row r="128" spans="1:45" ht="15" customHeight="1">
      <c r="A128" t="s">
        <v>71</v>
      </c>
      <c r="B128" t="s">
        <v>86</v>
      </c>
      <c r="C128" s="11">
        <v>46092</v>
      </c>
      <c r="D128" s="6" t="s">
        <v>345</v>
      </c>
      <c r="E128" t="s">
        <v>88</v>
      </c>
      <c r="F128" t="s">
        <v>298</v>
      </c>
      <c r="G128" s="2" t="s">
        <v>86</v>
      </c>
      <c r="H128" s="33" t="s">
        <v>346</v>
      </c>
      <c r="I128" s="29">
        <f t="shared" si="69"/>
        <v>168</v>
      </c>
      <c r="J128" s="45">
        <f t="shared" si="70"/>
        <v>5040</v>
      </c>
      <c r="K128" s="36" t="s">
        <v>246</v>
      </c>
      <c r="L128" s="36"/>
      <c r="M128" s="36" t="s">
        <v>77</v>
      </c>
      <c r="N128" s="36" t="s">
        <v>77</v>
      </c>
      <c r="O128" s="47" t="s">
        <v>77</v>
      </c>
      <c r="Y128" s="2">
        <v>168</v>
      </c>
    </row>
    <row r="129" spans="1:17" ht="15" customHeight="1">
      <c r="A129" t="s">
        <v>71</v>
      </c>
      <c r="B129" t="s">
        <v>86</v>
      </c>
      <c r="C129" s="11">
        <v>46093</v>
      </c>
      <c r="D129" s="6" t="s">
        <v>347</v>
      </c>
      <c r="E129" t="s">
        <v>88</v>
      </c>
      <c r="F129" s="22" t="s">
        <v>75</v>
      </c>
      <c r="G129" s="2" t="s">
        <v>86</v>
      </c>
      <c r="H129" s="33" t="s">
        <v>348</v>
      </c>
      <c r="I129" s="29">
        <f t="shared" si="69"/>
        <v>1</v>
      </c>
      <c r="J129" s="45">
        <f t="shared" si="70"/>
        <v>30</v>
      </c>
      <c r="K129" s="36" t="s">
        <v>246</v>
      </c>
      <c r="L129" s="36"/>
      <c r="M129" s="36" t="s">
        <v>77</v>
      </c>
      <c r="N129" s="36" t="s">
        <v>77</v>
      </c>
      <c r="O129" s="47" t="s">
        <v>77</v>
      </c>
      <c r="Q129" s="2">
        <v>1</v>
      </c>
    </row>
    <row r="130" spans="1:17" ht="15" customHeight="1">
      <c r="C130" s="11"/>
      <c r="D130" s="56"/>
      <c r="J130" s="45"/>
    </row>
    <row r="131" spans="1:17" ht="15" customHeight="1">
      <c r="C131" s="11"/>
      <c r="D131" s="56"/>
      <c r="J131" s="45"/>
    </row>
    <row r="132" spans="1:17" ht="15" customHeight="1">
      <c r="C132" s="11"/>
      <c r="D132" s="56"/>
      <c r="J132" s="45"/>
    </row>
    <row r="133" spans="1:17" ht="15" customHeight="1">
      <c r="C133" s="11"/>
      <c r="D133" s="56"/>
      <c r="J133" s="45"/>
    </row>
    <row r="134" spans="1:17" ht="15" customHeight="1">
      <c r="C134" s="11"/>
      <c r="D134" s="56"/>
      <c r="J134" s="45"/>
    </row>
    <row r="135" spans="1:17" ht="15" customHeight="1">
      <c r="C135" s="11"/>
      <c r="D135" s="56"/>
      <c r="J135" s="45"/>
    </row>
    <row r="136" spans="1:17" ht="15" customHeight="1">
      <c r="C136" s="11"/>
      <c r="D136" s="56"/>
      <c r="J136" s="45"/>
    </row>
    <row r="137" spans="1:17" ht="15" customHeight="1">
      <c r="C137" s="11"/>
      <c r="D137" s="56"/>
      <c r="J137" s="45"/>
    </row>
    <row r="138" spans="1:17" ht="15" customHeight="1">
      <c r="C138" s="11"/>
      <c r="D138" s="56"/>
      <c r="J138" s="45"/>
    </row>
    <row r="139" spans="1:17" ht="15" customHeight="1">
      <c r="C139" s="11"/>
      <c r="D139" s="56"/>
      <c r="J139" s="45"/>
    </row>
    <row r="140" spans="1:17" ht="15" customHeight="1">
      <c r="C140" s="11"/>
      <c r="D140" s="56"/>
      <c r="J140" s="45"/>
    </row>
    <row r="141" spans="1:17" ht="15" customHeight="1">
      <c r="C141" s="11"/>
      <c r="D141" s="56"/>
      <c r="J141" s="45"/>
    </row>
    <row r="142" spans="1:17" ht="15" customHeight="1">
      <c r="C142" s="11"/>
      <c r="D142" s="56"/>
      <c r="J142" s="45"/>
    </row>
    <row r="143" spans="1:17" ht="15" customHeight="1">
      <c r="C143" s="11"/>
      <c r="D143" s="56"/>
      <c r="J143" s="45"/>
    </row>
    <row r="144" spans="1:17" ht="15" customHeight="1">
      <c r="C144" s="11"/>
      <c r="D144" s="56"/>
      <c r="J144" s="45"/>
    </row>
    <row r="145" spans="1:15" ht="15" customHeight="1">
      <c r="C145" s="11"/>
      <c r="D145" s="56"/>
      <c r="J145" s="45"/>
    </row>
    <row r="146" spans="1:15" ht="15" customHeight="1">
      <c r="C146" s="11"/>
      <c r="D146" s="56"/>
      <c r="J146" s="45"/>
    </row>
    <row r="147" spans="1:15" ht="15" customHeight="1">
      <c r="C147" s="11"/>
      <c r="D147" s="56"/>
      <c r="J147" s="45"/>
    </row>
    <row r="148" spans="1:15" ht="15" customHeight="1">
      <c r="C148" s="11"/>
      <c r="D148" s="56"/>
      <c r="J148" s="45"/>
    </row>
    <row r="149" spans="1:15" ht="15" customHeight="1">
      <c r="D149" s="56"/>
      <c r="J149" s="45"/>
    </row>
    <row r="150" spans="1:15" ht="15" customHeight="1">
      <c r="D150" s="56"/>
      <c r="J150" s="45"/>
    </row>
    <row r="151" spans="1:15" ht="15" customHeight="1">
      <c r="A151" s="49"/>
      <c r="B151" s="49"/>
      <c r="C151" s="49"/>
      <c r="D151" s="51" t="s">
        <v>349</v>
      </c>
      <c r="E151" s="49"/>
      <c r="F151" s="49"/>
      <c r="G151" s="48"/>
      <c r="H151" s="49"/>
      <c r="I151" s="52" t="s">
        <v>350</v>
      </c>
      <c r="J151" s="53">
        <f>SUM(J74:J150)</f>
        <v>52561.32</v>
      </c>
      <c r="K151" s="49"/>
      <c r="L151" s="48"/>
      <c r="M151" s="49"/>
      <c r="N151" s="49"/>
      <c r="O151" s="50"/>
    </row>
  </sheetData>
  <autoFilter ref="A5:AT112" xr:uid="{EF6D707C-BDD5-416B-AAF3-2924671B11B3}">
    <sortState xmlns:xlrd2="http://schemas.microsoft.com/office/spreadsheetml/2017/richdata2" ref="A6:AT7">
      <sortCondition ref="C5"/>
    </sortState>
  </autoFilter>
  <mergeCells count="8">
    <mergeCell ref="AJ3:AP3"/>
    <mergeCell ref="AQ3:AR3"/>
    <mergeCell ref="AS3:AT3"/>
    <mergeCell ref="A4:D4"/>
    <mergeCell ref="E4:M4"/>
    <mergeCell ref="P3:W3"/>
    <mergeCell ref="X3:AD3"/>
    <mergeCell ref="AF3:AI3"/>
  </mergeCells>
  <conditionalFormatting sqref="J151">
    <cfRule type="cellIs" dxfId="0" priority="1" operator="greaterThanOrEqual">
      <formula>75000</formula>
    </cfRule>
  </conditionalFormatting>
  <hyperlinks>
    <hyperlink ref="H6" r:id="rId1" xr:uid="{1EB9E516-657A-4B61-A71B-9B87704325F4}"/>
    <hyperlink ref="H7" r:id="rId2" xr:uid="{62DBB98E-E9D6-4C23-8825-F5ABEB978E52}"/>
    <hyperlink ref="H8" r:id="rId3" xr:uid="{7130ED61-962B-414B-8F11-2FB99E566424}"/>
    <hyperlink ref="H9" r:id="rId4" xr:uid="{38B2857D-302D-4082-9B4D-55538B89C489}"/>
    <hyperlink ref="H10" r:id="rId5" xr:uid="{FFDBDDBF-748F-46CE-9C95-9B6A1E7A285E}"/>
    <hyperlink ref="H11" r:id="rId6" xr:uid="{3582F9F9-E3B3-40D1-879D-07BFE3E8EB97}"/>
    <hyperlink ref="H12" r:id="rId7" xr:uid="{A81AEB63-3C43-4B59-B048-F6DE6051C5F9}"/>
    <hyperlink ref="H14" r:id="rId8" xr:uid="{C55671D3-CE6C-4D3C-A9F5-5B14E5919E9F}"/>
    <hyperlink ref="H13" r:id="rId9" xr:uid="{0E2C3EAA-FC59-491F-BC27-013A0EF61D99}"/>
    <hyperlink ref="H15" r:id="rId10" xr:uid="{AD7A5882-A09F-4E78-81C9-89CBBD34E4D3}"/>
    <hyperlink ref="H16" r:id="rId11" xr:uid="{C0CD25A6-9349-4D8A-BFD9-7A1F36FF3DBA}"/>
    <hyperlink ref="H17" r:id="rId12" xr:uid="{3BDC2A2B-43B6-4A26-8E4E-1F510DE1B703}"/>
    <hyperlink ref="H18" r:id="rId13" xr:uid="{06F53FD7-A4E5-40AF-A3AE-92CC8CF3C65B}"/>
    <hyperlink ref="H19" r:id="rId14" xr:uid="{CB9F84D9-941F-4492-9643-425A85AA733F}"/>
    <hyperlink ref="H20" r:id="rId15" xr:uid="{7884DCE0-573B-4F19-85ED-2699BB073D38}"/>
    <hyperlink ref="H23" r:id="rId16" xr:uid="{DAF0353D-1934-44A3-91ED-6A0FF29468C0}"/>
    <hyperlink ref="H24" r:id="rId17" xr:uid="{0EFBE405-D7D4-46C0-8ECB-7931D31416B6}"/>
    <hyperlink ref="H25" r:id="rId18" xr:uid="{C7409424-8A8C-455D-92A4-A40D97C50C4C}"/>
    <hyperlink ref="H26" r:id="rId19" xr:uid="{954C3CA3-9CE5-4C13-8429-BF3FF12FC203}"/>
    <hyperlink ref="H28" r:id="rId20" xr:uid="{F072FEBE-A4E4-4130-BF7E-5FD434425BAF}"/>
    <hyperlink ref="H29" r:id="rId21" xr:uid="{32FB9555-7353-42C2-8773-8F39E0802E39}"/>
    <hyperlink ref="H32" r:id="rId22" xr:uid="{10BEED16-443B-447F-A677-BB006226DC3C}"/>
    <hyperlink ref="H34" r:id="rId23" xr:uid="{697FC345-6079-4938-BDEC-3AF074DA003B}"/>
    <hyperlink ref="H35" r:id="rId24" xr:uid="{CAE38B1E-7D01-452F-8138-A3E4E4E788B2}"/>
    <hyperlink ref="H38" r:id="rId25" xr:uid="{182DB5A2-057D-4847-96C6-E2369CDD3CF2}"/>
    <hyperlink ref="H36" r:id="rId26" xr:uid="{D703559A-16C7-47AD-A753-153FC27B10A3}"/>
    <hyperlink ref="H39" r:id="rId27" xr:uid="{7ED278D3-8C22-4429-BE6C-15BC65984CB0}"/>
    <hyperlink ref="H43" r:id="rId28" xr:uid="{5B7E23D7-CCAF-4E43-A823-EA8773EBE219}"/>
    <hyperlink ref="H45" r:id="rId29" xr:uid="{F4686CEC-ADAC-4556-B55A-DF2C76645547}"/>
    <hyperlink ref="H46" r:id="rId30" xr:uid="{E5B6DADA-D8CC-4C98-8C76-F9C0DA7E94CA}"/>
    <hyperlink ref="H47" r:id="rId31" xr:uid="{882E09F6-E510-4CF5-B06B-DC74EA45218D}"/>
    <hyperlink ref="H48" r:id="rId32" xr:uid="{9DF3E5F5-A684-46F7-9D88-96459FBC2546}"/>
    <hyperlink ref="H49" r:id="rId33" xr:uid="{1E178D19-8244-4717-B719-B094CAA54AB3}"/>
    <hyperlink ref="H50" r:id="rId34" xr:uid="{0A893E58-52DE-4DD0-B144-3F5C8E67D869}"/>
    <hyperlink ref="H51" r:id="rId35" xr:uid="{0E5E32CE-BEFE-4F61-9EAD-20337EFF4C98}"/>
    <hyperlink ref="H52" r:id="rId36" xr:uid="{5E9C0E89-50CA-483B-8372-D25294C974BC}"/>
    <hyperlink ref="H53" r:id="rId37" xr:uid="{9077CBEB-C6BE-48AE-881C-CD87F544EB58}"/>
    <hyperlink ref="H54" r:id="rId38" xr:uid="{6D230DE5-9904-4852-A6B5-7BC33E7BA619}"/>
    <hyperlink ref="H56" r:id="rId39" xr:uid="{02286D11-27DD-45E6-BFBD-E01427B3186D}"/>
    <hyperlink ref="H55" r:id="rId40" xr:uid="{7971F335-72C4-4551-AC11-B86C278A4954}"/>
    <hyperlink ref="H41" r:id="rId41" xr:uid="{2A96B61C-AEAC-4B9A-B07B-00178DAB271B}"/>
    <hyperlink ref="H22" r:id="rId42" xr:uid="{9F437312-BF60-458C-BF44-150560B6850A}"/>
    <hyperlink ref="H40" r:id="rId43" xr:uid="{39368A19-7671-42DD-9387-029A5FFA52FE}"/>
    <hyperlink ref="H42" r:id="rId44" xr:uid="{07402537-3D78-4EC3-B7F4-946B6C19D1D3}"/>
    <hyperlink ref="H57" r:id="rId45" xr:uid="{D353941F-7C3D-4F6A-B1CF-2C79240F3AA5}"/>
    <hyperlink ref="H59" r:id="rId46" xr:uid="{0C1F4AFA-6528-4212-8EFC-5AD1A5D7BDF6}"/>
    <hyperlink ref="H58" r:id="rId47" xr:uid="{466B329B-B81C-45F0-BAA2-DBBE8909FDDD}"/>
    <hyperlink ref="H60" r:id="rId48" xr:uid="{4AD6E0E7-6CBA-4192-814F-6FAE3F088C34}"/>
    <hyperlink ref="H61" r:id="rId49" xr:uid="{F165D740-3349-4558-91E7-9F3F128636C4}"/>
    <hyperlink ref="H64" r:id="rId50" xr:uid="{5ACED69F-0280-4071-8AC7-DE72821FDBFC}"/>
    <hyperlink ref="H65" r:id="rId51" xr:uid="{C16B58DF-7513-47F6-8AE0-7CE13331EAA1}"/>
    <hyperlink ref="H66" r:id="rId52" xr:uid="{781BC6D2-C84D-4937-86A6-C8840433418C}"/>
    <hyperlink ref="H67" r:id="rId53" xr:uid="{5E091681-3A0D-4CC1-BD54-7C9A097CA756}"/>
    <hyperlink ref="H68" r:id="rId54" xr:uid="{4BDB6C6F-3C62-4790-B87A-DCCD5052BC6B}"/>
    <hyperlink ref="H69" r:id="rId55" xr:uid="{EAA42F35-E725-48E5-B221-9F4BC14C6C4D}"/>
    <hyperlink ref="H70" r:id="rId56" xr:uid="{006EB8E2-B7D3-452D-B939-2A1C3BA31C26}"/>
    <hyperlink ref="H71" r:id="rId57" xr:uid="{9CD0F92D-1A6B-482F-97EC-484B1229EA4B}"/>
    <hyperlink ref="H74" r:id="rId58" xr:uid="{316B7886-EE30-46F9-8E97-2C2F7D945A60}"/>
    <hyperlink ref="H75" r:id="rId59" xr:uid="{95A6CCEA-70C1-4945-AE59-2EB03C1E78A7}"/>
    <hyperlink ref="H76" r:id="rId60" xr:uid="{866AC887-5D9D-4869-B8D9-E751B2DC55C1}"/>
    <hyperlink ref="H78" r:id="rId61" xr:uid="{A7A931BD-01F1-46C5-A214-978144886302}"/>
    <hyperlink ref="H79" r:id="rId62" xr:uid="{AC96D2E2-5701-4F8D-84A3-D0469FEBE41D}"/>
    <hyperlink ref="H82" r:id="rId63" xr:uid="{F56569D9-E7E3-44D1-9781-6C54BA4FE1C0}"/>
    <hyperlink ref="H83" r:id="rId64" xr:uid="{FACB89A9-F19A-402A-B021-10856B93BF26}"/>
    <hyperlink ref="H85" r:id="rId65" xr:uid="{B9D5577F-4F9F-4C10-9B8C-2641203F6EFB}"/>
    <hyperlink ref="H84" r:id="rId66" xr:uid="{B0B2DA47-C017-48EB-A9FF-05B2F248D7E1}"/>
    <hyperlink ref="H86" r:id="rId67" xr:uid="{4688D262-5E1B-4435-804A-CCD9A5404AD4}"/>
    <hyperlink ref="H87" r:id="rId68" xr:uid="{EEBA0A82-D941-4B46-86DD-F74CAA9668E1}"/>
    <hyperlink ref="H88" r:id="rId69" xr:uid="{D3A87631-02A9-464F-998B-DED31020AB9C}"/>
    <hyperlink ref="H89" r:id="rId70" xr:uid="{578A7279-00FE-44C7-88A8-ED8E3CB810C0}"/>
    <hyperlink ref="H91" r:id="rId71" xr:uid="{3DF6FECA-2BDD-405C-A510-CA781CA18FA9}"/>
    <hyperlink ref="H93" r:id="rId72" xr:uid="{E7281647-2125-4C35-8B4C-B37BBC402F2F}"/>
    <hyperlink ref="H92" r:id="rId73" xr:uid="{F710A877-D14D-4952-BCD0-A78681A84E9F}"/>
    <hyperlink ref="H94" r:id="rId74" xr:uid="{6F84662F-B1F1-4202-B846-8DB88F7146C8}"/>
    <hyperlink ref="H96" r:id="rId75" xr:uid="{AA0E70AA-8254-4D6C-B05B-5805AE4B2C41}"/>
    <hyperlink ref="H97" r:id="rId76" xr:uid="{3CFB554B-DCE5-4721-ACDE-E501CE04416F}"/>
    <hyperlink ref="H99" r:id="rId77" xr:uid="{4C7F7573-92F1-4F82-893A-4FFA46AED6AB}"/>
    <hyperlink ref="H100" r:id="rId78" xr:uid="{CCB7E0A3-0D66-47EA-AF45-2EBAE1326F34}"/>
    <hyperlink ref="H104" r:id="rId79" xr:uid="{1D8121B8-6F82-4F58-9D3E-155FB32EA55E}"/>
    <hyperlink ref="H102" r:id="rId80" xr:uid="{659E7C0A-3A6F-4FF5-AA23-B30640EC7A07}"/>
    <hyperlink ref="H105" r:id="rId81" xr:uid="{991D893E-A35F-4F39-AC84-CE0BA4CB2791}"/>
    <hyperlink ref="H101" r:id="rId82" xr:uid="{3B7D88CF-326E-4F6F-A4FD-3522FBD33B9E}"/>
    <hyperlink ref="H106" r:id="rId83" xr:uid="{59A66DA3-58BC-44CE-A361-2B446DFA44EC}"/>
    <hyperlink ref="H107" r:id="rId84" xr:uid="{20CB06FB-81D5-4541-986D-51C623EF1D6B}"/>
    <hyperlink ref="H108" r:id="rId85" xr:uid="{9183692D-CCC8-4ADE-B9B4-F3A5C74EDFF2}"/>
    <hyperlink ref="H109" r:id="rId86" xr:uid="{EBC2B757-FD82-41E0-892D-56AE7E06DD22}"/>
    <hyperlink ref="H110" r:id="rId87" xr:uid="{1FBCE291-C0F8-4393-863F-CB95D5F3EB4B}"/>
    <hyperlink ref="H112" r:id="rId88" xr:uid="{C99C52F9-7E4D-4A30-BE13-4B7339DAE0F7}"/>
    <hyperlink ref="H111" r:id="rId89" xr:uid="{EBC8F481-316A-4B06-8A8A-CA64DEEB7C70}"/>
    <hyperlink ref="H113" r:id="rId90" xr:uid="{C0C76C67-AB1F-4D8C-9EA7-B742AB3DC3F0}"/>
    <hyperlink ref="H114" r:id="rId91" xr:uid="{00AEC430-EE98-432F-8563-D4649B800712}"/>
    <hyperlink ref="H115" r:id="rId92" xr:uid="{5DE83B9D-B90A-4B62-B596-FB812F154DFA}"/>
    <hyperlink ref="H116" r:id="rId93" xr:uid="{4E6645D7-54C5-4664-B088-636265033DFC}"/>
    <hyperlink ref="H117" r:id="rId94" xr:uid="{5C8D322B-2D67-4370-BAD6-666638CEB7C1}"/>
    <hyperlink ref="H118" r:id="rId95" xr:uid="{4F05E5D2-79CF-408F-885A-DA271D0BDDE9}"/>
    <hyperlink ref="H119" r:id="rId96" xr:uid="{0E0FF281-5987-44FA-B1DB-327CDEF27025}"/>
    <hyperlink ref="H120" r:id="rId97" xr:uid="{AB8BCC9A-4902-42C5-A9B4-EE8166E1CC8D}"/>
    <hyperlink ref="H121" r:id="rId98" xr:uid="{6ABD0745-107B-4505-AB13-5D140D85806E}"/>
    <hyperlink ref="H122" r:id="rId99" xr:uid="{0BF73C3B-F571-4FB4-9224-EF4FF02E83B9}"/>
    <hyperlink ref="H124" r:id="rId100" xr:uid="{5B84E763-B2D3-4EBB-84CC-E1F2B259EEDC}"/>
    <hyperlink ref="H123" r:id="rId101" xr:uid="{2F3F97B5-75BE-4F8F-B9D6-FB143B03AA71}"/>
    <hyperlink ref="H126" r:id="rId102" xr:uid="{E1DB3618-4E4B-478B-B03E-8CBE2B275D1F}"/>
    <hyperlink ref="H128" r:id="rId103" xr:uid="{B9F25BFF-4402-4EEA-8DBB-67B724D27CA0}"/>
    <hyperlink ref="H129" r:id="rId104" xr:uid="{04F5A3DB-ED67-4651-8BEE-49EA9A876614}"/>
  </hyperlinks>
  <pageMargins left="0.7" right="0.7" top="0.75" bottom="0.75" header="0.3" footer="0.3"/>
  <pageSetup paperSize="9" orientation="portrait"/>
  <legacyDrawing r:id="rId10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5E96-9193-4816-932A-9AA1EA454600}">
  <dimension ref="A1:BA526"/>
  <sheetViews>
    <sheetView workbookViewId="0">
      <pane xSplit="4" ySplit="5" topLeftCell="E6" activePane="bottomRight" state="frozen"/>
      <selection pane="bottomRight" activeCell="K21" sqref="K21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8.7109375" customWidth="1"/>
    <col min="3" max="3" width="11.5703125" customWidth="1"/>
    <col min="4" max="4" width="46.5703125" style="21" customWidth="1"/>
    <col min="5" max="5" width="20.28515625" customWidth="1"/>
    <col min="6" max="6" width="10.5703125" bestFit="1" customWidth="1"/>
    <col min="7" max="7" width="9.140625" style="2"/>
    <col min="8" max="8" width="24.7109375" customWidth="1"/>
    <col min="9" max="9" width="9.140625" style="2"/>
    <col min="10" max="10" width="17.7109375" style="67" customWidth="1"/>
    <col min="11" max="11" width="17.7109375" customWidth="1"/>
    <col min="12" max="12" width="6" style="2" bestFit="1" customWidth="1"/>
    <col min="13" max="13" width="14.85546875" style="2" bestFit="1" customWidth="1"/>
    <col min="14" max="14" width="12.140625" style="2" bestFit="1" customWidth="1"/>
    <col min="15" max="15" width="29.140625" style="68" bestFit="1" customWidth="1"/>
    <col min="16" max="16" width="15.42578125" style="7" customWidth="1"/>
    <col min="17" max="18" width="15.42578125" style="2" customWidth="1"/>
    <col min="19" max="19" width="19.7109375" style="2" customWidth="1"/>
    <col min="20" max="20" width="12.140625" style="2" customWidth="1"/>
    <col min="21" max="23" width="12" style="2" customWidth="1"/>
    <col min="24" max="24" width="12" style="7" customWidth="1"/>
    <col min="25" max="30" width="12" style="2" customWidth="1"/>
    <col min="31" max="32" width="12" style="7" customWidth="1"/>
    <col min="33" max="35" width="12" style="2" customWidth="1"/>
    <col min="36" max="36" width="12" style="7" customWidth="1"/>
    <col min="37" max="37" width="12.85546875" style="2" customWidth="1"/>
    <col min="38" max="39" width="13.140625" style="2" customWidth="1"/>
    <col min="40" max="40" width="14" style="2" customWidth="1"/>
    <col min="41" max="42" width="12" style="2" customWidth="1"/>
    <col min="43" max="43" width="12" style="7" customWidth="1"/>
    <col min="44" max="44" width="12" style="2" customWidth="1"/>
    <col min="45" max="45" width="12" style="7" customWidth="1"/>
    <col min="46" max="46" width="12" style="2" customWidth="1"/>
    <col min="47" max="47" width="16.42578125" style="10" customWidth="1"/>
    <col min="48" max="48" width="16.42578125" customWidth="1"/>
  </cols>
  <sheetData>
    <row r="1" spans="1:53" hidden="1">
      <c r="J1" s="44">
        <f>SUBTOTAL(2,J6:J19930)</f>
        <v>7</v>
      </c>
      <c r="P1" s="44">
        <f>SUBTOTAL(2,P6:P19883)</f>
        <v>4</v>
      </c>
      <c r="Q1" s="44">
        <f>SUBTOTAL(2,Q6:Q19883)</f>
        <v>1</v>
      </c>
      <c r="R1" s="44">
        <f>SUBTOTAL(2,R6:R19883)</f>
        <v>0</v>
      </c>
      <c r="S1" s="44">
        <f>SUBTOTAL(2,S6:S19883)</f>
        <v>0</v>
      </c>
      <c r="T1" s="44">
        <f>SUBTOTAL(2,T6:T19883)</f>
        <v>0</v>
      </c>
      <c r="U1" s="44">
        <f>SUBTOTAL(2,U6:U19883)</f>
        <v>0</v>
      </c>
      <c r="V1" s="44">
        <f>SUBTOTAL(2,V6:V19883)</f>
        <v>0</v>
      </c>
      <c r="W1" s="44">
        <f>SUBTOTAL(2,W6:W19883)</f>
        <v>1</v>
      </c>
      <c r="X1" s="44">
        <f>SUBTOTAL(2,X6:X19883)</f>
        <v>1</v>
      </c>
      <c r="Y1" s="44">
        <f>SUBTOTAL(2,Y6:Y19883)</f>
        <v>0</v>
      </c>
      <c r="Z1" s="44">
        <f>SUBTOTAL(2,Z6:Z19883)</f>
        <v>0</v>
      </c>
      <c r="AA1" s="44">
        <f>SUBTOTAL(2,AA6:AA19883)</f>
        <v>0</v>
      </c>
      <c r="AB1" s="44">
        <f>SUBTOTAL(2,AB6:AB19883)</f>
        <v>0</v>
      </c>
      <c r="AC1" s="44">
        <f>SUBTOTAL(2,AC6:AC19883)</f>
        <v>0</v>
      </c>
      <c r="AD1" s="44">
        <f>SUBTOTAL(2,AD6:AD19883)</f>
        <v>0</v>
      </c>
      <c r="AE1" s="44">
        <f>SUBTOTAL(2,AE6:AE19883)</f>
        <v>0</v>
      </c>
      <c r="AF1" s="44">
        <f>SUBTOTAL(2,AF6:AF19883)</f>
        <v>0</v>
      </c>
      <c r="AG1" s="44">
        <f>SUBTOTAL(2,AG6:AG19883)</f>
        <v>0</v>
      </c>
      <c r="AH1" s="44">
        <f>SUBTOTAL(2,AH6:AH19883)</f>
        <v>0</v>
      </c>
      <c r="AI1" s="44">
        <f>SUBTOTAL(2,AI6:AI19883)</f>
        <v>0</v>
      </c>
      <c r="AJ1" s="44">
        <f>SUBTOTAL(2,AJ6:AJ19883)</f>
        <v>0</v>
      </c>
      <c r="AK1" s="44">
        <f>SUBTOTAL(2,AK6:AK19883)</f>
        <v>0</v>
      </c>
      <c r="AL1" s="44"/>
      <c r="AM1" s="44">
        <f>SUBTOTAL(2,AM6:AM19883)</f>
        <v>0</v>
      </c>
      <c r="AN1" s="44">
        <f>SUBTOTAL(2,AN6:AN19883)</f>
        <v>0</v>
      </c>
      <c r="AO1" s="44">
        <f>SUBTOTAL(2,AO6:AO19883)</f>
        <v>0</v>
      </c>
      <c r="AP1" s="44">
        <f>SUBTOTAL(2,AP6:AP19883)</f>
        <v>0</v>
      </c>
      <c r="AQ1" s="44">
        <f>SUBTOTAL(2,AQ6:AQ19883)</f>
        <v>0</v>
      </c>
      <c r="AR1" s="44">
        <f>SUBTOTAL(2,AR6:AR19883)</f>
        <v>0</v>
      </c>
      <c r="AS1" s="44">
        <f>SUBTOTAL(2,AS6:AS19883)</f>
        <v>0</v>
      </c>
      <c r="AT1" s="44">
        <f>SUBTOTAL(2,AT6:AT19883)</f>
        <v>0</v>
      </c>
    </row>
    <row r="2" spans="1:53" hidden="1">
      <c r="I2" s="44">
        <f>SUBTOTAL(9,I6:I19931)</f>
        <v>26</v>
      </c>
      <c r="J2" s="44">
        <f>SUBTOTAL(9,J6:J19931)</f>
        <v>11955</v>
      </c>
      <c r="P2" s="44">
        <f>SUBTOTAL(9,P6:P19884)*P5</f>
        <v>1050</v>
      </c>
      <c r="Q2" s="44">
        <f>SUBTOTAL(9,Q6:Q19884)*Q5</f>
        <v>35</v>
      </c>
      <c r="R2" s="44">
        <f>SUBTOTAL(9,R6:R19884)*R5</f>
        <v>0</v>
      </c>
      <c r="S2" s="44">
        <f>SUBTOTAL(9,S6:S19884)*S5</f>
        <v>0</v>
      </c>
      <c r="T2" s="44">
        <f>SUBTOTAL(9,T6:T19884)*T5</f>
        <v>0</v>
      </c>
      <c r="U2" s="44">
        <f>SUBTOTAL(9,U6:U19884)*U5</f>
        <v>0</v>
      </c>
      <c r="V2" s="44">
        <f>SUBTOTAL(9,V6:V19884)*V5</f>
        <v>0</v>
      </c>
      <c r="W2" s="44">
        <f>SUBTOTAL(9,W6:W19884)*W5</f>
        <v>600</v>
      </c>
      <c r="X2" s="44">
        <f>SUBTOTAL(9,X6:X19884)*X5</f>
        <v>270</v>
      </c>
      <c r="Y2" s="44">
        <f>SUBTOTAL(9,Y6:Y19884)*Y5</f>
        <v>0</v>
      </c>
      <c r="Z2" s="44">
        <f>SUBTOTAL(9,Z6:Z19884)*Z5</f>
        <v>0</v>
      </c>
      <c r="AA2" s="44">
        <f>SUBTOTAL(9,AA6:AA19884)*AA5</f>
        <v>0</v>
      </c>
      <c r="AB2" s="44">
        <f>SUBTOTAL(9,AB6:AB19884)*AB5</f>
        <v>0</v>
      </c>
      <c r="AC2" s="44">
        <f>SUBTOTAL(9,AC6:AC19884)*AC5</f>
        <v>0</v>
      </c>
      <c r="AD2" s="44">
        <f>SUBTOTAL(9,AD6:AD19884)*AD5</f>
        <v>0</v>
      </c>
      <c r="AE2" s="44">
        <f>SUBTOTAL(9,AE6:AE19884)*AE5</f>
        <v>0</v>
      </c>
      <c r="AF2" s="44">
        <f>SUBTOTAL(9,AF6:AF19884)*AF5</f>
        <v>0</v>
      </c>
      <c r="AG2" s="44">
        <f>SUBTOTAL(9,AG6:AG19884)*AG5</f>
        <v>0</v>
      </c>
      <c r="AH2" s="44">
        <f>SUBTOTAL(9,AH6:AH19884)*AH5</f>
        <v>0</v>
      </c>
      <c r="AI2" s="44">
        <f>SUBTOTAL(9,AI6:AI19884)*AI5</f>
        <v>0</v>
      </c>
      <c r="AJ2" s="44">
        <f>SUBTOTAL(9,AJ6:AJ19884)*AJ5</f>
        <v>0</v>
      </c>
      <c r="AK2" s="44">
        <f>SUBTOTAL(9,AK6:AK19884)*AK5</f>
        <v>0</v>
      </c>
      <c r="AL2" s="44"/>
      <c r="AM2" s="44">
        <f>SUBTOTAL(9,AM6:AM19884)*AM5</f>
        <v>0</v>
      </c>
      <c r="AN2" s="44">
        <f>SUBTOTAL(9,AN6:AN19884)*AN5</f>
        <v>0</v>
      </c>
      <c r="AO2" s="44">
        <f>SUBTOTAL(9,AO6:AO19884)*AO5</f>
        <v>0</v>
      </c>
      <c r="AP2" s="44">
        <f>SUBTOTAL(9,AP6:AP19884)*AP5</f>
        <v>0</v>
      </c>
      <c r="AQ2" s="44">
        <f>SUBTOTAL(9,AQ6:AQ19884)*AQ5</f>
        <v>0</v>
      </c>
      <c r="AR2" s="44">
        <f>SUBTOTAL(9,AR6:AR19884)*AR5</f>
        <v>0</v>
      </c>
      <c r="AS2" s="44">
        <f>SUBTOTAL(9,AS6:AS19884)*AS5</f>
        <v>0</v>
      </c>
      <c r="AT2" s="44">
        <f>SUBTOTAL(9,AT6:AT19884)*AT5</f>
        <v>0</v>
      </c>
    </row>
    <row r="3" spans="1:53" s="6" customFormat="1">
      <c r="A3" s="4" t="s">
        <v>16</v>
      </c>
      <c r="B3" s="4"/>
      <c r="C3" s="4"/>
      <c r="D3" s="19"/>
      <c r="E3" s="4"/>
      <c r="F3" s="1"/>
      <c r="G3" s="1"/>
      <c r="H3" s="4"/>
      <c r="I3" s="1"/>
      <c r="J3" s="5"/>
      <c r="K3" s="4"/>
      <c r="L3" s="1"/>
      <c r="M3" s="1"/>
      <c r="N3" s="1"/>
      <c r="O3" s="1"/>
      <c r="P3" s="100" t="s">
        <v>17</v>
      </c>
      <c r="Q3" s="100"/>
      <c r="R3" s="100"/>
      <c r="S3" s="100"/>
      <c r="T3" s="100"/>
      <c r="U3" s="100"/>
      <c r="V3" s="1"/>
      <c r="W3" s="100" t="s">
        <v>18</v>
      </c>
      <c r="X3" s="100"/>
      <c r="Y3" s="100"/>
      <c r="Z3" s="100"/>
      <c r="AA3" s="100"/>
      <c r="AB3" s="1"/>
      <c r="AC3" s="8" t="s">
        <v>19</v>
      </c>
      <c r="AD3" s="100" t="s">
        <v>20</v>
      </c>
      <c r="AE3" s="100"/>
      <c r="AF3" s="100"/>
      <c r="AG3" s="100"/>
      <c r="AH3" s="100" t="s">
        <v>21</v>
      </c>
      <c r="AI3" s="100"/>
      <c r="AJ3" s="100"/>
      <c r="AK3" s="100"/>
      <c r="AL3" s="100"/>
      <c r="AM3" s="100"/>
      <c r="AN3" s="100"/>
      <c r="AO3" s="100" t="s">
        <v>351</v>
      </c>
      <c r="AP3" s="100"/>
      <c r="AQ3" s="100"/>
      <c r="AR3" s="100"/>
      <c r="AS3" s="100" t="s">
        <v>23</v>
      </c>
      <c r="AT3" s="100"/>
      <c r="AU3" s="9"/>
    </row>
    <row r="4" spans="1:53" s="27" customFormat="1" ht="48.75" customHeight="1">
      <c r="A4" s="101" t="s">
        <v>24</v>
      </c>
      <c r="B4" s="101"/>
      <c r="C4" s="101"/>
      <c r="D4" s="101"/>
      <c r="E4" s="101" t="s">
        <v>25</v>
      </c>
      <c r="F4" s="101"/>
      <c r="G4" s="101"/>
      <c r="H4" s="101"/>
      <c r="I4" s="101"/>
      <c r="J4" s="101"/>
      <c r="K4" s="101"/>
      <c r="L4" s="101"/>
      <c r="M4" s="102"/>
      <c r="N4" s="24"/>
      <c r="O4" s="24"/>
      <c r="P4" s="23" t="s">
        <v>26</v>
      </c>
      <c r="Q4" s="59" t="s">
        <v>352</v>
      </c>
      <c r="R4" s="24" t="s">
        <v>28</v>
      </c>
      <c r="S4" s="24" t="s">
        <v>29</v>
      </c>
      <c r="T4" s="24" t="s">
        <v>30</v>
      </c>
      <c r="U4" s="24" t="s">
        <v>31</v>
      </c>
      <c r="V4" s="24" t="s">
        <v>33</v>
      </c>
      <c r="W4" s="31" t="s">
        <v>34</v>
      </c>
      <c r="X4" s="24" t="s">
        <v>35</v>
      </c>
      <c r="Y4" s="24" t="s">
        <v>36</v>
      </c>
      <c r="Z4" s="24" t="s">
        <v>37</v>
      </c>
      <c r="AA4" s="24" t="s">
        <v>38</v>
      </c>
      <c r="AB4" s="24" t="s">
        <v>40</v>
      </c>
      <c r="AC4" s="23" t="s">
        <v>41</v>
      </c>
      <c r="AD4" s="23" t="s">
        <v>42</v>
      </c>
      <c r="AE4" s="24" t="s">
        <v>43</v>
      </c>
      <c r="AF4" s="24" t="s">
        <v>44</v>
      </c>
      <c r="AG4" s="24" t="s">
        <v>45</v>
      </c>
      <c r="AH4" s="23" t="s">
        <v>46</v>
      </c>
      <c r="AI4" s="30" t="s">
        <v>353</v>
      </c>
      <c r="AJ4" s="30" t="s">
        <v>48</v>
      </c>
      <c r="AK4" s="30" t="s">
        <v>49</v>
      </c>
      <c r="AL4" s="30" t="s">
        <v>354</v>
      </c>
      <c r="AM4" s="30" t="s">
        <v>50</v>
      </c>
      <c r="AN4" s="24" t="s">
        <v>51</v>
      </c>
      <c r="AO4" s="60" t="s">
        <v>355</v>
      </c>
      <c r="AP4" s="59" t="s">
        <v>356</v>
      </c>
      <c r="AQ4" s="59" t="s">
        <v>357</v>
      </c>
      <c r="AR4" s="30" t="s">
        <v>358</v>
      </c>
      <c r="AS4" s="23" t="s">
        <v>55</v>
      </c>
      <c r="AT4" s="24" t="s">
        <v>359</v>
      </c>
      <c r="AU4" s="25"/>
      <c r="AV4" s="26"/>
      <c r="AW4" s="26"/>
      <c r="AX4" s="26"/>
      <c r="AY4" s="26"/>
      <c r="AZ4" s="26"/>
      <c r="BA4" s="26"/>
    </row>
    <row r="5" spans="1:53">
      <c r="A5" s="17" t="s">
        <v>57</v>
      </c>
      <c r="B5" s="17" t="s">
        <v>58</v>
      </c>
      <c r="C5" s="17" t="s">
        <v>59</v>
      </c>
      <c r="D5" s="20" t="s">
        <v>24</v>
      </c>
      <c r="E5" s="17" t="s">
        <v>60</v>
      </c>
      <c r="F5" s="17" t="s">
        <v>61</v>
      </c>
      <c r="G5" s="17" t="s">
        <v>62</v>
      </c>
      <c r="H5" s="17" t="s">
        <v>63</v>
      </c>
      <c r="I5" s="17" t="s">
        <v>64</v>
      </c>
      <c r="J5" s="18" t="s">
        <v>65</v>
      </c>
      <c r="K5" s="17" t="s">
        <v>66</v>
      </c>
      <c r="L5" s="17" t="s">
        <v>67</v>
      </c>
      <c r="M5" s="17" t="s">
        <v>68</v>
      </c>
      <c r="N5" s="17" t="s">
        <v>69</v>
      </c>
      <c r="O5" s="17" t="s">
        <v>70</v>
      </c>
      <c r="P5" s="61">
        <v>150</v>
      </c>
      <c r="Q5" s="62">
        <v>35</v>
      </c>
      <c r="R5" s="62">
        <v>250</v>
      </c>
      <c r="S5" s="62">
        <v>55</v>
      </c>
      <c r="T5" s="62">
        <v>20</v>
      </c>
      <c r="U5" s="62">
        <v>275</v>
      </c>
      <c r="V5" s="62">
        <v>90</v>
      </c>
      <c r="W5" s="61">
        <v>150</v>
      </c>
      <c r="X5" s="63">
        <v>45</v>
      </c>
      <c r="Y5" s="61">
        <v>200</v>
      </c>
      <c r="Z5" s="62">
        <v>280</v>
      </c>
      <c r="AA5" s="62">
        <v>200</v>
      </c>
      <c r="AB5" s="62">
        <v>2500</v>
      </c>
      <c r="AC5" s="61">
        <v>35</v>
      </c>
      <c r="AD5" s="61">
        <v>350</v>
      </c>
      <c r="AE5" s="62">
        <v>750</v>
      </c>
      <c r="AF5" s="62">
        <v>5500</v>
      </c>
      <c r="AG5" s="62">
        <v>7800</v>
      </c>
      <c r="AH5" s="61">
        <v>90</v>
      </c>
      <c r="AI5" s="63">
        <v>165</v>
      </c>
      <c r="AJ5" s="63">
        <v>390</v>
      </c>
      <c r="AK5" s="63">
        <v>490</v>
      </c>
      <c r="AL5" s="63">
        <v>900</v>
      </c>
      <c r="AM5" s="62">
        <v>4500</v>
      </c>
      <c r="AN5" s="62">
        <v>5500</v>
      </c>
      <c r="AO5" s="61">
        <v>38</v>
      </c>
      <c r="AP5" s="63">
        <v>45</v>
      </c>
      <c r="AQ5" s="63">
        <v>27</v>
      </c>
      <c r="AR5" s="62">
        <v>35</v>
      </c>
      <c r="AS5" s="64">
        <v>0.15</v>
      </c>
      <c r="AT5" s="65">
        <f>0.25*1.08</f>
        <v>0.27</v>
      </c>
    </row>
    <row r="6" spans="1:53">
      <c r="A6" t="s">
        <v>71</v>
      </c>
      <c r="B6" t="s">
        <v>360</v>
      </c>
      <c r="C6" s="11">
        <v>45990</v>
      </c>
      <c r="D6" s="32" t="s">
        <v>361</v>
      </c>
      <c r="E6" t="s">
        <v>362</v>
      </c>
      <c r="F6" s="22" t="s">
        <v>75</v>
      </c>
      <c r="G6" s="2" t="s">
        <v>360</v>
      </c>
      <c r="H6" s="33" t="s">
        <v>363</v>
      </c>
      <c r="I6" s="2">
        <f t="shared" ref="I6:I7" si="0">IF(SUM(P6:AU6)=0,"-",SUM(P6:AU6))</f>
        <v>10</v>
      </c>
      <c r="J6" s="66">
        <f t="shared" ref="J6:J7" si="1">IF(SUMPRODUCT($P$5:$AU$5,P6:AU6)=0,"-",SUMPRODUCT($P$5:$AU$5,P6:AU6))</f>
        <v>870</v>
      </c>
      <c r="M6" s="72" t="s">
        <v>364</v>
      </c>
      <c r="N6" s="72" t="s">
        <v>365</v>
      </c>
      <c r="O6" s="73" t="s">
        <v>366</v>
      </c>
      <c r="W6" s="7">
        <v>4</v>
      </c>
      <c r="X6" s="2">
        <v>6</v>
      </c>
      <c r="AC6" s="7"/>
      <c r="AD6" s="7"/>
      <c r="AE6" s="2"/>
      <c r="AF6" s="2"/>
      <c r="AH6" s="7"/>
      <c r="AJ6" s="2"/>
      <c r="AO6" s="7"/>
      <c r="AQ6" s="2"/>
    </row>
    <row r="7" spans="1:53">
      <c r="A7" t="s">
        <v>71</v>
      </c>
      <c r="B7" t="s">
        <v>360</v>
      </c>
      <c r="C7" s="11">
        <v>45992</v>
      </c>
      <c r="D7" s="32" t="s">
        <v>367</v>
      </c>
      <c r="E7" s="58" t="s">
        <v>368</v>
      </c>
      <c r="F7" s="22" t="s">
        <v>75</v>
      </c>
      <c r="G7" s="2" t="s">
        <v>360</v>
      </c>
      <c r="H7" s="33" t="s">
        <v>369</v>
      </c>
      <c r="I7" s="2">
        <f t="shared" si="0"/>
        <v>4</v>
      </c>
      <c r="J7" s="66">
        <f t="shared" si="1"/>
        <v>600</v>
      </c>
      <c r="M7" s="72" t="s">
        <v>364</v>
      </c>
      <c r="N7" s="72" t="s">
        <v>365</v>
      </c>
      <c r="O7" s="73" t="s">
        <v>366</v>
      </c>
      <c r="P7" s="7">
        <v>4</v>
      </c>
      <c r="W7" s="7"/>
      <c r="X7" s="2"/>
      <c r="AC7" s="7"/>
      <c r="AD7" s="7"/>
      <c r="AE7" s="2"/>
      <c r="AF7" s="2"/>
      <c r="AH7" s="7"/>
      <c r="AJ7" s="2"/>
      <c r="AO7" s="7"/>
      <c r="AQ7" s="2"/>
    </row>
    <row r="8" spans="1:53" ht="15" customHeight="1">
      <c r="A8" t="s">
        <v>71</v>
      </c>
      <c r="B8" t="s">
        <v>360</v>
      </c>
      <c r="C8" s="11">
        <v>46007</v>
      </c>
      <c r="D8" s="32" t="s">
        <v>370</v>
      </c>
      <c r="E8" t="s">
        <v>368</v>
      </c>
      <c r="F8" s="22" t="s">
        <v>75</v>
      </c>
      <c r="G8" s="2" t="s">
        <v>360</v>
      </c>
      <c r="H8" s="33" t="s">
        <v>371</v>
      </c>
      <c r="I8" s="2">
        <f t="shared" ref="I8" si="2">IF(SUM(P8:AU8)=0,"-",SUM(P8:AU8))</f>
        <v>1</v>
      </c>
      <c r="J8" s="66">
        <f t="shared" ref="J8" si="3">IF(SUMPRODUCT($P$5:$AU$5,P8:AU8)=0,"-",SUMPRODUCT($P$5:$AU$5,P8:AU8))</f>
        <v>150</v>
      </c>
      <c r="M8" s="72" t="s">
        <v>364</v>
      </c>
      <c r="N8" s="72" t="s">
        <v>365</v>
      </c>
      <c r="O8" s="73" t="s">
        <v>366</v>
      </c>
      <c r="P8" s="7">
        <v>1</v>
      </c>
      <c r="W8" s="7"/>
      <c r="X8" s="2"/>
      <c r="AC8" s="7"/>
      <c r="AD8" s="7"/>
      <c r="AE8" s="2"/>
      <c r="AF8" s="2"/>
      <c r="AH8" s="7"/>
      <c r="AJ8" s="2"/>
      <c r="AO8" s="7"/>
      <c r="AQ8" s="2"/>
    </row>
    <row r="9" spans="1:53" ht="15" customHeight="1">
      <c r="A9" t="s">
        <v>71</v>
      </c>
      <c r="B9" t="s">
        <v>360</v>
      </c>
      <c r="C9" s="11">
        <v>46033</v>
      </c>
      <c r="D9" s="32" t="s">
        <v>372</v>
      </c>
      <c r="E9" t="s">
        <v>368</v>
      </c>
      <c r="F9" s="22" t="s">
        <v>75</v>
      </c>
      <c r="G9" s="2" t="s">
        <v>360</v>
      </c>
      <c r="H9" s="33" t="s">
        <v>373</v>
      </c>
      <c r="I9" s="2">
        <f t="shared" ref="I9" si="4">IF(SUM(P9:AU9)=0,"-",SUM(P9:AU9))</f>
        <v>1</v>
      </c>
      <c r="J9" s="66">
        <f t="shared" ref="J9" si="5">IF(SUMPRODUCT($P$5:$AU$5,P9:AU9)=0,"-",SUMPRODUCT($P$5:$AU$5,P9:AU9))</f>
        <v>150</v>
      </c>
      <c r="M9" s="37" t="s">
        <v>364</v>
      </c>
      <c r="N9" s="37" t="s">
        <v>374</v>
      </c>
      <c r="O9" s="68" t="s">
        <v>375</v>
      </c>
      <c r="P9" s="7">
        <v>1</v>
      </c>
      <c r="W9" s="7"/>
      <c r="X9" s="2"/>
      <c r="AC9" s="7"/>
      <c r="AD9" s="7"/>
      <c r="AE9" s="2"/>
      <c r="AF9" s="2"/>
      <c r="AH9" s="7"/>
      <c r="AJ9" s="2"/>
      <c r="AO9" s="7"/>
      <c r="AQ9" s="2"/>
    </row>
    <row r="10" spans="1:53" ht="15" customHeight="1">
      <c r="A10" t="s">
        <v>71</v>
      </c>
      <c r="B10" t="s">
        <v>360</v>
      </c>
      <c r="C10" s="11">
        <v>46034</v>
      </c>
      <c r="D10" s="70" t="s">
        <v>376</v>
      </c>
      <c r="E10" t="s">
        <v>362</v>
      </c>
      <c r="F10" s="22" t="s">
        <v>75</v>
      </c>
      <c r="G10" s="2" t="s">
        <v>360</v>
      </c>
      <c r="H10" s="33" t="s">
        <v>377</v>
      </c>
      <c r="I10" s="2">
        <f t="shared" ref="I10" si="6">IF(SUM(P10:AU10)=0,"-",SUM(P10:AU10))</f>
        <v>2</v>
      </c>
      <c r="J10" s="66">
        <f t="shared" ref="J10" si="7">IF(SUMPRODUCT($P$5:$AU$5,P10:AU10)=0,"-",SUMPRODUCT($P$5:$AU$5,P10:AU10))</f>
        <v>185</v>
      </c>
      <c r="M10" s="37" t="s">
        <v>364</v>
      </c>
      <c r="N10" s="37" t="s">
        <v>374</v>
      </c>
      <c r="O10" s="68" t="s">
        <v>375</v>
      </c>
      <c r="P10" s="7">
        <v>1</v>
      </c>
      <c r="Q10" s="2">
        <v>1</v>
      </c>
      <c r="W10" s="7"/>
      <c r="X10" s="2"/>
      <c r="AC10" s="7"/>
      <c r="AD10" s="7"/>
      <c r="AE10" s="2"/>
      <c r="AF10" s="2"/>
      <c r="AH10" s="7"/>
      <c r="AJ10" s="2"/>
      <c r="AO10" s="7"/>
      <c r="AQ10" s="2"/>
    </row>
    <row r="11" spans="1:53" ht="15" customHeight="1">
      <c r="A11" t="s">
        <v>71</v>
      </c>
      <c r="B11" t="s">
        <v>360</v>
      </c>
      <c r="C11" s="11">
        <v>46056</v>
      </c>
      <c r="D11" s="71" t="s">
        <v>378</v>
      </c>
      <c r="E11" t="s">
        <v>379</v>
      </c>
      <c r="F11" t="s">
        <v>298</v>
      </c>
      <c r="G11" s="2" t="s">
        <v>360</v>
      </c>
      <c r="H11" s="33" t="s">
        <v>380</v>
      </c>
      <c r="I11" s="2">
        <v>4</v>
      </c>
      <c r="J11" s="66">
        <v>5000</v>
      </c>
      <c r="M11" s="37" t="s">
        <v>381</v>
      </c>
      <c r="N11" s="37" t="s">
        <v>382</v>
      </c>
      <c r="O11" s="68" t="s">
        <v>383</v>
      </c>
      <c r="W11" s="7"/>
      <c r="X11" s="2"/>
      <c r="AC11" s="7"/>
      <c r="AD11" s="7"/>
      <c r="AE11" s="2"/>
      <c r="AF11" s="2"/>
      <c r="AH11" s="7"/>
      <c r="AJ11" s="2"/>
      <c r="AO11" s="7"/>
      <c r="AQ11" s="2"/>
    </row>
    <row r="12" spans="1:53" ht="15" customHeight="1">
      <c r="A12" t="s">
        <v>71</v>
      </c>
      <c r="B12" t="s">
        <v>360</v>
      </c>
      <c r="C12" s="11">
        <v>46056</v>
      </c>
      <c r="D12" s="71" t="s">
        <v>384</v>
      </c>
      <c r="E12" t="s">
        <v>379</v>
      </c>
      <c r="F12" t="s">
        <v>298</v>
      </c>
      <c r="G12" s="2" t="s">
        <v>360</v>
      </c>
      <c r="H12" s="33" t="s">
        <v>380</v>
      </c>
      <c r="I12" s="2">
        <v>4</v>
      </c>
      <c r="J12" s="66">
        <v>5000</v>
      </c>
      <c r="W12" s="7"/>
      <c r="X12" s="2"/>
      <c r="AC12" s="7"/>
      <c r="AD12" s="7"/>
      <c r="AE12" s="2"/>
      <c r="AF12" s="2"/>
      <c r="AH12" s="7"/>
      <c r="AJ12" s="2"/>
      <c r="AO12" s="7"/>
      <c r="AQ12" s="2"/>
    </row>
    <row r="13" spans="1:53" ht="15" customHeight="1">
      <c r="D13" s="69"/>
      <c r="I13" s="2" t="str">
        <f t="shared" ref="I11:I35" si="8">IF(SUM(P13:AU13)=0,"-",SUM(P13:AU13))</f>
        <v>-</v>
      </c>
      <c r="J13" s="66" t="str">
        <f t="shared" ref="J11:J35" si="9">IF(SUMPRODUCT($P$5:$AU$5,P13:AU13)=0,"-",SUMPRODUCT($P$5:$AU$5,P13:AU13))</f>
        <v>-</v>
      </c>
      <c r="W13" s="7"/>
      <c r="X13" s="2"/>
      <c r="AC13" s="7"/>
      <c r="AD13" s="7"/>
      <c r="AE13" s="2"/>
      <c r="AF13" s="2"/>
      <c r="AH13" s="7"/>
      <c r="AJ13" s="2"/>
      <c r="AO13" s="7"/>
      <c r="AQ13" s="2"/>
    </row>
    <row r="14" spans="1:53" ht="15" customHeight="1">
      <c r="D14" s="56"/>
      <c r="I14" s="2" t="str">
        <f t="shared" si="8"/>
        <v>-</v>
      </c>
      <c r="J14" s="66" t="str">
        <f t="shared" si="9"/>
        <v>-</v>
      </c>
      <c r="W14" s="7"/>
      <c r="X14" s="2"/>
      <c r="AC14" s="7"/>
      <c r="AD14" s="7"/>
      <c r="AE14" s="2"/>
      <c r="AF14" s="2"/>
      <c r="AH14" s="7"/>
      <c r="AJ14" s="2"/>
      <c r="AO14" s="7"/>
      <c r="AQ14" s="2"/>
    </row>
    <row r="15" spans="1:53" ht="15" customHeight="1">
      <c r="D15" s="56"/>
      <c r="I15" s="2" t="str">
        <f t="shared" si="8"/>
        <v>-</v>
      </c>
      <c r="J15" s="66" t="str">
        <f t="shared" si="9"/>
        <v>-</v>
      </c>
      <c r="W15" s="7"/>
      <c r="X15" s="2"/>
      <c r="AC15" s="7"/>
      <c r="AD15" s="7"/>
      <c r="AE15" s="2"/>
      <c r="AF15" s="2"/>
      <c r="AH15" s="7"/>
      <c r="AJ15" s="2"/>
      <c r="AO15" s="7"/>
      <c r="AQ15" s="2"/>
    </row>
    <row r="16" spans="1:53" ht="15" customHeight="1">
      <c r="D16" s="56"/>
      <c r="I16" s="2" t="str">
        <f t="shared" si="8"/>
        <v>-</v>
      </c>
      <c r="J16" s="66" t="str">
        <f t="shared" si="9"/>
        <v>-</v>
      </c>
      <c r="W16" s="7"/>
      <c r="X16" s="2"/>
      <c r="AC16" s="7"/>
      <c r="AD16" s="7"/>
      <c r="AE16" s="2"/>
      <c r="AF16" s="2"/>
      <c r="AH16" s="7"/>
      <c r="AJ16" s="2"/>
      <c r="AO16" s="7"/>
      <c r="AQ16" s="2"/>
    </row>
    <row r="17" spans="4:43" ht="15" customHeight="1">
      <c r="D17" s="56"/>
      <c r="I17" s="2" t="str">
        <f t="shared" si="8"/>
        <v>-</v>
      </c>
      <c r="J17" s="66" t="str">
        <f t="shared" si="9"/>
        <v>-</v>
      </c>
      <c r="W17" s="7"/>
      <c r="X17" s="2"/>
      <c r="AC17" s="7"/>
      <c r="AD17" s="7"/>
      <c r="AE17" s="2"/>
      <c r="AF17" s="2"/>
      <c r="AH17" s="7"/>
      <c r="AJ17" s="2"/>
      <c r="AO17" s="7"/>
      <c r="AQ17" s="2"/>
    </row>
    <row r="18" spans="4:43" ht="15" customHeight="1">
      <c r="D18" s="56"/>
      <c r="I18" s="2" t="str">
        <f t="shared" si="8"/>
        <v>-</v>
      </c>
      <c r="J18" s="66" t="str">
        <f t="shared" si="9"/>
        <v>-</v>
      </c>
      <c r="W18" s="7"/>
      <c r="X18" s="2"/>
      <c r="AC18" s="7"/>
      <c r="AD18" s="7"/>
      <c r="AE18" s="2"/>
      <c r="AF18" s="2"/>
      <c r="AH18" s="7"/>
      <c r="AJ18" s="2"/>
      <c r="AO18" s="7"/>
      <c r="AQ18" s="2"/>
    </row>
    <row r="19" spans="4:43" ht="15" customHeight="1">
      <c r="I19" s="2" t="str">
        <f t="shared" si="8"/>
        <v>-</v>
      </c>
      <c r="J19" s="66" t="str">
        <f t="shared" si="9"/>
        <v>-</v>
      </c>
      <c r="W19" s="7"/>
      <c r="X19" s="2"/>
      <c r="AC19" s="7"/>
      <c r="AD19" s="7"/>
      <c r="AE19" s="2"/>
      <c r="AF19" s="2"/>
      <c r="AH19" s="7"/>
      <c r="AJ19" s="2"/>
      <c r="AO19" s="7"/>
      <c r="AQ19" s="2"/>
    </row>
    <row r="20" spans="4:43" ht="15" customHeight="1">
      <c r="I20" s="2" t="str">
        <f t="shared" si="8"/>
        <v>-</v>
      </c>
      <c r="J20" s="66" t="str">
        <f t="shared" si="9"/>
        <v>-</v>
      </c>
      <c r="W20" s="7"/>
      <c r="X20" s="2"/>
      <c r="AC20" s="7"/>
      <c r="AD20" s="7"/>
      <c r="AE20" s="2"/>
      <c r="AF20" s="2"/>
      <c r="AH20" s="7"/>
      <c r="AJ20" s="2"/>
      <c r="AO20" s="7"/>
      <c r="AQ20" s="2"/>
    </row>
    <row r="21" spans="4:43" ht="15" customHeight="1">
      <c r="I21" s="2" t="str">
        <f t="shared" si="8"/>
        <v>-</v>
      </c>
      <c r="J21" s="66" t="str">
        <f t="shared" si="9"/>
        <v>-</v>
      </c>
      <c r="W21" s="7"/>
      <c r="X21" s="2"/>
      <c r="AC21" s="7"/>
      <c r="AD21" s="7"/>
      <c r="AE21" s="2"/>
      <c r="AF21" s="2"/>
      <c r="AH21" s="7"/>
      <c r="AJ21" s="2"/>
      <c r="AO21" s="7"/>
      <c r="AQ21" s="2"/>
    </row>
    <row r="22" spans="4:43" ht="15" customHeight="1">
      <c r="I22" s="2" t="str">
        <f t="shared" si="8"/>
        <v>-</v>
      </c>
      <c r="J22" s="66" t="str">
        <f t="shared" si="9"/>
        <v>-</v>
      </c>
      <c r="W22" s="7"/>
      <c r="X22" s="2"/>
      <c r="AC22" s="7"/>
      <c r="AD22" s="7"/>
      <c r="AE22" s="2"/>
      <c r="AF22" s="2"/>
      <c r="AH22" s="7"/>
      <c r="AJ22" s="2"/>
      <c r="AO22" s="7"/>
      <c r="AQ22" s="2"/>
    </row>
    <row r="23" spans="4:43" ht="15" customHeight="1">
      <c r="I23" s="2" t="str">
        <f t="shared" si="8"/>
        <v>-</v>
      </c>
      <c r="J23" s="66" t="str">
        <f t="shared" si="9"/>
        <v>-</v>
      </c>
      <c r="W23" s="7"/>
      <c r="X23" s="2"/>
      <c r="AC23" s="7"/>
      <c r="AD23" s="7"/>
      <c r="AE23" s="2"/>
      <c r="AF23" s="2"/>
      <c r="AH23" s="7"/>
      <c r="AJ23" s="2"/>
      <c r="AO23" s="7"/>
      <c r="AQ23" s="2"/>
    </row>
    <row r="24" spans="4:43" ht="15" customHeight="1">
      <c r="I24" s="2" t="str">
        <f t="shared" si="8"/>
        <v>-</v>
      </c>
      <c r="J24" s="66" t="str">
        <f t="shared" si="9"/>
        <v>-</v>
      </c>
      <c r="W24" s="7"/>
      <c r="X24" s="2"/>
      <c r="AC24" s="7"/>
      <c r="AD24" s="7"/>
      <c r="AE24" s="2"/>
      <c r="AF24" s="2"/>
      <c r="AH24" s="7"/>
      <c r="AJ24" s="2"/>
      <c r="AO24" s="7"/>
      <c r="AQ24" s="2"/>
    </row>
    <row r="25" spans="4:43" ht="15" customHeight="1">
      <c r="I25" s="2" t="str">
        <f t="shared" si="8"/>
        <v>-</v>
      </c>
      <c r="J25" s="66" t="str">
        <f t="shared" si="9"/>
        <v>-</v>
      </c>
      <c r="W25" s="7"/>
      <c r="X25" s="2"/>
      <c r="AC25" s="7"/>
      <c r="AD25" s="7"/>
      <c r="AE25" s="2"/>
      <c r="AF25" s="2"/>
      <c r="AH25" s="7"/>
      <c r="AJ25" s="2"/>
      <c r="AO25" s="7"/>
      <c r="AQ25" s="2"/>
    </row>
    <row r="26" spans="4:43" ht="15" customHeight="1">
      <c r="I26" s="2" t="str">
        <f t="shared" si="8"/>
        <v>-</v>
      </c>
      <c r="J26" s="66" t="str">
        <f t="shared" si="9"/>
        <v>-</v>
      </c>
      <c r="W26" s="7"/>
      <c r="X26" s="2"/>
      <c r="AC26" s="7"/>
      <c r="AD26" s="7"/>
      <c r="AE26" s="2"/>
      <c r="AF26" s="2"/>
      <c r="AH26" s="7"/>
      <c r="AJ26" s="2"/>
      <c r="AO26" s="7"/>
      <c r="AQ26" s="2"/>
    </row>
    <row r="27" spans="4:43" ht="15" customHeight="1">
      <c r="I27" s="2" t="str">
        <f t="shared" si="8"/>
        <v>-</v>
      </c>
      <c r="J27" s="66" t="str">
        <f t="shared" si="9"/>
        <v>-</v>
      </c>
      <c r="W27" s="7"/>
      <c r="X27" s="2"/>
      <c r="AC27" s="7"/>
      <c r="AD27" s="7"/>
      <c r="AE27" s="2"/>
      <c r="AF27" s="2"/>
      <c r="AH27" s="7"/>
      <c r="AJ27" s="2"/>
      <c r="AO27" s="7"/>
      <c r="AQ27" s="2"/>
    </row>
    <row r="28" spans="4:43" ht="15" customHeight="1">
      <c r="I28" s="2" t="str">
        <f t="shared" si="8"/>
        <v>-</v>
      </c>
      <c r="J28" s="66" t="str">
        <f t="shared" si="9"/>
        <v>-</v>
      </c>
      <c r="W28" s="7"/>
      <c r="X28" s="2"/>
      <c r="AC28" s="7"/>
      <c r="AD28" s="7"/>
      <c r="AE28" s="2"/>
      <c r="AF28" s="2"/>
      <c r="AH28" s="7"/>
      <c r="AJ28" s="2"/>
      <c r="AO28" s="7"/>
      <c r="AQ28" s="2"/>
    </row>
    <row r="29" spans="4:43" ht="15" customHeight="1">
      <c r="I29" s="2" t="str">
        <f t="shared" si="8"/>
        <v>-</v>
      </c>
      <c r="J29" s="66" t="str">
        <f t="shared" si="9"/>
        <v>-</v>
      </c>
      <c r="W29" s="7"/>
      <c r="X29" s="2"/>
      <c r="AC29" s="7"/>
      <c r="AD29" s="7"/>
      <c r="AE29" s="2"/>
      <c r="AF29" s="2"/>
      <c r="AH29" s="7"/>
      <c r="AJ29" s="2"/>
      <c r="AO29" s="7"/>
      <c r="AQ29" s="2"/>
    </row>
    <row r="30" spans="4:43" ht="15" customHeight="1">
      <c r="I30" s="2" t="str">
        <f t="shared" si="8"/>
        <v>-</v>
      </c>
      <c r="J30" s="66" t="str">
        <f t="shared" si="9"/>
        <v>-</v>
      </c>
      <c r="W30" s="7"/>
      <c r="X30" s="2"/>
      <c r="AC30" s="7"/>
      <c r="AD30" s="7"/>
      <c r="AE30" s="2"/>
      <c r="AF30" s="2"/>
      <c r="AH30" s="7"/>
      <c r="AJ30" s="2"/>
      <c r="AO30" s="7"/>
      <c r="AQ30" s="2"/>
    </row>
    <row r="31" spans="4:43" ht="15" customHeight="1">
      <c r="I31" s="2" t="str">
        <f t="shared" si="8"/>
        <v>-</v>
      </c>
      <c r="J31" s="66" t="str">
        <f t="shared" si="9"/>
        <v>-</v>
      </c>
      <c r="W31" s="7"/>
      <c r="X31" s="2"/>
      <c r="AC31" s="7"/>
      <c r="AD31" s="7"/>
      <c r="AE31" s="2"/>
      <c r="AF31" s="2"/>
      <c r="AH31" s="7"/>
      <c r="AJ31" s="2"/>
      <c r="AO31" s="7"/>
      <c r="AQ31" s="2"/>
    </row>
    <row r="32" spans="4:43" ht="15" customHeight="1">
      <c r="I32" s="2" t="str">
        <f t="shared" si="8"/>
        <v>-</v>
      </c>
      <c r="J32" s="66" t="str">
        <f t="shared" si="9"/>
        <v>-</v>
      </c>
      <c r="W32" s="7"/>
      <c r="X32" s="2"/>
      <c r="AC32" s="7"/>
      <c r="AD32" s="7"/>
      <c r="AE32" s="2"/>
      <c r="AF32" s="2"/>
      <c r="AH32" s="7"/>
      <c r="AJ32" s="2"/>
      <c r="AO32" s="7"/>
      <c r="AQ32" s="2"/>
    </row>
    <row r="33" spans="9:43" ht="15" customHeight="1">
      <c r="I33" s="2" t="str">
        <f t="shared" si="8"/>
        <v>-</v>
      </c>
      <c r="J33" s="66" t="str">
        <f t="shared" si="9"/>
        <v>-</v>
      </c>
      <c r="W33" s="7"/>
      <c r="X33" s="2"/>
      <c r="AC33" s="7"/>
      <c r="AD33" s="7"/>
      <c r="AE33" s="2"/>
      <c r="AF33" s="2"/>
      <c r="AH33" s="7"/>
      <c r="AJ33" s="2"/>
      <c r="AO33" s="7"/>
      <c r="AQ33" s="2"/>
    </row>
    <row r="34" spans="9:43" ht="15" customHeight="1">
      <c r="I34" s="2" t="str">
        <f t="shared" si="8"/>
        <v>-</v>
      </c>
      <c r="J34" s="66" t="str">
        <f t="shared" si="9"/>
        <v>-</v>
      </c>
      <c r="W34" s="7"/>
      <c r="X34" s="2"/>
      <c r="AC34" s="7"/>
      <c r="AD34" s="7"/>
      <c r="AE34" s="2"/>
      <c r="AF34" s="2"/>
      <c r="AH34" s="7"/>
      <c r="AJ34" s="2"/>
      <c r="AO34" s="7"/>
      <c r="AQ34" s="2"/>
    </row>
    <row r="35" spans="9:43" ht="15" customHeight="1">
      <c r="I35" s="2" t="str">
        <f t="shared" si="8"/>
        <v>-</v>
      </c>
      <c r="J35" s="66" t="str">
        <f t="shared" si="9"/>
        <v>-</v>
      </c>
      <c r="W35" s="7"/>
      <c r="X35" s="2"/>
      <c r="AC35" s="7"/>
      <c r="AD35" s="7"/>
      <c r="AE35" s="2"/>
      <c r="AF35" s="2"/>
      <c r="AH35" s="7"/>
      <c r="AJ35" s="2"/>
      <c r="AO35" s="7"/>
      <c r="AQ35" s="2"/>
    </row>
    <row r="36" spans="9:43" ht="15" customHeight="1">
      <c r="W36" s="7"/>
      <c r="X36" s="2"/>
      <c r="AC36" s="7"/>
      <c r="AD36" s="7"/>
      <c r="AE36" s="2"/>
      <c r="AF36" s="2"/>
      <c r="AH36" s="7"/>
      <c r="AJ36" s="2"/>
      <c r="AO36" s="7"/>
      <c r="AQ36" s="2"/>
    </row>
    <row r="37" spans="9:43" ht="15" customHeight="1">
      <c r="W37" s="7"/>
      <c r="X37" s="2"/>
      <c r="AC37" s="7"/>
      <c r="AD37" s="7"/>
      <c r="AE37" s="2"/>
      <c r="AF37" s="2"/>
      <c r="AH37" s="7"/>
      <c r="AJ37" s="2"/>
      <c r="AO37" s="7"/>
      <c r="AQ37" s="2"/>
    </row>
    <row r="38" spans="9:43" ht="15" customHeight="1">
      <c r="W38" s="7"/>
      <c r="X38" s="2"/>
      <c r="AC38" s="7"/>
      <c r="AD38" s="7"/>
      <c r="AE38" s="2"/>
      <c r="AF38" s="2"/>
      <c r="AH38" s="7"/>
      <c r="AJ38" s="2"/>
      <c r="AO38" s="7"/>
      <c r="AQ38" s="2"/>
    </row>
    <row r="39" spans="9:43" ht="15" customHeight="1">
      <c r="W39" s="7"/>
      <c r="X39" s="2"/>
      <c r="AC39" s="7"/>
      <c r="AD39" s="7"/>
      <c r="AE39" s="2"/>
      <c r="AF39" s="2"/>
      <c r="AH39" s="7"/>
      <c r="AJ39" s="2"/>
      <c r="AO39" s="7"/>
      <c r="AQ39" s="2"/>
    </row>
    <row r="40" spans="9:43" ht="15" customHeight="1">
      <c r="W40" s="7"/>
      <c r="X40" s="2"/>
      <c r="AC40" s="7"/>
      <c r="AD40" s="7"/>
      <c r="AE40" s="2"/>
      <c r="AF40" s="2"/>
      <c r="AH40" s="7"/>
      <c r="AJ40" s="2"/>
      <c r="AO40" s="7"/>
      <c r="AQ40" s="2"/>
    </row>
    <row r="41" spans="9:43" ht="15" customHeight="1">
      <c r="W41" s="7"/>
      <c r="X41" s="2"/>
      <c r="AC41" s="7"/>
      <c r="AD41" s="7"/>
      <c r="AE41" s="2"/>
      <c r="AF41" s="2"/>
      <c r="AH41" s="7"/>
      <c r="AJ41" s="2"/>
      <c r="AO41" s="7"/>
      <c r="AQ41" s="2"/>
    </row>
    <row r="42" spans="9:43" ht="15" customHeight="1">
      <c r="W42" s="7"/>
      <c r="X42" s="2"/>
      <c r="AC42" s="7"/>
      <c r="AD42" s="7"/>
      <c r="AE42" s="2"/>
      <c r="AF42" s="2"/>
      <c r="AH42" s="7"/>
      <c r="AJ42" s="2"/>
      <c r="AO42" s="7"/>
      <c r="AQ42" s="2"/>
    </row>
    <row r="43" spans="9:43" ht="15" customHeight="1">
      <c r="W43" s="7"/>
      <c r="X43" s="2"/>
      <c r="AC43" s="7"/>
      <c r="AD43" s="7"/>
      <c r="AE43" s="2"/>
      <c r="AF43" s="2"/>
      <c r="AH43" s="7"/>
      <c r="AJ43" s="2"/>
      <c r="AO43" s="7"/>
      <c r="AQ43" s="2"/>
    </row>
    <row r="44" spans="9:43" ht="15" customHeight="1">
      <c r="W44" s="7"/>
      <c r="X44" s="2"/>
      <c r="AC44" s="7"/>
      <c r="AD44" s="7"/>
      <c r="AE44" s="2"/>
      <c r="AF44" s="2"/>
      <c r="AH44" s="7"/>
      <c r="AJ44" s="2"/>
      <c r="AO44" s="7"/>
      <c r="AQ44" s="2"/>
    </row>
    <row r="45" spans="9:43" ht="15" customHeight="1">
      <c r="W45" s="7"/>
      <c r="X45" s="2"/>
      <c r="AC45" s="7"/>
      <c r="AD45" s="7"/>
      <c r="AE45" s="2"/>
      <c r="AF45" s="2"/>
      <c r="AH45" s="7"/>
      <c r="AJ45" s="2"/>
      <c r="AO45" s="7"/>
      <c r="AQ45" s="2"/>
    </row>
    <row r="46" spans="9:43" ht="15" customHeight="1">
      <c r="W46" s="7"/>
      <c r="X46" s="2"/>
      <c r="AC46" s="7"/>
      <c r="AD46" s="7"/>
      <c r="AE46" s="2"/>
      <c r="AF46" s="2"/>
      <c r="AH46" s="7"/>
      <c r="AJ46" s="2"/>
      <c r="AO46" s="7"/>
      <c r="AQ46" s="2"/>
    </row>
    <row r="47" spans="9:43" ht="15" customHeight="1">
      <c r="W47" s="7"/>
      <c r="X47" s="2"/>
      <c r="AC47" s="7"/>
      <c r="AD47" s="7"/>
      <c r="AE47" s="2"/>
      <c r="AF47" s="2"/>
      <c r="AH47" s="7"/>
      <c r="AJ47" s="2"/>
      <c r="AO47" s="7"/>
      <c r="AQ47" s="2"/>
    </row>
    <row r="48" spans="9:43" ht="15" customHeight="1">
      <c r="W48" s="7"/>
      <c r="X48" s="2"/>
      <c r="AC48" s="7"/>
      <c r="AD48" s="7"/>
      <c r="AE48" s="2"/>
      <c r="AF48" s="2"/>
      <c r="AH48" s="7"/>
      <c r="AJ48" s="2"/>
      <c r="AO48" s="7"/>
      <c r="AQ48" s="2"/>
    </row>
    <row r="49" spans="23:43" ht="15" customHeight="1">
      <c r="W49" s="7"/>
      <c r="X49" s="2"/>
      <c r="AC49" s="7"/>
      <c r="AD49" s="7"/>
      <c r="AE49" s="2"/>
      <c r="AF49" s="2"/>
      <c r="AH49" s="7"/>
      <c r="AJ49" s="2"/>
      <c r="AO49" s="7"/>
      <c r="AQ49" s="2"/>
    </row>
    <row r="50" spans="23:43" ht="15" customHeight="1">
      <c r="W50" s="7"/>
      <c r="X50" s="2"/>
      <c r="AC50" s="7"/>
      <c r="AD50" s="7"/>
      <c r="AE50" s="2"/>
      <c r="AF50" s="2"/>
      <c r="AH50" s="7"/>
      <c r="AJ50" s="2"/>
      <c r="AO50" s="7"/>
      <c r="AQ50" s="2"/>
    </row>
    <row r="51" spans="23:43" ht="15" customHeight="1">
      <c r="W51" s="7"/>
      <c r="X51" s="2"/>
      <c r="AC51" s="7"/>
      <c r="AD51" s="7"/>
      <c r="AE51" s="2"/>
      <c r="AF51" s="2"/>
      <c r="AH51" s="7"/>
      <c r="AJ51" s="2"/>
      <c r="AO51" s="7"/>
      <c r="AQ51" s="2"/>
    </row>
    <row r="52" spans="23:43" ht="15" customHeight="1">
      <c r="W52" s="7"/>
      <c r="X52" s="2"/>
      <c r="AC52" s="7"/>
      <c r="AD52" s="7"/>
      <c r="AE52" s="2"/>
      <c r="AF52" s="2"/>
      <c r="AH52" s="7"/>
      <c r="AJ52" s="2"/>
      <c r="AO52" s="7"/>
      <c r="AQ52" s="2"/>
    </row>
    <row r="53" spans="23:43" ht="15" customHeight="1">
      <c r="W53" s="7"/>
      <c r="X53" s="2"/>
      <c r="AC53" s="7"/>
      <c r="AD53" s="7"/>
      <c r="AE53" s="2"/>
      <c r="AF53" s="2"/>
      <c r="AH53" s="7"/>
      <c r="AJ53" s="2"/>
      <c r="AO53" s="7"/>
      <c r="AQ53" s="2"/>
    </row>
    <row r="54" spans="23:43" ht="15" customHeight="1">
      <c r="W54" s="7"/>
      <c r="X54" s="2"/>
      <c r="AC54" s="7"/>
      <c r="AD54" s="7"/>
      <c r="AE54" s="2"/>
      <c r="AF54" s="2"/>
      <c r="AH54" s="7"/>
      <c r="AJ54" s="2"/>
      <c r="AO54" s="7"/>
      <c r="AQ54" s="2"/>
    </row>
    <row r="55" spans="23:43" ht="15" customHeight="1">
      <c r="W55" s="7"/>
      <c r="X55" s="2"/>
      <c r="AC55" s="7"/>
      <c r="AD55" s="7"/>
      <c r="AE55" s="2"/>
      <c r="AF55" s="2"/>
      <c r="AH55" s="7"/>
      <c r="AJ55" s="2"/>
      <c r="AO55" s="7"/>
      <c r="AQ55" s="2"/>
    </row>
    <row r="56" spans="23:43" ht="15" customHeight="1">
      <c r="W56" s="7"/>
      <c r="X56" s="2"/>
      <c r="AC56" s="7"/>
      <c r="AD56" s="7"/>
      <c r="AE56" s="2"/>
      <c r="AF56" s="2"/>
      <c r="AH56" s="7"/>
      <c r="AJ56" s="2"/>
      <c r="AO56" s="7"/>
      <c r="AQ56" s="2"/>
    </row>
    <row r="57" spans="23:43" ht="15" customHeight="1">
      <c r="W57" s="7"/>
      <c r="X57" s="2"/>
      <c r="AC57" s="7"/>
      <c r="AD57" s="7"/>
      <c r="AE57" s="2"/>
      <c r="AF57" s="2"/>
      <c r="AH57" s="7"/>
      <c r="AJ57" s="2"/>
      <c r="AO57" s="7"/>
      <c r="AQ57" s="2"/>
    </row>
    <row r="58" spans="23:43" ht="15" customHeight="1">
      <c r="W58" s="7"/>
      <c r="X58" s="2"/>
      <c r="AC58" s="7"/>
      <c r="AD58" s="7"/>
      <c r="AE58" s="2"/>
      <c r="AF58" s="2"/>
      <c r="AH58" s="7"/>
      <c r="AJ58" s="2"/>
      <c r="AO58" s="7"/>
      <c r="AQ58" s="2"/>
    </row>
    <row r="59" spans="23:43" ht="15" customHeight="1">
      <c r="W59" s="7"/>
      <c r="X59" s="2"/>
      <c r="AC59" s="7"/>
      <c r="AD59" s="7"/>
      <c r="AE59" s="2"/>
      <c r="AF59" s="2"/>
      <c r="AH59" s="7"/>
      <c r="AJ59" s="2"/>
      <c r="AO59" s="7"/>
      <c r="AQ59" s="2"/>
    </row>
    <row r="60" spans="23:43" ht="15" customHeight="1">
      <c r="W60" s="7"/>
      <c r="X60" s="2"/>
      <c r="AC60" s="7"/>
      <c r="AD60" s="7"/>
      <c r="AE60" s="2"/>
      <c r="AF60" s="2"/>
      <c r="AH60" s="7"/>
      <c r="AJ60" s="2"/>
      <c r="AO60" s="7"/>
      <c r="AQ60" s="2"/>
    </row>
    <row r="61" spans="23:43" ht="15" customHeight="1">
      <c r="W61" s="7"/>
      <c r="X61" s="2"/>
      <c r="AC61" s="7"/>
      <c r="AD61" s="7"/>
      <c r="AE61" s="2"/>
      <c r="AF61" s="2"/>
      <c r="AH61" s="7"/>
      <c r="AJ61" s="2"/>
      <c r="AO61" s="7"/>
      <c r="AQ61" s="2"/>
    </row>
    <row r="62" spans="23:43" ht="15" customHeight="1">
      <c r="W62" s="7"/>
      <c r="X62" s="2"/>
      <c r="AC62" s="7"/>
      <c r="AD62" s="7"/>
      <c r="AE62" s="2"/>
      <c r="AF62" s="2"/>
      <c r="AH62" s="7"/>
      <c r="AJ62" s="2"/>
      <c r="AO62" s="7"/>
      <c r="AQ62" s="2"/>
    </row>
    <row r="63" spans="23:43" ht="15" customHeight="1">
      <c r="W63" s="7"/>
      <c r="X63" s="2"/>
      <c r="AC63" s="7"/>
      <c r="AD63" s="7"/>
      <c r="AE63" s="2"/>
      <c r="AF63" s="2"/>
      <c r="AH63" s="7"/>
      <c r="AJ63" s="2"/>
      <c r="AO63" s="7"/>
      <c r="AQ63" s="2"/>
    </row>
    <row r="64" spans="23:43" ht="15" customHeight="1">
      <c r="W64" s="7"/>
      <c r="X64" s="2"/>
      <c r="AC64" s="7"/>
      <c r="AD64" s="7"/>
      <c r="AE64" s="2"/>
      <c r="AF64" s="2"/>
      <c r="AH64" s="7"/>
      <c r="AJ64" s="2"/>
      <c r="AO64" s="7"/>
      <c r="AQ64" s="2"/>
    </row>
    <row r="65" spans="23:43" ht="15" customHeight="1">
      <c r="W65" s="7"/>
      <c r="X65" s="2"/>
      <c r="AC65" s="7"/>
      <c r="AD65" s="7"/>
      <c r="AE65" s="2"/>
      <c r="AF65" s="2"/>
      <c r="AH65" s="7"/>
      <c r="AJ65" s="2"/>
      <c r="AO65" s="7"/>
      <c r="AQ65" s="2"/>
    </row>
    <row r="66" spans="23:43" ht="15" customHeight="1">
      <c r="W66" s="7"/>
      <c r="X66" s="2"/>
      <c r="AC66" s="7"/>
      <c r="AD66" s="7"/>
      <c r="AE66" s="2"/>
      <c r="AF66" s="2"/>
      <c r="AH66" s="7"/>
      <c r="AJ66" s="2"/>
      <c r="AO66" s="7"/>
      <c r="AQ66" s="2"/>
    </row>
    <row r="67" spans="23:43" ht="15" customHeight="1">
      <c r="W67" s="7"/>
      <c r="X67" s="2"/>
      <c r="AC67" s="7"/>
      <c r="AD67" s="7"/>
      <c r="AE67" s="2"/>
      <c r="AF67" s="2"/>
      <c r="AH67" s="7"/>
      <c r="AJ67" s="2"/>
      <c r="AO67" s="7"/>
      <c r="AQ67" s="2"/>
    </row>
    <row r="68" spans="23:43" ht="15" customHeight="1">
      <c r="W68" s="7"/>
      <c r="X68" s="2"/>
      <c r="AC68" s="7"/>
      <c r="AD68" s="7"/>
      <c r="AE68" s="2"/>
      <c r="AF68" s="2"/>
      <c r="AH68" s="7"/>
      <c r="AJ68" s="2"/>
      <c r="AO68" s="7"/>
      <c r="AQ68" s="2"/>
    </row>
    <row r="69" spans="23:43" ht="15" customHeight="1">
      <c r="W69" s="7"/>
      <c r="X69" s="2"/>
      <c r="AC69" s="7"/>
      <c r="AD69" s="7"/>
      <c r="AE69" s="2"/>
      <c r="AF69" s="2"/>
      <c r="AH69" s="7"/>
      <c r="AJ69" s="2"/>
      <c r="AO69" s="7"/>
      <c r="AQ69" s="2"/>
    </row>
    <row r="70" spans="23:43" ht="15" customHeight="1">
      <c r="W70" s="7"/>
      <c r="X70" s="2"/>
      <c r="AC70" s="7"/>
      <c r="AD70" s="7"/>
      <c r="AE70" s="2"/>
      <c r="AF70" s="2"/>
      <c r="AH70" s="7"/>
      <c r="AJ70" s="2"/>
      <c r="AO70" s="7"/>
      <c r="AQ70" s="2"/>
    </row>
    <row r="71" spans="23:43" ht="15" customHeight="1">
      <c r="W71" s="7"/>
      <c r="X71" s="2"/>
      <c r="AC71" s="7"/>
      <c r="AD71" s="7"/>
      <c r="AE71" s="2"/>
      <c r="AF71" s="2"/>
      <c r="AH71" s="7"/>
      <c r="AJ71" s="2"/>
      <c r="AO71" s="7"/>
      <c r="AQ71" s="2"/>
    </row>
    <row r="72" spans="23:43" ht="15" customHeight="1">
      <c r="W72" s="7"/>
      <c r="X72" s="2"/>
      <c r="AC72" s="7"/>
      <c r="AD72" s="7"/>
      <c r="AE72" s="2"/>
      <c r="AF72" s="2"/>
      <c r="AH72" s="7"/>
      <c r="AJ72" s="2"/>
      <c r="AO72" s="7"/>
      <c r="AQ72" s="2"/>
    </row>
    <row r="73" spans="23:43" ht="15" customHeight="1">
      <c r="W73" s="7"/>
      <c r="X73" s="2"/>
      <c r="AC73" s="7"/>
      <c r="AD73" s="7"/>
      <c r="AE73" s="2"/>
      <c r="AF73" s="2"/>
      <c r="AH73" s="7"/>
      <c r="AJ73" s="2"/>
      <c r="AO73" s="7"/>
      <c r="AQ73" s="2"/>
    </row>
    <row r="74" spans="23:43" ht="15" customHeight="1">
      <c r="W74" s="7"/>
      <c r="X74" s="2"/>
      <c r="AC74" s="7"/>
      <c r="AD74" s="7"/>
      <c r="AE74" s="2"/>
      <c r="AF74" s="2"/>
      <c r="AH74" s="7"/>
      <c r="AJ74" s="2"/>
      <c r="AO74" s="7"/>
      <c r="AQ74" s="2"/>
    </row>
    <row r="75" spans="23:43" ht="15" customHeight="1">
      <c r="W75" s="7"/>
      <c r="X75" s="2"/>
      <c r="AC75" s="7"/>
      <c r="AD75" s="7"/>
      <c r="AE75" s="2"/>
      <c r="AF75" s="2"/>
      <c r="AH75" s="7"/>
      <c r="AJ75" s="2"/>
      <c r="AO75" s="7"/>
      <c r="AQ75" s="2"/>
    </row>
    <row r="76" spans="23:43" ht="15" customHeight="1">
      <c r="W76" s="7"/>
      <c r="X76" s="2"/>
      <c r="AC76" s="7"/>
      <c r="AD76" s="7"/>
      <c r="AE76" s="2"/>
      <c r="AF76" s="2"/>
      <c r="AH76" s="7"/>
      <c r="AJ76" s="2"/>
      <c r="AO76" s="7"/>
      <c r="AQ76" s="2"/>
    </row>
    <row r="77" spans="23:43" ht="15" customHeight="1">
      <c r="W77" s="7"/>
      <c r="X77" s="2"/>
      <c r="AC77" s="7"/>
      <c r="AD77" s="7"/>
      <c r="AE77" s="2"/>
      <c r="AF77" s="2"/>
      <c r="AH77" s="7"/>
      <c r="AJ77" s="2"/>
      <c r="AO77" s="7"/>
      <c r="AQ77" s="2"/>
    </row>
    <row r="78" spans="23:43" ht="15" customHeight="1">
      <c r="W78" s="7"/>
      <c r="X78" s="2"/>
      <c r="AC78" s="7"/>
      <c r="AD78" s="7"/>
      <c r="AE78" s="2"/>
      <c r="AF78" s="2"/>
      <c r="AH78" s="7"/>
      <c r="AJ78" s="2"/>
      <c r="AO78" s="7"/>
      <c r="AQ78" s="2"/>
    </row>
    <row r="79" spans="23:43" ht="15" customHeight="1">
      <c r="W79" s="7"/>
      <c r="X79" s="2"/>
      <c r="AC79" s="7"/>
      <c r="AD79" s="7"/>
      <c r="AE79" s="2"/>
      <c r="AF79" s="2"/>
      <c r="AH79" s="7"/>
      <c r="AJ79" s="2"/>
      <c r="AO79" s="7"/>
      <c r="AQ79" s="2"/>
    </row>
    <row r="80" spans="23:43" ht="15" customHeight="1">
      <c r="W80" s="7"/>
      <c r="X80" s="2"/>
      <c r="AC80" s="7"/>
      <c r="AD80" s="7"/>
      <c r="AE80" s="2"/>
      <c r="AF80" s="2"/>
      <c r="AH80" s="7"/>
      <c r="AJ80" s="2"/>
      <c r="AO80" s="7"/>
      <c r="AQ80" s="2"/>
    </row>
    <row r="81" spans="23:43" ht="15" customHeight="1">
      <c r="W81" s="7"/>
      <c r="X81" s="2"/>
      <c r="AC81" s="7"/>
      <c r="AD81" s="7"/>
      <c r="AE81" s="2"/>
      <c r="AF81" s="2"/>
      <c r="AH81" s="7"/>
      <c r="AJ81" s="2"/>
      <c r="AO81" s="7"/>
      <c r="AQ81" s="2"/>
    </row>
    <row r="82" spans="23:43" ht="15" customHeight="1">
      <c r="W82" s="7"/>
      <c r="X82" s="2"/>
      <c r="AC82" s="7"/>
      <c r="AD82" s="7"/>
      <c r="AE82" s="2"/>
      <c r="AF82" s="2"/>
      <c r="AH82" s="7"/>
      <c r="AJ82" s="2"/>
      <c r="AO82" s="7"/>
      <c r="AQ82" s="2"/>
    </row>
    <row r="83" spans="23:43" ht="15" customHeight="1">
      <c r="W83" s="7"/>
      <c r="X83" s="2"/>
      <c r="AC83" s="7"/>
      <c r="AD83" s="7"/>
      <c r="AE83" s="2"/>
      <c r="AF83" s="2"/>
      <c r="AH83" s="7"/>
      <c r="AJ83" s="2"/>
      <c r="AO83" s="7"/>
      <c r="AQ83" s="2"/>
    </row>
    <row r="84" spans="23:43" ht="15" customHeight="1">
      <c r="W84" s="7"/>
      <c r="X84" s="2"/>
      <c r="AC84" s="7"/>
      <c r="AD84" s="7"/>
      <c r="AE84" s="2"/>
      <c r="AF84" s="2"/>
      <c r="AH84" s="7"/>
      <c r="AJ84" s="2"/>
      <c r="AO84" s="7"/>
      <c r="AQ84" s="2"/>
    </row>
    <row r="85" spans="23:43" ht="15" customHeight="1">
      <c r="W85" s="7"/>
      <c r="X85" s="2"/>
      <c r="AC85" s="7"/>
      <c r="AD85" s="7"/>
      <c r="AE85" s="2"/>
      <c r="AF85" s="2"/>
      <c r="AH85" s="7"/>
      <c r="AJ85" s="2"/>
      <c r="AO85" s="7"/>
      <c r="AQ85" s="2"/>
    </row>
    <row r="86" spans="23:43" ht="15" customHeight="1">
      <c r="W86" s="7"/>
      <c r="X86" s="2"/>
      <c r="AC86" s="7"/>
      <c r="AD86" s="7"/>
      <c r="AE86" s="2"/>
      <c r="AF86" s="2"/>
      <c r="AH86" s="7"/>
      <c r="AJ86" s="2"/>
      <c r="AO86" s="7"/>
      <c r="AQ86" s="2"/>
    </row>
    <row r="87" spans="23:43" ht="15" customHeight="1">
      <c r="W87" s="7"/>
      <c r="X87" s="2"/>
      <c r="AC87" s="7"/>
      <c r="AD87" s="7"/>
      <c r="AE87" s="2"/>
      <c r="AF87" s="2"/>
      <c r="AH87" s="7"/>
      <c r="AJ87" s="2"/>
      <c r="AO87" s="7"/>
      <c r="AQ87" s="2"/>
    </row>
    <row r="88" spans="23:43" ht="15" customHeight="1">
      <c r="W88" s="7"/>
      <c r="X88" s="2"/>
      <c r="AC88" s="7"/>
      <c r="AD88" s="7"/>
      <c r="AE88" s="2"/>
      <c r="AF88" s="2"/>
      <c r="AH88" s="7"/>
      <c r="AJ88" s="2"/>
      <c r="AO88" s="7"/>
      <c r="AQ88" s="2"/>
    </row>
    <row r="89" spans="23:43" ht="15" customHeight="1">
      <c r="W89" s="7"/>
      <c r="X89" s="2"/>
      <c r="AC89" s="7"/>
      <c r="AD89" s="7"/>
      <c r="AE89" s="2"/>
      <c r="AF89" s="2"/>
      <c r="AH89" s="7"/>
      <c r="AJ89" s="2"/>
      <c r="AO89" s="7"/>
      <c r="AQ89" s="2"/>
    </row>
    <row r="90" spans="23:43" ht="15" customHeight="1">
      <c r="W90" s="7"/>
      <c r="X90" s="2"/>
      <c r="AC90" s="7"/>
      <c r="AD90" s="7"/>
      <c r="AE90" s="2"/>
      <c r="AF90" s="2"/>
      <c r="AH90" s="7"/>
      <c r="AJ90" s="2"/>
      <c r="AO90" s="7"/>
      <c r="AQ90" s="2"/>
    </row>
    <row r="91" spans="23:43" ht="15" customHeight="1">
      <c r="W91" s="7"/>
      <c r="X91" s="2"/>
      <c r="AC91" s="7"/>
      <c r="AD91" s="7"/>
      <c r="AE91" s="2"/>
      <c r="AF91" s="2"/>
      <c r="AH91" s="7"/>
      <c r="AJ91" s="2"/>
      <c r="AO91" s="7"/>
      <c r="AQ91" s="2"/>
    </row>
    <row r="92" spans="23:43" ht="15" customHeight="1">
      <c r="W92" s="7"/>
      <c r="X92" s="2"/>
      <c r="AC92" s="7"/>
      <c r="AD92" s="7"/>
      <c r="AE92" s="2"/>
      <c r="AF92" s="2"/>
      <c r="AH92" s="7"/>
      <c r="AJ92" s="2"/>
      <c r="AO92" s="7"/>
      <c r="AQ92" s="2"/>
    </row>
    <row r="93" spans="23:43" ht="15" customHeight="1">
      <c r="W93" s="7"/>
      <c r="X93" s="2"/>
      <c r="AC93" s="7"/>
      <c r="AD93" s="7"/>
      <c r="AE93" s="2"/>
      <c r="AF93" s="2"/>
      <c r="AH93" s="7"/>
      <c r="AJ93" s="2"/>
      <c r="AO93" s="7"/>
      <c r="AQ93" s="2"/>
    </row>
    <row r="94" spans="23:43" ht="15" customHeight="1">
      <c r="W94" s="7"/>
      <c r="X94" s="2"/>
      <c r="AC94" s="7"/>
      <c r="AD94" s="7"/>
      <c r="AE94" s="2"/>
      <c r="AF94" s="2"/>
      <c r="AH94" s="7"/>
      <c r="AJ94" s="2"/>
      <c r="AO94" s="7"/>
      <c r="AQ94" s="2"/>
    </row>
    <row r="95" spans="23:43" ht="15" customHeight="1">
      <c r="W95" s="7"/>
      <c r="X95" s="2"/>
      <c r="AC95" s="7"/>
      <c r="AD95" s="7"/>
      <c r="AE95" s="2"/>
      <c r="AF95" s="2"/>
      <c r="AH95" s="7"/>
      <c r="AJ95" s="2"/>
      <c r="AO95" s="7"/>
      <c r="AQ95" s="2"/>
    </row>
    <row r="96" spans="23:43" ht="15" customHeight="1">
      <c r="W96" s="7"/>
      <c r="X96" s="2"/>
      <c r="AC96" s="7"/>
      <c r="AD96" s="7"/>
      <c r="AE96" s="2"/>
      <c r="AF96" s="2"/>
      <c r="AH96" s="7"/>
      <c r="AJ96" s="2"/>
      <c r="AO96" s="7"/>
      <c r="AQ96" s="2"/>
    </row>
    <row r="97" spans="23:43" ht="15" customHeight="1">
      <c r="W97" s="7"/>
      <c r="X97" s="2"/>
      <c r="AC97" s="7"/>
      <c r="AD97" s="7"/>
      <c r="AE97" s="2"/>
      <c r="AF97" s="2"/>
      <c r="AH97" s="7"/>
      <c r="AJ97" s="2"/>
      <c r="AO97" s="7"/>
      <c r="AQ97" s="2"/>
    </row>
    <row r="98" spans="23:43" ht="15" customHeight="1">
      <c r="W98" s="7"/>
      <c r="X98" s="2"/>
      <c r="AC98" s="7"/>
      <c r="AD98" s="7"/>
      <c r="AE98" s="2"/>
      <c r="AF98" s="2"/>
      <c r="AH98" s="7"/>
      <c r="AJ98" s="2"/>
      <c r="AO98" s="7"/>
      <c r="AQ98" s="2"/>
    </row>
    <row r="99" spans="23:43" ht="15" customHeight="1">
      <c r="W99" s="7"/>
      <c r="X99" s="2"/>
      <c r="AC99" s="7"/>
      <c r="AD99" s="7"/>
      <c r="AE99" s="2"/>
      <c r="AF99" s="2"/>
      <c r="AH99" s="7"/>
      <c r="AJ99" s="2"/>
      <c r="AO99" s="7"/>
      <c r="AQ99" s="2"/>
    </row>
    <row r="100" spans="23:43" ht="15" customHeight="1">
      <c r="W100" s="7"/>
      <c r="X100" s="2"/>
      <c r="AC100" s="7"/>
      <c r="AD100" s="7"/>
      <c r="AE100" s="2"/>
      <c r="AF100" s="2"/>
      <c r="AH100" s="7"/>
      <c r="AJ100" s="2"/>
      <c r="AO100" s="7"/>
      <c r="AQ100" s="2"/>
    </row>
    <row r="101" spans="23:43" ht="15" customHeight="1">
      <c r="W101" s="7"/>
      <c r="X101" s="2"/>
      <c r="AC101" s="7"/>
      <c r="AD101" s="7"/>
      <c r="AE101" s="2"/>
      <c r="AF101" s="2"/>
      <c r="AH101" s="7"/>
      <c r="AJ101" s="2"/>
      <c r="AO101" s="7"/>
      <c r="AQ101" s="2"/>
    </row>
    <row r="102" spans="23:43" ht="15" customHeight="1">
      <c r="W102" s="7"/>
      <c r="X102" s="2"/>
      <c r="AC102" s="7"/>
      <c r="AD102" s="7"/>
      <c r="AE102" s="2"/>
      <c r="AF102" s="2"/>
      <c r="AH102" s="7"/>
      <c r="AJ102" s="2"/>
      <c r="AO102" s="7"/>
      <c r="AQ102" s="2"/>
    </row>
    <row r="103" spans="23:43" ht="15" customHeight="1">
      <c r="W103" s="7"/>
      <c r="X103" s="2"/>
      <c r="AC103" s="7"/>
      <c r="AD103" s="7"/>
      <c r="AE103" s="2"/>
      <c r="AF103" s="2"/>
      <c r="AH103" s="7"/>
      <c r="AJ103" s="2"/>
      <c r="AO103" s="7"/>
      <c r="AQ103" s="2"/>
    </row>
    <row r="104" spans="23:43" ht="15" customHeight="1">
      <c r="W104" s="7"/>
      <c r="X104" s="2"/>
      <c r="AC104" s="7"/>
      <c r="AD104" s="7"/>
      <c r="AE104" s="2"/>
      <c r="AF104" s="2"/>
      <c r="AH104" s="7"/>
      <c r="AJ104" s="2"/>
      <c r="AO104" s="7"/>
      <c r="AQ104" s="2"/>
    </row>
    <row r="105" spans="23:43" ht="15" customHeight="1">
      <c r="W105" s="7"/>
      <c r="X105" s="2"/>
      <c r="AC105" s="7"/>
      <c r="AD105" s="7"/>
      <c r="AE105" s="2"/>
      <c r="AF105" s="2"/>
      <c r="AH105" s="7"/>
      <c r="AJ105" s="2"/>
      <c r="AO105" s="7"/>
      <c r="AQ105" s="2"/>
    </row>
    <row r="106" spans="23:43" ht="15" customHeight="1">
      <c r="W106" s="7"/>
      <c r="X106" s="2"/>
      <c r="AC106" s="7"/>
      <c r="AD106" s="7"/>
      <c r="AE106" s="2"/>
      <c r="AF106" s="2"/>
      <c r="AH106" s="7"/>
      <c r="AJ106" s="2"/>
      <c r="AO106" s="7"/>
      <c r="AQ106" s="2"/>
    </row>
    <row r="107" spans="23:43" ht="15" customHeight="1">
      <c r="W107" s="7"/>
      <c r="X107" s="2"/>
      <c r="AC107" s="7"/>
      <c r="AD107" s="7"/>
      <c r="AE107" s="2"/>
      <c r="AF107" s="2"/>
      <c r="AH107" s="7"/>
      <c r="AJ107" s="2"/>
      <c r="AO107" s="7"/>
      <c r="AQ107" s="2"/>
    </row>
    <row r="108" spans="23:43" ht="15" customHeight="1">
      <c r="W108" s="7"/>
      <c r="X108" s="2"/>
      <c r="AC108" s="7"/>
      <c r="AD108" s="7"/>
      <c r="AE108" s="2"/>
      <c r="AF108" s="2"/>
      <c r="AH108" s="7"/>
      <c r="AJ108" s="2"/>
      <c r="AO108" s="7"/>
      <c r="AQ108" s="2"/>
    </row>
    <row r="109" spans="23:43" ht="15" customHeight="1">
      <c r="W109" s="7"/>
      <c r="X109" s="2"/>
      <c r="AC109" s="7"/>
      <c r="AD109" s="7"/>
      <c r="AE109" s="2"/>
      <c r="AF109" s="2"/>
      <c r="AH109" s="7"/>
      <c r="AJ109" s="2"/>
      <c r="AO109" s="7"/>
      <c r="AQ109" s="2"/>
    </row>
    <row r="110" spans="23:43" ht="15" customHeight="1">
      <c r="W110" s="7"/>
      <c r="X110" s="2"/>
      <c r="AC110" s="7"/>
      <c r="AD110" s="7"/>
      <c r="AE110" s="2"/>
      <c r="AF110" s="2"/>
      <c r="AH110" s="7"/>
      <c r="AJ110" s="2"/>
      <c r="AO110" s="7"/>
      <c r="AQ110" s="2"/>
    </row>
    <row r="111" spans="23:43" ht="15" customHeight="1">
      <c r="W111" s="7"/>
      <c r="X111" s="2"/>
      <c r="AC111" s="7"/>
      <c r="AD111" s="7"/>
      <c r="AE111" s="2"/>
      <c r="AF111" s="2"/>
      <c r="AH111" s="7"/>
      <c r="AJ111" s="2"/>
      <c r="AO111" s="7"/>
      <c r="AQ111" s="2"/>
    </row>
    <row r="112" spans="23:43" ht="15" customHeight="1">
      <c r="W112" s="7"/>
      <c r="X112" s="2"/>
      <c r="AC112" s="7"/>
      <c r="AD112" s="7"/>
      <c r="AE112" s="2"/>
      <c r="AF112" s="2"/>
      <c r="AH112" s="7"/>
      <c r="AJ112" s="2"/>
      <c r="AO112" s="7"/>
      <c r="AQ112" s="2"/>
    </row>
    <row r="113" spans="23:43" ht="15" customHeight="1">
      <c r="W113" s="7"/>
      <c r="X113" s="2"/>
      <c r="AC113" s="7"/>
      <c r="AD113" s="7"/>
      <c r="AE113" s="2"/>
      <c r="AF113" s="2"/>
      <c r="AH113" s="7"/>
      <c r="AJ113" s="2"/>
      <c r="AO113" s="7"/>
      <c r="AQ113" s="2"/>
    </row>
    <row r="114" spans="23:43" ht="15" customHeight="1">
      <c r="W114" s="7"/>
      <c r="X114" s="2"/>
      <c r="AC114" s="7"/>
      <c r="AD114" s="7"/>
      <c r="AE114" s="2"/>
      <c r="AF114" s="2"/>
      <c r="AH114" s="7"/>
      <c r="AJ114" s="2"/>
      <c r="AO114" s="7"/>
      <c r="AQ114" s="2"/>
    </row>
    <row r="115" spans="23:43" ht="15" customHeight="1">
      <c r="W115" s="7"/>
      <c r="X115" s="2"/>
      <c r="AC115" s="7"/>
      <c r="AD115" s="7"/>
      <c r="AE115" s="2"/>
      <c r="AF115" s="2"/>
      <c r="AH115" s="7"/>
      <c r="AJ115" s="2"/>
      <c r="AO115" s="7"/>
      <c r="AQ115" s="2"/>
    </row>
    <row r="116" spans="23:43" ht="15" customHeight="1">
      <c r="W116" s="7"/>
      <c r="X116" s="2"/>
      <c r="AC116" s="7"/>
      <c r="AD116" s="7"/>
      <c r="AE116" s="2"/>
      <c r="AF116" s="2"/>
      <c r="AH116" s="7"/>
      <c r="AJ116" s="2"/>
      <c r="AO116" s="7"/>
      <c r="AQ116" s="2"/>
    </row>
    <row r="117" spans="23:43" ht="15" customHeight="1">
      <c r="W117" s="7"/>
      <c r="X117" s="2"/>
      <c r="AC117" s="7"/>
      <c r="AD117" s="7"/>
      <c r="AE117" s="2"/>
      <c r="AF117" s="2"/>
      <c r="AH117" s="7"/>
      <c r="AJ117" s="2"/>
      <c r="AO117" s="7"/>
      <c r="AQ117" s="2"/>
    </row>
    <row r="118" spans="23:43" ht="15" customHeight="1">
      <c r="W118" s="7"/>
      <c r="X118" s="2"/>
      <c r="AC118" s="7"/>
      <c r="AD118" s="7"/>
      <c r="AE118" s="2"/>
      <c r="AF118" s="2"/>
      <c r="AH118" s="7"/>
      <c r="AJ118" s="2"/>
      <c r="AO118" s="7"/>
      <c r="AQ118" s="2"/>
    </row>
    <row r="119" spans="23:43" ht="15" customHeight="1">
      <c r="W119" s="7"/>
      <c r="X119" s="2"/>
      <c r="AC119" s="7"/>
      <c r="AD119" s="7"/>
      <c r="AE119" s="2"/>
      <c r="AF119" s="2"/>
      <c r="AH119" s="7"/>
      <c r="AJ119" s="2"/>
      <c r="AO119" s="7"/>
      <c r="AQ119" s="2"/>
    </row>
    <row r="120" spans="23:43" ht="15" customHeight="1">
      <c r="W120" s="7"/>
      <c r="X120" s="2"/>
      <c r="AC120" s="7"/>
      <c r="AD120" s="7"/>
      <c r="AE120" s="2"/>
      <c r="AF120" s="2"/>
      <c r="AH120" s="7"/>
      <c r="AJ120" s="2"/>
      <c r="AO120" s="7"/>
      <c r="AQ120" s="2"/>
    </row>
    <row r="121" spans="23:43" ht="15" customHeight="1">
      <c r="W121" s="7"/>
      <c r="X121" s="2"/>
      <c r="AC121" s="7"/>
      <c r="AD121" s="7"/>
      <c r="AE121" s="2"/>
      <c r="AF121" s="2"/>
      <c r="AH121" s="7"/>
      <c r="AJ121" s="2"/>
      <c r="AO121" s="7"/>
      <c r="AQ121" s="2"/>
    </row>
    <row r="122" spans="23:43" ht="15" customHeight="1">
      <c r="W122" s="7"/>
      <c r="X122" s="2"/>
      <c r="AC122" s="7"/>
      <c r="AD122" s="7"/>
      <c r="AE122" s="2"/>
      <c r="AF122" s="2"/>
      <c r="AH122" s="7"/>
      <c r="AJ122" s="2"/>
      <c r="AO122" s="7"/>
      <c r="AQ122" s="2"/>
    </row>
    <row r="123" spans="23:43" ht="15" customHeight="1">
      <c r="W123" s="7"/>
      <c r="X123" s="2"/>
      <c r="AC123" s="7"/>
      <c r="AD123" s="7"/>
      <c r="AE123" s="2"/>
      <c r="AF123" s="2"/>
      <c r="AH123" s="7"/>
      <c r="AJ123" s="2"/>
      <c r="AO123" s="7"/>
      <c r="AQ123" s="2"/>
    </row>
    <row r="124" spans="23:43" ht="15" customHeight="1">
      <c r="W124" s="7"/>
      <c r="X124" s="2"/>
      <c r="AC124" s="7"/>
      <c r="AD124" s="7"/>
      <c r="AE124" s="2"/>
      <c r="AF124" s="2"/>
      <c r="AH124" s="7"/>
      <c r="AJ124" s="2"/>
      <c r="AO124" s="7"/>
      <c r="AQ124" s="2"/>
    </row>
    <row r="125" spans="23:43" ht="15" customHeight="1">
      <c r="W125" s="7"/>
      <c r="X125" s="2"/>
      <c r="AC125" s="7"/>
      <c r="AD125" s="7"/>
      <c r="AE125" s="2"/>
      <c r="AF125" s="2"/>
      <c r="AH125" s="7"/>
      <c r="AJ125" s="2"/>
      <c r="AO125" s="7"/>
      <c r="AQ125" s="2"/>
    </row>
    <row r="126" spans="23:43" ht="15" customHeight="1">
      <c r="W126" s="7"/>
      <c r="X126" s="2"/>
      <c r="AC126" s="7"/>
      <c r="AD126" s="7"/>
      <c r="AE126" s="2"/>
      <c r="AF126" s="2"/>
      <c r="AH126" s="7"/>
      <c r="AJ126" s="2"/>
      <c r="AO126" s="7"/>
      <c r="AQ126" s="2"/>
    </row>
    <row r="127" spans="23:43" ht="15" customHeight="1">
      <c r="W127" s="7"/>
      <c r="X127" s="2"/>
      <c r="AC127" s="7"/>
      <c r="AD127" s="7"/>
      <c r="AE127" s="2"/>
      <c r="AF127" s="2"/>
      <c r="AH127" s="7"/>
      <c r="AJ127" s="2"/>
      <c r="AO127" s="7"/>
      <c r="AQ127" s="2"/>
    </row>
    <row r="128" spans="23:43" ht="15" customHeight="1">
      <c r="W128" s="7"/>
      <c r="X128" s="2"/>
      <c r="AC128" s="7"/>
      <c r="AD128" s="7"/>
      <c r="AE128" s="2"/>
      <c r="AF128" s="2"/>
      <c r="AH128" s="7"/>
      <c r="AJ128" s="2"/>
      <c r="AO128" s="7"/>
      <c r="AQ128" s="2"/>
    </row>
    <row r="129" spans="23:43" ht="15" customHeight="1">
      <c r="W129" s="7"/>
      <c r="X129" s="2"/>
      <c r="AC129" s="7"/>
      <c r="AD129" s="7"/>
      <c r="AE129" s="2"/>
      <c r="AF129" s="2"/>
      <c r="AH129" s="7"/>
      <c r="AJ129" s="2"/>
      <c r="AO129" s="7"/>
      <c r="AQ129" s="2"/>
    </row>
    <row r="130" spans="23:43" ht="15" customHeight="1">
      <c r="W130" s="7"/>
      <c r="X130" s="2"/>
      <c r="AC130" s="7"/>
      <c r="AD130" s="7"/>
      <c r="AE130" s="2"/>
      <c r="AF130" s="2"/>
      <c r="AH130" s="7"/>
      <c r="AJ130" s="2"/>
      <c r="AO130" s="7"/>
      <c r="AQ130" s="2"/>
    </row>
    <row r="131" spans="23:43" ht="15" customHeight="1">
      <c r="W131" s="7"/>
      <c r="X131" s="2"/>
      <c r="AC131" s="7"/>
      <c r="AD131" s="7"/>
      <c r="AE131" s="2"/>
      <c r="AF131" s="2"/>
      <c r="AH131" s="7"/>
      <c r="AJ131" s="2"/>
      <c r="AO131" s="7"/>
      <c r="AQ131" s="2"/>
    </row>
    <row r="132" spans="23:43" ht="15" customHeight="1">
      <c r="W132" s="7"/>
      <c r="X132" s="2"/>
      <c r="AC132" s="7"/>
      <c r="AD132" s="7"/>
      <c r="AE132" s="2"/>
      <c r="AF132" s="2"/>
      <c r="AH132" s="7"/>
      <c r="AJ132" s="2"/>
      <c r="AO132" s="7"/>
      <c r="AQ132" s="2"/>
    </row>
    <row r="133" spans="23:43" ht="15" customHeight="1">
      <c r="W133" s="7"/>
      <c r="X133" s="2"/>
      <c r="AC133" s="7"/>
      <c r="AD133" s="7"/>
      <c r="AE133" s="2"/>
      <c r="AF133" s="2"/>
      <c r="AH133" s="7"/>
      <c r="AJ133" s="2"/>
      <c r="AO133" s="7"/>
      <c r="AQ133" s="2"/>
    </row>
    <row r="134" spans="23:43" ht="15" customHeight="1">
      <c r="W134" s="7"/>
      <c r="X134" s="2"/>
      <c r="AC134" s="7"/>
      <c r="AD134" s="7"/>
      <c r="AE134" s="2"/>
      <c r="AF134" s="2"/>
      <c r="AH134" s="7"/>
      <c r="AJ134" s="2"/>
      <c r="AO134" s="7"/>
      <c r="AQ134" s="2"/>
    </row>
    <row r="135" spans="23:43" ht="15" customHeight="1">
      <c r="W135" s="7"/>
      <c r="X135" s="2"/>
      <c r="AC135" s="7"/>
      <c r="AD135" s="7"/>
      <c r="AE135" s="2"/>
      <c r="AF135" s="2"/>
      <c r="AH135" s="7"/>
      <c r="AJ135" s="2"/>
      <c r="AO135" s="7"/>
      <c r="AQ135" s="2"/>
    </row>
    <row r="136" spans="23:43" ht="15" customHeight="1">
      <c r="W136" s="7"/>
      <c r="X136" s="2"/>
      <c r="AC136" s="7"/>
      <c r="AD136" s="7"/>
      <c r="AE136" s="2"/>
      <c r="AF136" s="2"/>
      <c r="AH136" s="7"/>
      <c r="AJ136" s="2"/>
      <c r="AO136" s="7"/>
      <c r="AQ136" s="2"/>
    </row>
    <row r="137" spans="23:43" ht="15" customHeight="1">
      <c r="W137" s="7"/>
      <c r="X137" s="2"/>
      <c r="AC137" s="7"/>
      <c r="AD137" s="7"/>
      <c r="AE137" s="2"/>
      <c r="AF137" s="2"/>
      <c r="AH137" s="7"/>
      <c r="AJ137" s="2"/>
      <c r="AO137" s="7"/>
      <c r="AQ137" s="2"/>
    </row>
    <row r="138" spans="23:43" ht="15" customHeight="1">
      <c r="W138" s="7"/>
      <c r="X138" s="2"/>
      <c r="AC138" s="7"/>
      <c r="AD138" s="7"/>
      <c r="AE138" s="2"/>
      <c r="AF138" s="2"/>
      <c r="AH138" s="7"/>
      <c r="AJ138" s="2"/>
      <c r="AO138" s="7"/>
      <c r="AQ138" s="2"/>
    </row>
    <row r="139" spans="23:43" ht="15" customHeight="1">
      <c r="W139" s="7"/>
      <c r="X139" s="2"/>
      <c r="AC139" s="7"/>
      <c r="AD139" s="7"/>
      <c r="AE139" s="2"/>
      <c r="AF139" s="2"/>
      <c r="AH139" s="7"/>
      <c r="AJ139" s="2"/>
      <c r="AO139" s="7"/>
      <c r="AQ139" s="2"/>
    </row>
    <row r="140" spans="23:43" ht="15" customHeight="1">
      <c r="W140" s="7"/>
      <c r="X140" s="2"/>
      <c r="AC140" s="7"/>
      <c r="AD140" s="7"/>
      <c r="AE140" s="2"/>
      <c r="AF140" s="2"/>
      <c r="AH140" s="7"/>
      <c r="AJ140" s="2"/>
      <c r="AO140" s="7"/>
      <c r="AQ140" s="2"/>
    </row>
    <row r="141" spans="23:43" ht="15" customHeight="1">
      <c r="W141" s="7"/>
      <c r="X141" s="2"/>
      <c r="AC141" s="7"/>
      <c r="AD141" s="7"/>
      <c r="AE141" s="2"/>
      <c r="AF141" s="2"/>
      <c r="AH141" s="7"/>
      <c r="AJ141" s="2"/>
      <c r="AO141" s="7"/>
      <c r="AQ141" s="2"/>
    </row>
    <row r="142" spans="23:43" ht="15" customHeight="1">
      <c r="W142" s="7"/>
      <c r="X142" s="2"/>
      <c r="AC142" s="7"/>
      <c r="AD142" s="7"/>
      <c r="AE142" s="2"/>
      <c r="AF142" s="2"/>
      <c r="AH142" s="7"/>
      <c r="AJ142" s="2"/>
      <c r="AO142" s="7"/>
      <c r="AQ142" s="2"/>
    </row>
    <row r="143" spans="23:43" ht="15" customHeight="1">
      <c r="W143" s="7"/>
      <c r="X143" s="2"/>
      <c r="AC143" s="7"/>
      <c r="AD143" s="7"/>
      <c r="AE143" s="2"/>
      <c r="AF143" s="2"/>
      <c r="AH143" s="7"/>
      <c r="AJ143" s="2"/>
      <c r="AO143" s="7"/>
      <c r="AQ143" s="2"/>
    </row>
    <row r="144" spans="23:43" ht="15" customHeight="1">
      <c r="W144" s="7"/>
      <c r="X144" s="2"/>
      <c r="AC144" s="7"/>
      <c r="AD144" s="7"/>
      <c r="AE144" s="2"/>
      <c r="AF144" s="2"/>
      <c r="AH144" s="7"/>
      <c r="AJ144" s="2"/>
      <c r="AO144" s="7"/>
      <c r="AQ144" s="2"/>
    </row>
    <row r="145" spans="23:43" ht="15" customHeight="1">
      <c r="W145" s="7"/>
      <c r="X145" s="2"/>
      <c r="AC145" s="7"/>
      <c r="AD145" s="7"/>
      <c r="AE145" s="2"/>
      <c r="AF145" s="2"/>
      <c r="AH145" s="7"/>
      <c r="AJ145" s="2"/>
      <c r="AO145" s="7"/>
      <c r="AQ145" s="2"/>
    </row>
    <row r="146" spans="23:43" ht="15" customHeight="1">
      <c r="W146" s="7"/>
      <c r="X146" s="2"/>
      <c r="AC146" s="7"/>
      <c r="AD146" s="7"/>
      <c r="AE146" s="2"/>
      <c r="AF146" s="2"/>
      <c r="AH146" s="7"/>
      <c r="AJ146" s="2"/>
      <c r="AO146" s="7"/>
      <c r="AQ146" s="2"/>
    </row>
    <row r="147" spans="23:43" ht="15" customHeight="1">
      <c r="W147" s="7"/>
      <c r="X147" s="2"/>
      <c r="AC147" s="7"/>
      <c r="AD147" s="7"/>
      <c r="AE147" s="2"/>
      <c r="AF147" s="2"/>
      <c r="AH147" s="7"/>
      <c r="AJ147" s="2"/>
      <c r="AO147" s="7"/>
      <c r="AQ147" s="2"/>
    </row>
    <row r="148" spans="23:43" ht="15" customHeight="1">
      <c r="W148" s="7"/>
      <c r="X148" s="2"/>
      <c r="AC148" s="7"/>
      <c r="AD148" s="7"/>
      <c r="AE148" s="2"/>
      <c r="AF148" s="2"/>
      <c r="AH148" s="7"/>
      <c r="AJ148" s="2"/>
      <c r="AO148" s="7"/>
      <c r="AQ148" s="2"/>
    </row>
    <row r="149" spans="23:43" ht="15" customHeight="1">
      <c r="W149" s="7"/>
      <c r="X149" s="2"/>
      <c r="AC149" s="7"/>
      <c r="AD149" s="7"/>
      <c r="AE149" s="2"/>
      <c r="AF149" s="2"/>
      <c r="AH149" s="7"/>
      <c r="AJ149" s="2"/>
      <c r="AO149" s="7"/>
      <c r="AQ149" s="2"/>
    </row>
    <row r="150" spans="23:43" ht="15" customHeight="1">
      <c r="W150" s="7"/>
      <c r="X150" s="2"/>
      <c r="AC150" s="7"/>
      <c r="AD150" s="7"/>
      <c r="AE150" s="2"/>
      <c r="AF150" s="2"/>
      <c r="AH150" s="7"/>
      <c r="AJ150" s="2"/>
      <c r="AO150" s="7"/>
      <c r="AQ150" s="2"/>
    </row>
    <row r="151" spans="23:43" ht="15" customHeight="1">
      <c r="W151" s="7"/>
      <c r="X151" s="2"/>
      <c r="AC151" s="7"/>
      <c r="AD151" s="7"/>
      <c r="AE151" s="2"/>
      <c r="AF151" s="2"/>
      <c r="AH151" s="7"/>
      <c r="AJ151" s="2"/>
      <c r="AO151" s="7"/>
      <c r="AQ151" s="2"/>
    </row>
    <row r="152" spans="23:43" ht="15" customHeight="1">
      <c r="W152" s="7"/>
      <c r="X152" s="2"/>
      <c r="AC152" s="7"/>
      <c r="AD152" s="7"/>
      <c r="AE152" s="2"/>
      <c r="AF152" s="2"/>
      <c r="AH152" s="7"/>
      <c r="AJ152" s="2"/>
      <c r="AO152" s="7"/>
      <c r="AQ152" s="2"/>
    </row>
    <row r="153" spans="23:43" ht="15" customHeight="1">
      <c r="W153" s="7"/>
      <c r="X153" s="2"/>
      <c r="AC153" s="7"/>
      <c r="AD153" s="7"/>
      <c r="AE153" s="2"/>
      <c r="AF153" s="2"/>
      <c r="AH153" s="7"/>
      <c r="AJ153" s="2"/>
      <c r="AO153" s="7"/>
      <c r="AQ153" s="2"/>
    </row>
    <row r="154" spans="23:43" ht="15" customHeight="1">
      <c r="W154" s="7"/>
      <c r="X154" s="2"/>
      <c r="AC154" s="7"/>
      <c r="AD154" s="7"/>
      <c r="AE154" s="2"/>
      <c r="AF154" s="2"/>
      <c r="AH154" s="7"/>
      <c r="AJ154" s="2"/>
      <c r="AO154" s="7"/>
      <c r="AQ154" s="2"/>
    </row>
    <row r="155" spans="23:43" ht="15" customHeight="1">
      <c r="W155" s="7"/>
      <c r="X155" s="2"/>
      <c r="AC155" s="7"/>
      <c r="AD155" s="7"/>
      <c r="AE155" s="2"/>
      <c r="AF155" s="2"/>
      <c r="AH155" s="7"/>
      <c r="AJ155" s="2"/>
      <c r="AO155" s="7"/>
      <c r="AQ155" s="2"/>
    </row>
    <row r="156" spans="23:43" ht="15" customHeight="1">
      <c r="W156" s="7"/>
      <c r="X156" s="2"/>
      <c r="AC156" s="7"/>
      <c r="AD156" s="7"/>
      <c r="AE156" s="2"/>
      <c r="AF156" s="2"/>
      <c r="AH156" s="7"/>
      <c r="AJ156" s="2"/>
      <c r="AO156" s="7"/>
      <c r="AQ156" s="2"/>
    </row>
    <row r="157" spans="23:43" ht="15" customHeight="1">
      <c r="W157" s="7"/>
      <c r="X157" s="2"/>
      <c r="AC157" s="7"/>
      <c r="AD157" s="7"/>
      <c r="AE157" s="2"/>
      <c r="AF157" s="2"/>
      <c r="AH157" s="7"/>
      <c r="AJ157" s="2"/>
      <c r="AO157" s="7"/>
      <c r="AQ157" s="2"/>
    </row>
    <row r="158" spans="23:43" ht="15" customHeight="1">
      <c r="W158" s="7"/>
      <c r="X158" s="2"/>
      <c r="AC158" s="7"/>
      <c r="AD158" s="7"/>
      <c r="AE158" s="2"/>
      <c r="AF158" s="2"/>
      <c r="AH158" s="7"/>
      <c r="AJ158" s="2"/>
      <c r="AO158" s="7"/>
      <c r="AQ158" s="2"/>
    </row>
    <row r="159" spans="23:43" ht="15" customHeight="1">
      <c r="W159" s="7"/>
      <c r="X159" s="2"/>
      <c r="AC159" s="7"/>
      <c r="AD159" s="7"/>
      <c r="AE159" s="2"/>
      <c r="AF159" s="2"/>
      <c r="AH159" s="7"/>
      <c r="AJ159" s="2"/>
      <c r="AO159" s="7"/>
      <c r="AQ159" s="2"/>
    </row>
    <row r="160" spans="23:43" ht="15" customHeight="1">
      <c r="W160" s="7"/>
      <c r="X160" s="2"/>
      <c r="AC160" s="7"/>
      <c r="AD160" s="7"/>
      <c r="AE160" s="2"/>
      <c r="AF160" s="2"/>
      <c r="AH160" s="7"/>
      <c r="AJ160" s="2"/>
      <c r="AO160" s="7"/>
      <c r="AQ160" s="2"/>
    </row>
    <row r="161" spans="23:43" ht="15" customHeight="1">
      <c r="W161" s="7"/>
      <c r="X161" s="2"/>
      <c r="AC161" s="7"/>
      <c r="AD161" s="7"/>
      <c r="AE161" s="2"/>
      <c r="AF161" s="2"/>
      <c r="AH161" s="7"/>
      <c r="AJ161" s="2"/>
      <c r="AO161" s="7"/>
      <c r="AQ161" s="2"/>
    </row>
    <row r="162" spans="23:43" ht="15" customHeight="1">
      <c r="W162" s="7"/>
      <c r="X162" s="2"/>
      <c r="AC162" s="7"/>
      <c r="AD162" s="7"/>
      <c r="AE162" s="2"/>
      <c r="AF162" s="2"/>
      <c r="AH162" s="7"/>
      <c r="AJ162" s="2"/>
      <c r="AO162" s="7"/>
      <c r="AQ162" s="2"/>
    </row>
    <row r="163" spans="23:43" ht="15" customHeight="1">
      <c r="W163" s="7"/>
      <c r="X163" s="2"/>
      <c r="AC163" s="7"/>
      <c r="AD163" s="7"/>
      <c r="AE163" s="2"/>
      <c r="AF163" s="2"/>
      <c r="AH163" s="7"/>
      <c r="AJ163" s="2"/>
      <c r="AO163" s="7"/>
      <c r="AQ163" s="2"/>
    </row>
    <row r="164" spans="23:43" ht="15" customHeight="1">
      <c r="W164" s="7"/>
      <c r="X164" s="2"/>
      <c r="AC164" s="7"/>
      <c r="AD164" s="7"/>
      <c r="AE164" s="2"/>
      <c r="AF164" s="2"/>
      <c r="AH164" s="7"/>
      <c r="AJ164" s="2"/>
      <c r="AO164" s="7"/>
      <c r="AQ164" s="2"/>
    </row>
    <row r="165" spans="23:43" ht="15" customHeight="1">
      <c r="W165" s="7"/>
      <c r="X165" s="2"/>
      <c r="AC165" s="7"/>
      <c r="AD165" s="7"/>
      <c r="AE165" s="2"/>
      <c r="AF165" s="2"/>
      <c r="AH165" s="7"/>
      <c r="AJ165" s="2"/>
      <c r="AO165" s="7"/>
      <c r="AQ165" s="2"/>
    </row>
    <row r="166" spans="23:43" ht="15" customHeight="1">
      <c r="W166" s="7"/>
      <c r="X166" s="2"/>
      <c r="AC166" s="7"/>
      <c r="AD166" s="7"/>
      <c r="AE166" s="2"/>
      <c r="AF166" s="2"/>
      <c r="AH166" s="7"/>
      <c r="AJ166" s="2"/>
      <c r="AO166" s="7"/>
      <c r="AQ166" s="2"/>
    </row>
    <row r="167" spans="23:43" ht="15" customHeight="1">
      <c r="W167" s="7"/>
      <c r="X167" s="2"/>
      <c r="AC167" s="7"/>
      <c r="AD167" s="7"/>
      <c r="AE167" s="2"/>
      <c r="AF167" s="2"/>
      <c r="AH167" s="7"/>
      <c r="AJ167" s="2"/>
      <c r="AO167" s="7"/>
      <c r="AQ167" s="2"/>
    </row>
    <row r="168" spans="23:43" ht="15" customHeight="1">
      <c r="W168" s="7"/>
      <c r="X168" s="2"/>
      <c r="AC168" s="7"/>
      <c r="AD168" s="7"/>
      <c r="AE168" s="2"/>
      <c r="AF168" s="2"/>
      <c r="AH168" s="7"/>
      <c r="AJ168" s="2"/>
      <c r="AO168" s="7"/>
      <c r="AQ168" s="2"/>
    </row>
    <row r="169" spans="23:43" ht="15" customHeight="1">
      <c r="W169" s="7"/>
      <c r="X169" s="2"/>
      <c r="AC169" s="7"/>
      <c r="AD169" s="7"/>
      <c r="AE169" s="2"/>
      <c r="AF169" s="2"/>
      <c r="AH169" s="7"/>
      <c r="AJ169" s="2"/>
      <c r="AO169" s="7"/>
      <c r="AQ169" s="2"/>
    </row>
    <row r="170" spans="23:43" ht="15" customHeight="1">
      <c r="W170" s="7"/>
      <c r="X170" s="2"/>
      <c r="AC170" s="7"/>
      <c r="AD170" s="7"/>
      <c r="AE170" s="2"/>
      <c r="AF170" s="2"/>
      <c r="AH170" s="7"/>
      <c r="AJ170" s="2"/>
      <c r="AO170" s="7"/>
      <c r="AQ170" s="2"/>
    </row>
    <row r="171" spans="23:43" ht="15" customHeight="1">
      <c r="W171" s="7"/>
      <c r="X171" s="2"/>
      <c r="AC171" s="7"/>
      <c r="AD171" s="7"/>
      <c r="AE171" s="2"/>
      <c r="AF171" s="2"/>
      <c r="AH171" s="7"/>
      <c r="AJ171" s="2"/>
      <c r="AO171" s="7"/>
      <c r="AQ171" s="2"/>
    </row>
    <row r="172" spans="23:43" ht="15" customHeight="1">
      <c r="W172" s="7"/>
      <c r="X172" s="2"/>
      <c r="AC172" s="7"/>
      <c r="AD172" s="7"/>
      <c r="AE172" s="2"/>
      <c r="AF172" s="2"/>
      <c r="AH172" s="7"/>
      <c r="AJ172" s="2"/>
      <c r="AO172" s="7"/>
      <c r="AQ172" s="2"/>
    </row>
    <row r="173" spans="23:43" ht="15" customHeight="1">
      <c r="W173" s="7"/>
      <c r="X173" s="2"/>
      <c r="AC173" s="7"/>
      <c r="AD173" s="7"/>
      <c r="AE173" s="2"/>
      <c r="AF173" s="2"/>
      <c r="AH173" s="7"/>
      <c r="AJ173" s="2"/>
      <c r="AO173" s="7"/>
      <c r="AQ173" s="2"/>
    </row>
    <row r="174" spans="23:43" ht="15" customHeight="1">
      <c r="W174" s="7"/>
      <c r="X174" s="2"/>
      <c r="AC174" s="7"/>
      <c r="AD174" s="7"/>
      <c r="AE174" s="2"/>
      <c r="AF174" s="2"/>
      <c r="AH174" s="7"/>
      <c r="AJ174" s="2"/>
      <c r="AO174" s="7"/>
      <c r="AQ174" s="2"/>
    </row>
    <row r="175" spans="23:43" ht="15" customHeight="1">
      <c r="W175" s="7"/>
      <c r="X175" s="2"/>
      <c r="AC175" s="7"/>
      <c r="AD175" s="7"/>
      <c r="AE175" s="2"/>
      <c r="AF175" s="2"/>
      <c r="AH175" s="7"/>
      <c r="AJ175" s="2"/>
      <c r="AO175" s="7"/>
      <c r="AQ175" s="2"/>
    </row>
    <row r="176" spans="23:43" ht="15" customHeight="1">
      <c r="W176" s="7"/>
      <c r="X176" s="2"/>
      <c r="AC176" s="7"/>
      <c r="AD176" s="7"/>
      <c r="AE176" s="2"/>
      <c r="AF176" s="2"/>
      <c r="AH176" s="7"/>
      <c r="AJ176" s="2"/>
      <c r="AO176" s="7"/>
      <c r="AQ176" s="2"/>
    </row>
    <row r="177" spans="23:43" ht="15" customHeight="1">
      <c r="W177" s="7"/>
      <c r="X177" s="2"/>
      <c r="AC177" s="7"/>
      <c r="AD177" s="7"/>
      <c r="AE177" s="2"/>
      <c r="AF177" s="2"/>
      <c r="AH177" s="7"/>
      <c r="AJ177" s="2"/>
      <c r="AO177" s="7"/>
      <c r="AQ177" s="2"/>
    </row>
    <row r="178" spans="23:43" ht="15" customHeight="1">
      <c r="W178" s="7"/>
      <c r="X178" s="2"/>
      <c r="AC178" s="7"/>
      <c r="AD178" s="7"/>
      <c r="AE178" s="2"/>
      <c r="AF178" s="2"/>
      <c r="AH178" s="7"/>
      <c r="AJ178" s="2"/>
      <c r="AO178" s="7"/>
      <c r="AQ178" s="2"/>
    </row>
    <row r="179" spans="23:43" ht="15" customHeight="1">
      <c r="W179" s="7"/>
      <c r="X179" s="2"/>
      <c r="AC179" s="7"/>
      <c r="AD179" s="7"/>
      <c r="AE179" s="2"/>
      <c r="AF179" s="2"/>
      <c r="AH179" s="7"/>
      <c r="AJ179" s="2"/>
      <c r="AO179" s="7"/>
      <c r="AQ179" s="2"/>
    </row>
    <row r="180" spans="23:43" ht="15" customHeight="1">
      <c r="W180" s="7"/>
      <c r="X180" s="2"/>
      <c r="AC180" s="7"/>
      <c r="AD180" s="7"/>
      <c r="AE180" s="2"/>
      <c r="AF180" s="2"/>
      <c r="AH180" s="7"/>
      <c r="AJ180" s="2"/>
      <c r="AO180" s="7"/>
      <c r="AQ180" s="2"/>
    </row>
    <row r="181" spans="23:43" ht="15" customHeight="1">
      <c r="W181" s="7"/>
      <c r="X181" s="2"/>
      <c r="AC181" s="7"/>
      <c r="AD181" s="7"/>
      <c r="AE181" s="2"/>
      <c r="AF181" s="2"/>
      <c r="AH181" s="7"/>
      <c r="AJ181" s="2"/>
      <c r="AO181" s="7"/>
      <c r="AQ181" s="2"/>
    </row>
    <row r="182" spans="23:43" ht="15" customHeight="1">
      <c r="W182" s="7"/>
      <c r="X182" s="2"/>
      <c r="AC182" s="7"/>
      <c r="AD182" s="7"/>
      <c r="AE182" s="2"/>
      <c r="AF182" s="2"/>
      <c r="AH182" s="7"/>
      <c r="AJ182" s="2"/>
      <c r="AO182" s="7"/>
      <c r="AQ182" s="2"/>
    </row>
    <row r="183" spans="23:43" ht="15" customHeight="1">
      <c r="W183" s="7"/>
      <c r="X183" s="2"/>
      <c r="AC183" s="7"/>
      <c r="AD183" s="7"/>
      <c r="AE183" s="2"/>
      <c r="AF183" s="2"/>
      <c r="AH183" s="7"/>
      <c r="AJ183" s="2"/>
      <c r="AO183" s="7"/>
      <c r="AQ183" s="2"/>
    </row>
    <row r="184" spans="23:43" ht="15" customHeight="1">
      <c r="W184" s="7"/>
      <c r="X184" s="2"/>
      <c r="AC184" s="7"/>
      <c r="AD184" s="7"/>
      <c r="AE184" s="2"/>
      <c r="AF184" s="2"/>
      <c r="AH184" s="7"/>
      <c r="AJ184" s="2"/>
      <c r="AO184" s="7"/>
      <c r="AQ184" s="2"/>
    </row>
    <row r="185" spans="23:43" ht="15" customHeight="1">
      <c r="W185" s="7"/>
      <c r="X185" s="2"/>
      <c r="AC185" s="7"/>
      <c r="AD185" s="7"/>
      <c r="AE185" s="2"/>
      <c r="AF185" s="2"/>
      <c r="AH185" s="7"/>
      <c r="AJ185" s="2"/>
      <c r="AO185" s="7"/>
      <c r="AQ185" s="2"/>
    </row>
    <row r="186" spans="23:43" ht="15" customHeight="1">
      <c r="W186" s="7"/>
      <c r="X186" s="2"/>
      <c r="AC186" s="7"/>
      <c r="AD186" s="7"/>
      <c r="AE186" s="2"/>
      <c r="AF186" s="2"/>
      <c r="AH186" s="7"/>
      <c r="AJ186" s="2"/>
      <c r="AO186" s="7"/>
      <c r="AQ186" s="2"/>
    </row>
    <row r="187" spans="23:43" ht="15" customHeight="1">
      <c r="W187" s="7"/>
      <c r="X187" s="2"/>
      <c r="AC187" s="7"/>
      <c r="AD187" s="7"/>
      <c r="AE187" s="2"/>
      <c r="AF187" s="2"/>
      <c r="AH187" s="7"/>
      <c r="AJ187" s="2"/>
      <c r="AO187" s="7"/>
      <c r="AQ187" s="2"/>
    </row>
    <row r="188" spans="23:43" ht="15" customHeight="1">
      <c r="W188" s="7"/>
      <c r="X188" s="2"/>
      <c r="AC188" s="7"/>
      <c r="AD188" s="7"/>
      <c r="AE188" s="2"/>
      <c r="AF188" s="2"/>
      <c r="AH188" s="7"/>
      <c r="AJ188" s="2"/>
      <c r="AO188" s="7"/>
      <c r="AQ188" s="2"/>
    </row>
    <row r="189" spans="23:43" ht="15" customHeight="1">
      <c r="W189" s="7"/>
      <c r="X189" s="2"/>
      <c r="AC189" s="7"/>
      <c r="AD189" s="7"/>
      <c r="AE189" s="2"/>
      <c r="AF189" s="2"/>
      <c r="AH189" s="7"/>
      <c r="AJ189" s="2"/>
      <c r="AO189" s="7"/>
      <c r="AQ189" s="2"/>
    </row>
    <row r="190" spans="23:43" ht="15" customHeight="1">
      <c r="W190" s="7"/>
      <c r="X190" s="2"/>
      <c r="AC190" s="7"/>
      <c r="AD190" s="7"/>
      <c r="AE190" s="2"/>
      <c r="AF190" s="2"/>
      <c r="AH190" s="7"/>
      <c r="AJ190" s="2"/>
      <c r="AO190" s="7"/>
      <c r="AQ190" s="2"/>
    </row>
    <row r="191" spans="23:43" ht="15" customHeight="1">
      <c r="W191" s="7"/>
      <c r="X191" s="2"/>
      <c r="AC191" s="7"/>
      <c r="AD191" s="7"/>
      <c r="AE191" s="2"/>
      <c r="AF191" s="2"/>
      <c r="AH191" s="7"/>
      <c r="AJ191" s="2"/>
      <c r="AO191" s="7"/>
      <c r="AQ191" s="2"/>
    </row>
    <row r="192" spans="23:43" ht="15" customHeight="1">
      <c r="W192" s="7"/>
      <c r="X192" s="2"/>
      <c r="AC192" s="7"/>
      <c r="AD192" s="7"/>
      <c r="AE192" s="2"/>
      <c r="AF192" s="2"/>
      <c r="AH192" s="7"/>
      <c r="AJ192" s="2"/>
      <c r="AO192" s="7"/>
      <c r="AQ192" s="2"/>
    </row>
    <row r="193" spans="23:43" ht="15" customHeight="1">
      <c r="W193" s="7"/>
      <c r="X193" s="2"/>
      <c r="AC193" s="7"/>
      <c r="AD193" s="7"/>
      <c r="AE193" s="2"/>
      <c r="AF193" s="2"/>
      <c r="AH193" s="7"/>
      <c r="AJ193" s="2"/>
      <c r="AO193" s="7"/>
      <c r="AQ193" s="2"/>
    </row>
    <row r="194" spans="23:43" ht="15" customHeight="1">
      <c r="W194" s="7"/>
      <c r="X194" s="2"/>
      <c r="AC194" s="7"/>
      <c r="AD194" s="7"/>
      <c r="AE194" s="2"/>
      <c r="AF194" s="2"/>
      <c r="AH194" s="7"/>
      <c r="AJ194" s="2"/>
      <c r="AO194" s="7"/>
      <c r="AQ194" s="2"/>
    </row>
    <row r="195" spans="23:43" ht="15" customHeight="1">
      <c r="W195" s="7"/>
      <c r="X195" s="2"/>
      <c r="AC195" s="7"/>
      <c r="AD195" s="7"/>
      <c r="AE195" s="2"/>
      <c r="AF195" s="2"/>
      <c r="AH195" s="7"/>
      <c r="AJ195" s="2"/>
      <c r="AO195" s="7"/>
      <c r="AQ195" s="2"/>
    </row>
    <row r="196" spans="23:43" ht="15" customHeight="1">
      <c r="W196" s="7"/>
      <c r="X196" s="2"/>
      <c r="AC196" s="7"/>
      <c r="AD196" s="7"/>
      <c r="AE196" s="2"/>
      <c r="AF196" s="2"/>
      <c r="AH196" s="7"/>
      <c r="AJ196" s="2"/>
      <c r="AO196" s="7"/>
      <c r="AQ196" s="2"/>
    </row>
    <row r="197" spans="23:43" ht="15" customHeight="1">
      <c r="W197" s="7"/>
      <c r="X197" s="2"/>
      <c r="AC197" s="7"/>
      <c r="AD197" s="7"/>
      <c r="AE197" s="2"/>
      <c r="AF197" s="2"/>
      <c r="AH197" s="7"/>
      <c r="AJ197" s="2"/>
      <c r="AO197" s="7"/>
      <c r="AQ197" s="2"/>
    </row>
    <row r="198" spans="23:43" ht="15" customHeight="1">
      <c r="W198" s="7"/>
      <c r="X198" s="2"/>
      <c r="AC198" s="7"/>
      <c r="AD198" s="7"/>
      <c r="AE198" s="2"/>
      <c r="AF198" s="2"/>
      <c r="AH198" s="7"/>
      <c r="AJ198" s="2"/>
      <c r="AO198" s="7"/>
      <c r="AQ198" s="2"/>
    </row>
    <row r="199" spans="23:43" ht="15" customHeight="1">
      <c r="W199" s="7"/>
      <c r="X199" s="2"/>
      <c r="AC199" s="7"/>
      <c r="AD199" s="7"/>
      <c r="AE199" s="2"/>
      <c r="AF199" s="2"/>
      <c r="AH199" s="7"/>
      <c r="AJ199" s="2"/>
      <c r="AO199" s="7"/>
      <c r="AQ199" s="2"/>
    </row>
    <row r="200" spans="23:43" ht="15" customHeight="1">
      <c r="W200" s="7"/>
      <c r="X200" s="2"/>
      <c r="AC200" s="7"/>
      <c r="AD200" s="7"/>
      <c r="AE200" s="2"/>
      <c r="AF200" s="2"/>
      <c r="AH200" s="7"/>
      <c r="AJ200" s="2"/>
      <c r="AO200" s="7"/>
      <c r="AQ200" s="2"/>
    </row>
    <row r="201" spans="23:43" ht="15" customHeight="1">
      <c r="W201" s="7"/>
      <c r="X201" s="2"/>
      <c r="AC201" s="7"/>
      <c r="AD201" s="7"/>
      <c r="AE201" s="2"/>
      <c r="AF201" s="2"/>
      <c r="AH201" s="7"/>
      <c r="AJ201" s="2"/>
      <c r="AO201" s="7"/>
      <c r="AQ201" s="2"/>
    </row>
    <row r="202" spans="23:43" ht="15" customHeight="1">
      <c r="W202" s="7"/>
      <c r="X202" s="2"/>
      <c r="AC202" s="7"/>
      <c r="AD202" s="7"/>
      <c r="AE202" s="2"/>
      <c r="AF202" s="2"/>
      <c r="AH202" s="7"/>
      <c r="AJ202" s="2"/>
      <c r="AO202" s="7"/>
      <c r="AQ202" s="2"/>
    </row>
    <row r="203" spans="23:43" ht="15" customHeight="1">
      <c r="W203" s="7"/>
      <c r="X203" s="2"/>
      <c r="AC203" s="7"/>
      <c r="AD203" s="7"/>
      <c r="AE203" s="2"/>
      <c r="AF203" s="2"/>
      <c r="AH203" s="7"/>
      <c r="AJ203" s="2"/>
      <c r="AO203" s="7"/>
      <c r="AQ203" s="2"/>
    </row>
    <row r="204" spans="23:43" ht="15" customHeight="1">
      <c r="W204" s="7"/>
      <c r="X204" s="2"/>
      <c r="AC204" s="7"/>
      <c r="AD204" s="7"/>
      <c r="AE204" s="2"/>
      <c r="AF204" s="2"/>
      <c r="AH204" s="7"/>
      <c r="AJ204" s="2"/>
      <c r="AO204" s="7"/>
      <c r="AQ204" s="2"/>
    </row>
    <row r="205" spans="23:43" ht="15" customHeight="1">
      <c r="W205" s="7"/>
      <c r="X205" s="2"/>
      <c r="AC205" s="7"/>
      <c r="AD205" s="7"/>
      <c r="AE205" s="2"/>
      <c r="AF205" s="2"/>
      <c r="AH205" s="7"/>
      <c r="AJ205" s="2"/>
      <c r="AO205" s="7"/>
      <c r="AQ205" s="2"/>
    </row>
    <row r="206" spans="23:43" ht="15" customHeight="1">
      <c r="W206" s="7"/>
      <c r="X206" s="2"/>
      <c r="AC206" s="7"/>
      <c r="AD206" s="7"/>
      <c r="AE206" s="2"/>
      <c r="AF206" s="2"/>
      <c r="AH206" s="7"/>
      <c r="AJ206" s="2"/>
      <c r="AO206" s="7"/>
      <c r="AQ206" s="2"/>
    </row>
    <row r="207" spans="23:43" ht="15" customHeight="1">
      <c r="W207" s="7"/>
      <c r="X207" s="2"/>
      <c r="AC207" s="7"/>
      <c r="AD207" s="7"/>
      <c r="AE207" s="2"/>
      <c r="AF207" s="2"/>
      <c r="AH207" s="7"/>
      <c r="AJ207" s="2"/>
      <c r="AO207" s="7"/>
      <c r="AQ207" s="2"/>
    </row>
    <row r="208" spans="23:43" ht="15" customHeight="1">
      <c r="W208" s="7"/>
      <c r="X208" s="2"/>
      <c r="AC208" s="7"/>
      <c r="AD208" s="7"/>
      <c r="AE208" s="2"/>
      <c r="AF208" s="2"/>
      <c r="AH208" s="7"/>
      <c r="AJ208" s="2"/>
      <c r="AO208" s="7"/>
      <c r="AQ208" s="2"/>
    </row>
    <row r="209" spans="23:43" ht="15" customHeight="1">
      <c r="W209" s="7"/>
      <c r="X209" s="2"/>
      <c r="AC209" s="7"/>
      <c r="AD209" s="7"/>
      <c r="AE209" s="2"/>
      <c r="AF209" s="2"/>
      <c r="AH209" s="7"/>
      <c r="AJ209" s="2"/>
      <c r="AO209" s="7"/>
      <c r="AQ209" s="2"/>
    </row>
    <row r="210" spans="23:43" ht="15" customHeight="1">
      <c r="W210" s="7"/>
      <c r="X210" s="2"/>
      <c r="AC210" s="7"/>
      <c r="AD210" s="7"/>
      <c r="AE210" s="2"/>
      <c r="AF210" s="2"/>
      <c r="AH210" s="7"/>
      <c r="AJ210" s="2"/>
      <c r="AO210" s="7"/>
      <c r="AQ210" s="2"/>
    </row>
    <row r="211" spans="23:43" ht="15" customHeight="1">
      <c r="W211" s="7"/>
      <c r="X211" s="2"/>
      <c r="AC211" s="7"/>
      <c r="AD211" s="7"/>
      <c r="AE211" s="2"/>
      <c r="AF211" s="2"/>
      <c r="AH211" s="7"/>
      <c r="AJ211" s="2"/>
      <c r="AO211" s="7"/>
      <c r="AQ211" s="2"/>
    </row>
    <row r="212" spans="23:43" ht="15" customHeight="1">
      <c r="W212" s="7"/>
      <c r="X212" s="2"/>
      <c r="AC212" s="7"/>
      <c r="AD212" s="7"/>
      <c r="AE212" s="2"/>
      <c r="AF212" s="2"/>
      <c r="AH212" s="7"/>
      <c r="AJ212" s="2"/>
      <c r="AO212" s="7"/>
      <c r="AQ212" s="2"/>
    </row>
    <row r="213" spans="23:43" ht="15" customHeight="1">
      <c r="W213" s="7"/>
      <c r="X213" s="2"/>
      <c r="AC213" s="7"/>
      <c r="AD213" s="7"/>
      <c r="AE213" s="2"/>
      <c r="AF213" s="2"/>
      <c r="AH213" s="7"/>
      <c r="AJ213" s="2"/>
      <c r="AO213" s="7"/>
      <c r="AQ213" s="2"/>
    </row>
    <row r="214" spans="23:43" ht="15" customHeight="1">
      <c r="W214" s="7"/>
      <c r="X214" s="2"/>
      <c r="AC214" s="7"/>
      <c r="AD214" s="7"/>
      <c r="AE214" s="2"/>
      <c r="AF214" s="2"/>
      <c r="AH214" s="7"/>
      <c r="AJ214" s="2"/>
      <c r="AO214" s="7"/>
      <c r="AQ214" s="2"/>
    </row>
    <row r="215" spans="23:43" ht="15" customHeight="1">
      <c r="W215" s="7"/>
      <c r="X215" s="2"/>
      <c r="AC215" s="7"/>
      <c r="AD215" s="7"/>
      <c r="AE215" s="2"/>
      <c r="AF215" s="2"/>
      <c r="AH215" s="7"/>
      <c r="AJ215" s="2"/>
      <c r="AO215" s="7"/>
      <c r="AQ215" s="2"/>
    </row>
    <row r="216" spans="23:43" ht="15" customHeight="1">
      <c r="W216" s="7"/>
      <c r="X216" s="2"/>
      <c r="AC216" s="7"/>
      <c r="AD216" s="7"/>
      <c r="AE216" s="2"/>
      <c r="AF216" s="2"/>
      <c r="AH216" s="7"/>
      <c r="AJ216" s="2"/>
      <c r="AO216" s="7"/>
      <c r="AQ216" s="2"/>
    </row>
    <row r="217" spans="23:43" ht="15" customHeight="1">
      <c r="W217" s="7"/>
      <c r="X217" s="2"/>
      <c r="AC217" s="7"/>
      <c r="AD217" s="7"/>
      <c r="AE217" s="2"/>
      <c r="AF217" s="2"/>
      <c r="AH217" s="7"/>
      <c r="AJ217" s="2"/>
      <c r="AO217" s="7"/>
      <c r="AQ217" s="2"/>
    </row>
    <row r="218" spans="23:43" ht="15" customHeight="1">
      <c r="W218" s="7"/>
      <c r="X218" s="2"/>
      <c r="AC218" s="7"/>
      <c r="AD218" s="7"/>
      <c r="AE218" s="2"/>
      <c r="AF218" s="2"/>
      <c r="AH218" s="7"/>
      <c r="AJ218" s="2"/>
      <c r="AO218" s="7"/>
      <c r="AQ218" s="2"/>
    </row>
    <row r="219" spans="23:43" ht="15" customHeight="1">
      <c r="W219" s="7"/>
      <c r="X219" s="2"/>
      <c r="AC219" s="7"/>
      <c r="AD219" s="7"/>
      <c r="AE219" s="2"/>
      <c r="AF219" s="2"/>
      <c r="AH219" s="7"/>
      <c r="AJ219" s="2"/>
      <c r="AO219" s="7"/>
      <c r="AQ219" s="2"/>
    </row>
    <row r="220" spans="23:43" ht="15" customHeight="1">
      <c r="W220" s="7"/>
      <c r="X220" s="2"/>
      <c r="AC220" s="7"/>
      <c r="AD220" s="7"/>
      <c r="AE220" s="2"/>
      <c r="AF220" s="2"/>
      <c r="AH220" s="7"/>
      <c r="AJ220" s="2"/>
      <c r="AO220" s="7"/>
      <c r="AQ220" s="2"/>
    </row>
    <row r="221" spans="23:43" ht="15" customHeight="1">
      <c r="W221" s="7"/>
      <c r="X221" s="2"/>
      <c r="AC221" s="7"/>
      <c r="AD221" s="7"/>
      <c r="AE221" s="2"/>
      <c r="AF221" s="2"/>
      <c r="AH221" s="7"/>
      <c r="AJ221" s="2"/>
      <c r="AO221" s="7"/>
      <c r="AQ221" s="2"/>
    </row>
    <row r="222" spans="23:43" ht="15" customHeight="1">
      <c r="W222" s="7"/>
      <c r="X222" s="2"/>
      <c r="AC222" s="7"/>
      <c r="AD222" s="7"/>
      <c r="AE222" s="2"/>
      <c r="AF222" s="2"/>
      <c r="AH222" s="7"/>
      <c r="AJ222" s="2"/>
      <c r="AO222" s="7"/>
      <c r="AQ222" s="2"/>
    </row>
    <row r="223" spans="23:43" ht="15" customHeight="1">
      <c r="W223" s="7"/>
      <c r="X223" s="2"/>
      <c r="AC223" s="7"/>
      <c r="AD223" s="7"/>
      <c r="AE223" s="2"/>
      <c r="AF223" s="2"/>
      <c r="AH223" s="7"/>
      <c r="AJ223" s="2"/>
      <c r="AO223" s="7"/>
      <c r="AQ223" s="2"/>
    </row>
    <row r="224" spans="23:43" ht="15" customHeight="1">
      <c r="W224" s="7"/>
      <c r="X224" s="2"/>
      <c r="AC224" s="7"/>
      <c r="AD224" s="7"/>
      <c r="AE224" s="2"/>
      <c r="AF224" s="2"/>
      <c r="AH224" s="7"/>
      <c r="AJ224" s="2"/>
      <c r="AO224" s="7"/>
      <c r="AQ224" s="2"/>
    </row>
    <row r="225" spans="23:43" ht="15" customHeight="1">
      <c r="W225" s="7"/>
      <c r="X225" s="2"/>
      <c r="AC225" s="7"/>
      <c r="AD225" s="7"/>
      <c r="AE225" s="2"/>
      <c r="AF225" s="2"/>
      <c r="AH225" s="7"/>
      <c r="AJ225" s="2"/>
      <c r="AO225" s="7"/>
      <c r="AQ225" s="2"/>
    </row>
    <row r="226" spans="23:43" ht="15" customHeight="1">
      <c r="W226" s="7"/>
      <c r="X226" s="2"/>
      <c r="AC226" s="7"/>
      <c r="AD226" s="7"/>
      <c r="AE226" s="2"/>
      <c r="AF226" s="2"/>
      <c r="AH226" s="7"/>
      <c r="AJ226" s="2"/>
      <c r="AO226" s="7"/>
      <c r="AQ226" s="2"/>
    </row>
    <row r="227" spans="23:43" ht="15" customHeight="1">
      <c r="W227" s="7"/>
      <c r="X227" s="2"/>
      <c r="AC227" s="7"/>
      <c r="AD227" s="7"/>
      <c r="AE227" s="2"/>
      <c r="AF227" s="2"/>
      <c r="AH227" s="7"/>
      <c r="AJ227" s="2"/>
      <c r="AO227" s="7"/>
      <c r="AQ227" s="2"/>
    </row>
    <row r="228" spans="23:43" ht="15" customHeight="1">
      <c r="W228" s="7"/>
      <c r="X228" s="2"/>
      <c r="AC228" s="7"/>
      <c r="AD228" s="7"/>
      <c r="AE228" s="2"/>
      <c r="AF228" s="2"/>
      <c r="AH228" s="7"/>
      <c r="AJ228" s="2"/>
      <c r="AO228" s="7"/>
      <c r="AQ228" s="2"/>
    </row>
    <row r="229" spans="23:43" ht="15" customHeight="1">
      <c r="W229" s="7"/>
      <c r="X229" s="2"/>
      <c r="AC229" s="7"/>
      <c r="AD229" s="7"/>
      <c r="AE229" s="2"/>
      <c r="AF229" s="2"/>
      <c r="AH229" s="7"/>
      <c r="AJ229" s="2"/>
      <c r="AO229" s="7"/>
      <c r="AQ229" s="2"/>
    </row>
    <row r="230" spans="23:43" ht="15" customHeight="1">
      <c r="W230" s="7"/>
      <c r="X230" s="2"/>
      <c r="AC230" s="7"/>
      <c r="AD230" s="7"/>
      <c r="AE230" s="2"/>
      <c r="AF230" s="2"/>
      <c r="AH230" s="7"/>
      <c r="AJ230" s="2"/>
      <c r="AO230" s="7"/>
      <c r="AQ230" s="2"/>
    </row>
    <row r="231" spans="23:43" ht="15" customHeight="1">
      <c r="W231" s="7"/>
      <c r="X231" s="2"/>
      <c r="AC231" s="7"/>
      <c r="AD231" s="7"/>
      <c r="AE231" s="2"/>
      <c r="AF231" s="2"/>
      <c r="AH231" s="7"/>
      <c r="AJ231" s="2"/>
      <c r="AO231" s="7"/>
      <c r="AQ231" s="2"/>
    </row>
    <row r="232" spans="23:43" ht="15" customHeight="1">
      <c r="W232" s="7"/>
      <c r="X232" s="2"/>
      <c r="AC232" s="7"/>
      <c r="AD232" s="7"/>
      <c r="AE232" s="2"/>
      <c r="AF232" s="2"/>
      <c r="AH232" s="7"/>
      <c r="AJ232" s="2"/>
      <c r="AO232" s="7"/>
      <c r="AQ232" s="2"/>
    </row>
    <row r="233" spans="23:43" ht="15" customHeight="1">
      <c r="W233" s="7"/>
      <c r="X233" s="2"/>
      <c r="AC233" s="7"/>
      <c r="AD233" s="7"/>
      <c r="AE233" s="2"/>
      <c r="AF233" s="2"/>
      <c r="AH233" s="7"/>
      <c r="AJ233" s="2"/>
      <c r="AO233" s="7"/>
      <c r="AQ233" s="2"/>
    </row>
    <row r="234" spans="23:43" ht="15" customHeight="1">
      <c r="W234" s="7"/>
      <c r="X234" s="2"/>
      <c r="AC234" s="7"/>
      <c r="AD234" s="7"/>
      <c r="AE234" s="2"/>
      <c r="AF234" s="2"/>
      <c r="AH234" s="7"/>
      <c r="AJ234" s="2"/>
      <c r="AO234" s="7"/>
      <c r="AQ234" s="2"/>
    </row>
    <row r="235" spans="23:43" ht="15" customHeight="1">
      <c r="W235" s="7"/>
      <c r="X235" s="2"/>
      <c r="AC235" s="7"/>
      <c r="AD235" s="7"/>
      <c r="AE235" s="2"/>
      <c r="AF235" s="2"/>
      <c r="AH235" s="7"/>
      <c r="AJ235" s="2"/>
      <c r="AO235" s="7"/>
      <c r="AQ235" s="2"/>
    </row>
    <row r="236" spans="23:43" ht="15" customHeight="1">
      <c r="W236" s="7"/>
      <c r="X236" s="2"/>
      <c r="AC236" s="7"/>
      <c r="AD236" s="7"/>
      <c r="AE236" s="2"/>
      <c r="AF236" s="2"/>
      <c r="AH236" s="7"/>
      <c r="AJ236" s="2"/>
      <c r="AO236" s="7"/>
      <c r="AQ236" s="2"/>
    </row>
    <row r="237" spans="23:43" ht="15" customHeight="1">
      <c r="W237" s="7"/>
      <c r="X237" s="2"/>
      <c r="AC237" s="7"/>
      <c r="AD237" s="7"/>
      <c r="AE237" s="2"/>
      <c r="AF237" s="2"/>
      <c r="AH237" s="7"/>
      <c r="AJ237" s="2"/>
      <c r="AO237" s="7"/>
      <c r="AQ237" s="2"/>
    </row>
    <row r="238" spans="23:43" ht="15" customHeight="1">
      <c r="W238" s="7"/>
      <c r="X238" s="2"/>
      <c r="AC238" s="7"/>
      <c r="AD238" s="7"/>
      <c r="AE238" s="2"/>
      <c r="AF238" s="2"/>
      <c r="AH238" s="7"/>
      <c r="AJ238" s="2"/>
      <c r="AO238" s="7"/>
      <c r="AQ238" s="2"/>
    </row>
    <row r="239" spans="23:43" ht="15" customHeight="1">
      <c r="W239" s="7"/>
      <c r="X239" s="2"/>
      <c r="AC239" s="7"/>
      <c r="AD239" s="7"/>
      <c r="AE239" s="2"/>
      <c r="AF239" s="2"/>
      <c r="AH239" s="7"/>
      <c r="AJ239" s="2"/>
      <c r="AO239" s="7"/>
      <c r="AQ239" s="2"/>
    </row>
    <row r="240" spans="23:43" ht="15" customHeight="1">
      <c r="W240" s="7"/>
      <c r="X240" s="2"/>
      <c r="AC240" s="7"/>
      <c r="AD240" s="7"/>
      <c r="AE240" s="2"/>
      <c r="AF240" s="2"/>
      <c r="AH240" s="7"/>
      <c r="AJ240" s="2"/>
      <c r="AO240" s="7"/>
      <c r="AQ240" s="2"/>
    </row>
    <row r="241" spans="23:43" ht="15" customHeight="1">
      <c r="W241" s="7"/>
      <c r="X241" s="2"/>
      <c r="AC241" s="7"/>
      <c r="AD241" s="7"/>
      <c r="AE241" s="2"/>
      <c r="AF241" s="2"/>
      <c r="AH241" s="7"/>
      <c r="AJ241" s="2"/>
      <c r="AO241" s="7"/>
      <c r="AQ241" s="2"/>
    </row>
    <row r="242" spans="23:43" ht="15" customHeight="1">
      <c r="W242" s="7"/>
      <c r="X242" s="2"/>
      <c r="AC242" s="7"/>
      <c r="AD242" s="7"/>
      <c r="AE242" s="2"/>
      <c r="AF242" s="2"/>
      <c r="AH242" s="7"/>
      <c r="AJ242" s="2"/>
      <c r="AO242" s="7"/>
      <c r="AQ242" s="2"/>
    </row>
    <row r="243" spans="23:43" ht="15" customHeight="1">
      <c r="W243" s="7"/>
      <c r="X243" s="2"/>
      <c r="AC243" s="7"/>
      <c r="AD243" s="7"/>
      <c r="AE243" s="2"/>
      <c r="AF243" s="2"/>
      <c r="AH243" s="7"/>
      <c r="AJ243" s="2"/>
      <c r="AO243" s="7"/>
      <c r="AQ243" s="2"/>
    </row>
    <row r="244" spans="23:43" ht="15" customHeight="1">
      <c r="W244" s="7"/>
      <c r="X244" s="2"/>
      <c r="AC244" s="7"/>
      <c r="AD244" s="7"/>
      <c r="AE244" s="2"/>
      <c r="AF244" s="2"/>
      <c r="AH244" s="7"/>
      <c r="AJ244" s="2"/>
      <c r="AO244" s="7"/>
      <c r="AQ244" s="2"/>
    </row>
    <row r="245" spans="23:43" ht="15" customHeight="1">
      <c r="W245" s="7"/>
      <c r="X245" s="2"/>
      <c r="AC245" s="7"/>
      <c r="AD245" s="7"/>
      <c r="AE245" s="2"/>
      <c r="AF245" s="2"/>
      <c r="AH245" s="7"/>
      <c r="AJ245" s="2"/>
      <c r="AO245" s="7"/>
      <c r="AQ245" s="2"/>
    </row>
    <row r="246" spans="23:43" ht="15" customHeight="1">
      <c r="W246" s="7"/>
      <c r="X246" s="2"/>
      <c r="AC246" s="7"/>
      <c r="AD246" s="7"/>
      <c r="AE246" s="2"/>
      <c r="AF246" s="2"/>
      <c r="AH246" s="7"/>
      <c r="AJ246" s="2"/>
      <c r="AO246" s="7"/>
      <c r="AQ246" s="2"/>
    </row>
    <row r="247" spans="23:43" ht="15" customHeight="1">
      <c r="W247" s="7"/>
      <c r="X247" s="2"/>
      <c r="AC247" s="7"/>
      <c r="AD247" s="7"/>
      <c r="AE247" s="2"/>
      <c r="AF247" s="2"/>
      <c r="AH247" s="7"/>
      <c r="AJ247" s="2"/>
      <c r="AO247" s="7"/>
      <c r="AQ247" s="2"/>
    </row>
    <row r="248" spans="23:43" ht="15" customHeight="1">
      <c r="W248" s="7"/>
      <c r="X248" s="2"/>
      <c r="AC248" s="7"/>
      <c r="AD248" s="7"/>
      <c r="AE248" s="2"/>
      <c r="AF248" s="2"/>
      <c r="AH248" s="7"/>
      <c r="AJ248" s="2"/>
      <c r="AO248" s="7"/>
      <c r="AQ248" s="2"/>
    </row>
    <row r="249" spans="23:43" ht="15" customHeight="1">
      <c r="W249" s="7"/>
      <c r="X249" s="2"/>
      <c r="AC249" s="7"/>
      <c r="AD249" s="7"/>
      <c r="AE249" s="2"/>
      <c r="AF249" s="2"/>
      <c r="AH249" s="7"/>
      <c r="AJ249" s="2"/>
      <c r="AO249" s="7"/>
      <c r="AQ249" s="2"/>
    </row>
    <row r="250" spans="23:43" ht="15" customHeight="1">
      <c r="W250" s="7"/>
      <c r="X250" s="2"/>
      <c r="AC250" s="7"/>
      <c r="AD250" s="7"/>
      <c r="AE250" s="2"/>
      <c r="AF250" s="2"/>
      <c r="AH250" s="7"/>
      <c r="AJ250" s="2"/>
      <c r="AO250" s="7"/>
      <c r="AQ250" s="2"/>
    </row>
    <row r="251" spans="23:43" ht="15" customHeight="1">
      <c r="W251" s="7"/>
      <c r="X251" s="2"/>
      <c r="AC251" s="7"/>
      <c r="AD251" s="7"/>
      <c r="AE251" s="2"/>
      <c r="AF251" s="2"/>
      <c r="AH251" s="7"/>
      <c r="AJ251" s="2"/>
      <c r="AO251" s="7"/>
      <c r="AQ251" s="2"/>
    </row>
    <row r="252" spans="23:43" ht="15" customHeight="1">
      <c r="W252" s="7"/>
      <c r="X252" s="2"/>
      <c r="AC252" s="7"/>
      <c r="AD252" s="7"/>
      <c r="AE252" s="2"/>
      <c r="AF252" s="2"/>
      <c r="AH252" s="7"/>
      <c r="AJ252" s="2"/>
      <c r="AO252" s="7"/>
      <c r="AQ252" s="2"/>
    </row>
    <row r="253" spans="23:43" ht="15" customHeight="1">
      <c r="W253" s="7"/>
      <c r="X253" s="2"/>
      <c r="AC253" s="7"/>
      <c r="AD253" s="7"/>
      <c r="AE253" s="2"/>
      <c r="AF253" s="2"/>
      <c r="AH253" s="7"/>
      <c r="AJ253" s="2"/>
      <c r="AO253" s="7"/>
      <c r="AQ253" s="2"/>
    </row>
    <row r="254" spans="23:43" ht="15" customHeight="1">
      <c r="W254" s="7"/>
      <c r="X254" s="2"/>
      <c r="AC254" s="7"/>
      <c r="AD254" s="7"/>
      <c r="AE254" s="2"/>
      <c r="AF254" s="2"/>
      <c r="AH254" s="7"/>
      <c r="AJ254" s="2"/>
      <c r="AO254" s="7"/>
      <c r="AQ254" s="2"/>
    </row>
    <row r="255" spans="23:43" ht="15" customHeight="1">
      <c r="W255" s="7"/>
      <c r="X255" s="2"/>
      <c r="AC255" s="7"/>
      <c r="AD255" s="7"/>
      <c r="AE255" s="2"/>
      <c r="AF255" s="2"/>
      <c r="AH255" s="7"/>
      <c r="AJ255" s="2"/>
      <c r="AO255" s="7"/>
      <c r="AQ255" s="2"/>
    </row>
    <row r="256" spans="23:43" ht="15" customHeight="1">
      <c r="W256" s="7"/>
      <c r="X256" s="2"/>
      <c r="AC256" s="7"/>
      <c r="AD256" s="7"/>
      <c r="AE256" s="2"/>
      <c r="AF256" s="2"/>
      <c r="AH256" s="7"/>
      <c r="AJ256" s="2"/>
      <c r="AO256" s="7"/>
      <c r="AQ256" s="2"/>
    </row>
    <row r="257" spans="23:43" ht="15" customHeight="1">
      <c r="W257" s="7"/>
      <c r="X257" s="2"/>
      <c r="AC257" s="7"/>
      <c r="AD257" s="7"/>
      <c r="AE257" s="2"/>
      <c r="AF257" s="2"/>
      <c r="AH257" s="7"/>
      <c r="AJ257" s="2"/>
      <c r="AO257" s="7"/>
      <c r="AQ257" s="2"/>
    </row>
    <row r="258" spans="23:43" ht="15" customHeight="1">
      <c r="W258" s="7"/>
      <c r="X258" s="2"/>
      <c r="AC258" s="7"/>
      <c r="AD258" s="7"/>
      <c r="AE258" s="2"/>
      <c r="AF258" s="2"/>
      <c r="AH258" s="7"/>
      <c r="AJ258" s="2"/>
      <c r="AO258" s="7"/>
      <c r="AQ258" s="2"/>
    </row>
    <row r="259" spans="23:43" ht="15" customHeight="1">
      <c r="W259" s="7"/>
      <c r="X259" s="2"/>
      <c r="AC259" s="7"/>
      <c r="AD259" s="7"/>
      <c r="AE259" s="2"/>
      <c r="AF259" s="2"/>
      <c r="AH259" s="7"/>
      <c r="AJ259" s="2"/>
      <c r="AO259" s="7"/>
      <c r="AQ259" s="2"/>
    </row>
    <row r="260" spans="23:43" ht="15" customHeight="1">
      <c r="W260" s="7"/>
      <c r="X260" s="2"/>
      <c r="AC260" s="7"/>
      <c r="AD260" s="7"/>
      <c r="AE260" s="2"/>
      <c r="AF260" s="2"/>
      <c r="AH260" s="7"/>
      <c r="AJ260" s="2"/>
      <c r="AO260" s="7"/>
      <c r="AQ260" s="2"/>
    </row>
    <row r="261" spans="23:43" ht="15" customHeight="1">
      <c r="W261" s="7"/>
      <c r="X261" s="2"/>
      <c r="AC261" s="7"/>
      <c r="AD261" s="7"/>
      <c r="AE261" s="2"/>
      <c r="AF261" s="2"/>
      <c r="AH261" s="7"/>
      <c r="AJ261" s="2"/>
      <c r="AO261" s="7"/>
      <c r="AQ261" s="2"/>
    </row>
    <row r="262" spans="23:43" ht="15" customHeight="1">
      <c r="W262" s="7"/>
      <c r="X262" s="2"/>
      <c r="AC262" s="7"/>
      <c r="AD262" s="7"/>
      <c r="AE262" s="2"/>
      <c r="AF262" s="2"/>
      <c r="AH262" s="7"/>
      <c r="AJ262" s="2"/>
      <c r="AO262" s="7"/>
      <c r="AQ262" s="2"/>
    </row>
    <row r="263" spans="23:43" ht="15" customHeight="1">
      <c r="W263" s="7"/>
      <c r="X263" s="2"/>
      <c r="AC263" s="7"/>
      <c r="AD263" s="7"/>
      <c r="AE263" s="2"/>
      <c r="AF263" s="2"/>
      <c r="AH263" s="7"/>
      <c r="AJ263" s="2"/>
      <c r="AO263" s="7"/>
      <c r="AQ263" s="2"/>
    </row>
    <row r="264" spans="23:43" ht="15" customHeight="1">
      <c r="W264" s="7"/>
      <c r="X264" s="2"/>
      <c r="AC264" s="7"/>
      <c r="AD264" s="7"/>
      <c r="AE264" s="2"/>
      <c r="AF264" s="2"/>
      <c r="AH264" s="7"/>
      <c r="AJ264" s="2"/>
      <c r="AO264" s="7"/>
      <c r="AQ264" s="2"/>
    </row>
    <row r="265" spans="23:43" ht="15" customHeight="1">
      <c r="W265" s="7"/>
      <c r="X265" s="2"/>
      <c r="AC265" s="7"/>
      <c r="AD265" s="7"/>
      <c r="AE265" s="2"/>
      <c r="AF265" s="2"/>
      <c r="AH265" s="7"/>
      <c r="AJ265" s="2"/>
      <c r="AO265" s="7"/>
      <c r="AQ265" s="2"/>
    </row>
    <row r="266" spans="23:43" ht="15" customHeight="1">
      <c r="W266" s="7"/>
      <c r="X266" s="2"/>
      <c r="AC266" s="7"/>
      <c r="AD266" s="7"/>
      <c r="AE266" s="2"/>
      <c r="AF266" s="2"/>
      <c r="AH266" s="7"/>
      <c r="AJ266" s="2"/>
      <c r="AO266" s="7"/>
      <c r="AQ266" s="2"/>
    </row>
    <row r="267" spans="23:43" ht="15" customHeight="1">
      <c r="W267" s="7"/>
      <c r="X267" s="2"/>
      <c r="AC267" s="7"/>
      <c r="AD267" s="7"/>
      <c r="AE267" s="2"/>
      <c r="AF267" s="2"/>
      <c r="AH267" s="7"/>
      <c r="AJ267" s="2"/>
      <c r="AO267" s="7"/>
      <c r="AQ267" s="2"/>
    </row>
    <row r="268" spans="23:43" ht="15" customHeight="1">
      <c r="W268" s="7"/>
      <c r="X268" s="2"/>
      <c r="AC268" s="7"/>
      <c r="AD268" s="7"/>
      <c r="AE268" s="2"/>
      <c r="AF268" s="2"/>
      <c r="AH268" s="7"/>
      <c r="AJ268" s="2"/>
      <c r="AO268" s="7"/>
      <c r="AQ268" s="2"/>
    </row>
    <row r="269" spans="23:43" ht="15" customHeight="1">
      <c r="W269" s="7"/>
      <c r="X269" s="2"/>
      <c r="AC269" s="7"/>
      <c r="AD269" s="7"/>
      <c r="AE269" s="2"/>
      <c r="AF269" s="2"/>
      <c r="AH269" s="7"/>
      <c r="AJ269" s="2"/>
      <c r="AO269" s="7"/>
      <c r="AQ269" s="2"/>
    </row>
    <row r="270" spans="23:43" ht="15" customHeight="1">
      <c r="W270" s="7"/>
      <c r="X270" s="2"/>
      <c r="AC270" s="7"/>
      <c r="AD270" s="7"/>
      <c r="AE270" s="2"/>
      <c r="AF270" s="2"/>
      <c r="AH270" s="7"/>
      <c r="AJ270" s="2"/>
      <c r="AO270" s="7"/>
      <c r="AQ270" s="2"/>
    </row>
    <row r="271" spans="23:43" ht="15" customHeight="1">
      <c r="W271" s="7"/>
      <c r="X271" s="2"/>
      <c r="AC271" s="7"/>
      <c r="AD271" s="7"/>
      <c r="AE271" s="2"/>
      <c r="AF271" s="2"/>
      <c r="AH271" s="7"/>
      <c r="AJ271" s="2"/>
      <c r="AO271" s="7"/>
      <c r="AQ271" s="2"/>
    </row>
    <row r="272" spans="23:43" ht="15" customHeight="1">
      <c r="W272" s="7"/>
      <c r="X272" s="2"/>
      <c r="AC272" s="7"/>
      <c r="AD272" s="7"/>
      <c r="AE272" s="2"/>
      <c r="AF272" s="2"/>
      <c r="AH272" s="7"/>
      <c r="AJ272" s="2"/>
      <c r="AO272" s="7"/>
      <c r="AQ272" s="2"/>
    </row>
    <row r="273" spans="23:43" ht="15" customHeight="1">
      <c r="W273" s="7"/>
      <c r="X273" s="2"/>
      <c r="AC273" s="7"/>
      <c r="AD273" s="7"/>
      <c r="AE273" s="2"/>
      <c r="AF273" s="2"/>
      <c r="AH273" s="7"/>
      <c r="AJ273" s="2"/>
      <c r="AO273" s="7"/>
      <c r="AQ273" s="2"/>
    </row>
    <row r="274" spans="23:43" ht="15" customHeight="1">
      <c r="W274" s="7"/>
      <c r="X274" s="2"/>
      <c r="AC274" s="7"/>
      <c r="AD274" s="7"/>
      <c r="AE274" s="2"/>
      <c r="AF274" s="2"/>
      <c r="AH274" s="7"/>
      <c r="AJ274" s="2"/>
      <c r="AO274" s="7"/>
      <c r="AQ274" s="2"/>
    </row>
    <row r="275" spans="23:43" ht="15" customHeight="1">
      <c r="W275" s="7"/>
      <c r="X275" s="2"/>
      <c r="AC275" s="7"/>
      <c r="AD275" s="7"/>
      <c r="AE275" s="2"/>
      <c r="AF275" s="2"/>
      <c r="AH275" s="7"/>
      <c r="AJ275" s="2"/>
      <c r="AO275" s="7"/>
      <c r="AQ275" s="2"/>
    </row>
    <row r="276" spans="23:43" ht="15" customHeight="1">
      <c r="W276" s="7"/>
      <c r="X276" s="2"/>
      <c r="AC276" s="7"/>
      <c r="AD276" s="7"/>
      <c r="AE276" s="2"/>
      <c r="AF276" s="2"/>
      <c r="AH276" s="7"/>
      <c r="AJ276" s="2"/>
      <c r="AO276" s="7"/>
      <c r="AQ276" s="2"/>
    </row>
    <row r="277" spans="23:43" ht="15" customHeight="1">
      <c r="W277" s="7"/>
      <c r="X277" s="2"/>
      <c r="AC277" s="7"/>
      <c r="AD277" s="7"/>
      <c r="AE277" s="2"/>
      <c r="AF277" s="2"/>
      <c r="AH277" s="7"/>
      <c r="AJ277" s="2"/>
      <c r="AO277" s="7"/>
      <c r="AQ277" s="2"/>
    </row>
    <row r="278" spans="23:43" ht="15" customHeight="1">
      <c r="W278" s="7"/>
      <c r="X278" s="2"/>
      <c r="AC278" s="7"/>
      <c r="AD278" s="7"/>
      <c r="AE278" s="2"/>
      <c r="AF278" s="2"/>
      <c r="AH278" s="7"/>
      <c r="AJ278" s="2"/>
      <c r="AO278" s="7"/>
      <c r="AQ278" s="2"/>
    </row>
    <row r="279" spans="23:43" ht="15" customHeight="1">
      <c r="W279" s="7"/>
      <c r="X279" s="2"/>
      <c r="AC279" s="7"/>
      <c r="AD279" s="7"/>
      <c r="AE279" s="2"/>
      <c r="AF279" s="2"/>
      <c r="AH279" s="7"/>
      <c r="AJ279" s="2"/>
      <c r="AO279" s="7"/>
      <c r="AQ279" s="2"/>
    </row>
    <row r="280" spans="23:43" ht="15" customHeight="1">
      <c r="W280" s="7"/>
      <c r="X280" s="2"/>
      <c r="AC280" s="7"/>
      <c r="AD280" s="7"/>
      <c r="AE280" s="2"/>
      <c r="AF280" s="2"/>
      <c r="AH280" s="7"/>
      <c r="AJ280" s="2"/>
      <c r="AO280" s="7"/>
      <c r="AQ280" s="2"/>
    </row>
    <row r="281" spans="23:43" ht="15" customHeight="1">
      <c r="W281" s="7"/>
      <c r="X281" s="2"/>
      <c r="AC281" s="7"/>
      <c r="AD281" s="7"/>
      <c r="AE281" s="2"/>
      <c r="AF281" s="2"/>
      <c r="AH281" s="7"/>
      <c r="AJ281" s="2"/>
      <c r="AO281" s="7"/>
      <c r="AQ281" s="2"/>
    </row>
    <row r="282" spans="23:43" ht="15" customHeight="1">
      <c r="W282" s="7"/>
      <c r="X282" s="2"/>
      <c r="AC282" s="7"/>
      <c r="AD282" s="7"/>
      <c r="AE282" s="2"/>
      <c r="AF282" s="2"/>
      <c r="AH282" s="7"/>
      <c r="AJ282" s="2"/>
      <c r="AO282" s="7"/>
      <c r="AQ282" s="2"/>
    </row>
    <row r="283" spans="23:43" ht="15" customHeight="1">
      <c r="W283" s="7"/>
      <c r="X283" s="2"/>
      <c r="AC283" s="7"/>
      <c r="AD283" s="7"/>
      <c r="AE283" s="2"/>
      <c r="AF283" s="2"/>
      <c r="AH283" s="7"/>
      <c r="AJ283" s="2"/>
      <c r="AO283" s="7"/>
      <c r="AQ283" s="2"/>
    </row>
    <row r="284" spans="23:43" ht="15" customHeight="1">
      <c r="W284" s="7"/>
      <c r="X284" s="2"/>
      <c r="AC284" s="7"/>
      <c r="AD284" s="7"/>
      <c r="AE284" s="2"/>
      <c r="AF284" s="2"/>
      <c r="AH284" s="7"/>
      <c r="AJ284" s="2"/>
      <c r="AO284" s="7"/>
      <c r="AQ284" s="2"/>
    </row>
    <row r="285" spans="23:43" ht="15" customHeight="1">
      <c r="W285" s="7"/>
      <c r="X285" s="2"/>
      <c r="AC285" s="7"/>
      <c r="AD285" s="7"/>
      <c r="AE285" s="2"/>
      <c r="AF285" s="2"/>
      <c r="AH285" s="7"/>
      <c r="AJ285" s="2"/>
      <c r="AO285" s="7"/>
      <c r="AQ285" s="2"/>
    </row>
    <row r="286" spans="23:43" ht="15" customHeight="1">
      <c r="W286" s="7"/>
      <c r="X286" s="2"/>
      <c r="AC286" s="7"/>
      <c r="AD286" s="7"/>
      <c r="AE286" s="2"/>
      <c r="AF286" s="2"/>
      <c r="AH286" s="7"/>
      <c r="AJ286" s="2"/>
      <c r="AO286" s="7"/>
      <c r="AQ286" s="2"/>
    </row>
    <row r="287" spans="23:43" ht="15" customHeight="1">
      <c r="W287" s="7"/>
      <c r="X287" s="2"/>
      <c r="AC287" s="7"/>
      <c r="AD287" s="7"/>
      <c r="AE287" s="2"/>
      <c r="AF287" s="2"/>
      <c r="AH287" s="7"/>
      <c r="AJ287" s="2"/>
      <c r="AO287" s="7"/>
      <c r="AQ287" s="2"/>
    </row>
    <row r="288" spans="23:43" ht="15" customHeight="1">
      <c r="W288" s="7"/>
      <c r="X288" s="2"/>
      <c r="AC288" s="7"/>
      <c r="AD288" s="7"/>
      <c r="AE288" s="2"/>
      <c r="AF288" s="2"/>
      <c r="AH288" s="7"/>
      <c r="AJ288" s="2"/>
      <c r="AO288" s="7"/>
      <c r="AQ288" s="2"/>
    </row>
    <row r="289" spans="23:43" ht="15" customHeight="1">
      <c r="W289" s="7"/>
      <c r="X289" s="2"/>
      <c r="AC289" s="7"/>
      <c r="AD289" s="7"/>
      <c r="AE289" s="2"/>
      <c r="AF289" s="2"/>
      <c r="AH289" s="7"/>
      <c r="AJ289" s="2"/>
      <c r="AO289" s="7"/>
      <c r="AQ289" s="2"/>
    </row>
    <row r="290" spans="23:43" ht="15" customHeight="1">
      <c r="W290" s="7"/>
      <c r="X290" s="2"/>
      <c r="AC290" s="7"/>
      <c r="AD290" s="7"/>
      <c r="AE290" s="2"/>
      <c r="AF290" s="2"/>
      <c r="AH290" s="7"/>
      <c r="AJ290" s="2"/>
      <c r="AO290" s="7"/>
      <c r="AQ290" s="2"/>
    </row>
    <row r="291" spans="23:43" ht="15" customHeight="1">
      <c r="W291" s="7"/>
      <c r="X291" s="2"/>
      <c r="AC291" s="7"/>
      <c r="AD291" s="7"/>
      <c r="AE291" s="2"/>
      <c r="AF291" s="2"/>
      <c r="AH291" s="7"/>
      <c r="AJ291" s="2"/>
      <c r="AO291" s="7"/>
      <c r="AQ291" s="2"/>
    </row>
    <row r="292" spans="23:43" ht="15" customHeight="1">
      <c r="W292" s="7"/>
      <c r="X292" s="2"/>
      <c r="AC292" s="7"/>
      <c r="AD292" s="7"/>
      <c r="AE292" s="2"/>
      <c r="AF292" s="2"/>
      <c r="AH292" s="7"/>
      <c r="AJ292" s="2"/>
      <c r="AO292" s="7"/>
      <c r="AQ292" s="2"/>
    </row>
    <row r="293" spans="23:43" ht="15" customHeight="1">
      <c r="W293" s="7"/>
      <c r="X293" s="2"/>
      <c r="AC293" s="7"/>
      <c r="AD293" s="7"/>
      <c r="AE293" s="2"/>
      <c r="AF293" s="2"/>
      <c r="AH293" s="7"/>
      <c r="AJ293" s="2"/>
      <c r="AO293" s="7"/>
      <c r="AQ293" s="2"/>
    </row>
    <row r="294" spans="23:43" ht="15" customHeight="1">
      <c r="W294" s="7"/>
      <c r="X294" s="2"/>
      <c r="AC294" s="7"/>
      <c r="AD294" s="7"/>
      <c r="AE294" s="2"/>
      <c r="AF294" s="2"/>
      <c r="AH294" s="7"/>
      <c r="AJ294" s="2"/>
      <c r="AO294" s="7"/>
      <c r="AQ294" s="2"/>
    </row>
    <row r="295" spans="23:43" ht="15" customHeight="1">
      <c r="W295" s="7"/>
      <c r="X295" s="2"/>
      <c r="AC295" s="7"/>
      <c r="AD295" s="7"/>
      <c r="AE295" s="2"/>
      <c r="AF295" s="2"/>
      <c r="AH295" s="7"/>
      <c r="AJ295" s="2"/>
      <c r="AO295" s="7"/>
      <c r="AQ295" s="2"/>
    </row>
    <row r="296" spans="23:43" ht="15" customHeight="1">
      <c r="W296" s="7"/>
      <c r="X296" s="2"/>
      <c r="AC296" s="7"/>
      <c r="AD296" s="7"/>
      <c r="AE296" s="2"/>
      <c r="AF296" s="2"/>
      <c r="AH296" s="7"/>
      <c r="AJ296" s="2"/>
      <c r="AO296" s="7"/>
      <c r="AQ296" s="2"/>
    </row>
    <row r="297" spans="23:43" ht="15" customHeight="1">
      <c r="W297" s="7"/>
      <c r="X297" s="2"/>
      <c r="AC297" s="7"/>
      <c r="AD297" s="7"/>
      <c r="AE297" s="2"/>
      <c r="AF297" s="2"/>
      <c r="AH297" s="7"/>
      <c r="AJ297" s="2"/>
      <c r="AO297" s="7"/>
      <c r="AQ297" s="2"/>
    </row>
    <row r="298" spans="23:43" ht="15" customHeight="1">
      <c r="W298" s="7"/>
      <c r="X298" s="2"/>
      <c r="AC298" s="7"/>
      <c r="AD298" s="7"/>
      <c r="AE298" s="2"/>
      <c r="AF298" s="2"/>
      <c r="AH298" s="7"/>
      <c r="AJ298" s="2"/>
      <c r="AO298" s="7"/>
      <c r="AQ298" s="2"/>
    </row>
    <row r="299" spans="23:43" ht="15" customHeight="1">
      <c r="W299" s="7"/>
      <c r="X299" s="2"/>
      <c r="AC299" s="7"/>
      <c r="AD299" s="7"/>
      <c r="AE299" s="2"/>
      <c r="AF299" s="2"/>
      <c r="AH299" s="7"/>
      <c r="AJ299" s="2"/>
      <c r="AO299" s="7"/>
      <c r="AQ299" s="2"/>
    </row>
    <row r="300" spans="23:43" ht="15" customHeight="1">
      <c r="W300" s="7"/>
      <c r="X300" s="2"/>
      <c r="AC300" s="7"/>
      <c r="AD300" s="7"/>
      <c r="AE300" s="2"/>
      <c r="AF300" s="2"/>
      <c r="AH300" s="7"/>
      <c r="AJ300" s="2"/>
      <c r="AO300" s="7"/>
      <c r="AQ300" s="2"/>
    </row>
    <row r="301" spans="23:43" ht="15" customHeight="1">
      <c r="W301" s="7"/>
      <c r="X301" s="2"/>
      <c r="AC301" s="7"/>
      <c r="AD301" s="7"/>
      <c r="AE301" s="2"/>
      <c r="AF301" s="2"/>
      <c r="AH301" s="7"/>
      <c r="AJ301" s="2"/>
      <c r="AO301" s="7"/>
      <c r="AQ301" s="2"/>
    </row>
    <row r="302" spans="23:43" ht="15" customHeight="1">
      <c r="W302" s="7"/>
      <c r="X302" s="2"/>
      <c r="AC302" s="7"/>
      <c r="AD302" s="7"/>
      <c r="AE302" s="2"/>
      <c r="AF302" s="2"/>
      <c r="AH302" s="7"/>
      <c r="AJ302" s="2"/>
      <c r="AO302" s="7"/>
      <c r="AQ302" s="2"/>
    </row>
    <row r="303" spans="23:43" ht="15" customHeight="1">
      <c r="W303" s="7"/>
      <c r="X303" s="2"/>
      <c r="AC303" s="7"/>
      <c r="AD303" s="7"/>
      <c r="AE303" s="2"/>
      <c r="AF303" s="2"/>
      <c r="AH303" s="7"/>
      <c r="AJ303" s="2"/>
      <c r="AO303" s="7"/>
      <c r="AQ303" s="2"/>
    </row>
    <row r="304" spans="23:43" ht="15" customHeight="1">
      <c r="W304" s="7"/>
      <c r="X304" s="2"/>
      <c r="AC304" s="7"/>
      <c r="AD304" s="7"/>
      <c r="AE304" s="2"/>
      <c r="AF304" s="2"/>
      <c r="AH304" s="7"/>
      <c r="AJ304" s="2"/>
      <c r="AO304" s="7"/>
      <c r="AQ304" s="2"/>
    </row>
    <row r="305" spans="23:43" ht="15" customHeight="1">
      <c r="W305" s="7"/>
      <c r="X305" s="2"/>
      <c r="AC305" s="7"/>
      <c r="AD305" s="7"/>
      <c r="AE305" s="2"/>
      <c r="AF305" s="2"/>
      <c r="AH305" s="7"/>
      <c r="AJ305" s="2"/>
      <c r="AO305" s="7"/>
      <c r="AQ305" s="2"/>
    </row>
    <row r="306" spans="23:43" ht="15" customHeight="1">
      <c r="W306" s="7"/>
      <c r="X306" s="2"/>
      <c r="AC306" s="7"/>
      <c r="AD306" s="7"/>
      <c r="AE306" s="2"/>
      <c r="AF306" s="2"/>
      <c r="AH306" s="7"/>
      <c r="AJ306" s="2"/>
      <c r="AO306" s="7"/>
      <c r="AQ306" s="2"/>
    </row>
    <row r="307" spans="23:43" ht="15" customHeight="1">
      <c r="W307" s="7"/>
      <c r="X307" s="2"/>
      <c r="AC307" s="7"/>
      <c r="AD307" s="7"/>
      <c r="AE307" s="2"/>
      <c r="AF307" s="2"/>
      <c r="AH307" s="7"/>
      <c r="AJ307" s="2"/>
      <c r="AO307" s="7"/>
      <c r="AQ307" s="2"/>
    </row>
    <row r="308" spans="23:43" ht="15" customHeight="1">
      <c r="W308" s="7"/>
      <c r="X308" s="2"/>
      <c r="AC308" s="7"/>
      <c r="AD308" s="7"/>
      <c r="AE308" s="2"/>
      <c r="AF308" s="2"/>
      <c r="AH308" s="7"/>
      <c r="AJ308" s="2"/>
      <c r="AO308" s="7"/>
      <c r="AQ308" s="2"/>
    </row>
    <row r="309" spans="23:43" ht="15" customHeight="1">
      <c r="W309" s="7"/>
      <c r="X309" s="2"/>
      <c r="AC309" s="7"/>
      <c r="AD309" s="7"/>
      <c r="AE309" s="2"/>
      <c r="AF309" s="2"/>
      <c r="AH309" s="7"/>
      <c r="AJ309" s="2"/>
      <c r="AO309" s="7"/>
      <c r="AQ309" s="2"/>
    </row>
    <row r="310" spans="23:43" ht="15" customHeight="1">
      <c r="W310" s="7"/>
      <c r="X310" s="2"/>
      <c r="AC310" s="7"/>
      <c r="AD310" s="7"/>
      <c r="AE310" s="2"/>
      <c r="AF310" s="2"/>
      <c r="AH310" s="7"/>
      <c r="AJ310" s="2"/>
      <c r="AO310" s="7"/>
      <c r="AQ310" s="2"/>
    </row>
    <row r="311" spans="23:43" ht="15" customHeight="1">
      <c r="W311" s="7"/>
      <c r="X311" s="2"/>
      <c r="AC311" s="7"/>
      <c r="AD311" s="7"/>
      <c r="AE311" s="2"/>
      <c r="AF311" s="2"/>
      <c r="AH311" s="7"/>
      <c r="AJ311" s="2"/>
      <c r="AO311" s="7"/>
      <c r="AQ311" s="2"/>
    </row>
    <row r="312" spans="23:43" ht="15" customHeight="1">
      <c r="W312" s="7"/>
      <c r="X312" s="2"/>
      <c r="AC312" s="7"/>
      <c r="AD312" s="7"/>
      <c r="AE312" s="2"/>
      <c r="AF312" s="2"/>
      <c r="AH312" s="7"/>
      <c r="AJ312" s="2"/>
      <c r="AO312" s="7"/>
      <c r="AQ312" s="2"/>
    </row>
    <row r="313" spans="23:43" ht="15" customHeight="1">
      <c r="W313" s="7"/>
      <c r="X313" s="2"/>
      <c r="AC313" s="7"/>
      <c r="AD313" s="7"/>
      <c r="AE313" s="2"/>
      <c r="AF313" s="2"/>
      <c r="AH313" s="7"/>
      <c r="AJ313" s="2"/>
      <c r="AO313" s="7"/>
      <c r="AQ313" s="2"/>
    </row>
    <row r="314" spans="23:43" ht="15" customHeight="1">
      <c r="W314" s="7"/>
      <c r="X314" s="2"/>
      <c r="AC314" s="7"/>
      <c r="AD314" s="7"/>
      <c r="AE314" s="2"/>
      <c r="AF314" s="2"/>
      <c r="AH314" s="7"/>
      <c r="AJ314" s="2"/>
      <c r="AO314" s="7"/>
      <c r="AQ314" s="2"/>
    </row>
    <row r="315" spans="23:43" ht="15" customHeight="1">
      <c r="W315" s="7"/>
      <c r="X315" s="2"/>
      <c r="AC315" s="7"/>
      <c r="AD315" s="7"/>
      <c r="AE315" s="2"/>
      <c r="AF315" s="2"/>
      <c r="AH315" s="7"/>
      <c r="AJ315" s="2"/>
      <c r="AO315" s="7"/>
      <c r="AQ315" s="2"/>
    </row>
    <row r="316" spans="23:43" ht="15" customHeight="1">
      <c r="W316" s="7"/>
      <c r="X316" s="2"/>
      <c r="AC316" s="7"/>
      <c r="AD316" s="7"/>
      <c r="AE316" s="2"/>
      <c r="AF316" s="2"/>
      <c r="AH316" s="7"/>
      <c r="AJ316" s="2"/>
      <c r="AO316" s="7"/>
      <c r="AQ316" s="2"/>
    </row>
    <row r="317" spans="23:43" ht="15" customHeight="1">
      <c r="W317" s="7"/>
      <c r="X317" s="2"/>
      <c r="AC317" s="7"/>
      <c r="AD317" s="7"/>
      <c r="AE317" s="2"/>
      <c r="AF317" s="2"/>
      <c r="AH317" s="7"/>
      <c r="AJ317" s="2"/>
      <c r="AO317" s="7"/>
      <c r="AQ317" s="2"/>
    </row>
    <row r="318" spans="23:43" ht="15" customHeight="1">
      <c r="W318" s="7"/>
      <c r="X318" s="2"/>
      <c r="AC318" s="7"/>
      <c r="AD318" s="7"/>
      <c r="AE318" s="2"/>
      <c r="AF318" s="2"/>
      <c r="AH318" s="7"/>
      <c r="AJ318" s="2"/>
      <c r="AO318" s="7"/>
      <c r="AQ318" s="2"/>
    </row>
    <row r="319" spans="23:43" ht="15" customHeight="1">
      <c r="W319" s="7"/>
      <c r="X319" s="2"/>
      <c r="AC319" s="7"/>
      <c r="AD319" s="7"/>
      <c r="AE319" s="2"/>
      <c r="AF319" s="2"/>
      <c r="AH319" s="7"/>
      <c r="AJ319" s="2"/>
      <c r="AO319" s="7"/>
      <c r="AQ319" s="2"/>
    </row>
    <row r="320" spans="23:43" ht="15" customHeight="1">
      <c r="W320" s="7"/>
      <c r="X320" s="2"/>
      <c r="AC320" s="7"/>
      <c r="AD320" s="7"/>
      <c r="AE320" s="2"/>
      <c r="AF320" s="2"/>
      <c r="AH320" s="7"/>
      <c r="AJ320" s="2"/>
      <c r="AO320" s="7"/>
      <c r="AQ320" s="2"/>
    </row>
    <row r="321" spans="23:43" ht="15" customHeight="1">
      <c r="W321" s="7"/>
      <c r="X321" s="2"/>
      <c r="AC321" s="7"/>
      <c r="AD321" s="7"/>
      <c r="AE321" s="2"/>
      <c r="AF321" s="2"/>
      <c r="AH321" s="7"/>
      <c r="AJ321" s="2"/>
      <c r="AO321" s="7"/>
      <c r="AQ321" s="2"/>
    </row>
    <row r="322" spans="23:43" ht="15" customHeight="1">
      <c r="W322" s="7"/>
      <c r="X322" s="2"/>
      <c r="AC322" s="7"/>
      <c r="AD322" s="7"/>
      <c r="AE322" s="2"/>
      <c r="AF322" s="2"/>
      <c r="AH322" s="7"/>
      <c r="AJ322" s="2"/>
      <c r="AO322" s="7"/>
      <c r="AQ322" s="2"/>
    </row>
    <row r="323" spans="23:43" ht="15" customHeight="1">
      <c r="W323" s="7"/>
      <c r="X323" s="2"/>
      <c r="AC323" s="7"/>
      <c r="AD323" s="7"/>
      <c r="AE323" s="2"/>
      <c r="AF323" s="2"/>
      <c r="AH323" s="7"/>
      <c r="AJ323" s="2"/>
      <c r="AO323" s="7"/>
      <c r="AQ323" s="2"/>
    </row>
    <row r="324" spans="23:43" ht="15" customHeight="1">
      <c r="W324" s="7"/>
      <c r="X324" s="2"/>
      <c r="AC324" s="7"/>
      <c r="AD324" s="7"/>
      <c r="AE324" s="2"/>
      <c r="AF324" s="2"/>
      <c r="AH324" s="7"/>
      <c r="AJ324" s="2"/>
      <c r="AO324" s="7"/>
      <c r="AQ324" s="2"/>
    </row>
    <row r="325" spans="23:43" ht="15" customHeight="1">
      <c r="W325" s="7"/>
      <c r="X325" s="2"/>
      <c r="AC325" s="7"/>
      <c r="AD325" s="7"/>
      <c r="AE325" s="2"/>
      <c r="AF325" s="2"/>
      <c r="AH325" s="7"/>
      <c r="AJ325" s="2"/>
      <c r="AO325" s="7"/>
      <c r="AQ325" s="2"/>
    </row>
    <row r="326" spans="23:43" ht="15" customHeight="1">
      <c r="W326" s="7"/>
      <c r="X326" s="2"/>
      <c r="AC326" s="7"/>
      <c r="AD326" s="7"/>
      <c r="AE326" s="2"/>
      <c r="AF326" s="2"/>
      <c r="AH326" s="7"/>
      <c r="AJ326" s="2"/>
      <c r="AO326" s="7"/>
      <c r="AQ326" s="2"/>
    </row>
    <row r="327" spans="23:43" ht="15" customHeight="1">
      <c r="W327" s="7"/>
      <c r="X327" s="2"/>
      <c r="AC327" s="7"/>
      <c r="AD327" s="7"/>
      <c r="AE327" s="2"/>
      <c r="AF327" s="2"/>
      <c r="AH327" s="7"/>
      <c r="AJ327" s="2"/>
      <c r="AO327" s="7"/>
      <c r="AQ327" s="2"/>
    </row>
    <row r="328" spans="23:43" ht="15" customHeight="1">
      <c r="W328" s="7"/>
      <c r="X328" s="2"/>
      <c r="AC328" s="7"/>
      <c r="AD328" s="7"/>
      <c r="AE328" s="2"/>
      <c r="AF328" s="2"/>
      <c r="AH328" s="7"/>
      <c r="AJ328" s="2"/>
      <c r="AO328" s="7"/>
      <c r="AQ328" s="2"/>
    </row>
    <row r="329" spans="23:43" ht="15" customHeight="1">
      <c r="W329" s="7"/>
      <c r="X329" s="2"/>
      <c r="AC329" s="7"/>
      <c r="AD329" s="7"/>
      <c r="AE329" s="2"/>
      <c r="AF329" s="2"/>
      <c r="AH329" s="7"/>
      <c r="AJ329" s="2"/>
      <c r="AO329" s="7"/>
      <c r="AQ329" s="2"/>
    </row>
    <row r="330" spans="23:43" ht="15" customHeight="1">
      <c r="W330" s="7"/>
      <c r="X330" s="2"/>
      <c r="AC330" s="7"/>
      <c r="AD330" s="7"/>
      <c r="AE330" s="2"/>
      <c r="AF330" s="2"/>
      <c r="AH330" s="7"/>
      <c r="AJ330" s="2"/>
      <c r="AO330" s="7"/>
      <c r="AQ330" s="2"/>
    </row>
    <row r="331" spans="23:43" ht="15" customHeight="1">
      <c r="W331" s="7"/>
      <c r="X331" s="2"/>
      <c r="AC331" s="7"/>
      <c r="AD331" s="7"/>
      <c r="AE331" s="2"/>
      <c r="AF331" s="2"/>
      <c r="AH331" s="7"/>
      <c r="AJ331" s="2"/>
      <c r="AO331" s="7"/>
      <c r="AQ331" s="2"/>
    </row>
    <row r="332" spans="23:43" ht="15" customHeight="1">
      <c r="W332" s="7"/>
      <c r="X332" s="2"/>
      <c r="AC332" s="7"/>
      <c r="AD332" s="7"/>
      <c r="AE332" s="2"/>
      <c r="AF332" s="2"/>
      <c r="AH332" s="7"/>
      <c r="AJ332" s="2"/>
      <c r="AO332" s="7"/>
      <c r="AQ332" s="2"/>
    </row>
    <row r="333" spans="23:43" ht="15" customHeight="1">
      <c r="W333" s="7"/>
      <c r="X333" s="2"/>
      <c r="AC333" s="7"/>
      <c r="AD333" s="7"/>
      <c r="AE333" s="2"/>
      <c r="AF333" s="2"/>
      <c r="AH333" s="7"/>
      <c r="AJ333" s="2"/>
      <c r="AO333" s="7"/>
      <c r="AQ333" s="2"/>
    </row>
    <row r="334" spans="23:43" ht="15" customHeight="1">
      <c r="W334" s="7"/>
      <c r="X334" s="2"/>
      <c r="AC334" s="7"/>
      <c r="AD334" s="7"/>
      <c r="AE334" s="2"/>
      <c r="AF334" s="2"/>
      <c r="AH334" s="7"/>
      <c r="AJ334" s="2"/>
      <c r="AO334" s="7"/>
      <c r="AQ334" s="2"/>
    </row>
    <row r="335" spans="23:43" ht="15" customHeight="1">
      <c r="W335" s="7"/>
      <c r="X335" s="2"/>
      <c r="AC335" s="7"/>
      <c r="AD335" s="7"/>
      <c r="AE335" s="2"/>
      <c r="AF335" s="2"/>
      <c r="AH335" s="7"/>
      <c r="AJ335" s="2"/>
      <c r="AO335" s="7"/>
      <c r="AQ335" s="2"/>
    </row>
    <row r="336" spans="23:43" ht="15" customHeight="1">
      <c r="W336" s="7"/>
      <c r="X336" s="2"/>
      <c r="AC336" s="7"/>
      <c r="AD336" s="7"/>
      <c r="AE336" s="2"/>
      <c r="AF336" s="2"/>
      <c r="AH336" s="7"/>
      <c r="AJ336" s="2"/>
      <c r="AO336" s="7"/>
      <c r="AQ336" s="2"/>
    </row>
    <row r="337" spans="23:43" ht="15" customHeight="1">
      <c r="W337" s="7"/>
      <c r="X337" s="2"/>
      <c r="AC337" s="7"/>
      <c r="AD337" s="7"/>
      <c r="AE337" s="2"/>
      <c r="AF337" s="2"/>
      <c r="AH337" s="7"/>
      <c r="AJ337" s="2"/>
      <c r="AO337" s="7"/>
      <c r="AQ337" s="2"/>
    </row>
    <row r="338" spans="23:43" ht="15" customHeight="1">
      <c r="W338" s="7"/>
      <c r="X338" s="2"/>
      <c r="AC338" s="7"/>
      <c r="AD338" s="7"/>
      <c r="AE338" s="2"/>
      <c r="AF338" s="2"/>
      <c r="AH338" s="7"/>
      <c r="AJ338" s="2"/>
      <c r="AO338" s="7"/>
      <c r="AQ338" s="2"/>
    </row>
    <row r="339" spans="23:43" ht="15" customHeight="1">
      <c r="W339" s="7"/>
      <c r="X339" s="2"/>
      <c r="AC339" s="7"/>
      <c r="AD339" s="7"/>
      <c r="AE339" s="2"/>
      <c r="AF339" s="2"/>
      <c r="AH339" s="7"/>
      <c r="AJ339" s="2"/>
      <c r="AO339" s="7"/>
      <c r="AQ339" s="2"/>
    </row>
    <row r="340" spans="23:43" ht="15" customHeight="1">
      <c r="W340" s="7"/>
      <c r="X340" s="2"/>
      <c r="AC340" s="7"/>
      <c r="AD340" s="7"/>
      <c r="AE340" s="2"/>
      <c r="AF340" s="2"/>
      <c r="AH340" s="7"/>
      <c r="AJ340" s="2"/>
      <c r="AO340" s="7"/>
      <c r="AQ340" s="2"/>
    </row>
    <row r="341" spans="23:43" ht="15" customHeight="1">
      <c r="W341" s="7"/>
      <c r="X341" s="2"/>
      <c r="AC341" s="7"/>
      <c r="AD341" s="7"/>
      <c r="AE341" s="2"/>
      <c r="AF341" s="2"/>
      <c r="AH341" s="7"/>
      <c r="AJ341" s="2"/>
      <c r="AO341" s="7"/>
      <c r="AQ341" s="2"/>
    </row>
    <row r="342" spans="23:43" ht="15" customHeight="1">
      <c r="W342" s="7"/>
      <c r="X342" s="2"/>
      <c r="AC342" s="7"/>
      <c r="AD342" s="7"/>
      <c r="AE342" s="2"/>
      <c r="AF342" s="2"/>
      <c r="AH342" s="7"/>
      <c r="AJ342" s="2"/>
      <c r="AO342" s="7"/>
      <c r="AQ342" s="2"/>
    </row>
    <row r="343" spans="23:43" ht="15" customHeight="1">
      <c r="W343" s="7"/>
      <c r="X343" s="2"/>
      <c r="AC343" s="7"/>
      <c r="AD343" s="7"/>
      <c r="AE343" s="2"/>
      <c r="AF343" s="2"/>
      <c r="AH343" s="7"/>
      <c r="AJ343" s="2"/>
      <c r="AO343" s="7"/>
      <c r="AQ343" s="2"/>
    </row>
    <row r="344" spans="23:43" ht="15" customHeight="1">
      <c r="W344" s="7"/>
      <c r="X344" s="2"/>
      <c r="AC344" s="7"/>
      <c r="AD344" s="7"/>
      <c r="AE344" s="2"/>
      <c r="AF344" s="2"/>
      <c r="AH344" s="7"/>
      <c r="AJ344" s="2"/>
      <c r="AO344" s="7"/>
      <c r="AQ344" s="2"/>
    </row>
    <row r="345" spans="23:43" ht="15" customHeight="1">
      <c r="W345" s="7"/>
      <c r="X345" s="2"/>
      <c r="AC345" s="7"/>
      <c r="AD345" s="7"/>
      <c r="AE345" s="2"/>
      <c r="AF345" s="2"/>
      <c r="AH345" s="7"/>
      <c r="AJ345" s="2"/>
      <c r="AO345" s="7"/>
      <c r="AQ345" s="2"/>
    </row>
    <row r="346" spans="23:43" ht="15" customHeight="1">
      <c r="W346" s="7"/>
      <c r="X346" s="2"/>
      <c r="AC346" s="7"/>
      <c r="AD346" s="7"/>
      <c r="AE346" s="2"/>
      <c r="AF346" s="2"/>
      <c r="AH346" s="7"/>
      <c r="AJ346" s="2"/>
      <c r="AO346" s="7"/>
      <c r="AQ346" s="2"/>
    </row>
    <row r="347" spans="23:43" ht="15" customHeight="1">
      <c r="W347" s="7"/>
      <c r="X347" s="2"/>
      <c r="AC347" s="7"/>
      <c r="AD347" s="7"/>
      <c r="AE347" s="2"/>
      <c r="AF347" s="2"/>
      <c r="AH347" s="7"/>
      <c r="AJ347" s="2"/>
      <c r="AO347" s="7"/>
      <c r="AQ347" s="2"/>
    </row>
    <row r="348" spans="23:43" ht="15" customHeight="1">
      <c r="W348" s="7"/>
      <c r="X348" s="2"/>
      <c r="AC348" s="7"/>
      <c r="AD348" s="7"/>
      <c r="AE348" s="2"/>
      <c r="AF348" s="2"/>
      <c r="AH348" s="7"/>
      <c r="AJ348" s="2"/>
      <c r="AO348" s="7"/>
      <c r="AQ348" s="2"/>
    </row>
    <row r="349" spans="23:43" ht="15" customHeight="1">
      <c r="W349" s="7"/>
      <c r="X349" s="2"/>
      <c r="AC349" s="7"/>
      <c r="AD349" s="7"/>
      <c r="AE349" s="2"/>
      <c r="AF349" s="2"/>
      <c r="AH349" s="7"/>
      <c r="AJ349" s="2"/>
      <c r="AO349" s="7"/>
      <c r="AQ349" s="2"/>
    </row>
    <row r="350" spans="23:43" ht="15" customHeight="1">
      <c r="W350" s="7"/>
      <c r="X350" s="2"/>
      <c r="AC350" s="7"/>
      <c r="AD350" s="7"/>
      <c r="AE350" s="2"/>
      <c r="AF350" s="2"/>
      <c r="AH350" s="7"/>
      <c r="AJ350" s="2"/>
      <c r="AO350" s="7"/>
      <c r="AQ350" s="2"/>
    </row>
    <row r="351" spans="23:43" ht="15" customHeight="1">
      <c r="W351" s="7"/>
      <c r="X351" s="2"/>
      <c r="AC351" s="7"/>
      <c r="AD351" s="7"/>
      <c r="AE351" s="2"/>
      <c r="AF351" s="2"/>
      <c r="AH351" s="7"/>
      <c r="AJ351" s="2"/>
      <c r="AO351" s="7"/>
      <c r="AQ351" s="2"/>
    </row>
    <row r="352" spans="23:43" ht="15" customHeight="1">
      <c r="W352" s="7"/>
      <c r="X352" s="2"/>
      <c r="AC352" s="7"/>
      <c r="AD352" s="7"/>
      <c r="AE352" s="2"/>
      <c r="AF352" s="2"/>
      <c r="AH352" s="7"/>
      <c r="AJ352" s="2"/>
      <c r="AO352" s="7"/>
      <c r="AQ352" s="2"/>
    </row>
    <row r="353" spans="23:43" ht="15" customHeight="1">
      <c r="W353" s="7"/>
      <c r="X353" s="2"/>
      <c r="AC353" s="7"/>
      <c r="AD353" s="7"/>
      <c r="AE353" s="2"/>
      <c r="AF353" s="2"/>
      <c r="AH353" s="7"/>
      <c r="AJ353" s="2"/>
      <c r="AO353" s="7"/>
      <c r="AQ353" s="2"/>
    </row>
    <row r="354" spans="23:43" ht="15" customHeight="1">
      <c r="W354" s="7"/>
      <c r="X354" s="2"/>
      <c r="AC354" s="7"/>
      <c r="AD354" s="7"/>
      <c r="AE354" s="2"/>
      <c r="AF354" s="2"/>
      <c r="AH354" s="7"/>
      <c r="AJ354" s="2"/>
      <c r="AO354" s="7"/>
      <c r="AQ354" s="2"/>
    </row>
    <row r="355" spans="23:43" ht="15" customHeight="1">
      <c r="W355" s="7"/>
      <c r="X355" s="2"/>
      <c r="AC355" s="7"/>
      <c r="AD355" s="7"/>
      <c r="AE355" s="2"/>
      <c r="AF355" s="2"/>
      <c r="AH355" s="7"/>
      <c r="AJ355" s="2"/>
      <c r="AO355" s="7"/>
      <c r="AQ355" s="2"/>
    </row>
    <row r="356" spans="23:43" ht="15" customHeight="1">
      <c r="W356" s="7"/>
      <c r="X356" s="2"/>
      <c r="AC356" s="7"/>
      <c r="AD356" s="7"/>
      <c r="AE356" s="2"/>
      <c r="AF356" s="2"/>
      <c r="AH356" s="7"/>
      <c r="AJ356" s="2"/>
      <c r="AO356" s="7"/>
      <c r="AQ356" s="2"/>
    </row>
    <row r="357" spans="23:43" ht="15" customHeight="1">
      <c r="W357" s="7"/>
      <c r="X357" s="2"/>
      <c r="AC357" s="7"/>
      <c r="AD357" s="7"/>
      <c r="AE357" s="2"/>
      <c r="AF357" s="2"/>
      <c r="AH357" s="7"/>
      <c r="AJ357" s="2"/>
      <c r="AO357" s="7"/>
      <c r="AQ357" s="2"/>
    </row>
    <row r="358" spans="23:43" ht="15" customHeight="1">
      <c r="W358" s="7"/>
      <c r="X358" s="2"/>
      <c r="AC358" s="7"/>
      <c r="AD358" s="7"/>
      <c r="AE358" s="2"/>
      <c r="AF358" s="2"/>
      <c r="AH358" s="7"/>
      <c r="AJ358" s="2"/>
      <c r="AO358" s="7"/>
      <c r="AQ358" s="2"/>
    </row>
    <row r="359" spans="23:43" ht="15" customHeight="1">
      <c r="W359" s="7"/>
      <c r="X359" s="2"/>
      <c r="AC359" s="7"/>
      <c r="AD359" s="7"/>
      <c r="AE359" s="2"/>
      <c r="AF359" s="2"/>
      <c r="AH359" s="7"/>
      <c r="AJ359" s="2"/>
      <c r="AO359" s="7"/>
      <c r="AQ359" s="2"/>
    </row>
    <row r="360" spans="23:43" ht="15" customHeight="1">
      <c r="W360" s="7"/>
      <c r="X360" s="2"/>
      <c r="AC360" s="7"/>
      <c r="AD360" s="7"/>
      <c r="AE360" s="2"/>
      <c r="AF360" s="2"/>
      <c r="AH360" s="7"/>
      <c r="AJ360" s="2"/>
      <c r="AO360" s="7"/>
      <c r="AQ360" s="2"/>
    </row>
    <row r="361" spans="23:43" ht="15" customHeight="1">
      <c r="W361" s="7"/>
      <c r="X361" s="2"/>
      <c r="AC361" s="7"/>
      <c r="AD361" s="7"/>
      <c r="AE361" s="2"/>
      <c r="AF361" s="2"/>
      <c r="AH361" s="7"/>
      <c r="AJ361" s="2"/>
      <c r="AO361" s="7"/>
      <c r="AQ361" s="2"/>
    </row>
    <row r="362" spans="23:43" ht="15" customHeight="1">
      <c r="W362" s="7"/>
      <c r="X362" s="2"/>
      <c r="AC362" s="7"/>
      <c r="AD362" s="7"/>
      <c r="AE362" s="2"/>
      <c r="AF362" s="2"/>
      <c r="AH362" s="7"/>
      <c r="AJ362" s="2"/>
      <c r="AO362" s="7"/>
      <c r="AQ362" s="2"/>
    </row>
    <row r="363" spans="23:43" ht="15" customHeight="1">
      <c r="W363" s="7"/>
      <c r="X363" s="2"/>
      <c r="AC363" s="7"/>
      <c r="AD363" s="7"/>
      <c r="AE363" s="2"/>
      <c r="AF363" s="2"/>
      <c r="AH363" s="7"/>
      <c r="AJ363" s="2"/>
      <c r="AO363" s="7"/>
      <c r="AQ363" s="2"/>
    </row>
    <row r="364" spans="23:43" ht="15" customHeight="1">
      <c r="W364" s="7"/>
      <c r="X364" s="2"/>
      <c r="AC364" s="7"/>
      <c r="AD364" s="7"/>
      <c r="AE364" s="2"/>
      <c r="AF364" s="2"/>
      <c r="AH364" s="7"/>
      <c r="AJ364" s="2"/>
      <c r="AO364" s="7"/>
      <c r="AQ364" s="2"/>
    </row>
    <row r="365" spans="23:43" ht="15" customHeight="1">
      <c r="W365" s="7"/>
      <c r="X365" s="2"/>
      <c r="AC365" s="7"/>
      <c r="AD365" s="7"/>
      <c r="AE365" s="2"/>
      <c r="AF365" s="2"/>
      <c r="AH365" s="7"/>
      <c r="AJ365" s="2"/>
      <c r="AO365" s="7"/>
      <c r="AQ365" s="2"/>
    </row>
    <row r="366" spans="23:43" ht="15" customHeight="1">
      <c r="W366" s="7"/>
      <c r="X366" s="2"/>
      <c r="AC366" s="7"/>
      <c r="AD366" s="7"/>
      <c r="AE366" s="2"/>
      <c r="AF366" s="2"/>
      <c r="AH366" s="7"/>
      <c r="AJ366" s="2"/>
      <c r="AO366" s="7"/>
      <c r="AQ366" s="2"/>
    </row>
    <row r="367" spans="23:43" ht="15" customHeight="1">
      <c r="W367" s="7"/>
      <c r="X367" s="2"/>
      <c r="AC367" s="7"/>
      <c r="AD367" s="7"/>
      <c r="AE367" s="2"/>
      <c r="AF367" s="2"/>
      <c r="AH367" s="7"/>
      <c r="AJ367" s="2"/>
      <c r="AO367" s="7"/>
      <c r="AQ367" s="2"/>
    </row>
    <row r="368" spans="23:43" ht="15" customHeight="1">
      <c r="W368" s="7"/>
      <c r="X368" s="2"/>
      <c r="AC368" s="7"/>
      <c r="AD368" s="7"/>
      <c r="AE368" s="2"/>
      <c r="AF368" s="2"/>
      <c r="AH368" s="7"/>
      <c r="AJ368" s="2"/>
      <c r="AO368" s="7"/>
      <c r="AQ368" s="2"/>
    </row>
    <row r="369" spans="23:43" ht="15" customHeight="1">
      <c r="W369" s="7"/>
      <c r="X369" s="2"/>
      <c r="AC369" s="7"/>
      <c r="AD369" s="7"/>
      <c r="AE369" s="2"/>
      <c r="AF369" s="2"/>
      <c r="AH369" s="7"/>
      <c r="AJ369" s="2"/>
      <c r="AO369" s="7"/>
      <c r="AQ369" s="2"/>
    </row>
    <row r="370" spans="23:43" ht="15" customHeight="1">
      <c r="W370" s="7"/>
      <c r="X370" s="2"/>
      <c r="AC370" s="7"/>
      <c r="AD370" s="7"/>
      <c r="AE370" s="2"/>
      <c r="AF370" s="2"/>
      <c r="AH370" s="7"/>
      <c r="AJ370" s="2"/>
      <c r="AO370" s="7"/>
      <c r="AQ370" s="2"/>
    </row>
    <row r="371" spans="23:43" ht="15" customHeight="1">
      <c r="W371" s="7"/>
      <c r="X371" s="2"/>
      <c r="AC371" s="7"/>
      <c r="AD371" s="7"/>
      <c r="AE371" s="2"/>
      <c r="AF371" s="2"/>
      <c r="AH371" s="7"/>
      <c r="AJ371" s="2"/>
      <c r="AO371" s="7"/>
      <c r="AQ371" s="2"/>
    </row>
    <row r="372" spans="23:43" ht="15" customHeight="1">
      <c r="W372" s="7"/>
      <c r="X372" s="2"/>
      <c r="AC372" s="7"/>
      <c r="AD372" s="7"/>
      <c r="AE372" s="2"/>
      <c r="AF372" s="2"/>
      <c r="AH372" s="7"/>
      <c r="AJ372" s="2"/>
      <c r="AO372" s="7"/>
      <c r="AQ372" s="2"/>
    </row>
    <row r="373" spans="23:43" ht="15" customHeight="1">
      <c r="W373" s="7"/>
      <c r="X373" s="2"/>
      <c r="AC373" s="7"/>
      <c r="AD373" s="7"/>
      <c r="AE373" s="2"/>
      <c r="AF373" s="2"/>
      <c r="AH373" s="7"/>
      <c r="AJ373" s="2"/>
      <c r="AO373" s="7"/>
      <c r="AQ373" s="2"/>
    </row>
    <row r="374" spans="23:43" ht="15" customHeight="1">
      <c r="W374" s="7"/>
      <c r="X374" s="2"/>
      <c r="AC374" s="7"/>
      <c r="AD374" s="7"/>
      <c r="AE374" s="2"/>
      <c r="AF374" s="2"/>
      <c r="AH374" s="7"/>
      <c r="AJ374" s="2"/>
      <c r="AO374" s="7"/>
      <c r="AQ374" s="2"/>
    </row>
    <row r="375" spans="23:43" ht="15" customHeight="1">
      <c r="W375" s="7"/>
      <c r="X375" s="2"/>
      <c r="AC375" s="7"/>
      <c r="AD375" s="7"/>
      <c r="AE375" s="2"/>
      <c r="AF375" s="2"/>
      <c r="AH375" s="7"/>
      <c r="AJ375" s="2"/>
      <c r="AO375" s="7"/>
      <c r="AQ375" s="2"/>
    </row>
    <row r="376" spans="23:43" ht="15" customHeight="1">
      <c r="W376" s="7"/>
      <c r="X376" s="2"/>
      <c r="AC376" s="7"/>
      <c r="AD376" s="7"/>
      <c r="AE376" s="2"/>
      <c r="AF376" s="2"/>
      <c r="AH376" s="7"/>
      <c r="AJ376" s="2"/>
      <c r="AO376" s="7"/>
      <c r="AQ376" s="2"/>
    </row>
    <row r="377" spans="23:43" ht="15" customHeight="1">
      <c r="W377" s="7"/>
      <c r="X377" s="2"/>
      <c r="AC377" s="7"/>
      <c r="AD377" s="7"/>
      <c r="AE377" s="2"/>
      <c r="AF377" s="2"/>
      <c r="AH377" s="7"/>
      <c r="AJ377" s="2"/>
      <c r="AO377" s="7"/>
      <c r="AQ377" s="2"/>
    </row>
    <row r="378" spans="23:43" ht="15" customHeight="1">
      <c r="W378" s="7"/>
      <c r="X378" s="2"/>
      <c r="AC378" s="7"/>
      <c r="AD378" s="7"/>
      <c r="AE378" s="2"/>
      <c r="AF378" s="2"/>
      <c r="AH378" s="7"/>
      <c r="AJ378" s="2"/>
      <c r="AO378" s="7"/>
      <c r="AQ378" s="2"/>
    </row>
    <row r="379" spans="23:43" ht="15" customHeight="1">
      <c r="W379" s="7"/>
      <c r="X379" s="2"/>
      <c r="AC379" s="7"/>
      <c r="AD379" s="7"/>
      <c r="AE379" s="2"/>
      <c r="AF379" s="2"/>
      <c r="AH379" s="7"/>
      <c r="AJ379" s="2"/>
      <c r="AO379" s="7"/>
      <c r="AQ379" s="2"/>
    </row>
    <row r="380" spans="23:43" ht="15" customHeight="1">
      <c r="W380" s="7"/>
      <c r="X380" s="2"/>
      <c r="AC380" s="7"/>
      <c r="AD380" s="7"/>
      <c r="AE380" s="2"/>
      <c r="AF380" s="2"/>
      <c r="AH380" s="7"/>
      <c r="AJ380" s="2"/>
      <c r="AO380" s="7"/>
      <c r="AQ380" s="2"/>
    </row>
    <row r="381" spans="23:43" ht="15" customHeight="1">
      <c r="W381" s="7"/>
      <c r="X381" s="2"/>
      <c r="AC381" s="7"/>
      <c r="AD381" s="7"/>
      <c r="AE381" s="2"/>
      <c r="AF381" s="2"/>
      <c r="AH381" s="7"/>
      <c r="AJ381" s="2"/>
      <c r="AO381" s="7"/>
      <c r="AQ381" s="2"/>
    </row>
    <row r="382" spans="23:43" ht="15" customHeight="1">
      <c r="W382" s="7"/>
      <c r="X382" s="2"/>
      <c r="AC382" s="7"/>
      <c r="AD382" s="7"/>
      <c r="AE382" s="2"/>
      <c r="AF382" s="2"/>
      <c r="AH382" s="7"/>
      <c r="AJ382" s="2"/>
      <c r="AO382" s="7"/>
      <c r="AQ382" s="2"/>
    </row>
    <row r="383" spans="23:43" ht="15" customHeight="1">
      <c r="W383" s="7"/>
      <c r="X383" s="2"/>
      <c r="AC383" s="7"/>
      <c r="AD383" s="7"/>
      <c r="AE383" s="2"/>
      <c r="AF383" s="2"/>
      <c r="AH383" s="7"/>
      <c r="AJ383" s="2"/>
      <c r="AO383" s="7"/>
      <c r="AQ383" s="2"/>
    </row>
    <row r="384" spans="23:43" ht="15" customHeight="1">
      <c r="W384" s="7"/>
      <c r="X384" s="2"/>
      <c r="AC384" s="7"/>
      <c r="AD384" s="7"/>
      <c r="AE384" s="2"/>
      <c r="AF384" s="2"/>
      <c r="AH384" s="7"/>
      <c r="AJ384" s="2"/>
      <c r="AO384" s="7"/>
      <c r="AQ384" s="2"/>
    </row>
    <row r="385" spans="23:43" ht="15" customHeight="1">
      <c r="W385" s="7"/>
      <c r="X385" s="2"/>
      <c r="AC385" s="7"/>
      <c r="AD385" s="7"/>
      <c r="AE385" s="2"/>
      <c r="AF385" s="2"/>
      <c r="AH385" s="7"/>
      <c r="AJ385" s="2"/>
      <c r="AO385" s="7"/>
      <c r="AQ385" s="2"/>
    </row>
    <row r="386" spans="23:43" ht="15" customHeight="1">
      <c r="W386" s="7"/>
      <c r="X386" s="2"/>
      <c r="AC386" s="7"/>
      <c r="AD386" s="7"/>
      <c r="AE386" s="2"/>
      <c r="AF386" s="2"/>
      <c r="AH386" s="7"/>
      <c r="AJ386" s="2"/>
      <c r="AO386" s="7"/>
      <c r="AQ386" s="2"/>
    </row>
    <row r="387" spans="23:43" ht="15" customHeight="1">
      <c r="W387" s="7"/>
      <c r="X387" s="2"/>
      <c r="AC387" s="7"/>
      <c r="AD387" s="7"/>
      <c r="AE387" s="2"/>
      <c r="AF387" s="2"/>
      <c r="AH387" s="7"/>
      <c r="AJ387" s="2"/>
      <c r="AO387" s="7"/>
      <c r="AQ387" s="2"/>
    </row>
    <row r="388" spans="23:43" ht="15" customHeight="1">
      <c r="W388" s="7"/>
      <c r="X388" s="2"/>
      <c r="AC388" s="7"/>
      <c r="AD388" s="7"/>
      <c r="AE388" s="2"/>
      <c r="AF388" s="2"/>
      <c r="AH388" s="7"/>
      <c r="AJ388" s="2"/>
      <c r="AO388" s="7"/>
      <c r="AQ388" s="2"/>
    </row>
    <row r="389" spans="23:43" ht="15" customHeight="1">
      <c r="W389" s="7"/>
      <c r="X389" s="2"/>
      <c r="AC389" s="7"/>
      <c r="AD389" s="7"/>
      <c r="AE389" s="2"/>
      <c r="AF389" s="2"/>
      <c r="AH389" s="7"/>
      <c r="AJ389" s="2"/>
      <c r="AO389" s="7"/>
      <c r="AQ389" s="2"/>
    </row>
    <row r="390" spans="23:43" ht="15" customHeight="1">
      <c r="W390" s="7"/>
      <c r="X390" s="2"/>
      <c r="AC390" s="7"/>
      <c r="AD390" s="7"/>
      <c r="AE390" s="2"/>
      <c r="AF390" s="2"/>
      <c r="AH390" s="7"/>
      <c r="AJ390" s="2"/>
      <c r="AO390" s="7"/>
      <c r="AQ390" s="2"/>
    </row>
    <row r="391" spans="23:43" ht="15" customHeight="1">
      <c r="W391" s="7"/>
      <c r="X391" s="2"/>
      <c r="AC391" s="7"/>
      <c r="AD391" s="7"/>
      <c r="AE391" s="2"/>
      <c r="AF391" s="2"/>
      <c r="AH391" s="7"/>
      <c r="AJ391" s="2"/>
      <c r="AO391" s="7"/>
      <c r="AQ391" s="2"/>
    </row>
    <row r="392" spans="23:43" ht="15" customHeight="1">
      <c r="W392" s="7"/>
      <c r="X392" s="2"/>
      <c r="AC392" s="7"/>
      <c r="AD392" s="7"/>
      <c r="AE392" s="2"/>
      <c r="AF392" s="2"/>
      <c r="AH392" s="7"/>
      <c r="AJ392" s="2"/>
      <c r="AO392" s="7"/>
      <c r="AQ392" s="2"/>
    </row>
    <row r="393" spans="23:43" ht="15" customHeight="1">
      <c r="W393" s="7"/>
      <c r="X393" s="2"/>
      <c r="AC393" s="7"/>
      <c r="AD393" s="7"/>
      <c r="AE393" s="2"/>
      <c r="AF393" s="2"/>
      <c r="AH393" s="7"/>
      <c r="AJ393" s="2"/>
      <c r="AO393" s="7"/>
      <c r="AQ393" s="2"/>
    </row>
    <row r="394" spans="23:43" ht="15" customHeight="1">
      <c r="W394" s="7"/>
      <c r="X394" s="2"/>
      <c r="AC394" s="7"/>
      <c r="AD394" s="7"/>
      <c r="AE394" s="2"/>
      <c r="AF394" s="2"/>
      <c r="AH394" s="7"/>
      <c r="AJ394" s="2"/>
      <c r="AO394" s="7"/>
      <c r="AQ394" s="2"/>
    </row>
    <row r="395" spans="23:43" ht="15" customHeight="1">
      <c r="W395" s="7"/>
      <c r="X395" s="2"/>
      <c r="AC395" s="7"/>
      <c r="AD395" s="7"/>
      <c r="AE395" s="2"/>
      <c r="AF395" s="2"/>
      <c r="AH395" s="7"/>
      <c r="AJ395" s="2"/>
      <c r="AO395" s="7"/>
      <c r="AQ395" s="2"/>
    </row>
    <row r="396" spans="23:43" ht="15" customHeight="1">
      <c r="W396" s="7"/>
      <c r="X396" s="2"/>
      <c r="AC396" s="7"/>
      <c r="AD396" s="7"/>
      <c r="AE396" s="2"/>
      <c r="AF396" s="2"/>
      <c r="AH396" s="7"/>
      <c r="AJ396" s="2"/>
      <c r="AO396" s="7"/>
      <c r="AQ396" s="2"/>
    </row>
    <row r="397" spans="23:43" ht="15" customHeight="1">
      <c r="W397" s="7"/>
      <c r="X397" s="2"/>
      <c r="AC397" s="7"/>
      <c r="AD397" s="7"/>
      <c r="AE397" s="2"/>
      <c r="AF397" s="2"/>
      <c r="AH397" s="7"/>
      <c r="AJ397" s="2"/>
      <c r="AO397" s="7"/>
      <c r="AQ397" s="2"/>
    </row>
    <row r="398" spans="23:43" ht="15" customHeight="1">
      <c r="W398" s="7"/>
      <c r="X398" s="2"/>
      <c r="AC398" s="7"/>
      <c r="AD398" s="7"/>
      <c r="AE398" s="2"/>
      <c r="AF398" s="2"/>
      <c r="AH398" s="7"/>
      <c r="AJ398" s="2"/>
      <c r="AO398" s="7"/>
      <c r="AQ398" s="2"/>
    </row>
    <row r="399" spans="23:43" ht="15" customHeight="1">
      <c r="W399" s="7"/>
      <c r="X399" s="2"/>
      <c r="AC399" s="7"/>
      <c r="AD399" s="7"/>
      <c r="AE399" s="2"/>
      <c r="AF399" s="2"/>
      <c r="AH399" s="7"/>
      <c r="AJ399" s="2"/>
      <c r="AO399" s="7"/>
      <c r="AQ399" s="2"/>
    </row>
    <row r="400" spans="23:43" ht="15" customHeight="1">
      <c r="W400" s="7"/>
      <c r="X400" s="2"/>
      <c r="AC400" s="7"/>
      <c r="AD400" s="7"/>
      <c r="AE400" s="2"/>
      <c r="AF400" s="2"/>
      <c r="AH400" s="7"/>
      <c r="AJ400" s="2"/>
      <c r="AO400" s="7"/>
      <c r="AQ400" s="2"/>
    </row>
    <row r="401" spans="23:43" ht="15" customHeight="1">
      <c r="W401" s="7"/>
      <c r="X401" s="2"/>
      <c r="AC401" s="7"/>
      <c r="AD401" s="7"/>
      <c r="AE401" s="2"/>
      <c r="AF401" s="2"/>
      <c r="AH401" s="7"/>
      <c r="AJ401" s="2"/>
      <c r="AO401" s="7"/>
      <c r="AQ401" s="2"/>
    </row>
    <row r="402" spans="23:43" ht="15" customHeight="1">
      <c r="W402" s="7"/>
      <c r="X402" s="2"/>
      <c r="AC402" s="7"/>
      <c r="AD402" s="7"/>
      <c r="AE402" s="2"/>
      <c r="AF402" s="2"/>
      <c r="AH402" s="7"/>
      <c r="AJ402" s="2"/>
      <c r="AO402" s="7"/>
      <c r="AQ402" s="2"/>
    </row>
    <row r="403" spans="23:43" ht="15" customHeight="1">
      <c r="W403" s="7"/>
      <c r="X403" s="2"/>
      <c r="AC403" s="7"/>
      <c r="AD403" s="7"/>
      <c r="AE403" s="2"/>
      <c r="AF403" s="2"/>
      <c r="AH403" s="7"/>
      <c r="AJ403" s="2"/>
      <c r="AO403" s="7"/>
      <c r="AQ403" s="2"/>
    </row>
    <row r="404" spans="23:43" ht="15" customHeight="1">
      <c r="W404" s="7"/>
      <c r="X404" s="2"/>
      <c r="AC404" s="7"/>
      <c r="AD404" s="7"/>
      <c r="AE404" s="2"/>
      <c r="AF404" s="2"/>
      <c r="AH404" s="7"/>
      <c r="AJ404" s="2"/>
      <c r="AO404" s="7"/>
      <c r="AQ404" s="2"/>
    </row>
    <row r="405" spans="23:43" ht="15" customHeight="1">
      <c r="W405" s="7"/>
      <c r="X405" s="2"/>
      <c r="AC405" s="7"/>
      <c r="AD405" s="7"/>
      <c r="AE405" s="2"/>
      <c r="AF405" s="2"/>
      <c r="AH405" s="7"/>
      <c r="AJ405" s="2"/>
      <c r="AO405" s="7"/>
      <c r="AQ405" s="2"/>
    </row>
    <row r="406" spans="23:43" ht="15" customHeight="1">
      <c r="W406" s="7"/>
      <c r="X406" s="2"/>
      <c r="AC406" s="7"/>
      <c r="AD406" s="7"/>
      <c r="AE406" s="2"/>
      <c r="AF406" s="2"/>
      <c r="AH406" s="7"/>
      <c r="AJ406" s="2"/>
      <c r="AO406" s="7"/>
      <c r="AQ406" s="2"/>
    </row>
    <row r="407" spans="23:43" ht="15" customHeight="1">
      <c r="W407" s="7"/>
      <c r="X407" s="2"/>
      <c r="AC407" s="7"/>
      <c r="AD407" s="7"/>
      <c r="AE407" s="2"/>
      <c r="AF407" s="2"/>
      <c r="AH407" s="7"/>
      <c r="AJ407" s="2"/>
      <c r="AO407" s="7"/>
      <c r="AQ407" s="2"/>
    </row>
    <row r="408" spans="23:43" ht="15" customHeight="1">
      <c r="W408" s="7"/>
      <c r="X408" s="2"/>
      <c r="AC408" s="7"/>
      <c r="AD408" s="7"/>
      <c r="AE408" s="2"/>
      <c r="AF408" s="2"/>
      <c r="AH408" s="7"/>
      <c r="AJ408" s="2"/>
      <c r="AO408" s="7"/>
      <c r="AQ408" s="2"/>
    </row>
    <row r="409" spans="23:43" ht="15" customHeight="1">
      <c r="W409" s="7"/>
      <c r="X409" s="2"/>
      <c r="AC409" s="7"/>
      <c r="AD409" s="7"/>
      <c r="AE409" s="2"/>
      <c r="AF409" s="2"/>
      <c r="AH409" s="7"/>
      <c r="AJ409" s="2"/>
      <c r="AO409" s="7"/>
      <c r="AQ409" s="2"/>
    </row>
    <row r="410" spans="23:43" ht="15" customHeight="1">
      <c r="W410" s="7"/>
      <c r="X410" s="2"/>
      <c r="AC410" s="7"/>
      <c r="AD410" s="7"/>
      <c r="AE410" s="2"/>
      <c r="AF410" s="2"/>
      <c r="AH410" s="7"/>
      <c r="AJ410" s="2"/>
      <c r="AO410" s="7"/>
      <c r="AQ410" s="2"/>
    </row>
    <row r="411" spans="23:43" ht="15" customHeight="1">
      <c r="W411" s="7"/>
      <c r="X411" s="2"/>
      <c r="AC411" s="7"/>
      <c r="AD411" s="7"/>
      <c r="AE411" s="2"/>
      <c r="AF411" s="2"/>
      <c r="AH411" s="7"/>
      <c r="AJ411" s="2"/>
      <c r="AO411" s="7"/>
      <c r="AQ411" s="2"/>
    </row>
    <row r="412" spans="23:43" ht="15" customHeight="1">
      <c r="W412" s="7"/>
      <c r="X412" s="2"/>
      <c r="AC412" s="7"/>
      <c r="AD412" s="7"/>
      <c r="AE412" s="2"/>
      <c r="AF412" s="2"/>
      <c r="AH412" s="7"/>
      <c r="AJ412" s="2"/>
      <c r="AO412" s="7"/>
      <c r="AQ412" s="2"/>
    </row>
    <row r="413" spans="23:43" ht="15" customHeight="1">
      <c r="W413" s="7"/>
      <c r="X413" s="2"/>
      <c r="AC413" s="7"/>
      <c r="AD413" s="7"/>
      <c r="AE413" s="2"/>
      <c r="AF413" s="2"/>
      <c r="AH413" s="7"/>
      <c r="AJ413" s="2"/>
      <c r="AO413" s="7"/>
      <c r="AQ413" s="2"/>
    </row>
    <row r="414" spans="23:43" ht="15" customHeight="1">
      <c r="W414" s="7"/>
      <c r="X414" s="2"/>
      <c r="AC414" s="7"/>
      <c r="AD414" s="7"/>
      <c r="AE414" s="2"/>
      <c r="AF414" s="2"/>
      <c r="AH414" s="7"/>
      <c r="AJ414" s="2"/>
      <c r="AO414" s="7"/>
      <c r="AQ414" s="2"/>
    </row>
    <row r="415" spans="23:43" ht="15" customHeight="1">
      <c r="W415" s="7"/>
      <c r="X415" s="2"/>
      <c r="AC415" s="7"/>
      <c r="AD415" s="7"/>
      <c r="AE415" s="2"/>
      <c r="AF415" s="2"/>
      <c r="AH415" s="7"/>
      <c r="AJ415" s="2"/>
      <c r="AO415" s="7"/>
      <c r="AQ415" s="2"/>
    </row>
    <row r="416" spans="23:43" ht="15" customHeight="1">
      <c r="W416" s="7"/>
      <c r="X416" s="2"/>
      <c r="AC416" s="7"/>
      <c r="AD416" s="7"/>
      <c r="AE416" s="2"/>
      <c r="AF416" s="2"/>
      <c r="AH416" s="7"/>
      <c r="AJ416" s="2"/>
      <c r="AO416" s="7"/>
      <c r="AQ416" s="2"/>
    </row>
    <row r="417" spans="23:43" ht="15" customHeight="1">
      <c r="W417" s="7"/>
      <c r="X417" s="2"/>
      <c r="AC417" s="7"/>
      <c r="AD417" s="7"/>
      <c r="AE417" s="2"/>
      <c r="AF417" s="2"/>
      <c r="AH417" s="7"/>
      <c r="AJ417" s="2"/>
      <c r="AO417" s="7"/>
      <c r="AQ417" s="2"/>
    </row>
    <row r="418" spans="23:43" ht="15" customHeight="1">
      <c r="W418" s="7"/>
      <c r="X418" s="2"/>
      <c r="AC418" s="7"/>
      <c r="AD418" s="7"/>
      <c r="AE418" s="2"/>
      <c r="AF418" s="2"/>
      <c r="AH418" s="7"/>
      <c r="AJ418" s="2"/>
      <c r="AO418" s="7"/>
      <c r="AQ418" s="2"/>
    </row>
    <row r="419" spans="23:43" ht="15" customHeight="1">
      <c r="W419" s="7"/>
      <c r="X419" s="2"/>
      <c r="AC419" s="7"/>
      <c r="AD419" s="7"/>
      <c r="AE419" s="2"/>
      <c r="AF419" s="2"/>
      <c r="AH419" s="7"/>
      <c r="AJ419" s="2"/>
      <c r="AO419" s="7"/>
      <c r="AQ419" s="2"/>
    </row>
    <row r="420" spans="23:43" ht="15" customHeight="1">
      <c r="W420" s="7"/>
      <c r="X420" s="2"/>
      <c r="AC420" s="7"/>
      <c r="AD420" s="7"/>
      <c r="AE420" s="2"/>
      <c r="AF420" s="2"/>
      <c r="AH420" s="7"/>
      <c r="AJ420" s="2"/>
      <c r="AO420" s="7"/>
      <c r="AQ420" s="2"/>
    </row>
    <row r="421" spans="23:43" ht="15" customHeight="1">
      <c r="W421" s="7"/>
      <c r="X421" s="2"/>
      <c r="AC421" s="7"/>
      <c r="AD421" s="7"/>
      <c r="AE421" s="2"/>
      <c r="AF421" s="2"/>
      <c r="AH421" s="7"/>
      <c r="AJ421" s="2"/>
      <c r="AO421" s="7"/>
      <c r="AQ421" s="2"/>
    </row>
    <row r="422" spans="23:43" ht="15" customHeight="1">
      <c r="W422" s="7"/>
      <c r="X422" s="2"/>
      <c r="AC422" s="7"/>
      <c r="AD422" s="7"/>
      <c r="AE422" s="2"/>
      <c r="AF422" s="2"/>
      <c r="AH422" s="7"/>
      <c r="AJ422" s="2"/>
      <c r="AO422" s="7"/>
      <c r="AQ422" s="2"/>
    </row>
    <row r="423" spans="23:43" ht="15" customHeight="1">
      <c r="W423" s="7"/>
      <c r="X423" s="2"/>
      <c r="AC423" s="7"/>
      <c r="AD423" s="7"/>
      <c r="AE423" s="2"/>
      <c r="AF423" s="2"/>
      <c r="AH423" s="7"/>
      <c r="AJ423" s="2"/>
      <c r="AO423" s="7"/>
      <c r="AQ423" s="2"/>
    </row>
    <row r="424" spans="23:43" ht="15" customHeight="1">
      <c r="W424" s="7"/>
      <c r="X424" s="2"/>
      <c r="AC424" s="7"/>
      <c r="AD424" s="7"/>
      <c r="AE424" s="2"/>
      <c r="AF424" s="2"/>
      <c r="AH424" s="7"/>
      <c r="AJ424" s="2"/>
      <c r="AO424" s="7"/>
      <c r="AQ424" s="2"/>
    </row>
    <row r="425" spans="23:43" ht="15" customHeight="1">
      <c r="W425" s="7"/>
      <c r="X425" s="2"/>
      <c r="AC425" s="7"/>
      <c r="AD425" s="7"/>
      <c r="AE425" s="2"/>
      <c r="AF425" s="2"/>
      <c r="AH425" s="7"/>
      <c r="AJ425" s="2"/>
      <c r="AO425" s="7"/>
      <c r="AQ425" s="2"/>
    </row>
    <row r="426" spans="23:43" ht="15" customHeight="1">
      <c r="W426" s="7"/>
      <c r="X426" s="2"/>
      <c r="AC426" s="7"/>
      <c r="AD426" s="7"/>
      <c r="AE426" s="2"/>
      <c r="AF426" s="2"/>
      <c r="AH426" s="7"/>
      <c r="AJ426" s="2"/>
      <c r="AO426" s="7"/>
      <c r="AQ426" s="2"/>
    </row>
    <row r="427" spans="23:43" ht="15" customHeight="1">
      <c r="W427" s="7"/>
      <c r="X427" s="2"/>
      <c r="AC427" s="7"/>
      <c r="AD427" s="7"/>
      <c r="AE427" s="2"/>
      <c r="AF427" s="2"/>
      <c r="AH427" s="7"/>
      <c r="AJ427" s="2"/>
      <c r="AO427" s="7"/>
      <c r="AQ427" s="2"/>
    </row>
    <row r="428" spans="23:43" ht="15" customHeight="1">
      <c r="W428" s="7"/>
      <c r="X428" s="2"/>
      <c r="AC428" s="7"/>
      <c r="AD428" s="7"/>
      <c r="AE428" s="2"/>
      <c r="AF428" s="2"/>
      <c r="AH428" s="7"/>
      <c r="AJ428" s="2"/>
      <c r="AO428" s="7"/>
      <c r="AQ428" s="2"/>
    </row>
    <row r="429" spans="23:43" ht="15" customHeight="1">
      <c r="W429" s="7"/>
      <c r="X429" s="2"/>
      <c r="AC429" s="7"/>
      <c r="AD429" s="7"/>
      <c r="AE429" s="2"/>
      <c r="AF429" s="2"/>
      <c r="AH429" s="7"/>
      <c r="AJ429" s="2"/>
      <c r="AO429" s="7"/>
      <c r="AQ429" s="2"/>
    </row>
    <row r="430" spans="23:43" ht="15" customHeight="1">
      <c r="W430" s="7"/>
      <c r="X430" s="2"/>
      <c r="AC430" s="7"/>
      <c r="AD430" s="7"/>
      <c r="AE430" s="2"/>
      <c r="AF430" s="2"/>
      <c r="AH430" s="7"/>
      <c r="AJ430" s="2"/>
      <c r="AO430" s="7"/>
      <c r="AQ430" s="2"/>
    </row>
    <row r="431" spans="23:43" ht="15" customHeight="1">
      <c r="W431" s="7"/>
      <c r="X431" s="2"/>
      <c r="AC431" s="7"/>
      <c r="AD431" s="7"/>
      <c r="AE431" s="2"/>
      <c r="AF431" s="2"/>
      <c r="AH431" s="7"/>
      <c r="AJ431" s="2"/>
      <c r="AO431" s="7"/>
      <c r="AQ431" s="2"/>
    </row>
    <row r="432" spans="23:43" ht="15" customHeight="1">
      <c r="W432" s="7"/>
      <c r="X432" s="2"/>
      <c r="AC432" s="7"/>
      <c r="AD432" s="7"/>
      <c r="AE432" s="2"/>
      <c r="AF432" s="2"/>
      <c r="AH432" s="7"/>
      <c r="AJ432" s="2"/>
      <c r="AO432" s="7"/>
      <c r="AQ432" s="2"/>
    </row>
    <row r="433" spans="23:43" ht="15" customHeight="1">
      <c r="W433" s="7"/>
      <c r="X433" s="2"/>
      <c r="AC433" s="7"/>
      <c r="AD433" s="7"/>
      <c r="AE433" s="2"/>
      <c r="AF433" s="2"/>
      <c r="AH433" s="7"/>
      <c r="AJ433" s="2"/>
      <c r="AO433" s="7"/>
      <c r="AQ433" s="2"/>
    </row>
    <row r="434" spans="23:43" ht="15" customHeight="1">
      <c r="W434" s="7"/>
      <c r="X434" s="2"/>
      <c r="AC434" s="7"/>
      <c r="AD434" s="7"/>
      <c r="AE434" s="2"/>
      <c r="AF434" s="2"/>
      <c r="AH434" s="7"/>
      <c r="AJ434" s="2"/>
      <c r="AO434" s="7"/>
      <c r="AQ434" s="2"/>
    </row>
    <row r="435" spans="23:43" ht="15" customHeight="1">
      <c r="W435" s="7"/>
      <c r="X435" s="2"/>
      <c r="AC435" s="7"/>
      <c r="AD435" s="7"/>
      <c r="AE435" s="2"/>
      <c r="AF435" s="2"/>
      <c r="AH435" s="7"/>
      <c r="AJ435" s="2"/>
      <c r="AO435" s="7"/>
      <c r="AQ435" s="2"/>
    </row>
    <row r="436" spans="23:43" ht="15" customHeight="1">
      <c r="W436" s="7"/>
      <c r="X436" s="2"/>
      <c r="AC436" s="7"/>
      <c r="AD436" s="7"/>
      <c r="AE436" s="2"/>
      <c r="AF436" s="2"/>
      <c r="AH436" s="7"/>
      <c r="AJ436" s="2"/>
      <c r="AO436" s="7"/>
      <c r="AQ436" s="2"/>
    </row>
    <row r="437" spans="23:43" ht="15" customHeight="1">
      <c r="W437" s="7"/>
      <c r="X437" s="2"/>
      <c r="AC437" s="7"/>
      <c r="AD437" s="7"/>
      <c r="AE437" s="2"/>
      <c r="AF437" s="2"/>
      <c r="AH437" s="7"/>
      <c r="AJ437" s="2"/>
      <c r="AO437" s="7"/>
      <c r="AQ437" s="2"/>
    </row>
    <row r="438" spans="23:43" ht="15" customHeight="1">
      <c r="W438" s="7"/>
      <c r="X438" s="2"/>
      <c r="AC438" s="7"/>
      <c r="AD438" s="7"/>
      <c r="AE438" s="2"/>
      <c r="AF438" s="2"/>
      <c r="AH438" s="7"/>
      <c r="AJ438" s="2"/>
      <c r="AO438" s="7"/>
      <c r="AQ438" s="2"/>
    </row>
    <row r="439" spans="23:43" ht="15" customHeight="1">
      <c r="W439" s="7"/>
      <c r="X439" s="2"/>
      <c r="AC439" s="7"/>
      <c r="AD439" s="7"/>
      <c r="AE439" s="2"/>
      <c r="AF439" s="2"/>
      <c r="AH439" s="7"/>
      <c r="AJ439" s="2"/>
      <c r="AO439" s="7"/>
      <c r="AQ439" s="2"/>
    </row>
    <row r="440" spans="23:43" ht="15" customHeight="1">
      <c r="W440" s="7"/>
      <c r="X440" s="2"/>
      <c r="AC440" s="7"/>
      <c r="AD440" s="7"/>
      <c r="AE440" s="2"/>
      <c r="AF440" s="2"/>
      <c r="AH440" s="7"/>
      <c r="AJ440" s="2"/>
      <c r="AO440" s="7"/>
      <c r="AQ440" s="2"/>
    </row>
    <row r="441" spans="23:43" ht="15" customHeight="1">
      <c r="W441" s="7"/>
      <c r="X441" s="2"/>
      <c r="AC441" s="7"/>
      <c r="AD441" s="7"/>
      <c r="AE441" s="2"/>
      <c r="AF441" s="2"/>
      <c r="AH441" s="7"/>
      <c r="AJ441" s="2"/>
      <c r="AO441" s="7"/>
      <c r="AQ441" s="2"/>
    </row>
    <row r="442" spans="23:43" ht="15" customHeight="1">
      <c r="W442" s="7"/>
      <c r="X442" s="2"/>
      <c r="AC442" s="7"/>
      <c r="AD442" s="7"/>
      <c r="AE442" s="2"/>
      <c r="AF442" s="2"/>
      <c r="AH442" s="7"/>
      <c r="AJ442" s="2"/>
      <c r="AO442" s="7"/>
      <c r="AQ442" s="2"/>
    </row>
    <row r="443" spans="23:43" ht="15" customHeight="1">
      <c r="W443" s="7"/>
      <c r="X443" s="2"/>
      <c r="AC443" s="7"/>
      <c r="AD443" s="7"/>
      <c r="AE443" s="2"/>
      <c r="AF443" s="2"/>
      <c r="AH443" s="7"/>
      <c r="AJ443" s="2"/>
      <c r="AO443" s="7"/>
      <c r="AQ443" s="2"/>
    </row>
    <row r="444" spans="23:43" ht="15" customHeight="1">
      <c r="W444" s="7"/>
      <c r="X444" s="2"/>
      <c r="AC444" s="7"/>
      <c r="AD444" s="7"/>
      <c r="AE444" s="2"/>
      <c r="AF444" s="2"/>
      <c r="AH444" s="7"/>
      <c r="AJ444" s="2"/>
      <c r="AO444" s="7"/>
      <c r="AQ444" s="2"/>
    </row>
    <row r="445" spans="23:43" ht="15" customHeight="1">
      <c r="W445" s="7"/>
      <c r="X445" s="2"/>
      <c r="AC445" s="7"/>
      <c r="AD445" s="7"/>
      <c r="AE445" s="2"/>
      <c r="AF445" s="2"/>
      <c r="AH445" s="7"/>
      <c r="AJ445" s="2"/>
      <c r="AO445" s="7"/>
      <c r="AQ445" s="2"/>
    </row>
    <row r="446" spans="23:43" ht="15" customHeight="1">
      <c r="W446" s="7"/>
      <c r="X446" s="2"/>
      <c r="AC446" s="7"/>
      <c r="AD446" s="7"/>
      <c r="AE446" s="2"/>
      <c r="AF446" s="2"/>
      <c r="AH446" s="7"/>
      <c r="AJ446" s="2"/>
      <c r="AO446" s="7"/>
      <c r="AQ446" s="2"/>
    </row>
    <row r="447" spans="23:43" ht="15" customHeight="1">
      <c r="W447" s="7"/>
      <c r="X447" s="2"/>
      <c r="AC447" s="7"/>
      <c r="AD447" s="7"/>
      <c r="AE447" s="2"/>
      <c r="AF447" s="2"/>
      <c r="AH447" s="7"/>
      <c r="AJ447" s="2"/>
      <c r="AO447" s="7"/>
      <c r="AQ447" s="2"/>
    </row>
    <row r="448" spans="23:43" ht="15" customHeight="1">
      <c r="W448" s="7"/>
      <c r="X448" s="2"/>
      <c r="AC448" s="7"/>
      <c r="AD448" s="7"/>
      <c r="AE448" s="2"/>
      <c r="AF448" s="2"/>
      <c r="AH448" s="7"/>
      <c r="AJ448" s="2"/>
      <c r="AO448" s="7"/>
      <c r="AQ448" s="2"/>
    </row>
    <row r="449" spans="23:43" ht="15" customHeight="1">
      <c r="W449" s="7"/>
      <c r="X449" s="2"/>
      <c r="AC449" s="7"/>
      <c r="AD449" s="7"/>
      <c r="AE449" s="2"/>
      <c r="AF449" s="2"/>
      <c r="AH449" s="7"/>
      <c r="AJ449" s="2"/>
      <c r="AO449" s="7"/>
      <c r="AQ449" s="2"/>
    </row>
    <row r="450" spans="23:43" ht="15" customHeight="1">
      <c r="W450" s="7"/>
      <c r="X450" s="2"/>
      <c r="AC450" s="7"/>
      <c r="AD450" s="7"/>
      <c r="AE450" s="2"/>
      <c r="AF450" s="2"/>
      <c r="AH450" s="7"/>
      <c r="AJ450" s="2"/>
      <c r="AO450" s="7"/>
      <c r="AQ450" s="2"/>
    </row>
    <row r="451" spans="23:43" ht="15" customHeight="1">
      <c r="W451" s="7"/>
      <c r="X451" s="2"/>
      <c r="AC451" s="7"/>
      <c r="AD451" s="7"/>
      <c r="AE451" s="2"/>
      <c r="AF451" s="2"/>
      <c r="AH451" s="7"/>
      <c r="AJ451" s="2"/>
      <c r="AO451" s="7"/>
      <c r="AQ451" s="2"/>
    </row>
    <row r="452" spans="23:43" ht="15" customHeight="1">
      <c r="W452" s="7"/>
      <c r="X452" s="2"/>
      <c r="AC452" s="7"/>
      <c r="AD452" s="7"/>
      <c r="AE452" s="2"/>
      <c r="AF452" s="2"/>
      <c r="AH452" s="7"/>
      <c r="AJ452" s="2"/>
      <c r="AO452" s="7"/>
      <c r="AQ452" s="2"/>
    </row>
    <row r="453" spans="23:43" ht="15" customHeight="1">
      <c r="W453" s="7"/>
      <c r="X453" s="2"/>
      <c r="AC453" s="7"/>
      <c r="AD453" s="7"/>
      <c r="AE453" s="2"/>
      <c r="AF453" s="2"/>
      <c r="AH453" s="7"/>
      <c r="AJ453" s="2"/>
      <c r="AO453" s="7"/>
      <c r="AQ453" s="2"/>
    </row>
    <row r="454" spans="23:43" ht="15" customHeight="1">
      <c r="W454" s="7"/>
      <c r="X454" s="2"/>
      <c r="AC454" s="7"/>
      <c r="AD454" s="7"/>
      <c r="AE454" s="2"/>
      <c r="AF454" s="2"/>
      <c r="AH454" s="7"/>
      <c r="AJ454" s="2"/>
      <c r="AO454" s="7"/>
      <c r="AQ454" s="2"/>
    </row>
    <row r="455" spans="23:43" ht="15" customHeight="1">
      <c r="W455" s="7"/>
      <c r="X455" s="2"/>
      <c r="AC455" s="7"/>
      <c r="AD455" s="7"/>
      <c r="AE455" s="2"/>
      <c r="AF455" s="2"/>
      <c r="AH455" s="7"/>
      <c r="AJ455" s="2"/>
      <c r="AO455" s="7"/>
      <c r="AQ455" s="2"/>
    </row>
    <row r="456" spans="23:43" ht="15" customHeight="1">
      <c r="W456" s="7"/>
      <c r="X456" s="2"/>
      <c r="AC456" s="7"/>
      <c r="AD456" s="7"/>
      <c r="AE456" s="2"/>
      <c r="AF456" s="2"/>
      <c r="AH456" s="7"/>
      <c r="AJ456" s="2"/>
      <c r="AO456" s="7"/>
      <c r="AQ456" s="2"/>
    </row>
    <row r="457" spans="23:43" ht="15" customHeight="1">
      <c r="W457" s="7"/>
      <c r="X457" s="2"/>
      <c r="AC457" s="7"/>
      <c r="AD457" s="7"/>
      <c r="AE457" s="2"/>
      <c r="AF457" s="2"/>
      <c r="AH457" s="7"/>
      <c r="AJ457" s="2"/>
      <c r="AO457" s="7"/>
      <c r="AQ457" s="2"/>
    </row>
    <row r="458" spans="23:43" ht="15" customHeight="1">
      <c r="W458" s="7"/>
      <c r="X458" s="2"/>
      <c r="AC458" s="7"/>
      <c r="AD458" s="7"/>
      <c r="AE458" s="2"/>
      <c r="AF458" s="2"/>
      <c r="AH458" s="7"/>
      <c r="AJ458" s="2"/>
      <c r="AO458" s="7"/>
      <c r="AQ458" s="2"/>
    </row>
    <row r="459" spans="23:43" ht="15" customHeight="1">
      <c r="W459" s="7"/>
      <c r="X459" s="2"/>
      <c r="AC459" s="7"/>
      <c r="AD459" s="7"/>
      <c r="AE459" s="2"/>
      <c r="AF459" s="2"/>
      <c r="AH459" s="7"/>
      <c r="AJ459" s="2"/>
      <c r="AO459" s="7"/>
      <c r="AQ459" s="2"/>
    </row>
    <row r="460" spans="23:43" ht="15" customHeight="1">
      <c r="W460" s="7"/>
      <c r="X460" s="2"/>
      <c r="AC460" s="7"/>
      <c r="AD460" s="7"/>
      <c r="AE460" s="2"/>
      <c r="AF460" s="2"/>
      <c r="AH460" s="7"/>
      <c r="AJ460" s="2"/>
      <c r="AO460" s="7"/>
      <c r="AQ460" s="2"/>
    </row>
    <row r="461" spans="23:43" ht="15" customHeight="1">
      <c r="W461" s="7"/>
      <c r="X461" s="2"/>
      <c r="AC461" s="7"/>
      <c r="AD461" s="7"/>
      <c r="AE461" s="2"/>
      <c r="AF461" s="2"/>
      <c r="AH461" s="7"/>
      <c r="AJ461" s="2"/>
      <c r="AO461" s="7"/>
      <c r="AQ461" s="2"/>
    </row>
    <row r="462" spans="23:43" ht="15" customHeight="1">
      <c r="W462" s="7"/>
      <c r="X462" s="2"/>
      <c r="AC462" s="7"/>
      <c r="AD462" s="7"/>
      <c r="AE462" s="2"/>
      <c r="AF462" s="2"/>
      <c r="AH462" s="7"/>
      <c r="AJ462" s="2"/>
      <c r="AO462" s="7"/>
      <c r="AQ462" s="2"/>
    </row>
    <row r="463" spans="23:43" ht="15" customHeight="1">
      <c r="W463" s="7"/>
      <c r="X463" s="2"/>
      <c r="AC463" s="7"/>
      <c r="AD463" s="7"/>
      <c r="AE463" s="2"/>
      <c r="AF463" s="2"/>
      <c r="AH463" s="7"/>
      <c r="AJ463" s="2"/>
      <c r="AO463" s="7"/>
      <c r="AQ463" s="2"/>
    </row>
    <row r="464" spans="23:43" ht="15" customHeight="1">
      <c r="W464" s="7"/>
      <c r="X464" s="2"/>
      <c r="AC464" s="7"/>
      <c r="AD464" s="7"/>
      <c r="AE464" s="2"/>
      <c r="AF464" s="2"/>
      <c r="AH464" s="7"/>
      <c r="AJ464" s="2"/>
      <c r="AO464" s="7"/>
      <c r="AQ464" s="2"/>
    </row>
    <row r="465" spans="23:43" ht="15" customHeight="1">
      <c r="W465" s="7"/>
      <c r="X465" s="2"/>
      <c r="AC465" s="7"/>
      <c r="AD465" s="7"/>
      <c r="AE465" s="2"/>
      <c r="AF465" s="2"/>
      <c r="AH465" s="7"/>
      <c r="AJ465" s="2"/>
      <c r="AO465" s="7"/>
      <c r="AQ465" s="2"/>
    </row>
    <row r="466" spans="23:43" ht="15" customHeight="1">
      <c r="W466" s="7"/>
      <c r="X466" s="2"/>
      <c r="AC466" s="7"/>
      <c r="AD466" s="7"/>
      <c r="AE466" s="2"/>
      <c r="AF466" s="2"/>
      <c r="AH466" s="7"/>
      <c r="AJ466" s="2"/>
      <c r="AO466" s="7"/>
      <c r="AQ466" s="2"/>
    </row>
    <row r="467" spans="23:43" ht="15" customHeight="1">
      <c r="W467" s="7"/>
      <c r="X467" s="2"/>
      <c r="AC467" s="7"/>
      <c r="AD467" s="7"/>
      <c r="AE467" s="2"/>
      <c r="AF467" s="2"/>
      <c r="AH467" s="7"/>
      <c r="AJ467" s="2"/>
      <c r="AO467" s="7"/>
      <c r="AQ467" s="2"/>
    </row>
    <row r="468" spans="23:43" ht="15" customHeight="1">
      <c r="W468" s="7"/>
      <c r="X468" s="2"/>
      <c r="AC468" s="7"/>
      <c r="AD468" s="7"/>
      <c r="AE468" s="2"/>
      <c r="AF468" s="2"/>
      <c r="AH468" s="7"/>
      <c r="AJ468" s="2"/>
      <c r="AO468" s="7"/>
      <c r="AQ468" s="2"/>
    </row>
    <row r="469" spans="23:43" ht="15" customHeight="1">
      <c r="W469" s="7"/>
      <c r="X469" s="2"/>
      <c r="AC469" s="7"/>
      <c r="AD469" s="7"/>
      <c r="AE469" s="2"/>
      <c r="AF469" s="2"/>
      <c r="AH469" s="7"/>
      <c r="AJ469" s="2"/>
      <c r="AO469" s="7"/>
      <c r="AQ469" s="2"/>
    </row>
    <row r="470" spans="23:43" ht="15" customHeight="1">
      <c r="W470" s="7"/>
      <c r="X470" s="2"/>
      <c r="AC470" s="7"/>
      <c r="AD470" s="7"/>
      <c r="AE470" s="2"/>
      <c r="AF470" s="2"/>
      <c r="AH470" s="7"/>
      <c r="AJ470" s="2"/>
      <c r="AO470" s="7"/>
      <c r="AQ470" s="2"/>
    </row>
    <row r="471" spans="23:43" ht="15" customHeight="1">
      <c r="W471" s="7"/>
      <c r="X471" s="2"/>
      <c r="AC471" s="7"/>
      <c r="AD471" s="7"/>
      <c r="AE471" s="2"/>
      <c r="AF471" s="2"/>
      <c r="AH471" s="7"/>
      <c r="AJ471" s="2"/>
      <c r="AO471" s="7"/>
      <c r="AQ471" s="2"/>
    </row>
    <row r="472" spans="23:43" ht="15" customHeight="1">
      <c r="W472" s="7"/>
      <c r="X472" s="2"/>
      <c r="AC472" s="7"/>
      <c r="AD472" s="7"/>
      <c r="AE472" s="2"/>
      <c r="AF472" s="2"/>
      <c r="AH472" s="7"/>
      <c r="AJ472" s="2"/>
      <c r="AO472" s="7"/>
      <c r="AQ472" s="2"/>
    </row>
    <row r="473" spans="23:43" ht="15" customHeight="1">
      <c r="W473" s="7"/>
      <c r="X473" s="2"/>
      <c r="AC473" s="7"/>
      <c r="AD473" s="7"/>
      <c r="AE473" s="2"/>
      <c r="AF473" s="2"/>
      <c r="AH473" s="7"/>
      <c r="AJ473" s="2"/>
      <c r="AO473" s="7"/>
      <c r="AQ473" s="2"/>
    </row>
    <row r="474" spans="23:43" ht="15" customHeight="1">
      <c r="W474" s="7"/>
      <c r="X474" s="2"/>
      <c r="AC474" s="7"/>
      <c r="AD474" s="7"/>
      <c r="AE474" s="2"/>
      <c r="AF474" s="2"/>
      <c r="AH474" s="7"/>
      <c r="AJ474" s="2"/>
      <c r="AO474" s="7"/>
      <c r="AQ474" s="2"/>
    </row>
    <row r="475" spans="23:43" ht="15" customHeight="1">
      <c r="W475" s="7"/>
      <c r="X475" s="2"/>
      <c r="AC475" s="7"/>
      <c r="AD475" s="7"/>
      <c r="AE475" s="2"/>
      <c r="AF475" s="2"/>
      <c r="AH475" s="7"/>
      <c r="AJ475" s="2"/>
      <c r="AO475" s="7"/>
      <c r="AQ475" s="2"/>
    </row>
    <row r="476" spans="23:43" ht="15" customHeight="1">
      <c r="W476" s="7"/>
      <c r="X476" s="2"/>
      <c r="AC476" s="7"/>
      <c r="AD476" s="7"/>
      <c r="AE476" s="2"/>
      <c r="AF476" s="2"/>
      <c r="AH476" s="7"/>
      <c r="AJ476" s="2"/>
      <c r="AO476" s="7"/>
      <c r="AQ476" s="2"/>
    </row>
    <row r="477" spans="23:43" ht="15" customHeight="1">
      <c r="W477" s="7"/>
      <c r="X477" s="2"/>
      <c r="AC477" s="7"/>
      <c r="AD477" s="7"/>
      <c r="AE477" s="2"/>
      <c r="AF477" s="2"/>
      <c r="AH477" s="7"/>
      <c r="AJ477" s="2"/>
      <c r="AO477" s="7"/>
      <c r="AQ477" s="2"/>
    </row>
    <row r="478" spans="23:43" ht="15" customHeight="1">
      <c r="W478" s="7"/>
      <c r="X478" s="2"/>
      <c r="AC478" s="7"/>
      <c r="AD478" s="7"/>
      <c r="AE478" s="2"/>
      <c r="AF478" s="2"/>
      <c r="AH478" s="7"/>
      <c r="AJ478" s="2"/>
      <c r="AO478" s="7"/>
      <c r="AQ478" s="2"/>
    </row>
    <row r="479" spans="23:43" ht="15" customHeight="1">
      <c r="W479" s="7"/>
      <c r="X479" s="2"/>
      <c r="AC479" s="7"/>
      <c r="AD479" s="7"/>
      <c r="AE479" s="2"/>
      <c r="AF479" s="2"/>
      <c r="AH479" s="7"/>
      <c r="AJ479" s="2"/>
      <c r="AO479" s="7"/>
      <c r="AQ479" s="2"/>
    </row>
    <row r="480" spans="23:43" ht="15" customHeight="1">
      <c r="W480" s="7"/>
      <c r="X480" s="2"/>
      <c r="AC480" s="7"/>
      <c r="AD480" s="7"/>
      <c r="AE480" s="2"/>
      <c r="AF480" s="2"/>
      <c r="AH480" s="7"/>
      <c r="AJ480" s="2"/>
      <c r="AO480" s="7"/>
      <c r="AQ480" s="2"/>
    </row>
    <row r="481" spans="23:43" ht="15" customHeight="1">
      <c r="W481" s="7"/>
      <c r="X481" s="2"/>
      <c r="AC481" s="7"/>
      <c r="AD481" s="7"/>
      <c r="AE481" s="2"/>
      <c r="AF481" s="2"/>
      <c r="AH481" s="7"/>
      <c r="AJ481" s="2"/>
      <c r="AO481" s="7"/>
      <c r="AQ481" s="2"/>
    </row>
    <row r="482" spans="23:43" ht="15" customHeight="1">
      <c r="W482" s="7"/>
      <c r="X482" s="2"/>
      <c r="AC482" s="7"/>
      <c r="AD482" s="7"/>
      <c r="AE482" s="2"/>
      <c r="AF482" s="2"/>
      <c r="AH482" s="7"/>
      <c r="AJ482" s="2"/>
      <c r="AO482" s="7"/>
      <c r="AQ482" s="2"/>
    </row>
    <row r="483" spans="23:43" ht="15" customHeight="1">
      <c r="W483" s="7"/>
      <c r="X483" s="2"/>
      <c r="AC483" s="7"/>
      <c r="AD483" s="7"/>
      <c r="AE483" s="2"/>
      <c r="AF483" s="2"/>
      <c r="AH483" s="7"/>
      <c r="AJ483" s="2"/>
      <c r="AO483" s="7"/>
      <c r="AQ483" s="2"/>
    </row>
    <row r="484" spans="23:43" ht="15" customHeight="1">
      <c r="W484" s="7"/>
      <c r="X484" s="2"/>
      <c r="AC484" s="7"/>
      <c r="AD484" s="7"/>
      <c r="AE484" s="2"/>
      <c r="AF484" s="2"/>
      <c r="AH484" s="7"/>
      <c r="AJ484" s="2"/>
      <c r="AO484" s="7"/>
      <c r="AQ484" s="2"/>
    </row>
    <row r="485" spans="23:43" ht="15" customHeight="1">
      <c r="W485" s="7"/>
      <c r="X485" s="2"/>
      <c r="AC485" s="7"/>
      <c r="AD485" s="7"/>
      <c r="AE485" s="2"/>
      <c r="AF485" s="2"/>
      <c r="AH485" s="7"/>
      <c r="AJ485" s="2"/>
      <c r="AO485" s="7"/>
      <c r="AQ485" s="2"/>
    </row>
    <row r="486" spans="23:43" ht="15" customHeight="1">
      <c r="W486" s="7"/>
      <c r="X486" s="2"/>
      <c r="AC486" s="7"/>
      <c r="AD486" s="7"/>
      <c r="AE486" s="2"/>
      <c r="AF486" s="2"/>
      <c r="AH486" s="7"/>
      <c r="AJ486" s="2"/>
      <c r="AO486" s="7"/>
      <c r="AQ486" s="2"/>
    </row>
    <row r="487" spans="23:43" ht="15" customHeight="1">
      <c r="W487" s="7"/>
      <c r="X487" s="2"/>
      <c r="AC487" s="7"/>
      <c r="AD487" s="7"/>
      <c r="AE487" s="2"/>
      <c r="AF487" s="2"/>
      <c r="AH487" s="7"/>
      <c r="AJ487" s="2"/>
      <c r="AO487" s="7"/>
      <c r="AQ487" s="2"/>
    </row>
    <row r="488" spans="23:43" ht="15" customHeight="1">
      <c r="W488" s="7"/>
      <c r="X488" s="2"/>
      <c r="AC488" s="7"/>
      <c r="AD488" s="7"/>
      <c r="AE488" s="2"/>
      <c r="AF488" s="2"/>
      <c r="AH488" s="7"/>
      <c r="AJ488" s="2"/>
      <c r="AO488" s="7"/>
      <c r="AQ488" s="2"/>
    </row>
    <row r="489" spans="23:43" ht="15" customHeight="1">
      <c r="W489" s="7"/>
      <c r="X489" s="2"/>
      <c r="AC489" s="7"/>
      <c r="AD489" s="7"/>
      <c r="AE489" s="2"/>
      <c r="AF489" s="2"/>
      <c r="AH489" s="7"/>
      <c r="AJ489" s="2"/>
      <c r="AO489" s="7"/>
      <c r="AQ489" s="2"/>
    </row>
    <row r="490" spans="23:43" ht="15" customHeight="1">
      <c r="W490" s="7"/>
      <c r="X490" s="2"/>
      <c r="AC490" s="7"/>
      <c r="AD490" s="7"/>
      <c r="AE490" s="2"/>
      <c r="AF490" s="2"/>
      <c r="AH490" s="7"/>
      <c r="AJ490" s="2"/>
      <c r="AO490" s="7"/>
      <c r="AQ490" s="2"/>
    </row>
    <row r="491" spans="23:43" ht="15" customHeight="1">
      <c r="W491" s="7"/>
      <c r="X491" s="2"/>
      <c r="AC491" s="7"/>
      <c r="AD491" s="7"/>
      <c r="AE491" s="2"/>
      <c r="AF491" s="2"/>
      <c r="AH491" s="7"/>
      <c r="AJ491" s="2"/>
      <c r="AO491" s="7"/>
      <c r="AQ491" s="2"/>
    </row>
    <row r="492" spans="23:43" ht="15" customHeight="1">
      <c r="W492" s="7"/>
      <c r="X492" s="2"/>
      <c r="AC492" s="7"/>
      <c r="AD492" s="7"/>
      <c r="AE492" s="2"/>
      <c r="AF492" s="2"/>
      <c r="AH492" s="7"/>
      <c r="AJ492" s="2"/>
      <c r="AO492" s="7"/>
      <c r="AQ492" s="2"/>
    </row>
    <row r="493" spans="23:43" ht="15" customHeight="1">
      <c r="W493" s="7"/>
      <c r="X493" s="2"/>
      <c r="AC493" s="7"/>
      <c r="AD493" s="7"/>
      <c r="AE493" s="2"/>
      <c r="AF493" s="2"/>
      <c r="AH493" s="7"/>
      <c r="AJ493" s="2"/>
      <c r="AO493" s="7"/>
      <c r="AQ493" s="2"/>
    </row>
    <row r="494" spans="23:43" ht="15" customHeight="1">
      <c r="W494" s="7"/>
      <c r="X494" s="2"/>
      <c r="AC494" s="7"/>
      <c r="AD494" s="7"/>
      <c r="AE494" s="2"/>
      <c r="AF494" s="2"/>
      <c r="AH494" s="7"/>
      <c r="AJ494" s="2"/>
      <c r="AO494" s="7"/>
      <c r="AQ494" s="2"/>
    </row>
    <row r="495" spans="23:43" ht="15" customHeight="1">
      <c r="W495" s="7"/>
      <c r="X495" s="2"/>
      <c r="AC495" s="7"/>
      <c r="AD495" s="7"/>
      <c r="AE495" s="2"/>
      <c r="AF495" s="2"/>
      <c r="AH495" s="7"/>
      <c r="AJ495" s="2"/>
      <c r="AO495" s="7"/>
      <c r="AQ495" s="2"/>
    </row>
    <row r="496" spans="23:43" ht="15" customHeight="1">
      <c r="W496" s="7"/>
      <c r="X496" s="2"/>
      <c r="AC496" s="7"/>
      <c r="AD496" s="7"/>
      <c r="AE496" s="2"/>
      <c r="AF496" s="2"/>
      <c r="AH496" s="7"/>
      <c r="AJ496" s="2"/>
      <c r="AO496" s="7"/>
      <c r="AQ496" s="2"/>
    </row>
    <row r="497" spans="23:43" ht="15" customHeight="1">
      <c r="W497" s="7"/>
      <c r="X497" s="2"/>
      <c r="AC497" s="7"/>
      <c r="AD497" s="7"/>
      <c r="AE497" s="2"/>
      <c r="AF497" s="2"/>
      <c r="AH497" s="7"/>
      <c r="AJ497" s="2"/>
      <c r="AO497" s="7"/>
      <c r="AQ497" s="2"/>
    </row>
    <row r="498" spans="23:43" ht="15" customHeight="1">
      <c r="W498" s="7"/>
      <c r="X498" s="2"/>
      <c r="AC498" s="7"/>
      <c r="AD498" s="7"/>
      <c r="AE498" s="2"/>
      <c r="AF498" s="2"/>
      <c r="AH498" s="7"/>
      <c r="AJ498" s="2"/>
      <c r="AO498" s="7"/>
      <c r="AQ498" s="2"/>
    </row>
    <row r="499" spans="23:43" ht="15" customHeight="1">
      <c r="W499" s="7"/>
      <c r="X499" s="2"/>
      <c r="AC499" s="7"/>
      <c r="AD499" s="7"/>
      <c r="AE499" s="2"/>
      <c r="AF499" s="2"/>
      <c r="AH499" s="7"/>
      <c r="AJ499" s="2"/>
      <c r="AO499" s="7"/>
      <c r="AQ499" s="2"/>
    </row>
    <row r="500" spans="23:43" ht="15" customHeight="1">
      <c r="W500" s="7"/>
      <c r="X500" s="2"/>
      <c r="AC500" s="7"/>
      <c r="AD500" s="7"/>
      <c r="AE500" s="2"/>
      <c r="AF500" s="2"/>
      <c r="AH500" s="7"/>
      <c r="AJ500" s="2"/>
      <c r="AO500" s="7"/>
      <c r="AQ500" s="2"/>
    </row>
    <row r="501" spans="23:43" ht="15" customHeight="1">
      <c r="W501" s="7"/>
      <c r="X501" s="2"/>
      <c r="AC501" s="7"/>
      <c r="AD501" s="7"/>
      <c r="AE501" s="2"/>
      <c r="AF501" s="2"/>
      <c r="AH501" s="7"/>
      <c r="AJ501" s="2"/>
      <c r="AO501" s="7"/>
      <c r="AQ501" s="2"/>
    </row>
    <row r="502" spans="23:43" ht="15" customHeight="1">
      <c r="W502" s="7"/>
      <c r="X502" s="2"/>
      <c r="AC502" s="7"/>
      <c r="AD502" s="7"/>
      <c r="AE502" s="2"/>
      <c r="AF502" s="2"/>
      <c r="AH502" s="7"/>
      <c r="AJ502" s="2"/>
      <c r="AO502" s="7"/>
      <c r="AQ502" s="2"/>
    </row>
    <row r="503" spans="23:43" ht="15" customHeight="1">
      <c r="W503" s="7"/>
      <c r="X503" s="2"/>
      <c r="AC503" s="7"/>
      <c r="AD503" s="7"/>
      <c r="AE503" s="2"/>
      <c r="AF503" s="2"/>
      <c r="AH503" s="7"/>
      <c r="AJ503" s="2"/>
      <c r="AO503" s="7"/>
      <c r="AQ503" s="2"/>
    </row>
    <row r="504" spans="23:43" ht="15" customHeight="1">
      <c r="W504" s="7"/>
      <c r="X504" s="2"/>
      <c r="AC504" s="7"/>
      <c r="AD504" s="7"/>
      <c r="AE504" s="2"/>
      <c r="AF504" s="2"/>
      <c r="AH504" s="7"/>
      <c r="AJ504" s="2"/>
      <c r="AO504" s="7"/>
      <c r="AQ504" s="2"/>
    </row>
    <row r="505" spans="23:43" ht="15" customHeight="1">
      <c r="W505" s="7"/>
      <c r="X505" s="2"/>
      <c r="AC505" s="7"/>
      <c r="AD505" s="7"/>
      <c r="AE505" s="2"/>
      <c r="AF505" s="2"/>
      <c r="AH505" s="7"/>
      <c r="AJ505" s="2"/>
      <c r="AO505" s="7"/>
      <c r="AQ505" s="2"/>
    </row>
    <row r="506" spans="23:43" ht="15" customHeight="1">
      <c r="W506" s="7"/>
      <c r="X506" s="2"/>
      <c r="AC506" s="7"/>
      <c r="AD506" s="7"/>
      <c r="AE506" s="2"/>
      <c r="AF506" s="2"/>
      <c r="AH506" s="7"/>
      <c r="AJ506" s="2"/>
      <c r="AO506" s="7"/>
      <c r="AQ506" s="2"/>
    </row>
    <row r="507" spans="23:43" ht="15" customHeight="1">
      <c r="W507" s="7"/>
      <c r="X507" s="2"/>
      <c r="AC507" s="7"/>
      <c r="AD507" s="7"/>
      <c r="AE507" s="2"/>
      <c r="AF507" s="2"/>
      <c r="AH507" s="7"/>
      <c r="AJ507" s="2"/>
      <c r="AO507" s="7"/>
      <c r="AQ507" s="2"/>
    </row>
    <row r="508" spans="23:43" ht="15" customHeight="1">
      <c r="W508" s="7"/>
      <c r="X508" s="2"/>
      <c r="AC508" s="7"/>
      <c r="AD508" s="7"/>
      <c r="AE508" s="2"/>
      <c r="AF508" s="2"/>
      <c r="AH508" s="7"/>
      <c r="AJ508" s="2"/>
      <c r="AO508" s="7"/>
      <c r="AQ508" s="2"/>
    </row>
    <row r="509" spans="23:43" ht="15" customHeight="1">
      <c r="W509" s="7"/>
      <c r="X509" s="2"/>
      <c r="AC509" s="7"/>
      <c r="AD509" s="7"/>
      <c r="AE509" s="2"/>
      <c r="AF509" s="2"/>
      <c r="AH509" s="7"/>
      <c r="AJ509" s="2"/>
      <c r="AO509" s="7"/>
      <c r="AQ509" s="2"/>
    </row>
    <row r="510" spans="23:43" ht="15" customHeight="1">
      <c r="W510" s="7"/>
      <c r="X510" s="2"/>
      <c r="AC510" s="7"/>
      <c r="AD510" s="7"/>
      <c r="AE510" s="2"/>
      <c r="AF510" s="2"/>
      <c r="AH510" s="7"/>
      <c r="AJ510" s="2"/>
      <c r="AO510" s="7"/>
      <c r="AQ510" s="2"/>
    </row>
    <row r="511" spans="23:43" ht="15" customHeight="1">
      <c r="W511" s="7"/>
      <c r="X511" s="2"/>
      <c r="AC511" s="7"/>
      <c r="AD511" s="7"/>
      <c r="AE511" s="2"/>
      <c r="AF511" s="2"/>
      <c r="AH511" s="7"/>
      <c r="AJ511" s="2"/>
      <c r="AO511" s="7"/>
      <c r="AQ511" s="2"/>
    </row>
    <row r="512" spans="23:43" ht="15" customHeight="1">
      <c r="W512" s="7"/>
      <c r="X512" s="2"/>
      <c r="AC512" s="7"/>
      <c r="AD512" s="7"/>
      <c r="AE512" s="2"/>
      <c r="AF512" s="2"/>
      <c r="AH512" s="7"/>
      <c r="AJ512" s="2"/>
      <c r="AO512" s="7"/>
      <c r="AQ512" s="2"/>
    </row>
    <row r="513" spans="23:43" ht="15" customHeight="1">
      <c r="W513" s="7"/>
      <c r="X513" s="2"/>
      <c r="AC513" s="7"/>
      <c r="AD513" s="7"/>
      <c r="AE513" s="2"/>
      <c r="AF513" s="2"/>
      <c r="AH513" s="7"/>
      <c r="AJ513" s="2"/>
      <c r="AO513" s="7"/>
      <c r="AQ513" s="2"/>
    </row>
    <row r="514" spans="23:43" ht="15" customHeight="1">
      <c r="W514" s="7"/>
      <c r="X514" s="2"/>
      <c r="AC514" s="7"/>
      <c r="AD514" s="7"/>
      <c r="AE514" s="2"/>
      <c r="AF514" s="2"/>
      <c r="AH514" s="7"/>
      <c r="AJ514" s="2"/>
      <c r="AO514" s="7"/>
      <c r="AQ514" s="2"/>
    </row>
    <row r="515" spans="23:43" ht="15" customHeight="1">
      <c r="W515" s="7"/>
      <c r="X515" s="2"/>
      <c r="AC515" s="7"/>
      <c r="AD515" s="7"/>
      <c r="AE515" s="2"/>
      <c r="AF515" s="2"/>
      <c r="AH515" s="7"/>
      <c r="AJ515" s="2"/>
      <c r="AO515" s="7"/>
      <c r="AQ515" s="2"/>
    </row>
    <row r="516" spans="23:43" ht="15" customHeight="1">
      <c r="W516" s="7"/>
      <c r="X516" s="2"/>
      <c r="AC516" s="7"/>
      <c r="AD516" s="7"/>
      <c r="AE516" s="2"/>
      <c r="AF516" s="2"/>
      <c r="AH516" s="7"/>
      <c r="AJ516" s="2"/>
      <c r="AO516" s="7"/>
      <c r="AQ516" s="2"/>
    </row>
    <row r="517" spans="23:43" ht="15" customHeight="1">
      <c r="W517" s="7"/>
      <c r="X517" s="2"/>
      <c r="AC517" s="7"/>
      <c r="AD517" s="7"/>
      <c r="AE517" s="2"/>
      <c r="AF517" s="2"/>
      <c r="AH517" s="7"/>
      <c r="AJ517" s="2"/>
      <c r="AO517" s="7"/>
      <c r="AQ517" s="2"/>
    </row>
    <row r="518" spans="23:43" ht="15" customHeight="1">
      <c r="W518" s="7"/>
      <c r="X518" s="2"/>
      <c r="AC518" s="7"/>
      <c r="AD518" s="7"/>
      <c r="AE518" s="2"/>
      <c r="AF518" s="2"/>
      <c r="AH518" s="7"/>
      <c r="AJ518" s="2"/>
      <c r="AO518" s="7"/>
      <c r="AQ518" s="2"/>
    </row>
    <row r="519" spans="23:43" ht="15" customHeight="1">
      <c r="W519" s="7"/>
      <c r="X519" s="2"/>
      <c r="AC519" s="7"/>
      <c r="AD519" s="7"/>
      <c r="AE519" s="2"/>
      <c r="AF519" s="2"/>
      <c r="AH519" s="7"/>
      <c r="AJ519" s="2"/>
      <c r="AO519" s="7"/>
      <c r="AQ519" s="2"/>
    </row>
    <row r="520" spans="23:43" ht="15" customHeight="1">
      <c r="W520" s="7"/>
      <c r="X520" s="2"/>
      <c r="AC520" s="7"/>
      <c r="AD520" s="7"/>
      <c r="AE520" s="2"/>
      <c r="AF520" s="2"/>
      <c r="AH520" s="7"/>
      <c r="AJ520" s="2"/>
      <c r="AO520" s="7"/>
      <c r="AQ520" s="2"/>
    </row>
    <row r="521" spans="23:43" ht="15" customHeight="1">
      <c r="W521" s="7"/>
      <c r="X521" s="2"/>
      <c r="AC521" s="7"/>
      <c r="AD521" s="7"/>
      <c r="AE521" s="2"/>
      <c r="AF521" s="2"/>
      <c r="AH521" s="7"/>
      <c r="AJ521" s="2"/>
      <c r="AO521" s="7"/>
      <c r="AQ521" s="2"/>
    </row>
    <row r="522" spans="23:43" ht="15" customHeight="1">
      <c r="W522" s="7"/>
      <c r="X522" s="2"/>
      <c r="AC522" s="7"/>
      <c r="AD522" s="7"/>
      <c r="AE522" s="2"/>
      <c r="AF522" s="2"/>
      <c r="AH522" s="7"/>
      <c r="AJ522" s="2"/>
      <c r="AO522" s="7"/>
      <c r="AQ522" s="2"/>
    </row>
    <row r="523" spans="23:43" ht="15" customHeight="1">
      <c r="W523" s="7"/>
      <c r="X523" s="2"/>
      <c r="AC523" s="7"/>
      <c r="AD523" s="7"/>
      <c r="AE523" s="2"/>
      <c r="AF523" s="2"/>
      <c r="AH523" s="7"/>
      <c r="AJ523" s="2"/>
      <c r="AO523" s="7"/>
      <c r="AQ523" s="2"/>
    </row>
    <row r="524" spans="23:43" ht="15" customHeight="1">
      <c r="W524" s="7"/>
      <c r="X524" s="2"/>
      <c r="AC524" s="7"/>
      <c r="AD524" s="7"/>
      <c r="AE524" s="2"/>
      <c r="AF524" s="2"/>
      <c r="AH524" s="7"/>
      <c r="AJ524" s="2"/>
      <c r="AO524" s="7"/>
      <c r="AQ524" s="2"/>
    </row>
    <row r="525" spans="23:43" ht="15" customHeight="1">
      <c r="W525" s="7"/>
      <c r="X525" s="2"/>
      <c r="AC525" s="7"/>
      <c r="AD525" s="7"/>
      <c r="AE525" s="2"/>
      <c r="AF525" s="2"/>
      <c r="AH525" s="7"/>
      <c r="AJ525" s="2"/>
      <c r="AO525" s="7"/>
      <c r="AQ525" s="2"/>
    </row>
    <row r="526" spans="23:43" ht="15" customHeight="1">
      <c r="W526" s="7"/>
      <c r="X526" s="2"/>
      <c r="AC526" s="7"/>
      <c r="AD526" s="7"/>
      <c r="AE526" s="2"/>
      <c r="AF526" s="2"/>
      <c r="AH526" s="7"/>
      <c r="AJ526" s="2"/>
      <c r="AO526" s="7"/>
      <c r="AQ526" s="2"/>
    </row>
  </sheetData>
  <autoFilter ref="A5:AT5" xr:uid="{EF6D707C-BDD5-416B-AAF3-2924671B11B3}">
    <sortState xmlns:xlrd2="http://schemas.microsoft.com/office/spreadsheetml/2017/richdata2" ref="A6:AT6">
      <sortCondition ref="C5"/>
    </sortState>
  </autoFilter>
  <mergeCells count="8">
    <mergeCell ref="AS3:AT3"/>
    <mergeCell ref="AH3:AN3"/>
    <mergeCell ref="AO3:AR3"/>
    <mergeCell ref="A4:D4"/>
    <mergeCell ref="E4:M4"/>
    <mergeCell ref="P3:U3"/>
    <mergeCell ref="W3:AA3"/>
    <mergeCell ref="AD3:AG3"/>
  </mergeCells>
  <hyperlinks>
    <hyperlink ref="H7" r:id="rId1" xr:uid="{1E0B62B8-DD8E-4896-80AD-ECEE97506E0D}"/>
    <hyperlink ref="H6" r:id="rId2" xr:uid="{6455709C-0DED-4020-864B-EE277740E288}"/>
    <hyperlink ref="H8" r:id="rId3" xr:uid="{608B2792-C664-4C22-81D0-CA13EC21B56F}"/>
    <hyperlink ref="H9" r:id="rId4" xr:uid="{7F9F235A-4069-4F48-B8BD-94B1B11DA806}"/>
    <hyperlink ref="H10" r:id="rId5" xr:uid="{E2D5B8E1-361E-4593-BF45-0B6613D28404}"/>
    <hyperlink ref="H11" r:id="rId6" xr:uid="{CB3A98A3-52AE-4B1A-BF22-6783DF735EF9}"/>
    <hyperlink ref="H12" r:id="rId7" xr:uid="{F09360A0-82B8-400C-B8DE-C67F75B1D323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Alice Devulder</cp:lastModifiedBy>
  <cp:revision/>
  <dcterms:created xsi:type="dcterms:W3CDTF">2022-11-16T23:06:46Z</dcterms:created>
  <dcterms:modified xsi:type="dcterms:W3CDTF">2026-03-24T15:05:26Z</dcterms:modified>
  <cp:category/>
  <cp:contentStatus/>
</cp:coreProperties>
</file>