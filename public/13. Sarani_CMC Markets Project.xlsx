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190" documentId="11_9248CACD84F5E813E97046798E3E8C1851038385" xr6:coauthVersionLast="47" xr6:coauthVersionMax="47" xr10:uidLastSave="{3FD681B9-9F27-4667-831E-1E315FA944DA}"/>
  <bookViews>
    <workbookView xWindow="240" yWindow="105" windowWidth="14805" windowHeight="8010" firstSheet="1" activeTab="1" xr2:uid="{00000000-000D-0000-FFFF-FFFF00000000}"/>
  </bookViews>
  <sheets>
    <sheet name="Overview" sheetId="2" state="hidden" r:id="rId1"/>
    <sheet name="CMC Marke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11" i="2" s="1"/>
  <c r="C10" i="2"/>
  <c r="C11" i="2" s="1"/>
  <c r="D10" i="2"/>
  <c r="D11" i="2" s="1"/>
  <c r="E10" i="2"/>
  <c r="E11" i="2" s="1"/>
  <c r="F10" i="2"/>
  <c r="F11" i="2" s="1"/>
  <c r="G10" i="2"/>
  <c r="G11" i="2" s="1"/>
  <c r="H10" i="2"/>
  <c r="H11" i="2" s="1"/>
  <c r="I10" i="2"/>
  <c r="I11" i="2" s="1"/>
  <c r="J10" i="2"/>
  <c r="J11" i="2" s="1"/>
  <c r="K10" i="2"/>
  <c r="K11" i="2" s="1"/>
  <c r="L10" i="2"/>
  <c r="L11" i="2" s="1"/>
  <c r="M10" i="2"/>
  <c r="M11" i="2" s="1"/>
  <c r="N10" i="2"/>
  <c r="N11" i="2" s="1"/>
  <c r="O10" i="2"/>
  <c r="O11" i="2" s="1"/>
  <c r="P10" i="2"/>
  <c r="P11" i="2" s="1"/>
  <c r="Q10" i="2"/>
  <c r="Q11" i="2" s="1"/>
  <c r="R10" i="2"/>
  <c r="R11" i="2" s="1"/>
  <c r="S10" i="2"/>
  <c r="S11" i="2" s="1"/>
  <c r="T10" i="2"/>
  <c r="T11" i="2" s="1"/>
  <c r="U10" i="2"/>
  <c r="U11" i="2" s="1"/>
  <c r="B5" i="2"/>
  <c r="B6" i="2" s="1"/>
  <c r="C5" i="2"/>
  <c r="C6" i="2" s="1"/>
  <c r="D5" i="2"/>
  <c r="D6" i="2" s="1"/>
  <c r="E5" i="2"/>
  <c r="E6" i="2" s="1"/>
  <c r="F5" i="2"/>
  <c r="F6" i="2" s="1"/>
  <c r="G5" i="2"/>
  <c r="G6" i="2" s="1"/>
  <c r="H5" i="2"/>
  <c r="H6" i="2" s="1"/>
  <c r="I5" i="2"/>
  <c r="I6" i="2" s="1"/>
  <c r="J5" i="2"/>
  <c r="J6" i="2" s="1"/>
  <c r="K5" i="2"/>
  <c r="K6" i="2" s="1"/>
  <c r="L5" i="2"/>
  <c r="L6" i="2" s="1"/>
  <c r="M5" i="2"/>
  <c r="M6" i="2" s="1"/>
  <c r="N5" i="2"/>
  <c r="N6" i="2" s="1"/>
  <c r="O5" i="2"/>
  <c r="O6" i="2" s="1"/>
  <c r="S5" i="2"/>
  <c r="S6" i="2" s="1"/>
  <c r="T5" i="2"/>
  <c r="T6" i="2" s="1"/>
  <c r="U5" i="2"/>
  <c r="U6" i="2" s="1"/>
  <c r="I9" i="1"/>
  <c r="I10" i="1"/>
  <c r="I7" i="1"/>
  <c r="H9" i="1"/>
  <c r="H7" i="1"/>
  <c r="I6" i="1"/>
  <c r="P5" i="2" s="1"/>
  <c r="P6" i="2" s="1"/>
  <c r="H6" i="1"/>
  <c r="I5" i="1"/>
  <c r="H5" i="1"/>
  <c r="I4" i="1"/>
  <c r="Q5" i="2" s="1"/>
  <c r="Q6" i="2" s="1"/>
  <c r="H4" i="1"/>
  <c r="R5" i="2" l="1"/>
  <c r="R6" i="2" s="1"/>
  <c r="F14" i="2" s="1"/>
  <c r="E14" i="2"/>
  <c r="D14" i="2"/>
  <c r="C14" i="2"/>
  <c r="B14" i="2"/>
  <c r="F15" i="2"/>
  <c r="E15" i="2"/>
  <c r="D15" i="2"/>
  <c r="C15" i="2"/>
  <c r="B15" i="2"/>
  <c r="B16" i="2" l="1"/>
  <c r="C16" i="2"/>
  <c r="D16" i="2"/>
  <c r="E16" i="2"/>
  <c r="F16" i="2"/>
</calcChain>
</file>

<file path=xl/sharedStrings.xml><?xml version="1.0" encoding="utf-8"?>
<sst xmlns="http://schemas.openxmlformats.org/spreadsheetml/2006/main" count="151" uniqueCount="87">
  <si>
    <t>Performance Dashboard — CMC Markets</t>
  </si>
  <si>
    <t>REVENUS (€)</t>
  </si>
  <si>
    <t>Q1</t>
  </si>
  <si>
    <t>Q2</t>
  </si>
  <si>
    <t>Q3</t>
  </si>
  <si>
    <t>Q4</t>
  </si>
  <si>
    <t>CMC Markets</t>
  </si>
  <si>
    <t>TOTAL</t>
  </si>
  <si>
    <t>NOMBRE DE PROJETS</t>
  </si>
  <si>
    <t>Feuil1</t>
  </si>
  <si>
    <t>SYNTHÈSE ANNUELLE</t>
  </si>
  <si>
    <t>Revenus (€)</t>
  </si>
  <si>
    <t>Projets</t>
  </si>
  <si>
    <t>Rev. / Projet (€)</t>
  </si>
  <si>
    <t>Video</t>
  </si>
  <si>
    <t>Online</t>
  </si>
  <si>
    <t>Offline</t>
  </si>
  <si>
    <t>Presentations</t>
  </si>
  <si>
    <t>Web</t>
  </si>
  <si>
    <t>Customer</t>
  </si>
  <si>
    <t>Date</t>
  </si>
  <si>
    <t>Project</t>
  </si>
  <si>
    <t>Contact</t>
  </si>
  <si>
    <t>Status</t>
  </si>
  <si>
    <t>Category</t>
  </si>
  <si>
    <t>Link</t>
  </si>
  <si>
    <t>Assets</t>
  </si>
  <si>
    <t>Total Value</t>
  </si>
  <si>
    <t>Quote</t>
  </si>
  <si>
    <t>PO</t>
  </si>
  <si>
    <t>Invoice</t>
  </si>
  <si>
    <t>N° invoice</t>
  </si>
  <si>
    <t>Status inv.</t>
  </si>
  <si>
    <t>Echéance</t>
  </si>
  <si>
    <t>Commentaire</t>
  </si>
  <si>
    <t>Video Creation (Up to 30 secs)</t>
  </si>
  <si>
    <t xml:space="preserve">Video Creation (Up to 30 secs) </t>
  </si>
  <si>
    <t xml:space="preserve">Video Version (Up to 30 secs) </t>
  </si>
  <si>
    <t xml:space="preserve">Video Adaptation (Up to 30 secs) </t>
  </si>
  <si>
    <t xml:space="preserve">Video Animation (per min) </t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</si>
  <si>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</si>
  <si>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</si>
  <si>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</si>
  <si>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</si>
  <si>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t>Branding pack</t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</si>
  <si>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</si>
  <si>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</si>
  <si>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</si>
  <si>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</si>
  <si>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</si>
  <si>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</si>
  <si>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</si>
  <si>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t>Roll-up / Wall creation</t>
  </si>
  <si>
    <t>Chart</t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</si>
  <si>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</si>
  <si>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t>Slide</t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</si>
  <si>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</si>
  <si>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</si>
  <si>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</si>
  <si>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</si>
  <si>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t>Spectre 15 Secs Video</t>
  </si>
  <si>
    <t>Felix</t>
  </si>
  <si>
    <t>Delivered</t>
  </si>
  <si>
    <t>UK</t>
  </si>
  <si>
    <t>20251020_CMC Spectre 15 sec Videos</t>
  </si>
  <si>
    <t>-</t>
  </si>
  <si>
    <t>Sent</t>
  </si>
  <si>
    <t>F2026-0012</t>
  </si>
  <si>
    <t>Waiting payment</t>
  </si>
  <si>
    <t>Performance Ads Campaign</t>
  </si>
  <si>
    <t>A.Catrini@cmcmarkets.com</t>
  </si>
  <si>
    <t>https://saranistudio.sharepoint.com/:f:/s/SaraniAssets/EgndaG9K7UhLsKSyG_JRpD8BjcGM-Ou-doDKO96fc73YOQ?e=6usxdm</t>
  </si>
  <si>
    <t>https://saranistudio.sharepoint.com/:b:/s/SaraniAssets/IQCLl4WYglikR5FTKvVl_xQ-AZCiiCEe5Pl9BioNk9h2abI?e=w1YHoy</t>
  </si>
  <si>
    <t>F2026-0118</t>
  </si>
  <si>
    <t xml:space="preserve">Waiting payment </t>
  </si>
  <si>
    <t>Sent via Whatsapp</t>
  </si>
  <si>
    <t>F2025-0627</t>
  </si>
  <si>
    <t>Payée le 04/11/2025</t>
  </si>
  <si>
    <t>Map Video Ads</t>
  </si>
  <si>
    <t>https://saranistudio.sharepoint.com/:f:/s/SaraniAssets/IgAchiGm95cqTLZM5iG3JBibAfBbpsw42nQw_zNR6xqxYhE?e=B4a3gw</t>
  </si>
  <si>
    <t>CMC Markets UK Homepage Redesign</t>
  </si>
  <si>
    <t>In Progress</t>
  </si>
  <si>
    <t>https://saranistudio.sharepoint.com/:f:/s/SaraniAssets/IgAG2sbi3pBFSriPxrnwdaVVAZSbgoDXk4mbgChNhsNTEaM?e=IEzQlA</t>
  </si>
  <si>
    <t xml:space="preserve">Norwegian Localisation </t>
  </si>
  <si>
    <t>Andrea Catrini</t>
  </si>
  <si>
    <t>https://saranistudio.sharepoint.com/:f:/s/SaraniAssets/IgDferjIRvV5TqF9OFXi-KqTAewYbSBnF04HNskKr56BrxQ?e=7FqEU0</t>
  </si>
  <si>
    <t xml:space="preserve">UGC Video 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</si>
</sst>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;@"/>
    <numFmt numFmtId="165" formatCode="_([$€-2]\ * #,##0.00_);_([$€-2]\ * \(#,##0.00\);_([$€-2]\ * &quot;-&quot;??_);_(@_)"/>
    <numFmt numFmtId="166" formatCode="[$-409]d\-mmm\-yy;@"/>
    <numFmt numFmtId="167" formatCode="#,##0\ \€;\(#,##0\)\ \€;&quot;-&quot;"/>
    <numFmt numFmtId="168" formatCode="#,##0;\(#,##0\);&quot;-&quot;"/>
  </numFmts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FFFF"/>
      <name val="Calibri"/>
    </font>
    <font>
      <sz val="10"/>
      <color rgb="FFCBD5E1"/>
      <name val="Calibri"/>
    </font>
    <font>
      <b/>
      <sz val="10"/>
      <color rgb="FFF1F5F9"/>
      <name val="Calibri"/>
    </font>
    <font>
      <b/>
      <sz val="14"/>
      <color rgb="FFF1F5F9"/>
      <name val="Calibri"/>
    </font>
    <font>
      <sz val="8"/>
      <color rgb="FF64748B"/>
      <name val="Calibri"/>
    </font>
    <font>
      <sz val="10"/>
      <color rgb="FF94A3B8"/>
      <name val="Calibri"/>
    </font>
    <font>
      <b/>
      <sz val="10"/>
      <color rgb="FF10B981"/>
      <name val="Calibri"/>
    </font>
    <font>
      <b/>
      <sz val="10"/>
      <color rgb="FF3B82F6"/>
      <name val="Calibri"/>
    </font>
    <font>
      <b/>
      <sz val="10"/>
      <color rgb="FF121212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/>
      <top/>
      <bottom style="thin">
        <color rgb="FF3B82F6"/>
      </bottom>
      <diagonal/>
    </border>
    <border>
      <left/>
      <right/>
      <top style="thin">
        <color rgb="FF3B82F6"/>
      </top>
      <bottom/>
      <diagonal/>
    </border>
    <border>
      <left/>
      <right/>
      <top style="thin">
        <color rgb="FF10B98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/>
    </xf>
    <xf numFmtId="165" fontId="7" fillId="5" borderId="5" xfId="0" applyNumberFormat="1" applyFont="1" applyFill="1" applyBorder="1" applyAlignment="1">
      <alignment horizontal="left"/>
    </xf>
    <xf numFmtId="14" fontId="7" fillId="5" borderId="5" xfId="0" applyNumberFormat="1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166" fontId="7" fillId="5" borderId="5" xfId="0" applyNumberFormat="1" applyFont="1" applyFill="1" applyBorder="1" applyAlignment="1">
      <alignment horizontal="left"/>
    </xf>
    <xf numFmtId="0" fontId="7" fillId="5" borderId="6" xfId="0" applyFont="1" applyFill="1" applyBorder="1" applyAlignment="1">
      <alignment horizontal="left" wrapText="1"/>
    </xf>
    <xf numFmtId="0" fontId="0" fillId="0" borderId="5" xfId="0" applyBorder="1" applyAlignment="1">
      <alignment horizontal="left"/>
    </xf>
    <xf numFmtId="0" fontId="2" fillId="6" borderId="5" xfId="0" applyFont="1" applyFill="1" applyBorder="1" applyAlignment="1">
      <alignment horizontal="center" vertical="center"/>
    </xf>
    <xf numFmtId="165" fontId="0" fillId="7" borderId="5" xfId="0" applyNumberFormat="1" applyFill="1" applyBorder="1" applyAlignment="1">
      <alignment horizontal="left"/>
    </xf>
    <xf numFmtId="14" fontId="0" fillId="7" borderId="5" xfId="0" applyNumberFormat="1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166" fontId="0" fillId="0" borderId="5" xfId="0" applyNumberForma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6" borderId="5" xfId="0" applyFill="1" applyBorder="1" applyAlignment="1">
      <alignment horizontal="left"/>
    </xf>
    <xf numFmtId="166" fontId="0" fillId="7" borderId="5" xfId="0" applyNumberFormat="1" applyFill="1" applyBorder="1" applyAlignment="1">
      <alignment horizontal="left"/>
    </xf>
    <xf numFmtId="0" fontId="0" fillId="7" borderId="6" xfId="0" applyFill="1" applyBorder="1" applyAlignment="1">
      <alignment horizontal="left" wrapText="1"/>
    </xf>
    <xf numFmtId="0" fontId="2" fillId="0" borderId="0" xfId="0" applyFont="1"/>
    <xf numFmtId="0" fontId="2" fillId="6" borderId="4" xfId="0" applyFont="1" applyFill="1" applyBorder="1" applyAlignment="1">
      <alignment horizontal="left"/>
    </xf>
    <xf numFmtId="164" fontId="2" fillId="6" borderId="5" xfId="0" applyNumberFormat="1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1" fillId="6" borderId="5" xfId="1" applyFill="1" applyBorder="1" applyAlignment="1">
      <alignment horizontal="left"/>
    </xf>
    <xf numFmtId="0" fontId="2" fillId="6" borderId="0" xfId="0" applyFont="1" applyFill="1"/>
    <xf numFmtId="0" fontId="1" fillId="6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5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" xfId="0" applyBorder="1"/>
    <xf numFmtId="165" fontId="0" fillId="7" borderId="9" xfId="0" applyNumberFormat="1" applyFill="1" applyBorder="1" applyAlignment="1">
      <alignment horizontal="left"/>
    </xf>
    <xf numFmtId="14" fontId="0" fillId="7" borderId="9" xfId="0" applyNumberFormat="1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165" fontId="0" fillId="0" borderId="11" xfId="0" applyNumberFormat="1" applyBorder="1" applyAlignment="1">
      <alignment horizontal="left"/>
    </xf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6" borderId="7" xfId="0" applyFont="1" applyFill="1" applyBorder="1"/>
    <xf numFmtId="0" fontId="2" fillId="0" borderId="5" xfId="0" applyFont="1" applyBorder="1"/>
    <xf numFmtId="0" fontId="1" fillId="0" borderId="5" xfId="1" applyFill="1" applyBorder="1"/>
    <xf numFmtId="0" fontId="0" fillId="0" borderId="12" xfId="0" applyBorder="1"/>
    <xf numFmtId="165" fontId="0" fillId="0" borderId="13" xfId="0" applyNumberForma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1" fillId="0" borderId="0" xfId="1" applyFill="1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5" xfId="0" applyBorder="1"/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165" fontId="0" fillId="0" borderId="0" xfId="0" applyNumberFormat="1"/>
    <xf numFmtId="0" fontId="9" fillId="9" borderId="0" xfId="0" applyFont="1" applyFill="1" applyAlignment="1">
      <alignment horizontal="center" vertical="center"/>
    </xf>
    <xf numFmtId="165" fontId="9" fillId="9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10" fillId="10" borderId="17" xfId="0" applyFont="1" applyFill="1" applyBorder="1" applyAlignment="1">
      <alignment horizontal="left" vertical="center"/>
    </xf>
    <xf numFmtId="0" fontId="12" fillId="8" borderId="18" xfId="0" applyFont="1" applyFill="1" applyBorder="1" applyAlignment="1">
      <alignment horizontal="center" vertical="center"/>
    </xf>
    <xf numFmtId="165" fontId="13" fillId="11" borderId="0" xfId="0" applyNumberFormat="1" applyFont="1" applyFill="1" applyAlignment="1">
      <alignment horizontal="left" vertical="center"/>
    </xf>
    <xf numFmtId="165" fontId="14" fillId="9" borderId="19" xfId="0" applyNumberFormat="1" applyFont="1" applyFill="1" applyBorder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4" fillId="9" borderId="19" xfId="0" applyFont="1" applyFill="1" applyBorder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165" fontId="15" fillId="11" borderId="0" xfId="0" applyNumberFormat="1" applyFont="1" applyFill="1" applyAlignment="1">
      <alignment horizontal="left" vertical="center"/>
    </xf>
    <xf numFmtId="167" fontId="9" fillId="11" borderId="0" xfId="0" applyNumberFormat="1" applyFont="1" applyFill="1" applyAlignment="1">
      <alignment horizontal="center" vertical="center"/>
    </xf>
    <xf numFmtId="167" fontId="14" fillId="9" borderId="19" xfId="0" applyNumberFormat="1" applyFont="1" applyFill="1" applyBorder="1" applyAlignment="1">
      <alignment horizontal="center" vertical="center"/>
    </xf>
    <xf numFmtId="168" fontId="9" fillId="11" borderId="0" xfId="0" applyNumberFormat="1" applyFont="1" applyFill="1" applyAlignment="1">
      <alignment horizontal="center" vertical="center"/>
    </xf>
    <xf numFmtId="168" fontId="14" fillId="9" borderId="19" xfId="0" applyNumberFormat="1" applyFont="1" applyFill="1" applyBorder="1" applyAlignment="1">
      <alignment horizontal="center" vertical="center"/>
    </xf>
    <xf numFmtId="168" fontId="9" fillId="12" borderId="0" xfId="0" applyNumberFormat="1" applyFont="1" applyFill="1" applyAlignment="1">
      <alignment horizontal="center" vertical="center"/>
    </xf>
    <xf numFmtId="167" fontId="15" fillId="11" borderId="0" xfId="0" applyNumberFormat="1" applyFont="1" applyFill="1" applyAlignment="1">
      <alignment horizontal="center" vertical="center"/>
    </xf>
    <xf numFmtId="1" fontId="10" fillId="10" borderId="17" xfId="0" applyNumberFormat="1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165" fontId="15" fillId="9" borderId="0" xfId="0" applyNumberFormat="1" applyFont="1" applyFill="1" applyAlignment="1">
      <alignment horizontal="center" vertical="center"/>
    </xf>
    <xf numFmtId="1" fontId="10" fillId="10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DFAACA-4441-4879-BE28-1B96C96743AA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nistudio.sharepoint.com/:f:/s/SaraniAssets/IgAG2sbi3pBFSriPxrnwdaVVAZSbgoDXk4mbgChNhsNTEaM?e=IEzQlA" TargetMode="External"/><Relationship Id="rId3" Type="http://schemas.openxmlformats.org/officeDocument/2006/relationships/hyperlink" Target="https://saranistudio.sharepoint.com/:f:/s/SaraniAssets/Eq7pt63-vzBKhgU1wsBrQcUBOHcPktKJbhAOgDczTT5MUA?e=6Et7kx" TargetMode="External"/><Relationship Id="rId7" Type="http://schemas.openxmlformats.org/officeDocument/2006/relationships/hyperlink" Target="mailto:A.Catrini@cmcmarkets.com" TargetMode="External"/><Relationship Id="rId2" Type="http://schemas.openxmlformats.org/officeDocument/2006/relationships/hyperlink" Target="https://saranistudio.sharepoint.com/:f:/s/SaraniAssets/EgndaG9K7UhLsKSyG_JRpD8BjcGM-Ou-doDKO96fc73YOQ?e=6usxdm" TargetMode="External"/><Relationship Id="rId1" Type="http://schemas.openxmlformats.org/officeDocument/2006/relationships/hyperlink" Target="https://saranistudio.sharepoint.com/:f:/s/SaraniAssets/EtB2RFPvGu1BuB-U9kw8xz4B-kld6qQ2D1yNIhOKKP97PA?e=ReqSG1" TargetMode="External"/><Relationship Id="rId6" Type="http://schemas.openxmlformats.org/officeDocument/2006/relationships/hyperlink" Target="mailto:A.Catrini@cmcmarkets.com" TargetMode="External"/><Relationship Id="rId5" Type="http://schemas.openxmlformats.org/officeDocument/2006/relationships/hyperlink" Target="https://saranistudio.sharepoint.com/:b:/s/SaraniAssets/IQCLl4WYglikR5FTKvVl_xQ-AZCiiCEe5Pl9BioNk9h2abI?e=w1YHoy" TargetMode="External"/><Relationship Id="rId4" Type="http://schemas.openxmlformats.org/officeDocument/2006/relationships/hyperlink" Target="https://saranistudio.sharepoint.com/:f:/s/SaraniAssets/IgAchiGm95cqTLZM5iG3JBibAfBbpsw42nQw_zNR6xqxYhE?e=B4a3gw" TargetMode="External"/><Relationship Id="rId9" Type="http://schemas.openxmlformats.org/officeDocument/2006/relationships/hyperlink" Target="https://saranistudio.sharepoint.com/:f:/s/SaraniAssets/IgDferjIRvV5TqF9OFXi-KqTAewYbSBnF04HNskKr56BrxQ?e=7FqEU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6BE8-20BC-4E9B-9C2B-FE9C8A6AC136}">
  <dimension ref="A1:U50"/>
  <sheetViews>
    <sheetView workbookViewId="0">
      <pane ySplit="4" topLeftCell="A5" activePane="bottomLeft" state="frozen"/>
      <selection pane="bottomLeft" activeCell="F24" sqref="F24"/>
    </sheetView>
  </sheetViews>
  <sheetFormatPr defaultRowHeight="15"/>
  <cols>
    <col min="1" max="1" width="28.5703125" customWidth="1"/>
    <col min="2" max="21" width="16.140625" customWidth="1"/>
  </cols>
  <sheetData>
    <row r="1" spans="1:21" ht="18" customHeight="1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1" ht="12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8" customHeight="1">
      <c r="A3" s="81" t="s">
        <v>1</v>
      </c>
      <c r="B3" s="99">
        <v>2022</v>
      </c>
      <c r="C3" s="100"/>
      <c r="D3" s="100"/>
      <c r="E3" s="100"/>
      <c r="F3" s="99">
        <v>2023</v>
      </c>
      <c r="G3" s="100"/>
      <c r="H3" s="100"/>
      <c r="I3" s="100"/>
      <c r="J3" s="99">
        <v>2024</v>
      </c>
      <c r="K3" s="100"/>
      <c r="L3" s="100"/>
      <c r="M3" s="100"/>
      <c r="N3" s="99">
        <v>2025</v>
      </c>
      <c r="O3" s="100"/>
      <c r="P3" s="100"/>
      <c r="Q3" s="100"/>
      <c r="R3" s="99">
        <v>2026</v>
      </c>
      <c r="S3" s="100"/>
      <c r="T3" s="100"/>
      <c r="U3" s="100"/>
    </row>
    <row r="4" spans="1:21" ht="18" customHeight="1">
      <c r="A4" s="83"/>
      <c r="B4" s="83" t="s">
        <v>2</v>
      </c>
      <c r="C4" s="83" t="s">
        <v>3</v>
      </c>
      <c r="D4" s="83" t="s">
        <v>4</v>
      </c>
      <c r="E4" s="83" t="s">
        <v>5</v>
      </c>
      <c r="F4" s="83" t="s">
        <v>2</v>
      </c>
      <c r="G4" s="83" t="s">
        <v>3</v>
      </c>
      <c r="H4" s="83" t="s">
        <v>4</v>
      </c>
      <c r="I4" s="83" t="s">
        <v>5</v>
      </c>
      <c r="J4" s="83" t="s">
        <v>2</v>
      </c>
      <c r="K4" s="83" t="s">
        <v>3</v>
      </c>
      <c r="L4" s="83" t="s">
        <v>4</v>
      </c>
      <c r="M4" s="83" t="s">
        <v>5</v>
      </c>
      <c r="N4" s="83" t="s">
        <v>2</v>
      </c>
      <c r="O4" s="83" t="s">
        <v>3</v>
      </c>
      <c r="P4" s="83" t="s">
        <v>4</v>
      </c>
      <c r="Q4" s="83" t="s">
        <v>5</v>
      </c>
      <c r="R4" s="83" t="s">
        <v>2</v>
      </c>
      <c r="S4" s="83" t="s">
        <v>3</v>
      </c>
      <c r="T4" s="83" t="s">
        <v>4</v>
      </c>
      <c r="U4" s="83" t="s">
        <v>5</v>
      </c>
    </row>
    <row r="5" spans="1:21" s="78" customFormat="1" ht="18" customHeight="1">
      <c r="A5" s="84" t="s">
        <v>6</v>
      </c>
      <c r="B5" s="90">
        <f>SUMIFS('CMC Markets'!$I$4:$I$10000,'CMC Markets'!$B$4:$B$10000,"&gt;="&amp;DATE(2022,1,1),'CMC Markets'!$B$4:$B$10000,"&lt;="&amp;DATE(2022,3,31))</f>
        <v>0</v>
      </c>
      <c r="C5" s="90">
        <f>SUMIFS('CMC Markets'!$I$4:$I$10000,'CMC Markets'!$B$4:$B$10000,"&gt;="&amp;DATE(2022,4,1),'CMC Markets'!$B$4:$B$10000,"&lt;="&amp;DATE(2022,6,30))</f>
        <v>0</v>
      </c>
      <c r="D5" s="90">
        <f>SUMIFS('CMC Markets'!$I$4:$I$10000,'CMC Markets'!$B$4:$B$10000,"&gt;="&amp;DATE(2022,7,1),'CMC Markets'!$B$4:$B$10000,"&lt;="&amp;DATE(2022,9,30))</f>
        <v>0</v>
      </c>
      <c r="E5" s="90">
        <f>SUMIFS('CMC Markets'!$I$4:$I$10000,'CMC Markets'!$B$4:$B$10000,"&gt;="&amp;DATE(2022,10,1),'CMC Markets'!$B$4:$B$10000,"&lt;="&amp;DATE(2022,12,31))</f>
        <v>0</v>
      </c>
      <c r="F5" s="90">
        <f>SUMIFS('CMC Markets'!$I$4:$I$10000,'CMC Markets'!$B$4:$B$10000,"&gt;="&amp;DATE(2023,1,1),'CMC Markets'!$B$4:$B$10000,"&lt;="&amp;DATE(2023,3,31))</f>
        <v>0</v>
      </c>
      <c r="G5" s="90">
        <f>SUMIFS('CMC Markets'!$I$4:$I$10000,'CMC Markets'!$B$4:$B$10000,"&gt;="&amp;DATE(2023,4,1),'CMC Markets'!$B$4:$B$10000,"&lt;="&amp;DATE(2023,6,30))</f>
        <v>0</v>
      </c>
      <c r="H5" s="90">
        <f>SUMIFS('CMC Markets'!$I$4:$I$10000,'CMC Markets'!$B$4:$B$10000,"&gt;="&amp;DATE(2023,7,1),'CMC Markets'!$B$4:$B$10000,"&lt;="&amp;DATE(2023,9,30))</f>
        <v>0</v>
      </c>
      <c r="I5" s="90">
        <f>SUMIFS('CMC Markets'!$I$4:$I$10000,'CMC Markets'!$B$4:$B$10000,"&gt;="&amp;DATE(2023,10,1),'CMC Markets'!$B$4:$B$10000,"&lt;="&amp;DATE(2023,12,31))</f>
        <v>0</v>
      </c>
      <c r="J5" s="90">
        <f>SUMIFS('CMC Markets'!$I$4:$I$10000,'CMC Markets'!$B$4:$B$10000,"&gt;="&amp;DATE(2024,1,1),'CMC Markets'!$B$4:$B$10000,"&lt;="&amp;DATE(2024,3,31))</f>
        <v>0</v>
      </c>
      <c r="K5" s="90">
        <f>SUMIFS('CMC Markets'!$I$4:$I$10000,'CMC Markets'!$B$4:$B$10000,"&gt;="&amp;DATE(2024,4,1),'CMC Markets'!$B$4:$B$10000,"&lt;="&amp;DATE(2024,6,30))</f>
        <v>0</v>
      </c>
      <c r="L5" s="90">
        <f>SUMIFS('CMC Markets'!$I$4:$I$10000,'CMC Markets'!$B$4:$B$10000,"&gt;="&amp;DATE(2024,7,1),'CMC Markets'!$B$4:$B$10000,"&lt;="&amp;DATE(2024,9,30))</f>
        <v>0</v>
      </c>
      <c r="M5" s="90">
        <f>SUMIFS('CMC Markets'!$I$4:$I$10000,'CMC Markets'!$B$4:$B$10000,"&gt;="&amp;DATE(2024,10,1),'CMC Markets'!$B$4:$B$10000,"&lt;="&amp;DATE(2024,12,31))</f>
        <v>0</v>
      </c>
      <c r="N5" s="90">
        <f>SUMIFS('CMC Markets'!$I$4:$I$10000,'CMC Markets'!$B$4:$B$10000,"&gt;="&amp;DATE(2025,1,1),'CMC Markets'!$B$4:$B$10000,"&lt;="&amp;DATE(2025,3,31))</f>
        <v>0</v>
      </c>
      <c r="O5" s="90">
        <f>SUMIFS('CMC Markets'!$I$4:$I$10000,'CMC Markets'!$B$4:$B$10000,"&gt;="&amp;DATE(2025,4,1),'CMC Markets'!$B$4:$B$10000,"&lt;="&amp;DATE(2025,6,30))</f>
        <v>0</v>
      </c>
      <c r="P5" s="90">
        <f>SUMIFS('CMC Markets'!$I$4:$I$10000,'CMC Markets'!$B$4:$B$10000,"&gt;="&amp;DATE(2025,7,1),'CMC Markets'!$B$4:$B$10000,"&lt;="&amp;DATE(2025,9,30))</f>
        <v>900</v>
      </c>
      <c r="Q5" s="90">
        <f>SUMIFS('CMC Markets'!$I$4:$I$10000,'CMC Markets'!$B$4:$B$10000,"&gt;="&amp;DATE(2025,10,1),'CMC Markets'!$B$4:$B$10000,"&lt;="&amp;DATE(2025,12,31))</f>
        <v>5140</v>
      </c>
      <c r="R5" s="90">
        <f>SUMIFS('CMC Markets'!$I$4:$I$10000,'CMC Markets'!$B$4:$B$10000,"&gt;="&amp;DATE(2026,1,1),'CMC Markets'!$B$4:$B$10000,"&lt;="&amp;DATE(2026,3,31))</f>
        <v>580</v>
      </c>
      <c r="S5" s="90">
        <f>SUMIFS('CMC Markets'!$I$4:$I$10000,'CMC Markets'!$B$4:$B$10000,"&gt;="&amp;DATE(2026,4,1),'CMC Markets'!$B$4:$B$10000,"&lt;="&amp;DATE(2026,6,30))</f>
        <v>0</v>
      </c>
      <c r="T5" s="90">
        <f>SUMIFS('CMC Markets'!$I$4:$I$10000,'CMC Markets'!$B$4:$B$10000,"&gt;="&amp;DATE(2026,7,1),'CMC Markets'!$B$4:$B$10000,"&lt;="&amp;DATE(2026,9,30))</f>
        <v>0</v>
      </c>
      <c r="U5" s="90">
        <f>SUMIFS('CMC Markets'!$I$4:$I$10000,'CMC Markets'!$B$4:$B$10000,"&gt;="&amp;DATE(2026,10,1),'CMC Markets'!$B$4:$B$10000,"&lt;="&amp;DATE(2026,12,31))</f>
        <v>0</v>
      </c>
    </row>
    <row r="6" spans="1:21" s="78" customFormat="1" ht="18" customHeight="1">
      <c r="A6" s="85" t="s">
        <v>7</v>
      </c>
      <c r="B6" s="91">
        <f>SUM(B5:B5)</f>
        <v>0</v>
      </c>
      <c r="C6" s="91">
        <f>SUM(C5:C5)</f>
        <v>0</v>
      </c>
      <c r="D6" s="91">
        <f>SUM(D5:D5)</f>
        <v>0</v>
      </c>
      <c r="E6" s="91">
        <f>SUM(E5:E5)</f>
        <v>0</v>
      </c>
      <c r="F6" s="91">
        <f>SUM(F5:F5)</f>
        <v>0</v>
      </c>
      <c r="G6" s="91">
        <f>SUM(G5:G5)</f>
        <v>0</v>
      </c>
      <c r="H6" s="91">
        <f>SUM(H5:H5)</f>
        <v>0</v>
      </c>
      <c r="I6" s="91">
        <f>SUM(I5:I5)</f>
        <v>0</v>
      </c>
      <c r="J6" s="91">
        <f>SUM(J5:J5)</f>
        <v>0</v>
      </c>
      <c r="K6" s="91">
        <f>SUM(K5:K5)</f>
        <v>0</v>
      </c>
      <c r="L6" s="91">
        <f>SUM(L5:L5)</f>
        <v>0</v>
      </c>
      <c r="M6" s="91">
        <f>SUM(M5:M5)</f>
        <v>0</v>
      </c>
      <c r="N6" s="91">
        <f>SUM(N5:N5)</f>
        <v>0</v>
      </c>
      <c r="O6" s="91">
        <f>SUM(O5:O5)</f>
        <v>0</v>
      </c>
      <c r="P6" s="91">
        <f>SUM(P5:P5)</f>
        <v>900</v>
      </c>
      <c r="Q6" s="91">
        <f>SUM(Q5:Q5)</f>
        <v>5140</v>
      </c>
      <c r="R6" s="91">
        <f>SUM(R5:R5)</f>
        <v>580</v>
      </c>
      <c r="S6" s="91">
        <f>SUM(S5:S5)</f>
        <v>0</v>
      </c>
      <c r="T6" s="91">
        <f>SUM(T5:T5)</f>
        <v>0</v>
      </c>
      <c r="U6" s="91">
        <f>SUM(U5:U5)</f>
        <v>0</v>
      </c>
    </row>
    <row r="7" spans="1:21" ht="12" customHeight="1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</row>
    <row r="8" spans="1:21" ht="18" customHeight="1">
      <c r="A8" s="81" t="s">
        <v>8</v>
      </c>
      <c r="B8" s="99">
        <v>2022</v>
      </c>
      <c r="C8" s="100"/>
      <c r="D8" s="100"/>
      <c r="E8" s="100"/>
      <c r="F8" s="99">
        <v>2023</v>
      </c>
      <c r="G8" s="100"/>
      <c r="H8" s="100"/>
      <c r="I8" s="100"/>
      <c r="J8" s="99">
        <v>2024</v>
      </c>
      <c r="K8" s="100"/>
      <c r="L8" s="100"/>
      <c r="M8" s="100"/>
      <c r="N8" s="99">
        <v>2025</v>
      </c>
      <c r="O8" s="100"/>
      <c r="P8" s="100"/>
      <c r="Q8" s="100"/>
      <c r="R8" s="99">
        <v>2026</v>
      </c>
      <c r="S8" s="100"/>
      <c r="T8" s="100"/>
      <c r="U8" s="100"/>
    </row>
    <row r="9" spans="1:21" ht="18" customHeight="1">
      <c r="A9" s="83"/>
      <c r="B9" s="83" t="s">
        <v>2</v>
      </c>
      <c r="C9" s="83" t="s">
        <v>3</v>
      </c>
      <c r="D9" s="83" t="s">
        <v>4</v>
      </c>
      <c r="E9" s="83" t="s">
        <v>5</v>
      </c>
      <c r="F9" s="83" t="s">
        <v>2</v>
      </c>
      <c r="G9" s="83" t="s">
        <v>3</v>
      </c>
      <c r="H9" s="83" t="s">
        <v>4</v>
      </c>
      <c r="I9" s="83" t="s">
        <v>5</v>
      </c>
      <c r="J9" s="83" t="s">
        <v>2</v>
      </c>
      <c r="K9" s="83" t="s">
        <v>3</v>
      </c>
      <c r="L9" s="83" t="s">
        <v>4</v>
      </c>
      <c r="M9" s="83" t="s">
        <v>5</v>
      </c>
      <c r="N9" s="83" t="s">
        <v>2</v>
      </c>
      <c r="O9" s="83" t="s">
        <v>3</v>
      </c>
      <c r="P9" s="83" t="s">
        <v>4</v>
      </c>
      <c r="Q9" s="83" t="s">
        <v>5</v>
      </c>
      <c r="R9" s="83" t="s">
        <v>2</v>
      </c>
      <c r="S9" s="83" t="s">
        <v>3</v>
      </c>
      <c r="T9" s="83" t="s">
        <v>4</v>
      </c>
      <c r="U9" s="83" t="s">
        <v>5</v>
      </c>
    </row>
    <row r="10" spans="1:21" ht="18" customHeight="1">
      <c r="A10" s="86" t="s">
        <v>9</v>
      </c>
      <c r="B10" s="92">
        <f>COUNTIFS('CMC Markets'!$B$4:$B$10000,"&gt;="&amp;DATE(2022,1,1),'CMC Markets'!$B$4:$B$10000,"&lt;="&amp;DATE(2022,3,31))</f>
        <v>0</v>
      </c>
      <c r="C10" s="92">
        <f>COUNTIFS('CMC Markets'!$B$4:$B$10000,"&gt;="&amp;DATE(2022,4,1),'CMC Markets'!$B$4:$B$10000,"&lt;="&amp;DATE(2022,6,30))</f>
        <v>0</v>
      </c>
      <c r="D10" s="92">
        <f>COUNTIFS('CMC Markets'!$B$4:$B$10000,"&gt;="&amp;DATE(2022,7,1),'CMC Markets'!$B$4:$B$10000,"&lt;="&amp;DATE(2022,9,30))</f>
        <v>0</v>
      </c>
      <c r="E10" s="92">
        <f>COUNTIFS('CMC Markets'!$B$4:$B$10000,"&gt;="&amp;DATE(2022,10,1),'CMC Markets'!$B$4:$B$10000,"&lt;="&amp;DATE(2022,12,31))</f>
        <v>0</v>
      </c>
      <c r="F10" s="92">
        <f>COUNTIFS('CMC Markets'!$B$4:$B$10000,"&gt;="&amp;DATE(2023,1,1),'CMC Markets'!$B$4:$B$10000,"&lt;="&amp;DATE(2023,3,31))</f>
        <v>0</v>
      </c>
      <c r="G10" s="92">
        <f>COUNTIFS('CMC Markets'!$B$4:$B$10000,"&gt;="&amp;DATE(2023,4,1),'CMC Markets'!$B$4:$B$10000,"&lt;="&amp;DATE(2023,6,30))</f>
        <v>0</v>
      </c>
      <c r="H10" s="92">
        <f>COUNTIFS('CMC Markets'!$B$4:$B$10000,"&gt;="&amp;DATE(2023,7,1),'CMC Markets'!$B$4:$B$10000,"&lt;="&amp;DATE(2023,9,30))</f>
        <v>0</v>
      </c>
      <c r="I10" s="92">
        <f>COUNTIFS('CMC Markets'!$B$4:$B$10000,"&gt;="&amp;DATE(2023,10,1),'CMC Markets'!$B$4:$B$10000,"&lt;="&amp;DATE(2023,12,31))</f>
        <v>0</v>
      </c>
      <c r="J10" s="92">
        <f>COUNTIFS('CMC Markets'!$B$4:$B$10000,"&gt;="&amp;DATE(2024,1,1),'CMC Markets'!$B$4:$B$10000,"&lt;="&amp;DATE(2024,3,31))</f>
        <v>0</v>
      </c>
      <c r="K10" s="92">
        <f>COUNTIFS('CMC Markets'!$B$4:$B$10000,"&gt;="&amp;DATE(2024,4,1),'CMC Markets'!$B$4:$B$10000,"&lt;="&amp;DATE(2024,6,30))</f>
        <v>0</v>
      </c>
      <c r="L10" s="92">
        <f>COUNTIFS('CMC Markets'!$B$4:$B$10000,"&gt;="&amp;DATE(2024,7,1),'CMC Markets'!$B$4:$B$10000,"&lt;="&amp;DATE(2024,9,30))</f>
        <v>0</v>
      </c>
      <c r="M10" s="92">
        <f>COUNTIFS('CMC Markets'!$B$4:$B$10000,"&gt;="&amp;DATE(2024,10,1),'CMC Markets'!$B$4:$B$10000,"&lt;="&amp;DATE(2024,12,31))</f>
        <v>0</v>
      </c>
      <c r="N10" s="92">
        <f>COUNTIFS('CMC Markets'!$B$4:$B$10000,"&gt;="&amp;DATE(2025,1,1),'CMC Markets'!$B$4:$B$10000,"&lt;="&amp;DATE(2025,3,31))</f>
        <v>0</v>
      </c>
      <c r="O10" s="92">
        <f>COUNTIFS('CMC Markets'!$B$4:$B$10000,"&gt;="&amp;DATE(2025,4,1),'CMC Markets'!$B$4:$B$10000,"&lt;="&amp;DATE(2025,6,30))</f>
        <v>0</v>
      </c>
      <c r="P10" s="92">
        <f>COUNTIFS('CMC Markets'!$B$4:$B$10000,"&gt;="&amp;DATE(2025,7,1),'CMC Markets'!$B$4:$B$10000,"&lt;="&amp;DATE(2025,9,30))</f>
        <v>1</v>
      </c>
      <c r="Q10" s="92">
        <f>COUNTIFS('CMC Markets'!$B$4:$B$10000,"&gt;="&amp;DATE(2025,10,1),'CMC Markets'!$B$4:$B$10000,"&lt;="&amp;DATE(2025,12,31))</f>
        <v>3</v>
      </c>
      <c r="R10" s="92">
        <f>COUNTIFS('CMC Markets'!$B$4:$B$10000,"&gt;="&amp;DATE(2026,1,1),'CMC Markets'!$B$4:$B$10000,"&lt;="&amp;DATE(2026,3,31))</f>
        <v>3</v>
      </c>
      <c r="S10" s="92">
        <f>COUNTIFS('CMC Markets'!$B$4:$B$10000,"&gt;="&amp;DATE(2026,4,1),'CMC Markets'!$B$4:$B$10000,"&lt;="&amp;DATE(2026,6,30))</f>
        <v>0</v>
      </c>
      <c r="T10" s="92">
        <f>COUNTIFS('CMC Markets'!$B$4:$B$10000,"&gt;="&amp;DATE(2026,7,1),'CMC Markets'!$B$4:$B$10000,"&lt;="&amp;DATE(2026,9,30))</f>
        <v>0</v>
      </c>
      <c r="U10" s="92">
        <f>COUNTIFS('CMC Markets'!$B$4:$B$10000,"&gt;="&amp;DATE(2026,10,1),'CMC Markets'!$B$4:$B$10000,"&lt;="&amp;DATE(2026,12,31))</f>
        <v>0</v>
      </c>
    </row>
    <row r="11" spans="1:21" ht="18" customHeight="1">
      <c r="A11" s="87" t="s">
        <v>7</v>
      </c>
      <c r="B11" s="93">
        <f>SUM(B10:B10)</f>
        <v>0</v>
      </c>
      <c r="C11" s="93">
        <f>SUM(C10:C10)</f>
        <v>0</v>
      </c>
      <c r="D11" s="93">
        <f>SUM(D10:D10)</f>
        <v>0</v>
      </c>
      <c r="E11" s="93">
        <f>SUM(E10:E10)</f>
        <v>0</v>
      </c>
      <c r="F11" s="93">
        <f>SUM(F10:F10)</f>
        <v>0</v>
      </c>
      <c r="G11" s="93">
        <f>SUM(G10:G10)</f>
        <v>0</v>
      </c>
      <c r="H11" s="93">
        <f>SUM(H10:H10)</f>
        <v>0</v>
      </c>
      <c r="I11" s="93">
        <f>SUM(I10:I10)</f>
        <v>0</v>
      </c>
      <c r="J11" s="93">
        <f>SUM(J10:J10)</f>
        <v>0</v>
      </c>
      <c r="K11" s="93">
        <f>SUM(K10:K10)</f>
        <v>0</v>
      </c>
      <c r="L11" s="93">
        <f>SUM(L10:L10)</f>
        <v>0</v>
      </c>
      <c r="M11" s="93">
        <f>SUM(M10:M10)</f>
        <v>0</v>
      </c>
      <c r="N11" s="93">
        <f>SUM(N10:N10)</f>
        <v>0</v>
      </c>
      <c r="O11" s="93">
        <f>SUM(O10:O10)</f>
        <v>0</v>
      </c>
      <c r="P11" s="93">
        <f>SUM(P10:P10)</f>
        <v>1</v>
      </c>
      <c r="Q11" s="93">
        <f>SUM(Q10:Q10)</f>
        <v>3</v>
      </c>
      <c r="R11" s="93">
        <f>SUM(R10:R10)</f>
        <v>3</v>
      </c>
      <c r="S11" s="93">
        <f>SUM(S10:S10)</f>
        <v>0</v>
      </c>
      <c r="T11" s="93">
        <f>SUM(T10:T10)</f>
        <v>0</v>
      </c>
      <c r="U11" s="93">
        <f>SUM(U10:U10)</f>
        <v>0</v>
      </c>
    </row>
    <row r="12" spans="1:21" ht="12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</row>
    <row r="13" spans="1:21" ht="18" customHeight="1">
      <c r="A13" s="82" t="s">
        <v>10</v>
      </c>
      <c r="B13" s="96">
        <v>2022</v>
      </c>
      <c r="C13" s="96">
        <v>2023</v>
      </c>
      <c r="D13" s="96">
        <v>2024</v>
      </c>
      <c r="E13" s="96">
        <v>2025</v>
      </c>
      <c r="F13" s="96">
        <v>2026</v>
      </c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</row>
    <row r="14" spans="1:21" s="78" customFormat="1" ht="18" customHeight="1">
      <c r="A14" s="84" t="s">
        <v>11</v>
      </c>
      <c r="B14" s="90">
        <f>SUM(B6:E6)</f>
        <v>0</v>
      </c>
      <c r="C14" s="90">
        <f>SUM(F6:I6)</f>
        <v>0</v>
      </c>
      <c r="D14" s="90">
        <f>SUM(J6:M6)</f>
        <v>0</v>
      </c>
      <c r="E14" s="90">
        <f>SUM(N6:Q6)</f>
        <v>6040</v>
      </c>
      <c r="F14" s="90">
        <f>SUM(R6:U6)</f>
        <v>580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</row>
    <row r="15" spans="1:21" ht="18" customHeight="1">
      <c r="A15" s="88" t="s">
        <v>12</v>
      </c>
      <c r="B15" s="94">
        <f>SUM(B11:E11)</f>
        <v>0</v>
      </c>
      <c r="C15" s="94">
        <f>SUM(F11:I11)</f>
        <v>0</v>
      </c>
      <c r="D15" s="94">
        <f>SUM(J11:M11)</f>
        <v>0</v>
      </c>
      <c r="E15" s="94">
        <f>SUM(N11:Q11)</f>
        <v>4</v>
      </c>
      <c r="F15" s="94">
        <f>SUM(R11:U11)</f>
        <v>3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</row>
    <row r="16" spans="1:21" s="78" customFormat="1" ht="18" customHeight="1">
      <c r="A16" s="89" t="s">
        <v>13</v>
      </c>
      <c r="B16" s="95" t="str">
        <f>IFERROR(B14/B15,"—")</f>
        <v>—</v>
      </c>
      <c r="C16" s="95" t="str">
        <f>IFERROR(C14/C15,"—")</f>
        <v>—</v>
      </c>
      <c r="D16" s="95" t="str">
        <f>IFERROR(D14/D15,"—")</f>
        <v>—</v>
      </c>
      <c r="E16" s="95">
        <f>IFERROR(E14/E15,"—")</f>
        <v>1510</v>
      </c>
      <c r="F16" s="95">
        <f>IFERROR(F14/F15,"—")</f>
        <v>193.33333333333334</v>
      </c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</row>
    <row r="17" spans="1:2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</row>
    <row r="18" spans="1:2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</row>
    <row r="19" spans="1:2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</row>
    <row r="20" spans="1:2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</row>
    <row r="21" spans="1: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 spans="1:2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</row>
    <row r="23" spans="1:2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</row>
    <row r="24" spans="1:2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  <row r="25" spans="1:2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</row>
    <row r="26" spans="1:2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</row>
    <row r="27" spans="1:2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spans="1:2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spans="1:2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</row>
    <row r="30" spans="1:2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</row>
    <row r="31" spans="1:2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</row>
    <row r="32" spans="1:2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</row>
    <row r="33" spans="1:2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</row>
    <row r="34" spans="1:2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</row>
    <row r="35" spans="1:2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</row>
    <row r="36" spans="1:2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</row>
    <row r="37" spans="1:2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</row>
    <row r="38" spans="1:2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</row>
    <row r="39" spans="1:2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</row>
    <row r="40" spans="1:2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</row>
    <row r="41" spans="1:2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</row>
    <row r="42" spans="1:2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</row>
    <row r="43" spans="1:2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</row>
    <row r="44" spans="1:2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</row>
    <row r="45" spans="1:2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</row>
    <row r="46" spans="1:2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</row>
    <row r="47" spans="1:2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</row>
    <row r="48" spans="1:2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</row>
    <row r="49" spans="1:2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</row>
    <row r="50" spans="1:2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</row>
  </sheetData>
  <mergeCells count="11">
    <mergeCell ref="R8:U8"/>
    <mergeCell ref="A1:U1"/>
    <mergeCell ref="B3:E3"/>
    <mergeCell ref="B8:E8"/>
    <mergeCell ref="F3:I3"/>
    <mergeCell ref="F8:I8"/>
    <mergeCell ref="J3:M3"/>
    <mergeCell ref="J8:M8"/>
    <mergeCell ref="N3:Q3"/>
    <mergeCell ref="N8:Q8"/>
    <mergeCell ref="R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workbookViewId="0">
      <selection activeCell="I16" sqref="I16"/>
    </sheetView>
  </sheetViews>
  <sheetFormatPr defaultRowHeight="15"/>
  <cols>
    <col min="1" max="1" width="13.28515625" style="30" bestFit="1" customWidth="1"/>
    <col min="2" max="2" width="11.7109375" style="30" bestFit="1" customWidth="1"/>
    <col min="3" max="3" width="35.7109375" style="30" bestFit="1" customWidth="1"/>
    <col min="4" max="4" width="26" bestFit="1" customWidth="1"/>
    <col min="5" max="5" width="10.7109375" bestFit="1" customWidth="1"/>
    <col min="7" max="7" width="24.140625" customWidth="1"/>
    <col min="9" max="9" width="12.28515625" bestFit="1" customWidth="1"/>
    <col min="11" max="11" width="3.7109375" bestFit="1" customWidth="1"/>
    <col min="12" max="12" width="17.7109375" bestFit="1" customWidth="1"/>
    <col min="13" max="13" width="11.42578125" bestFit="1" customWidth="1"/>
    <col min="14" max="14" width="19.42578125" bestFit="1" customWidth="1"/>
    <col min="15" max="15" width="10" bestFit="1" customWidth="1"/>
  </cols>
  <sheetData>
    <row r="1" spans="1:41">
      <c r="H1" s="1"/>
      <c r="Q1" s="102" t="s">
        <v>14</v>
      </c>
      <c r="R1" s="102"/>
      <c r="S1" s="102"/>
      <c r="T1" s="102"/>
      <c r="U1" s="102"/>
      <c r="V1" s="103" t="s">
        <v>15</v>
      </c>
      <c r="W1" s="104"/>
      <c r="X1" s="104"/>
      <c r="Y1" s="104"/>
      <c r="Z1" s="104"/>
      <c r="AA1" s="104"/>
      <c r="AB1" s="104"/>
      <c r="AC1" s="105"/>
      <c r="AD1" s="104" t="s">
        <v>16</v>
      </c>
      <c r="AE1" s="104"/>
      <c r="AF1" s="104"/>
      <c r="AG1" s="104"/>
      <c r="AH1" s="104"/>
      <c r="AI1" s="104"/>
      <c r="AJ1" s="105"/>
      <c r="AK1" s="2" t="s">
        <v>17</v>
      </c>
      <c r="AL1" s="104" t="s">
        <v>18</v>
      </c>
      <c r="AM1" s="104"/>
      <c r="AN1" s="104"/>
      <c r="AO1" s="105"/>
    </row>
    <row r="2" spans="1:41" ht="76.5">
      <c r="A2" s="3" t="s">
        <v>19</v>
      </c>
      <c r="B2" s="4" t="s">
        <v>20</v>
      </c>
      <c r="C2" s="5" t="s">
        <v>21</v>
      </c>
      <c r="D2" s="6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7" t="s">
        <v>27</v>
      </c>
      <c r="J2" s="8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9" t="s">
        <v>33</v>
      </c>
      <c r="P2" s="10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2" t="s">
        <v>40</v>
      </c>
      <c r="W2" s="11" t="s">
        <v>41</v>
      </c>
      <c r="X2" s="11" t="s">
        <v>42</v>
      </c>
      <c r="Y2" s="11" t="s">
        <v>43</v>
      </c>
      <c r="Z2" s="11" t="s">
        <v>44</v>
      </c>
      <c r="AA2" s="11" t="s">
        <v>45</v>
      </c>
      <c r="AB2" s="11" t="s">
        <v>46</v>
      </c>
      <c r="AC2" s="10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0" t="s">
        <v>54</v>
      </c>
      <c r="AK2" s="11" t="s">
        <v>55</v>
      </c>
      <c r="AL2" s="11" t="s">
        <v>56</v>
      </c>
      <c r="AM2" s="11" t="s">
        <v>57</v>
      </c>
      <c r="AN2" s="11" t="s">
        <v>58</v>
      </c>
      <c r="AO2" s="10" t="s">
        <v>59</v>
      </c>
    </row>
    <row r="3" spans="1:41">
      <c r="A3" s="3"/>
      <c r="B3" s="4"/>
      <c r="C3" s="5"/>
      <c r="D3" s="6"/>
      <c r="E3" s="5"/>
      <c r="F3" s="5"/>
      <c r="G3" s="5"/>
      <c r="H3" s="5"/>
      <c r="I3" s="7"/>
      <c r="J3" s="8"/>
      <c r="K3" s="5"/>
      <c r="L3" s="5"/>
      <c r="M3" s="5"/>
      <c r="N3" s="5"/>
      <c r="O3" s="9"/>
      <c r="P3" s="10"/>
      <c r="Q3" s="11">
        <v>900</v>
      </c>
      <c r="R3" s="11">
        <v>800</v>
      </c>
      <c r="S3" s="11">
        <v>300</v>
      </c>
      <c r="T3" s="11">
        <v>80</v>
      </c>
      <c r="U3" s="11">
        <v>500</v>
      </c>
      <c r="V3" s="12">
        <v>135</v>
      </c>
      <c r="W3" s="11">
        <v>30</v>
      </c>
      <c r="X3" s="11">
        <v>220</v>
      </c>
      <c r="Y3" s="11">
        <v>50</v>
      </c>
      <c r="Z3" s="11">
        <v>2000</v>
      </c>
      <c r="AA3" s="11">
        <v>250</v>
      </c>
      <c r="AB3" s="11">
        <v>400</v>
      </c>
      <c r="AC3" s="10">
        <v>85</v>
      </c>
      <c r="AD3" s="11">
        <v>135</v>
      </c>
      <c r="AE3" s="11">
        <v>30</v>
      </c>
      <c r="AF3" s="11">
        <v>180</v>
      </c>
      <c r="AG3" s="11">
        <v>260</v>
      </c>
      <c r="AH3" s="11">
        <v>180</v>
      </c>
      <c r="AI3" s="11">
        <v>400</v>
      </c>
      <c r="AJ3" s="10">
        <v>2200</v>
      </c>
      <c r="AK3" s="11">
        <v>40</v>
      </c>
      <c r="AL3" s="11">
        <v>300</v>
      </c>
      <c r="AM3" s="11">
        <v>700</v>
      </c>
      <c r="AN3" s="11">
        <v>5000</v>
      </c>
      <c r="AO3" s="10">
        <v>7000</v>
      </c>
    </row>
    <row r="4" spans="1:41">
      <c r="A4" s="31" t="s">
        <v>6</v>
      </c>
      <c r="B4" s="32">
        <v>45950</v>
      </c>
      <c r="C4" s="33" t="s">
        <v>60</v>
      </c>
      <c r="D4" s="34" t="s">
        <v>61</v>
      </c>
      <c r="E4" s="13" t="s">
        <v>62</v>
      </c>
      <c r="F4" s="27" t="s">
        <v>63</v>
      </c>
      <c r="G4" s="37" t="s">
        <v>64</v>
      </c>
      <c r="H4" s="20">
        <f>Q4+R4+S4+T4+U4</f>
        <v>1</v>
      </c>
      <c r="I4" s="14">
        <f>(Q$3*Q4)+(R$3*R4)+(S$3*S4)+(T$3*T4)+(U$3*U4)</f>
        <v>300</v>
      </c>
      <c r="J4" s="15"/>
      <c r="K4" s="16" t="s">
        <v>65</v>
      </c>
      <c r="L4" s="16" t="s">
        <v>66</v>
      </c>
      <c r="M4" s="16" t="s">
        <v>67</v>
      </c>
      <c r="N4" s="16" t="s">
        <v>68</v>
      </c>
      <c r="O4" s="17">
        <v>46067</v>
      </c>
      <c r="P4" s="18"/>
      <c r="Q4" s="38"/>
      <c r="R4" s="38"/>
      <c r="S4" s="38">
        <v>1</v>
      </c>
      <c r="T4" s="38"/>
      <c r="U4" s="38"/>
      <c r="V4" s="39"/>
      <c r="W4" s="38"/>
      <c r="X4" s="38"/>
      <c r="Y4" s="38"/>
      <c r="Z4" s="38"/>
      <c r="AA4" s="38"/>
      <c r="AB4" s="38"/>
      <c r="AC4" s="40"/>
      <c r="AD4" s="38"/>
      <c r="AE4" s="38"/>
      <c r="AF4" s="38"/>
      <c r="AG4" s="38"/>
      <c r="AH4" s="38"/>
      <c r="AI4" s="38"/>
      <c r="AJ4" s="40"/>
      <c r="AK4" s="38"/>
      <c r="AL4" s="38"/>
      <c r="AM4" s="38"/>
      <c r="AN4" s="38"/>
      <c r="AO4" s="40"/>
    </row>
    <row r="5" spans="1:41">
      <c r="A5" s="31" t="s">
        <v>6</v>
      </c>
      <c r="B5" s="32">
        <v>45968</v>
      </c>
      <c r="C5" s="33" t="s">
        <v>69</v>
      </c>
      <c r="D5" s="35" t="s">
        <v>70</v>
      </c>
      <c r="E5" s="13" t="s">
        <v>62</v>
      </c>
      <c r="F5" s="27" t="s">
        <v>63</v>
      </c>
      <c r="G5" s="37" t="s">
        <v>71</v>
      </c>
      <c r="H5" s="20">
        <f t="shared" ref="H5:H7" si="0">Q5+R5+S5+T5+U5</f>
        <v>14</v>
      </c>
      <c r="I5" s="21">
        <f t="shared" ref="I5:I6" si="1">(Q$3*Q5)+(R$3*R5)+(S$3*S5)+(T$3*T5)+(U$3*U5)</f>
        <v>2940</v>
      </c>
      <c r="J5" s="22" t="s">
        <v>72</v>
      </c>
      <c r="K5" s="23" t="s">
        <v>65</v>
      </c>
      <c r="L5" s="24"/>
      <c r="M5" s="23" t="s">
        <v>73</v>
      </c>
      <c r="N5" s="19" t="s">
        <v>74</v>
      </c>
      <c r="O5" s="25">
        <v>46130</v>
      </c>
      <c r="P5" s="26"/>
      <c r="Q5" s="38"/>
      <c r="R5" s="38">
        <v>1</v>
      </c>
      <c r="S5" s="38">
        <v>5</v>
      </c>
      <c r="T5" s="38">
        <v>8</v>
      </c>
      <c r="U5" s="38"/>
      <c r="V5" s="39"/>
      <c r="W5" s="38"/>
      <c r="X5" s="38"/>
      <c r="Y5" s="38"/>
      <c r="Z5" s="38"/>
      <c r="AA5" s="38"/>
      <c r="AB5" s="38"/>
      <c r="AC5" s="40"/>
      <c r="AD5" s="38"/>
      <c r="AE5" s="38"/>
      <c r="AF5" s="38"/>
      <c r="AG5" s="38"/>
      <c r="AH5" s="38"/>
      <c r="AI5" s="38"/>
      <c r="AJ5" s="40"/>
      <c r="AK5" s="38"/>
      <c r="AL5" s="38"/>
      <c r="AM5" s="38"/>
      <c r="AN5" s="38"/>
      <c r="AO5" s="40"/>
    </row>
    <row r="6" spans="1:41">
      <c r="A6" s="31" t="s">
        <v>6</v>
      </c>
      <c r="B6" s="32">
        <v>45929</v>
      </c>
      <c r="C6" s="33" t="s">
        <v>14</v>
      </c>
      <c r="D6" s="34" t="s">
        <v>61</v>
      </c>
      <c r="E6" s="13" t="s">
        <v>62</v>
      </c>
      <c r="F6" s="27" t="s">
        <v>63</v>
      </c>
      <c r="G6" s="37" t="s">
        <v>6</v>
      </c>
      <c r="H6" s="20">
        <f t="shared" si="0"/>
        <v>1</v>
      </c>
      <c r="I6" s="21">
        <f t="shared" si="1"/>
        <v>900</v>
      </c>
      <c r="J6" s="22" t="s">
        <v>65</v>
      </c>
      <c r="K6" s="23" t="s">
        <v>65</v>
      </c>
      <c r="L6" s="27" t="s">
        <v>75</v>
      </c>
      <c r="M6" s="23" t="s">
        <v>76</v>
      </c>
      <c r="N6" s="23" t="s">
        <v>77</v>
      </c>
      <c r="O6" s="28"/>
      <c r="P6" s="29"/>
      <c r="Q6" s="38">
        <v>1</v>
      </c>
      <c r="R6" s="38"/>
      <c r="S6" s="38"/>
      <c r="T6" s="38"/>
      <c r="U6" s="38"/>
      <c r="V6" s="39"/>
      <c r="W6" s="38"/>
      <c r="X6" s="38"/>
      <c r="Y6" s="38"/>
      <c r="Z6" s="38"/>
      <c r="AA6" s="38"/>
      <c r="AB6" s="38"/>
      <c r="AC6" s="40"/>
      <c r="AD6" s="38"/>
      <c r="AE6" s="38"/>
      <c r="AF6" s="38"/>
      <c r="AG6" s="38"/>
      <c r="AH6" s="38"/>
      <c r="AI6" s="38"/>
      <c r="AJ6" s="40"/>
      <c r="AK6" s="38"/>
      <c r="AL6" s="38"/>
      <c r="AM6" s="38"/>
      <c r="AN6" s="38"/>
      <c r="AO6" s="40"/>
    </row>
    <row r="7" spans="1:41">
      <c r="A7" s="31" t="s">
        <v>6</v>
      </c>
      <c r="B7" s="32">
        <v>46003</v>
      </c>
      <c r="C7" s="33" t="s">
        <v>78</v>
      </c>
      <c r="D7" s="35" t="s">
        <v>70</v>
      </c>
      <c r="E7" s="13" t="s">
        <v>62</v>
      </c>
      <c r="F7" s="27" t="s">
        <v>63</v>
      </c>
      <c r="G7" s="35" t="s">
        <v>79</v>
      </c>
      <c r="H7" s="20">
        <f t="shared" si="0"/>
        <v>12</v>
      </c>
      <c r="I7" s="51">
        <f>(Q$3*Q7)+(R$3*R7)+(S$3*S7)+(T$3*T7)+(U$3*U7)</f>
        <v>1900</v>
      </c>
      <c r="J7" s="52"/>
      <c r="K7" s="53" t="s">
        <v>65</v>
      </c>
      <c r="L7" s="54"/>
      <c r="M7" s="23" t="s">
        <v>73</v>
      </c>
      <c r="N7" s="19" t="s">
        <v>74</v>
      </c>
      <c r="O7" s="25">
        <v>46130</v>
      </c>
      <c r="P7" s="26"/>
      <c r="Q7" s="41"/>
      <c r="R7" s="41">
        <v>1</v>
      </c>
      <c r="S7" s="41">
        <v>1</v>
      </c>
      <c r="T7" s="41">
        <v>10</v>
      </c>
      <c r="U7" s="41"/>
      <c r="V7" s="42"/>
      <c r="W7" s="41"/>
      <c r="X7" s="41"/>
      <c r="Y7" s="41"/>
      <c r="Z7" s="41"/>
      <c r="AA7" s="41"/>
      <c r="AB7" s="41"/>
      <c r="AC7" s="26"/>
      <c r="AD7" s="41"/>
      <c r="AE7" s="41"/>
      <c r="AF7" s="41"/>
      <c r="AG7" s="41"/>
      <c r="AH7" s="41"/>
      <c r="AI7" s="41"/>
      <c r="AJ7" s="26"/>
      <c r="AK7" s="41"/>
      <c r="AL7" s="41"/>
      <c r="AM7" s="41"/>
      <c r="AN7" s="41"/>
      <c r="AO7" s="26"/>
    </row>
    <row r="8" spans="1:41">
      <c r="A8" s="36" t="s">
        <v>6</v>
      </c>
      <c r="B8" s="32">
        <v>46097</v>
      </c>
      <c r="C8" s="30" t="s">
        <v>80</v>
      </c>
      <c r="D8" t="s">
        <v>61</v>
      </c>
      <c r="E8" t="s">
        <v>81</v>
      </c>
      <c r="G8" s="70" t="s">
        <v>82</v>
      </c>
      <c r="H8" s="1">
        <v>1</v>
      </c>
      <c r="I8" s="68">
        <v>500</v>
      </c>
      <c r="J8" s="48"/>
      <c r="K8" s="48"/>
      <c r="L8" s="49"/>
      <c r="P8" s="45"/>
      <c r="Q8" s="71"/>
      <c r="R8" s="71"/>
      <c r="S8" s="71"/>
      <c r="T8" s="71"/>
      <c r="U8" s="71"/>
      <c r="V8" s="43"/>
      <c r="W8" s="71"/>
      <c r="X8" s="71"/>
      <c r="Y8" s="71"/>
      <c r="Z8" s="71"/>
      <c r="AA8" s="71"/>
      <c r="AB8" s="71"/>
      <c r="AC8" s="44"/>
      <c r="AD8" s="71"/>
      <c r="AE8" s="71"/>
      <c r="AF8" s="71"/>
      <c r="AG8" s="71"/>
      <c r="AH8" s="71"/>
      <c r="AI8" s="71"/>
      <c r="AJ8" s="44"/>
      <c r="AK8" s="71"/>
      <c r="AL8" s="71"/>
      <c r="AM8" s="71"/>
      <c r="AN8" s="71"/>
      <c r="AO8" s="44"/>
    </row>
    <row r="9" spans="1:41">
      <c r="A9" s="64" t="s">
        <v>6</v>
      </c>
      <c r="B9" s="32">
        <v>46100</v>
      </c>
      <c r="C9" s="65" t="s">
        <v>83</v>
      </c>
      <c r="D9" s="56" t="s">
        <v>84</v>
      </c>
      <c r="E9" t="s">
        <v>81</v>
      </c>
      <c r="F9" s="56"/>
      <c r="G9" s="66" t="s">
        <v>85</v>
      </c>
      <c r="H9" s="46">
        <f t="shared" ref="H9" si="2">Q9+R9+S9+T9+U9</f>
        <v>1</v>
      </c>
      <c r="I9" s="47">
        <f t="shared" ref="I8:I10" si="3">(Q$3*Q9)+(R$3*R9)+(S$3*S9)+(T$3*T9)+(U$3*U9)</f>
        <v>80</v>
      </c>
      <c r="J9" s="67"/>
      <c r="K9" s="56"/>
      <c r="L9" s="57"/>
      <c r="M9" s="56"/>
      <c r="N9" s="56"/>
      <c r="O9" s="56"/>
      <c r="P9" s="58"/>
      <c r="Q9" s="59"/>
      <c r="R9" s="59"/>
      <c r="S9" s="59"/>
      <c r="T9" s="59">
        <v>1</v>
      </c>
      <c r="U9" s="59"/>
      <c r="V9" s="60"/>
      <c r="W9" s="59"/>
      <c r="X9" s="59"/>
      <c r="Y9" s="59"/>
      <c r="Z9" s="59"/>
      <c r="AA9" s="59"/>
      <c r="AB9" s="59"/>
      <c r="AC9" s="61"/>
      <c r="AD9" s="59"/>
      <c r="AE9" s="59"/>
      <c r="AF9" s="59"/>
      <c r="AG9" s="59"/>
      <c r="AH9" s="59"/>
      <c r="AI9" s="59"/>
      <c r="AJ9" s="59"/>
      <c r="AK9" s="63"/>
      <c r="AL9" s="59"/>
      <c r="AM9" s="59"/>
      <c r="AN9" s="59"/>
      <c r="AO9" s="62"/>
    </row>
    <row r="10" spans="1:41">
      <c r="A10" s="36" t="s">
        <v>6</v>
      </c>
      <c r="B10" s="32">
        <v>46100</v>
      </c>
      <c r="C10" s="72" t="s">
        <v>86</v>
      </c>
      <c r="D10" s="50" t="s">
        <v>84</v>
      </c>
      <c r="E10" t="s">
        <v>81</v>
      </c>
      <c r="F10" s="50"/>
      <c r="G10" s="50"/>
      <c r="H10" s="69"/>
      <c r="I10" s="55">
        <f t="shared" si="3"/>
        <v>0</v>
      </c>
      <c r="J10" s="50"/>
      <c r="K10" s="50"/>
      <c r="L10" s="50"/>
      <c r="M10" s="50"/>
      <c r="N10" s="50"/>
      <c r="O10" s="50"/>
      <c r="P10" s="73"/>
      <c r="Q10" s="74"/>
      <c r="R10" s="74"/>
      <c r="S10" s="74"/>
      <c r="T10" s="74"/>
      <c r="U10" s="74"/>
      <c r="V10" s="75"/>
      <c r="W10" s="74"/>
      <c r="X10" s="74"/>
      <c r="Y10" s="74"/>
      <c r="Z10" s="74"/>
      <c r="AA10" s="74"/>
      <c r="AB10" s="74"/>
      <c r="AC10" s="76"/>
      <c r="AD10" s="74"/>
      <c r="AE10" s="74"/>
      <c r="AF10" s="74"/>
      <c r="AG10" s="74"/>
      <c r="AH10" s="74"/>
      <c r="AI10" s="74"/>
      <c r="AJ10" s="76"/>
      <c r="AK10" s="74"/>
      <c r="AL10" s="74"/>
      <c r="AM10" s="74"/>
      <c r="AN10" s="74"/>
      <c r="AO10" s="76"/>
    </row>
  </sheetData>
  <mergeCells count="4">
    <mergeCell ref="Q1:U1"/>
    <mergeCell ref="V1:AC1"/>
    <mergeCell ref="AD1:AJ1"/>
    <mergeCell ref="AL1:AO1"/>
  </mergeCells>
  <conditionalFormatting sqref="E2:E7">
    <cfRule type="cellIs" dxfId="3" priority="4" operator="equal">
      <formula>"Delivered"</formula>
    </cfRule>
  </conditionalFormatting>
  <conditionalFormatting sqref="L2:L3">
    <cfRule type="containsText" dxfId="2" priority="3" operator="containsText" text="Sent">
      <formula>NOT(ISERROR(SEARCH("Sent",L2)))</formula>
    </cfRule>
  </conditionalFormatting>
  <conditionalFormatting sqref="L6">
    <cfRule type="containsText" dxfId="1" priority="2" operator="containsText" text="Sent">
      <formula>NOT(ISERROR(SEARCH("Sent",L6)))</formula>
    </cfRule>
  </conditionalFormatting>
  <conditionalFormatting sqref="L4">
    <cfRule type="containsText" dxfId="0" priority="1" operator="containsText" text="Sent">
      <formula>NOT(ISERROR(SEARCH("Sent",L4)))</formula>
    </cfRule>
  </conditionalFormatting>
  <hyperlinks>
    <hyperlink ref="G6" r:id="rId1" xr:uid="{026C4393-D359-45A7-887A-C03FDAB12077}"/>
    <hyperlink ref="G5" r:id="rId2" xr:uid="{8AB0E10D-B7F2-4537-B039-DBBA3BF8E269}"/>
    <hyperlink ref="G4" r:id="rId3" xr:uid="{183DC555-56CB-4798-9838-A79DACC81620}"/>
    <hyperlink ref="G7" r:id="rId4" xr:uid="{8713C7AB-2FF1-4D4D-ADA4-B657ECB5F710}"/>
    <hyperlink ref="J5" r:id="rId5" xr:uid="{4D18C1C3-2852-4DFE-91AF-78292F5482B4}"/>
    <hyperlink ref="D7" r:id="rId6" xr:uid="{97569262-DA4E-477B-B997-FDB9E0A208C3}"/>
    <hyperlink ref="D5" r:id="rId7" xr:uid="{967B8FE1-DDB2-4F88-A2C4-786E7F813B68}"/>
    <hyperlink ref="G8" r:id="rId8" xr:uid="{9ABC9198-E53F-4D76-9A45-A0333DF16B79}"/>
    <hyperlink ref="G9" r:id="rId9" xr:uid="{2AD0B065-623B-415C-AC3D-5284F77C19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Gomez</cp:lastModifiedBy>
  <cp:revision/>
  <dcterms:created xsi:type="dcterms:W3CDTF">2026-03-20T10:44:06Z</dcterms:created>
  <dcterms:modified xsi:type="dcterms:W3CDTF">2026-03-23T11:41:36Z</dcterms:modified>
  <cp:category/>
  <cp:contentStatus/>
</cp:coreProperties>
</file>