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IssaTh\Downloads\"/>
    </mc:Choice>
  </mc:AlternateContent>
  <xr:revisionPtr revIDLastSave="2688" documentId="13_ncr:1_{DAE372C7-6B1E-4E70-95F9-4E909ABCECB0}" xr6:coauthVersionLast="47" xr6:coauthVersionMax="47" xr10:uidLastSave="{0274B084-C036-4B17-8BEF-8F065B028945}"/>
  <bookViews>
    <workbookView xWindow="28680" yWindow="-120" windowWidth="29040" windowHeight="15840" firstSheet="1" activeTab="1" xr2:uid="{527DF874-B38F-4222-8A80-3894DDAA6752}"/>
  </bookViews>
  <sheets>
    <sheet name="Overview" sheetId="13" state="hidden" r:id="rId1"/>
    <sheet name="Bose" sheetId="11" r:id="rId2"/>
  </sheets>
  <definedNames>
    <definedName name="_xlnm._FilterDatabase" localSheetId="1" hidden="1">Bose!$A$5:$AU$76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11" l="1"/>
  <c r="K66" i="11"/>
  <c r="J67" i="11"/>
  <c r="K67" i="11"/>
  <c r="J68" i="11"/>
  <c r="K68" i="11"/>
  <c r="J69" i="11"/>
  <c r="K69" i="11"/>
  <c r="K64" i="11"/>
  <c r="K65" i="11"/>
  <c r="J64" i="11"/>
  <c r="J65" i="11"/>
  <c r="J58" i="11"/>
  <c r="I10" i="13"/>
  <c r="H10" i="13"/>
  <c r="G10" i="13"/>
  <c r="F10" i="13"/>
  <c r="E10" i="13"/>
  <c r="D10" i="13"/>
  <c r="C10" i="13"/>
  <c r="B10" i="13"/>
  <c r="I5" i="13"/>
  <c r="H5" i="13"/>
  <c r="E5" i="13"/>
  <c r="D5" i="13"/>
  <c r="C5" i="13"/>
  <c r="B5" i="13"/>
  <c r="B11" i="13"/>
  <c r="C11" i="13"/>
  <c r="D11" i="13"/>
  <c r="E11" i="13"/>
  <c r="F11" i="13"/>
  <c r="G11" i="13"/>
  <c r="H11" i="13"/>
  <c r="I11" i="13"/>
  <c r="B6" i="13"/>
  <c r="C6" i="13"/>
  <c r="D6" i="13"/>
  <c r="E6" i="13"/>
  <c r="H6" i="13"/>
  <c r="I6" i="13"/>
  <c r="J63" i="11"/>
  <c r="K63" i="11"/>
  <c r="G5" i="13" s="1"/>
  <c r="G6" i="13" s="1"/>
  <c r="K62" i="11"/>
  <c r="J62" i="11"/>
  <c r="K61" i="11"/>
  <c r="K60" i="11"/>
  <c r="J60" i="11"/>
  <c r="K58" i="11"/>
  <c r="F5" i="13" s="1"/>
  <c r="F6" i="13" s="1"/>
  <c r="K57" i="11"/>
  <c r="J57" i="11"/>
  <c r="K55" i="11"/>
  <c r="K56" i="11"/>
  <c r="J54" i="11"/>
  <c r="J55" i="11"/>
  <c r="J56" i="11"/>
  <c r="K54" i="11"/>
  <c r="K53" i="11"/>
  <c r="J53" i="11"/>
  <c r="J52" i="11"/>
  <c r="K52" i="11"/>
  <c r="J51" i="11"/>
  <c r="K51" i="11"/>
  <c r="K50" i="11"/>
  <c r="J50" i="11"/>
  <c r="K49" i="11"/>
  <c r="J48" i="11"/>
  <c r="J49" i="11"/>
  <c r="K48" i="11"/>
  <c r="K47" i="11"/>
  <c r="J47" i="11"/>
  <c r="K46" i="11"/>
  <c r="J45" i="11"/>
  <c r="K45" i="11"/>
  <c r="J42" i="11"/>
  <c r="J37" i="11"/>
  <c r="J38" i="11"/>
  <c r="J39" i="11"/>
  <c r="J40" i="11"/>
  <c r="J41" i="11"/>
  <c r="J43" i="11"/>
  <c r="J44" i="11"/>
  <c r="K44" i="11"/>
  <c r="K41" i="11"/>
  <c r="K42" i="11"/>
  <c r="K39" i="11"/>
  <c r="K37" i="11"/>
  <c r="K38" i="11"/>
  <c r="K36" i="11"/>
  <c r="J36" i="11"/>
  <c r="K35" i="11"/>
  <c r="J34" i="11"/>
  <c r="K34" i="11"/>
  <c r="J33" i="11"/>
  <c r="K33" i="11"/>
  <c r="J32" i="11"/>
  <c r="K32" i="11"/>
  <c r="J31" i="11"/>
  <c r="K31" i="11"/>
  <c r="K21" i="11"/>
  <c r="K22" i="11"/>
  <c r="K23" i="11"/>
  <c r="K24" i="11"/>
  <c r="K25" i="11"/>
  <c r="K26" i="11"/>
  <c r="K27" i="11"/>
  <c r="K29" i="11"/>
  <c r="K28" i="11"/>
  <c r="K30" i="11"/>
  <c r="J21" i="11"/>
  <c r="J22" i="11"/>
  <c r="J23" i="11"/>
  <c r="J24" i="11"/>
  <c r="J25" i="11"/>
  <c r="J26" i="11"/>
  <c r="J29" i="11"/>
  <c r="J28" i="11"/>
  <c r="J30" i="11"/>
  <c r="J20" i="11"/>
  <c r="K20" i="11"/>
  <c r="J18" i="11"/>
  <c r="K18" i="11"/>
  <c r="J19" i="11"/>
  <c r="K19" i="11"/>
  <c r="J16" i="11"/>
  <c r="K16" i="11"/>
  <c r="J17" i="11"/>
  <c r="K17" i="11"/>
  <c r="J14" i="11"/>
  <c r="K14" i="11"/>
  <c r="J15" i="11"/>
  <c r="K15" i="11"/>
  <c r="K13" i="11"/>
  <c r="J13" i="11"/>
  <c r="J12" i="11"/>
  <c r="K12" i="11"/>
  <c r="J10" i="11"/>
  <c r="K10" i="11"/>
  <c r="J11" i="11"/>
  <c r="K11" i="11"/>
  <c r="J9" i="11"/>
  <c r="K9" i="11"/>
  <c r="J7" i="11"/>
  <c r="K7" i="11"/>
  <c r="J8" i="11"/>
  <c r="K8" i="11"/>
  <c r="K6" i="11"/>
  <c r="J6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AT1" i="11"/>
  <c r="AU1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Q2" i="11"/>
  <c r="Q1" i="11"/>
  <c r="C14" i="13" l="1"/>
  <c r="B14" i="13"/>
  <c r="C15" i="13"/>
  <c r="B15" i="13"/>
  <c r="J2" i="11"/>
  <c r="K2" i="11"/>
  <c r="K1" i="11"/>
  <c r="B16" i="13" l="1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tc={8665C71B-C8E9-4978-BD76-4F8E1942D94F}</author>
    <author>tc={00E0A42E-8E3C-4873-9DCF-62ECD8017C25}</author>
    <author>tc={6EA6DF9E-A801-4EBD-A280-8B1896FE7923}</author>
    <author>tc={B4F980F8-A4D4-4B49-8CCC-EAB6EB9A784E}</author>
  </authors>
  <commentList>
    <comment ref="K40" authorId="0" shapeId="0" xr:uid="{8665C71B-C8E9-4978-BD76-4F8E1942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€1830 printing cost
Approved via email 18/02/2026
</t>
      </text>
    </comment>
    <comment ref="K43" authorId="1" shapeId="0" xr:uid="{00E0A42E-8E3C-4873-9DCF-62ECD8017C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€660 printing cost approved by Amaka 17/02/2026
</t>
      </text>
    </comment>
    <comment ref="K59" authorId="2" shapeId="0" xr:uid="{6EA6DF9E-A801-4EBD-A280-8B1896FE79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Printing 250 badges + Lanyards - confirmed by Amaka via WhatsApp 16/03/2026
</t>
      </text>
    </comment>
    <comment ref="K71" authorId="3" shapeId="0" xr:uid="{B4F980F8-A4D4-4B49-8CCC-EAB6EB9A784E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Selon le message reçu de Megan le 26/08/2025</t>
      </text>
    </comment>
  </commentList>
</comments>
</file>

<file path=xl/sharedStrings.xml><?xml version="1.0" encoding="utf-8"?>
<sst xmlns="http://schemas.openxmlformats.org/spreadsheetml/2006/main" count="702" uniqueCount="236">
  <si>
    <t>Performance Dashboard — Sarani / Bose</t>
  </si>
  <si>
    <t>REVENUS (€)</t>
  </si>
  <si>
    <t>Q1</t>
  </si>
  <si>
    <t>Q2</t>
  </si>
  <si>
    <t>Q3</t>
  </si>
  <si>
    <t>Q4</t>
  </si>
  <si>
    <t>Bose</t>
  </si>
  <si>
    <t>TOTAL</t>
  </si>
  <si>
    <t>NOMBRE DE PROJETS</t>
  </si>
  <si>
    <t>SYNTHÈSE ANNUELLE</t>
  </si>
  <si>
    <t>Revenus (€)</t>
  </si>
  <si>
    <t>Projets</t>
  </si>
  <si>
    <t>Rev. / Projet (€)</t>
  </si>
  <si>
    <t>Price File</t>
  </si>
  <si>
    <t>Online</t>
  </si>
  <si>
    <t>Offline</t>
  </si>
  <si>
    <t>Presentations</t>
  </si>
  <si>
    <t>Web</t>
  </si>
  <si>
    <t>Videos</t>
  </si>
  <si>
    <t>Virtualization</t>
  </si>
  <si>
    <t>Copy</t>
  </si>
  <si>
    <t>Project</t>
  </si>
  <si>
    <t>Details
PO 4900215137 &gt;&gt; 30 000€
1 invoice per month at the end of it</t>
  </si>
  <si>
    <r>
      <t xml:space="preserve">Banner creation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</si>
  <si>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(static)</t>
    </r>
  </si>
  <si>
    <r>
      <t xml:space="preserve">Banner creation </t>
    </r>
    <r>
      <rPr>
        <i/>
        <sz val="11"/>
        <color theme="0"/>
        <rFont val="Calibri"/>
        <family val="2"/>
        <scheme val="minor"/>
      </rPr>
      <t>(animated)</t>
    </r>
  </si>
  <si>
    <r>
      <t xml:space="preserve">Banner adaptation </t>
    </r>
    <r>
      <rPr>
        <i/>
        <sz val="11"/>
        <color theme="0"/>
        <rFont val="Calibri"/>
        <family val="2"/>
        <scheme val="minor"/>
      </rPr>
      <t>(animated)</t>
    </r>
  </si>
  <si>
    <t>Buttons</t>
  </si>
  <si>
    <t>Logo</t>
  </si>
  <si>
    <t>Lifestyle Picture</t>
  </si>
  <si>
    <t>Wallpapers</t>
  </si>
  <si>
    <r>
      <t xml:space="preserve">Offline creation </t>
    </r>
    <r>
      <rPr>
        <i/>
        <sz val="11"/>
        <color theme="0"/>
        <rFont val="Calibri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</si>
  <si>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Calibri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</si>
  <si>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</si>
  <si>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Calibri"/>
        <family val="2"/>
        <scheme val="minor"/>
      </rPr>
      <t>(2 pages)</t>
    </r>
  </si>
  <si>
    <t>Roll-up / Wall creation</t>
  </si>
  <si>
    <t>Chart</t>
  </si>
  <si>
    <r>
      <t xml:space="preserve">Brochure
</t>
    </r>
    <r>
      <rPr>
        <i/>
        <sz val="11"/>
        <color theme="0"/>
        <rFont val="Calibri"/>
        <family val="2"/>
        <scheme val="minor"/>
      </rPr>
      <t>(20 pages)</t>
    </r>
  </si>
  <si>
    <t>Slide</t>
  </si>
  <si>
    <r>
      <t xml:space="preserve">Landing page 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</si>
  <si>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Calibri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</si>
  <si>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</si>
  <si>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Calibri"/>
        <family val="2"/>
        <scheme val="minor"/>
      </rPr>
      <t>(complete)</t>
    </r>
  </si>
  <si>
    <t>Video Edition</t>
  </si>
  <si>
    <t>Video Subtitles / Adaptations</t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</si>
  <si>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30s)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</si>
  <si>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1 min)</t>
    </r>
  </si>
  <si>
    <r>
      <rPr>
        <b/>
        <sz val="11"/>
        <color rgb="FFFFFFFF"/>
        <rFont val="Calibri"/>
      </rPr>
      <t xml:space="preserve">Promotional Video
</t>
    </r>
    <r>
      <rPr>
        <i/>
        <sz val="11"/>
        <color rgb="FFFFFFFF"/>
        <rFont val="Calibri"/>
      </rPr>
      <t>(up to 1 min)</t>
    </r>
  </si>
  <si>
    <r>
      <t xml:space="preserve">2D Video 
</t>
    </r>
    <r>
      <rPr>
        <i/>
        <sz val="11"/>
        <color theme="0"/>
        <rFont val="Calibri"/>
        <family val="2"/>
        <scheme val="minor"/>
      </rPr>
      <t>(up to 3mn)</t>
    </r>
  </si>
  <si>
    <r>
      <t xml:space="preserve">3D Video 
</t>
    </r>
    <r>
      <rPr>
        <i/>
        <sz val="11"/>
        <color theme="0"/>
        <rFont val="Calibri"/>
        <family val="2"/>
        <scheme val="minor"/>
      </rPr>
      <t>(up to 3min)</t>
    </r>
  </si>
  <si>
    <t>Virtual space</t>
  </si>
  <si>
    <t>Virtual showroom</t>
  </si>
  <si>
    <r>
      <t xml:space="preserve">Translation 
</t>
    </r>
    <r>
      <rPr>
        <i/>
        <sz val="11"/>
        <color theme="0"/>
        <rFont val="Calibri"/>
        <family val="2"/>
        <scheme val="minor"/>
      </rPr>
      <t>(per word)</t>
    </r>
  </si>
  <si>
    <r>
      <rPr>
        <b/>
        <sz val="11"/>
        <color rgb="FFFFFFFF"/>
        <rFont val="Calibri"/>
        <scheme val="minor"/>
      </rPr>
      <t xml:space="preserve">Transcription </t>
    </r>
    <r>
      <rPr>
        <i/>
        <sz val="11"/>
        <color rgb="FFFFFFFF"/>
        <rFont val="Calibri"/>
        <scheme val="minor"/>
      </rPr>
      <t>(per word)</t>
    </r>
  </si>
  <si>
    <t>Customer</t>
  </si>
  <si>
    <t xml:space="preserve">Region  </t>
  </si>
  <si>
    <t xml:space="preserve">Reseller </t>
  </si>
  <si>
    <t>Date</t>
  </si>
  <si>
    <t>Contact</t>
  </si>
  <si>
    <t>Status</t>
  </si>
  <si>
    <t>Category</t>
  </si>
  <si>
    <t>Link</t>
  </si>
  <si>
    <t>Assets</t>
  </si>
  <si>
    <t>Total Value</t>
  </si>
  <si>
    <t>Quote</t>
  </si>
  <si>
    <t>PO</t>
  </si>
  <si>
    <t>Invoice</t>
  </si>
  <si>
    <t>n° Invoice</t>
  </si>
  <si>
    <t>Statut</t>
  </si>
  <si>
    <t xml:space="preserve">Germany </t>
  </si>
  <si>
    <t xml:space="preserve">Media Markt Saturn </t>
  </si>
  <si>
    <t>Media Markt Saturn Home Theatre Bundle SBA Banner</t>
  </si>
  <si>
    <t>Daniel Browne</t>
  </si>
  <si>
    <t>Delivered</t>
  </si>
  <si>
    <t>EMEA</t>
  </si>
  <si>
    <t>https://saranistudio.sharepoint.com/:f:/s/SaraniAssets/Ej8JJaDctwVLgXpVrtyzDxwB-8sSy5M2UCWVUtVZRK8dRQ?e=tl8Hdj</t>
  </si>
  <si>
    <t>-</t>
  </si>
  <si>
    <t>Submitted to SAP</t>
  </si>
  <si>
    <t>F2025-0695</t>
  </si>
  <si>
    <t>Paid 09/03/2026</t>
  </si>
  <si>
    <t>UK</t>
  </si>
  <si>
    <t xml:space="preserve">John Lewis </t>
  </si>
  <si>
    <t>Bose Citrus Managed Service</t>
  </si>
  <si>
    <t>https://saranistudio.sharepoint.com/:f:/s/SaraniAssets/Enzw3IbgWzdCtNTmIqLTfrMBPvThIDmr7X_7WJNFzBHKQg?e=yRQvdh</t>
  </si>
  <si>
    <t>EU3</t>
  </si>
  <si>
    <t>N/A</t>
  </si>
  <si>
    <t xml:space="preserve">Bose EU Business Cards </t>
  </si>
  <si>
    <t>20251006_Bose EU Business Cards</t>
  </si>
  <si>
    <t xml:space="preserve">Currys </t>
  </si>
  <si>
    <t>Bose Brand Page Project for Currys</t>
  </si>
  <si>
    <t>Julieta Altamirano</t>
  </si>
  <si>
    <t>https://saranistudio.sharepoint.com/:f:/s/SaraniAssets/EqqZ1HFS_ANAkhJ9LuxKyWgB9fEON-90mFPnp0GHRWEOfA?e=ZpgfEf</t>
  </si>
  <si>
    <t>F2025-0782</t>
  </si>
  <si>
    <t>Waiting payment for 02/04/2026</t>
  </si>
  <si>
    <t>Argos</t>
  </si>
  <si>
    <t>Bose Holiday Harder Brief UK - ARGOS</t>
  </si>
  <si>
    <t>20251024_Bose Holiday Harder Brief UK - ARGOS</t>
  </si>
  <si>
    <t xml:space="preserve">Bose Holiday Harder brief: Currys </t>
  </si>
  <si>
    <t>20251024_Bose Holiday Harder brief Currys</t>
  </si>
  <si>
    <t>Brief Currys Speakers media affiliates display</t>
  </si>
  <si>
    <t>20251107_Brief Currys Speakers media affiliates display</t>
  </si>
  <si>
    <t>SK</t>
  </si>
  <si>
    <t>Komplett</t>
  </si>
  <si>
    <t>Komplett x BOSE marketing Q4</t>
  </si>
  <si>
    <t>Regina Melo</t>
  </si>
  <si>
    <t>https://saranistudio.sharepoint.com/:f:/s/SaraniAssets/Ev5illVneQNPnk5vFKuQsHwBa50O58NVGnI8-qsVefCOEA?e=l2TOYp</t>
  </si>
  <si>
    <t>JLP Hang cards_ Artwork request</t>
  </si>
  <si>
    <t>Ophélie JUCHET</t>
  </si>
  <si>
    <t>20251107_JLP Hang cards - Artwork request</t>
  </si>
  <si>
    <t>Bose - resize photo</t>
  </si>
  <si>
    <t>https://saranistudio.sharepoint.com/:f:/s/SaraniAssets/IgC9s71-q0JsR6kiNaOrlHUcAaLzM4XDqfQlIiXimwmiyd0?e=M4eeXQ</t>
  </si>
  <si>
    <t>FR</t>
  </si>
  <si>
    <t xml:space="preserve">Boulanger </t>
  </si>
  <si>
    <t>Bose : Creative request for Boulanger</t>
  </si>
  <si>
    <t>Mehdi Youssfi</t>
  </si>
  <si>
    <t>20251119_Creative request for Boulanger</t>
  </si>
  <si>
    <t>Campagne TV magasins Boulanger</t>
  </si>
  <si>
    <t>https://saranistudio.sharepoint.com/:f:/s/SaraniAssets/IgAV5aojuKzKQrG3nyEEvxpNAdM7M9gjOK_KWBoVt7qjU4s?e=Iy6JBc</t>
  </si>
  <si>
    <t>EU</t>
  </si>
  <si>
    <t>MSH</t>
  </si>
  <si>
    <t>A4 Banners for Jet Service</t>
  </si>
  <si>
    <t>https://saranistudio.sharepoint.com/:f:/s/SaraniAssets/IgAMp2DncQF-TpJywobyBjeSAepyfM4Rm51hOwsO6Yh0LAk?e=dfmgzT</t>
  </si>
  <si>
    <t>GCD</t>
  </si>
  <si>
    <t>BOSE FY26Q2 | QuietComfort Ultra Headphone 2nd Gen | New Assets</t>
  </si>
  <si>
    <t>https://saranistudio.sharepoint.com/sites/SaraniAssets/Shared%20Documents/Forms/AllItems.aspx?id=%2Fsites%2FSaraniAssets%2FShared%20Documents%2F03%2E%20Customers%2F19%2E%20Bose%2F02%2E%20Projects%2F20251120%5FBOSE%20FY26Q2%20QuietComfort%20Ultra%20Headphone%202nd%20Gen&amp;p=true&amp;ga=1</t>
  </si>
  <si>
    <t>Bose EU Music Fest 2026 Save the Date</t>
  </si>
  <si>
    <t>20251124_Bose EU Music Fest 2026 Save the Date</t>
  </si>
  <si>
    <t>ANZ</t>
  </si>
  <si>
    <t>Sarani Brief x ANZ // Holiday Harder social edits</t>
  </si>
  <si>
    <t>Georgia Lucas</t>
  </si>
  <si>
    <t>https://saranistudio.sharepoint.com/:f:/s/SaraniAssets/IgBEKvFdK47HRYVDX2iR-Eo5AW1wC82sA2c7wTePYed7mPk?e=259ht0</t>
  </si>
  <si>
    <t>Media Markt</t>
  </si>
  <si>
    <t xml:space="preserve">MMS December Display Ads DE </t>
  </si>
  <si>
    <t>https://saranistudio.sharepoint.com/:f:/s/SaraniAssets/IgAym-XhXu8HT6-EMhywfjMEAZZADYNkvQ--X8rRLXHM570?e=2WrDPJ</t>
  </si>
  <si>
    <t>F2025-0832</t>
  </si>
  <si>
    <t>Waiting payment for 29/04/2026</t>
  </si>
  <si>
    <t>Media Markt Social Image edits</t>
  </si>
  <si>
    <t>20251202_Media Markt Social Image edits</t>
  </si>
  <si>
    <t xml:space="preserve">SBA Banners Media Markt </t>
  </si>
  <si>
    <t>https://saranistudio.sharepoint.com/:f:/s/SaraniAssets/IgDzNmkXWfKbRadZGlZ8BPJMAbzSsrPCHfnfzEvxHZ-9ANg?e=Zctmrz</t>
  </si>
  <si>
    <t>Resizing Banner - Brack</t>
  </si>
  <si>
    <t>https://saranistudio.sharepoint.com/:f:/s/SaraniAssets/IgCouEcFzS00QYNaWiaUiIiPAST4MFb7M83LAfbJRvbpdTo?e=k1JnaR</t>
  </si>
  <si>
    <t>MW IT - IG Story</t>
  </si>
  <si>
    <t>20251215_MW IT - IG Story</t>
  </si>
  <si>
    <t>MW IT - Headphone banners</t>
  </si>
  <si>
    <t>https://saranistudio.sharepoint.com/:f:/s/SaraniAssets/IgCWDBs7oNUzToOxSYSQ8uDzAew_00__P-aRqf9kAqu8ng4?e=CCSvTk</t>
  </si>
  <si>
    <t>JLP HANG CARDS - FINAL</t>
  </si>
  <si>
    <t>Bose Days 2026 creatives request</t>
  </si>
  <si>
    <t>20251222_Bose Days 2026 creatives request</t>
  </si>
  <si>
    <t>F2026-0039</t>
  </si>
  <si>
    <t>Waiting payment for 27/05/2026</t>
  </si>
  <si>
    <t>Q4 Media Markt Saturn DE SBA Banners</t>
  </si>
  <si>
    <t>https://saranistudio.sharepoint.com/:f:/s/SaraniAssets/IgAQ9EdMR-UTRLsrhw5ux-vtAfi4YKHCCvErufHBix4jmA4?e=u55nKD</t>
  </si>
  <si>
    <t>Costco</t>
  </si>
  <si>
    <t>Bose - Costco UK New Product Listing</t>
  </si>
  <si>
    <t>Amaka Onyali</t>
  </si>
  <si>
    <t>https://saranistudio.sharepoint.com/:f:/s/SaraniAssets/IgAVoDXokTScS5FtMv7RSCm8ASRJV73e59NvhUWy_5jvgD0?e=BnFU2E</t>
  </si>
  <si>
    <t>Elkjop</t>
  </si>
  <si>
    <t xml:space="preserve">Elkjop - Banner Resizing </t>
  </si>
  <si>
    <t>https://saranistudio.sharepoint.com/:f:/s/SaraniAssets/IgCRboklNZF2TpGpBEXdLKJcAYuRSlpWHFCIUhfzlSoQMmE?e=5HLbsX</t>
  </si>
  <si>
    <t xml:space="preserve">Bose EU Music Fest 2026 Save the Date - extra </t>
  </si>
  <si>
    <t>Elkjop - Package KV</t>
  </si>
  <si>
    <t>20260202_Elkjop - Package KV</t>
  </si>
  <si>
    <t>F2026-0093</t>
  </si>
  <si>
    <t>Waiting payment for 01/07/2026</t>
  </si>
  <si>
    <t>Media Markt - Seasonal Flyer</t>
  </si>
  <si>
    <t>Denis Savchenko</t>
  </si>
  <si>
    <t>https://saranistudio.sharepoint.com/:f:/s/SaraniAssets/IgB17_dESIpSRLPeUrkzbcNTASadUySvO2ugYdm4HSgwBc4?e=OtYhth</t>
  </si>
  <si>
    <t>Bose Days 2026 creatives request (missing banners)</t>
  </si>
  <si>
    <t>WHSmith Airport Screens</t>
  </si>
  <si>
    <t>Bose - Brief x ANZ // WHSmith Airport Screens</t>
  </si>
  <si>
    <t>20260210_Sarani Brief x ANZ - WHSmith Airport Screens</t>
  </si>
  <si>
    <t>Unieuro</t>
  </si>
  <si>
    <t>Bose / Unieuro - Dedicated Page</t>
  </si>
  <si>
    <t>20260210_Unieuro - Dedicated Page</t>
  </si>
  <si>
    <t>ANZ 2026 Music Fest Invitations</t>
  </si>
  <si>
    <t>20260212_ANZ 2026 Music Fest Invitations</t>
  </si>
  <si>
    <t>Bose Posters</t>
  </si>
  <si>
    <t>20260210_Posters</t>
  </si>
  <si>
    <t>Trade Marketing FY27 PPT Template Creation</t>
  </si>
  <si>
    <t>https://saranistudio.sharepoint.com/:f:/s/SaraniAssets/IgD5DkLWGuMURp0okCP_Q6HUAWT2gQPlhVGzbC5VVJ4-RGg?e=jtfQVM</t>
  </si>
  <si>
    <t>Media World Italy</t>
  </si>
  <si>
    <t>MW Italy - Banners Headphones / Earbuds 1st Generation</t>
  </si>
  <si>
    <t>Regina Melo </t>
  </si>
  <si>
    <t>20260216_MW Italy - Banners Headphones Earbuds 1st Generation</t>
  </si>
  <si>
    <t>Bose UK - Music Fest Badges</t>
  </si>
  <si>
    <t>20260217_Bose UK - Music Fest Badges</t>
  </si>
  <si>
    <t>20260217_Costco UK New Product Listing</t>
  </si>
  <si>
    <t>Bose Days 2026 creatives request - extra</t>
  </si>
  <si>
    <t>https://saranistudio.sharepoint.com/:f:/s/SaraniAssets/IgC8iAKR9jn3TqYpn5MhEeD9ARod6u8jdzrIyfbp0HrCfeI?e=ZTjrT7</t>
  </si>
  <si>
    <t>Bose - Norway - Komplett Banners</t>
  </si>
  <si>
    <t>https://saranistudio.sharepoint.com/:f:/s/SaraniAssets/IgCImbSX_BjUSIaC8wupzi44AZ3jnlXn9djeX-IfjtIXgqk?e=Gs3koh</t>
  </si>
  <si>
    <t>Trade Marketing FY27 PPT Template - Dan Browne</t>
  </si>
  <si>
    <t>FNAC</t>
  </si>
  <si>
    <t>Fnac ITH execution rendering request</t>
  </si>
  <si>
    <t>20260224_Fnac ITH execution rendering request</t>
  </si>
  <si>
    <t>Trade Marketing FY27 PPT Template - Nesrine</t>
  </si>
  <si>
    <t>Nesrine Khawaja</t>
  </si>
  <si>
    <t>URGENT Bose Brief / JPN ITH Catalogue</t>
  </si>
  <si>
    <t>https://saranistudio.sharepoint.com/:f:/s/SaraniAssets/IgDbft-lBXSCSZm_h3GO7oI9AZ0iDdUUfK7mBnfUH4CrtlU?e=C5ghni</t>
  </si>
  <si>
    <t>Elkjop - Package KV (additonal banners)</t>
  </si>
  <si>
    <t>Media Expert</t>
  </si>
  <si>
    <t>Media Expert - KV</t>
  </si>
  <si>
    <t>20260302_Media Expert - KV</t>
  </si>
  <si>
    <t>Bose - exclusive Lifestyle content</t>
  </si>
  <si>
    <t>Mehdi Daile</t>
  </si>
  <si>
    <t>20260303_Bose exclusive Lifestyle content</t>
  </si>
  <si>
    <t>New creative request for Boulanger : March promo</t>
  </si>
  <si>
    <t>20260303_New creative request for Boulanger March promo</t>
  </si>
  <si>
    <t>Bose - Pop-up creative direction Porsche Tennis Grand Prix</t>
  </si>
  <si>
    <t>https://saranistudio.sharepoint.com/:f:/s/SaraniAssets/IgCRJy13_QfHRrQfEqKp4k6TAa3Lz5Qn-qRTmyNnAgt87Xs?e=Uc2A8z</t>
  </si>
  <si>
    <t>Demo Boxes - ITH</t>
  </si>
  <si>
    <t>20260305_Demo Boxes - ITH</t>
  </si>
  <si>
    <t>Bose - MMS DE SBA Video Campaign Opportunity</t>
  </si>
  <si>
    <t>https://saranistudio.sharepoint.com/:f:/s/SaraniAssets/IgBErnfiOTreS5UBTsybpbbUAdRzraTszh-VCuMpzE8BJfI?e=T5851J</t>
  </si>
  <si>
    <t>Music Fest PPT</t>
  </si>
  <si>
    <t>20260313_Music Fest PPT</t>
  </si>
  <si>
    <t>Music Fest Paris Badges &amp; Lanyards</t>
  </si>
  <si>
    <t xml:space="preserve">Contremarques Bose Fnac - Darty </t>
  </si>
  <si>
    <t>In Progress</t>
  </si>
  <si>
    <t>20260316_Contremarques Bose Fnac - Darty</t>
  </si>
  <si>
    <t>Request for formatting / FD Exhibition files</t>
  </si>
  <si>
    <t>Ophélie Juchet</t>
  </si>
  <si>
    <t>20260317_Request for formatting - FD Exhibition files</t>
  </si>
  <si>
    <t>Costco Stickers</t>
  </si>
  <si>
    <t>https://saranistudio.sharepoint.com/:f:/s/SaraniAssets/IgDHQ_QBHnGARIKoHr-_2gKaAakG52KuZ-nNk-_DACJYe1s?e=LRzRIt</t>
  </si>
  <si>
    <t>Boulanger Banners - Jours ++</t>
  </si>
  <si>
    <t>https://saranistudio.sharepoint.com/:f:/s/SaraniAssets/IgCk2ogcu7RxSbB-tGRvULCtARWyS0jXz14QhwZZwa-VwX8?e=ea1AeZ</t>
  </si>
  <si>
    <t>Boulanger Banners - French Days</t>
  </si>
  <si>
    <t>https://saranistudio.sharepoint.com/:f:/s/SaraniAssets/IgDwsVdDIxMwRrf3enFo4gaKAfNoBqm1bxo6uW-KHrKNi5s?e=YvdQ9x</t>
  </si>
  <si>
    <t>Boulanger Banners - Les Beaux Jours</t>
  </si>
  <si>
    <t>https://saranistudio.sharepoint.com/:f:/s/SaraniAssets/IgD81GAjsqVWQY9oF_sStFphAQiKJIKmWH9uYDoKiXBP1AM?e=RBO3RS</t>
  </si>
  <si>
    <t>Slide - Thank you</t>
  </si>
  <si>
    <t>20260325_Bose - Slide - Thank you</t>
  </si>
  <si>
    <t>Bose Brand Page Project for Currys - Reseller ITH brand store</t>
  </si>
  <si>
    <t>20260325_Bose Brand Page Project for Currys - Reseller ITH brand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</si>
</sst>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#,##0.00\ &quot;€&quot;"/>
    <numFmt numFmtId="166" formatCode="#,##0\ &quot;€&quot;"/>
    <numFmt numFmtId="167" formatCode="_([$€-2]\ * #,##0.00_);_([$€-2]\ * \(#,##0.00\);_([$€-2]\ * &quot;-&quot;??_);_(@_)"/>
    <numFmt numFmtId="168" formatCode="#,##0\ \€;\(#,##0\)\ \€;&quot;-&quot;"/>
    <numFmt numFmtId="169" formatCode="#,##0;\(#,##0\);&quot;-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  <scheme val="minor"/>
    </font>
    <font>
      <i/>
      <sz val="11"/>
      <color rgb="FFFFFFFF"/>
      <name val="Calibri"/>
      <scheme val="minor"/>
    </font>
    <font>
      <sz val="11"/>
      <color rgb="FFFFFFFF"/>
      <name val="Calibri"/>
      <scheme val="minor"/>
    </font>
    <font>
      <i/>
      <sz val="10"/>
      <color theme="1"/>
      <name val="Calibri"/>
      <family val="2"/>
      <scheme val="minor"/>
    </font>
    <font>
      <sz val="11"/>
      <color rgb="FF242424"/>
      <name val="Segoe UI"/>
      <charset val="1"/>
    </font>
    <font>
      <sz val="11"/>
      <color rgb="FF000000"/>
      <name val="Aptos"/>
      <family val="2"/>
      <charset val="1"/>
    </font>
    <font>
      <sz val="11"/>
      <color rgb="FF242424"/>
      <name val="Aptos Narrow"/>
      <charset val="1"/>
    </font>
    <font>
      <sz val="10"/>
      <color rgb="FF333333"/>
      <name val="Lato"/>
      <family val="2"/>
      <charset val="1"/>
    </font>
    <font>
      <sz val="11"/>
      <color rgb="FF000000"/>
      <name val="Calibri"/>
    </font>
    <font>
      <b/>
      <sz val="11"/>
      <color rgb="FF000000"/>
      <name val="Calibri"/>
      <charset val="1"/>
    </font>
    <font>
      <sz val="11"/>
      <color rgb="FFFFFFFF"/>
      <name val="Calibri"/>
    </font>
    <font>
      <b/>
      <sz val="14"/>
      <color rgb="FFF1F5F9"/>
      <name val="Calibri"/>
    </font>
    <font>
      <b/>
      <sz val="10"/>
      <color rgb="FFF1F5F9"/>
      <name val="Calibri"/>
    </font>
    <font>
      <sz val="8"/>
      <color rgb="FF64748B"/>
      <name val="Calibri"/>
    </font>
    <font>
      <sz val="10"/>
      <color rgb="FF94A3B8"/>
      <name val="Calibri"/>
    </font>
    <font>
      <sz val="10"/>
      <color rgb="FFCBD5E1"/>
      <name val="Calibri"/>
    </font>
    <font>
      <b/>
      <sz val="10"/>
      <color rgb="FF10B981"/>
      <name val="Calibri"/>
    </font>
    <font>
      <sz val="10"/>
      <color rgb="FF3B82F6"/>
      <name val="Calibri"/>
    </font>
    <font>
      <b/>
      <sz val="10"/>
      <color rgb="FF3B82F6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rgb="FF3B82F6"/>
      </bottom>
      <diagonal/>
    </border>
    <border>
      <left/>
      <right/>
      <top style="thin">
        <color rgb="FF3B82F6"/>
      </top>
      <bottom/>
      <diagonal/>
    </border>
    <border>
      <left/>
      <right/>
      <top/>
      <bottom style="thin">
        <color rgb="FF10B98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8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/>
    <xf numFmtId="0" fontId="2" fillId="2" borderId="0" xfId="0" applyFont="1" applyFill="1"/>
    <xf numFmtId="164" fontId="2" fillId="2" borderId="0" xfId="1" applyFont="1" applyFill="1"/>
    <xf numFmtId="0" fontId="3" fillId="0" borderId="0" xfId="0" applyFo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14" fontId="0" fillId="0" borderId="0" xfId="0" applyNumberFormat="1"/>
    <xf numFmtId="165" fontId="3" fillId="4" borderId="1" xfId="1" applyNumberFormat="1" applyFont="1" applyFill="1" applyBorder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6" fontId="3" fillId="4" borderId="1" xfId="1" applyNumberFormat="1" applyFont="1" applyFill="1" applyBorder="1" applyAlignment="1">
      <alignment horizontal="center"/>
    </xf>
    <xf numFmtId="166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1" applyFont="1" applyFill="1" applyAlignment="1">
      <alignment horizontal="center"/>
    </xf>
    <xf numFmtId="0" fontId="2" fillId="2" borderId="2" xfId="0" applyFont="1" applyFill="1" applyBorder="1"/>
    <xf numFmtId="0" fontId="3" fillId="4" borderId="2" xfId="0" applyFont="1" applyFill="1" applyBorder="1" applyAlignment="1">
      <alignment horizontal="center"/>
    </xf>
    <xf numFmtId="0" fontId="0" fillId="0" borderId="2" xfId="0" applyBorder="1"/>
    <xf numFmtId="0" fontId="4" fillId="5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6" fillId="0" borderId="0" xfId="2"/>
    <xf numFmtId="0" fontId="11" fillId="3" borderId="0" xfId="0" applyFont="1" applyFill="1" applyAlignment="1">
      <alignment horizontal="center" vertical="center" wrapText="1"/>
    </xf>
    <xf numFmtId="0" fontId="0" fillId="6" borderId="0" xfId="0" applyFill="1"/>
    <xf numFmtId="0" fontId="3" fillId="0" borderId="0" xfId="0" applyFont="1" applyAlignment="1" applyProtection="1">
      <alignment horizontal="center"/>
      <protection locked="0"/>
    </xf>
    <xf numFmtId="0" fontId="6" fillId="0" borderId="0" xfId="2" applyAlignment="1">
      <alignment horizontal="left" vertical="center"/>
    </xf>
    <xf numFmtId="0" fontId="4" fillId="0" borderId="0" xfId="0" applyFont="1"/>
    <xf numFmtId="0" fontId="6" fillId="0" borderId="0" xfId="2" applyFill="1"/>
    <xf numFmtId="164" fontId="0" fillId="0" borderId="0" xfId="1" applyFont="1" applyFill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0" fillId="0" borderId="0" xfId="0" applyAlignment="1">
      <alignment horizontal="left"/>
    </xf>
    <xf numFmtId="164" fontId="0" fillId="0" borderId="0" xfId="1" applyFont="1" applyFill="1" applyAlignment="1">
      <alignment wrapText="1"/>
    </xf>
    <xf numFmtId="0" fontId="0" fillId="0" borderId="4" xfId="0" applyBorder="1"/>
    <xf numFmtId="0" fontId="3" fillId="0" borderId="5" xfId="0" applyFont="1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3" fillId="0" borderId="4" xfId="1" applyFont="1" applyFill="1" applyBorder="1"/>
    <xf numFmtId="14" fontId="0" fillId="0" borderId="0" xfId="0" applyNumberFormat="1" applyAlignment="1">
      <alignment horizontal="center"/>
    </xf>
    <xf numFmtId="0" fontId="13" fillId="6" borderId="0" xfId="0" applyFont="1" applyFill="1"/>
    <xf numFmtId="0" fontId="14" fillId="0" borderId="0" xfId="0" applyFont="1"/>
    <xf numFmtId="0" fontId="15" fillId="0" borderId="0" xfId="0" applyFont="1"/>
    <xf numFmtId="0" fontId="0" fillId="6" borderId="0" xfId="0" applyFill="1" applyAlignment="1">
      <alignment horizontal="center"/>
    </xf>
    <xf numFmtId="0" fontId="6" fillId="0" borderId="0" xfId="2" quotePrefix="1"/>
    <xf numFmtId="0" fontId="16" fillId="6" borderId="0" xfId="0" applyFont="1" applyFill="1" applyAlignment="1">
      <alignment horizontal="center"/>
    </xf>
    <xf numFmtId="164" fontId="0" fillId="7" borderId="0" xfId="1" applyFont="1" applyFill="1"/>
    <xf numFmtId="0" fontId="12" fillId="0" borderId="4" xfId="0" applyFont="1" applyBorder="1" applyAlignment="1">
      <alignment horizontal="center"/>
    </xf>
    <xf numFmtId="0" fontId="6" fillId="0" borderId="0" xfId="2" applyAlignment="1">
      <alignment wrapText="1"/>
    </xf>
    <xf numFmtId="0" fontId="17" fillId="0" borderId="0" xfId="0" applyFont="1"/>
    <xf numFmtId="0" fontId="6" fillId="0" borderId="0" xfId="2" quotePrefix="1" applyFill="1" applyAlignment="1">
      <alignment wrapText="1"/>
    </xf>
    <xf numFmtId="164" fontId="3" fillId="0" borderId="0" xfId="1" applyFont="1"/>
    <xf numFmtId="0" fontId="18" fillId="0" borderId="0" xfId="0" applyFont="1"/>
    <xf numFmtId="0" fontId="6" fillId="0" borderId="0" xfId="2" applyFill="1" applyAlignment="1">
      <alignment wrapText="1"/>
    </xf>
    <xf numFmtId="0" fontId="0" fillId="7" borderId="0" xfId="0" applyFill="1" applyAlignment="1">
      <alignment horizontal="center"/>
    </xf>
    <xf numFmtId="0" fontId="0" fillId="7" borderId="0" xfId="0" applyFill="1"/>
    <xf numFmtId="0" fontId="12" fillId="7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9" fillId="8" borderId="0" xfId="0" applyFont="1" applyFill="1"/>
    <xf numFmtId="167" fontId="0" fillId="0" borderId="0" xfId="0" applyNumberFormat="1"/>
    <xf numFmtId="0" fontId="19" fillId="9" borderId="0" xfId="0" applyFont="1" applyFill="1"/>
    <xf numFmtId="167" fontId="24" fillId="11" borderId="0" xfId="0" applyNumberFormat="1" applyFont="1" applyFill="1"/>
    <xf numFmtId="0" fontId="24" fillId="12" borderId="0" xfId="0" applyFont="1" applyFill="1"/>
    <xf numFmtId="167" fontId="26" fillId="11" borderId="0" xfId="0" applyNumberFormat="1" applyFont="1" applyFill="1"/>
    <xf numFmtId="0" fontId="21" fillId="10" borderId="6" xfId="0" applyFont="1" applyFill="1" applyBorder="1"/>
    <xf numFmtId="0" fontId="22" fillId="8" borderId="7" xfId="0" applyFont="1" applyFill="1" applyBorder="1" applyAlignment="1">
      <alignment horizontal="center"/>
    </xf>
    <xf numFmtId="168" fontId="24" fillId="11" borderId="8" xfId="0" applyNumberFormat="1" applyFont="1" applyFill="1" applyBorder="1" applyAlignment="1">
      <alignment horizontal="center"/>
    </xf>
    <xf numFmtId="168" fontId="25" fillId="9" borderId="0" xfId="0" applyNumberFormat="1" applyFont="1" applyFill="1" applyAlignment="1">
      <alignment horizontal="center"/>
    </xf>
    <xf numFmtId="168" fontId="21" fillId="11" borderId="0" xfId="0" applyNumberFormat="1" applyFont="1" applyFill="1" applyAlignment="1">
      <alignment horizontal="center"/>
    </xf>
    <xf numFmtId="169" fontId="24" fillId="11" borderId="8" xfId="0" applyNumberFormat="1" applyFont="1" applyFill="1" applyBorder="1" applyAlignment="1">
      <alignment horizontal="center"/>
    </xf>
    <xf numFmtId="169" fontId="25" fillId="9" borderId="0" xfId="0" applyNumberFormat="1" applyFont="1" applyFill="1" applyAlignment="1">
      <alignment horizontal="center"/>
    </xf>
    <xf numFmtId="169" fontId="21" fillId="12" borderId="0" xfId="0" applyNumberFormat="1" applyFont="1" applyFill="1" applyAlignment="1">
      <alignment horizontal="center"/>
    </xf>
    <xf numFmtId="168" fontId="27" fillId="11" borderId="0" xfId="0" applyNumberFormat="1" applyFont="1" applyFill="1" applyAlignment="1">
      <alignment horizontal="center"/>
    </xf>
    <xf numFmtId="1" fontId="21" fillId="10" borderId="6" xfId="0" applyNumberFormat="1" applyFont="1" applyFill="1" applyBorder="1" applyAlignment="1">
      <alignment horizontal="center"/>
    </xf>
    <xf numFmtId="0" fontId="23" fillId="11" borderId="8" xfId="0" applyFont="1" applyFill="1" applyBorder="1" applyAlignment="1">
      <alignment horizontal="left"/>
    </xf>
    <xf numFmtId="0" fontId="25" fillId="9" borderId="0" xfId="0" applyFont="1" applyFill="1" applyAlignment="1">
      <alignment horizontal="left"/>
    </xf>
    <xf numFmtId="0" fontId="23" fillId="11" borderId="0" xfId="0" applyFont="1" applyFill="1" applyAlignment="1">
      <alignment horizontal="left"/>
    </xf>
    <xf numFmtId="0" fontId="23" fillId="12" borderId="0" xfId="0" applyFont="1" applyFill="1" applyAlignment="1">
      <alignment horizontal="left"/>
    </xf>
    <xf numFmtId="0" fontId="27" fillId="11" borderId="0" xfId="0" applyFont="1" applyFill="1" applyAlignment="1">
      <alignment horizontal="left"/>
    </xf>
    <xf numFmtId="0" fontId="21" fillId="10" borderId="0" xfId="0" applyFont="1" applyFill="1" applyAlignment="1">
      <alignment horizontal="left"/>
    </xf>
    <xf numFmtId="0" fontId="21" fillId="10" borderId="6" xfId="0" applyFont="1" applyFill="1" applyBorder="1" applyAlignment="1">
      <alignment horizontal="left"/>
    </xf>
    <xf numFmtId="0" fontId="20" fillId="9" borderId="0" xfId="0" applyFont="1" applyFill="1" applyAlignment="1">
      <alignment horizontal="left" vertical="center"/>
    </xf>
    <xf numFmtId="1" fontId="21" fillId="10" borderId="0" xfId="0" applyNumberFormat="1" applyFont="1" applyFill="1" applyAlignment="1">
      <alignment horizontal="center"/>
    </xf>
    <xf numFmtId="0" fontId="21" fillId="1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3">
    <cellStyle name="Currency" xfId="1" builtinId="4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4BFF5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ce Devulder" id="{62BB0E34-E1E7-4A08-8B29-8859926FE0D5}" userId="S::alice@sarani.studio::af36e512-afec-4932-80b4-29f92e4bc3d5" providerId="AD"/>
  <person displayName="Ameena Gorton" id="{BEA563FB-7F6A-4498-B640-D02E4B27159A}" userId="S::ameena@sarani.studio::37547d41-3ea7-433a-8813-43de6b248f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0" dT="2026-02-18T14:53:52.54" personId="{BEA563FB-7F6A-4498-B640-D02E4B27159A}" id="{8665C71B-C8E9-4978-BD76-4F8E1942D94F}">
    <text xml:space="preserve">€1830 printing cost
Approved via email 18/02/2026
</text>
  </threadedComment>
  <threadedComment ref="K43" dT="2026-02-19T15:26:03.70" personId="{BEA563FB-7F6A-4498-B640-D02E4B27159A}" id="{00E0A42E-8E3C-4873-9DCF-62ECD8017C25}">
    <text xml:space="preserve">€660 printing cost approved by Amaka 17/02/2026
</text>
  </threadedComment>
  <threadedComment ref="K59" dT="2026-03-16T13:38:27.67" personId="{BEA563FB-7F6A-4498-B640-D02E4B27159A}" id="{6EA6DF9E-A801-4EBD-A280-8B1896FE7923}">
    <text xml:space="preserve">Printing 250 badges + Lanyards - confirmed by Amaka via WhatsApp 16/03/2026
</text>
  </threadedComment>
  <threadedComment ref="K71" dT="2025-08-27T08:45:52.24" personId="{62BB0E34-E1E7-4A08-8B29-8859926FE0D5}" id="{B4F980F8-A4D4-4B49-8CCC-EAB6EB9A784E}">
    <text>Selon le message reçu de Megan le 26/08/2025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99AF28-19D7-4C57-85CF-0C5D6920A652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.sharepoint.com/:f:/s/SaraniAssets/IgAVoDXokTScS5FtMv7RSCm8ASRJV73e59NvhUWy_5jvgD0?e=BnFU2E" TargetMode="External"/><Relationship Id="rId21" Type="http://schemas.openxmlformats.org/officeDocument/2006/relationships/hyperlink" Target="https://saranistudio.sharepoint.com/:f:/s/SaraniAssets/IgBLrrJofq-2Rb1G7lloAr3xASdO9qKaUluyhu3VFLGfXGo?e=Qxwzqn" TargetMode="External"/><Relationship Id="rId34" Type="http://schemas.openxmlformats.org/officeDocument/2006/relationships/hyperlink" Target="https://saranistudio.sharepoint.com/:f:/s/SaraniAssets/IgAYFkn0uB6cSJ-s15itOkFmAQNuw_meTe46Wwy_M5PPX5w?e=2dGVwO" TargetMode="External"/><Relationship Id="rId42" Type="http://schemas.openxmlformats.org/officeDocument/2006/relationships/hyperlink" Target="https://saranistudio.sharepoint.com/:f:/s/SaraniAssets/IgD5DkLWGuMURp0okCP_Q6HUAWT2gQPlhVGzbC5VVJ4-RGg?e=jtfQVM" TargetMode="External"/><Relationship Id="rId47" Type="http://schemas.openxmlformats.org/officeDocument/2006/relationships/hyperlink" Target="https://saranistudio.sharepoint.com/:f:/s/SaraniAssets/IgCh9DNKGcr_Rr4Hlk2QL7J7AS9eKKr2uQ_mysl2pf0x_vM?e=VHWCKR" TargetMode="External"/><Relationship Id="rId50" Type="http://schemas.openxmlformats.org/officeDocument/2006/relationships/hyperlink" Target="https://saranistudio.sharepoint.com/:f:/s/SaraniAssets/IgCRJy13_QfHRrQfEqKp4k6TAa3Lz5Qn-qRTmyNnAgt87Xs?e=Uc2A8z" TargetMode="External"/><Relationship Id="rId55" Type="http://schemas.openxmlformats.org/officeDocument/2006/relationships/hyperlink" Target="https://saranistudio.sharepoint.com/:f:/s/SaraniAssets/IgCCp4rDihxXTrG9CcmP4TcnAYN8VhvGMODVSutqNHBkyjg?e=YCQKJ8" TargetMode="External"/><Relationship Id="rId63" Type="http://schemas.openxmlformats.org/officeDocument/2006/relationships/vmlDrawing" Target="../drawings/vmlDrawing1.vml"/><Relationship Id="rId7" Type="http://schemas.openxmlformats.org/officeDocument/2006/relationships/hyperlink" Target="https://saranistudio.sharepoint.com/:f:/s/SaraniAssets/Egwm4IcqJIFEgrGdEihCCpcBG9IgDS6btWqsbodMyUAYEw?e=SbsOEE" TargetMode="External"/><Relationship Id="rId2" Type="http://schemas.openxmlformats.org/officeDocument/2006/relationships/hyperlink" Target="https://saranistudio.sharepoint.com/:f:/s/SaraniAssets/EqqZ1HFS_ANAkhJ9LuxKyWgB9fEON-90mFPnp0GHRWEOfA?e=ZpgfEf" TargetMode="External"/><Relationship Id="rId16" Type="http://schemas.openxmlformats.org/officeDocument/2006/relationships/hyperlink" Target="https://saranistudio.sharepoint.com/:f:/s/SaraniAssets/IgBEKvFdK47HRYVDX2iR-Eo5AW1wC82sA2c7wTePYed7mPk?e=259ht0" TargetMode="External"/><Relationship Id="rId29" Type="http://schemas.openxmlformats.org/officeDocument/2006/relationships/hyperlink" Target="https://saranistudio.sharepoint.com/:f:/s/SaraniAssets/IgAf8HKFJZeUQ6od5qpDnq88AQngI9fhZN_QMyRKPdKXJL8?e=Q6fF1B" TargetMode="External"/><Relationship Id="rId11" Type="http://schemas.openxmlformats.org/officeDocument/2006/relationships/hyperlink" Target="https://saranistudio.sharepoint.com/:f:/s/SaraniAssets/IgBs1LEy0BtVRac7vxiEmqCiAeHuxMTumUiSUoibY8CZ2Wg?e=mAGijR" TargetMode="External"/><Relationship Id="rId24" Type="http://schemas.openxmlformats.org/officeDocument/2006/relationships/hyperlink" Target="https://saranistudio.sharepoint.com/:f:/s/SaraniAssets/IgATtqeNnXpuQZbHLP11_592Af1ynx3h1jK-u3LKVIU7nH0?e=BJIGSD" TargetMode="External"/><Relationship Id="rId32" Type="http://schemas.openxmlformats.org/officeDocument/2006/relationships/hyperlink" Target="https://saranistudio.sharepoint.com/:f:/s/SaraniAssets/IgAM0-dT5Mr1SK1VEYLqjaNeATHokVxlb7eKtvnpxmcT5gE?e=RVGqxg" TargetMode="External"/><Relationship Id="rId37" Type="http://schemas.openxmlformats.org/officeDocument/2006/relationships/hyperlink" Target="https://saranistudio.sharepoint.com/:f:/s/SaraniAssets/IgBJh7DOHvDfQ4fuEJJ3K-riAcj24XK3Sqlq01NL-ftZZhI?e=n9XN3b" TargetMode="External"/><Relationship Id="rId40" Type="http://schemas.openxmlformats.org/officeDocument/2006/relationships/hyperlink" Target="https://saranistudio.sharepoint.com/:f:/s/SaraniAssets/IgC8iAKR9jn3TqYpn5MhEeD9ARod6u8jdzrIyfbp0HrCfeI?e=ZTjrT7" TargetMode="External"/><Relationship Id="rId45" Type="http://schemas.openxmlformats.org/officeDocument/2006/relationships/hyperlink" Target="https://saranistudio.sharepoint.com/:f:/s/SaraniAssets/IgDbft-lBXSCSZm_h3GO7oI9AZ0iDdUUfK7mBnfUH4CrtlU?e=C5ghni" TargetMode="External"/><Relationship Id="rId53" Type="http://schemas.openxmlformats.org/officeDocument/2006/relationships/hyperlink" Target="https://saranistudio.sharepoint.com/:f:/s/SaraniAssets/IgBQlubyUoxuRrxsuJVcBheCAfIHpsHNiTSNm7WPRY7t1fw?e=YABvrt" TargetMode="External"/><Relationship Id="rId58" Type="http://schemas.openxmlformats.org/officeDocument/2006/relationships/hyperlink" Target="https://saranistudio.sharepoint.com/:f:/s/SaraniAssets/IgCk2ogcu7RxSbB-tGRvULCtARWyS0jXz14QhwZZwa-VwX8?e=ea1AeZ" TargetMode="External"/><Relationship Id="rId5" Type="http://schemas.openxmlformats.org/officeDocument/2006/relationships/hyperlink" Target="https://saranistudio.sharepoint.com/:f:/s/SaraniAssets/EqxfWkqp0HpDu0qCN35m4_oBPeBumVdgjMay9mf9uC9zNA?e=2eqyUb" TargetMode="External"/><Relationship Id="rId61" Type="http://schemas.openxmlformats.org/officeDocument/2006/relationships/hyperlink" Target="https://saranistudio.sharepoint.com/:f:/s/SaraniAssets/IgA3xhWfoyfBSreXedArcP_yAUeM5Ni0y2ltaCZbciWZBE8?e=mGu3oe" TargetMode="External"/><Relationship Id="rId19" Type="http://schemas.openxmlformats.org/officeDocument/2006/relationships/hyperlink" Target="https://saranistudio.sharepoint.com/:f:/s/SaraniAssets/IgDzNmkXWfKbRadZGlZ8BPJMAbzSsrPCHfnfzEvxHZ-9ANg?e=Zctmrz" TargetMode="External"/><Relationship Id="rId14" Type="http://schemas.openxmlformats.org/officeDocument/2006/relationships/hyperlink" Target="https://saranistudio.sharepoint.com/sites/SaraniAssets/Shared%20Documents/Forms/AllItems.aspx?id=%2Fsites%2FSaraniAssets%2FShared%20Documents%2F03%2E%20Customers%2F19%2E%20Bose%2F02%2E%20Projects%2F20251120%5FBOSE%20FY26Q2%20QuietComfort%20Ultra%20Headphone%202nd%20Gen&amp;p=true&amp;ga=1" TargetMode="External"/><Relationship Id="rId22" Type="http://schemas.openxmlformats.org/officeDocument/2006/relationships/hyperlink" Target="https://saranistudio.sharepoint.com/:f:/s/SaraniAssets/IgCWDBs7oNUzToOxSYSQ8uDzAew_00__P-aRqf9kAqu8ng4?e=CCSvTk" TargetMode="External"/><Relationship Id="rId27" Type="http://schemas.openxmlformats.org/officeDocument/2006/relationships/hyperlink" Target="https://saranistudio.sharepoint.com/:f:/s/SaraniAssets/IgCRboklNZF2TpGpBEXdLKJcAYuRSlpWHFCIUhfzlSoQMmE?e=5HLbsX" TargetMode="External"/><Relationship Id="rId30" Type="http://schemas.openxmlformats.org/officeDocument/2006/relationships/hyperlink" Target="https://saranistudio.sharepoint.com/:f:/s/SaraniAssets/IgB17_dESIpSRLPeUrkzbcNTASadUySvO2ugYdm4HSgwBc4?e=OtYhth" TargetMode="External"/><Relationship Id="rId35" Type="http://schemas.openxmlformats.org/officeDocument/2006/relationships/hyperlink" Target="https://saranistudio.sharepoint.com/:f:/s/SaraniAssets/IgAPojN3VucoQLMA3_LKZkiWAVa7pOBawfEn85esKhDa1gQ?e=Tu2onx" TargetMode="External"/><Relationship Id="rId43" Type="http://schemas.openxmlformats.org/officeDocument/2006/relationships/hyperlink" Target="https://saranistudio.sharepoint.com/:f:/s/SaraniAssets/IgCuwc2Vid8kRooCyCNR1ywEAUjnC5Io8ueQqZivwWGCC_E?e=Fa8SK3" TargetMode="External"/><Relationship Id="rId48" Type="http://schemas.openxmlformats.org/officeDocument/2006/relationships/hyperlink" Target="https://saranistudio.sharepoint.com/:f:/s/SaraniAssets/IgC37PlNgZdlT6s0208zuBHHAXpd2PVx85Xdfh8_jA90tEs?e=65iXsf" TargetMode="External"/><Relationship Id="rId56" Type="http://schemas.openxmlformats.org/officeDocument/2006/relationships/hyperlink" Target="https://saranistudio.sharepoint.com/:f:/s/SaraniAssets/IgDhik-7yUhWTZdLX8rEQvevAaN3pTaoEDL7lCj5QtCQFP8?e=EgdhKe" TargetMode="External"/><Relationship Id="rId64" Type="http://schemas.openxmlformats.org/officeDocument/2006/relationships/comments" Target="../comments1.xml"/><Relationship Id="rId8" Type="http://schemas.openxmlformats.org/officeDocument/2006/relationships/hyperlink" Target="https://saranistudio.sharepoint.com/:f:/s/SaraniAssets/Ev5illVneQNPnk5vFKuQsHwBa50O58NVGnI8-qsVefCOEA?e=l2TOYp" TargetMode="External"/><Relationship Id="rId51" Type="http://schemas.openxmlformats.org/officeDocument/2006/relationships/hyperlink" Target="https://saranistudio.sharepoint.com/:f:/s/SaraniAssets/IgBrIInrRwFlRoruYYWhUGkFARla9TjigXeUHyjC3fE4rTE?e=54snVf" TargetMode="External"/><Relationship Id="rId3" Type="http://schemas.openxmlformats.org/officeDocument/2006/relationships/hyperlink" Target="https://saranistudio.sharepoint.com/:f:/s/SaraniAssets/Enzw3IbgWzdCtNTmIqLTfrMBPvThIDmr7X_7WJNFzBHKQg?e=yRQvdh" TargetMode="External"/><Relationship Id="rId12" Type="http://schemas.openxmlformats.org/officeDocument/2006/relationships/hyperlink" Target="https://saranistudio.sharepoint.com/:f:/s/SaraniAssets/IgAV5aojuKzKQrG3nyEEvxpNAdM7M9gjOK_KWBoVt7qjU4s?e=Iy6JBc" TargetMode="External"/><Relationship Id="rId17" Type="http://schemas.openxmlformats.org/officeDocument/2006/relationships/hyperlink" Target="https://saranistudio.sharepoint.com/:f:/s/SaraniAssets/IgAym-XhXu8HT6-EMhywfjMEAZZADYNkvQ--X8rRLXHM570?e=2WrDPJ" TargetMode="External"/><Relationship Id="rId25" Type="http://schemas.openxmlformats.org/officeDocument/2006/relationships/hyperlink" Target="https://saranistudio.sharepoint.com/:f:/s/SaraniAssets/IgAQ9EdMR-UTRLsrhw5ux-vtAfi4YKHCCvErufHBix4jmA4?e=u55nKD" TargetMode="External"/><Relationship Id="rId33" Type="http://schemas.openxmlformats.org/officeDocument/2006/relationships/hyperlink" Target="https://saranistudio.sharepoint.com/:f:/s/SaraniAssets/IgBED4oYHkBLRoa2vfUslXXHAdLkuIB2XntFVdtX5jHXTWA?e=3WgUul" TargetMode="External"/><Relationship Id="rId38" Type="http://schemas.openxmlformats.org/officeDocument/2006/relationships/hyperlink" Target="https://saranistudio.sharepoint.com/:f:/s/SaraniAssets/IgDkdimiKx_PQ4OIpqjpffp_Aak0fjMCbsTAhQFqr__PoDQ?e=MSgiwT" TargetMode="External"/><Relationship Id="rId46" Type="http://schemas.openxmlformats.org/officeDocument/2006/relationships/hyperlink" Target="https://saranistudio.sharepoint.com/:f:/s/SaraniAssets/IgAf8HKFJZeUQ6od5qpDnq88AQngI9fhZN_QMyRKPdKXJL8?e=Q6fF1B" TargetMode="External"/><Relationship Id="rId59" Type="http://schemas.openxmlformats.org/officeDocument/2006/relationships/hyperlink" Target="https://saranistudio.sharepoint.com/:f:/s/SaraniAssets/IgDwsVdDIxMwRrf3enFo4gaKAfNoBqm1bxo6uW-KHrKNi5s?e=YvdQ9x" TargetMode="External"/><Relationship Id="rId20" Type="http://schemas.openxmlformats.org/officeDocument/2006/relationships/hyperlink" Target="https://saranistudio.sharepoint.com/:f:/s/SaraniAssets/IgCouEcFzS00QYNaWiaUiIiPAST4MFb7M83LAfbJRvbpdTo?e=k1JnaR" TargetMode="External"/><Relationship Id="rId41" Type="http://schemas.openxmlformats.org/officeDocument/2006/relationships/hyperlink" Target="https://saranistudio.sharepoint.com/:f:/s/SaraniAssets/IgCImbSX_BjUSIaC8wupzi44AZ3jnlXn9djeX-IfjtIXgqk?e=Gs3koh" TargetMode="External"/><Relationship Id="rId54" Type="http://schemas.openxmlformats.org/officeDocument/2006/relationships/hyperlink" Target="https://saranistudio.sharepoint.com/:f:/s/SaraniAssets/IgDkdimiKx_PQ4OIpqjpffp_Aak0fjMCbsTAhQFqr__PoDQ?e=MSgiwT" TargetMode="External"/><Relationship Id="rId62" Type="http://schemas.openxmlformats.org/officeDocument/2006/relationships/hyperlink" Target="https://saranistudio.sharepoint.com/:f:/s/SaraniAssets/IgBbzOVG_iyiQL6bdBLwcRHbAe31JcLJu1yUXBY8BaD1R6s?e=ZJfdyR" TargetMode="External"/><Relationship Id="rId1" Type="http://schemas.openxmlformats.org/officeDocument/2006/relationships/hyperlink" Target="https://saranistudio.sharepoint.com/:f:/s/SaraniAssets/Ej8JJaDctwVLgXpVrtyzDxwB-8sSy5M2UCWVUtVZRK8dRQ?e=tl8Hdj" TargetMode="External"/><Relationship Id="rId6" Type="http://schemas.openxmlformats.org/officeDocument/2006/relationships/hyperlink" Target="https://saranistudio.sharepoint.com/:f:/s/SaraniAssets/Eu54btb-Sr9Lr4_CHy66czMBkT1aLHaD5mXF3d6ZOF_g8w?e=aVGIMU" TargetMode="External"/><Relationship Id="rId15" Type="http://schemas.openxmlformats.org/officeDocument/2006/relationships/hyperlink" Target="https://saranistudio.sharepoint.com/:f:/s/SaraniAssets/IgCEIytEyHpAS4PFY8ycIn2vAY6w3lubJ75UecKhzlmX4PM?e=fyoXEL" TargetMode="External"/><Relationship Id="rId23" Type="http://schemas.openxmlformats.org/officeDocument/2006/relationships/hyperlink" Target="https://saranistudio.sharepoint.com/:f:/s/SaraniAssets/IgC8iAKR9jn3TqYpn5MhEeD9ARod6u8jdzrIyfbp0HrCfeI?e=ZTjrT7" TargetMode="External"/><Relationship Id="rId28" Type="http://schemas.openxmlformats.org/officeDocument/2006/relationships/hyperlink" Target="https://saranistudio.sharepoint.com/:f:/s/SaraniAssets/IgCEIytEyHpAS4PFY8ycIn2vAY6w3lubJ75UecKhzlmX4PM?e=fyoXEL" TargetMode="External"/><Relationship Id="rId36" Type="http://schemas.openxmlformats.org/officeDocument/2006/relationships/hyperlink" Target="https://saranistudio.sharepoint.com/:f:/s/SaraniAssets/IgD5DkLWGuMURp0okCP_Q6HUAWT2gQPlhVGzbC5VVJ4-RGg?e=jtfQVM" TargetMode="External"/><Relationship Id="rId49" Type="http://schemas.openxmlformats.org/officeDocument/2006/relationships/hyperlink" Target="https://saranistudio.sharepoint.com/:f:/s/SaraniAssets/IgDyNAifYD_dT5cMYSZOW6p2Aax8MZ0XuEM7BfAyZy6PFVk?e=NV6uyo" TargetMode="External"/><Relationship Id="rId57" Type="http://schemas.openxmlformats.org/officeDocument/2006/relationships/hyperlink" Target="https://saranistudio.sharepoint.com/:f:/s/SaraniAssets/IgDHQ_QBHnGARIKoHr-_2gKaAakG52KuZ-nNk-_DACJYe1s?e=LRzRIt" TargetMode="External"/><Relationship Id="rId10" Type="http://schemas.openxmlformats.org/officeDocument/2006/relationships/hyperlink" Target="https://saranistudio.sharepoint.com/:f:/s/SaraniAssets/IgC9s71-q0JsR6kiNaOrlHUcAaLzM4XDqfQlIiXimwmiyd0?e=M4eeXQ" TargetMode="External"/><Relationship Id="rId31" Type="http://schemas.openxmlformats.org/officeDocument/2006/relationships/hyperlink" Target="https://saranistudio.sharepoint.com/:f:/s/SaraniAssets/IgC8iAKR9jn3TqYpn5MhEeD9ARod6u8jdzrIyfbp0HrCfeI?e=ZTjrT7" TargetMode="External"/><Relationship Id="rId44" Type="http://schemas.openxmlformats.org/officeDocument/2006/relationships/hyperlink" Target="https://saranistudio.sharepoint.com/:f:/s/SaraniAssets/IgD5DkLWGuMURp0okCP_Q6HUAWT2gQPlhVGzbC5VVJ4-RGg?e=jtfQVM" TargetMode="External"/><Relationship Id="rId52" Type="http://schemas.openxmlformats.org/officeDocument/2006/relationships/hyperlink" Target="https://saranistudio.sharepoint.com/:f:/s/SaraniAssets/IgBErnfiOTreS5UBTsybpbbUAdRzraTszh-VCuMpzE8BJfI?e=T5851J" TargetMode="External"/><Relationship Id="rId60" Type="http://schemas.openxmlformats.org/officeDocument/2006/relationships/hyperlink" Target="https://saranistudio.sharepoint.com/:f:/s/SaraniAssets/IgD81GAjsqVWQY9oF_sStFphAQiKJIKmWH9uYDoKiXBP1AM?e=RBO3RS" TargetMode="External"/><Relationship Id="rId65" Type="http://schemas.microsoft.com/office/2017/10/relationships/threadedComment" Target="../threadedComments/threadedComment1.xml"/><Relationship Id="rId4" Type="http://schemas.openxmlformats.org/officeDocument/2006/relationships/hyperlink" Target="https://saranistudio.sharepoint.com/:f:/s/SaraniAssets/EkALsOse9itEvqzRXj2iUdMBj6Ie_ZahcniHPQMtIuFq6g?e=pMbVZf" TargetMode="External"/><Relationship Id="rId9" Type="http://schemas.openxmlformats.org/officeDocument/2006/relationships/hyperlink" Target="https://saranistudio.sharepoint.com/:f:/s/SaraniAssets/IgAQhkvVHHQpS6VSBokM8DnSAWynQWHzE7tJBPvQWQMurq8?e=vi3UAY" TargetMode="External"/><Relationship Id="rId13" Type="http://schemas.openxmlformats.org/officeDocument/2006/relationships/hyperlink" Target="https://saranistudio.sharepoint.com/:f:/s/SaraniAssets/IgAMp2DncQF-TpJywobyBjeSAepyfM4Rm51hOwsO6Yh0LAk?e=dfmgzT" TargetMode="External"/><Relationship Id="rId18" Type="http://schemas.openxmlformats.org/officeDocument/2006/relationships/hyperlink" Target="https://saranistudio.sharepoint.com/:f:/s/SaraniAssets/IgBdkqvV3DXhR5RTS00v2dbbAeqZVG_oioGhnBQwx0qAEgA?e=Aj3s25" TargetMode="External"/><Relationship Id="rId39" Type="http://schemas.openxmlformats.org/officeDocument/2006/relationships/hyperlink" Target="https://saranistudio.sharepoint.com/:f:/s/SaraniAssets/IgD3_2eK15VRRqF8-cvb6yyEAXMzkQflgv3XdE28AwJ8UWc?e=Nx3B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227B-C979-4D46-9F5D-2F307A526C79}">
  <dimension ref="A1:I30"/>
  <sheetViews>
    <sheetView showGridLines="0" workbookViewId="0">
      <selection activeCell="E9" sqref="E9"/>
    </sheetView>
  </sheetViews>
  <sheetFormatPr defaultColWidth="9.140625" defaultRowHeight="15"/>
  <cols>
    <col min="1" max="1" width="28.5703125" customWidth="1"/>
    <col min="2" max="9" width="16.140625" customWidth="1"/>
  </cols>
  <sheetData>
    <row r="1" spans="1:9" ht="18" customHeight="1">
      <c r="A1" s="92" t="s">
        <v>0</v>
      </c>
      <c r="B1" s="92"/>
      <c r="C1" s="92"/>
      <c r="D1" s="92"/>
      <c r="E1" s="92"/>
      <c r="F1" s="92"/>
      <c r="G1" s="92"/>
      <c r="H1" s="92"/>
      <c r="I1" s="92"/>
    </row>
    <row r="2" spans="1:9" ht="12" customHeight="1">
      <c r="A2" s="71"/>
      <c r="B2" s="71"/>
      <c r="C2" s="71"/>
      <c r="D2" s="71"/>
      <c r="E2" s="71"/>
      <c r="F2" s="71"/>
      <c r="G2" s="71"/>
      <c r="H2" s="71"/>
      <c r="I2" s="71"/>
    </row>
    <row r="3" spans="1:9" ht="18" customHeight="1">
      <c r="A3" s="90" t="s">
        <v>1</v>
      </c>
      <c r="B3" s="93">
        <v>2025</v>
      </c>
      <c r="C3" s="94"/>
      <c r="D3" s="94"/>
      <c r="E3" s="94"/>
      <c r="F3" s="93">
        <v>2026</v>
      </c>
      <c r="G3" s="94"/>
      <c r="H3" s="94"/>
      <c r="I3" s="94"/>
    </row>
    <row r="4" spans="1:9" ht="18" customHeight="1">
      <c r="A4" s="76"/>
      <c r="B4" s="76" t="s">
        <v>2</v>
      </c>
      <c r="C4" s="76" t="s">
        <v>3</v>
      </c>
      <c r="D4" s="76" t="s">
        <v>4</v>
      </c>
      <c r="E4" s="76" t="s">
        <v>5</v>
      </c>
      <c r="F4" s="76" t="s">
        <v>2</v>
      </c>
      <c r="G4" s="76" t="s">
        <v>3</v>
      </c>
      <c r="H4" s="76" t="s">
        <v>4</v>
      </c>
      <c r="I4" s="76" t="s">
        <v>5</v>
      </c>
    </row>
    <row r="5" spans="1:9" s="70" customFormat="1" ht="18" customHeight="1">
      <c r="A5" s="85" t="s">
        <v>6</v>
      </c>
      <c r="B5" s="77">
        <f>SUMIFS(Bose!$K:$K,Bose!$D:$D,"&gt;="&amp;DATE(2025,1,1),Bose!$D:$D,"&lt;="&amp;DATE(2025,3,31))</f>
        <v>0</v>
      </c>
      <c r="C5" s="77">
        <f>SUMIFS(Bose!$K:$K,Bose!$D:$D,"&gt;="&amp;DATE(2025,4,1),Bose!$D:$D,"&lt;="&amp;DATE(2025,6,30))</f>
        <v>0</v>
      </c>
      <c r="D5" s="77">
        <f>SUMIFS(Bose!$K:$K,Bose!$D:$D,"&gt;="&amp;DATE(2025,7,1),Bose!$D:$D,"&lt;="&amp;DATE(2025,9,30))</f>
        <v>1905</v>
      </c>
      <c r="E5" s="77">
        <f>SUMIFS(Bose!$K:$K,Bose!$D:$D,"&gt;="&amp;DATE(2025,10,1),Bose!$D:$D,"&lt;="&amp;DATE(2025,12,31))</f>
        <v>13290</v>
      </c>
      <c r="F5" s="77">
        <f>SUMIFS(Bose!$K:$K,Bose!$D:$D,"&gt;="&amp;DATE(2026,1,1),Bose!$D:$D,"&lt;="&amp;DATE(2026,3,31))</f>
        <v>25295</v>
      </c>
      <c r="G5" s="77">
        <f>SUMIFS(Bose!$K:$K,Bose!$D:$D,"&gt;="&amp;DATE(2026,4,1),Bose!$D:$D,"&lt;="&amp;DATE(2026,6,30))</f>
        <v>1360</v>
      </c>
      <c r="H5" s="77">
        <f>SUMIFS(Bose!$K:$K,Bose!$D:$D,"&gt;="&amp;DATE(2026,7,1),Bose!$D:$D,"&lt;="&amp;DATE(2026,9,30))</f>
        <v>0</v>
      </c>
      <c r="I5" s="77">
        <f>SUMIFS(Bose!$K:$K,Bose!$D:$D,"&gt;="&amp;DATE(2026,10,1),Bose!$D:$D,"&lt;="&amp;DATE(2026,12,31))</f>
        <v>0</v>
      </c>
    </row>
    <row r="6" spans="1:9" s="70" customFormat="1" ht="18" customHeight="1">
      <c r="A6" s="86" t="s">
        <v>7</v>
      </c>
      <c r="B6" s="78">
        <f>SUM(B5:B5)</f>
        <v>0</v>
      </c>
      <c r="C6" s="78">
        <f>SUM(C5:C5)</f>
        <v>0</v>
      </c>
      <c r="D6" s="78">
        <f>SUM(D5:D5)</f>
        <v>1905</v>
      </c>
      <c r="E6" s="78">
        <f>SUM(E5:E5)</f>
        <v>13290</v>
      </c>
      <c r="F6" s="78">
        <f>SUM(F5:F5)</f>
        <v>25295</v>
      </c>
      <c r="G6" s="78">
        <f>SUM(G5:G5)</f>
        <v>1360</v>
      </c>
      <c r="H6" s="78">
        <f>SUM(H5:H5)</f>
        <v>0</v>
      </c>
      <c r="I6" s="78">
        <f>SUM(I5:I5)</f>
        <v>0</v>
      </c>
    </row>
    <row r="7" spans="1:9" ht="12" customHeight="1">
      <c r="A7" s="71"/>
      <c r="B7" s="71"/>
      <c r="C7" s="71"/>
      <c r="D7" s="71"/>
      <c r="E7" s="71"/>
      <c r="F7" s="71"/>
      <c r="G7" s="71"/>
      <c r="H7" s="71"/>
      <c r="I7" s="71"/>
    </row>
    <row r="8" spans="1:9" ht="18" customHeight="1">
      <c r="A8" s="90" t="s">
        <v>8</v>
      </c>
      <c r="B8" s="93">
        <v>2025</v>
      </c>
      <c r="C8" s="94"/>
      <c r="D8" s="94"/>
      <c r="E8" s="94"/>
      <c r="F8" s="93">
        <v>2026</v>
      </c>
      <c r="G8" s="94"/>
      <c r="H8" s="94"/>
      <c r="I8" s="94"/>
    </row>
    <row r="9" spans="1:9" ht="18" customHeight="1">
      <c r="A9" s="76"/>
      <c r="B9" s="76" t="s">
        <v>2</v>
      </c>
      <c r="C9" s="76" t="s">
        <v>3</v>
      </c>
      <c r="D9" s="76" t="s">
        <v>4</v>
      </c>
      <c r="E9" s="76" t="s">
        <v>5</v>
      </c>
      <c r="F9" s="76" t="s">
        <v>2</v>
      </c>
      <c r="G9" s="76" t="s">
        <v>3</v>
      </c>
      <c r="H9" s="76" t="s">
        <v>4</v>
      </c>
      <c r="I9" s="76" t="s">
        <v>5</v>
      </c>
    </row>
    <row r="10" spans="1:9" ht="18" customHeight="1">
      <c r="A10" s="85" t="s">
        <v>6</v>
      </c>
      <c r="B10" s="80">
        <f>COUNTIFS(Bose!$D:$D,"&gt;="&amp;DATE(2025,1,1),Bose!$D:$D,"&lt;="&amp;DATE(2025,3,31))</f>
        <v>0</v>
      </c>
      <c r="C10" s="80">
        <f>COUNTIFS(Bose!$D:$D,"&gt;="&amp;DATE(2025,4,1),Bose!$D:$D,"&lt;="&amp;DATE(2025,6,30))</f>
        <v>0</v>
      </c>
      <c r="D10" s="80">
        <f>COUNTIFS(Bose!$D:$D,"&gt;="&amp;DATE(2025,7,1),Bose!$D:$D,"&lt;="&amp;DATE(2025,9,30))</f>
        <v>2</v>
      </c>
      <c r="E10" s="80">
        <f>COUNTIFS(Bose!$D:$D,"&gt;="&amp;DATE(2025,10,1),Bose!$D:$D,"&lt;="&amp;DATE(2025,12,31))</f>
        <v>22</v>
      </c>
      <c r="F10" s="80">
        <f>COUNTIFS(Bose!$D:$D,"&gt;="&amp;DATE(2026,1,1),Bose!$D:$D,"&lt;="&amp;DATE(2026,3,31))</f>
        <v>37</v>
      </c>
      <c r="G10" s="80">
        <f>COUNTIFS(Bose!$D:$D,"&gt;="&amp;DATE(2026,4,1),Bose!$D:$D,"&lt;="&amp;DATE(2026,6,30))</f>
        <v>1</v>
      </c>
      <c r="H10" s="80">
        <f>COUNTIFS(Bose!$D:$D,"&gt;="&amp;DATE(2026,7,1),Bose!$D:$D,"&lt;="&amp;DATE(2026,9,30))</f>
        <v>0</v>
      </c>
      <c r="I10" s="80">
        <f>COUNTIFS(Bose!$D:$D,"&gt;="&amp;DATE(2026,10,1),Bose!$D:$D,"&lt;="&amp;DATE(2026,12,31))</f>
        <v>0</v>
      </c>
    </row>
    <row r="11" spans="1:9" ht="18" customHeight="1">
      <c r="A11" s="86" t="s">
        <v>7</v>
      </c>
      <c r="B11" s="81">
        <f>SUM(B10:B10)</f>
        <v>0</v>
      </c>
      <c r="C11" s="81">
        <f>SUM(C10:C10)</f>
        <v>0</v>
      </c>
      <c r="D11" s="81">
        <f>SUM(D10:D10)</f>
        <v>2</v>
      </c>
      <c r="E11" s="81">
        <f>SUM(E10:E10)</f>
        <v>22</v>
      </c>
      <c r="F11" s="81">
        <f>SUM(F10:F10)</f>
        <v>37</v>
      </c>
      <c r="G11" s="81">
        <f>SUM(G10:G10)</f>
        <v>1</v>
      </c>
      <c r="H11" s="81">
        <f>SUM(H10:H10)</f>
        <v>0</v>
      </c>
      <c r="I11" s="81">
        <f>SUM(I10:I10)</f>
        <v>0</v>
      </c>
    </row>
    <row r="12" spans="1:9" ht="12" customHeight="1">
      <c r="A12" s="71"/>
      <c r="B12" s="71"/>
      <c r="C12" s="71"/>
      <c r="D12" s="71"/>
      <c r="E12" s="71"/>
      <c r="F12" s="71"/>
      <c r="G12" s="71"/>
      <c r="H12" s="71"/>
      <c r="I12" s="71"/>
    </row>
    <row r="13" spans="1:9" ht="18" customHeight="1">
      <c r="A13" s="91" t="s">
        <v>9</v>
      </c>
      <c r="B13" s="84">
        <v>2025</v>
      </c>
      <c r="C13" s="84">
        <v>2026</v>
      </c>
      <c r="D13" s="75"/>
      <c r="E13" s="75"/>
      <c r="F13" s="75"/>
      <c r="G13" s="75"/>
      <c r="H13" s="75"/>
      <c r="I13" s="75"/>
    </row>
    <row r="14" spans="1:9" s="70" customFormat="1" ht="18" customHeight="1">
      <c r="A14" s="87" t="s">
        <v>10</v>
      </c>
      <c r="B14" s="79">
        <f>SUM(B6:E6)</f>
        <v>15195</v>
      </c>
      <c r="C14" s="79">
        <f>SUM(F6:I6)</f>
        <v>26655</v>
      </c>
      <c r="D14" s="72"/>
      <c r="E14" s="72"/>
      <c r="F14" s="72"/>
      <c r="G14" s="72"/>
      <c r="H14" s="72"/>
      <c r="I14" s="72"/>
    </row>
    <row r="15" spans="1:9" ht="18" customHeight="1">
      <c r="A15" s="88" t="s">
        <v>11</v>
      </c>
      <c r="B15" s="82">
        <f>SUM(B11:E11)</f>
        <v>24</v>
      </c>
      <c r="C15" s="82">
        <f>SUM(F11:I11)</f>
        <v>38</v>
      </c>
      <c r="D15" s="73"/>
      <c r="E15" s="73"/>
      <c r="F15" s="73"/>
      <c r="G15" s="73"/>
      <c r="H15" s="73"/>
      <c r="I15" s="73"/>
    </row>
    <row r="16" spans="1:9" s="70" customFormat="1" ht="18" customHeight="1">
      <c r="A16" s="89" t="s">
        <v>12</v>
      </c>
      <c r="B16" s="83">
        <f>IFERROR(B14/B15,"—")</f>
        <v>633.125</v>
      </c>
      <c r="C16" s="83">
        <f>IFERROR(C14/C15,"—")</f>
        <v>701.4473684210526</v>
      </c>
      <c r="D16" s="74"/>
      <c r="E16" s="74"/>
      <c r="F16" s="74"/>
      <c r="G16" s="74"/>
      <c r="H16" s="74"/>
      <c r="I16" s="74"/>
    </row>
    <row r="17" spans="1:9">
      <c r="A17" s="69"/>
      <c r="B17" s="69"/>
      <c r="C17" s="69"/>
      <c r="D17" s="69"/>
      <c r="E17" s="69"/>
      <c r="F17" s="69"/>
      <c r="G17" s="69"/>
      <c r="H17" s="69"/>
      <c r="I17" s="69"/>
    </row>
    <row r="18" spans="1:9">
      <c r="A18" s="69"/>
      <c r="B18" s="69"/>
      <c r="C18" s="69"/>
      <c r="D18" s="69"/>
      <c r="E18" s="69"/>
      <c r="F18" s="69"/>
      <c r="G18" s="69"/>
      <c r="H18" s="69"/>
      <c r="I18" s="69"/>
    </row>
    <row r="19" spans="1:9">
      <c r="A19" s="69"/>
      <c r="B19" s="69"/>
      <c r="C19" s="69"/>
      <c r="D19" s="69"/>
      <c r="E19" s="69"/>
      <c r="F19" s="69"/>
      <c r="G19" s="69"/>
      <c r="H19" s="69"/>
      <c r="I19" s="69"/>
    </row>
    <row r="20" spans="1:9">
      <c r="A20" s="69"/>
      <c r="B20" s="69"/>
      <c r="C20" s="69"/>
      <c r="D20" s="69"/>
      <c r="E20" s="69"/>
      <c r="F20" s="69"/>
      <c r="G20" s="69"/>
      <c r="H20" s="69"/>
      <c r="I20" s="69"/>
    </row>
    <row r="21" spans="1:9">
      <c r="A21" s="69"/>
      <c r="B21" s="69"/>
      <c r="C21" s="69"/>
      <c r="D21" s="69"/>
      <c r="E21" s="69"/>
      <c r="F21" s="69"/>
      <c r="G21" s="69"/>
      <c r="H21" s="69"/>
      <c r="I21" s="69"/>
    </row>
    <row r="22" spans="1:9">
      <c r="A22" s="69"/>
      <c r="B22" s="69"/>
      <c r="C22" s="69"/>
      <c r="D22" s="69"/>
      <c r="E22" s="69"/>
      <c r="F22" s="69"/>
      <c r="G22" s="69"/>
      <c r="H22" s="69"/>
      <c r="I22" s="69"/>
    </row>
    <row r="23" spans="1:9">
      <c r="A23" s="69"/>
      <c r="B23" s="69"/>
      <c r="C23" s="69"/>
      <c r="D23" s="69"/>
      <c r="E23" s="69"/>
      <c r="F23" s="69"/>
      <c r="G23" s="69"/>
      <c r="H23" s="69"/>
      <c r="I23" s="69"/>
    </row>
    <row r="24" spans="1:9">
      <c r="A24" s="69"/>
      <c r="B24" s="69"/>
      <c r="C24" s="69"/>
      <c r="D24" s="69"/>
      <c r="E24" s="69"/>
      <c r="F24" s="69"/>
      <c r="G24" s="69"/>
      <c r="H24" s="69"/>
      <c r="I24" s="69"/>
    </row>
    <row r="25" spans="1:9">
      <c r="A25" s="69"/>
      <c r="B25" s="69"/>
      <c r="C25" s="69"/>
      <c r="D25" s="69"/>
      <c r="E25" s="69"/>
      <c r="F25" s="69"/>
      <c r="G25" s="69"/>
      <c r="H25" s="69"/>
      <c r="I25" s="69"/>
    </row>
    <row r="26" spans="1:9">
      <c r="A26" s="69"/>
      <c r="B26" s="69"/>
      <c r="C26" s="69"/>
      <c r="D26" s="69"/>
      <c r="E26" s="69"/>
      <c r="F26" s="69"/>
      <c r="G26" s="69"/>
      <c r="H26" s="69"/>
      <c r="I26" s="69"/>
    </row>
    <row r="27" spans="1:9">
      <c r="A27" s="69"/>
      <c r="B27" s="69"/>
      <c r="C27" s="69"/>
      <c r="D27" s="69"/>
      <c r="E27" s="69"/>
      <c r="F27" s="69"/>
      <c r="G27" s="69"/>
      <c r="H27" s="69"/>
      <c r="I27" s="69"/>
    </row>
    <row r="28" spans="1:9">
      <c r="A28" s="69"/>
      <c r="B28" s="69"/>
      <c r="C28" s="69"/>
      <c r="D28" s="69"/>
      <c r="E28" s="69"/>
      <c r="F28" s="69"/>
      <c r="G28" s="69"/>
      <c r="H28" s="69"/>
      <c r="I28" s="69"/>
    </row>
    <row r="29" spans="1:9">
      <c r="A29" s="69"/>
      <c r="B29" s="69"/>
      <c r="C29" s="69"/>
      <c r="D29" s="69"/>
      <c r="E29" s="69"/>
      <c r="F29" s="69"/>
      <c r="G29" s="69"/>
      <c r="H29" s="69"/>
      <c r="I29" s="69"/>
    </row>
    <row r="30" spans="1:9">
      <c r="A30" s="69"/>
      <c r="B30" s="69"/>
      <c r="C30" s="69"/>
      <c r="D30" s="69"/>
      <c r="E30" s="69"/>
      <c r="F30" s="69"/>
      <c r="G30" s="69"/>
      <c r="H30" s="69"/>
      <c r="I30" s="69"/>
    </row>
  </sheetData>
  <mergeCells count="5">
    <mergeCell ref="A1:I1"/>
    <mergeCell ref="B3:E3"/>
    <mergeCell ref="F3:I3"/>
    <mergeCell ref="B8:E8"/>
    <mergeCell ref="F8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4337-AE51-40E1-A59B-9C3380A73860}">
  <dimension ref="A1:BB85"/>
  <sheetViews>
    <sheetView tabSelected="1" workbookViewId="0">
      <pane xSplit="5" ySplit="5" topLeftCell="AD42" activePane="bottomRight" state="frozen"/>
      <selection pane="bottomRight" activeCell="AG76" sqref="AG76"/>
      <selection pane="bottomLeft" activeCell="A4" sqref="A4"/>
      <selection pane="topRight" activeCell="E1" sqref="E1"/>
    </sheetView>
  </sheetViews>
  <sheetFormatPr defaultColWidth="11.42578125" defaultRowHeight="15" customHeight="1"/>
  <cols>
    <col min="2" max="2" width="10.85546875" customWidth="1"/>
    <col min="3" max="3" width="19.42578125" bestFit="1" customWidth="1"/>
    <col min="4" max="4" width="11.5703125" customWidth="1"/>
    <col min="5" max="5" width="46.5703125" style="21" customWidth="1"/>
    <col min="6" max="6" width="20.28515625" customWidth="1"/>
    <col min="7" max="7" width="10.5703125" bestFit="1" customWidth="1"/>
    <col min="8" max="8" width="9.140625" style="2"/>
    <col min="9" max="9" width="24.7109375" customWidth="1"/>
    <col min="10" max="10" width="9.140625" style="2"/>
    <col min="11" max="11" width="17.7109375" style="39" customWidth="1"/>
    <col min="12" max="12" width="17.7109375" style="2" customWidth="1"/>
    <col min="13" max="13" width="12.7109375" style="2" bestFit="1" customWidth="1"/>
    <col min="14" max="14" width="16.5703125" bestFit="1" customWidth="1"/>
    <col min="15" max="15" width="12.140625" style="2" bestFit="1" customWidth="1"/>
    <col min="16" max="16" width="29.140625" style="41" bestFit="1" customWidth="1"/>
    <col min="17" max="17" width="15.42578125" style="7" customWidth="1"/>
    <col min="18" max="19" width="15.42578125" style="2" customWidth="1"/>
    <col min="20" max="20" width="19.7109375" style="2" customWidth="1"/>
    <col min="21" max="21" width="12.140625" style="2" customWidth="1"/>
    <col min="22" max="24" width="12" style="2" customWidth="1"/>
    <col min="25" max="25" width="12" style="7" customWidth="1"/>
    <col min="26" max="31" width="12" style="2" customWidth="1"/>
    <col min="32" max="33" width="12" style="7" customWidth="1"/>
    <col min="34" max="36" width="12" style="2" customWidth="1"/>
    <col min="37" max="37" width="12" style="7" customWidth="1"/>
    <col min="38" max="38" width="12.85546875" style="2" customWidth="1"/>
    <col min="39" max="40" width="13.140625" style="2" customWidth="1"/>
    <col min="41" max="41" width="14" style="2" customWidth="1"/>
    <col min="42" max="43" width="12" style="2" customWidth="1"/>
    <col min="44" max="44" width="12" style="7" customWidth="1"/>
    <col min="45" max="45" width="12" style="2" customWidth="1"/>
    <col min="46" max="46" width="12" style="7" customWidth="1"/>
    <col min="47" max="47" width="12" style="2" customWidth="1"/>
    <col min="48" max="48" width="16.42578125" style="10" customWidth="1"/>
    <col min="49" max="49" width="16.42578125" customWidth="1"/>
  </cols>
  <sheetData>
    <row r="1" spans="1:54" ht="15" customHeight="1">
      <c r="K1" s="35">
        <f t="shared" ref="K1" si="0">SUBTOTAL(2,K6:K19999)</f>
        <v>62</v>
      </c>
      <c r="Q1" s="35">
        <f>SUBTOTAL(2,Q6:Q19999)</f>
        <v>20</v>
      </c>
      <c r="R1" s="35">
        <f t="shared" ref="R1:AU1" si="1">SUBTOTAL(2,R6:R19999)</f>
        <v>38</v>
      </c>
      <c r="S1" s="35">
        <f t="shared" si="1"/>
        <v>2</v>
      </c>
      <c r="T1" s="35">
        <f t="shared" si="1"/>
        <v>2</v>
      </c>
      <c r="U1" s="35">
        <f t="shared" si="1"/>
        <v>0</v>
      </c>
      <c r="V1" s="35">
        <f t="shared" si="1"/>
        <v>0</v>
      </c>
      <c r="W1" s="35">
        <f t="shared" si="1"/>
        <v>0</v>
      </c>
      <c r="X1" s="35">
        <f t="shared" si="1"/>
        <v>0</v>
      </c>
      <c r="Y1" s="35">
        <f t="shared" si="1"/>
        <v>6</v>
      </c>
      <c r="Z1" s="35">
        <f t="shared" si="1"/>
        <v>11</v>
      </c>
      <c r="AA1" s="35">
        <f t="shared" si="1"/>
        <v>1</v>
      </c>
      <c r="AB1" s="35">
        <f t="shared" si="1"/>
        <v>1</v>
      </c>
      <c r="AC1" s="35">
        <f t="shared" si="1"/>
        <v>0</v>
      </c>
      <c r="AD1" s="35">
        <f t="shared" si="1"/>
        <v>0</v>
      </c>
      <c r="AE1" s="35">
        <f t="shared" si="1"/>
        <v>0</v>
      </c>
      <c r="AF1" s="35">
        <f t="shared" si="1"/>
        <v>5</v>
      </c>
      <c r="AG1" s="35">
        <f t="shared" si="1"/>
        <v>2</v>
      </c>
      <c r="AH1" s="35">
        <f t="shared" si="1"/>
        <v>0</v>
      </c>
      <c r="AI1" s="35">
        <f t="shared" si="1"/>
        <v>0</v>
      </c>
      <c r="AJ1" s="35">
        <f t="shared" si="1"/>
        <v>0</v>
      </c>
      <c r="AK1" s="35">
        <f t="shared" si="1"/>
        <v>2</v>
      </c>
      <c r="AL1" s="35">
        <f t="shared" si="1"/>
        <v>1</v>
      </c>
      <c r="AM1" s="35">
        <f t="shared" si="1"/>
        <v>0</v>
      </c>
      <c r="AN1" s="35">
        <f t="shared" si="1"/>
        <v>0</v>
      </c>
      <c r="AO1" s="35">
        <f t="shared" si="1"/>
        <v>0</v>
      </c>
      <c r="AP1" s="35">
        <f t="shared" si="1"/>
        <v>0</v>
      </c>
      <c r="AQ1" s="35">
        <f t="shared" si="1"/>
        <v>0</v>
      </c>
      <c r="AR1" s="35">
        <f t="shared" si="1"/>
        <v>0</v>
      </c>
      <c r="AS1" s="35">
        <f t="shared" si="1"/>
        <v>0</v>
      </c>
      <c r="AT1" s="35">
        <f t="shared" si="1"/>
        <v>0</v>
      </c>
      <c r="AU1" s="35">
        <f t="shared" si="1"/>
        <v>0</v>
      </c>
    </row>
    <row r="2" spans="1:54" ht="15" customHeight="1">
      <c r="J2" s="35">
        <f>SUBTOTAL(9,J6:J20000)</f>
        <v>797</v>
      </c>
      <c r="K2" s="35">
        <f>SUBTOTAL(9,K6:K20000)</f>
        <v>41850</v>
      </c>
      <c r="Q2" s="35">
        <f>SUBTOTAL(9,Q6:Q20000)*Q5</f>
        <v>5670</v>
      </c>
      <c r="R2" s="35">
        <f>SUBTOTAL(9,R6:R20000)*R5</f>
        <v>17430</v>
      </c>
      <c r="S2" s="35">
        <f>SUBTOTAL(9,S6:S20000)*S5</f>
        <v>440</v>
      </c>
      <c r="T2" s="35">
        <f>SUBTOTAL(9,T6:T20000)*T5</f>
        <v>450</v>
      </c>
      <c r="U2" s="35">
        <f>SUBTOTAL(9,U6:U20000)*U5</f>
        <v>0</v>
      </c>
      <c r="V2" s="35">
        <f>SUBTOTAL(9,V6:V20000)*V5</f>
        <v>0</v>
      </c>
      <c r="W2" s="35">
        <f>SUBTOTAL(9,W6:W20000)*W5</f>
        <v>0</v>
      </c>
      <c r="X2" s="35">
        <f>SUBTOTAL(9,X6:X20000)*X5</f>
        <v>0</v>
      </c>
      <c r="Y2" s="35">
        <f>SUBTOTAL(9,Y6:Y20000)*Y5</f>
        <v>1650</v>
      </c>
      <c r="Z2" s="35">
        <f>SUBTOTAL(9,Z6:Z20000)*Z5</f>
        <v>3760</v>
      </c>
      <c r="AA2" s="35">
        <f>SUBTOTAL(9,AA6:AA20000)*AA5</f>
        <v>180</v>
      </c>
      <c r="AB2" s="35">
        <f>SUBTOTAL(9,AB6:AB20000)*AB5</f>
        <v>1560</v>
      </c>
      <c r="AC2" s="35">
        <f>SUBTOTAL(9,AC6:AC20000)*AC5</f>
        <v>0</v>
      </c>
      <c r="AD2" s="35">
        <f>SUBTOTAL(9,AD6:AD20000)*AD5</f>
        <v>0</v>
      </c>
      <c r="AE2" s="35">
        <f>SUBTOTAL(9,AE6:AE20000)*AE5</f>
        <v>0</v>
      </c>
      <c r="AF2" s="35">
        <f>SUBTOTAL(9,AF6:AF20000)*AF5</f>
        <v>3420</v>
      </c>
      <c r="AG2" s="35">
        <f>SUBTOTAL(9,AG6:AG20000)*AG5</f>
        <v>3600</v>
      </c>
      <c r="AH2" s="35">
        <f>SUBTOTAL(9,AH6:AH20000)*AH5</f>
        <v>0</v>
      </c>
      <c r="AI2" s="35">
        <f>SUBTOTAL(9,AI6:AI20000)*AI5</f>
        <v>0</v>
      </c>
      <c r="AJ2" s="35">
        <f>SUBTOTAL(9,AJ6:AJ20000)*AJ5</f>
        <v>0</v>
      </c>
      <c r="AK2" s="35">
        <f>SUBTOTAL(9,AK6:AK20000)*AK5</f>
        <v>480</v>
      </c>
      <c r="AL2" s="35">
        <f>SUBTOTAL(9,AL6:AL20000)*AL5</f>
        <v>150</v>
      </c>
      <c r="AM2" s="35">
        <f>SUBTOTAL(9,AM6:AM20000)*AM5</f>
        <v>0</v>
      </c>
      <c r="AN2" s="35">
        <f>SUBTOTAL(9,AN6:AN20000)*AN5</f>
        <v>0</v>
      </c>
      <c r="AO2" s="35">
        <f>SUBTOTAL(9,AO6:AO20000)*AO5</f>
        <v>0</v>
      </c>
      <c r="AP2" s="35">
        <f>SUBTOTAL(9,AP6:AP20000)*AP5</f>
        <v>0</v>
      </c>
      <c r="AQ2" s="35">
        <f>SUBTOTAL(9,AQ6:AQ20000)*AQ5</f>
        <v>0</v>
      </c>
      <c r="AR2" s="35">
        <f>SUBTOTAL(9,AR6:AR20000)*AR5</f>
        <v>0</v>
      </c>
      <c r="AS2" s="35">
        <f>SUBTOTAL(9,AS6:AS20000)*AS5</f>
        <v>0</v>
      </c>
      <c r="AT2" s="35">
        <f>SUBTOTAL(9,AT6:AT20000)*AT5</f>
        <v>0</v>
      </c>
      <c r="AU2" s="35">
        <f>SUBTOTAL(9,AU6:AU20000)*AU5</f>
        <v>0</v>
      </c>
    </row>
    <row r="3" spans="1:54" s="6" customFormat="1">
      <c r="A3" s="4" t="s">
        <v>13</v>
      </c>
      <c r="B3" s="4"/>
      <c r="C3" s="4"/>
      <c r="D3" s="4"/>
      <c r="E3" s="19"/>
      <c r="F3" s="4"/>
      <c r="G3" s="1"/>
      <c r="H3" s="1"/>
      <c r="I3" s="4"/>
      <c r="J3" s="1"/>
      <c r="K3" s="5"/>
      <c r="L3" s="1"/>
      <c r="M3" s="1"/>
      <c r="N3" s="4"/>
      <c r="O3" s="1"/>
      <c r="P3" s="1"/>
      <c r="Q3" s="95" t="s">
        <v>14</v>
      </c>
      <c r="R3" s="95"/>
      <c r="S3" s="95"/>
      <c r="T3" s="95"/>
      <c r="U3" s="95"/>
      <c r="V3" s="95"/>
      <c r="W3" s="95"/>
      <c r="X3" s="95"/>
      <c r="Y3" s="95" t="s">
        <v>15</v>
      </c>
      <c r="Z3" s="95"/>
      <c r="AA3" s="95"/>
      <c r="AB3" s="95"/>
      <c r="AC3" s="95"/>
      <c r="AD3" s="95"/>
      <c r="AE3" s="95"/>
      <c r="AF3" s="8" t="s">
        <v>16</v>
      </c>
      <c r="AG3" s="95" t="s">
        <v>17</v>
      </c>
      <c r="AH3" s="95"/>
      <c r="AI3" s="95"/>
      <c r="AJ3" s="95"/>
      <c r="AK3" s="95" t="s">
        <v>18</v>
      </c>
      <c r="AL3" s="95"/>
      <c r="AM3" s="95"/>
      <c r="AN3" s="95"/>
      <c r="AO3" s="95"/>
      <c r="AP3" s="95"/>
      <c r="AQ3" s="95"/>
      <c r="AR3" s="95" t="s">
        <v>19</v>
      </c>
      <c r="AS3" s="95"/>
      <c r="AT3" s="95" t="s">
        <v>20</v>
      </c>
      <c r="AU3" s="95"/>
      <c r="AV3" s="9"/>
    </row>
    <row r="4" spans="1:54" s="27" customFormat="1" ht="48.75" customHeight="1">
      <c r="A4" s="96" t="s">
        <v>21</v>
      </c>
      <c r="B4" s="96"/>
      <c r="C4" s="96"/>
      <c r="D4" s="96"/>
      <c r="E4" s="96"/>
      <c r="F4" s="96" t="s">
        <v>22</v>
      </c>
      <c r="G4" s="96"/>
      <c r="H4" s="96"/>
      <c r="I4" s="96"/>
      <c r="J4" s="96"/>
      <c r="K4" s="96"/>
      <c r="L4" s="96"/>
      <c r="M4" s="96"/>
      <c r="N4" s="97"/>
      <c r="O4" s="24"/>
      <c r="P4" s="24"/>
      <c r="Q4" s="23" t="s">
        <v>23</v>
      </c>
      <c r="R4" s="24" t="s">
        <v>24</v>
      </c>
      <c r="S4" s="24" t="s">
        <v>25</v>
      </c>
      <c r="T4" s="24" t="s">
        <v>26</v>
      </c>
      <c r="U4" s="24" t="s">
        <v>27</v>
      </c>
      <c r="V4" s="24" t="s">
        <v>28</v>
      </c>
      <c r="W4" s="24" t="s">
        <v>29</v>
      </c>
      <c r="X4" s="24" t="s">
        <v>30</v>
      </c>
      <c r="Y4" s="30" t="s">
        <v>31</v>
      </c>
      <c r="Z4" s="24" t="s">
        <v>32</v>
      </c>
      <c r="AA4" s="24" t="s">
        <v>33</v>
      </c>
      <c r="AB4" s="24" t="s">
        <v>34</v>
      </c>
      <c r="AC4" s="24" t="s">
        <v>35</v>
      </c>
      <c r="AD4" s="24" t="s">
        <v>36</v>
      </c>
      <c r="AE4" s="24" t="s">
        <v>37</v>
      </c>
      <c r="AF4" s="23" t="s">
        <v>38</v>
      </c>
      <c r="AG4" s="23" t="s">
        <v>39</v>
      </c>
      <c r="AH4" s="24" t="s">
        <v>40</v>
      </c>
      <c r="AI4" s="24" t="s">
        <v>41</v>
      </c>
      <c r="AJ4" s="24" t="s">
        <v>42</v>
      </c>
      <c r="AK4" s="23" t="s">
        <v>43</v>
      </c>
      <c r="AL4" s="29" t="s">
        <v>44</v>
      </c>
      <c r="AM4" s="29" t="s">
        <v>45</v>
      </c>
      <c r="AN4" s="29" t="s">
        <v>46</v>
      </c>
      <c r="AO4" s="29" t="s">
        <v>47</v>
      </c>
      <c r="AP4" s="24" t="s">
        <v>48</v>
      </c>
      <c r="AQ4" s="24" t="s">
        <v>49</v>
      </c>
      <c r="AR4" s="23" t="s">
        <v>50</v>
      </c>
      <c r="AS4" s="24" t="s">
        <v>51</v>
      </c>
      <c r="AT4" s="23" t="s">
        <v>52</v>
      </c>
      <c r="AU4" s="33" t="s">
        <v>53</v>
      </c>
      <c r="AV4" s="25"/>
      <c r="AW4" s="26"/>
      <c r="AX4" s="26"/>
      <c r="AY4" s="26"/>
      <c r="AZ4" s="26"/>
      <c r="BA4" s="26"/>
      <c r="BB4" s="26"/>
    </row>
    <row r="5" spans="1:54">
      <c r="A5" s="17" t="s">
        <v>54</v>
      </c>
      <c r="B5" s="17" t="s">
        <v>55</v>
      </c>
      <c r="C5" s="17" t="s">
        <v>56</v>
      </c>
      <c r="D5" s="17" t="s">
        <v>57</v>
      </c>
      <c r="E5" s="20" t="s">
        <v>21</v>
      </c>
      <c r="F5" s="17" t="s">
        <v>58</v>
      </c>
      <c r="G5" s="17" t="s">
        <v>59</v>
      </c>
      <c r="H5" s="17" t="s">
        <v>60</v>
      </c>
      <c r="I5" s="17" t="s">
        <v>61</v>
      </c>
      <c r="J5" s="17" t="s">
        <v>62</v>
      </c>
      <c r="K5" s="18" t="s">
        <v>63</v>
      </c>
      <c r="L5" s="17" t="s">
        <v>64</v>
      </c>
      <c r="M5" s="17" t="s">
        <v>65</v>
      </c>
      <c r="N5" s="17" t="s">
        <v>66</v>
      </c>
      <c r="O5" s="17" t="s">
        <v>67</v>
      </c>
      <c r="P5" s="17" t="s">
        <v>68</v>
      </c>
      <c r="Q5" s="14">
        <v>135</v>
      </c>
      <c r="R5" s="15">
        <v>35</v>
      </c>
      <c r="S5" s="15">
        <v>220</v>
      </c>
      <c r="T5" s="15">
        <v>50</v>
      </c>
      <c r="U5" s="15">
        <v>15</v>
      </c>
      <c r="V5" s="15">
        <v>250</v>
      </c>
      <c r="W5" s="15">
        <v>400</v>
      </c>
      <c r="X5" s="15">
        <v>85</v>
      </c>
      <c r="Y5" s="14">
        <v>150</v>
      </c>
      <c r="Z5" s="16">
        <v>40</v>
      </c>
      <c r="AA5" s="14">
        <v>180</v>
      </c>
      <c r="AB5" s="15">
        <v>260</v>
      </c>
      <c r="AC5" s="15">
        <v>180</v>
      </c>
      <c r="AD5" s="15">
        <v>400</v>
      </c>
      <c r="AE5" s="15">
        <v>2200</v>
      </c>
      <c r="AF5" s="14">
        <v>30</v>
      </c>
      <c r="AG5" s="14">
        <v>300</v>
      </c>
      <c r="AH5" s="15">
        <v>700</v>
      </c>
      <c r="AI5" s="15">
        <v>5000</v>
      </c>
      <c r="AJ5" s="15">
        <v>7000</v>
      </c>
      <c r="AK5" s="14">
        <v>80</v>
      </c>
      <c r="AL5" s="16">
        <v>150</v>
      </c>
      <c r="AM5" s="16">
        <v>360</v>
      </c>
      <c r="AN5" s="16">
        <v>460</v>
      </c>
      <c r="AO5" s="15">
        <v>900</v>
      </c>
      <c r="AP5" s="15">
        <v>1500</v>
      </c>
      <c r="AQ5" s="15">
        <v>3000</v>
      </c>
      <c r="AR5" s="14">
        <v>2500</v>
      </c>
      <c r="AS5" s="15">
        <v>10000</v>
      </c>
      <c r="AT5" s="12">
        <v>0.12</v>
      </c>
      <c r="AU5" s="13">
        <v>0.25</v>
      </c>
    </row>
    <row r="6" spans="1:54" ht="15" customHeight="1">
      <c r="A6" t="s">
        <v>6</v>
      </c>
      <c r="B6" t="s">
        <v>69</v>
      </c>
      <c r="C6" t="s">
        <v>70</v>
      </c>
      <c r="D6" s="11">
        <v>45927</v>
      </c>
      <c r="E6" s="31" t="s">
        <v>71</v>
      </c>
      <c r="F6" t="s">
        <v>72</v>
      </c>
      <c r="G6" s="22" t="s">
        <v>73</v>
      </c>
      <c r="H6" t="s">
        <v>74</v>
      </c>
      <c r="I6" s="32" t="s">
        <v>75</v>
      </c>
      <c r="J6" s="2">
        <f>IF(SUM(Q6:AV6)=0,"-",SUM(Q6:AV6))</f>
        <v>3</v>
      </c>
      <c r="K6" s="3">
        <f>IF(SUMPRODUCT($Q$5:$AV$5,Q6:AV6)=0,"-",SUMPRODUCT($Q$5:$AV$5,Q6:AV6))</f>
        <v>105</v>
      </c>
      <c r="L6" s="50" t="s">
        <v>76</v>
      </c>
      <c r="M6" s="51">
        <v>4900215137</v>
      </c>
      <c r="N6" s="34" t="s">
        <v>77</v>
      </c>
      <c r="O6" s="54" t="s">
        <v>78</v>
      </c>
      <c r="P6" s="68" t="s">
        <v>79</v>
      </c>
      <c r="R6" s="2">
        <v>3</v>
      </c>
    </row>
    <row r="7" spans="1:54" ht="16.5">
      <c r="A7" t="s">
        <v>6</v>
      </c>
      <c r="B7" t="s">
        <v>80</v>
      </c>
      <c r="C7" t="s">
        <v>81</v>
      </c>
      <c r="D7" s="11">
        <v>45931</v>
      </c>
      <c r="E7" s="31" t="s">
        <v>82</v>
      </c>
      <c r="F7" t="s">
        <v>72</v>
      </c>
      <c r="G7" s="22" t="s">
        <v>73</v>
      </c>
      <c r="H7" t="s">
        <v>74</v>
      </c>
      <c r="I7" s="32" t="s">
        <v>83</v>
      </c>
      <c r="J7" s="2">
        <f>IF(SUM(Q7:AV7)=0,"-",SUM(Q7:AV7))</f>
        <v>3</v>
      </c>
      <c r="K7" s="3">
        <f>IF(SUMPRODUCT($Q$5:$AV$5,Q7:AV7)=0,"-",SUMPRODUCT($Q$5:$AV$5,Q7:AV7))</f>
        <v>105</v>
      </c>
      <c r="L7" s="40" t="s">
        <v>76</v>
      </c>
      <c r="M7" s="51">
        <v>4900215137</v>
      </c>
      <c r="N7" s="34" t="s">
        <v>77</v>
      </c>
      <c r="O7" s="54" t="s">
        <v>78</v>
      </c>
      <c r="P7" s="68" t="s">
        <v>79</v>
      </c>
      <c r="R7" s="2">
        <v>3</v>
      </c>
    </row>
    <row r="8" spans="1:54" ht="15" customHeight="1">
      <c r="A8" t="s">
        <v>6</v>
      </c>
      <c r="B8" t="s">
        <v>84</v>
      </c>
      <c r="C8" t="s">
        <v>85</v>
      </c>
      <c r="D8" s="11">
        <v>45936</v>
      </c>
      <c r="E8" s="31" t="s">
        <v>86</v>
      </c>
      <c r="F8" t="s">
        <v>72</v>
      </c>
      <c r="G8" s="22" t="s">
        <v>73</v>
      </c>
      <c r="H8" t="s">
        <v>74</v>
      </c>
      <c r="I8" s="32" t="s">
        <v>87</v>
      </c>
      <c r="J8" s="2">
        <f>IF(SUM(Q8:AV8)=0,"-",SUM(Q8:AV8))</f>
        <v>2</v>
      </c>
      <c r="K8" s="3">
        <f>IF(SUMPRODUCT($Q$5:$AV$5,Q8:AV8)=0,"-",SUMPRODUCT($Q$5:$AV$5,Q8:AV8))</f>
        <v>190</v>
      </c>
      <c r="L8" s="40" t="s">
        <v>76</v>
      </c>
      <c r="M8" s="51">
        <v>4900215137</v>
      </c>
      <c r="N8" s="34" t="s">
        <v>77</v>
      </c>
      <c r="O8" s="54" t="s">
        <v>78</v>
      </c>
      <c r="P8" s="68" t="s">
        <v>79</v>
      </c>
      <c r="Y8" s="7">
        <v>1</v>
      </c>
      <c r="Z8" s="2">
        <v>1</v>
      </c>
    </row>
    <row r="9" spans="1:54" ht="15" customHeight="1">
      <c r="A9" t="s">
        <v>6</v>
      </c>
      <c r="B9" t="s">
        <v>80</v>
      </c>
      <c r="C9" t="s">
        <v>88</v>
      </c>
      <c r="D9" s="11">
        <v>45930</v>
      </c>
      <c r="E9" s="31" t="s">
        <v>89</v>
      </c>
      <c r="F9" t="s">
        <v>90</v>
      </c>
      <c r="G9" s="22" t="s">
        <v>73</v>
      </c>
      <c r="H9" t="s">
        <v>74</v>
      </c>
      <c r="I9" s="36" t="s">
        <v>91</v>
      </c>
      <c r="J9" s="2">
        <f>IF(SUM(Q9:AV9)=0,"-",SUM(Q9:AV9))</f>
        <v>6</v>
      </c>
      <c r="K9" s="3">
        <f>IF(SUMPRODUCT($Q$5:$AV$5,Q9:AV9)=0,"-",SUMPRODUCT($Q$5:$AV$5,Q9:AV9))</f>
        <v>1800</v>
      </c>
      <c r="L9" s="40"/>
      <c r="M9" s="51">
        <v>4900215137</v>
      </c>
      <c r="N9" s="34" t="s">
        <v>77</v>
      </c>
      <c r="O9" s="54" t="s">
        <v>92</v>
      </c>
      <c r="P9" s="41" t="s">
        <v>93</v>
      </c>
      <c r="AG9" s="7">
        <v>6</v>
      </c>
      <c r="AK9" s="28"/>
      <c r="AT9" s="28"/>
    </row>
    <row r="10" spans="1:54" ht="15" customHeight="1">
      <c r="A10" t="s">
        <v>6</v>
      </c>
      <c r="B10" t="s">
        <v>80</v>
      </c>
      <c r="C10" t="s">
        <v>94</v>
      </c>
      <c r="D10" s="11">
        <v>45954</v>
      </c>
      <c r="E10" s="31" t="s">
        <v>95</v>
      </c>
      <c r="F10" t="s">
        <v>72</v>
      </c>
      <c r="G10" s="22" t="s">
        <v>73</v>
      </c>
      <c r="H10" t="s">
        <v>74</v>
      </c>
      <c r="I10" s="32" t="s">
        <v>96</v>
      </c>
      <c r="J10" s="2">
        <f>IF(SUM(Q10:AV10)=0,"-",SUM(Q10:AV10))</f>
        <v>13</v>
      </c>
      <c r="K10" s="3">
        <f>IF(SUMPRODUCT($Q$5:$AV$5,Q10:AV10)=0,"-",SUMPRODUCT($Q$5:$AV$5,Q10:AV10))</f>
        <v>1590</v>
      </c>
      <c r="L10" s="40"/>
      <c r="M10" s="51">
        <v>4900215137</v>
      </c>
      <c r="N10" s="34" t="s">
        <v>77</v>
      </c>
      <c r="O10" s="54" t="s">
        <v>92</v>
      </c>
      <c r="P10" s="41" t="s">
        <v>93</v>
      </c>
      <c r="Q10" s="7">
        <v>10</v>
      </c>
      <c r="AK10" s="7">
        <v>3</v>
      </c>
    </row>
    <row r="11" spans="1:54" ht="15" customHeight="1">
      <c r="A11" t="s">
        <v>6</v>
      </c>
      <c r="B11" t="s">
        <v>80</v>
      </c>
      <c r="C11" t="s">
        <v>88</v>
      </c>
      <c r="D11" s="11">
        <v>45954</v>
      </c>
      <c r="E11" s="31" t="s">
        <v>97</v>
      </c>
      <c r="F11" t="s">
        <v>72</v>
      </c>
      <c r="G11" s="22" t="s">
        <v>73</v>
      </c>
      <c r="H11" t="s">
        <v>74</v>
      </c>
      <c r="I11" s="32" t="s">
        <v>98</v>
      </c>
      <c r="J11" s="2">
        <f>IF(SUM(Q11:AV11)=0,"-",SUM(Q11:AV11))</f>
        <v>18</v>
      </c>
      <c r="K11" s="3">
        <f>IF(SUMPRODUCT($Q$5:$AV$5,Q11:AV11)=0,"-",SUMPRODUCT($Q$5:$AV$5,Q11:AV11))</f>
        <v>1230</v>
      </c>
      <c r="L11" s="40"/>
      <c r="M11" s="51">
        <v>4900215137</v>
      </c>
      <c r="N11" s="34" t="s">
        <v>77</v>
      </c>
      <c r="O11" s="54" t="s">
        <v>92</v>
      </c>
      <c r="P11" s="41" t="s">
        <v>93</v>
      </c>
      <c r="Q11" s="7">
        <v>6</v>
      </c>
      <c r="R11" s="2">
        <v>12</v>
      </c>
    </row>
    <row r="12" spans="1:54" ht="15" customHeight="1">
      <c r="A12" t="s">
        <v>6</v>
      </c>
      <c r="B12" t="s">
        <v>80</v>
      </c>
      <c r="C12" t="s">
        <v>88</v>
      </c>
      <c r="D12" s="11">
        <v>45968</v>
      </c>
      <c r="E12" s="31" t="s">
        <v>99</v>
      </c>
      <c r="F12" t="s">
        <v>72</v>
      </c>
      <c r="G12" s="22" t="s">
        <v>73</v>
      </c>
      <c r="H12" t="s">
        <v>74</v>
      </c>
      <c r="I12" s="32" t="s">
        <v>100</v>
      </c>
      <c r="J12" s="2">
        <f>IF(SUM(Q12:AV12)=0,"-",SUM(Q12:AV12))</f>
        <v>5</v>
      </c>
      <c r="K12" s="3">
        <f>IF(SUMPRODUCT($Q$5:$AV$5,Q12:AV12)=0,"-",SUMPRODUCT($Q$5:$AV$5,Q12:AV12))</f>
        <v>175</v>
      </c>
      <c r="L12" s="40"/>
      <c r="M12" s="51">
        <v>4900215137</v>
      </c>
      <c r="N12" s="34" t="s">
        <v>77</v>
      </c>
      <c r="O12" s="54" t="s">
        <v>92</v>
      </c>
      <c r="P12" s="41" t="s">
        <v>93</v>
      </c>
      <c r="R12" s="2">
        <v>5</v>
      </c>
    </row>
    <row r="13" spans="1:54" ht="15" customHeight="1">
      <c r="A13" t="s">
        <v>6</v>
      </c>
      <c r="B13" t="s">
        <v>101</v>
      </c>
      <c r="C13" s="52" t="s">
        <v>102</v>
      </c>
      <c r="D13" s="11">
        <v>45971</v>
      </c>
      <c r="E13" s="31" t="s">
        <v>103</v>
      </c>
      <c r="F13" t="s">
        <v>104</v>
      </c>
      <c r="G13" s="22" t="s">
        <v>73</v>
      </c>
      <c r="H13" t="s">
        <v>74</v>
      </c>
      <c r="I13" s="38" t="s">
        <v>105</v>
      </c>
      <c r="J13" s="2">
        <f>IF(SUM(Q13:AV13)=0,"-",SUM(Q13:AV13))</f>
        <v>20</v>
      </c>
      <c r="K13" s="3">
        <f>IF(SUMPRODUCT($Q$5:$AV$5,Q13:AV13)=0,"-",SUMPRODUCT($Q$5:$AV$5,Q13:AV13))</f>
        <v>900</v>
      </c>
      <c r="L13" s="40"/>
      <c r="M13" s="51">
        <v>4900215137</v>
      </c>
      <c r="N13" s="34" t="s">
        <v>77</v>
      </c>
      <c r="O13" s="54" t="s">
        <v>92</v>
      </c>
      <c r="P13" s="41" t="s">
        <v>93</v>
      </c>
      <c r="Q13" s="7">
        <v>2</v>
      </c>
      <c r="R13" s="2">
        <v>18</v>
      </c>
    </row>
    <row r="14" spans="1:54" ht="15" customHeight="1">
      <c r="A14" t="s">
        <v>6</v>
      </c>
      <c r="B14" t="s">
        <v>80</v>
      </c>
      <c r="C14" t="s">
        <v>81</v>
      </c>
      <c r="D14" s="11">
        <v>45968</v>
      </c>
      <c r="E14" s="31" t="s">
        <v>106</v>
      </c>
      <c r="F14" t="s">
        <v>107</v>
      </c>
      <c r="G14" s="22" t="s">
        <v>73</v>
      </c>
      <c r="H14" t="s">
        <v>74</v>
      </c>
      <c r="I14" s="32" t="s">
        <v>108</v>
      </c>
      <c r="J14" s="2">
        <f>IF(SUM(Q14:AV14)=0,"-",SUM(Q14:AV14))</f>
        <v>44</v>
      </c>
      <c r="K14" s="3">
        <f>IF(SUMPRODUCT($Q$5:$AV$5,Q14:AV14)=0,"-",SUMPRODUCT($Q$5:$AV$5,Q14:AV14))</f>
        <v>2310</v>
      </c>
      <c r="M14" s="51">
        <v>4900215137</v>
      </c>
      <c r="N14" s="34" t="s">
        <v>77</v>
      </c>
      <c r="O14" s="54" t="s">
        <v>92</v>
      </c>
      <c r="P14" s="41" t="s">
        <v>93</v>
      </c>
      <c r="Y14" s="7">
        <v>5</v>
      </c>
      <c r="Z14" s="2">
        <v>39</v>
      </c>
    </row>
    <row r="15" spans="1:54" ht="15" customHeight="1">
      <c r="A15" t="s">
        <v>6</v>
      </c>
      <c r="B15" t="s">
        <v>80</v>
      </c>
      <c r="C15" t="s">
        <v>81</v>
      </c>
      <c r="D15" s="11">
        <v>45974</v>
      </c>
      <c r="E15" s="31" t="s">
        <v>109</v>
      </c>
      <c r="F15" t="s">
        <v>72</v>
      </c>
      <c r="G15" s="22" t="s">
        <v>73</v>
      </c>
      <c r="H15" t="s">
        <v>74</v>
      </c>
      <c r="I15" s="38" t="s">
        <v>110</v>
      </c>
      <c r="J15" s="2">
        <f>IF(SUM(Q15:AV15)=0,"-",SUM(Q15:AV15))</f>
        <v>4</v>
      </c>
      <c r="K15" s="3">
        <f>IF(SUMPRODUCT($Q$5:$AV$5,Q15:AV15)=0,"-",SUMPRODUCT($Q$5:$AV$5,Q15:AV15))</f>
        <v>140</v>
      </c>
      <c r="M15" s="51">
        <v>4900215137</v>
      </c>
      <c r="N15" s="34" t="s">
        <v>77</v>
      </c>
      <c r="O15" s="54" t="s">
        <v>92</v>
      </c>
      <c r="P15" s="41" t="s">
        <v>93</v>
      </c>
      <c r="R15" s="2">
        <v>4</v>
      </c>
    </row>
    <row r="16" spans="1:54" ht="15" customHeight="1">
      <c r="A16" t="s">
        <v>6</v>
      </c>
      <c r="B16" t="s">
        <v>111</v>
      </c>
      <c r="C16" t="s">
        <v>112</v>
      </c>
      <c r="D16" s="11">
        <v>45980</v>
      </c>
      <c r="E16" s="42" t="s">
        <v>113</v>
      </c>
      <c r="F16" t="s">
        <v>114</v>
      </c>
      <c r="G16" s="22" t="s">
        <v>73</v>
      </c>
      <c r="H16" t="s">
        <v>74</v>
      </c>
      <c r="I16" s="32" t="s">
        <v>115</v>
      </c>
      <c r="J16" s="2">
        <f>IF(SUM(Q16:AV16)=0,"-",SUM(Q16:AV16))</f>
        <v>9</v>
      </c>
      <c r="K16" s="3">
        <f>IF(SUMPRODUCT($Q$5:$AV$5,Q16:AV16)=0,"-",SUMPRODUCT($Q$5:$AV$5,Q16:AV16))</f>
        <v>515</v>
      </c>
      <c r="M16" s="51">
        <v>4900215137</v>
      </c>
      <c r="N16" s="34" t="s">
        <v>77</v>
      </c>
      <c r="O16" s="54" t="s">
        <v>92</v>
      </c>
      <c r="P16" s="41" t="s">
        <v>93</v>
      </c>
      <c r="Q16" s="7">
        <v>2</v>
      </c>
      <c r="R16" s="2">
        <v>7</v>
      </c>
    </row>
    <row r="17" spans="1:38" ht="15" customHeight="1">
      <c r="A17" t="s">
        <v>6</v>
      </c>
      <c r="B17" t="s">
        <v>111</v>
      </c>
      <c r="C17" t="s">
        <v>112</v>
      </c>
      <c r="D17" s="11">
        <v>45981</v>
      </c>
      <c r="E17" s="31" t="s">
        <v>116</v>
      </c>
      <c r="F17" t="s">
        <v>114</v>
      </c>
      <c r="G17" s="22" t="s">
        <v>73</v>
      </c>
      <c r="H17" t="s">
        <v>74</v>
      </c>
      <c r="I17" s="38" t="s">
        <v>117</v>
      </c>
      <c r="J17" s="2">
        <f>IF(SUM(Q17:AV17)=0,"-",SUM(Q17:AV17))</f>
        <v>1</v>
      </c>
      <c r="K17" s="3">
        <f>IF(SUMPRODUCT($Q$5:$AV$5,Q17:AV17)=0,"-",SUMPRODUCT($Q$5:$AV$5,Q17:AV17))</f>
        <v>150</v>
      </c>
      <c r="M17" s="51">
        <v>4900215137</v>
      </c>
      <c r="N17" s="34" t="s">
        <v>77</v>
      </c>
      <c r="O17" s="54" t="s">
        <v>92</v>
      </c>
      <c r="P17" s="41" t="s">
        <v>93</v>
      </c>
      <c r="AL17" s="2">
        <v>1</v>
      </c>
    </row>
    <row r="18" spans="1:38" ht="15" customHeight="1">
      <c r="A18" t="s">
        <v>6</v>
      </c>
      <c r="B18" t="s">
        <v>118</v>
      </c>
      <c r="C18" t="s">
        <v>119</v>
      </c>
      <c r="D18" s="11">
        <v>45981</v>
      </c>
      <c r="E18" s="31" t="s">
        <v>120</v>
      </c>
      <c r="F18" t="s">
        <v>104</v>
      </c>
      <c r="G18" s="22" t="s">
        <v>73</v>
      </c>
      <c r="H18" t="s">
        <v>74</v>
      </c>
      <c r="I18" s="38" t="s">
        <v>121</v>
      </c>
      <c r="J18" s="2">
        <f>IF(SUM(Q18:AV18)=0,"-",SUM(Q18:AV18))</f>
        <v>7</v>
      </c>
      <c r="K18" s="3">
        <f>IF(SUMPRODUCT($Q$5:$AV$5,Q18:AV18)=0,"-",SUMPRODUCT($Q$5:$AV$5,Q18:AV18))</f>
        <v>390</v>
      </c>
      <c r="M18" s="51">
        <v>4900215137</v>
      </c>
      <c r="N18" s="34" t="s">
        <v>77</v>
      </c>
      <c r="O18" s="54" t="s">
        <v>92</v>
      </c>
      <c r="P18" s="41" t="s">
        <v>93</v>
      </c>
      <c r="Y18" s="7">
        <v>1</v>
      </c>
      <c r="Z18" s="2">
        <v>6</v>
      </c>
    </row>
    <row r="19" spans="1:38" ht="15" customHeight="1">
      <c r="A19" t="s">
        <v>6</v>
      </c>
      <c r="B19" t="s">
        <v>122</v>
      </c>
      <c r="D19" s="11">
        <v>45981</v>
      </c>
      <c r="E19" s="31" t="s">
        <v>123</v>
      </c>
      <c r="F19" t="s">
        <v>104</v>
      </c>
      <c r="G19" s="22" t="s">
        <v>73</v>
      </c>
      <c r="H19" t="s">
        <v>74</v>
      </c>
      <c r="I19" s="38" t="s">
        <v>124</v>
      </c>
      <c r="J19" s="2">
        <f>IF(SUM(Q19:AV19)=0,"-",SUM(Q19:AV19))</f>
        <v>15</v>
      </c>
      <c r="K19" s="3">
        <f>IF(SUMPRODUCT($Q$5:$AV$5,Q19:AV19)=0,"-",SUMPRODUCT($Q$5:$AV$5,Q19:AV19))</f>
        <v>525</v>
      </c>
      <c r="M19" s="51">
        <v>4900215137</v>
      </c>
      <c r="N19" s="34" t="s">
        <v>77</v>
      </c>
      <c r="O19" s="54" t="s">
        <v>92</v>
      </c>
      <c r="P19" s="41" t="s">
        <v>93</v>
      </c>
      <c r="R19" s="2">
        <v>15</v>
      </c>
    </row>
    <row r="20" spans="1:38" ht="15" customHeight="1">
      <c r="A20" t="s">
        <v>6</v>
      </c>
      <c r="B20" t="s">
        <v>74</v>
      </c>
      <c r="C20" t="s">
        <v>85</v>
      </c>
      <c r="D20" s="11">
        <v>45985</v>
      </c>
      <c r="E20" s="42" t="s">
        <v>125</v>
      </c>
      <c r="F20" t="s">
        <v>72</v>
      </c>
      <c r="G20" s="22" t="s">
        <v>73</v>
      </c>
      <c r="H20" t="s">
        <v>74</v>
      </c>
      <c r="I20" s="32" t="s">
        <v>126</v>
      </c>
      <c r="J20" s="2">
        <f>IF(SUM(Q20:AV20)=0,"-",SUM(Q20:AV20))</f>
        <v>20</v>
      </c>
      <c r="K20" s="3">
        <f>IF(SUMPRODUCT($Q$5:$AV$5,Q20:AV20)=0,"-",SUMPRODUCT($Q$5:$AV$5,Q20:AV20))</f>
        <v>800</v>
      </c>
      <c r="M20" s="51">
        <v>4900215137</v>
      </c>
      <c r="N20" s="34" t="s">
        <v>77</v>
      </c>
      <c r="O20" s="54" t="s">
        <v>92</v>
      </c>
      <c r="P20" s="41" t="s">
        <v>93</v>
      </c>
      <c r="Q20" s="7">
        <v>1</v>
      </c>
      <c r="R20" s="2">
        <v>19</v>
      </c>
    </row>
    <row r="21" spans="1:38" ht="15" customHeight="1">
      <c r="A21" t="s">
        <v>6</v>
      </c>
      <c r="B21" t="s">
        <v>127</v>
      </c>
      <c r="D21" s="11">
        <v>45986</v>
      </c>
      <c r="E21" s="42" t="s">
        <v>128</v>
      </c>
      <c r="F21" t="s">
        <v>129</v>
      </c>
      <c r="G21" s="22" t="s">
        <v>73</v>
      </c>
      <c r="H21" t="s">
        <v>127</v>
      </c>
      <c r="I21" s="38" t="s">
        <v>130</v>
      </c>
      <c r="J21" s="2">
        <f>IF(SUM(Q21:AV21)=0,"-",SUM(Q21:AV21))</f>
        <v>47</v>
      </c>
      <c r="K21" s="3">
        <f>IF(SUMPRODUCT($Q$5:$AV$5,Q21:AV21)=0,"-",SUMPRODUCT($Q$5:$AV$5,Q21:AV21))</f>
        <v>1645</v>
      </c>
      <c r="M21" s="51">
        <v>4900215137</v>
      </c>
      <c r="N21" s="34" t="s">
        <v>77</v>
      </c>
      <c r="O21" s="54" t="s">
        <v>92</v>
      </c>
      <c r="P21" s="41" t="s">
        <v>93</v>
      </c>
      <c r="R21" s="2">
        <v>47</v>
      </c>
    </row>
    <row r="22" spans="1:38" ht="15" customHeight="1">
      <c r="A22" t="s">
        <v>6</v>
      </c>
      <c r="B22" t="s">
        <v>69</v>
      </c>
      <c r="C22" s="53" t="s">
        <v>131</v>
      </c>
      <c r="D22" s="11">
        <v>45992</v>
      </c>
      <c r="E22" s="31" t="s">
        <v>132</v>
      </c>
      <c r="F22" t="s">
        <v>72</v>
      </c>
      <c r="G22" s="22" t="s">
        <v>73</v>
      </c>
      <c r="H22" t="s">
        <v>74</v>
      </c>
      <c r="I22" s="38" t="s">
        <v>133</v>
      </c>
      <c r="J22" s="2">
        <f>IF(SUM(Q22:AV22)=0,"-",SUM(Q22:AV22))</f>
        <v>12</v>
      </c>
      <c r="K22" s="3">
        <f>IF(SUMPRODUCT($Q$5:$AV$5,Q22:AV22)=0,"-",SUMPRODUCT($Q$5:$AV$5,Q22:AV22))</f>
        <v>620</v>
      </c>
      <c r="M22" s="54">
        <v>4900215137</v>
      </c>
      <c r="N22" s="34" t="s">
        <v>77</v>
      </c>
      <c r="O22" s="54" t="s">
        <v>134</v>
      </c>
      <c r="P22" s="41" t="s">
        <v>135</v>
      </c>
      <c r="Q22" s="7">
        <v>2</v>
      </c>
      <c r="R22" s="2">
        <v>10</v>
      </c>
    </row>
    <row r="23" spans="1:38" ht="15" customHeight="1">
      <c r="A23" t="s">
        <v>6</v>
      </c>
      <c r="B23" t="s">
        <v>69</v>
      </c>
      <c r="C23" s="53" t="s">
        <v>131</v>
      </c>
      <c r="D23" s="11">
        <v>45993</v>
      </c>
      <c r="E23" s="31" t="s">
        <v>136</v>
      </c>
      <c r="F23" t="s">
        <v>72</v>
      </c>
      <c r="G23" s="22" t="s">
        <v>73</v>
      </c>
      <c r="H23" t="s">
        <v>74</v>
      </c>
      <c r="I23" s="32" t="s">
        <v>137</v>
      </c>
      <c r="J23" s="2">
        <f>IF(SUM(Q23:AV23)=0,"-",SUM(Q23:AV23))</f>
        <v>8</v>
      </c>
      <c r="K23" s="3">
        <f>IF(SUMPRODUCT($Q$5:$AV$5,Q23:AV23)=0,"-",SUMPRODUCT($Q$5:$AV$5,Q23:AV23))</f>
        <v>380</v>
      </c>
      <c r="M23" s="54">
        <v>4900215137</v>
      </c>
      <c r="N23" s="34" t="s">
        <v>77</v>
      </c>
      <c r="O23" s="54" t="s">
        <v>134</v>
      </c>
      <c r="P23" s="41" t="s">
        <v>135</v>
      </c>
      <c r="Q23" s="7">
        <v>1</v>
      </c>
      <c r="R23" s="2">
        <v>7</v>
      </c>
    </row>
    <row r="24" spans="1:38" ht="15" customHeight="1">
      <c r="A24" t="s">
        <v>6</v>
      </c>
      <c r="B24" t="s">
        <v>69</v>
      </c>
      <c r="C24" s="53" t="s">
        <v>131</v>
      </c>
      <c r="D24" s="11">
        <v>45993</v>
      </c>
      <c r="E24" s="31" t="s">
        <v>138</v>
      </c>
      <c r="F24" t="s">
        <v>72</v>
      </c>
      <c r="G24" s="22" t="s">
        <v>73</v>
      </c>
      <c r="H24" t="s">
        <v>74</v>
      </c>
      <c r="I24" s="38" t="s">
        <v>139</v>
      </c>
      <c r="J24" s="2">
        <f>IF(SUM(Q24:AV24)=0,"-",SUM(Q24:AV24))</f>
        <v>12</v>
      </c>
      <c r="K24" s="3">
        <f>IF(SUMPRODUCT($Q$5:$AV$5,Q24:AV24)=0,"-",SUMPRODUCT($Q$5:$AV$5,Q24:AV24))</f>
        <v>520</v>
      </c>
      <c r="M24" s="54">
        <v>4900215137</v>
      </c>
      <c r="N24" s="34" t="s">
        <v>77</v>
      </c>
      <c r="O24" s="54" t="s">
        <v>134</v>
      </c>
      <c r="P24" s="41" t="s">
        <v>135</v>
      </c>
      <c r="Q24" s="7">
        <v>1</v>
      </c>
      <c r="R24" s="2">
        <v>11</v>
      </c>
    </row>
    <row r="25" spans="1:38" ht="15" customHeight="1">
      <c r="A25" t="s">
        <v>6</v>
      </c>
      <c r="B25" t="s">
        <v>122</v>
      </c>
      <c r="D25" s="11">
        <v>46002</v>
      </c>
      <c r="E25" s="31" t="s">
        <v>140</v>
      </c>
      <c r="F25" t="s">
        <v>104</v>
      </c>
      <c r="G25" s="22" t="s">
        <v>73</v>
      </c>
      <c r="H25" t="s">
        <v>74</v>
      </c>
      <c r="I25" s="38" t="s">
        <v>141</v>
      </c>
      <c r="J25" s="2">
        <f>IF(SUM(Q25:AV25)=0,"-",SUM(Q25:AV25))</f>
        <v>1</v>
      </c>
      <c r="K25" s="3">
        <f>IF(SUMPRODUCT($Q$5:$AV$5,Q25:AV25)=0,"-",SUMPRODUCT($Q$5:$AV$5,Q25:AV25))</f>
        <v>35</v>
      </c>
      <c r="M25" s="54">
        <v>4900215137</v>
      </c>
      <c r="N25" s="34" t="s">
        <v>77</v>
      </c>
      <c r="O25" s="54" t="s">
        <v>134</v>
      </c>
      <c r="P25" s="41" t="s">
        <v>135</v>
      </c>
      <c r="R25" s="2">
        <v>1</v>
      </c>
    </row>
    <row r="26" spans="1:38" ht="15" customHeight="1">
      <c r="A26" t="s">
        <v>6</v>
      </c>
      <c r="B26" t="s">
        <v>122</v>
      </c>
      <c r="D26" s="11">
        <v>46006</v>
      </c>
      <c r="E26" s="42" t="s">
        <v>142</v>
      </c>
      <c r="F26" t="s">
        <v>104</v>
      </c>
      <c r="G26" s="22" t="s">
        <v>73</v>
      </c>
      <c r="H26" t="s">
        <v>74</v>
      </c>
      <c r="I26" s="32" t="s">
        <v>143</v>
      </c>
      <c r="J26" s="2">
        <f>IF(SUM(Q26:AV26)=0,"-",SUM(Q26:AV26))</f>
        <v>2</v>
      </c>
      <c r="K26" s="3">
        <f>IF(SUMPRODUCT($Q$5:$AV$5,Q26:AV26)=0,"-",SUMPRODUCT($Q$5:$AV$5,Q26:AV26))</f>
        <v>70</v>
      </c>
      <c r="M26" s="54">
        <v>4900215137</v>
      </c>
      <c r="N26" s="34" t="s">
        <v>77</v>
      </c>
      <c r="O26" s="54" t="s">
        <v>134</v>
      </c>
      <c r="P26" s="41" t="s">
        <v>135</v>
      </c>
      <c r="R26" s="2">
        <v>2</v>
      </c>
    </row>
    <row r="27" spans="1:38" ht="15" customHeight="1">
      <c r="A27" t="s">
        <v>6</v>
      </c>
      <c r="B27" t="s">
        <v>122</v>
      </c>
      <c r="D27" s="11">
        <v>46006</v>
      </c>
      <c r="E27" s="42" t="s">
        <v>144</v>
      </c>
      <c r="F27" t="s">
        <v>104</v>
      </c>
      <c r="G27" s="22" t="s">
        <v>73</v>
      </c>
      <c r="H27" t="s">
        <v>74</v>
      </c>
      <c r="I27" s="38" t="s">
        <v>145</v>
      </c>
      <c r="J27" s="2">
        <v>5</v>
      </c>
      <c r="K27" s="3">
        <f>IF(SUMPRODUCT($Q$5:$AV$5,Q27:AV27)=0,"-",SUMPRODUCT($Q$5:$AV$5,Q27:AV27))</f>
        <v>175</v>
      </c>
      <c r="M27" s="54">
        <v>4900215137</v>
      </c>
      <c r="N27" s="34" t="s">
        <v>77</v>
      </c>
      <c r="O27" s="54" t="s">
        <v>134</v>
      </c>
      <c r="P27" s="41" t="s">
        <v>135</v>
      </c>
      <c r="R27" s="2">
        <v>5</v>
      </c>
    </row>
    <row r="28" spans="1:38" ht="15" customHeight="1">
      <c r="A28" t="s">
        <v>6</v>
      </c>
      <c r="B28" t="s">
        <v>80</v>
      </c>
      <c r="C28" t="s">
        <v>81</v>
      </c>
      <c r="D28" s="11">
        <v>46014</v>
      </c>
      <c r="E28" s="31" t="s">
        <v>106</v>
      </c>
      <c r="F28" t="s">
        <v>107</v>
      </c>
      <c r="G28" s="22" t="s">
        <v>73</v>
      </c>
      <c r="H28" t="s">
        <v>74</v>
      </c>
      <c r="I28" s="32" t="s">
        <v>146</v>
      </c>
      <c r="J28" s="2">
        <f>IF(SUM(Q28:AV28)=0,"-",SUM(Q28:AV28))</f>
        <v>4</v>
      </c>
      <c r="K28" s="3">
        <f>IF(SUMPRODUCT($Q$5:$AV$5,Q28:AV28)=0,"-",SUMPRODUCT($Q$5:$AV$5,Q28:AV28))</f>
        <v>160</v>
      </c>
      <c r="M28" s="54">
        <v>4900215137</v>
      </c>
      <c r="N28" s="34" t="s">
        <v>77</v>
      </c>
      <c r="O28" s="54" t="s">
        <v>134</v>
      </c>
      <c r="P28" s="41" t="s">
        <v>135</v>
      </c>
      <c r="Z28" s="2">
        <v>4</v>
      </c>
    </row>
    <row r="29" spans="1:38" ht="15" customHeight="1">
      <c r="A29" t="s">
        <v>6</v>
      </c>
      <c r="B29" t="s">
        <v>111</v>
      </c>
      <c r="C29" t="s">
        <v>112</v>
      </c>
      <c r="D29" s="11">
        <v>46013</v>
      </c>
      <c r="E29" s="31" t="s">
        <v>147</v>
      </c>
      <c r="F29" t="s">
        <v>114</v>
      </c>
      <c r="G29" s="22" t="s">
        <v>73</v>
      </c>
      <c r="H29" t="s">
        <v>74</v>
      </c>
      <c r="I29" s="32" t="s">
        <v>148</v>
      </c>
      <c r="J29" s="2">
        <f>IF(SUM(Q29:AV29)=0,"-",SUM(Q29:AV29))</f>
        <v>10</v>
      </c>
      <c r="K29" s="3">
        <f>IF(SUMPRODUCT($Q$5:$AV$5,Q29:AV29)=0,"-",SUMPRODUCT($Q$5:$AV$5,Q29:AV29))</f>
        <v>665</v>
      </c>
      <c r="M29" s="56">
        <v>4900215137</v>
      </c>
      <c r="N29" s="34" t="s">
        <v>77</v>
      </c>
      <c r="O29" s="54" t="s">
        <v>149</v>
      </c>
      <c r="P29" s="41" t="s">
        <v>150</v>
      </c>
      <c r="Q29" s="7">
        <v>1</v>
      </c>
      <c r="R29" s="2">
        <v>6</v>
      </c>
      <c r="S29" s="2">
        <v>1</v>
      </c>
      <c r="T29" s="2">
        <v>2</v>
      </c>
    </row>
    <row r="30" spans="1:38" ht="15" customHeight="1">
      <c r="A30" t="s">
        <v>6</v>
      </c>
      <c r="B30" t="s">
        <v>69</v>
      </c>
      <c r="C30" s="53" t="s">
        <v>131</v>
      </c>
      <c r="D30" s="11">
        <v>46035</v>
      </c>
      <c r="E30" s="31" t="s">
        <v>151</v>
      </c>
      <c r="F30" t="s">
        <v>72</v>
      </c>
      <c r="G30" s="22" t="s">
        <v>73</v>
      </c>
      <c r="H30" t="s">
        <v>74</v>
      </c>
      <c r="I30" s="55" t="s">
        <v>152</v>
      </c>
      <c r="J30" s="2">
        <f>IF(SUM(Q30:AV30)=0,"-",SUM(Q30:AV30))</f>
        <v>15</v>
      </c>
      <c r="K30" s="3">
        <f>IF(SUMPRODUCT($Q$5:$AV$5,Q30:AV30)=0,"-",SUMPRODUCT($Q$5:$AV$5,Q30:AV30))</f>
        <v>625</v>
      </c>
      <c r="M30" s="56">
        <v>4900215137</v>
      </c>
      <c r="N30" s="34" t="s">
        <v>77</v>
      </c>
      <c r="O30" s="54" t="s">
        <v>149</v>
      </c>
      <c r="P30" s="41" t="s">
        <v>150</v>
      </c>
      <c r="Q30" s="7">
        <v>1</v>
      </c>
      <c r="R30" s="2">
        <v>14</v>
      </c>
    </row>
    <row r="31" spans="1:38" ht="15" customHeight="1">
      <c r="A31" t="s">
        <v>6</v>
      </c>
      <c r="B31" t="s">
        <v>80</v>
      </c>
      <c r="C31" t="s">
        <v>153</v>
      </c>
      <c r="D31" s="11">
        <v>46036</v>
      </c>
      <c r="E31" s="31" t="s">
        <v>154</v>
      </c>
      <c r="F31" t="s">
        <v>155</v>
      </c>
      <c r="G31" s="22" t="s">
        <v>73</v>
      </c>
      <c r="H31" t="s">
        <v>74</v>
      </c>
      <c r="I31" s="38" t="s">
        <v>156</v>
      </c>
      <c r="J31" s="2">
        <f>IF(SUM(Q31:AV31)=0,"-",SUM(Q31:AV31))</f>
        <v>2</v>
      </c>
      <c r="K31" s="3">
        <f>IF(SUMPRODUCT($Q$5:$AV$5,Q31:AV31)=0,"-",SUMPRODUCT($Q$5:$AV$5,Q31:AV31))</f>
        <v>70</v>
      </c>
      <c r="M31" s="56">
        <v>4900215137</v>
      </c>
      <c r="N31" s="34" t="s">
        <v>77</v>
      </c>
      <c r="O31" s="54" t="s">
        <v>149</v>
      </c>
      <c r="P31" s="41" t="s">
        <v>150</v>
      </c>
      <c r="R31" s="2">
        <v>2</v>
      </c>
    </row>
    <row r="32" spans="1:38" ht="15" customHeight="1">
      <c r="A32" t="s">
        <v>6</v>
      </c>
      <c r="B32" t="s">
        <v>122</v>
      </c>
      <c r="C32" t="s">
        <v>157</v>
      </c>
      <c r="D32" s="11">
        <v>46043</v>
      </c>
      <c r="E32" s="31" t="s">
        <v>158</v>
      </c>
      <c r="F32" t="s">
        <v>104</v>
      </c>
      <c r="G32" s="22" t="s">
        <v>73</v>
      </c>
      <c r="H32" t="s">
        <v>74</v>
      </c>
      <c r="I32" s="55" t="s">
        <v>159</v>
      </c>
      <c r="J32" s="2">
        <f>IF(SUM(Q32:AV32)=0,"-",SUM(Q32:AV32))</f>
        <v>48</v>
      </c>
      <c r="K32" s="3">
        <f>IF(SUMPRODUCT($Q$5:$AV$5,Q32:AV32)=0,"-",SUMPRODUCT($Q$5:$AV$5,Q32:AV32))</f>
        <v>1680</v>
      </c>
      <c r="M32" s="56">
        <v>4900215137</v>
      </c>
      <c r="N32" s="34" t="s">
        <v>77</v>
      </c>
      <c r="O32" s="54" t="s">
        <v>149</v>
      </c>
      <c r="P32" s="41" t="s">
        <v>150</v>
      </c>
      <c r="R32" s="2">
        <v>48</v>
      </c>
    </row>
    <row r="33" spans="1:47" ht="15" customHeight="1">
      <c r="A33" t="s">
        <v>6</v>
      </c>
      <c r="B33" t="s">
        <v>74</v>
      </c>
      <c r="C33" t="s">
        <v>85</v>
      </c>
      <c r="D33" s="11">
        <v>46044</v>
      </c>
      <c r="E33" s="31" t="s">
        <v>160</v>
      </c>
      <c r="F33" t="s">
        <v>155</v>
      </c>
      <c r="G33" s="22" t="s">
        <v>73</v>
      </c>
      <c r="H33" t="s">
        <v>74</v>
      </c>
      <c r="I33" s="32" t="s">
        <v>126</v>
      </c>
      <c r="J33" s="2">
        <f>IF(SUM(Q33:AV33)=0,"-",SUM(Q33:AV33))</f>
        <v>9</v>
      </c>
      <c r="K33" s="3">
        <f>IF(SUMPRODUCT($Q$5:$AV$5,Q33:AV33)=0,"-",SUMPRODUCT($Q$5:$AV$5,Q33:AV33))</f>
        <v>315</v>
      </c>
      <c r="M33" s="56">
        <v>4900215137</v>
      </c>
      <c r="N33" s="34" t="s">
        <v>77</v>
      </c>
      <c r="O33" s="54" t="s">
        <v>149</v>
      </c>
      <c r="P33" s="41" t="s">
        <v>150</v>
      </c>
      <c r="R33" s="2">
        <v>9</v>
      </c>
    </row>
    <row r="34" spans="1:47" ht="15" customHeight="1">
      <c r="A34" t="s">
        <v>6</v>
      </c>
      <c r="B34" t="s">
        <v>122</v>
      </c>
      <c r="C34" t="s">
        <v>157</v>
      </c>
      <c r="D34" s="11">
        <v>46055</v>
      </c>
      <c r="E34" s="31" t="s">
        <v>161</v>
      </c>
      <c r="F34" t="s">
        <v>104</v>
      </c>
      <c r="G34" s="22" t="s">
        <v>73</v>
      </c>
      <c r="H34" t="s">
        <v>74</v>
      </c>
      <c r="I34" s="32" t="s">
        <v>162</v>
      </c>
      <c r="J34" s="2">
        <f>IF(SUM(Q34:AV34)=0,"-",SUM(Q34:AV34))</f>
        <v>19</v>
      </c>
      <c r="K34" s="3">
        <f>IF(SUMPRODUCT($Q$5:$AV$5,Q34:AV34)=0,"-",SUMPRODUCT($Q$5:$AV$5,Q34:AV34))</f>
        <v>715</v>
      </c>
      <c r="M34" s="56">
        <v>4900215137</v>
      </c>
      <c r="N34" s="34" t="s">
        <v>77</v>
      </c>
      <c r="O34" s="54" t="s">
        <v>163</v>
      </c>
      <c r="P34" s="41" t="s">
        <v>164</v>
      </c>
      <c r="R34" s="2">
        <v>9</v>
      </c>
      <c r="Z34" s="2">
        <v>10</v>
      </c>
    </row>
    <row r="35" spans="1:47" ht="15" customHeight="1">
      <c r="A35" t="s">
        <v>6</v>
      </c>
      <c r="B35" t="s">
        <v>69</v>
      </c>
      <c r="C35" s="53" t="s">
        <v>131</v>
      </c>
      <c r="D35" s="11">
        <v>46056</v>
      </c>
      <c r="E35" s="31" t="s">
        <v>165</v>
      </c>
      <c r="F35" t="s">
        <v>166</v>
      </c>
      <c r="G35" s="22" t="s">
        <v>73</v>
      </c>
      <c r="H35" t="s">
        <v>74</v>
      </c>
      <c r="I35" s="38" t="s">
        <v>167</v>
      </c>
      <c r="J35" s="2">
        <v>4</v>
      </c>
      <c r="K35" s="57">
        <f>IF(SUMPRODUCT($Q$5:$AV$5,Q35:AV35)=0,"-",SUMPRODUCT($Q$5:$AV$5,Q35:AV35))</f>
        <v>270</v>
      </c>
      <c r="M35" s="56">
        <v>4900215137</v>
      </c>
      <c r="N35" s="34" t="s">
        <v>77</v>
      </c>
      <c r="O35" s="54" t="s">
        <v>163</v>
      </c>
      <c r="P35" s="41" t="s">
        <v>164</v>
      </c>
      <c r="Y35" s="7">
        <v>1</v>
      </c>
      <c r="Z35" s="2">
        <v>3</v>
      </c>
    </row>
    <row r="36" spans="1:47" ht="15" customHeight="1">
      <c r="A36" t="s">
        <v>6</v>
      </c>
      <c r="B36" t="s">
        <v>111</v>
      </c>
      <c r="C36" t="s">
        <v>112</v>
      </c>
      <c r="D36" s="11">
        <v>46058</v>
      </c>
      <c r="E36" s="31" t="s">
        <v>168</v>
      </c>
      <c r="F36" t="s">
        <v>114</v>
      </c>
      <c r="G36" s="22" t="s">
        <v>73</v>
      </c>
      <c r="H36" t="s">
        <v>74</v>
      </c>
      <c r="I36" s="32" t="s">
        <v>148</v>
      </c>
      <c r="J36" s="2">
        <f>IF(SUM(Q36:AV36)=0,"-",SUM(Q36:AV36))</f>
        <v>5</v>
      </c>
      <c r="K36" s="3">
        <f>IF(SUMPRODUCT($Q$5:$AV$5,Q36:AV36)=0,"-",SUMPRODUCT($Q$5:$AV$5,Q36:AV36))</f>
        <v>175</v>
      </c>
      <c r="M36" s="56">
        <v>4900215137</v>
      </c>
      <c r="N36" s="34" t="s">
        <v>77</v>
      </c>
      <c r="O36" s="54" t="s">
        <v>163</v>
      </c>
      <c r="P36" s="41" t="s">
        <v>164</v>
      </c>
      <c r="R36" s="2">
        <v>5</v>
      </c>
    </row>
    <row r="37" spans="1:47" ht="15" customHeight="1">
      <c r="A37" t="s">
        <v>6</v>
      </c>
      <c r="B37" t="s">
        <v>127</v>
      </c>
      <c r="C37" s="60" t="s">
        <v>169</v>
      </c>
      <c r="D37" s="11">
        <v>46063</v>
      </c>
      <c r="E37" s="31" t="s">
        <v>170</v>
      </c>
      <c r="F37" t="s">
        <v>129</v>
      </c>
      <c r="G37" s="22" t="s">
        <v>73</v>
      </c>
      <c r="H37" s="43" t="s">
        <v>127</v>
      </c>
      <c r="I37" s="59" t="s">
        <v>171</v>
      </c>
      <c r="J37" s="2">
        <f t="shared" ref="J37:J45" si="2">IF(SUM(Q37:AV37)=0,"-",SUM(Q37:AV37))</f>
        <v>40</v>
      </c>
      <c r="K37" s="3">
        <f>IF(SUMPRODUCT($Q$5:$AV$5,Q37:AV37)=0,"-",SUMPRODUCT($Q$5:$AV$5,Q37:AV37))</f>
        <v>2090</v>
      </c>
      <c r="M37" s="56">
        <v>4900215137</v>
      </c>
      <c r="N37" s="34" t="s">
        <v>77</v>
      </c>
      <c r="O37" s="54" t="s">
        <v>163</v>
      </c>
      <c r="P37" s="41" t="s">
        <v>164</v>
      </c>
      <c r="Q37" s="7">
        <v>4</v>
      </c>
      <c r="R37" s="2">
        <v>28</v>
      </c>
      <c r="S37" s="2">
        <v>1</v>
      </c>
      <c r="T37" s="2">
        <v>7</v>
      </c>
    </row>
    <row r="38" spans="1:47" ht="15" customHeight="1">
      <c r="A38" t="s">
        <v>6</v>
      </c>
      <c r="B38" t="s">
        <v>122</v>
      </c>
      <c r="C38" t="s">
        <v>172</v>
      </c>
      <c r="D38" s="11">
        <v>46063</v>
      </c>
      <c r="E38" s="42" t="s">
        <v>173</v>
      </c>
      <c r="F38" t="s">
        <v>104</v>
      </c>
      <c r="G38" s="22" t="s">
        <v>73</v>
      </c>
      <c r="H38" s="43" t="s">
        <v>74</v>
      </c>
      <c r="I38" s="32" t="s">
        <v>174</v>
      </c>
      <c r="J38" s="2">
        <f t="shared" si="2"/>
        <v>1</v>
      </c>
      <c r="K38" s="57">
        <f>IF(SUMPRODUCT($Q$5:$AV$5,Q38:AV38)=0,"-",SUMPRODUCT($Q$5:$AV$5,Q38:AV38))</f>
        <v>180</v>
      </c>
      <c r="M38" s="56">
        <v>4900215137</v>
      </c>
      <c r="N38" s="34" t="s">
        <v>77</v>
      </c>
      <c r="O38" s="54" t="s">
        <v>163</v>
      </c>
      <c r="P38" s="41" t="s">
        <v>164</v>
      </c>
      <c r="AA38" s="2">
        <v>1</v>
      </c>
    </row>
    <row r="39" spans="1:47" ht="15" customHeight="1">
      <c r="A39" t="s">
        <v>6</v>
      </c>
      <c r="B39" t="s">
        <v>127</v>
      </c>
      <c r="D39" s="11">
        <v>46065</v>
      </c>
      <c r="E39" s="31" t="s">
        <v>175</v>
      </c>
      <c r="F39" t="s">
        <v>129</v>
      </c>
      <c r="G39" s="22" t="s">
        <v>73</v>
      </c>
      <c r="H39" s="43" t="s">
        <v>127</v>
      </c>
      <c r="I39" s="32" t="s">
        <v>176</v>
      </c>
      <c r="J39" s="2">
        <f t="shared" si="2"/>
        <v>6</v>
      </c>
      <c r="K39" s="3">
        <f>IF(SUMPRODUCT($Q$5:$AV$5,Q39:AV39)=0,"-",SUMPRODUCT($Q$5:$AV$5,Q39:AV39))</f>
        <v>210</v>
      </c>
      <c r="M39" s="56">
        <v>4900215137</v>
      </c>
      <c r="N39" s="34" t="s">
        <v>77</v>
      </c>
      <c r="O39" s="54" t="s">
        <v>163</v>
      </c>
      <c r="P39" s="41" t="s">
        <v>164</v>
      </c>
      <c r="R39" s="2">
        <v>6</v>
      </c>
    </row>
    <row r="40" spans="1:47" ht="15" customHeight="1">
      <c r="A40" t="s">
        <v>6</v>
      </c>
      <c r="B40" t="s">
        <v>80</v>
      </c>
      <c r="D40" s="11">
        <v>46063</v>
      </c>
      <c r="E40" s="31" t="s">
        <v>177</v>
      </c>
      <c r="F40" t="s">
        <v>155</v>
      </c>
      <c r="G40" s="22" t="s">
        <v>73</v>
      </c>
      <c r="H40" s="43" t="s">
        <v>74</v>
      </c>
      <c r="I40" s="32" t="s">
        <v>178</v>
      </c>
      <c r="J40" s="2">
        <f t="shared" si="2"/>
        <v>9</v>
      </c>
      <c r="K40" s="62">
        <v>2190</v>
      </c>
      <c r="M40" s="56">
        <v>4900215137</v>
      </c>
      <c r="N40" s="34" t="s">
        <v>77</v>
      </c>
      <c r="O40" s="54" t="s">
        <v>163</v>
      </c>
      <c r="P40" s="41" t="s">
        <v>164</v>
      </c>
      <c r="Z40" s="2">
        <v>9</v>
      </c>
    </row>
    <row r="41" spans="1:47" ht="15" customHeight="1">
      <c r="A41" t="s">
        <v>6</v>
      </c>
      <c r="B41" t="s">
        <v>74</v>
      </c>
      <c r="D41" s="11">
        <v>46066</v>
      </c>
      <c r="E41" s="31" t="s">
        <v>179</v>
      </c>
      <c r="F41" t="s">
        <v>72</v>
      </c>
      <c r="G41" s="22" t="s">
        <v>73</v>
      </c>
      <c r="H41" s="43" t="s">
        <v>74</v>
      </c>
      <c r="I41" s="61" t="s">
        <v>180</v>
      </c>
      <c r="J41" s="2">
        <f t="shared" si="2"/>
        <v>8</v>
      </c>
      <c r="K41" s="3">
        <f t="shared" ref="K41:K42" si="3">IF(SUMPRODUCT($Q$5:$AV$5,Q41:AV41)=0,"-",SUMPRODUCT($Q$5:$AV$5,Q41:AV41))</f>
        <v>240</v>
      </c>
      <c r="M41" s="56">
        <v>4900215137</v>
      </c>
      <c r="N41" s="34" t="s">
        <v>77</v>
      </c>
      <c r="O41" s="54" t="s">
        <v>163</v>
      </c>
      <c r="P41" s="41" t="s">
        <v>164</v>
      </c>
      <c r="AF41" s="7">
        <v>8</v>
      </c>
      <c r="AU41" s="7"/>
    </row>
    <row r="42" spans="1:47" ht="15" customHeight="1">
      <c r="A42" t="s">
        <v>6</v>
      </c>
      <c r="B42" t="s">
        <v>122</v>
      </c>
      <c r="C42" t="s">
        <v>181</v>
      </c>
      <c r="D42" s="11">
        <v>46069</v>
      </c>
      <c r="E42" s="31" t="s">
        <v>182</v>
      </c>
      <c r="F42" t="s">
        <v>183</v>
      </c>
      <c r="G42" s="22" t="s">
        <v>73</v>
      </c>
      <c r="H42" s="43" t="s">
        <v>74</v>
      </c>
      <c r="I42" s="59" t="s">
        <v>184</v>
      </c>
      <c r="J42" s="2">
        <f>IF(SUM(Q42:AV42)=0,"-",SUM(Q42:AV42))</f>
        <v>12</v>
      </c>
      <c r="K42" s="3">
        <f t="shared" si="3"/>
        <v>420</v>
      </c>
      <c r="M42" s="56">
        <v>4900215137</v>
      </c>
      <c r="N42" s="34" t="s">
        <v>77</v>
      </c>
      <c r="O42" s="54" t="s">
        <v>163</v>
      </c>
      <c r="P42" s="41" t="s">
        <v>164</v>
      </c>
      <c r="R42" s="2">
        <v>12</v>
      </c>
    </row>
    <row r="43" spans="1:47" ht="15" customHeight="1">
      <c r="A43" t="s">
        <v>6</v>
      </c>
      <c r="B43" t="s">
        <v>80</v>
      </c>
      <c r="D43" s="11">
        <v>46070</v>
      </c>
      <c r="E43" s="31" t="s">
        <v>185</v>
      </c>
      <c r="F43" t="s">
        <v>155</v>
      </c>
      <c r="G43" s="22" t="s">
        <v>73</v>
      </c>
      <c r="H43" s="43" t="s">
        <v>74</v>
      </c>
      <c r="I43" s="59" t="s">
        <v>186</v>
      </c>
      <c r="J43" s="2">
        <f t="shared" si="2"/>
        <v>10</v>
      </c>
      <c r="K43" s="62">
        <v>1040</v>
      </c>
      <c r="M43" s="56">
        <v>4900215137</v>
      </c>
      <c r="N43" s="34" t="s">
        <v>77</v>
      </c>
      <c r="O43" s="54" t="s">
        <v>163</v>
      </c>
      <c r="P43" s="41" t="s">
        <v>164</v>
      </c>
      <c r="Z43" s="2">
        <v>10</v>
      </c>
    </row>
    <row r="44" spans="1:47" ht="15" customHeight="1">
      <c r="A44" t="s">
        <v>6</v>
      </c>
      <c r="B44" t="s">
        <v>80</v>
      </c>
      <c r="C44" t="s">
        <v>153</v>
      </c>
      <c r="D44" s="11">
        <v>46070</v>
      </c>
      <c r="E44" s="31" t="s">
        <v>154</v>
      </c>
      <c r="F44" t="s">
        <v>155</v>
      </c>
      <c r="G44" s="22" t="s">
        <v>73</v>
      </c>
      <c r="H44" s="43" t="s">
        <v>74</v>
      </c>
      <c r="I44" s="59" t="s">
        <v>187</v>
      </c>
      <c r="J44" s="2">
        <f t="shared" si="2"/>
        <v>4</v>
      </c>
      <c r="K44" s="3">
        <f>IF(SUMPRODUCT($Q$5:$AV$5,Q44:AV44)=0,"-",SUMPRODUCT($Q$5:$AV$5,Q44:AV44))</f>
        <v>240</v>
      </c>
      <c r="M44" s="56">
        <v>4900215137</v>
      </c>
      <c r="N44" s="34" t="s">
        <v>77</v>
      </c>
      <c r="O44" s="54" t="s">
        <v>163</v>
      </c>
      <c r="P44" s="41" t="s">
        <v>164</v>
      </c>
      <c r="Q44" s="7">
        <v>1</v>
      </c>
      <c r="R44" s="2">
        <v>3</v>
      </c>
    </row>
    <row r="45" spans="1:47" ht="15" customHeight="1">
      <c r="A45" t="s">
        <v>6</v>
      </c>
      <c r="B45" t="s">
        <v>111</v>
      </c>
      <c r="C45" t="s">
        <v>112</v>
      </c>
      <c r="D45" s="11">
        <v>46071</v>
      </c>
      <c r="E45" s="63" t="s">
        <v>188</v>
      </c>
      <c r="F45" t="s">
        <v>114</v>
      </c>
      <c r="G45" s="22" t="s">
        <v>73</v>
      </c>
      <c r="H45" s="43" t="s">
        <v>74</v>
      </c>
      <c r="I45" s="64" t="s">
        <v>189</v>
      </c>
      <c r="J45" s="2">
        <f t="shared" si="2"/>
        <v>3</v>
      </c>
      <c r="K45" s="3">
        <f t="shared" ref="K45:K46" si="4">IF(SUMPRODUCT($Q$5:$AV$5,Q45:AV45)=0,"-",SUMPRODUCT($Q$5:$AV$5,Q45:AV45))</f>
        <v>105</v>
      </c>
      <c r="M45" s="56">
        <v>4900215137</v>
      </c>
      <c r="N45" s="34" t="s">
        <v>77</v>
      </c>
      <c r="O45" s="54" t="s">
        <v>163</v>
      </c>
      <c r="P45" s="41" t="s">
        <v>164</v>
      </c>
      <c r="R45" s="2">
        <v>3</v>
      </c>
    </row>
    <row r="46" spans="1:47" ht="15" customHeight="1">
      <c r="A46" t="s">
        <v>6</v>
      </c>
      <c r="B46" t="s">
        <v>122</v>
      </c>
      <c r="C46" t="s">
        <v>102</v>
      </c>
      <c r="D46" s="11">
        <v>46071</v>
      </c>
      <c r="E46" s="31" t="s">
        <v>190</v>
      </c>
      <c r="F46" t="s">
        <v>104</v>
      </c>
      <c r="G46" s="22" t="s">
        <v>73</v>
      </c>
      <c r="H46" t="s">
        <v>74</v>
      </c>
      <c r="I46" s="38" t="s">
        <v>191</v>
      </c>
      <c r="J46" s="2">
        <v>4</v>
      </c>
      <c r="K46" s="3">
        <f>IF(SUMPRODUCT($Q$5:$AV$5,Q46:AV46)=0,"-",SUMPRODUCT($Q$5:$AV$5,Q46:AV46))</f>
        <v>140</v>
      </c>
      <c r="M46" s="56">
        <v>4900215137</v>
      </c>
      <c r="N46" s="34" t="s">
        <v>77</v>
      </c>
      <c r="O46" s="54" t="s">
        <v>163</v>
      </c>
      <c r="P46" s="41" t="s">
        <v>164</v>
      </c>
      <c r="R46" s="2">
        <v>4</v>
      </c>
    </row>
    <row r="47" spans="1:47" ht="15" customHeight="1">
      <c r="A47" t="s">
        <v>6</v>
      </c>
      <c r="B47" t="s">
        <v>74</v>
      </c>
      <c r="D47" s="11">
        <v>46073</v>
      </c>
      <c r="E47" s="31" t="s">
        <v>192</v>
      </c>
      <c r="F47" t="s">
        <v>72</v>
      </c>
      <c r="G47" s="22" t="s">
        <v>73</v>
      </c>
      <c r="H47" s="43" t="s">
        <v>74</v>
      </c>
      <c r="I47" s="61" t="s">
        <v>180</v>
      </c>
      <c r="J47" s="2">
        <f t="shared" ref="J47:J50" si="5">IF(SUM(Q47:AV47)=0,"-",SUM(Q47:AV47))</f>
        <v>36</v>
      </c>
      <c r="K47" s="3">
        <f>IF(SUMPRODUCT($Q$5:$AV$5,Q47:AV47)=0,"-",SUMPRODUCT($Q$5:$AV$5,Q47:AV47))</f>
        <v>1080</v>
      </c>
      <c r="M47" s="56">
        <v>4900215137</v>
      </c>
      <c r="N47" s="34" t="s">
        <v>77</v>
      </c>
      <c r="O47" s="54" t="s">
        <v>163</v>
      </c>
      <c r="P47" s="41" t="s">
        <v>164</v>
      </c>
      <c r="AF47" s="7">
        <v>36</v>
      </c>
      <c r="AU47" s="7"/>
    </row>
    <row r="48" spans="1:47" ht="15" customHeight="1">
      <c r="A48" t="s">
        <v>6</v>
      </c>
      <c r="B48" t="s">
        <v>111</v>
      </c>
      <c r="C48" t="s">
        <v>193</v>
      </c>
      <c r="D48" s="11">
        <v>46077</v>
      </c>
      <c r="E48" s="31" t="s">
        <v>194</v>
      </c>
      <c r="F48" t="s">
        <v>114</v>
      </c>
      <c r="G48" s="22" t="s">
        <v>73</v>
      </c>
      <c r="H48" s="43" t="s">
        <v>74</v>
      </c>
      <c r="I48" s="32" t="s">
        <v>195</v>
      </c>
      <c r="J48" s="2">
        <f t="shared" si="5"/>
        <v>2</v>
      </c>
      <c r="K48" s="3">
        <f>IF(SUMPRODUCT($Q$5:$AV$5,Q48:AV48)=0,"-",SUMPRODUCT($Q$5:$AV$5,Q48:AV48))</f>
        <v>170</v>
      </c>
      <c r="M48" s="56">
        <v>4900215137</v>
      </c>
      <c r="N48" s="34" t="s">
        <v>77</v>
      </c>
      <c r="O48" s="54" t="s">
        <v>163</v>
      </c>
      <c r="P48" s="41" t="s">
        <v>164</v>
      </c>
      <c r="Q48" s="7">
        <v>1</v>
      </c>
      <c r="R48" s="2">
        <v>1</v>
      </c>
    </row>
    <row r="49" spans="1:37" ht="15" customHeight="1">
      <c r="A49" t="s">
        <v>6</v>
      </c>
      <c r="B49" t="s">
        <v>74</v>
      </c>
      <c r="D49" s="11">
        <v>46079</v>
      </c>
      <c r="E49" s="31" t="s">
        <v>196</v>
      </c>
      <c r="F49" t="s">
        <v>197</v>
      </c>
      <c r="G49" s="22" t="s">
        <v>73</v>
      </c>
      <c r="H49" s="43" t="s">
        <v>74</v>
      </c>
      <c r="I49" s="61" t="s">
        <v>180</v>
      </c>
      <c r="J49" s="2">
        <f t="shared" si="5"/>
        <v>48</v>
      </c>
      <c r="K49" s="3">
        <f>IF(SUMPRODUCT($Q$5:$AV$5,Q49:AV49)=0,"-",SUMPRODUCT($Q$5:$AV$5,Q49:AV49))</f>
        <v>1440</v>
      </c>
      <c r="M49" s="56">
        <v>4900215137</v>
      </c>
      <c r="N49" s="34" t="s">
        <v>77</v>
      </c>
      <c r="O49" s="54" t="s">
        <v>163</v>
      </c>
      <c r="P49" s="41" t="s">
        <v>164</v>
      </c>
      <c r="AF49" s="7">
        <v>48</v>
      </c>
    </row>
    <row r="50" spans="1:37" ht="15" customHeight="1">
      <c r="A50" t="s">
        <v>6</v>
      </c>
      <c r="B50" t="s">
        <v>127</v>
      </c>
      <c r="D50" s="11">
        <v>46083</v>
      </c>
      <c r="E50" s="31" t="s">
        <v>198</v>
      </c>
      <c r="F50" t="s">
        <v>129</v>
      </c>
      <c r="G50" s="22" t="s">
        <v>73</v>
      </c>
      <c r="H50" s="43" t="s">
        <v>127</v>
      </c>
      <c r="I50" s="38" t="s">
        <v>199</v>
      </c>
      <c r="J50" s="2">
        <f t="shared" si="5"/>
        <v>6</v>
      </c>
      <c r="K50" s="3">
        <f>IF(SUMPRODUCT($Q$5:$AV$5,Q50:AV50)=0,"-",SUMPRODUCT($Q$5:$AV$5,Q50:AV50))</f>
        <v>1560</v>
      </c>
      <c r="M50" s="65"/>
      <c r="N50" s="66"/>
      <c r="O50" s="65"/>
      <c r="P50" s="67"/>
      <c r="AB50" s="2">
        <v>6</v>
      </c>
    </row>
    <row r="51" spans="1:37" ht="15" customHeight="1">
      <c r="A51" t="s">
        <v>6</v>
      </c>
      <c r="B51" t="s">
        <v>122</v>
      </c>
      <c r="C51" t="s">
        <v>157</v>
      </c>
      <c r="D51" s="11">
        <v>46083</v>
      </c>
      <c r="E51" s="31" t="s">
        <v>200</v>
      </c>
      <c r="F51" t="s">
        <v>104</v>
      </c>
      <c r="G51" s="22" t="s">
        <v>73</v>
      </c>
      <c r="H51" t="s">
        <v>74</v>
      </c>
      <c r="I51" s="32" t="s">
        <v>162</v>
      </c>
      <c r="J51" s="2">
        <f t="shared" ref="J51" si="6">IF(SUM(Q51:AV51)=0,"-",SUM(Q51:AV51))</f>
        <v>4</v>
      </c>
      <c r="K51" s="3">
        <f>IF(SUMPRODUCT($Q$5:$AV$5,Q51:AV51)=0,"-",SUMPRODUCT($Q$5:$AV$5,Q51:AV51))</f>
        <v>140</v>
      </c>
      <c r="M51" s="56">
        <v>4900215137</v>
      </c>
      <c r="N51" s="34" t="s">
        <v>77</v>
      </c>
      <c r="O51" s="54" t="s">
        <v>163</v>
      </c>
      <c r="P51" s="41" t="s">
        <v>164</v>
      </c>
      <c r="R51" s="2">
        <v>4</v>
      </c>
    </row>
    <row r="52" spans="1:37" ht="15" customHeight="1">
      <c r="A52" t="s">
        <v>6</v>
      </c>
      <c r="B52" t="s">
        <v>122</v>
      </c>
      <c r="C52" t="s">
        <v>201</v>
      </c>
      <c r="D52" s="11">
        <v>46083</v>
      </c>
      <c r="E52" s="31" t="s">
        <v>202</v>
      </c>
      <c r="F52" t="s">
        <v>104</v>
      </c>
      <c r="G52" s="22" t="s">
        <v>73</v>
      </c>
      <c r="H52" s="43" t="s">
        <v>74</v>
      </c>
      <c r="I52" s="32" t="s">
        <v>203</v>
      </c>
      <c r="J52" s="2">
        <f t="shared" ref="J52" si="7">IF(SUM(Q52:AV52)=0,"-",SUM(Q52:AV52))</f>
        <v>2</v>
      </c>
      <c r="K52" s="3">
        <f>IF(SUMPRODUCT($Q$5:$AV$5,Q52:AV52)=0,"-",SUMPRODUCT($Q$5:$AV$5,Q52:AV52))</f>
        <v>70</v>
      </c>
      <c r="M52" s="56">
        <v>4900215137</v>
      </c>
      <c r="N52" s="34" t="s">
        <v>77</v>
      </c>
      <c r="O52" s="54" t="s">
        <v>163</v>
      </c>
      <c r="P52" s="41" t="s">
        <v>164</v>
      </c>
      <c r="R52" s="2">
        <v>2</v>
      </c>
    </row>
    <row r="53" spans="1:37" ht="15" customHeight="1">
      <c r="A53" t="s">
        <v>6</v>
      </c>
      <c r="B53" t="s">
        <v>111</v>
      </c>
      <c r="D53" s="11">
        <v>46084</v>
      </c>
      <c r="E53" s="31" t="s">
        <v>204</v>
      </c>
      <c r="F53" t="s">
        <v>205</v>
      </c>
      <c r="G53" s="22" t="s">
        <v>73</v>
      </c>
      <c r="H53" t="s">
        <v>74</v>
      </c>
      <c r="I53" s="59" t="s">
        <v>206</v>
      </c>
      <c r="J53" s="2">
        <f>IF(SUM(Q53:AV53)=0,"-",SUM(Q53:AV53))</f>
        <v>16</v>
      </c>
      <c r="K53" s="3">
        <f>IF(SUMPRODUCT($Q$5:$AV$5,Q53:AV53)=0,"-",SUMPRODUCT($Q$5:$AV$5,Q53:AV53))</f>
        <v>660</v>
      </c>
      <c r="M53" s="65"/>
      <c r="N53" s="66"/>
      <c r="O53" s="65"/>
      <c r="P53" s="67"/>
      <c r="Q53" s="7">
        <v>1</v>
      </c>
      <c r="R53" s="2">
        <v>15</v>
      </c>
    </row>
    <row r="54" spans="1:37" ht="15" customHeight="1">
      <c r="A54" t="s">
        <v>6</v>
      </c>
      <c r="B54" t="s">
        <v>111</v>
      </c>
      <c r="C54" t="s">
        <v>112</v>
      </c>
      <c r="D54" s="11">
        <v>46084</v>
      </c>
      <c r="E54" s="31" t="s">
        <v>207</v>
      </c>
      <c r="F54" t="s">
        <v>205</v>
      </c>
      <c r="G54" s="22" t="s">
        <v>73</v>
      </c>
      <c r="H54" t="s">
        <v>74</v>
      </c>
      <c r="I54" s="32" t="s">
        <v>208</v>
      </c>
      <c r="J54" s="2">
        <f t="shared" ref="J54:J58" si="8">IF(SUM(Q54:AV54)=0,"-",SUM(Q54:AV54))</f>
        <v>54</v>
      </c>
      <c r="K54" s="57">
        <f>IF(SUMPRODUCT($Q$5:$AV$5,Q54:AV54)=0,"-",SUMPRODUCT($Q$5:$AV$5,Q54:AV54))</f>
        <v>1990</v>
      </c>
      <c r="M54" s="65"/>
      <c r="N54" s="66"/>
      <c r="O54" s="65"/>
      <c r="P54" s="67"/>
      <c r="Q54" s="7">
        <v>1</v>
      </c>
      <c r="R54" s="2">
        <v>53</v>
      </c>
    </row>
    <row r="55" spans="1:37" ht="15" customHeight="1">
      <c r="A55" t="s">
        <v>6</v>
      </c>
      <c r="B55" t="s">
        <v>74</v>
      </c>
      <c r="D55" s="11">
        <v>46086</v>
      </c>
      <c r="E55" s="31" t="s">
        <v>209</v>
      </c>
      <c r="F55" t="s">
        <v>72</v>
      </c>
      <c r="G55" s="22" t="s">
        <v>73</v>
      </c>
      <c r="H55" s="43" t="s">
        <v>74</v>
      </c>
      <c r="I55" s="59" t="s">
        <v>210</v>
      </c>
      <c r="J55" s="2">
        <f t="shared" si="8"/>
        <v>6</v>
      </c>
      <c r="K55" s="3">
        <f>IF(SUMPRODUCT($Q$5:$AV$5,Q55:AV55)=0,"-",SUMPRODUCT($Q$5:$AV$5,Q55:AV55))</f>
        <v>635</v>
      </c>
      <c r="M55" s="65"/>
      <c r="N55" s="66"/>
      <c r="O55" s="65"/>
      <c r="P55" s="67"/>
      <c r="Q55" s="7">
        <v>3</v>
      </c>
      <c r="Y55" s="7">
        <v>1</v>
      </c>
      <c r="Z55" s="2">
        <v>2</v>
      </c>
    </row>
    <row r="56" spans="1:37" ht="15" customHeight="1">
      <c r="A56" t="s">
        <v>6</v>
      </c>
      <c r="B56" t="s">
        <v>74</v>
      </c>
      <c r="D56" s="11">
        <v>46086</v>
      </c>
      <c r="E56" s="31" t="s">
        <v>211</v>
      </c>
      <c r="F56" t="s">
        <v>104</v>
      </c>
      <c r="G56" s="22" t="s">
        <v>73</v>
      </c>
      <c r="H56" s="43" t="s">
        <v>74</v>
      </c>
      <c r="I56" s="32" t="s">
        <v>212</v>
      </c>
      <c r="J56" s="2">
        <f t="shared" si="8"/>
        <v>6</v>
      </c>
      <c r="K56" s="3">
        <f>IF(SUMPRODUCT($Q$5:$AV$5,Q56:AV56)=0,"-",SUMPRODUCT($Q$5:$AV$5,Q56:AV56))</f>
        <v>240</v>
      </c>
      <c r="M56" s="65"/>
      <c r="N56" s="66"/>
      <c r="O56" s="65"/>
      <c r="P56" s="67"/>
      <c r="Z56" s="2">
        <v>6</v>
      </c>
    </row>
    <row r="57" spans="1:37" ht="15" customHeight="1">
      <c r="A57" t="s">
        <v>6</v>
      </c>
      <c r="B57" t="s">
        <v>69</v>
      </c>
      <c r="C57" s="53" t="s">
        <v>131</v>
      </c>
      <c r="D57" s="11">
        <v>46091</v>
      </c>
      <c r="E57" s="31" t="s">
        <v>213</v>
      </c>
      <c r="F57" t="s">
        <v>72</v>
      </c>
      <c r="G57" s="22" t="s">
        <v>73</v>
      </c>
      <c r="H57" s="43" t="s">
        <v>74</v>
      </c>
      <c r="I57" s="59" t="s">
        <v>214</v>
      </c>
      <c r="J57" s="2">
        <f t="shared" si="8"/>
        <v>3</v>
      </c>
      <c r="K57" s="3">
        <f>IF(SUMPRODUCT($Q$5:$AV$5,Q57:AV57)=0,"-",SUMPRODUCT($Q$5:$AV$5,Q57:AV57))</f>
        <v>240</v>
      </c>
      <c r="M57" s="65"/>
      <c r="N57" s="66"/>
      <c r="O57" s="65"/>
      <c r="P57" s="67"/>
      <c r="AK57" s="7">
        <v>3</v>
      </c>
    </row>
    <row r="58" spans="1:37" ht="15" customHeight="1">
      <c r="A58" t="s">
        <v>6</v>
      </c>
      <c r="B58" t="s">
        <v>111</v>
      </c>
      <c r="C58" t="s">
        <v>112</v>
      </c>
      <c r="D58" s="11">
        <v>46094</v>
      </c>
      <c r="E58" s="31" t="s">
        <v>215</v>
      </c>
      <c r="F58" t="s">
        <v>205</v>
      </c>
      <c r="G58" s="22" t="s">
        <v>73</v>
      </c>
      <c r="H58" s="43" t="s">
        <v>74</v>
      </c>
      <c r="I58" s="32" t="s">
        <v>216</v>
      </c>
      <c r="J58" s="2">
        <f t="shared" ref="J58" si="9">IF(SUM(Q58:AV58)=0,"-",SUM(Q58:AV58))</f>
        <v>21</v>
      </c>
      <c r="K58" s="3">
        <f>IF(SUMPRODUCT($Q$5:$AV$5,Q58:AV58)=0,"-",SUMPRODUCT($Q$5:$AV$5,Q58:AV58))</f>
        <v>630</v>
      </c>
      <c r="M58" s="65"/>
      <c r="N58" s="66"/>
      <c r="O58" s="65"/>
      <c r="P58" s="67"/>
      <c r="AF58" s="7">
        <v>21</v>
      </c>
    </row>
    <row r="59" spans="1:37" ht="15.75" customHeight="1">
      <c r="A59" t="s">
        <v>6</v>
      </c>
      <c r="B59" t="s">
        <v>80</v>
      </c>
      <c r="D59" s="11">
        <v>46097</v>
      </c>
      <c r="E59" s="31" t="s">
        <v>217</v>
      </c>
      <c r="F59" t="s">
        <v>155</v>
      </c>
      <c r="G59" s="22" t="s">
        <v>73</v>
      </c>
      <c r="H59" s="43" t="s">
        <v>74</v>
      </c>
      <c r="I59" s="59" t="s">
        <v>186</v>
      </c>
      <c r="J59" s="2">
        <v>1</v>
      </c>
      <c r="K59" s="44">
        <v>590</v>
      </c>
      <c r="M59" s="65"/>
      <c r="N59" s="66"/>
      <c r="O59" s="65"/>
      <c r="P59" s="67"/>
    </row>
    <row r="60" spans="1:37" ht="15" customHeight="1">
      <c r="A60" t="s">
        <v>6</v>
      </c>
      <c r="B60" t="s">
        <v>111</v>
      </c>
      <c r="D60" s="11">
        <v>46097</v>
      </c>
      <c r="E60" s="31" t="s">
        <v>218</v>
      </c>
      <c r="F60" t="s">
        <v>205</v>
      </c>
      <c r="G60" s="37" t="s">
        <v>219</v>
      </c>
      <c r="H60" s="43" t="s">
        <v>74</v>
      </c>
      <c r="I60" s="32" t="s">
        <v>220</v>
      </c>
      <c r="J60" s="2">
        <f t="shared" ref="J60:J62" si="10">IF(SUM(Q60:AV60)=0,"-",SUM(Q60:AV60))</f>
        <v>6</v>
      </c>
      <c r="K60" s="3">
        <f>IF(SUMPRODUCT($Q$5:$AV$5,Q60:AV60)=0,"-",SUMPRODUCT($Q$5:$AV$5,Q60:AV60))</f>
        <v>460</v>
      </c>
      <c r="Y60" s="7">
        <v>2</v>
      </c>
      <c r="Z60" s="2">
        <v>4</v>
      </c>
    </row>
    <row r="61" spans="1:37" ht="15" customHeight="1">
      <c r="A61" t="s">
        <v>6</v>
      </c>
      <c r="B61" t="s">
        <v>111</v>
      </c>
      <c r="D61" s="11">
        <v>46098</v>
      </c>
      <c r="E61" s="31" t="s">
        <v>221</v>
      </c>
      <c r="F61" t="s">
        <v>222</v>
      </c>
      <c r="G61" s="37" t="s">
        <v>219</v>
      </c>
      <c r="H61" s="43" t="s">
        <v>74</v>
      </c>
      <c r="I61" s="32" t="s">
        <v>223</v>
      </c>
      <c r="J61" s="2">
        <v>8</v>
      </c>
      <c r="K61" s="3">
        <f>IF(SUMPRODUCT($Q$5:$AV$5,Q61:AV61)=0,"-",SUMPRODUCT($Q$5:$AV$5,Q61:AV61))</f>
        <v>280</v>
      </c>
      <c r="R61" s="2">
        <v>8</v>
      </c>
    </row>
    <row r="62" spans="1:37" ht="15" customHeight="1">
      <c r="A62" t="s">
        <v>6</v>
      </c>
      <c r="B62" t="s">
        <v>80</v>
      </c>
      <c r="C62" t="s">
        <v>153</v>
      </c>
      <c r="D62" s="11">
        <v>46100</v>
      </c>
      <c r="E62" s="31" t="s">
        <v>224</v>
      </c>
      <c r="F62" t="s">
        <v>155</v>
      </c>
      <c r="G62" s="22" t="s">
        <v>73</v>
      </c>
      <c r="H62" s="43" t="s">
        <v>74</v>
      </c>
      <c r="I62" s="59" t="s">
        <v>225</v>
      </c>
      <c r="J62" s="2">
        <f t="shared" si="10"/>
        <v>1</v>
      </c>
      <c r="K62" s="3">
        <f>IF(SUMPRODUCT($Q$5:$AV$5,Q62:AV62)=0,"-",SUMPRODUCT($Q$5:$AV$5,Q62:AV62))</f>
        <v>135</v>
      </c>
      <c r="Q62" s="7">
        <v>1</v>
      </c>
    </row>
    <row r="63" spans="1:37" ht="15" customHeight="1">
      <c r="A63" t="s">
        <v>6</v>
      </c>
      <c r="B63" t="s">
        <v>111</v>
      </c>
      <c r="C63" t="s">
        <v>112</v>
      </c>
      <c r="D63" s="11">
        <v>46115</v>
      </c>
      <c r="E63" s="31" t="s">
        <v>226</v>
      </c>
      <c r="F63" t="s">
        <v>205</v>
      </c>
      <c r="G63" s="37" t="s">
        <v>219</v>
      </c>
      <c r="H63" s="43" t="s">
        <v>74</v>
      </c>
      <c r="I63" s="32" t="s">
        <v>227</v>
      </c>
      <c r="J63" s="2">
        <f t="shared" ref="J63" si="11">IF(SUM(Q63:AV63)=0,"-",SUM(Q63:AV63))</f>
        <v>36</v>
      </c>
      <c r="K63" s="3">
        <f>IF(SUMPRODUCT($Q$5:$AV$5,Q63:AV63)=0,"-",SUMPRODUCT($Q$5:$AV$5,Q63:AV63))</f>
        <v>1360</v>
      </c>
      <c r="Q63" s="7">
        <v>1</v>
      </c>
      <c r="R63" s="2">
        <v>35</v>
      </c>
    </row>
    <row r="64" spans="1:37" ht="15" customHeight="1">
      <c r="A64" t="s">
        <v>6</v>
      </c>
      <c r="B64" t="s">
        <v>111</v>
      </c>
      <c r="C64" t="s">
        <v>112</v>
      </c>
      <c r="D64" s="11">
        <v>46105</v>
      </c>
      <c r="E64" s="31" t="s">
        <v>228</v>
      </c>
      <c r="F64" t="s">
        <v>205</v>
      </c>
      <c r="G64" s="37" t="s">
        <v>219</v>
      </c>
      <c r="H64" s="43" t="s">
        <v>74</v>
      </c>
      <c r="I64" s="32" t="s">
        <v>229</v>
      </c>
      <c r="J64" s="2">
        <f>IF(SUM(Q64:AV64)=0,"-",SUM(Q64:AV64))</f>
        <v>36</v>
      </c>
      <c r="K64" s="3">
        <f>IF(SUMPRODUCT($Q$5:$AV$5,Q64:AV64)=0,"-",SUMPRODUCT($Q$5:$AV$5,Q64:AV64))</f>
        <v>1360</v>
      </c>
      <c r="Q64" s="7">
        <v>1</v>
      </c>
      <c r="R64" s="2">
        <v>35</v>
      </c>
    </row>
    <row r="65" spans="1:33" ht="15" customHeight="1">
      <c r="A65" t="s">
        <v>6</v>
      </c>
      <c r="B65" t="s">
        <v>111</v>
      </c>
      <c r="C65" t="s">
        <v>112</v>
      </c>
      <c r="D65" s="11">
        <v>46105</v>
      </c>
      <c r="E65" s="31" t="s">
        <v>230</v>
      </c>
      <c r="F65" t="s">
        <v>205</v>
      </c>
      <c r="G65" s="37" t="s">
        <v>219</v>
      </c>
      <c r="H65" s="43" t="s">
        <v>74</v>
      </c>
      <c r="I65" s="32" t="s">
        <v>231</v>
      </c>
      <c r="J65" s="2">
        <f>IF(SUM(Q65:AV65)=0,"-",SUM(Q65:AV65))</f>
        <v>28</v>
      </c>
      <c r="K65" s="3">
        <f>IF(SUMPRODUCT($Q$5:$AV$5,Q65:AV65)=0,"-",SUMPRODUCT($Q$5:$AV$5,Q65:AV65))</f>
        <v>1080</v>
      </c>
      <c r="Q65" s="7">
        <v>1</v>
      </c>
      <c r="R65" s="2">
        <v>27</v>
      </c>
    </row>
    <row r="66" spans="1:33" ht="15" customHeight="1">
      <c r="A66" t="s">
        <v>6</v>
      </c>
      <c r="B66" t="s">
        <v>74</v>
      </c>
      <c r="D66" s="11">
        <v>46106</v>
      </c>
      <c r="E66" s="31" t="s">
        <v>232</v>
      </c>
      <c r="F66" t="s">
        <v>104</v>
      </c>
      <c r="G66" s="37" t="s">
        <v>219</v>
      </c>
      <c r="H66" s="43" t="s">
        <v>74</v>
      </c>
      <c r="I66" s="32" t="s">
        <v>233</v>
      </c>
      <c r="J66" s="2">
        <f t="shared" ref="J66:J69" si="12">IF(SUM(Q66:AV66)=0,"-",SUM(Q66:AV66))</f>
        <v>1</v>
      </c>
      <c r="K66" s="3">
        <f t="shared" ref="K66:K69" si="13">IF(SUMPRODUCT($Q$5:$AV$5,Q66:AV66)=0,"-",SUMPRODUCT($Q$5:$AV$5,Q66:AV66))</f>
        <v>30</v>
      </c>
      <c r="AF66" s="7">
        <v>1</v>
      </c>
    </row>
    <row r="67" spans="1:33" ht="15" customHeight="1">
      <c r="A67" t="s">
        <v>6</v>
      </c>
      <c r="B67" t="s">
        <v>80</v>
      </c>
      <c r="C67" t="s">
        <v>88</v>
      </c>
      <c r="D67" s="11">
        <v>46106</v>
      </c>
      <c r="E67" s="31" t="s">
        <v>234</v>
      </c>
      <c r="F67" t="s">
        <v>90</v>
      </c>
      <c r="G67" s="37" t="s">
        <v>219</v>
      </c>
      <c r="H67" s="43" t="s">
        <v>74</v>
      </c>
      <c r="I67" s="32" t="s">
        <v>235</v>
      </c>
      <c r="J67" s="2">
        <f t="shared" si="12"/>
        <v>6</v>
      </c>
      <c r="K67" s="3">
        <f t="shared" si="13"/>
        <v>1800</v>
      </c>
      <c r="AG67" s="7">
        <v>6</v>
      </c>
    </row>
    <row r="68" spans="1:33" ht="15" customHeight="1">
      <c r="D68" s="11"/>
      <c r="E68" s="31"/>
      <c r="G68" s="37"/>
      <c r="H68" s="43"/>
      <c r="I68" s="38"/>
      <c r="J68" s="2" t="str">
        <f t="shared" si="12"/>
        <v>-</v>
      </c>
      <c r="K68" s="3" t="str">
        <f t="shared" si="13"/>
        <v>-</v>
      </c>
    </row>
    <row r="69" spans="1:33" ht="15" customHeight="1">
      <c r="D69" s="11"/>
      <c r="E69" s="31"/>
      <c r="G69" s="37"/>
      <c r="H69" s="43"/>
      <c r="I69" s="38"/>
      <c r="J69" s="2" t="str">
        <f t="shared" si="12"/>
        <v>-</v>
      </c>
      <c r="K69" s="3" t="str">
        <f t="shared" si="13"/>
        <v>-</v>
      </c>
    </row>
    <row r="70" spans="1:33" ht="15" customHeight="1">
      <c r="D70" s="11"/>
      <c r="E70" s="31"/>
      <c r="G70" s="37"/>
      <c r="H70" s="43"/>
      <c r="I70" s="38"/>
      <c r="K70" s="44"/>
    </row>
    <row r="71" spans="1:33" ht="15" customHeight="1">
      <c r="D71" s="11"/>
      <c r="E71" s="31"/>
      <c r="G71" s="37"/>
      <c r="H71" s="43"/>
    </row>
    <row r="72" spans="1:33" ht="15" customHeight="1">
      <c r="D72" s="11"/>
      <c r="E72" s="31"/>
      <c r="G72" s="37"/>
      <c r="I72" s="38"/>
      <c r="K72" s="44"/>
    </row>
    <row r="73" spans="1:33" ht="15" customHeight="1">
      <c r="D73" s="11"/>
      <c r="E73" s="31"/>
      <c r="G73" s="37"/>
      <c r="I73" s="38"/>
      <c r="K73" s="44"/>
    </row>
    <row r="74" spans="1:33" ht="15" customHeight="1">
      <c r="D74" s="11"/>
      <c r="E74" s="31"/>
      <c r="G74" s="37"/>
      <c r="I74" s="38"/>
      <c r="K74" s="44"/>
    </row>
    <row r="75" spans="1:33" ht="15" customHeight="1">
      <c r="D75" s="11"/>
      <c r="E75" s="31"/>
      <c r="G75" s="37"/>
      <c r="K75" s="44"/>
    </row>
    <row r="76" spans="1:33" ht="15" customHeight="1">
      <c r="D76" s="11"/>
      <c r="E76" s="31"/>
      <c r="G76" s="37"/>
      <c r="I76" s="38"/>
      <c r="K76" s="44"/>
    </row>
    <row r="77" spans="1:33" ht="15" customHeight="1">
      <c r="D77" s="11"/>
      <c r="E77" s="31"/>
      <c r="G77" s="37"/>
      <c r="I77" s="38"/>
      <c r="K77" s="44"/>
    </row>
    <row r="78" spans="1:33" ht="15" customHeight="1">
      <c r="D78" s="11"/>
      <c r="E78" s="31"/>
      <c r="G78" s="37"/>
      <c r="K78" s="44"/>
    </row>
    <row r="79" spans="1:33" ht="15" customHeight="1">
      <c r="D79" s="11"/>
      <c r="E79" s="31"/>
      <c r="G79" s="37"/>
      <c r="K79" s="44"/>
    </row>
    <row r="80" spans="1:33" ht="15" customHeight="1">
      <c r="D80" s="11"/>
      <c r="I80" s="38"/>
      <c r="K80" s="44"/>
    </row>
    <row r="81" spans="1:16" ht="15" customHeight="1">
      <c r="D81" s="11"/>
      <c r="E81" s="31"/>
      <c r="K81" s="44"/>
    </row>
    <row r="85" spans="1:16" ht="15" customHeight="1">
      <c r="A85" s="45"/>
      <c r="B85" s="45"/>
      <c r="C85" s="45"/>
      <c r="D85" s="45"/>
      <c r="E85" s="46"/>
      <c r="F85" s="45"/>
      <c r="G85" s="45"/>
      <c r="H85" s="47"/>
      <c r="I85" s="45"/>
      <c r="J85" s="48"/>
      <c r="K85" s="49"/>
      <c r="L85" s="47"/>
      <c r="M85" s="47"/>
      <c r="N85" s="45"/>
      <c r="O85" s="47"/>
      <c r="P85" s="58"/>
    </row>
  </sheetData>
  <autoFilter ref="A5:AU76" xr:uid="{EF6D707C-BDD5-416B-AAF3-2924671B11B3}">
    <sortState xmlns:xlrd2="http://schemas.microsoft.com/office/spreadsheetml/2017/richdata2" ref="A6:AU76">
      <sortCondition ref="O5:O76"/>
    </sortState>
  </autoFilter>
  <mergeCells count="8">
    <mergeCell ref="AK3:AQ3"/>
    <mergeCell ref="AR3:AS3"/>
    <mergeCell ref="AT3:AU3"/>
    <mergeCell ref="A4:E4"/>
    <mergeCell ref="F4:N4"/>
    <mergeCell ref="Q3:X3"/>
    <mergeCell ref="Y3:AE3"/>
    <mergeCell ref="AG3:AJ3"/>
  </mergeCells>
  <hyperlinks>
    <hyperlink ref="I6" r:id="rId1" xr:uid="{26C2AA5C-CACF-42E8-9A68-6D219141C483}"/>
    <hyperlink ref="I9" r:id="rId2" xr:uid="{151EE294-79F8-4631-86D8-117D57F04791}"/>
    <hyperlink ref="I7" r:id="rId3" xr:uid="{7CFFCC65-37F0-40E3-A5A8-064D94C3291D}"/>
    <hyperlink ref="I8" r:id="rId4" xr:uid="{F43D795F-D547-487B-AC56-E31CD2BE9E63}"/>
    <hyperlink ref="I10" r:id="rId5" xr:uid="{658B902F-DB24-4AC1-B0E5-BA1694E64574}"/>
    <hyperlink ref="I11" r:id="rId6" xr:uid="{1A125EDF-A203-4BE7-A8BD-0A18FD1D99B7}"/>
    <hyperlink ref="I12" r:id="rId7" xr:uid="{F7A1ACB3-4BE3-45EE-91B2-69DF81E1CFCE}"/>
    <hyperlink ref="I13" r:id="rId8" xr:uid="{B34C4C45-8E71-427A-9B6E-C022119611E1}"/>
    <hyperlink ref="I14" r:id="rId9" xr:uid="{D4893188-0A99-4B76-AFFB-A2D67A0FBD53}"/>
    <hyperlink ref="I15" r:id="rId10" xr:uid="{606C7421-8D2D-4E7B-93AA-B27966F0A899}"/>
    <hyperlink ref="I16" r:id="rId11" xr:uid="{3AF42707-E2D6-4BC5-8F9A-43EE82397FB1}"/>
    <hyperlink ref="I17" r:id="rId12" xr:uid="{CE8500EB-5108-4685-881A-B8976F39755A}"/>
    <hyperlink ref="I18" r:id="rId13" xr:uid="{67686554-9292-4830-A446-31473B44FE64}"/>
    <hyperlink ref="I19" r:id="rId14" display="https://saranistudio.sharepoint.com/sites/SaraniAssets/Shared%20Documents/Forms/AllItems.aspx?id=%2Fsites%2FSaraniAssets%2FShared%20Documents%2F03%2E%20Customers%2F19%2E%20Bose%2F02%2E%20Projects%2F20251120%5FBOSE%20FY26Q2%20QuietComfort%20Ultra%20Headphone%202nd%20Gen&amp;p=true&amp;ga=1" xr:uid="{D071AE06-2B17-4637-A9C1-E00969D69E32}"/>
    <hyperlink ref="I20" r:id="rId15" xr:uid="{13A98FE9-A838-427C-B046-8F2C7A8E4070}"/>
    <hyperlink ref="I21" r:id="rId16" xr:uid="{BF6DCBA5-6721-4AAE-A7AE-6FB5D9E524CA}"/>
    <hyperlink ref="I22" r:id="rId17" xr:uid="{D268F9A8-8FFE-491B-A4CE-079FB68C57FB}"/>
    <hyperlink ref="I23" r:id="rId18" xr:uid="{3AB16EF6-A75A-459F-8C45-FC049F81938C}"/>
    <hyperlink ref="I24" r:id="rId19" xr:uid="{121C0261-AA40-40DF-8F33-49F21E30E1AB}"/>
    <hyperlink ref="I25" r:id="rId20" xr:uid="{654FB9D8-6EE3-4217-A5B3-9FF684ACB93C}"/>
    <hyperlink ref="I26" r:id="rId21" xr:uid="{672914D1-8D25-4E65-BAE1-5196B8B7A19B}"/>
    <hyperlink ref="I27" r:id="rId22" xr:uid="{0754E548-A423-4ED9-B3FE-A3797ABF1597}"/>
    <hyperlink ref="I29" r:id="rId23" xr:uid="{A129DB8E-9782-4FB5-9A07-37FD7773A067}"/>
    <hyperlink ref="I28" r:id="rId24" xr:uid="{1838F836-E626-4028-8F14-4C7C687D6113}"/>
    <hyperlink ref="I30" r:id="rId25" xr:uid="{B88B5CD4-B2EB-468C-AB7E-676CDCF7B82E}"/>
    <hyperlink ref="I31" r:id="rId26" xr:uid="{F22F18FC-8BDD-4188-B552-57147D616B46}"/>
    <hyperlink ref="I32" r:id="rId27" xr:uid="{4E87D596-1121-4AC5-AE6F-858A8794386E}"/>
    <hyperlink ref="I33" r:id="rId28" xr:uid="{6E84D8B9-EAFE-4782-9CD6-219A98E6A6AD}"/>
    <hyperlink ref="I34" r:id="rId29" xr:uid="{6697FDEA-895F-4C07-B7C2-C92DE4A0AF30}"/>
    <hyperlink ref="I35" r:id="rId30" xr:uid="{E28F45B6-821A-4586-BF07-CE37D14230E8}"/>
    <hyperlink ref="I36" r:id="rId31" xr:uid="{EEB790D1-BF85-47A4-89FF-00EBD1519260}"/>
    <hyperlink ref="I37" r:id="rId32" xr:uid="{6F9B682E-0B61-485E-A06D-B75B6851D53C}"/>
    <hyperlink ref="I38" r:id="rId33" xr:uid="{D87E1F57-7B4C-4466-B350-1FDAADE1E7C5}"/>
    <hyperlink ref="I39" r:id="rId34" xr:uid="{8ACF749B-92C6-4D0C-8750-38402126DC41}"/>
    <hyperlink ref="I40" r:id="rId35" xr:uid="{114FF6C3-8837-419D-80F7-7D52AB1C4AFA}"/>
    <hyperlink ref="I41" r:id="rId36" xr:uid="{DB9F6F13-4F12-4B58-9D0B-06D46E5A5C72}"/>
    <hyperlink ref="I42" r:id="rId37" xr:uid="{686B0EE3-10E2-4BCC-826C-C68E0490DE3B}"/>
    <hyperlink ref="I43" r:id="rId38" xr:uid="{AB9B6FB2-0701-4F3F-A813-C7E1E934F0EB}"/>
    <hyperlink ref="I44" r:id="rId39" xr:uid="{11DF586F-07F8-43F2-AE10-408D7EEA180E}"/>
    <hyperlink ref="I45" r:id="rId40" xr:uid="{437B798B-E633-4D22-9134-86B1FBA0AAAC}"/>
    <hyperlink ref="I46" r:id="rId41" xr:uid="{8B39AE2C-C5CE-46CA-83DB-AEE76A30B8A2}"/>
    <hyperlink ref="I47" r:id="rId42" xr:uid="{99639C00-47F7-4064-8448-5CD5C0B5494D}"/>
    <hyperlink ref="I48" r:id="rId43" xr:uid="{9AF6C337-1FF8-46CC-AFF2-6E5BC9D446C1}"/>
    <hyperlink ref="I49" r:id="rId44" xr:uid="{5B9DCF94-B87D-4D45-B103-2D79ED006667}"/>
    <hyperlink ref="I50" r:id="rId45" xr:uid="{6264BF92-451F-4AFE-B06A-9584699B8530}"/>
    <hyperlink ref="I51" r:id="rId46" xr:uid="{CA26DD14-58BE-4A52-B1D6-266917124A94}"/>
    <hyperlink ref="I52" r:id="rId47" xr:uid="{71A2EDD3-8AB5-44FA-AF0F-563B59C7336C}"/>
    <hyperlink ref="I53" r:id="rId48" xr:uid="{9BBB3B86-2A83-4E8B-A610-766CD37755AD}"/>
    <hyperlink ref="I54" r:id="rId49" xr:uid="{1CA19575-36CA-4177-A60F-ED41FE68DF03}"/>
    <hyperlink ref="I55" r:id="rId50" xr:uid="{9B075DA3-A5C0-403A-8B6E-668B0880DC5F}"/>
    <hyperlink ref="I56" r:id="rId51" xr:uid="{F37AB072-7508-496A-BD5C-C5339ED01AC3}"/>
    <hyperlink ref="I57" r:id="rId52" xr:uid="{0350D43C-B23B-4563-8B10-C3444A058FFC}"/>
    <hyperlink ref="I58" r:id="rId53" xr:uid="{9A990001-822A-456D-A86E-7B51C32188F3}"/>
    <hyperlink ref="I59" r:id="rId54" xr:uid="{A6E80132-4446-48A0-9AE6-AE5CFAD5CA5E}"/>
    <hyperlink ref="I60" r:id="rId55" xr:uid="{AA98C192-C459-453E-A4C3-F67795370BFA}"/>
    <hyperlink ref="I61" r:id="rId56" xr:uid="{4B5A289B-6756-4B05-8050-E9145F397DC6}"/>
    <hyperlink ref="I62" r:id="rId57" xr:uid="{B13E59E3-2567-4910-9E8E-20BCECF47604}"/>
    <hyperlink ref="I63" r:id="rId58" xr:uid="{9CAAE9F8-6E66-4ED3-800E-971659E3D642}"/>
    <hyperlink ref="I64" r:id="rId59" xr:uid="{BD308EE8-E30C-41D9-BD63-54F3C14D3295}"/>
    <hyperlink ref="I65" r:id="rId60" xr:uid="{7E336A99-F5A1-4833-A629-1925DDBCA92B}"/>
    <hyperlink ref="I66" r:id="rId61" xr:uid="{6F79DA2D-07D8-401F-90C6-BC1347D96C82}"/>
    <hyperlink ref="I67" r:id="rId62" xr:uid="{A9BE259E-D8AA-4674-8CEC-19501965238A}"/>
  </hyperlinks>
  <pageMargins left="0.7" right="0.7" top="0.75" bottom="0.75" header="0.3" footer="0.3"/>
  <pageSetup paperSize="9" orientation="portrait"/>
  <legacyDrawing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Ameena Gorton</cp:lastModifiedBy>
  <cp:revision/>
  <dcterms:created xsi:type="dcterms:W3CDTF">2022-11-16T23:06:46Z</dcterms:created>
  <dcterms:modified xsi:type="dcterms:W3CDTF">2026-03-25T11:40:39Z</dcterms:modified>
  <cp:category/>
  <cp:contentStatus/>
</cp:coreProperties>
</file>